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<sst xmlns="http://schemas.openxmlformats.org/spreadsheetml/2006/main" count="390" uniqueCount="176">
  <si>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</si>
  <si>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DHR</t>
  </si>
  <si>
    <t xml:space="preserve">Company</t>
  </si>
  <si>
    <t xml:space="preserve">Danaher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</si>
  <si>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</si>
  <si>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</si>
  <si>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</si>
  <si>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</si>
  <si>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2026-09-25T20:03:22Z regular close (Yahoo chart API)</t>
  </si>
  <si>
    <t xml:space="preserve">Balance sheet date</t>
  </si>
  <si>
    <t xml:space="preserve">2026-06-26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</si>
  <si>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</si>
  <si>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</si>
  <si>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</si>
  <si>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</si>
  <si>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</si>
  <si>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</si>
  <si>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</si>
  <si>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</si>
  <si>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</si>
  <si>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</si>
  <si>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2026-09-26T01:30:24Z</t>
  </si>
  <si>
    <t xml:space="preserve">Drivers file</t>
  </si>
  <si>
    <t xml:space="preserve">DHR_Drivers.json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</si>
  <si>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</si>
  <si>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</si>
  <si>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</si>
  <si>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basis values Danaher on unlevered owner FCF with SBC and equity-award withholding fully expensed, share count held flat, and the post-Masimo balance sheet deducted. The revenue base is pro forma for a full year of Masimo so the acquisition debt and the acquired flows are matched. Acquired-intangible amortisation is kept out of both the tax base and the cash flows; the cash tax rate is calibrated to EBITA from actual cash taxes paid.
key_risks_to_valuation: Terminal value is roughly two-thirds of EV; the 20x cap binds near Gordon at 8.2%/3.0%, so exit-multiple assumptions dominate; Masimo annualised revenue (~$2.2bn) and margin are estimates until the Q3-26 10-Q discloses the post-close contribution; Bioprocess destocking recurrence (the axis between base and bear); StatLab acquisition not modelled (cost and flows both excluded); Metrics.csv TotalDebt for Q1/Q2 2026 double-counts current debt; the DCF uses the XBRL LongTermDebt total instead</t>
  </si>
  <si>
    <t xml:space="preserve">Data sources</t>
  </si>
  <si>
    <t xml:space="preserve">price: Yahoo Finance chart API at inputs.price_as_of; 52-week range 160.93-242.80
financials: research/DHR/Reports/DHR_Metrics.csv (SEC XBRL, FY2006-Q2 2026) and SEC XBRL companyfacts (CIK 313616) for Q2-26 balance-sheet debt and cash, depreciation, amortisation, cash taxes, diluted shares, buybacks, equity-award withholding and the Masimo purchase price
qualitative: research/DHR/Reports/DHR_Analysis.json (2026-09-26): Q2-26 results, FY26 guidance (adj EPS $8.45-8.60, core growth 3-4%), Masimo close 2026-06-10, CEO succession</t>
  </si>
  <si>
    <t xml:space="preserve">Scenario narrative: bear</t>
  </si>
  <si>
    <t xml:space="preserve">A second bioprocess destocking leg, China VBP pricing, the respiratory roll-off and a stalled Masimo integration during the CEO handover keep growth at 2.5-3.5% and margins flat at ~30%; the market stops paying a compounder multiple (16x exit cap).</t>
  </si>
  <si>
    <t xml:space="preserve">Scenario narrative: base</t>
  </si>
  <si>
    <t xml:space="preserve">Mid-single-digit core growth after a soft FY26 (3-4% core guide, respiratory headwind ~250bp in Q3-26, ~$100m bioprocess revenue into 2027), full-year Masimo from the close, and DBS lifting Masimo's lower margin so group pre-SBC EBITDA reaches ~32.5% by year 4.</t>
  </si>
  <si>
    <t xml:space="preserve">Scenario narrative: bull</t>
  </si>
  <si>
    <t xml:space="preserve">Bioprocessing recovery runs to double-digit, Cytiva resin share (~80%) and validated-workflow lock-in hold price, Masimo becomes a genuine second Diagnostics growth platform, and margins expand toward ~34.5% - a return to the DBS compounding record.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</si>
  <si>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</si>
  <si>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</si>
  <si>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</si>
  <si>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</si>
  <si>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</si>
  <si>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</si>
  <si>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</si>
  <si>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</si>
  <si>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</si>
  <si>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</si>
  <si>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</si>
  <si>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</si>
  <si>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</si>
  <si>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</si>
  <si>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</si>
  <si>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</si>
  <si>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</si>
  <si>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</si>
  <si>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</si>
  <si>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</si>
  <si>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</si>
  <si>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</si>
  <si>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</si>
  <si>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</si>
  <si>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</si>
  <si>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</si>
  <si>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</si>
  <si>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</si>
  <si>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</si>
  <si>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</si>
  <si>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</si>
  <si>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</si>
  <si>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</si>
  <si>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</si>
  <si>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</si>
  <si>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</si>
  <si>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</si>
  <si>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</si>
  <si>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</si>
  <si>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</si>
  <si>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</si>
  <si>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</si>
  <si>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</si>
  <si>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</si>
  <si>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</si>
  <si>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</si>
  <si>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</si>
  <si>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</si>
  <si>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</si>
  <si>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</si>
  <si>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</si>
  <si>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</si>
  <si>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</si>
  <si>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</si>
  <si>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</si>
  <si>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</si>
  <si>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Jun-2026, pro forma full-year Masimo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</si>
  <si>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</si>
  <si>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</si>
  <si>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</si>
  <si>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</si>
  <si>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</si>
  <si>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</si>
  <si>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</si>
  <si>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</si>
  <si>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</si>
  <si>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</si>
  <si>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</si>
  <si>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</si>
  <si>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</si>
  <si>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</si>
  <si>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</si>
  <si>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</si>
  <si>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</si>
  <si>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</si>
  <si>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</si>
  <si>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</si>
  <si>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</si>
  <si>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</si>
  <si>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</si>
  <si>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</si>
  <si>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</si>
  <si>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</si>
  <si>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</si>
  <si>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</si>
  <si>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DHR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</si>
  <si>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</si>
  <si>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</si>
  <si>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</si>
  <si>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</si>
  <si>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</si>
  <si>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</si>
  <si>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</si>
  <si>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</si>
  <si>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</si>
  <si>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</si>
  <si>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</si>
  <si>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</si>
  <si>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</si>
  <si>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</si>
  <si>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</si>
  <si>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</si>
  <si>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</si>
  <si>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</si>
  <si>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</si>
  <si>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</si>
  <si>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</si>
  <si>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</si>
  <si>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</si>
  <si>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</si>
  <si>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</si>
  <si>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</si>
  <si>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</si>
  <si>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</si>
  <si>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</si>
  <si>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</si>
  <si>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DHR owner-FCF component DCF: base case (millions, USD)</t>
  </si>
  <si>
    <t xml:space="preserve">DHR owner-FCF component DCF: bull case (millions, USD)</t>
  </si>
  <si>
    <t xml:space="preserve">DHR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</si>
  <si>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</si>
  <si>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</si>
  <si>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</si>
  <si>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</si>
  <si>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</si>
  <si>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</si>
  <si>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</si>
  <si>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</si>
  <si>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</si>
  <si>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</si>
  <si>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</si>
  <si>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</si>
  <si>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</si>
  <si>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</si>
  <si>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8.2%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</si>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</sst>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224.49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317.81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11025.917</v>
      </c>
      <c r="C3" s="0" t="n">
        <v>5985.022</v>
      </c>
      <c r="F3" s="0" t="n">
        <v>1740.709</v>
      </c>
      <c r="G3" s="0" t="n">
        <v>15.7874306508928</v>
      </c>
      <c r="I3" s="0" t="n">
        <v>1369.904</v>
      </c>
      <c r="J3" s="0" t="n">
        <v>12.4243997120602</v>
      </c>
      <c r="K3" s="0" t="n">
        <v>4.4</v>
      </c>
      <c r="L3" s="0" t="n">
        <v>1645.775</v>
      </c>
      <c r="M3" s="0" t="n">
        <v>162.071</v>
      </c>
      <c r="N3" s="0" t="n">
        <v>1483.704</v>
      </c>
      <c r="S3" s="0" t="n">
        <v>239.108</v>
      </c>
      <c r="T3" s="0" t="n">
        <v>329.459</v>
      </c>
      <c r="U3" s="0" t="n">
        <v>73.347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12697.456</v>
      </c>
      <c r="C4" s="0" t="n">
        <v>6757.262</v>
      </c>
      <c r="D4" s="0" t="n">
        <v>5940.194</v>
      </c>
      <c r="E4" s="0" t="n">
        <v>46.7825523474939</v>
      </c>
      <c r="F4" s="0" t="n">
        <v>1869.477</v>
      </c>
      <c r="G4" s="0" t="n">
        <v>14.7232406239486</v>
      </c>
      <c r="H4" s="0" t="n">
        <v>2208.777</v>
      </c>
      <c r="I4" s="0" t="n">
        <v>1317.631</v>
      </c>
      <c r="J4" s="0" t="n">
        <v>10.3771259376681</v>
      </c>
      <c r="K4" s="0" t="n">
        <v>2.06</v>
      </c>
      <c r="L4" s="0" t="n">
        <v>1859.029</v>
      </c>
      <c r="M4" s="0" t="n">
        <v>193.783</v>
      </c>
      <c r="N4" s="0" t="n">
        <v>1665.246</v>
      </c>
      <c r="O4" s="0" t="n">
        <v>9808.562</v>
      </c>
      <c r="P4" s="0" t="n">
        <v>17490.1</v>
      </c>
      <c r="Q4" s="0" t="n">
        <v>7681.6</v>
      </c>
      <c r="R4" s="0" t="n">
        <v>2619.329</v>
      </c>
      <c r="S4" s="0" t="n">
        <v>392.854</v>
      </c>
      <c r="T4" s="0" t="n">
        <v>671.726</v>
      </c>
      <c r="U4" s="0" t="n">
        <v>86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10516.681</v>
      </c>
      <c r="C5" s="0" t="n">
        <v>5446.584</v>
      </c>
      <c r="D5" s="0" t="n">
        <v>5070.097</v>
      </c>
      <c r="E5" s="0" t="n">
        <v>48.2100483983493</v>
      </c>
      <c r="F5" s="0" t="n">
        <v>1439.682</v>
      </c>
      <c r="G5" s="0" t="n">
        <v>13.6895090761049</v>
      </c>
      <c r="H5" s="0" t="n">
        <v>1771.482</v>
      </c>
      <c r="I5" s="0" t="n">
        <v>1151.704</v>
      </c>
      <c r="J5" s="0" t="n">
        <v>10.951211698824</v>
      </c>
      <c r="K5" s="0" t="n">
        <v>1.8</v>
      </c>
      <c r="L5" s="0" t="n">
        <v>1800.834</v>
      </c>
      <c r="M5" s="0" t="n">
        <v>175.438</v>
      </c>
      <c r="N5" s="0" t="n">
        <v>1625.396</v>
      </c>
      <c r="O5" s="0" t="n">
        <v>11630.176</v>
      </c>
      <c r="P5" s="0" t="n">
        <v>19595.42</v>
      </c>
      <c r="Q5" s="0" t="n">
        <v>7965.2</v>
      </c>
      <c r="R5" s="0" t="n">
        <v>2977.386</v>
      </c>
      <c r="S5" s="0" t="n">
        <v>1721.9</v>
      </c>
      <c r="T5" s="0" t="n">
        <v>671.484</v>
      </c>
      <c r="U5" s="0" t="n">
        <v>87.35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12550</v>
      </c>
      <c r="C6" s="0" t="n">
        <v>6145.5</v>
      </c>
      <c r="D6" s="0" t="n">
        <v>6404.5</v>
      </c>
      <c r="E6" s="0" t="n">
        <v>51.0318725099602</v>
      </c>
      <c r="F6" s="0" t="n">
        <v>2049.6</v>
      </c>
      <c r="G6" s="0" t="n">
        <v>16.3314741035857</v>
      </c>
      <c r="H6" s="0" t="n">
        <v>2437.9</v>
      </c>
      <c r="I6" s="0" t="n">
        <v>1793</v>
      </c>
      <c r="J6" s="0" t="n">
        <v>14.2868525896414</v>
      </c>
      <c r="K6" s="0" t="n">
        <v>2.74</v>
      </c>
      <c r="L6" s="0" t="n">
        <v>2084.4</v>
      </c>
      <c r="M6" s="0" t="n">
        <v>191.1</v>
      </c>
      <c r="N6" s="0" t="n">
        <v>1893.3</v>
      </c>
      <c r="O6" s="0" t="n">
        <v>13772.766</v>
      </c>
      <c r="P6" s="0" t="n">
        <v>22217.1</v>
      </c>
      <c r="Q6" s="0" t="n">
        <v>8444.4</v>
      </c>
      <c r="R6" s="0" t="n">
        <v>2865.461</v>
      </c>
      <c r="S6" s="0" t="n">
        <v>1633</v>
      </c>
      <c r="T6" s="0" t="n">
        <v>683.3</v>
      </c>
      <c r="U6" s="0" t="n">
        <v>88.1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16090.5</v>
      </c>
      <c r="C7" s="0" t="n">
        <v>7913.9</v>
      </c>
      <c r="D7" s="0" t="n">
        <v>8176.6</v>
      </c>
      <c r="E7" s="0" t="n">
        <v>50.8163201889314</v>
      </c>
      <c r="F7" s="0" t="n">
        <v>2617.2</v>
      </c>
      <c r="G7" s="0" t="n">
        <v>16.2654982753799</v>
      </c>
      <c r="H7" s="0" t="n">
        <v>3252.2</v>
      </c>
      <c r="I7" s="0" t="n">
        <v>2172.3</v>
      </c>
      <c r="J7" s="0" t="n">
        <v>13.5005127248998</v>
      </c>
      <c r="K7" s="0" t="n">
        <v>3.21</v>
      </c>
      <c r="L7" s="0" t="n">
        <v>2626.3</v>
      </c>
      <c r="M7" s="0" t="n">
        <v>334.5</v>
      </c>
      <c r="N7" s="0" t="n">
        <v>2291.8</v>
      </c>
      <c r="O7" s="0" t="n">
        <v>16971.8</v>
      </c>
      <c r="P7" s="0" t="n">
        <v>29949.5</v>
      </c>
      <c r="R7" s="0" t="n">
        <v>5403.6</v>
      </c>
      <c r="S7" s="0" t="n">
        <v>537</v>
      </c>
      <c r="T7" s="0" t="n">
        <v>701.2</v>
      </c>
      <c r="U7" s="0" t="n">
        <v>95.6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18260.4</v>
      </c>
      <c r="C8" s="0" t="n">
        <v>8846.1</v>
      </c>
      <c r="D8" s="0" t="n">
        <v>9414.3</v>
      </c>
      <c r="E8" s="0" t="n">
        <v>51.5558257212328</v>
      </c>
      <c r="F8" s="0" t="n">
        <v>3165.1</v>
      </c>
      <c r="G8" s="0" t="n">
        <v>17.3331361854067</v>
      </c>
      <c r="H8" s="0" t="n">
        <v>4004.9</v>
      </c>
      <c r="I8" s="0" t="n">
        <v>2392.2</v>
      </c>
      <c r="J8" s="0" t="n">
        <v>13.1004797266215</v>
      </c>
      <c r="K8" s="0" t="n">
        <v>3.45</v>
      </c>
      <c r="L8" s="0" t="n">
        <v>3415</v>
      </c>
      <c r="M8" s="0" t="n">
        <v>458.3</v>
      </c>
      <c r="N8" s="0" t="n">
        <v>2956.7</v>
      </c>
      <c r="O8" s="0" t="n">
        <v>19083.9</v>
      </c>
      <c r="P8" s="0" t="n">
        <v>32941</v>
      </c>
      <c r="R8" s="0" t="n">
        <v>5398.6</v>
      </c>
      <c r="S8" s="0" t="n">
        <v>1678.7</v>
      </c>
      <c r="T8" s="0" t="n">
        <v>713.1</v>
      </c>
      <c r="U8" s="0" t="n">
        <v>109.9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18283.1</v>
      </c>
      <c r="C9" s="0" t="n">
        <v>8941.1</v>
      </c>
      <c r="D9" s="0" t="n">
        <v>9342</v>
      </c>
      <c r="E9" s="0" t="n">
        <v>51.0963676838173</v>
      </c>
      <c r="F9" s="0" t="n">
        <v>3120.5</v>
      </c>
      <c r="G9" s="0" t="n">
        <v>17.0676745190914</v>
      </c>
      <c r="H9" s="0" t="n">
        <v>3971.1</v>
      </c>
      <c r="I9" s="0" t="n">
        <v>2695</v>
      </c>
      <c r="J9" s="0" t="n">
        <v>14.7403886649419</v>
      </c>
      <c r="K9" s="0" t="n">
        <v>3.87</v>
      </c>
      <c r="L9" s="0" t="n">
        <v>3585.3</v>
      </c>
      <c r="M9" s="0" t="n">
        <v>538.1</v>
      </c>
      <c r="N9" s="0" t="n">
        <v>3047.2</v>
      </c>
      <c r="O9" s="0" t="n">
        <v>22451.4</v>
      </c>
      <c r="P9" s="0" t="n">
        <v>34672.2</v>
      </c>
      <c r="R9" s="0" t="n">
        <v>3561.3</v>
      </c>
      <c r="S9" s="0" t="n">
        <v>3115.2</v>
      </c>
      <c r="T9" s="0" t="n">
        <v>711</v>
      </c>
      <c r="U9" s="0" t="n">
        <v>109.6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12866.9</v>
      </c>
      <c r="C10" s="0" t="n">
        <v>6017.4</v>
      </c>
      <c r="D10" s="0" t="n">
        <v>6849.5</v>
      </c>
      <c r="E10" s="0" t="n">
        <v>53.2334905843676</v>
      </c>
      <c r="F10" s="0" t="n">
        <v>2045</v>
      </c>
      <c r="G10" s="0" t="n">
        <v>15.8934941594323</v>
      </c>
      <c r="H10" s="0" t="n">
        <v>2763.1</v>
      </c>
      <c r="I10" s="0" t="n">
        <v>2598.4</v>
      </c>
      <c r="J10" s="0" t="n">
        <v>20.1944524322098</v>
      </c>
      <c r="K10" s="0" t="n">
        <v>3.7</v>
      </c>
      <c r="L10" s="0" t="n">
        <v>3758.4</v>
      </c>
      <c r="M10" s="0" t="n">
        <v>465.4</v>
      </c>
      <c r="N10" s="0" t="n">
        <v>3293</v>
      </c>
      <c r="O10" s="0" t="n">
        <v>23449.8</v>
      </c>
      <c r="P10" s="0" t="n">
        <v>36991.7</v>
      </c>
      <c r="R10" s="0" t="n">
        <v>3545.3</v>
      </c>
      <c r="S10" s="0" t="n">
        <v>3005.6</v>
      </c>
      <c r="T10" s="0" t="n">
        <v>716.1</v>
      </c>
      <c r="U10" s="0" t="n">
        <v>84.7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14433.7</v>
      </c>
      <c r="C11" s="0" t="n">
        <v>6662.6</v>
      </c>
      <c r="D11" s="0" t="n">
        <v>7771.1</v>
      </c>
      <c r="E11" s="0" t="n">
        <v>53.8399717328197</v>
      </c>
      <c r="F11" s="0" t="n">
        <v>2162.2</v>
      </c>
      <c r="G11" s="0" t="n">
        <v>14.9802199020348</v>
      </c>
      <c r="H11" s="0" t="n">
        <v>3043</v>
      </c>
      <c r="I11" s="0" t="n">
        <v>3357.4</v>
      </c>
      <c r="J11" s="0" t="n">
        <v>23.2608409486133</v>
      </c>
      <c r="K11" s="0" t="n">
        <v>4.81</v>
      </c>
      <c r="L11" s="0" t="n">
        <v>3801.8</v>
      </c>
      <c r="M11" s="0" t="n">
        <v>512.9</v>
      </c>
      <c r="N11" s="0" t="n">
        <v>3288.9</v>
      </c>
      <c r="O11" s="0" t="n">
        <v>23764</v>
      </c>
      <c r="P11" s="0" t="n">
        <v>48222.2</v>
      </c>
      <c r="R11" s="0" t="n">
        <v>13715.6</v>
      </c>
      <c r="S11" s="0" t="n">
        <v>790.8</v>
      </c>
      <c r="T11" s="0" t="n">
        <v>708.5</v>
      </c>
      <c r="U11" s="0" t="n">
        <v>103.8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16882.4</v>
      </c>
      <c r="C12" s="0" t="n">
        <v>7547.8</v>
      </c>
      <c r="D12" s="0" t="n">
        <v>9334.6</v>
      </c>
      <c r="E12" s="0" t="n">
        <v>55.2919016253613</v>
      </c>
      <c r="F12" s="0" t="n">
        <v>2735.2</v>
      </c>
      <c r="G12" s="0" t="n">
        <v>16.2014879401033</v>
      </c>
      <c r="H12" s="0" t="n">
        <v>3863.3</v>
      </c>
      <c r="I12" s="0" t="n">
        <v>2553.7</v>
      </c>
      <c r="J12" s="0" t="n">
        <v>15.1264038288395</v>
      </c>
      <c r="K12" s="0" t="n">
        <v>3.69</v>
      </c>
      <c r="L12" s="0" t="n">
        <v>3521.8</v>
      </c>
      <c r="M12" s="0" t="n">
        <v>589.6</v>
      </c>
      <c r="N12" s="0" t="n">
        <v>2932.2</v>
      </c>
      <c r="O12" s="0" t="n">
        <v>23076.8</v>
      </c>
      <c r="P12" s="0" t="n">
        <v>45295.3</v>
      </c>
      <c r="R12" s="0" t="n">
        <v>14863.8</v>
      </c>
      <c r="S12" s="0" t="n">
        <v>963.7</v>
      </c>
      <c r="T12" s="0" t="n">
        <v>699.8</v>
      </c>
      <c r="U12" s="0" t="n">
        <v>129.8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15518.8</v>
      </c>
      <c r="C13" s="0" t="n">
        <v>6947.5</v>
      </c>
      <c r="D13" s="0" t="n">
        <v>8571.3</v>
      </c>
      <c r="E13" s="0" t="n">
        <v>55.2317189473413</v>
      </c>
      <c r="F13" s="0" t="n">
        <v>2572.3</v>
      </c>
      <c r="G13" s="0" t="n">
        <v>16.5753795396551</v>
      </c>
      <c r="H13" s="0" t="n">
        <v>3689.2</v>
      </c>
      <c r="I13" s="0" t="n">
        <v>2492.1</v>
      </c>
      <c r="J13" s="0" t="n">
        <v>16.0585870041498</v>
      </c>
      <c r="K13" s="0" t="n">
        <v>3.58</v>
      </c>
      <c r="L13" s="0" t="n">
        <v>3477.8</v>
      </c>
      <c r="M13" s="0" t="n">
        <v>570.7</v>
      </c>
      <c r="N13" s="0" t="n">
        <v>2907.1</v>
      </c>
      <c r="O13" s="0" t="n">
        <v>26367.8</v>
      </c>
      <c r="P13" s="0" t="n">
        <v>46648.6</v>
      </c>
      <c r="R13" s="0" t="n">
        <v>10716.8</v>
      </c>
      <c r="S13" s="0" t="n">
        <v>630.3</v>
      </c>
      <c r="T13" s="0" t="n">
        <v>706.1</v>
      </c>
      <c r="U13" s="0" t="n">
        <v>127.1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17049</v>
      </c>
      <c r="C14" s="0" t="n">
        <v>7544</v>
      </c>
      <c r="D14" s="0" t="n">
        <v>9505</v>
      </c>
      <c r="E14" s="0" t="n">
        <v>55.7510704440143</v>
      </c>
      <c r="F14" s="0" t="n">
        <v>3055</v>
      </c>
      <c r="G14" s="0" t="n">
        <v>17.918939527245</v>
      </c>
      <c r="H14" s="0" t="n">
        <v>4233</v>
      </c>
      <c r="I14" s="0" t="n">
        <v>2651</v>
      </c>
      <c r="J14" s="0" t="n">
        <v>15.5492990791249</v>
      </c>
      <c r="K14" s="0" t="n">
        <v>3.78</v>
      </c>
      <c r="L14" s="0" t="n">
        <v>4022</v>
      </c>
      <c r="M14" s="0" t="n">
        <v>584</v>
      </c>
      <c r="N14" s="0" t="n">
        <v>3438</v>
      </c>
      <c r="O14" s="0" t="n">
        <v>28225</v>
      </c>
      <c r="P14" s="0" t="n">
        <v>47833</v>
      </c>
      <c r="R14" s="0" t="n">
        <v>9792.1</v>
      </c>
      <c r="S14" s="0" t="n">
        <v>787.8</v>
      </c>
      <c r="T14" s="0" t="n">
        <v>710.2</v>
      </c>
      <c r="U14" s="0" t="n">
        <v>138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17911</v>
      </c>
      <c r="C15" s="0" t="n">
        <v>7927</v>
      </c>
      <c r="D15" s="0" t="n">
        <v>9984</v>
      </c>
      <c r="E15" s="0" t="n">
        <v>55.7422812796606</v>
      </c>
      <c r="F15" s="0" t="n">
        <v>3269</v>
      </c>
      <c r="G15" s="0" t="n">
        <v>18.2513539165876</v>
      </c>
      <c r="H15" s="0" t="n">
        <v>4458</v>
      </c>
      <c r="I15" s="0" t="n">
        <v>3008</v>
      </c>
      <c r="J15" s="0" t="n">
        <v>16.7941488470772</v>
      </c>
      <c r="K15" s="0" t="n">
        <v>4.11</v>
      </c>
      <c r="L15" s="0" t="n">
        <v>3952</v>
      </c>
      <c r="M15" s="0" t="n">
        <v>636</v>
      </c>
      <c r="N15" s="0" t="n">
        <v>3316</v>
      </c>
      <c r="O15" s="0" t="n">
        <v>30282</v>
      </c>
      <c r="P15" s="0" t="n">
        <v>62082</v>
      </c>
      <c r="R15" s="0" t="n">
        <v>21941</v>
      </c>
      <c r="S15" s="0" t="n">
        <v>19912.3</v>
      </c>
      <c r="T15" s="0" t="n">
        <v>725.5</v>
      </c>
      <c r="U15" s="0" t="n">
        <v>159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22284</v>
      </c>
      <c r="C16" s="0" t="n">
        <v>9809</v>
      </c>
      <c r="D16" s="0" t="n">
        <v>12475</v>
      </c>
      <c r="E16" s="0" t="n">
        <v>55.9818704002872</v>
      </c>
      <c r="F16" s="0" t="n">
        <v>4231</v>
      </c>
      <c r="G16" s="0" t="n">
        <v>18.9867169269431</v>
      </c>
      <c r="H16" s="0" t="n">
        <v>6006</v>
      </c>
      <c r="I16" s="0" t="n">
        <v>3646</v>
      </c>
      <c r="J16" s="0" t="n">
        <v>16.3615149883324</v>
      </c>
      <c r="K16" s="0" t="n">
        <v>4.97</v>
      </c>
      <c r="L16" s="0" t="n">
        <v>6208</v>
      </c>
      <c r="M16" s="0" t="n">
        <v>791</v>
      </c>
      <c r="N16" s="0" t="n">
        <v>5417</v>
      </c>
      <c r="O16" s="0" t="n">
        <v>39777</v>
      </c>
      <c r="P16" s="0" t="n">
        <v>76161</v>
      </c>
      <c r="R16" s="0" t="n">
        <v>21215</v>
      </c>
      <c r="T16" s="0" t="n">
        <v>718.7</v>
      </c>
      <c r="U16" s="0" t="n">
        <v>187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24802</v>
      </c>
      <c r="C17" s="0" t="n">
        <v>9563</v>
      </c>
      <c r="D17" s="0" t="n">
        <v>15239</v>
      </c>
      <c r="E17" s="0" t="n">
        <v>61.4426255947101</v>
      </c>
      <c r="F17" s="0" t="n">
        <v>6377</v>
      </c>
      <c r="G17" s="0" t="n">
        <v>25.7116361583743</v>
      </c>
      <c r="H17" s="0" t="n">
        <v>8439</v>
      </c>
      <c r="I17" s="0" t="n">
        <v>6433</v>
      </c>
      <c r="J17" s="0" t="n">
        <v>25.937424401258</v>
      </c>
      <c r="K17" s="0" t="n">
        <v>8.77</v>
      </c>
      <c r="L17" s="0" t="n">
        <v>8358</v>
      </c>
      <c r="M17" s="0" t="n">
        <v>1240</v>
      </c>
      <c r="N17" s="0" t="n">
        <v>7118</v>
      </c>
      <c r="O17" s="0" t="n">
        <v>45177</v>
      </c>
      <c r="P17" s="0" t="n">
        <v>83184</v>
      </c>
      <c r="R17" s="0" t="n">
        <v>22184</v>
      </c>
      <c r="T17" s="0" t="n">
        <v>736.8</v>
      </c>
      <c r="U17" s="0" t="n">
        <v>184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26643</v>
      </c>
      <c r="C18" s="0" t="n">
        <v>10455</v>
      </c>
      <c r="D18" s="0" t="n">
        <v>16188</v>
      </c>
      <c r="E18" s="0" t="n">
        <v>60.7589235446459</v>
      </c>
      <c r="F18" s="0" t="n">
        <v>7536</v>
      </c>
      <c r="G18" s="0" t="n">
        <v>28.2851030289382</v>
      </c>
      <c r="H18" s="0" t="n">
        <v>9668</v>
      </c>
      <c r="I18" s="0" t="n">
        <v>7209</v>
      </c>
      <c r="J18" s="0" t="n">
        <v>27.0577637653417</v>
      </c>
      <c r="K18" s="0" t="n">
        <v>9.8</v>
      </c>
      <c r="L18" s="0" t="n">
        <v>8519</v>
      </c>
      <c r="M18" s="0" t="n">
        <v>1118</v>
      </c>
      <c r="N18" s="0" t="n">
        <v>7401</v>
      </c>
      <c r="O18" s="0" t="n">
        <v>50090</v>
      </c>
      <c r="P18" s="0" t="n">
        <v>84350</v>
      </c>
      <c r="R18" s="0" t="n">
        <v>20268</v>
      </c>
      <c r="T18" s="0" t="n">
        <v>737.1</v>
      </c>
      <c r="U18" s="0" t="n">
        <v>295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23890</v>
      </c>
      <c r="C19" s="0" t="n">
        <v>9856</v>
      </c>
      <c r="D19" s="0" t="n">
        <v>14034</v>
      </c>
      <c r="E19" s="0" t="n">
        <v>58.7442444537463</v>
      </c>
      <c r="F19" s="0" t="n">
        <v>5202</v>
      </c>
      <c r="G19" s="0" t="n">
        <v>21.7748011720385</v>
      </c>
      <c r="H19" s="0" t="n">
        <v>7368</v>
      </c>
      <c r="I19" s="0" t="n">
        <v>4764</v>
      </c>
      <c r="J19" s="0" t="n">
        <v>19.9413980745082</v>
      </c>
      <c r="K19" s="0" t="n">
        <v>6.44</v>
      </c>
      <c r="L19" s="0" t="n">
        <v>7164</v>
      </c>
      <c r="M19" s="0" t="n">
        <v>1383</v>
      </c>
      <c r="N19" s="0" t="n">
        <v>5781</v>
      </c>
      <c r="O19" s="0" t="n">
        <v>53490</v>
      </c>
      <c r="P19" s="0" t="n">
        <v>84488</v>
      </c>
      <c r="R19" s="0" t="n">
        <v>20097</v>
      </c>
      <c r="T19" s="0" t="n">
        <v>743.1</v>
      </c>
      <c r="U19" s="0" t="n">
        <v>306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23875</v>
      </c>
      <c r="C20" s="0" t="n">
        <v>9669</v>
      </c>
      <c r="D20" s="0" t="n">
        <v>14206</v>
      </c>
      <c r="E20" s="0" t="n">
        <v>59.5015706806283</v>
      </c>
      <c r="F20" s="0" t="n">
        <v>4863</v>
      </c>
      <c r="G20" s="0" t="n">
        <v>20.3685863874346</v>
      </c>
      <c r="I20" s="0" t="n">
        <v>3899</v>
      </c>
      <c r="J20" s="0" t="n">
        <v>16.330890052356</v>
      </c>
      <c r="K20" s="0" t="n">
        <v>5.33</v>
      </c>
      <c r="L20" s="0" t="n">
        <v>6688</v>
      </c>
      <c r="M20" s="0" t="n">
        <v>1392</v>
      </c>
      <c r="N20" s="0" t="n">
        <v>5296</v>
      </c>
      <c r="O20" s="0" t="n">
        <v>49550</v>
      </c>
      <c r="P20" s="0" t="n">
        <v>77542</v>
      </c>
      <c r="R20" s="0" t="n">
        <v>16510</v>
      </c>
      <c r="T20" s="0" t="n">
        <v>737.2</v>
      </c>
      <c r="U20" s="0" t="n">
        <v>288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24568</v>
      </c>
      <c r="C21" s="0" t="n">
        <v>10045</v>
      </c>
      <c r="D21" s="0" t="n">
        <v>14523</v>
      </c>
      <c r="E21" s="0" t="n">
        <v>59.1134809508303</v>
      </c>
      <c r="F21" s="0" t="n">
        <v>4690</v>
      </c>
      <c r="G21" s="0" t="n">
        <v>19.0898730055357</v>
      </c>
      <c r="I21" s="0" t="n">
        <v>3614</v>
      </c>
      <c r="J21" s="0" t="n">
        <v>14.7101921198307</v>
      </c>
      <c r="K21" s="0" t="n">
        <v>5.07</v>
      </c>
      <c r="L21" s="0" t="n">
        <v>6416</v>
      </c>
      <c r="M21" s="0" t="n">
        <v>1156</v>
      </c>
      <c r="N21" s="0" t="n">
        <v>5260</v>
      </c>
      <c r="O21" s="0" t="n">
        <v>52541</v>
      </c>
      <c r="P21" s="0" t="n">
        <v>83464</v>
      </c>
      <c r="R21" s="0" t="n">
        <v>18420</v>
      </c>
      <c r="T21" s="0" t="n">
        <v>716.1</v>
      </c>
      <c r="U21" s="0" t="n">
        <v>298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224.49</v>
      </c>
    </row>
    <row r="3" customFormat="false" ht="15" hidden="false" customHeight="false" outlineLevel="0" collapsed="false">
      <c r="A3" s="0" t="s">
        <v>86</v>
      </c>
      <c r="B3" s="3" t="n">
        <v>707.6</v>
      </c>
    </row>
    <row r="4" customFormat="false" ht="15" hidden="false" customHeight="false" outlineLevel="0" collapsed="false">
      <c r="A4" s="0" t="s">
        <v>87</v>
      </c>
      <c r="B4" s="3" t="n">
        <v>22210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27200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2.5</v>
      </c>
      <c r="D13" s="3" t="n">
        <v>3</v>
      </c>
      <c r="E13" s="3" t="n">
        <v>3.5</v>
      </c>
      <c r="F13" s="3" t="n">
        <v>3.5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30</v>
      </c>
      <c r="D14" s="3" t="n">
        <v>30</v>
      </c>
      <c r="E14" s="3" t="n">
        <v>30</v>
      </c>
      <c r="F14" s="3" t="n">
        <v>30</v>
      </c>
      <c r="G14" s="3" t="n">
        <v>30</v>
      </c>
      <c r="H14" s="3" t="n">
        <v>30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109</v>
      </c>
      <c r="C15" s="3" t="n">
        <v>1.35</v>
      </c>
      <c r="D15" s="3" t="n">
        <v>1.35</v>
      </c>
      <c r="E15" s="3" t="n">
        <v>1.3</v>
      </c>
      <c r="F15" s="3" t="n">
        <v>1.3</v>
      </c>
      <c r="G15" s="3" t="n">
        <v>1.3</v>
      </c>
      <c r="H15" s="3" t="n">
        <v>1.25</v>
      </c>
      <c r="I15" s="3" t="n">
        <v>1.25</v>
      </c>
      <c r="J15" s="3" t="n">
        <v>1.25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3.2</v>
      </c>
      <c r="D17" s="3" t="n">
        <v>3.2</v>
      </c>
      <c r="E17" s="3" t="n">
        <v>3.2</v>
      </c>
      <c r="F17" s="3" t="n">
        <v>3.2</v>
      </c>
      <c r="G17" s="3" t="n">
        <v>3.2</v>
      </c>
      <c r="H17" s="3" t="n">
        <v>3.2</v>
      </c>
      <c r="I17" s="3" t="n">
        <v>3.2</v>
      </c>
      <c r="J17" s="3" t="n">
        <v>3.2</v>
      </c>
      <c r="K17" s="3" t="n">
        <v>3.2</v>
      </c>
      <c r="L17" s="3" t="n">
        <v>3.2</v>
      </c>
    </row>
    <row r="18" customFormat="false" ht="15" hidden="false" customHeight="false" outlineLevel="0" collapsed="false">
      <c r="A18" s="0" t="s">
        <v>112</v>
      </c>
      <c r="C18" s="3" t="n">
        <v>4.8</v>
      </c>
      <c r="D18" s="3" t="n">
        <v>4.8</v>
      </c>
      <c r="E18" s="3" t="n">
        <v>4.8</v>
      </c>
      <c r="F18" s="3" t="n">
        <v>4.8</v>
      </c>
      <c r="G18" s="3" t="n">
        <v>4.8</v>
      </c>
      <c r="H18" s="3" t="n">
        <v>4.8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113</v>
      </c>
      <c r="C19" s="3" t="n">
        <v>20</v>
      </c>
      <c r="D19" s="3" t="n">
        <v>20.5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114</v>
      </c>
      <c r="B20" s="3" t="n">
        <v>8.2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16</v>
      </c>
    </row>
    <row r="23" customFormat="false" ht="15" hidden="false" customHeight="false" outlineLevel="0" collapsed="false">
      <c r="A23" s="0" t="s">
        <v>117</v>
      </c>
      <c r="B23" s="3" t="n">
        <v>-15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4.5</v>
      </c>
      <c r="D27" s="3" t="n">
        <v>5.5</v>
      </c>
      <c r="E27" s="3" t="n">
        <v>5.5</v>
      </c>
      <c r="F27" s="3" t="n">
        <v>5.5</v>
      </c>
      <c r="G27" s="3" t="n">
        <v>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31</v>
      </c>
      <c r="D28" s="3" t="n">
        <v>31.5</v>
      </c>
      <c r="E28" s="3" t="n">
        <v>32</v>
      </c>
      <c r="F28" s="3" t="n">
        <v>32.5</v>
      </c>
      <c r="G28" s="3" t="n">
        <v>32.5</v>
      </c>
      <c r="H28" s="3" t="n">
        <v>32.5</v>
      </c>
      <c r="I28" s="3" t="n">
        <v>32.5</v>
      </c>
      <c r="J28" s="3" t="n">
        <v>32.5</v>
      </c>
      <c r="K28" s="3" t="n">
        <v>32.5</v>
      </c>
      <c r="L28" s="3" t="n">
        <v>32.5</v>
      </c>
    </row>
    <row r="29" customFormat="false" ht="15" hidden="false" customHeight="false" outlineLevel="0" collapsed="false">
      <c r="A29" s="0" t="s">
        <v>109</v>
      </c>
      <c r="C29" s="3" t="n">
        <v>1.35</v>
      </c>
      <c r="D29" s="3" t="n">
        <v>1.35</v>
      </c>
      <c r="E29" s="3" t="n">
        <v>1.3</v>
      </c>
      <c r="F29" s="3" t="n">
        <v>1.3</v>
      </c>
      <c r="G29" s="3" t="n">
        <v>1.3</v>
      </c>
      <c r="H29" s="3" t="n">
        <v>1.25</v>
      </c>
      <c r="I29" s="3" t="n">
        <v>1.25</v>
      </c>
      <c r="J29" s="3" t="n">
        <v>1.25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3.2</v>
      </c>
      <c r="D31" s="3" t="n">
        <v>3.2</v>
      </c>
      <c r="E31" s="3" t="n">
        <v>3.2</v>
      </c>
      <c r="F31" s="3" t="n">
        <v>3.2</v>
      </c>
      <c r="G31" s="3" t="n">
        <v>3.2</v>
      </c>
      <c r="H31" s="3" t="n">
        <v>3.2</v>
      </c>
      <c r="I31" s="3" t="n">
        <v>3.2</v>
      </c>
      <c r="J31" s="3" t="n">
        <v>3.2</v>
      </c>
      <c r="K31" s="3" t="n">
        <v>3.2</v>
      </c>
      <c r="L31" s="3" t="n">
        <v>3.2</v>
      </c>
    </row>
    <row r="32" customFormat="false" ht="15" hidden="false" customHeight="false" outlineLevel="0" collapsed="false">
      <c r="A32" s="0" t="s">
        <v>112</v>
      </c>
      <c r="C32" s="3" t="n">
        <v>4.5</v>
      </c>
      <c r="D32" s="3" t="n">
        <v>4.5</v>
      </c>
      <c r="E32" s="3" t="n">
        <v>4.5</v>
      </c>
      <c r="F32" s="3" t="n">
        <v>4.5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113</v>
      </c>
      <c r="C33" s="3" t="n">
        <v>20</v>
      </c>
      <c r="D33" s="3" t="n">
        <v>20</v>
      </c>
      <c r="E33" s="3" t="n">
        <v>20.5</v>
      </c>
      <c r="F33" s="3" t="n">
        <v>20.5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114</v>
      </c>
      <c r="B34" s="3" t="n">
        <v>8.2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-15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6</v>
      </c>
      <c r="D41" s="3" t="n">
        <v>7</v>
      </c>
      <c r="E41" s="3" t="n">
        <v>7.5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31.5</v>
      </c>
      <c r="D42" s="3" t="n">
        <v>32.5</v>
      </c>
      <c r="E42" s="3" t="n">
        <v>33.5</v>
      </c>
      <c r="F42" s="3" t="n">
        <v>34</v>
      </c>
      <c r="G42" s="3" t="n">
        <v>34.5</v>
      </c>
      <c r="H42" s="3" t="n">
        <v>34.5</v>
      </c>
      <c r="I42" s="3" t="n">
        <v>34.5</v>
      </c>
      <c r="J42" s="3" t="n">
        <v>34.5</v>
      </c>
      <c r="K42" s="3" t="n">
        <v>34.5</v>
      </c>
      <c r="L42" s="3" t="n">
        <v>34.5</v>
      </c>
    </row>
    <row r="43" customFormat="false" ht="15" hidden="false" customHeight="false" outlineLevel="0" collapsed="false">
      <c r="A43" s="0" t="s">
        <v>109</v>
      </c>
      <c r="C43" s="3" t="n">
        <v>1.35</v>
      </c>
      <c r="D43" s="3" t="n">
        <v>1.35</v>
      </c>
      <c r="E43" s="3" t="n">
        <v>1.3</v>
      </c>
      <c r="F43" s="3" t="n">
        <v>1.3</v>
      </c>
      <c r="G43" s="3" t="n">
        <v>1.3</v>
      </c>
      <c r="H43" s="3" t="n">
        <v>1.25</v>
      </c>
      <c r="I43" s="3" t="n">
        <v>1.25</v>
      </c>
      <c r="J43" s="3" t="n">
        <v>1.25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3.2</v>
      </c>
      <c r="D45" s="3" t="n">
        <v>3.2</v>
      </c>
      <c r="E45" s="3" t="n">
        <v>3.2</v>
      </c>
      <c r="F45" s="3" t="n">
        <v>3.2</v>
      </c>
      <c r="G45" s="3" t="n">
        <v>3.2</v>
      </c>
      <c r="H45" s="3" t="n">
        <v>3.2</v>
      </c>
      <c r="I45" s="3" t="n">
        <v>3.2</v>
      </c>
      <c r="J45" s="3" t="n">
        <v>3.2</v>
      </c>
      <c r="K45" s="3" t="n">
        <v>3.2</v>
      </c>
      <c r="L45" s="3" t="n">
        <v>3.2</v>
      </c>
    </row>
    <row r="46" customFormat="false" ht="15" hidden="false" customHeight="false" outlineLevel="0" collapsed="false">
      <c r="A46" s="0" t="s">
        <v>112</v>
      </c>
      <c r="C46" s="3" t="n">
        <v>4.5</v>
      </c>
      <c r="D46" s="3" t="n">
        <v>4.5</v>
      </c>
      <c r="E46" s="3" t="n">
        <v>4.5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113</v>
      </c>
      <c r="C47" s="3" t="n">
        <v>20</v>
      </c>
      <c r="D47" s="3" t="n">
        <v>20</v>
      </c>
      <c r="E47" s="3" t="n">
        <v>20.5</v>
      </c>
      <c r="F47" s="3" t="n">
        <v>20.5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114</v>
      </c>
      <c r="B48" s="3" t="n">
        <v>8.2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-15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2.5</v>
      </c>
      <c r="D5" s="4" t="n">
        <f aca="false">Assumptions!D13</f>
        <v>3</v>
      </c>
      <c r="E5" s="4" t="n">
        <f aca="false">Assumptions!E13</f>
        <v>3.5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27200</v>
      </c>
      <c r="C6" s="0" t="n">
        <f aca="false">B6*(1+C5/100)</f>
        <v>27880</v>
      </c>
      <c r="D6" s="0" t="n">
        <f aca="false">C6*(1+D5/100)</f>
        <v>28716.4</v>
      </c>
      <c r="E6" s="0" t="n">
        <f aca="false">D6*(1+E5/100)</f>
        <v>29721.474</v>
      </c>
      <c r="F6" s="0" t="n">
        <f aca="false">E6*(1+F5/100)</f>
        <v>30761.72559</v>
      </c>
      <c r="G6" s="0" t="n">
        <f aca="false">F6*(1+G5/100)</f>
        <v>31838.38598565</v>
      </c>
      <c r="H6" s="0" t="n">
        <f aca="false">G6*(1+H5/100)</f>
        <v>32952.7294951477</v>
      </c>
      <c r="I6" s="0" t="n">
        <f aca="false">H6*(1+I5/100)</f>
        <v>33941.3113800022</v>
      </c>
      <c r="J6" s="0" t="n">
        <f aca="false">I6*(1+J5/100)</f>
        <v>34959.5507214022</v>
      </c>
      <c r="K6" s="0" t="n">
        <f aca="false">J6*(1+K5/100)</f>
        <v>35833.5394894373</v>
      </c>
      <c r="L6" s="0" t="n">
        <f aca="false">K6*(1+L5/100)</f>
        <v>36729.3779766732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30</v>
      </c>
      <c r="D7" s="4" t="n">
        <f aca="false">Assumptions!D14</f>
        <v>30</v>
      </c>
      <c r="E7" s="4" t="n">
        <f aca="false">Assumptions!E14</f>
        <v>30</v>
      </c>
      <c r="F7" s="4" t="n">
        <f aca="false">Assumptions!F14</f>
        <v>30</v>
      </c>
      <c r="G7" s="4" t="n">
        <f aca="false">Assumptions!G14</f>
        <v>30</v>
      </c>
      <c r="H7" s="4" t="n">
        <f aca="false">Assumptions!H14</f>
        <v>30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8364</v>
      </c>
      <c r="D8" s="0" t="n">
        <f aca="false">D6*D7/100</f>
        <v>8614.92</v>
      </c>
      <c r="E8" s="0" t="n">
        <f aca="false">E6*E7/100</f>
        <v>8916.4422</v>
      </c>
      <c r="F8" s="0" t="n">
        <f aca="false">F6*F7/100</f>
        <v>9228.517677</v>
      </c>
      <c r="G8" s="0" t="n">
        <f aca="false">G6*G7/100</f>
        <v>9551.515795695</v>
      </c>
      <c r="H8" s="0" t="n">
        <f aca="false">H6*H7/100</f>
        <v>9885.81884854432</v>
      </c>
      <c r="I8" s="0" t="n">
        <f aca="false">I6*I7/100</f>
        <v>10182.3934140007</v>
      </c>
      <c r="J8" s="0" t="n">
        <f aca="false">J6*J7/100</f>
        <v>10487.8652164207</v>
      </c>
      <c r="K8" s="0" t="n">
        <f aca="false">K6*K7/100</f>
        <v>10750.0618468312</v>
      </c>
      <c r="L8" s="0" t="n">
        <f aca="false">L6*L7/100</f>
        <v>11018.813393002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1.35</v>
      </c>
      <c r="D9" s="4" t="n">
        <f aca="false">Assumptions!D15</f>
        <v>1.35</v>
      </c>
      <c r="E9" s="4" t="n">
        <f aca="false">Assumptions!E15</f>
        <v>1.3</v>
      </c>
      <c r="F9" s="4" t="n">
        <f aca="false">Assumptions!F15</f>
        <v>1.3</v>
      </c>
      <c r="G9" s="4" t="n">
        <f aca="false">Assumptions!G15</f>
        <v>1.3</v>
      </c>
      <c r="H9" s="4" t="n">
        <f aca="false">Assumptions!H15</f>
        <v>1.25</v>
      </c>
      <c r="I9" s="4" t="n">
        <f aca="false">Assumptions!I15</f>
        <v>1.25</v>
      </c>
      <c r="J9" s="4" t="n">
        <f aca="false">Assumptions!J15</f>
        <v>1.25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-376.38</v>
      </c>
      <c r="D10" s="0" t="n">
        <f aca="false">-D6*D9/100</f>
        <v>-387.6714</v>
      </c>
      <c r="E10" s="0" t="n">
        <f aca="false">-E6*E9/100</f>
        <v>-386.379162</v>
      </c>
      <c r="F10" s="0" t="n">
        <f aca="false">-F6*F9/100</f>
        <v>-399.90243267</v>
      </c>
      <c r="G10" s="0" t="n">
        <f aca="false">-G6*G9/100</f>
        <v>-413.89901781345</v>
      </c>
      <c r="H10" s="0" t="n">
        <f aca="false">-H6*H9/100</f>
        <v>-411.909118689347</v>
      </c>
      <c r="I10" s="0" t="n">
        <f aca="false">-I6*I9/100</f>
        <v>-424.266392250027</v>
      </c>
      <c r="J10" s="0" t="n">
        <f aca="false">-J6*J9/100</f>
        <v>-436.994384017528</v>
      </c>
      <c r="K10" s="0" t="n">
        <f aca="false">-K6*K9/100</f>
        <v>-430.002473873247</v>
      </c>
      <c r="L10" s="0" t="n">
        <f aca="false">-L6*L9/100</f>
        <v>-440.752535720079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7987.62</v>
      </c>
      <c r="D11" s="0" t="n">
        <f aca="false">D8+D10+D24</f>
        <v>8227.2486</v>
      </c>
      <c r="E11" s="0" t="n">
        <f aca="false">E8+E10+E24</f>
        <v>8530.063038</v>
      </c>
      <c r="F11" s="0" t="n">
        <f aca="false">F8+F10+F24</f>
        <v>8828.61524433</v>
      </c>
      <c r="G11" s="0" t="n">
        <f aca="false">G8+G10+G24</f>
        <v>9137.61677788155</v>
      </c>
      <c r="H11" s="0" t="n">
        <f aca="false">H8+H10+H24</f>
        <v>9473.90972985498</v>
      </c>
      <c r="I11" s="0" t="n">
        <f aca="false">I8+I10+I24</f>
        <v>9758.12702175062</v>
      </c>
      <c r="J11" s="0" t="n">
        <f aca="false">J8+J10+J24</f>
        <v>10050.8708324031</v>
      </c>
      <c r="K11" s="0" t="n">
        <f aca="false">K8+K10+K24</f>
        <v>10320.0593729579</v>
      </c>
      <c r="L11" s="0" t="n">
        <f aca="false">L8+L10+L24</f>
        <v>10578.0608572819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-892.16</v>
      </c>
      <c r="D12" s="4" t="n">
        <f aca="false">-D6*Assumptions!D17/100</f>
        <v>-918.9248</v>
      </c>
      <c r="E12" s="4" t="n">
        <f aca="false">-E6*Assumptions!E17/100</f>
        <v>-951.087168</v>
      </c>
      <c r="F12" s="4" t="n">
        <f aca="false">-F6*Assumptions!F17/100</f>
        <v>-984.37521888</v>
      </c>
      <c r="G12" s="4" t="n">
        <f aca="false">-G6*Assumptions!G17/100</f>
        <v>-1018.8283515408</v>
      </c>
      <c r="H12" s="4" t="n">
        <f aca="false">-H6*Assumptions!H17/100</f>
        <v>-1054.48734384473</v>
      </c>
      <c r="I12" s="4" t="n">
        <f aca="false">-I6*Assumptions!I17/100</f>
        <v>-1086.12196416007</v>
      </c>
      <c r="J12" s="4" t="n">
        <f aca="false">-J6*Assumptions!J17/100</f>
        <v>-1118.70562308487</v>
      </c>
      <c r="K12" s="4" t="n">
        <f aca="false">-K6*Assumptions!K17/100</f>
        <v>-1146.67326366199</v>
      </c>
      <c r="L12" s="4" t="n">
        <f aca="false">-L6*Assumptions!L17/100</f>
        <v>-1175.34009525354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7095.46</v>
      </c>
      <c r="D13" s="0" t="n">
        <f aca="false">D11+D12</f>
        <v>7308.3238</v>
      </c>
      <c r="E13" s="0" t="n">
        <f aca="false">E11+E12</f>
        <v>7578.97587</v>
      </c>
      <c r="F13" s="0" t="n">
        <f aca="false">F11+F12</f>
        <v>7844.24002545</v>
      </c>
      <c r="G13" s="0" t="n">
        <f aca="false">G11+G12</f>
        <v>8118.78842634075</v>
      </c>
      <c r="H13" s="0" t="n">
        <f aca="false">H11+H12</f>
        <v>8419.42238601025</v>
      </c>
      <c r="I13" s="0" t="n">
        <f aca="false">I11+I12</f>
        <v>8672.00505759055</v>
      </c>
      <c r="J13" s="0" t="n">
        <f aca="false">J11+J12</f>
        <v>8932.16520931827</v>
      </c>
      <c r="K13" s="0" t="n">
        <f aca="false">K11+K12</f>
        <v>9173.38610929595</v>
      </c>
      <c r="L13" s="0" t="n">
        <f aca="false">L11+L12</f>
        <v>9402.72076202834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20</v>
      </c>
      <c r="D14" s="4" t="n">
        <f aca="false">Assumptions!D19</f>
        <v>20.5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5676.368</v>
      </c>
      <c r="D15" s="0" t="n">
        <f aca="false">D13-MAX(0,D13)*D14/100</f>
        <v>5810.117421</v>
      </c>
      <c r="E15" s="0" t="n">
        <f aca="false">E13-MAX(0,E13)*E14/100</f>
        <v>5987.3909373</v>
      </c>
      <c r="F15" s="0" t="n">
        <f aca="false">F13-MAX(0,F13)*F14/100</f>
        <v>6196.9496201055</v>
      </c>
      <c r="G15" s="0" t="n">
        <f aca="false">G13-MAX(0,G13)*G14/100</f>
        <v>6413.84285680919</v>
      </c>
      <c r="H15" s="0" t="n">
        <f aca="false">H13-MAX(0,H13)*H14/100</f>
        <v>6651.3436849481</v>
      </c>
      <c r="I15" s="0" t="n">
        <f aca="false">I13-MAX(0,I13)*I14/100</f>
        <v>6850.88399549654</v>
      </c>
      <c r="J15" s="0" t="n">
        <f aca="false">J13-MAX(0,J13)*J14/100</f>
        <v>7056.41051536144</v>
      </c>
      <c r="K15" s="0" t="n">
        <f aca="false">K13-MAX(0,K13)*K14/100</f>
        <v>7246.9750263438</v>
      </c>
      <c r="L15" s="0" t="n">
        <f aca="false">L13-MAX(0,L13)*L14/100</f>
        <v>7428.14940200239</v>
      </c>
    </row>
    <row r="16" customFormat="false" ht="15" hidden="false" customHeight="false" outlineLevel="0" collapsed="false">
      <c r="A16" s="0" t="s">
        <v>129</v>
      </c>
      <c r="C16" s="0" t="n">
        <f aca="false">-C12</f>
        <v>892.16</v>
      </c>
      <c r="D16" s="0" t="n">
        <f aca="false">-D12</f>
        <v>918.9248</v>
      </c>
      <c r="E16" s="0" t="n">
        <f aca="false">-E12</f>
        <v>951.087168</v>
      </c>
      <c r="F16" s="0" t="n">
        <f aca="false">-F12</f>
        <v>984.37521888</v>
      </c>
      <c r="G16" s="0" t="n">
        <f aca="false">-G12</f>
        <v>1018.8283515408</v>
      </c>
      <c r="H16" s="0" t="n">
        <f aca="false">-H12</f>
        <v>1054.48734384473</v>
      </c>
      <c r="I16" s="0" t="n">
        <f aca="false">-I12</f>
        <v>1086.12196416007</v>
      </c>
      <c r="J16" s="0" t="n">
        <f aca="false">-J12</f>
        <v>1118.70562308487</v>
      </c>
      <c r="K16" s="0" t="n">
        <f aca="false">-K12</f>
        <v>1146.67326366199</v>
      </c>
      <c r="L16" s="0" t="n">
        <f aca="false">-L12</f>
        <v>1175.34009525354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-1338.24</v>
      </c>
      <c r="D17" s="4" t="n">
        <f aca="false">-D6*Assumptions!D18/100</f>
        <v>-1378.3872</v>
      </c>
      <c r="E17" s="4" t="n">
        <f aca="false">-E6*Assumptions!E18/100</f>
        <v>-1426.630752</v>
      </c>
      <c r="F17" s="4" t="n">
        <f aca="false">-F6*Assumptions!F18/100</f>
        <v>-1476.56282832</v>
      </c>
      <c r="G17" s="4" t="n">
        <f aca="false">-G6*Assumptions!G18/100</f>
        <v>-1528.2425273112</v>
      </c>
      <c r="H17" s="4" t="n">
        <f aca="false">-H6*Assumptions!H18/100</f>
        <v>-1581.73101576709</v>
      </c>
      <c r="I17" s="4" t="n">
        <f aca="false">-I6*Assumptions!I18/100</f>
        <v>-1629.1829462401</v>
      </c>
      <c r="J17" s="4" t="n">
        <f aca="false">-J6*Assumptions!J18/100</f>
        <v>-1678.05843462731</v>
      </c>
      <c r="K17" s="4" t="n">
        <f aca="false">-K6*Assumptions!K18/100</f>
        <v>-1720.00989549299</v>
      </c>
      <c r="L17" s="4" t="n">
        <f aca="false">-L6*Assumptions!L18/100</f>
        <v>-1763.01014288031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-101.999999999999</v>
      </c>
      <c r="D18" s="4" t="n">
        <f aca="false">(D6-C6)*Assumptions!$B$23/100</f>
        <v>-125.46</v>
      </c>
      <c r="E18" s="4" t="n">
        <f aca="false">(E6-D6)*Assumptions!$B$23/100</f>
        <v>-150.7611</v>
      </c>
      <c r="F18" s="4" t="n">
        <f aca="false">(F6-E6)*Assumptions!$B$23/100</f>
        <v>-156.037738499999</v>
      </c>
      <c r="G18" s="4" t="n">
        <f aca="false">(G6-F6)*Assumptions!$B$23/100</f>
        <v>-161.4990593475</v>
      </c>
      <c r="H18" s="4" t="n">
        <f aca="false">(H6-G6)*Assumptions!$B$23/100</f>
        <v>-167.151526424663</v>
      </c>
      <c r="I18" s="4" t="n">
        <f aca="false">(I6-H6)*Assumptions!$B$23/100</f>
        <v>-148.287282728164</v>
      </c>
      <c r="J18" s="4" t="n">
        <f aca="false">(J6-I6)*Assumptions!$B$23/100</f>
        <v>-152.73590121001</v>
      </c>
      <c r="K18" s="4" t="n">
        <f aca="false">(K6-J6)*Assumptions!$B$23/100</f>
        <v>-131.098315205258</v>
      </c>
      <c r="L18" s="4" t="n">
        <f aca="false">(L6-K6)*Assumptions!$B$23/100</f>
        <v>-134.37577308539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5128.288</v>
      </c>
      <c r="D19" s="0" t="n">
        <f aca="false">D15+D16+D17+D18</f>
        <v>5225.195021</v>
      </c>
      <c r="E19" s="0" t="n">
        <f aca="false">E15+E16+E17+E18</f>
        <v>5361.0862533</v>
      </c>
      <c r="F19" s="0" t="n">
        <f aca="false">F15+F16+F17+F18</f>
        <v>5548.7242721655</v>
      </c>
      <c r="G19" s="0" t="n">
        <f aca="false">G15+G16+G17+G18</f>
        <v>5742.92962169129</v>
      </c>
      <c r="H19" s="0" t="n">
        <f aca="false">H15+H16+H17+H18</f>
        <v>5956.94848660107</v>
      </c>
      <c r="I19" s="0" t="n">
        <f aca="false">I15+I16+I17+I18</f>
        <v>6159.53573068834</v>
      </c>
      <c r="J19" s="0" t="n">
        <f aca="false">J15+J16+J17+J18</f>
        <v>6344.32180260899</v>
      </c>
      <c r="K19" s="0" t="n">
        <f aca="false">K15+K16+K17+K18</f>
        <v>6542.54007930754</v>
      </c>
      <c r="L19" s="0" t="n">
        <f aca="false">L15+L16+L17+L18</f>
        <v>6706.10358129023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0.924214417744917</v>
      </c>
      <c r="D20" s="0" t="n">
        <f aca="false">1/(1+$B$27/100)^D4</f>
        <v>0.854172289967576</v>
      </c>
      <c r="E20" s="0" t="n">
        <f aca="false">1/(1+$B$27/100)^E4</f>
        <v>0.789438345626225</v>
      </c>
      <c r="F20" s="0" t="n">
        <f aca="false">1/(1+$B$27/100)^F4</f>
        <v>0.729610300948452</v>
      </c>
      <c r="G20" s="0" t="n">
        <f aca="false">1/(1+$B$27/100)^G4</f>
        <v>0.674316359471767</v>
      </c>
      <c r="H20" s="0" t="n">
        <f aca="false">1/(1+$B$27/100)^H4</f>
        <v>0.623212901545071</v>
      </c>
      <c r="I20" s="0" t="n">
        <f aca="false">1/(1+$B$27/100)^I4</f>
        <v>0.575982348932598</v>
      </c>
      <c r="J20" s="0" t="n">
        <f aca="false">1/(1+$B$27/100)^J4</f>
        <v>0.532331191250091</v>
      </c>
      <c r="K20" s="0" t="n">
        <f aca="false">1/(1+$B$27/100)^K4</f>
        <v>0.49198816196866</v>
      </c>
      <c r="L20" s="0" t="n">
        <f aca="false">1/(1+$B$27/100)^L4</f>
        <v>0.454702552651257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4739.63770794824</v>
      </c>
      <c r="D21" s="0" t="n">
        <f aca="false">D19*D20</f>
        <v>4463.21679661474</v>
      </c>
      <c r="E21" s="0" t="n">
        <f aca="false">E19*E20</f>
        <v>4232.24706256465</v>
      </c>
      <c r="F21" s="0" t="n">
        <f aca="false">F19*F20</f>
        <v>4048.40638609465</v>
      </c>
      <c r="G21" s="0" t="n">
        <f aca="false">G19*G20</f>
        <v>3872.55139520144</v>
      </c>
      <c r="H21" s="0" t="n">
        <f aca="false">H19*H20</f>
        <v>3712.44715068917</v>
      </c>
      <c r="I21" s="0" t="n">
        <f aca="false">I19*I20</f>
        <v>3547.78385849614</v>
      </c>
      <c r="J21" s="0" t="n">
        <f aca="false">J19*J20</f>
        <v>3377.28038285677</v>
      </c>
      <c r="K21" s="0" t="n">
        <f aca="false">K19*K20</f>
        <v>3218.85226822481</v>
      </c>
      <c r="L21" s="0" t="n">
        <f aca="false">L19*L20</f>
        <v>3049.28241675641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8.2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38261.705425447</v>
      </c>
    </row>
    <row r="31" customFormat="false" ht="15" hidden="false" customHeight="false" outlineLevel="0" collapsed="false">
      <c r="A31" s="0" t="s">
        <v>138</v>
      </c>
      <c r="B31" s="0" t="n">
        <f aca="false">L19</f>
        <v>6706.10358129023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120592.213523202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107297.657300644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107297.657300644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48788.5186681025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87050.2240935495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64840.2240935495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91.6340080462825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-0.591812517055181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2700.55853067733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3603.88746765649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100.543626472418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54990.0493665799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28.0217593276602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4.5</v>
      </c>
      <c r="D5" s="4" t="n">
        <f aca="false">Assumptions!D27</f>
        <v>5.5</v>
      </c>
      <c r="E5" s="4" t="n">
        <f aca="false">Assumptions!E27</f>
        <v>5.5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27200</v>
      </c>
      <c r="C6" s="0" t="n">
        <f aca="false">B6*(1+C5/100)</f>
        <v>28424</v>
      </c>
      <c r="D6" s="0" t="n">
        <f aca="false">C6*(1+D5/100)</f>
        <v>29987.32</v>
      </c>
      <c r="E6" s="0" t="n">
        <f aca="false">D6*(1+E5/100)</f>
        <v>31636.6226</v>
      </c>
      <c r="F6" s="0" t="n">
        <f aca="false">E6*(1+F5/100)</f>
        <v>33376.636843</v>
      </c>
      <c r="G6" s="0" t="n">
        <f aca="false">F6*(1+G5/100)</f>
        <v>35045.46868515</v>
      </c>
      <c r="H6" s="0" t="n">
        <f aca="false">G6*(1+H5/100)</f>
        <v>36797.7421194075</v>
      </c>
      <c r="I6" s="0" t="n">
        <f aca="false">H6*(1+I5/100)</f>
        <v>38453.6405147808</v>
      </c>
      <c r="J6" s="0" t="n">
        <f aca="false">I6*(1+J5/100)</f>
        <v>39991.7861353721</v>
      </c>
      <c r="K6" s="0" t="n">
        <f aca="false">J6*(1+K5/100)</f>
        <v>41391.4986501101</v>
      </c>
      <c r="L6" s="0" t="n">
        <f aca="false">K6*(1+L5/100)</f>
        <v>42633.2436096134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31</v>
      </c>
      <c r="D7" s="4" t="n">
        <f aca="false">Assumptions!D28</f>
        <v>31.5</v>
      </c>
      <c r="E7" s="4" t="n">
        <f aca="false">Assumptions!E28</f>
        <v>32</v>
      </c>
      <c r="F7" s="4" t="n">
        <f aca="false">Assumptions!F28</f>
        <v>32.5</v>
      </c>
      <c r="G7" s="4" t="n">
        <f aca="false">Assumptions!G28</f>
        <v>32.5</v>
      </c>
      <c r="H7" s="4" t="n">
        <f aca="false">Assumptions!H28</f>
        <v>32.5</v>
      </c>
      <c r="I7" s="4" t="n">
        <f aca="false">Assumptions!I28</f>
        <v>32.5</v>
      </c>
      <c r="J7" s="4" t="n">
        <f aca="false">Assumptions!J28</f>
        <v>32.5</v>
      </c>
      <c r="K7" s="4" t="n">
        <f aca="false">Assumptions!K28</f>
        <v>32.5</v>
      </c>
      <c r="L7" s="4" t="n">
        <f aca="false">Assumptions!L28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8811.44</v>
      </c>
      <c r="D8" s="0" t="n">
        <f aca="false">D6*D7/100</f>
        <v>9446.0058</v>
      </c>
      <c r="E8" s="0" t="n">
        <f aca="false">E6*E7/100</f>
        <v>10123.719232</v>
      </c>
      <c r="F8" s="0" t="n">
        <f aca="false">F6*F7/100</f>
        <v>10847.406973975</v>
      </c>
      <c r="G8" s="0" t="n">
        <f aca="false">G6*G7/100</f>
        <v>11389.7773226737</v>
      </c>
      <c r="H8" s="0" t="n">
        <f aca="false">H6*H7/100</f>
        <v>11959.2661888074</v>
      </c>
      <c r="I8" s="0" t="n">
        <f aca="false">I6*I7/100</f>
        <v>12497.4331673038</v>
      </c>
      <c r="J8" s="0" t="n">
        <f aca="false">J6*J7/100</f>
        <v>12997.3304939959</v>
      </c>
      <c r="K8" s="0" t="n">
        <f aca="false">K6*K7/100</f>
        <v>13452.2370612858</v>
      </c>
      <c r="L8" s="0" t="n">
        <f aca="false">L6*L7/100</f>
        <v>13855.8041731243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1.35</v>
      </c>
      <c r="D9" s="4" t="n">
        <f aca="false">Assumptions!D29</f>
        <v>1.35</v>
      </c>
      <c r="E9" s="4" t="n">
        <f aca="false">Assumptions!E29</f>
        <v>1.3</v>
      </c>
      <c r="F9" s="4" t="n">
        <f aca="false">Assumptions!F29</f>
        <v>1.3</v>
      </c>
      <c r="G9" s="4" t="n">
        <f aca="false">Assumptions!G29</f>
        <v>1.3</v>
      </c>
      <c r="H9" s="4" t="n">
        <f aca="false">Assumptions!H29</f>
        <v>1.25</v>
      </c>
      <c r="I9" s="4" t="n">
        <f aca="false">Assumptions!I29</f>
        <v>1.25</v>
      </c>
      <c r="J9" s="4" t="n">
        <f aca="false">Assumptions!J29</f>
        <v>1.25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-383.724</v>
      </c>
      <c r="D10" s="0" t="n">
        <f aca="false">-D6*D9/100</f>
        <v>-404.82882</v>
      </c>
      <c r="E10" s="0" t="n">
        <f aca="false">-E6*E9/100</f>
        <v>-411.2760938</v>
      </c>
      <c r="F10" s="0" t="n">
        <f aca="false">-F6*F9/100</f>
        <v>-433.896278959</v>
      </c>
      <c r="G10" s="0" t="n">
        <f aca="false">-G6*G9/100</f>
        <v>-455.59109290695</v>
      </c>
      <c r="H10" s="0" t="n">
        <f aca="false">-H6*H9/100</f>
        <v>-459.971776492594</v>
      </c>
      <c r="I10" s="0" t="n">
        <f aca="false">-I6*I9/100</f>
        <v>-480.67050643476</v>
      </c>
      <c r="J10" s="0" t="n">
        <f aca="false">-J6*J9/100</f>
        <v>-499.897326692151</v>
      </c>
      <c r="K10" s="0" t="n">
        <f aca="false">-K6*K9/100</f>
        <v>-496.697983801321</v>
      </c>
      <c r="L10" s="0" t="n">
        <f aca="false">-L6*L9/100</f>
        <v>-511.598923315361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8427.716</v>
      </c>
      <c r="D11" s="0" t="n">
        <f aca="false">D8+D10+D24</f>
        <v>9041.17698</v>
      </c>
      <c r="E11" s="0" t="n">
        <f aca="false">E8+E10+E24</f>
        <v>9712.4431382</v>
      </c>
      <c r="F11" s="0" t="n">
        <f aca="false">F8+F10+F24</f>
        <v>10413.510695016</v>
      </c>
      <c r="G11" s="0" t="n">
        <f aca="false">G8+G10+G24</f>
        <v>10934.1862297668</v>
      </c>
      <c r="H11" s="0" t="n">
        <f aca="false">H8+H10+H24</f>
        <v>11499.2944123148</v>
      </c>
      <c r="I11" s="0" t="n">
        <f aca="false">I8+I10+I24</f>
        <v>12016.762660869</v>
      </c>
      <c r="J11" s="0" t="n">
        <f aca="false">J8+J10+J24</f>
        <v>12497.4331673038</v>
      </c>
      <c r="K11" s="0" t="n">
        <f aca="false">K8+K10+K24</f>
        <v>12955.5390774845</v>
      </c>
      <c r="L11" s="0" t="n">
        <f aca="false">L8+L10+L24</f>
        <v>13344.205249809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-909.568</v>
      </c>
      <c r="D12" s="4" t="n">
        <f aca="false">-D6*Assumptions!D31/100</f>
        <v>-959.59424</v>
      </c>
      <c r="E12" s="4" t="n">
        <f aca="false">-E6*Assumptions!E31/100</f>
        <v>-1012.3719232</v>
      </c>
      <c r="F12" s="4" t="n">
        <f aca="false">-F6*Assumptions!F31/100</f>
        <v>-1068.052378976</v>
      </c>
      <c r="G12" s="4" t="n">
        <f aca="false">-G6*Assumptions!G31/100</f>
        <v>-1121.4549979248</v>
      </c>
      <c r="H12" s="4" t="n">
        <f aca="false">-H6*Assumptions!H31/100</f>
        <v>-1177.52774782104</v>
      </c>
      <c r="I12" s="4" t="n">
        <f aca="false">-I6*Assumptions!I31/100</f>
        <v>-1230.51649647299</v>
      </c>
      <c r="J12" s="4" t="n">
        <f aca="false">-J6*Assumptions!J31/100</f>
        <v>-1279.73715633191</v>
      </c>
      <c r="K12" s="4" t="n">
        <f aca="false">-K6*Assumptions!K31/100</f>
        <v>-1324.52795680352</v>
      </c>
      <c r="L12" s="4" t="n">
        <f aca="false">-L6*Assumptions!L31/100</f>
        <v>-1364.26379550763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7518.148</v>
      </c>
      <c r="D13" s="0" t="n">
        <f aca="false">D11+D12</f>
        <v>8081.58274</v>
      </c>
      <c r="E13" s="0" t="n">
        <f aca="false">E11+E12</f>
        <v>8700.071215</v>
      </c>
      <c r="F13" s="0" t="n">
        <f aca="false">F11+F12</f>
        <v>9345.45831604</v>
      </c>
      <c r="G13" s="0" t="n">
        <f aca="false">G11+G12</f>
        <v>9812.731231842</v>
      </c>
      <c r="H13" s="0" t="n">
        <f aca="false">H11+H12</f>
        <v>10321.7666644938</v>
      </c>
      <c r="I13" s="0" t="n">
        <f aca="false">I11+I12</f>
        <v>10786.246164396</v>
      </c>
      <c r="J13" s="0" t="n">
        <f aca="false">J11+J12</f>
        <v>11217.6960109719</v>
      </c>
      <c r="K13" s="0" t="n">
        <f aca="false">K11+K12</f>
        <v>11631.0111206809</v>
      </c>
      <c r="L13" s="0" t="n">
        <f aca="false">L11+L12</f>
        <v>11979.9414543014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20.5</v>
      </c>
      <c r="F14" s="4" t="n">
        <f aca="false">Assumptions!F33</f>
        <v>20.5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6014.5184</v>
      </c>
      <c r="D15" s="0" t="n">
        <f aca="false">D13-MAX(0,D13)*D14/100</f>
        <v>6465.266192</v>
      </c>
      <c r="E15" s="0" t="n">
        <f aca="false">E13-MAX(0,E13)*E14/100</f>
        <v>6916.556615925</v>
      </c>
      <c r="F15" s="0" t="n">
        <f aca="false">F13-MAX(0,F13)*F14/100</f>
        <v>7429.6393612518</v>
      </c>
      <c r="G15" s="0" t="n">
        <f aca="false">G13-MAX(0,G13)*G14/100</f>
        <v>7752.05767315518</v>
      </c>
      <c r="H15" s="0" t="n">
        <f aca="false">H13-MAX(0,H13)*H14/100</f>
        <v>8154.1956649501</v>
      </c>
      <c r="I15" s="0" t="n">
        <f aca="false">I13-MAX(0,I13)*I14/100</f>
        <v>8521.13446987286</v>
      </c>
      <c r="J15" s="0" t="n">
        <f aca="false">J13-MAX(0,J13)*J14/100</f>
        <v>8861.97984866777</v>
      </c>
      <c r="K15" s="0" t="n">
        <f aca="false">K13-MAX(0,K13)*K14/100</f>
        <v>9188.49878533794</v>
      </c>
      <c r="L15" s="0" t="n">
        <f aca="false">L13-MAX(0,L13)*L14/100</f>
        <v>9464.15374889807</v>
      </c>
    </row>
    <row r="16" customFormat="false" ht="15" hidden="false" customHeight="false" outlineLevel="0" collapsed="false">
      <c r="A16" s="0" t="s">
        <v>129</v>
      </c>
      <c r="C16" s="0" t="n">
        <f aca="false">-C12</f>
        <v>909.568</v>
      </c>
      <c r="D16" s="0" t="n">
        <f aca="false">-D12</f>
        <v>959.59424</v>
      </c>
      <c r="E16" s="0" t="n">
        <f aca="false">-E12</f>
        <v>1012.3719232</v>
      </c>
      <c r="F16" s="0" t="n">
        <f aca="false">-F12</f>
        <v>1068.052378976</v>
      </c>
      <c r="G16" s="0" t="n">
        <f aca="false">-G12</f>
        <v>1121.4549979248</v>
      </c>
      <c r="H16" s="0" t="n">
        <f aca="false">-H12</f>
        <v>1177.52774782104</v>
      </c>
      <c r="I16" s="0" t="n">
        <f aca="false">-I12</f>
        <v>1230.51649647299</v>
      </c>
      <c r="J16" s="0" t="n">
        <f aca="false">-J12</f>
        <v>1279.73715633191</v>
      </c>
      <c r="K16" s="0" t="n">
        <f aca="false">-K12</f>
        <v>1324.52795680352</v>
      </c>
      <c r="L16" s="0" t="n">
        <f aca="false">-L12</f>
        <v>1364.26379550763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-1279.08</v>
      </c>
      <c r="D17" s="4" t="n">
        <f aca="false">-D6*Assumptions!D32/100</f>
        <v>-1349.4294</v>
      </c>
      <c r="E17" s="4" t="n">
        <f aca="false">-E6*Assumptions!E32/100</f>
        <v>-1423.648017</v>
      </c>
      <c r="F17" s="4" t="n">
        <f aca="false">-F6*Assumptions!F32/100</f>
        <v>-1501.948657935</v>
      </c>
      <c r="G17" s="4" t="n">
        <f aca="false">-G6*Assumptions!G32/100</f>
        <v>-1577.04609083175</v>
      </c>
      <c r="H17" s="4" t="n">
        <f aca="false">-H6*Assumptions!H32/100</f>
        <v>-1655.89839537334</v>
      </c>
      <c r="I17" s="4" t="n">
        <f aca="false">-I6*Assumptions!I32/100</f>
        <v>-1730.41382316514</v>
      </c>
      <c r="J17" s="4" t="n">
        <f aca="false">-J6*Assumptions!J32/100</f>
        <v>-1799.63037609174</v>
      </c>
      <c r="K17" s="4" t="n">
        <f aca="false">-K6*Assumptions!K32/100</f>
        <v>-1862.61743925495</v>
      </c>
      <c r="L17" s="4" t="n">
        <f aca="false">-L6*Assumptions!L32/100</f>
        <v>-1918.4959624326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-183.599999999999</v>
      </c>
      <c r="D18" s="4" t="n">
        <f aca="false">(D6-C6)*Assumptions!$B$37/100</f>
        <v>-234.498</v>
      </c>
      <c r="E18" s="4" t="n">
        <f aca="false">(E6-D6)*Assumptions!$B$37/100</f>
        <v>-247.39539</v>
      </c>
      <c r="F18" s="4" t="n">
        <f aca="false">(F6-E6)*Assumptions!$B$37/100</f>
        <v>-261.00213645</v>
      </c>
      <c r="G18" s="4" t="n">
        <f aca="false">(G6-F6)*Assumptions!$B$37/100</f>
        <v>-250.3247763225</v>
      </c>
      <c r="H18" s="4" t="n">
        <f aca="false">(H6-G6)*Assumptions!$B$37/100</f>
        <v>-262.841015138625</v>
      </c>
      <c r="I18" s="4" t="n">
        <f aca="false">(I6-H6)*Assumptions!$B$37/100</f>
        <v>-248.384759306</v>
      </c>
      <c r="J18" s="4" t="n">
        <f aca="false">(J6-I6)*Assumptions!$B$37/100</f>
        <v>-230.721843088685</v>
      </c>
      <c r="K18" s="4" t="n">
        <f aca="false">(K6-J6)*Assumptions!$B$37/100</f>
        <v>-209.956877210703</v>
      </c>
      <c r="L18" s="4" t="n">
        <f aca="false">(L6-K6)*Assumptions!$B$37/100</f>
        <v>-186.261743925495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5461.4064</v>
      </c>
      <c r="D19" s="0" t="n">
        <f aca="false">D15+D16+D17+D18</f>
        <v>5840.933032</v>
      </c>
      <c r="E19" s="0" t="n">
        <f aca="false">E15+E16+E17+E18</f>
        <v>6257.885132125</v>
      </c>
      <c r="F19" s="0" t="n">
        <f aca="false">F15+F16+F17+F18</f>
        <v>6734.7409458428</v>
      </c>
      <c r="G19" s="0" t="n">
        <f aca="false">G15+G16+G17+G18</f>
        <v>7046.14180392573</v>
      </c>
      <c r="H19" s="0" t="n">
        <f aca="false">H15+H16+H17+H18</f>
        <v>7412.98400225918</v>
      </c>
      <c r="I19" s="0" t="n">
        <f aca="false">I15+I16+I17+I18</f>
        <v>7772.85238387471</v>
      </c>
      <c r="J19" s="0" t="n">
        <f aca="false">J15+J16+J17+J18</f>
        <v>8111.36478581925</v>
      </c>
      <c r="K19" s="0" t="n">
        <f aca="false">K15+K16+K17+K18</f>
        <v>8440.4524256758</v>
      </c>
      <c r="L19" s="0" t="n">
        <f aca="false">L15+L16+L17+L18</f>
        <v>8723.6598380476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0.924214417744917</v>
      </c>
      <c r="D20" s="0" t="n">
        <f aca="false">1/(1+$B$27/100)^D4</f>
        <v>0.854172289967576</v>
      </c>
      <c r="E20" s="0" t="n">
        <f aca="false">1/(1+$B$27/100)^E4</f>
        <v>0.789438345626225</v>
      </c>
      <c r="F20" s="0" t="n">
        <f aca="false">1/(1+$B$27/100)^F4</f>
        <v>0.729610300948452</v>
      </c>
      <c r="G20" s="0" t="n">
        <f aca="false">1/(1+$B$27/100)^G4</f>
        <v>0.674316359471767</v>
      </c>
      <c r="H20" s="0" t="n">
        <f aca="false">1/(1+$B$27/100)^H4</f>
        <v>0.623212901545071</v>
      </c>
      <c r="I20" s="0" t="n">
        <f aca="false">1/(1+$B$27/100)^I4</f>
        <v>0.575982348932598</v>
      </c>
      <c r="J20" s="0" t="n">
        <f aca="false">1/(1+$B$27/100)^J4</f>
        <v>0.532331191250091</v>
      </c>
      <c r="K20" s="0" t="n">
        <f aca="false">1/(1+$B$27/100)^K4</f>
        <v>0.49198816196866</v>
      </c>
      <c r="L20" s="0" t="n">
        <f aca="false">1/(1+$B$27/100)^L4</f>
        <v>0.454702552651257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5047.51053604436</v>
      </c>
      <c r="D21" s="0" t="n">
        <f aca="false">D19*D20</f>
        <v>4989.16314349069</v>
      </c>
      <c r="E21" s="0" t="n">
        <f aca="false">E19*E20</f>
        <v>4940.21448582371</v>
      </c>
      <c r="F21" s="0" t="n">
        <f aca="false">F19*F20</f>
        <v>4913.73636830623</v>
      </c>
      <c r="G21" s="0" t="n">
        <f aca="false">G19*G20</f>
        <v>4751.32868954503</v>
      </c>
      <c r="H21" s="0" t="n">
        <f aca="false">H19*H20</f>
        <v>4619.86726915514</v>
      </c>
      <c r="I21" s="0" t="n">
        <f aca="false">I19*I20</f>
        <v>4477.0257739705</v>
      </c>
      <c r="J21" s="0" t="n">
        <f aca="false">J19*J20</f>
        <v>4317.9324790992</v>
      </c>
      <c r="K21" s="0" t="n">
        <f aca="false">K19*K20</f>
        <v>4152.60267509216</v>
      </c>
      <c r="L21" s="0" t="n">
        <f aca="false">L19*L20</f>
        <v>3966.6703968215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8.2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46176.0518173485</v>
      </c>
    </row>
    <row r="31" customFormat="false" ht="15" hidden="false" customHeight="false" outlineLevel="0" collapsed="false">
      <c r="A31" s="0" t="s">
        <v>138</v>
      </c>
      <c r="B31" s="0" t="n">
        <f aca="false">L19</f>
        <v>8723.6598380476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172795.56986902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174473.196760952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172795.56986902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78570.586706272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124746.638523621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102536.638523621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144.907629343726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-0.354502965193434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2955.52553109813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4607.77108569391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155.596290475428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74878.0802765753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42.7741909653134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6</v>
      </c>
      <c r="D5" s="4" t="n">
        <f aca="false">Assumptions!D41</f>
        <v>7</v>
      </c>
      <c r="E5" s="4" t="n">
        <f aca="false">Assumptions!E41</f>
        <v>7.5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27200</v>
      </c>
      <c r="C6" s="0" t="n">
        <f aca="false">B6*(1+C5/100)</f>
        <v>28832</v>
      </c>
      <c r="D6" s="0" t="n">
        <f aca="false">C6*(1+D5/100)</f>
        <v>30850.24</v>
      </c>
      <c r="E6" s="0" t="n">
        <f aca="false">D6*(1+E5/100)</f>
        <v>33164.008</v>
      </c>
      <c r="F6" s="0" t="n">
        <f aca="false">E6*(1+F5/100)</f>
        <v>35651.3086</v>
      </c>
      <c r="G6" s="0" t="n">
        <f aca="false">F6*(1+G5/100)</f>
        <v>38146.900202</v>
      </c>
      <c r="H6" s="0" t="n">
        <f aca="false">G6*(1+H5/100)</f>
        <v>40626.44871513</v>
      </c>
      <c r="I6" s="0" t="n">
        <f aca="false">H6*(1+I5/100)</f>
        <v>43064.0356380378</v>
      </c>
      <c r="J6" s="0" t="n">
        <f aca="false">I6*(1+J5/100)</f>
        <v>45217.2374199397</v>
      </c>
      <c r="K6" s="0" t="n">
        <f aca="false">J6*(1+K5/100)</f>
        <v>47025.9269167373</v>
      </c>
      <c r="L6" s="0" t="n">
        <f aca="false">K6*(1+L5/100)</f>
        <v>48671.8343588231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31.5</v>
      </c>
      <c r="D7" s="4" t="n">
        <f aca="false">Assumptions!D42</f>
        <v>32.5</v>
      </c>
      <c r="E7" s="4" t="n">
        <f aca="false">Assumptions!E42</f>
        <v>33.5</v>
      </c>
      <c r="F7" s="4" t="n">
        <f aca="false">Assumptions!F42</f>
        <v>34</v>
      </c>
      <c r="G7" s="4" t="n">
        <f aca="false">Assumptions!G42</f>
        <v>34.5</v>
      </c>
      <c r="H7" s="4" t="n">
        <f aca="false">Assumptions!H42</f>
        <v>34.5</v>
      </c>
      <c r="I7" s="4" t="n">
        <f aca="false">Assumptions!I42</f>
        <v>34.5</v>
      </c>
      <c r="J7" s="4" t="n">
        <f aca="false">Assumptions!J42</f>
        <v>34.5</v>
      </c>
      <c r="K7" s="4" t="n">
        <f aca="false">Assumptions!K42</f>
        <v>34.5</v>
      </c>
      <c r="L7" s="4" t="n">
        <f aca="false">Assumptions!L42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9082.08</v>
      </c>
      <c r="D8" s="0" t="n">
        <f aca="false">D6*D7/100</f>
        <v>10026.328</v>
      </c>
      <c r="E8" s="0" t="n">
        <f aca="false">E6*E7/100</f>
        <v>11109.94268</v>
      </c>
      <c r="F8" s="0" t="n">
        <f aca="false">F6*F7/100</f>
        <v>12121.444924</v>
      </c>
      <c r="G8" s="0" t="n">
        <f aca="false">G6*G7/100</f>
        <v>13160.68056969</v>
      </c>
      <c r="H8" s="0" t="n">
        <f aca="false">H6*H7/100</f>
        <v>14016.1248067198</v>
      </c>
      <c r="I8" s="0" t="n">
        <f aca="false">I6*I7/100</f>
        <v>14857.092295123</v>
      </c>
      <c r="J8" s="0" t="n">
        <f aca="false">J6*J7/100</f>
        <v>15599.9469098792</v>
      </c>
      <c r="K8" s="0" t="n">
        <f aca="false">K6*K7/100</f>
        <v>16223.9447862744</v>
      </c>
      <c r="L8" s="0" t="n">
        <f aca="false">L6*L7/100</f>
        <v>16791.782853794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1.35</v>
      </c>
      <c r="D9" s="4" t="n">
        <f aca="false">Assumptions!D43</f>
        <v>1.35</v>
      </c>
      <c r="E9" s="4" t="n">
        <f aca="false">Assumptions!E43</f>
        <v>1.3</v>
      </c>
      <c r="F9" s="4" t="n">
        <f aca="false">Assumptions!F43</f>
        <v>1.3</v>
      </c>
      <c r="G9" s="4" t="n">
        <f aca="false">Assumptions!G43</f>
        <v>1.3</v>
      </c>
      <c r="H9" s="4" t="n">
        <f aca="false">Assumptions!H43</f>
        <v>1.25</v>
      </c>
      <c r="I9" s="4" t="n">
        <f aca="false">Assumptions!I43</f>
        <v>1.25</v>
      </c>
      <c r="J9" s="4" t="n">
        <f aca="false">Assumptions!J43</f>
        <v>1.25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-389.232</v>
      </c>
      <c r="D10" s="0" t="n">
        <f aca="false">-D6*D9/100</f>
        <v>-416.47824</v>
      </c>
      <c r="E10" s="0" t="n">
        <f aca="false">-E6*E9/100</f>
        <v>-431.132104</v>
      </c>
      <c r="F10" s="0" t="n">
        <f aca="false">-F6*F9/100</f>
        <v>-463.4670118</v>
      </c>
      <c r="G10" s="0" t="n">
        <f aca="false">-G6*G9/100</f>
        <v>-495.909702626</v>
      </c>
      <c r="H10" s="0" t="n">
        <f aca="false">-H6*H9/100</f>
        <v>-507.830608939125</v>
      </c>
      <c r="I10" s="0" t="n">
        <f aca="false">-I6*I9/100</f>
        <v>-538.300445475473</v>
      </c>
      <c r="J10" s="0" t="n">
        <f aca="false">-J6*J9/100</f>
        <v>-565.215467749246</v>
      </c>
      <c r="K10" s="0" t="n">
        <f aca="false">-K6*K9/100</f>
        <v>-564.311123000847</v>
      </c>
      <c r="L10" s="0" t="n">
        <f aca="false">-L6*L9/100</f>
        <v>-584.062012305877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8692.848</v>
      </c>
      <c r="D11" s="0" t="n">
        <f aca="false">D8+D10+D24</f>
        <v>9609.84976</v>
      </c>
      <c r="E11" s="0" t="n">
        <f aca="false">E8+E10+E24</f>
        <v>10678.810576</v>
      </c>
      <c r="F11" s="0" t="n">
        <f aca="false">F8+F10+F24</f>
        <v>11657.9779122</v>
      </c>
      <c r="G11" s="0" t="n">
        <f aca="false">G8+G10+G24</f>
        <v>12664.770867064</v>
      </c>
      <c r="H11" s="0" t="n">
        <f aca="false">H8+H10+H24</f>
        <v>13508.2941977807</v>
      </c>
      <c r="I11" s="0" t="n">
        <f aca="false">I8+I10+I24</f>
        <v>14318.7918496476</v>
      </c>
      <c r="J11" s="0" t="n">
        <f aca="false">J8+J10+J24</f>
        <v>15034.7314421299</v>
      </c>
      <c r="K11" s="0" t="n">
        <f aca="false">K8+K10+K24</f>
        <v>15659.6336632735</v>
      </c>
      <c r="L11" s="0" t="n">
        <f aca="false">L8+L10+L24</f>
        <v>16207.7208414881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-922.624</v>
      </c>
      <c r="D12" s="4" t="n">
        <f aca="false">-D6*Assumptions!D45/100</f>
        <v>-987.20768</v>
      </c>
      <c r="E12" s="4" t="n">
        <f aca="false">-E6*Assumptions!E45/100</f>
        <v>-1061.248256</v>
      </c>
      <c r="F12" s="4" t="n">
        <f aca="false">-F6*Assumptions!F45/100</f>
        <v>-1140.8418752</v>
      </c>
      <c r="G12" s="4" t="n">
        <f aca="false">-G6*Assumptions!G45/100</f>
        <v>-1220.700806464</v>
      </c>
      <c r="H12" s="4" t="n">
        <f aca="false">-H6*Assumptions!H45/100</f>
        <v>-1300.04635888416</v>
      </c>
      <c r="I12" s="4" t="n">
        <f aca="false">-I6*Assumptions!I45/100</f>
        <v>-1378.04914041721</v>
      </c>
      <c r="J12" s="4" t="n">
        <f aca="false">-J6*Assumptions!J45/100</f>
        <v>-1446.95159743807</v>
      </c>
      <c r="K12" s="4" t="n">
        <f aca="false">-K6*Assumptions!K45/100</f>
        <v>-1504.82966133559</v>
      </c>
      <c r="L12" s="4" t="n">
        <f aca="false">-L6*Assumptions!L45/100</f>
        <v>-1557.49869948234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7770.224</v>
      </c>
      <c r="D13" s="0" t="n">
        <f aca="false">D11+D12</f>
        <v>8622.64208</v>
      </c>
      <c r="E13" s="0" t="n">
        <f aca="false">E11+E12</f>
        <v>9617.56232</v>
      </c>
      <c r="F13" s="0" t="n">
        <f aca="false">F11+F12</f>
        <v>10517.136037</v>
      </c>
      <c r="G13" s="0" t="n">
        <f aca="false">G11+G12</f>
        <v>11444.0700606</v>
      </c>
      <c r="H13" s="0" t="n">
        <f aca="false">H11+H12</f>
        <v>12208.2478388966</v>
      </c>
      <c r="I13" s="0" t="n">
        <f aca="false">I11+I12</f>
        <v>12940.7427092304</v>
      </c>
      <c r="J13" s="0" t="n">
        <f aca="false">J11+J12</f>
        <v>13587.7798446919</v>
      </c>
      <c r="K13" s="0" t="n">
        <f aca="false">K11+K12</f>
        <v>14154.8040019379</v>
      </c>
      <c r="L13" s="0" t="n">
        <f aca="false">L11+L12</f>
        <v>14650.2221420057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20.5</v>
      </c>
      <c r="F14" s="4" t="n">
        <f aca="false">Assumptions!F47</f>
        <v>20.5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6216.1792</v>
      </c>
      <c r="D15" s="0" t="n">
        <f aca="false">D13-MAX(0,D13)*D14/100</f>
        <v>6898.113664</v>
      </c>
      <c r="E15" s="0" t="n">
        <f aca="false">E13-MAX(0,E13)*E14/100</f>
        <v>7645.9620444</v>
      </c>
      <c r="F15" s="0" t="n">
        <f aca="false">F13-MAX(0,F13)*F14/100</f>
        <v>8361.123149415</v>
      </c>
      <c r="G15" s="0" t="n">
        <f aca="false">G13-MAX(0,G13)*G14/100</f>
        <v>9040.815347874</v>
      </c>
      <c r="H15" s="0" t="n">
        <f aca="false">H13-MAX(0,H13)*H14/100</f>
        <v>9644.51579272829</v>
      </c>
      <c r="I15" s="0" t="n">
        <f aca="false">I13-MAX(0,I13)*I14/100</f>
        <v>10223.186740292</v>
      </c>
      <c r="J15" s="0" t="n">
        <f aca="false">J13-MAX(0,J13)*J14/100</f>
        <v>10734.3460773066</v>
      </c>
      <c r="K15" s="0" t="n">
        <f aca="false">K13-MAX(0,K13)*K14/100</f>
        <v>11182.295161531</v>
      </c>
      <c r="L15" s="0" t="n">
        <f aca="false">L13-MAX(0,L13)*L14/100</f>
        <v>11573.6754921845</v>
      </c>
    </row>
    <row r="16" customFormat="false" ht="15" hidden="false" customHeight="false" outlineLevel="0" collapsed="false">
      <c r="A16" s="0" t="s">
        <v>129</v>
      </c>
      <c r="C16" s="0" t="n">
        <f aca="false">-C12</f>
        <v>922.624</v>
      </c>
      <c r="D16" s="0" t="n">
        <f aca="false">-D12</f>
        <v>987.20768</v>
      </c>
      <c r="E16" s="0" t="n">
        <f aca="false">-E12</f>
        <v>1061.248256</v>
      </c>
      <c r="F16" s="0" t="n">
        <f aca="false">-F12</f>
        <v>1140.8418752</v>
      </c>
      <c r="G16" s="0" t="n">
        <f aca="false">-G12</f>
        <v>1220.700806464</v>
      </c>
      <c r="H16" s="0" t="n">
        <f aca="false">-H12</f>
        <v>1300.04635888416</v>
      </c>
      <c r="I16" s="0" t="n">
        <f aca="false">-I12</f>
        <v>1378.04914041721</v>
      </c>
      <c r="J16" s="0" t="n">
        <f aca="false">-J12</f>
        <v>1446.95159743807</v>
      </c>
      <c r="K16" s="0" t="n">
        <f aca="false">-K12</f>
        <v>1504.82966133559</v>
      </c>
      <c r="L16" s="0" t="n">
        <f aca="false">-L12</f>
        <v>1557.49869948234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-1297.44</v>
      </c>
      <c r="D17" s="4" t="n">
        <f aca="false">-D6*Assumptions!D46/100</f>
        <v>-1388.2608</v>
      </c>
      <c r="E17" s="4" t="n">
        <f aca="false">-E6*Assumptions!E46/100</f>
        <v>-1492.38036</v>
      </c>
      <c r="F17" s="4" t="n">
        <f aca="false">-F6*Assumptions!F46/100</f>
        <v>-1604.308887</v>
      </c>
      <c r="G17" s="4" t="n">
        <f aca="false">-G6*Assumptions!G46/100</f>
        <v>-1716.61050909</v>
      </c>
      <c r="H17" s="4" t="n">
        <f aca="false">-H6*Assumptions!H46/100</f>
        <v>-1828.19019218085</v>
      </c>
      <c r="I17" s="4" t="n">
        <f aca="false">-I6*Assumptions!I46/100</f>
        <v>-1937.8816037117</v>
      </c>
      <c r="J17" s="4" t="n">
        <f aca="false">-J6*Assumptions!J46/100</f>
        <v>-2034.77568389729</v>
      </c>
      <c r="K17" s="4" t="n">
        <f aca="false">-K6*Assumptions!K46/100</f>
        <v>-2116.16671125318</v>
      </c>
      <c r="L17" s="4" t="n">
        <f aca="false">-L6*Assumptions!L46/100</f>
        <v>-2190.23254614704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-244.8</v>
      </c>
      <c r="D18" s="4" t="n">
        <f aca="false">(D6-C6)*Assumptions!$B$51/100</f>
        <v>-302.736</v>
      </c>
      <c r="E18" s="4" t="n">
        <f aca="false">(E6-D6)*Assumptions!$B$51/100</f>
        <v>-347.0652</v>
      </c>
      <c r="F18" s="4" t="n">
        <f aca="false">(F6-E6)*Assumptions!$B$51/100</f>
        <v>-373.095089999999</v>
      </c>
      <c r="G18" s="4" t="n">
        <f aca="false">(G6-F6)*Assumptions!$B$51/100</f>
        <v>-374.3387403</v>
      </c>
      <c r="H18" s="4" t="n">
        <f aca="false">(H6-G6)*Assumptions!$B$51/100</f>
        <v>-371.9322769695</v>
      </c>
      <c r="I18" s="4" t="n">
        <f aca="false">(I6-H6)*Assumptions!$B$51/100</f>
        <v>-365.63803843617</v>
      </c>
      <c r="J18" s="4" t="n">
        <f aca="false">(J6-I6)*Assumptions!$B$51/100</f>
        <v>-322.980267285284</v>
      </c>
      <c r="K18" s="4" t="n">
        <f aca="false">(K6-J6)*Assumptions!$B$51/100</f>
        <v>-271.303424519638</v>
      </c>
      <c r="L18" s="4" t="n">
        <f aca="false">(L6-K6)*Assumptions!$B$51/100</f>
        <v>-246.88611631287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5596.5632</v>
      </c>
      <c r="D19" s="0" t="n">
        <f aca="false">D15+D16+D17+D18</f>
        <v>6194.324544</v>
      </c>
      <c r="E19" s="0" t="n">
        <f aca="false">E15+E16+E17+E18</f>
        <v>6867.7647404</v>
      </c>
      <c r="F19" s="0" t="n">
        <f aca="false">F15+F16+F17+F18</f>
        <v>7524.561047615</v>
      </c>
      <c r="G19" s="0" t="n">
        <f aca="false">G15+G16+G17+G18</f>
        <v>8170.566904948</v>
      </c>
      <c r="H19" s="0" t="n">
        <f aca="false">H15+H16+H17+H18</f>
        <v>8744.43968246209</v>
      </c>
      <c r="I19" s="0" t="n">
        <f aca="false">I15+I16+I17+I18</f>
        <v>9297.71623856132</v>
      </c>
      <c r="J19" s="0" t="n">
        <f aca="false">J15+J16+J17+J18</f>
        <v>9823.54172356208</v>
      </c>
      <c r="K19" s="0" t="n">
        <f aca="false">K15+K16+K17+K18</f>
        <v>10299.6546870937</v>
      </c>
      <c r="L19" s="0" t="n">
        <f aca="false">L15+L16+L17+L18</f>
        <v>10694.055529207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0.924214417744917</v>
      </c>
      <c r="D20" s="0" t="n">
        <f aca="false">1/(1+$B$27/100)^D4</f>
        <v>0.854172289967576</v>
      </c>
      <c r="E20" s="0" t="n">
        <f aca="false">1/(1+$B$27/100)^E4</f>
        <v>0.789438345626225</v>
      </c>
      <c r="F20" s="0" t="n">
        <f aca="false">1/(1+$B$27/100)^F4</f>
        <v>0.729610300948452</v>
      </c>
      <c r="G20" s="0" t="n">
        <f aca="false">1/(1+$B$27/100)^G4</f>
        <v>0.674316359471767</v>
      </c>
      <c r="H20" s="0" t="n">
        <f aca="false">1/(1+$B$27/100)^H4</f>
        <v>0.623212901545071</v>
      </c>
      <c r="I20" s="0" t="n">
        <f aca="false">1/(1+$B$27/100)^I4</f>
        <v>0.575982348932598</v>
      </c>
      <c r="J20" s="0" t="n">
        <f aca="false">1/(1+$B$27/100)^J4</f>
        <v>0.532331191250091</v>
      </c>
      <c r="K20" s="0" t="n">
        <f aca="false">1/(1+$B$27/100)^K4</f>
        <v>0.49198816196866</v>
      </c>
      <c r="L20" s="0" t="n">
        <f aca="false">1/(1+$B$27/100)^L4</f>
        <v>0.454702552651257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5172.42439926063</v>
      </c>
      <c r="D21" s="0" t="n">
        <f aca="false">D19*D20</f>
        <v>5291.02038055084</v>
      </c>
      <c r="E21" s="0" t="n">
        <f aca="false">E19*E20</f>
        <v>5421.6768348115</v>
      </c>
      <c r="F21" s="0" t="n">
        <f aca="false">F19*F20</f>
        <v>5489.99725045538</v>
      </c>
      <c r="G21" s="0" t="n">
        <f aca="false">G19*G20</f>
        <v>5509.54693016504</v>
      </c>
      <c r="H21" s="0" t="n">
        <f aca="false">H19*H20</f>
        <v>5449.64762689306</v>
      </c>
      <c r="I21" s="0" t="n">
        <f aca="false">I19*I20</f>
        <v>5355.32043879531</v>
      </c>
      <c r="J21" s="0" t="n">
        <f aca="false">J19*J20</f>
        <v>5229.37766799877</v>
      </c>
      <c r="K21" s="0" t="n">
        <f aca="false">K19*K20</f>
        <v>5067.30817841514</v>
      </c>
      <c r="L21" s="0" t="n">
        <f aca="false">L19*L20</f>
        <v>4862.6143473247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8.2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52848.9340546704</v>
      </c>
    </row>
    <row r="31" customFormat="false" ht="15" hidden="false" customHeight="false" outlineLevel="0" collapsed="false">
      <c r="A31" s="0" t="s">
        <v>138</v>
      </c>
      <c r="B31" s="0" t="n">
        <f aca="false">L19</f>
        <v>10694.055529207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211824.561443907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213881.110584139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211824.561443907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96317.1688027778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149166.102857448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126956.102857448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179.417895502329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-0.200775555693665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3199.00939007132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5260.417741138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191.372993200477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91790.6432923599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55.0707423911647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91.6340080462825</v>
      </c>
      <c r="C4" s="0" t="n">
        <f aca="false">B4/Assumptions!$B$2-1</f>
        <v>-0.591812517055181</v>
      </c>
      <c r="D4" s="4" t="n">
        <f aca="false">Assumptions!$B$24</f>
        <v>0.2</v>
      </c>
      <c r="E4" s="4" t="n">
        <f aca="false">DCF_Bear!$B$43</f>
        <v>100.543626472418</v>
      </c>
      <c r="F4" s="4" t="n">
        <f aca="false">DCF_Bear!$B$47</f>
        <v>28.0217593276602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144.907629343726</v>
      </c>
      <c r="C5" s="0" t="n">
        <f aca="false">B5/Assumptions!$B$2-1</f>
        <v>-0.354502965193434</v>
      </c>
      <c r="D5" s="4" t="n">
        <f aca="false">Assumptions!$B$38</f>
        <v>0.5</v>
      </c>
      <c r="E5" s="4" t="n">
        <f aca="false">DCF_Base!$B$43</f>
        <v>155.596290475428</v>
      </c>
      <c r="F5" s="4" t="n">
        <f aca="false">DCF_Base!$B$47</f>
        <v>42.7741909653134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179.417895502329</v>
      </c>
      <c r="C6" s="0" t="n">
        <f aca="false">B6/Assumptions!$B$2-1</f>
        <v>-0.200775555693665</v>
      </c>
      <c r="D6" s="4" t="n">
        <f aca="false">Assumptions!$B$52</f>
        <v>0.3</v>
      </c>
      <c r="E6" s="4" t="n">
        <f aca="false">DCF_Bull!$B$43</f>
        <v>191.372993200477</v>
      </c>
      <c r="F6" s="4" t="n">
        <f aca="false">DCF_Bull!$B$47</f>
        <v>55.0707423911647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144.605984931818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155.318768492341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-0.552425372337438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745.688686949324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43.5126700655381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144.907629343726</v>
      </c>
      <c r="C15" s="3" t="n">
        <v>8.2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120.791732902906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98.4286852070938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81.6840028374016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68.6832777523413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42.7741909653134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6.2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175.842135534358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175.842135534358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175.842135534358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175.842135534358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175.842135534358</v>
      </c>
    </row>
    <row r="25" customFormat="false" ht="15" hidden="false" customHeight="false" outlineLevel="0" collapsed="false">
      <c r="A25" s="3" t="n">
        <v>7.2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157.832695799721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160.198559369906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160.198559369906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160.198559369906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160.198559369906</v>
      </c>
    </row>
    <row r="26" customFormat="false" ht="15" hidden="false" customHeight="false" outlineLevel="0" collapsed="false">
      <c r="A26" s="3" t="n">
        <v>8.2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126.094089458085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134.675704142763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144.907629343726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145.985669522016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145.985669522016</v>
      </c>
    </row>
    <row r="27" customFormat="false" ht="15" hidden="false" customHeight="false" outlineLevel="0" collapsed="false">
      <c r="A27" s="3" t="n">
        <v>9.2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103.231184809511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109.018403025634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115.739043534681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123.638743782158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133.057617154149</v>
      </c>
    </row>
    <row r="28" customFormat="false" ht="15" hidden="false" customHeight="false" outlineLevel="0" collapsed="false">
      <c r="A28" s="3" t="n">
        <v>10.2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85.9930108579553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90.0662693787323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94.7052582496171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100.036633519141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106.227908025686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2026-09-26T01:30:24Z</dcterms:created>
  <dc:creator>openpyxl</dc:creator>
  <dc:description/>
  <dc:language>en-NZ</dc:language>
  <cp:lastModifiedBy/>
  <dcterms:modified xsi:type="dcterms:W3CDTF">2026-09-26T01:30:24Z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