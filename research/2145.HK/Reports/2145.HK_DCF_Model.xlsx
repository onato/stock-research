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<sst xmlns="http://schemas.openxmlformats.org/spreadsheetml/2006/main" count="345" uniqueCount="161">
  <si>
    <t xml:space="preserve">Ticker</t>
  </si>
  <si>
    <t xml:space="preserve">2145.HK</t>
  </si>
  <si>
    <t xml:space="preserve">Company</t>
  </si>
  <si>
    <t xml:space="preserve">Shanghai Chicmax Cosmetic Co., Ltd.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</si>
  <si>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</si>
  <si>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</si>
  <si>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</si>
  <si>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</si>
  <si>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 close (HKEX, Friday 16:08 HKT)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</si>
  <si>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</si>
  <si>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</si>
  <si>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</si>
  <si>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</si>
  <si>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</si>
  <si>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</si>
  <si>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</si>
  <si>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</si>
  <si>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</si>
  <si>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</si>
  <si>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</si>
  <si>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</si>
  <si>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</si>
  <si>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2026-10-17T03:47:42Z</t>
  </si>
  <si>
    <t xml:space="preserve">Drivers file</t>
  </si>
  <si>
    <t xml:space="preserve">2145.HK_Drivers.json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</si>
  <si>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</si>
  <si>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</si>
  <si>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</si>
  <si>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normalisation, not peak extrapolation. FY2025's 17% EBITDA margin and +35% revenue were bought with a 42% rise in marketing spend; H1 FY2026 showed what happens when that spend stops converting. The base case values Chicmax as a ~14%-margin, low-single-digit-growth C-beauty platform on a fixed-cost base enlarged by new capacity, with a 12x terminal cap appropriate to a structurally competitive, trend-driven category. Net cash is roughly offset by the new leases and the committed Yiye step-up, so value is almost entirely the operating flows.
key_risks_to_valuation: KANS revenue trajectory: each 5pp of group growth in FY2027-28 moves base value materially because the fixed-cost base (D&amp;A ~3% of revenue, up from ~1.5%) amplifies volume swings; S&amp;D intensity: the difference between a 57% and a 66% S&amp;D ratio is roughly the difference between the bull and bear margin paths; Douyin algorithm / KOL dependence and C-beauty competition (Mao Geping, Proya) plus foreign premium brands' discounting; Capital allocation: further Yiye step-up (option to RMB500m total), new factory spend, and a dividend policy that paid out &gt;50% of profit at the peak; FX: per-share values convert RMB to HKD at 1.1724; a 5% RMB move moves the HKD value 5%; Governance: founder-controlled (combined Chair/CEO, ~48% held via unlisted shares), ex-Proya strategy chief departed after ~11 months</t>
  </si>
  <si>
    <t xml:space="preserve">Data sources</t>
  </si>
  <si>
    <t xml:space="preserve">price: Yahoo Finance chart API (2145.HK) at inputs.price_as_of; 52-week range HK$20.0-99.0
financials: 2145.HK_Metrics.csv (FY2021-FY2025 annual reports, H1 FY2023-FY2026 interims) plus the H1 FY2026 interim report balance sheet and cash-flow statement (2145.HK_HalfYear_H1-2026.txt lines 2583-2665, 2803-2882) for cash, pledged deposits, FVTPL assets, borrowings, leases, NCI and D&amp;A
qualitative: 2145.HK_Analysis.json (2026-10-17): brand mix, H1 FY2026 profit warning, Yiye acquisition, third-party FY2026 consensus (~RMB8.7bn revenue, not company guidance)</t>
  </si>
  <si>
    <t xml:space="preserve">Scenario narrative: bear</t>
  </si>
  <si>
    <t xml:space="preserve">The H1 decline is structural: KANS has lost its Douyin algorithm/KOL edge to Mao Geping and foreign brands' flexible discounting, and must keep spending ~65% of revenue on S&amp;D to defend a shrinking base. Revenue falls another 4% in FY2027 and only creeps back at ~2%; EBITDA margin is stuck at 9-10% (the FY2022 trough level) with the enlarged plant under-absorbed. Dividends are cut to fund capex and the Yiye step-up, and the RMB361m of new borrowings becomes a constraint rather than a choice.</t>
  </si>
  <si>
    <t xml:space="preserve">Scenario narrative: base</t>
  </si>
  <si>
    <t xml:space="preserve">KANS's H1 FY2026 -20% is partly cyclical (a Douyin traffic-cost spike shared by Proya) and partly real share loss to Mao Geping and resurgent foreign premium brands. KANS stabilises at a lower level from 2027 while newpage and ARMIYO keep compounding, so group revenue bottoms at ~RMB8.4bn in FY2026 and regains the FY2025 peak only around FY2030. The S&amp;D ratio settles near 60%, giving a 14% mid-cycle EBITDA margin -- well below the 17% FY2025 peak -- on a fixed-cost base permanently enlarged by the new plant and lease. Capex normalises to ~3% after FY2026, so owner FCF recovers to ~RMB0.8bn by FY2029.</t>
  </si>
  <si>
    <t xml:space="preserve">Scenario narrative: bull</t>
  </si>
  <si>
    <t xml:space="preserve">Management's July-2026 KANS recovery is real: the H1 air pocket was a marketing-cycle reset (gross margin actually rose to 76.7%), newpage/ARMIYO keep growing 50%+ and diversify KANS below 60% of revenue, and the new automated capacity delivers operating leverage. Revenue grows high single digits from FY2027 and EBITDA margin returns to ~17% (FY2025 peak level) by FY2030 as S&amp;D intensity falls back toward 55-57%. C-beauty keeps taking share of the ~RMB1.1tn China market from multinationals.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</si>
  <si>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</si>
  <si>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</si>
  <si>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</si>
  <si>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</si>
  <si>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</si>
  <si>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</si>
  <si>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</si>
  <si>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</si>
  <si>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</si>
  <si>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</si>
  <si>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</si>
  <si>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</si>
  <si>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</si>
  <si>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</si>
  <si>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</si>
  <si>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</si>
  <si>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</si>
  <si>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</si>
  <si>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</si>
  <si>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</si>
  <si>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</si>
  <si>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</si>
  <si>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</si>
  <si>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</si>
  <si>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</si>
  <si>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</si>
  <si>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</si>
  <si>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ProfitForPeriodInclNCI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</si>
  <si>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</si>
  <si>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</si>
  <si>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</si>
  <si>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</si>
  <si>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</si>
  <si>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</si>
  <si>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</si>
  <si>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</si>
  <si>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</si>
  <si>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</si>
  <si>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</si>
  <si>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</si>
  <si>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</si>
  <si>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</si>
  <si>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</si>
  <si>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</si>
  <si>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</si>
  <si>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</si>
  <si>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</si>
  <si>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</si>
  <si>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</si>
  <si>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</si>
  <si>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</si>
  <si>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</si>
  <si>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</si>
  <si>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</si>
  <si>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</si>
  <si>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</si>
  <si>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</si>
  <si>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</si>
  <si>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</si>
  <si>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</si>
  <si>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</si>
  <si>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</si>
  <si>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</si>
  <si>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</si>
  <si>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</si>
  <si>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</si>
  <si>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</si>
  <si>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</si>
  <si>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</si>
  <si>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</si>
  <si>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2145.HK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</si>
  <si>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</si>
  <si>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</si>
  <si>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</si>
  <si>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</si>
  <si>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</si>
  <si>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</si>
  <si>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</si>
  <si>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</si>
  <si>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</si>
  <si>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</si>
  <si>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</si>
  <si>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</si>
  <si>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</si>
  <si>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</si>
  <si>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</si>
  <si>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</si>
  <si>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</si>
  <si>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</si>
  <si>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</si>
  <si>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</si>
  <si>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</si>
  <si>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</si>
  <si>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</si>
  <si>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</si>
  <si>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</si>
  <si>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</si>
  <si>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</si>
  <si>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</si>
  <si>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</si>
  <si>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</si>
  <si>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2145.HK owner-FCF component DCF: base case (millions, CNY)</t>
  </si>
  <si>
    <t xml:space="preserve">2145.HK owner-FCF component DCF: bull case (millions, CNY)</t>
  </si>
  <si>
    <t xml:space="preserve">2145.HK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</si>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</sst>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3618.882</v>
      </c>
      <c r="C2" s="0" t="n">
        <v>1258.243</v>
      </c>
      <c r="D2" s="0" t="n">
        <v>2360.639</v>
      </c>
      <c r="E2" s="0" t="n">
        <v>65.2312</v>
      </c>
      <c r="I2" s="0" t="n">
        <v>338.887</v>
      </c>
      <c r="J2" s="0" t="n">
        <v>9.3644</v>
      </c>
      <c r="K2" s="0" t="n">
        <v>0.94</v>
      </c>
      <c r="L2" s="0" t="n">
        <v>335.193</v>
      </c>
      <c r="M2" s="0" t="n">
        <v>63.124</v>
      </c>
      <c r="N2" s="0" t="n">
        <v>272.069</v>
      </c>
      <c r="O2" s="0" t="n">
        <v>955.038</v>
      </c>
      <c r="P2" s="0" t="n">
        <v>2274.563</v>
      </c>
      <c r="Q2" s="0" t="n">
        <v>1319.525</v>
      </c>
      <c r="R2" s="0" t="n">
        <v>190.059</v>
      </c>
      <c r="S2" s="0" t="n">
        <v>145.208</v>
      </c>
      <c r="T2" s="0" t="n">
        <v>360</v>
      </c>
      <c r="U2" s="0" t="n">
        <v>41.44</v>
      </c>
      <c r="V2" s="0" t="n">
        <v>0.56</v>
      </c>
      <c r="AA2" s="0" t="s">
        <v>18</v>
      </c>
      <c r="AB2" s="0" t="s">
        <v>14</v>
      </c>
      <c r="AC2" s="0" t="n">
        <v>338.771</v>
      </c>
    </row>
    <row r="3" customFormat="false" ht="15" hidden="false" customHeight="false" outlineLevel="0" collapsed="false">
      <c r="A3" s="0" t="s">
        <v>66</v>
      </c>
      <c r="B3" s="0" t="n">
        <v>2675.331</v>
      </c>
      <c r="C3" s="0" t="n">
        <v>975.699</v>
      </c>
      <c r="D3" s="0" t="n">
        <v>1699.632</v>
      </c>
      <c r="E3" s="0" t="n">
        <v>63.5298</v>
      </c>
      <c r="I3" s="0" t="n">
        <v>147.104</v>
      </c>
      <c r="J3" s="0" t="n">
        <v>5.4985</v>
      </c>
      <c r="K3" s="0" t="n">
        <v>0.41</v>
      </c>
      <c r="L3" s="0" t="n">
        <v>36.561</v>
      </c>
      <c r="M3" s="0" t="n">
        <v>54.328</v>
      </c>
      <c r="N3" s="0" t="n">
        <v>-17.767</v>
      </c>
      <c r="O3" s="0" t="n">
        <v>1706.645</v>
      </c>
      <c r="P3" s="0" t="n">
        <v>3145.667</v>
      </c>
      <c r="Q3" s="0" t="n">
        <v>1439.022</v>
      </c>
      <c r="R3" s="0" t="n">
        <v>650.367</v>
      </c>
      <c r="S3" s="0" t="n">
        <v>1147.708</v>
      </c>
      <c r="T3" s="0" t="n">
        <v>396.958</v>
      </c>
      <c r="U3" s="0" t="n">
        <v>-0.886</v>
      </c>
      <c r="V3" s="0" t="n">
        <v>0.25</v>
      </c>
      <c r="AA3" s="0" t="s">
        <v>18</v>
      </c>
      <c r="AB3" s="0" t="s">
        <v>14</v>
      </c>
      <c r="AC3" s="0" t="n">
        <v>137.08</v>
      </c>
    </row>
    <row r="4" customFormat="false" ht="15" hidden="false" customHeight="false" outlineLevel="0" collapsed="false">
      <c r="A4" s="0" t="s">
        <v>67</v>
      </c>
      <c r="B4" s="0" t="n">
        <v>4190.727</v>
      </c>
      <c r="C4" s="0" t="n">
        <v>1171.275</v>
      </c>
      <c r="D4" s="0" t="n">
        <v>3019.452</v>
      </c>
      <c r="E4" s="0" t="n">
        <v>72.0508</v>
      </c>
      <c r="I4" s="0" t="n">
        <v>461.104</v>
      </c>
      <c r="J4" s="0" t="n">
        <v>11.003</v>
      </c>
      <c r="K4" s="0" t="n">
        <v>1.16</v>
      </c>
      <c r="L4" s="0" t="n">
        <v>746.164</v>
      </c>
      <c r="M4" s="0" t="n">
        <v>87.834</v>
      </c>
      <c r="N4" s="0" t="n">
        <v>658.33</v>
      </c>
      <c r="O4" s="0" t="n">
        <v>2029.227</v>
      </c>
      <c r="P4" s="0" t="n">
        <v>3128.827</v>
      </c>
      <c r="Q4" s="0" t="n">
        <v>1099.6</v>
      </c>
      <c r="R4" s="0" t="n">
        <v>100.008</v>
      </c>
      <c r="S4" s="0" t="n">
        <v>697.689</v>
      </c>
      <c r="T4" s="0" t="n">
        <v>397.958</v>
      </c>
      <c r="U4" s="0" t="n">
        <v>4.975</v>
      </c>
      <c r="V4" s="0" t="n">
        <v>0.95</v>
      </c>
      <c r="AA4" s="0" t="s">
        <v>18</v>
      </c>
      <c r="AB4" s="0" t="s">
        <v>14</v>
      </c>
      <c r="AC4" s="0" t="n">
        <v>461.663</v>
      </c>
    </row>
    <row r="5" customFormat="false" ht="15" hidden="false" customHeight="false" outlineLevel="0" collapsed="false">
      <c r="A5" s="0" t="s">
        <v>68</v>
      </c>
      <c r="B5" s="0" t="n">
        <v>6792.518</v>
      </c>
      <c r="C5" s="0" t="n">
        <v>1683.131</v>
      </c>
      <c r="D5" s="0" t="n">
        <v>5109.387</v>
      </c>
      <c r="E5" s="0" t="n">
        <v>75.2208</v>
      </c>
      <c r="I5" s="0" t="n">
        <v>781.205</v>
      </c>
      <c r="J5" s="0" t="n">
        <v>11.501</v>
      </c>
      <c r="K5" s="0" t="n">
        <v>1.96</v>
      </c>
      <c r="L5" s="0" t="n">
        <v>546.952</v>
      </c>
      <c r="M5" s="0" t="n">
        <v>233.368</v>
      </c>
      <c r="N5" s="0" t="n">
        <v>313.584</v>
      </c>
      <c r="O5" s="0" t="n">
        <v>2234.67</v>
      </c>
      <c r="P5" s="0" t="n">
        <v>3596.597</v>
      </c>
      <c r="Q5" s="0" t="n">
        <v>1361.927</v>
      </c>
      <c r="R5" s="0" t="n">
        <v>60.08</v>
      </c>
      <c r="S5" s="0" t="n">
        <v>459.449</v>
      </c>
      <c r="T5" s="0" t="n">
        <v>398.025</v>
      </c>
      <c r="U5" s="0" t="n">
        <v>6.549</v>
      </c>
      <c r="V5" s="0" t="n">
        <v>1.5</v>
      </c>
      <c r="AA5" s="0" t="s">
        <v>18</v>
      </c>
      <c r="AB5" s="0" t="s">
        <v>14</v>
      </c>
      <c r="AC5" s="0" t="n">
        <v>803.297</v>
      </c>
    </row>
    <row r="6" customFormat="false" ht="15" hidden="false" customHeight="false" outlineLevel="0" collapsed="false">
      <c r="A6" s="0" t="s">
        <v>69</v>
      </c>
      <c r="B6" s="0" t="n">
        <v>9177.796</v>
      </c>
      <c r="C6" s="0" t="n">
        <v>2163.141</v>
      </c>
      <c r="D6" s="0" t="n">
        <v>7014.655</v>
      </c>
      <c r="E6" s="0" t="n">
        <v>76.4307</v>
      </c>
      <c r="I6" s="0" t="n">
        <v>1102.574</v>
      </c>
      <c r="J6" s="0" t="n">
        <v>12.0135</v>
      </c>
      <c r="K6" s="0" t="n">
        <v>2.77</v>
      </c>
      <c r="L6" s="0" t="n">
        <v>1205.198</v>
      </c>
      <c r="M6" s="0" t="n">
        <v>514.11</v>
      </c>
      <c r="N6" s="0" t="n">
        <v>691.088</v>
      </c>
      <c r="O6" s="0" t="n">
        <v>2874.504</v>
      </c>
      <c r="P6" s="0" t="n">
        <v>4967.34</v>
      </c>
      <c r="Q6" s="0" t="n">
        <v>2092.836</v>
      </c>
      <c r="R6" s="0" t="n">
        <v>290.064</v>
      </c>
      <c r="S6" s="0" t="n">
        <v>802.308</v>
      </c>
      <c r="T6" s="0" t="n">
        <v>398.107</v>
      </c>
      <c r="U6" s="0" t="n">
        <v>8.783</v>
      </c>
      <c r="V6" s="0" t="n">
        <v>1.25</v>
      </c>
      <c r="AA6" s="0" t="s">
        <v>18</v>
      </c>
      <c r="AB6" s="0" t="s">
        <v>14</v>
      </c>
      <c r="AC6" s="0" t="n">
        <v>1154.213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70</v>
      </c>
      <c r="B1" s="2" t="s">
        <v>71</v>
      </c>
    </row>
    <row r="2" customFormat="false" ht="15" hidden="false" customHeight="false" outlineLevel="0" collapsed="false">
      <c r="A2" s="0" t="s">
        <v>72</v>
      </c>
      <c r="B2" s="3" t="n">
        <v>22</v>
      </c>
    </row>
    <row r="3" customFormat="false" ht="15" hidden="false" customHeight="false" outlineLevel="0" collapsed="false">
      <c r="A3" s="0" t="s">
        <v>73</v>
      </c>
      <c r="B3" s="3" t="n">
        <v>398.128</v>
      </c>
    </row>
    <row r="4" customFormat="false" ht="15" hidden="false" customHeight="false" outlineLevel="0" collapsed="false">
      <c r="A4" s="0" t="s">
        <v>74</v>
      </c>
      <c r="B4" s="3" t="n">
        <v>4.9</v>
      </c>
    </row>
    <row r="5" customFormat="false" ht="15" hidden="false" customHeight="false" outlineLevel="0" collapsed="false">
      <c r="A5" s="0" t="s">
        <v>75</v>
      </c>
      <c r="B5" s="3" t="n">
        <v>-237.1</v>
      </c>
    </row>
    <row r="6" customFormat="false" ht="15" hidden="false" customHeight="false" outlineLevel="0" collapsed="false">
      <c r="A6" s="0" t="s">
        <v>76</v>
      </c>
      <c r="B6" s="3" t="n">
        <v>15</v>
      </c>
    </row>
    <row r="7" customFormat="false" ht="15" hidden="false" customHeight="false" outlineLevel="0" collapsed="false">
      <c r="A7" s="0" t="s">
        <v>77</v>
      </c>
      <c r="B7" s="3" t="n">
        <v>9177.796</v>
      </c>
    </row>
    <row r="8" customFormat="false" ht="15" hidden="false" customHeight="false" outlineLevel="0" collapsed="false">
      <c r="A8" s="0" t="s">
        <v>78</v>
      </c>
      <c r="B8" s="3" t="s">
        <v>69</v>
      </c>
    </row>
    <row r="9" customFormat="false" ht="15" hidden="false" customHeight="false" outlineLevel="0" collapsed="false">
      <c r="A9" s="0" t="s">
        <v>79</v>
      </c>
      <c r="B9" s="3" t="s">
        <v>80</v>
      </c>
    </row>
    <row r="10" customFormat="false" ht="15" hidden="false" customHeight="false" outlineLevel="0" collapsed="false">
      <c r="A10" s="0" t="s">
        <v>81</v>
      </c>
      <c r="B10" s="3" t="n">
        <v>1.1724</v>
      </c>
    </row>
    <row r="12" customFormat="false" ht="15" hidden="false" customHeight="false" outlineLevel="0" collapsed="false">
      <c r="A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90</v>
      </c>
      <c r="K12" s="2" t="s">
        <v>91</v>
      </c>
      <c r="L12" s="2" t="s">
        <v>92</v>
      </c>
    </row>
    <row r="13" customFormat="false" ht="15" hidden="false" customHeight="false" outlineLevel="0" collapsed="false">
      <c r="A13" s="0" t="s">
        <v>93</v>
      </c>
      <c r="C13" s="3" t="n">
        <v>-11</v>
      </c>
      <c r="D13" s="3" t="n">
        <v>-4</v>
      </c>
      <c r="E13" s="3" t="n">
        <v>0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94</v>
      </c>
      <c r="C14" s="3" t="n">
        <v>9</v>
      </c>
      <c r="D14" s="3" t="n">
        <v>9.5</v>
      </c>
      <c r="E14" s="3" t="n">
        <v>10</v>
      </c>
      <c r="F14" s="3" t="n">
        <v>10</v>
      </c>
      <c r="G14" s="3" t="n">
        <v>10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95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96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97</v>
      </c>
      <c r="C17" s="3" t="n">
        <v>3.3</v>
      </c>
      <c r="D17" s="3" t="n">
        <v>3.4</v>
      </c>
      <c r="E17" s="3" t="n">
        <v>3.3</v>
      </c>
      <c r="F17" s="3" t="n">
        <v>3.2</v>
      </c>
      <c r="G17" s="3" t="n">
        <v>3.1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98</v>
      </c>
      <c r="C18" s="3" t="n">
        <v>4.8</v>
      </c>
      <c r="D18" s="3" t="n">
        <v>3.5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99</v>
      </c>
      <c r="C19" s="3" t="n">
        <v>22.5</v>
      </c>
      <c r="D19" s="3" t="n">
        <v>22.5</v>
      </c>
      <c r="E19" s="3" t="n">
        <v>22.5</v>
      </c>
      <c r="F19" s="3" t="n">
        <v>22.5</v>
      </c>
      <c r="G19" s="3" t="n">
        <v>22.5</v>
      </c>
      <c r="H19" s="3" t="n">
        <v>22.5</v>
      </c>
      <c r="I19" s="3" t="n">
        <v>22.5</v>
      </c>
      <c r="J19" s="3" t="n">
        <v>22.5</v>
      </c>
      <c r="K19" s="3" t="n">
        <v>22.5</v>
      </c>
      <c r="L19" s="3" t="n">
        <v>22.5</v>
      </c>
    </row>
    <row r="20" customFormat="false" ht="15" hidden="false" customHeight="false" outlineLevel="0" collapsed="false">
      <c r="A20" s="0" t="s">
        <v>100</v>
      </c>
      <c r="B20" s="3" t="n">
        <v>10</v>
      </c>
    </row>
    <row r="21" customFormat="false" ht="15" hidden="false" customHeight="false" outlineLevel="0" collapsed="false">
      <c r="A21" s="0" t="s">
        <v>101</v>
      </c>
      <c r="B21" s="3" t="n">
        <v>1.5</v>
      </c>
    </row>
    <row r="22" customFormat="false" ht="15" hidden="false" customHeight="false" outlineLevel="0" collapsed="false">
      <c r="A22" s="0" t="s">
        <v>102</v>
      </c>
      <c r="B22" s="3" t="n">
        <v>12</v>
      </c>
    </row>
    <row r="23" customFormat="false" ht="15" hidden="false" customHeight="false" outlineLevel="0" collapsed="false">
      <c r="A23" s="0" t="s">
        <v>103</v>
      </c>
      <c r="B23" s="3" t="n">
        <v>-8</v>
      </c>
    </row>
    <row r="24" customFormat="false" ht="15" hidden="false" customHeight="false" outlineLevel="0" collapsed="false">
      <c r="A24" s="0" t="s">
        <v>104</v>
      </c>
      <c r="B24" s="3" t="n">
        <v>0.3</v>
      </c>
    </row>
    <row r="26" customFormat="false" ht="15" hidden="false" customHeight="false" outlineLevel="0" collapsed="false">
      <c r="A26" s="2" t="s">
        <v>105</v>
      </c>
      <c r="C26" s="2" t="s">
        <v>83</v>
      </c>
      <c r="D26" s="2" t="s">
        <v>84</v>
      </c>
      <c r="E26" s="2" t="s">
        <v>85</v>
      </c>
      <c r="F26" s="2" t="s">
        <v>86</v>
      </c>
      <c r="G26" s="2" t="s">
        <v>87</v>
      </c>
      <c r="H26" s="2" t="s">
        <v>88</v>
      </c>
      <c r="I26" s="2" t="s">
        <v>89</v>
      </c>
      <c r="J26" s="2" t="s">
        <v>90</v>
      </c>
      <c r="K26" s="2" t="s">
        <v>91</v>
      </c>
      <c r="L26" s="2" t="s">
        <v>92</v>
      </c>
    </row>
    <row r="27" customFormat="false" ht="15" hidden="false" customHeight="false" outlineLevel="0" collapsed="false">
      <c r="A27" s="0" t="s">
        <v>93</v>
      </c>
      <c r="C27" s="3" t="n">
        <v>-8</v>
      </c>
      <c r="D27" s="3" t="n">
        <v>3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94</v>
      </c>
      <c r="C28" s="3" t="n">
        <v>10</v>
      </c>
      <c r="D28" s="3" t="n">
        <v>12</v>
      </c>
      <c r="E28" s="3" t="n">
        <v>13.5</v>
      </c>
      <c r="F28" s="3" t="n">
        <v>14</v>
      </c>
      <c r="G28" s="3" t="n">
        <v>14</v>
      </c>
      <c r="H28" s="3" t="n">
        <v>14</v>
      </c>
      <c r="I28" s="3" t="n">
        <v>14</v>
      </c>
      <c r="J28" s="3" t="n">
        <v>14</v>
      </c>
      <c r="K28" s="3" t="n">
        <v>14</v>
      </c>
      <c r="L28" s="3" t="n">
        <v>14</v>
      </c>
    </row>
    <row r="29" customFormat="false" ht="15" hidden="false" customHeight="false" outlineLevel="0" collapsed="false">
      <c r="A29" s="0" t="s">
        <v>95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96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97</v>
      </c>
      <c r="C31" s="3" t="n">
        <v>3.2</v>
      </c>
      <c r="D31" s="3" t="n">
        <v>3.1</v>
      </c>
      <c r="E31" s="3" t="n">
        <v>3</v>
      </c>
      <c r="F31" s="3" t="n">
        <v>2.9</v>
      </c>
      <c r="G31" s="3" t="n">
        <v>2.9</v>
      </c>
      <c r="H31" s="3" t="n">
        <v>2.8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98</v>
      </c>
      <c r="C32" s="3" t="n">
        <v>4.8</v>
      </c>
      <c r="D32" s="3" t="n">
        <v>3.8</v>
      </c>
      <c r="E32" s="3" t="n">
        <v>3.2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99</v>
      </c>
      <c r="C33" s="3" t="n">
        <v>22.5</v>
      </c>
      <c r="D33" s="3" t="n">
        <v>22.5</v>
      </c>
      <c r="E33" s="3" t="n">
        <v>22.5</v>
      </c>
      <c r="F33" s="3" t="n">
        <v>22.5</v>
      </c>
      <c r="G33" s="3" t="n">
        <v>22.5</v>
      </c>
      <c r="H33" s="3" t="n">
        <v>22.5</v>
      </c>
      <c r="I33" s="3" t="n">
        <v>22.5</v>
      </c>
      <c r="J33" s="3" t="n">
        <v>22.5</v>
      </c>
      <c r="K33" s="3" t="n">
        <v>22.5</v>
      </c>
      <c r="L33" s="3" t="n">
        <v>22.5</v>
      </c>
    </row>
    <row r="34" customFormat="false" ht="15" hidden="false" customHeight="false" outlineLevel="0" collapsed="false">
      <c r="A34" s="0" t="s">
        <v>100</v>
      </c>
      <c r="B34" s="3" t="n">
        <v>10</v>
      </c>
    </row>
    <row r="35" customFormat="false" ht="15" hidden="false" customHeight="false" outlineLevel="0" collapsed="false">
      <c r="A35" s="0" t="s">
        <v>101</v>
      </c>
      <c r="B35" s="3" t="n">
        <v>2</v>
      </c>
    </row>
    <row r="36" customFormat="false" ht="15" hidden="false" customHeight="false" outlineLevel="0" collapsed="false">
      <c r="A36" s="0" t="s">
        <v>102</v>
      </c>
      <c r="B36" s="3" t="n">
        <v>12</v>
      </c>
    </row>
    <row r="37" customFormat="false" ht="15" hidden="false" customHeight="false" outlineLevel="0" collapsed="false">
      <c r="A37" s="0" t="s">
        <v>103</v>
      </c>
      <c r="B37" s="3" t="n">
        <v>-8</v>
      </c>
    </row>
    <row r="38" customFormat="false" ht="15" hidden="false" customHeight="false" outlineLevel="0" collapsed="false">
      <c r="A38" s="0" t="s">
        <v>104</v>
      </c>
      <c r="B38" s="3" t="n">
        <v>0.5</v>
      </c>
    </row>
    <row r="40" customFormat="false" ht="15" hidden="false" customHeight="false" outlineLevel="0" collapsed="false">
      <c r="A40" s="2" t="s">
        <v>106</v>
      </c>
      <c r="C40" s="2" t="s">
        <v>83</v>
      </c>
      <c r="D40" s="2" t="s">
        <v>84</v>
      </c>
      <c r="E40" s="2" t="s">
        <v>85</v>
      </c>
      <c r="F40" s="2" t="s">
        <v>86</v>
      </c>
      <c r="G40" s="2" t="s">
        <v>87</v>
      </c>
      <c r="H40" s="2" t="s">
        <v>88</v>
      </c>
      <c r="I40" s="2" t="s">
        <v>89</v>
      </c>
      <c r="J40" s="2" t="s">
        <v>90</v>
      </c>
      <c r="K40" s="2" t="s">
        <v>91</v>
      </c>
      <c r="L40" s="2" t="s">
        <v>92</v>
      </c>
    </row>
    <row r="41" customFormat="false" ht="15" hidden="false" customHeight="false" outlineLevel="0" collapsed="false">
      <c r="A41" s="0" t="s">
        <v>93</v>
      </c>
      <c r="C41" s="3" t="n">
        <v>-6</v>
      </c>
      <c r="D41" s="3" t="n">
        <v>9</v>
      </c>
      <c r="E41" s="3" t="n">
        <v>9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94</v>
      </c>
      <c r="C42" s="3" t="n">
        <v>11</v>
      </c>
      <c r="D42" s="3" t="n">
        <v>14</v>
      </c>
      <c r="E42" s="3" t="n">
        <v>15.5</v>
      </c>
      <c r="F42" s="3" t="n">
        <v>16.5</v>
      </c>
      <c r="G42" s="3" t="n">
        <v>17</v>
      </c>
      <c r="H42" s="3" t="n">
        <v>17</v>
      </c>
      <c r="I42" s="3" t="n">
        <v>17</v>
      </c>
      <c r="J42" s="3" t="n">
        <v>17</v>
      </c>
      <c r="K42" s="3" t="n">
        <v>17</v>
      </c>
      <c r="L42" s="3" t="n">
        <v>17</v>
      </c>
    </row>
    <row r="43" customFormat="false" ht="15" hidden="false" customHeight="false" outlineLevel="0" collapsed="false">
      <c r="A43" s="0" t="s">
        <v>95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96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97</v>
      </c>
      <c r="C45" s="3" t="n">
        <v>3.2</v>
      </c>
      <c r="D45" s="3" t="n">
        <v>3</v>
      </c>
      <c r="E45" s="3" t="n">
        <v>2.8</v>
      </c>
      <c r="F45" s="3" t="n">
        <v>2.7</v>
      </c>
      <c r="G45" s="3" t="n">
        <v>2.6</v>
      </c>
      <c r="H45" s="3" t="n">
        <v>2.6</v>
      </c>
      <c r="I45" s="3" t="n">
        <v>2.6</v>
      </c>
      <c r="J45" s="3" t="n">
        <v>2.6</v>
      </c>
      <c r="K45" s="3" t="n">
        <v>2.6</v>
      </c>
      <c r="L45" s="3" t="n">
        <v>2.6</v>
      </c>
    </row>
    <row r="46" customFormat="false" ht="15" hidden="false" customHeight="false" outlineLevel="0" collapsed="false">
      <c r="A46" s="0" t="s">
        <v>98</v>
      </c>
      <c r="C46" s="3" t="n">
        <v>4.8</v>
      </c>
      <c r="D46" s="3" t="n">
        <v>3.8</v>
      </c>
      <c r="E46" s="3" t="n">
        <v>3.4</v>
      </c>
      <c r="F46" s="3" t="n">
        <v>3.2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99</v>
      </c>
      <c r="C47" s="3" t="n">
        <v>22.5</v>
      </c>
      <c r="D47" s="3" t="n">
        <v>22.5</v>
      </c>
      <c r="E47" s="3" t="n">
        <v>22.5</v>
      </c>
      <c r="F47" s="3" t="n">
        <v>22.5</v>
      </c>
      <c r="G47" s="3" t="n">
        <v>22.5</v>
      </c>
      <c r="H47" s="3" t="n">
        <v>22.5</v>
      </c>
      <c r="I47" s="3" t="n">
        <v>22.5</v>
      </c>
      <c r="J47" s="3" t="n">
        <v>22.5</v>
      </c>
      <c r="K47" s="3" t="n">
        <v>22.5</v>
      </c>
      <c r="L47" s="3" t="n">
        <v>22.5</v>
      </c>
    </row>
    <row r="48" customFormat="false" ht="15" hidden="false" customHeight="false" outlineLevel="0" collapsed="false">
      <c r="A48" s="0" t="s">
        <v>100</v>
      </c>
      <c r="B48" s="3" t="n">
        <v>10</v>
      </c>
    </row>
    <row r="49" customFormat="false" ht="15" hidden="false" customHeight="false" outlineLevel="0" collapsed="false">
      <c r="A49" s="0" t="s">
        <v>101</v>
      </c>
      <c r="B49" s="3" t="n">
        <v>2.5</v>
      </c>
    </row>
    <row r="50" customFormat="false" ht="15" hidden="false" customHeight="false" outlineLevel="0" collapsed="false">
      <c r="A50" s="0" t="s">
        <v>102</v>
      </c>
      <c r="B50" s="3" t="n">
        <v>12</v>
      </c>
    </row>
    <row r="51" customFormat="false" ht="15" hidden="false" customHeight="false" outlineLevel="0" collapsed="false">
      <c r="A51" s="0" t="s">
        <v>103</v>
      </c>
      <c r="B51" s="3" t="n">
        <v>-8</v>
      </c>
    </row>
    <row r="52" customFormat="false" ht="15" hidden="false" customHeight="false" outlineLevel="0" collapsed="false">
      <c r="A52" s="0" t="s">
        <v>104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107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Assumptions!C13</f>
        <v>-11</v>
      </c>
      <c r="D5" s="4" t="n">
        <f aca="false">Assumptions!D13</f>
        <v>-4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9177.796</v>
      </c>
      <c r="C6" s="0" t="n">
        <f aca="false">B6*(1+C5/100)</f>
        <v>8168.23844</v>
      </c>
      <c r="D6" s="0" t="n">
        <f aca="false">C6*(1+D5/100)</f>
        <v>7841.5089024</v>
      </c>
      <c r="E6" s="0" t="n">
        <f aca="false">D6*(1+E5/100)</f>
        <v>7841.5089024</v>
      </c>
      <c r="F6" s="0" t="n">
        <f aca="false">E6*(1+F5/100)</f>
        <v>7998.339080448</v>
      </c>
      <c r="G6" s="0" t="n">
        <f aca="false">F6*(1+G5/100)</f>
        <v>8158.30586205696</v>
      </c>
      <c r="H6" s="0" t="n">
        <f aca="false">G6*(1+H5/100)</f>
        <v>8321.4719792981</v>
      </c>
      <c r="I6" s="0" t="n">
        <f aca="false">H6*(1+I5/100)</f>
        <v>8487.90141888406</v>
      </c>
      <c r="J6" s="0" t="n">
        <f aca="false">I6*(1+J5/100)</f>
        <v>8615.21994016732</v>
      </c>
      <c r="K6" s="0" t="n">
        <f aca="false">J6*(1+K5/100)</f>
        <v>8744.44823926983</v>
      </c>
      <c r="L6" s="0" t="n">
        <f aca="false">K6*(1+L5/100)</f>
        <v>8875.61496285888</v>
      </c>
    </row>
    <row r="7" customFormat="false" ht="15" hidden="false" customHeight="false" outlineLevel="0" collapsed="false">
      <c r="A7" s="0" t="s">
        <v>94</v>
      </c>
      <c r="C7" s="4" t="n">
        <f aca="false">Assumptions!C14</f>
        <v>9</v>
      </c>
      <c r="D7" s="4" t="n">
        <f aca="false">Assumptions!D14</f>
        <v>9.5</v>
      </c>
      <c r="E7" s="4" t="n">
        <f aca="false">Assumptions!E14</f>
        <v>10</v>
      </c>
      <c r="F7" s="4" t="n">
        <f aca="false">Assumptions!F14</f>
        <v>10</v>
      </c>
      <c r="G7" s="4" t="n">
        <f aca="false">Assumptions!G14</f>
        <v>10</v>
      </c>
      <c r="H7" s="4" t="n">
        <f aca="false">Assumptions!H14</f>
        <v>10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44</v>
      </c>
      <c r="C8" s="0" t="n">
        <f aca="false">C6*C7/100</f>
        <v>735.1414596</v>
      </c>
      <c r="D8" s="0" t="n">
        <f aca="false">D6*D7/100</f>
        <v>744.943345728</v>
      </c>
      <c r="E8" s="0" t="n">
        <f aca="false">E6*E7/100</f>
        <v>784.15089024</v>
      </c>
      <c r="F8" s="0" t="n">
        <f aca="false">F6*F7/100</f>
        <v>799.8339080448</v>
      </c>
      <c r="G8" s="0" t="n">
        <f aca="false">G6*G7/100</f>
        <v>815.830586205696</v>
      </c>
      <c r="H8" s="0" t="n">
        <f aca="false">H6*H7/100</f>
        <v>832.14719792981</v>
      </c>
      <c r="I8" s="0" t="n">
        <f aca="false">I6*I7/100</f>
        <v>848.790141888406</v>
      </c>
      <c r="J8" s="0" t="n">
        <f aca="false">J6*J7/100</f>
        <v>861.521994016732</v>
      </c>
      <c r="K8" s="0" t="n">
        <f aca="false">K6*K7/100</f>
        <v>874.444823926983</v>
      </c>
      <c r="L8" s="0" t="n">
        <f aca="false">L6*L7/100</f>
        <v>887.561496285888</v>
      </c>
    </row>
    <row r="9" customFormat="false" ht="15" hidden="false" customHeight="false" outlineLevel="0" collapsed="false">
      <c r="A9" s="0" t="s">
        <v>95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-8.16823844</v>
      </c>
      <c r="D10" s="0" t="n">
        <f aca="false">-D6*D9/100</f>
        <v>-7.8415089024</v>
      </c>
      <c r="E10" s="0" t="n">
        <f aca="false">-E6*E9/100</f>
        <v>-7.8415089024</v>
      </c>
      <c r="F10" s="0" t="n">
        <f aca="false">-F6*F9/100</f>
        <v>-7.998339080448</v>
      </c>
      <c r="G10" s="0" t="n">
        <f aca="false">-G6*G9/100</f>
        <v>-8.15830586205696</v>
      </c>
      <c r="H10" s="0" t="n">
        <f aca="false">-H6*H9/100</f>
        <v>-8.3214719792981</v>
      </c>
      <c r="I10" s="0" t="n">
        <f aca="false">-I6*I9/100</f>
        <v>-8.48790141888406</v>
      </c>
      <c r="J10" s="0" t="n">
        <f aca="false">-J6*J9/100</f>
        <v>-8.61521994016732</v>
      </c>
      <c r="K10" s="0" t="n">
        <f aca="false">-K6*K9/100</f>
        <v>-8.74444823926983</v>
      </c>
      <c r="L10" s="0" t="n">
        <f aca="false">-L6*L9/100</f>
        <v>-8.87561496285888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726.97322116</v>
      </c>
      <c r="D11" s="0" t="n">
        <f aca="false">D8+D10+D24</f>
        <v>737.1018368256</v>
      </c>
      <c r="E11" s="0" t="n">
        <f aca="false">E8+E10+E24</f>
        <v>776.3093813376</v>
      </c>
      <c r="F11" s="0" t="n">
        <f aca="false">F8+F10+F24</f>
        <v>791.835568964352</v>
      </c>
      <c r="G11" s="0" t="n">
        <f aca="false">G8+G10+G24</f>
        <v>807.672280343639</v>
      </c>
      <c r="H11" s="0" t="n">
        <f aca="false">H8+H10+H24</f>
        <v>823.825725950512</v>
      </c>
      <c r="I11" s="0" t="n">
        <f aca="false">I8+I10+I24</f>
        <v>840.302240469522</v>
      </c>
      <c r="J11" s="0" t="n">
        <f aca="false">J8+J10+J24</f>
        <v>852.906774076565</v>
      </c>
      <c r="K11" s="0" t="n">
        <f aca="false">K8+K10+K24</f>
        <v>865.700375687713</v>
      </c>
      <c r="L11" s="0" t="n">
        <f aca="false">L8+L10+L24</f>
        <v>878.685881323029</v>
      </c>
    </row>
    <row r="12" customFormat="false" ht="15" hidden="false" customHeight="false" outlineLevel="0" collapsed="false">
      <c r="A12" s="0" t="s">
        <v>112</v>
      </c>
      <c r="C12" s="4" t="n">
        <f aca="false">-C6*Assumptions!C17/100</f>
        <v>-269.55186852</v>
      </c>
      <c r="D12" s="4" t="n">
        <f aca="false">-D6*Assumptions!D17/100</f>
        <v>-266.6113026816</v>
      </c>
      <c r="E12" s="4" t="n">
        <f aca="false">-E6*Assumptions!E17/100</f>
        <v>-258.7697937792</v>
      </c>
      <c r="F12" s="4" t="n">
        <f aca="false">-F6*Assumptions!F17/100</f>
        <v>-255.946850574336</v>
      </c>
      <c r="G12" s="4" t="n">
        <f aca="false">-G6*Assumptions!G17/100</f>
        <v>-252.907481723766</v>
      </c>
      <c r="H12" s="4" t="n">
        <f aca="false">-H6*Assumptions!H17/100</f>
        <v>-249.644159378943</v>
      </c>
      <c r="I12" s="4" t="n">
        <f aca="false">-I6*Assumptions!I17/100</f>
        <v>-254.637042566522</v>
      </c>
      <c r="J12" s="4" t="n">
        <f aca="false">-J6*Assumptions!J17/100</f>
        <v>-258.45659820502</v>
      </c>
      <c r="K12" s="4" t="n">
        <f aca="false">-K6*Assumptions!K17/100</f>
        <v>-262.333447178095</v>
      </c>
      <c r="L12" s="4" t="n">
        <f aca="false">-L6*Assumptions!L17/100</f>
        <v>-266.268448885766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457.42135264</v>
      </c>
      <c r="D13" s="0" t="n">
        <f aca="false">D11+D12</f>
        <v>470.490534144</v>
      </c>
      <c r="E13" s="0" t="n">
        <f aca="false">E11+E12</f>
        <v>517.5395875584</v>
      </c>
      <c r="F13" s="0" t="n">
        <f aca="false">F11+F12</f>
        <v>535.888718390016</v>
      </c>
      <c r="G13" s="0" t="n">
        <f aca="false">G11+G12</f>
        <v>554.764798619873</v>
      </c>
      <c r="H13" s="0" t="n">
        <f aca="false">H11+H12</f>
        <v>574.181566571569</v>
      </c>
      <c r="I13" s="0" t="n">
        <f aca="false">I11+I12</f>
        <v>585.665197903</v>
      </c>
      <c r="J13" s="0" t="n">
        <f aca="false">J11+J12</f>
        <v>594.450175871545</v>
      </c>
      <c r="K13" s="0" t="n">
        <f aca="false">K11+K12</f>
        <v>603.366928509618</v>
      </c>
      <c r="L13" s="0" t="n">
        <f aca="false">L11+L12</f>
        <v>612.417432437262</v>
      </c>
    </row>
    <row r="14" customFormat="false" ht="15" hidden="false" customHeight="false" outlineLevel="0" collapsed="false">
      <c r="A14" s="0" t="s">
        <v>99</v>
      </c>
      <c r="C14" s="4" t="n">
        <f aca="false">Assumptions!C19</f>
        <v>22.5</v>
      </c>
      <c r="D14" s="4" t="n">
        <f aca="false">Assumptions!D19</f>
        <v>22.5</v>
      </c>
      <c r="E14" s="4" t="n">
        <f aca="false">Assumptions!E19</f>
        <v>22.5</v>
      </c>
      <c r="F14" s="4" t="n">
        <f aca="false">Assumptions!F19</f>
        <v>22.5</v>
      </c>
      <c r="G14" s="4" t="n">
        <f aca="false">Assumptions!G19</f>
        <v>22.5</v>
      </c>
      <c r="H14" s="4" t="n">
        <f aca="false">Assumptions!H19</f>
        <v>22.5</v>
      </c>
      <c r="I14" s="4" t="n">
        <f aca="false">Assumptions!I19</f>
        <v>22.5</v>
      </c>
      <c r="J14" s="4" t="n">
        <f aca="false">Assumptions!J19</f>
        <v>22.5</v>
      </c>
      <c r="K14" s="4" t="n">
        <f aca="false">Assumptions!K19</f>
        <v>22.5</v>
      </c>
      <c r="L14" s="4" t="n">
        <f aca="false">Assumptions!L19</f>
        <v>22.5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354.501548296</v>
      </c>
      <c r="D15" s="0" t="n">
        <f aca="false">D13-MAX(0,D13)*D14/100</f>
        <v>364.6301639616</v>
      </c>
      <c r="E15" s="0" t="n">
        <f aca="false">E13-MAX(0,E13)*E14/100</f>
        <v>401.09318035776</v>
      </c>
      <c r="F15" s="0" t="n">
        <f aca="false">F13-MAX(0,F13)*F14/100</f>
        <v>415.313756752262</v>
      </c>
      <c r="G15" s="0" t="n">
        <f aca="false">G13-MAX(0,G13)*G14/100</f>
        <v>429.942718930402</v>
      </c>
      <c r="H15" s="0" t="n">
        <f aca="false">H13-MAX(0,H13)*H14/100</f>
        <v>444.990714092966</v>
      </c>
      <c r="I15" s="0" t="n">
        <f aca="false">I13-MAX(0,I13)*I14/100</f>
        <v>453.890528374825</v>
      </c>
      <c r="J15" s="0" t="n">
        <f aca="false">J13-MAX(0,J13)*J14/100</f>
        <v>460.698886300447</v>
      </c>
      <c r="K15" s="0" t="n">
        <f aca="false">K13-MAX(0,K13)*K14/100</f>
        <v>467.609369594954</v>
      </c>
      <c r="L15" s="0" t="n">
        <f aca="false">L13-MAX(0,L13)*L14/100</f>
        <v>474.623510138878</v>
      </c>
    </row>
    <row r="16" customFormat="false" ht="15" hidden="false" customHeight="false" outlineLevel="0" collapsed="false">
      <c r="A16" s="0" t="s">
        <v>115</v>
      </c>
      <c r="C16" s="0" t="n">
        <f aca="false">-C12</f>
        <v>269.55186852</v>
      </c>
      <c r="D16" s="0" t="n">
        <f aca="false">-D12</f>
        <v>266.6113026816</v>
      </c>
      <c r="E16" s="0" t="n">
        <f aca="false">-E12</f>
        <v>258.7697937792</v>
      </c>
      <c r="F16" s="0" t="n">
        <f aca="false">-F12</f>
        <v>255.946850574336</v>
      </c>
      <c r="G16" s="0" t="n">
        <f aca="false">-G12</f>
        <v>252.907481723766</v>
      </c>
      <c r="H16" s="0" t="n">
        <f aca="false">-H12</f>
        <v>249.644159378943</v>
      </c>
      <c r="I16" s="0" t="n">
        <f aca="false">-I12</f>
        <v>254.637042566522</v>
      </c>
      <c r="J16" s="0" t="n">
        <f aca="false">-J12</f>
        <v>258.45659820502</v>
      </c>
      <c r="K16" s="0" t="n">
        <f aca="false">-K12</f>
        <v>262.333447178095</v>
      </c>
      <c r="L16" s="0" t="n">
        <f aca="false">-L12</f>
        <v>266.268448885766</v>
      </c>
    </row>
    <row r="17" customFormat="false" ht="15" hidden="false" customHeight="false" outlineLevel="0" collapsed="false">
      <c r="A17" s="0" t="s">
        <v>116</v>
      </c>
      <c r="C17" s="4" t="n">
        <f aca="false">-C6*Assumptions!C18/100</f>
        <v>-392.07544512</v>
      </c>
      <c r="D17" s="4" t="n">
        <f aca="false">-D6*Assumptions!D18/100</f>
        <v>-274.452811584</v>
      </c>
      <c r="E17" s="4" t="n">
        <f aca="false">-E6*Assumptions!E18/100</f>
        <v>-235.245267072</v>
      </c>
      <c r="F17" s="4" t="n">
        <f aca="false">-F6*Assumptions!F18/100</f>
        <v>-239.95017241344</v>
      </c>
      <c r="G17" s="4" t="n">
        <f aca="false">-G6*Assumptions!G18/100</f>
        <v>-244.749175861709</v>
      </c>
      <c r="H17" s="4" t="n">
        <f aca="false">-H6*Assumptions!H18/100</f>
        <v>-249.644159378943</v>
      </c>
      <c r="I17" s="4" t="n">
        <f aca="false">-I6*Assumptions!I18/100</f>
        <v>-254.637042566522</v>
      </c>
      <c r="J17" s="4" t="n">
        <f aca="false">-J6*Assumptions!J18/100</f>
        <v>-258.45659820502</v>
      </c>
      <c r="K17" s="4" t="n">
        <f aca="false">-K6*Assumptions!K18/100</f>
        <v>-262.333447178095</v>
      </c>
      <c r="L17" s="4" t="n">
        <f aca="false">-L6*Assumptions!L18/100</f>
        <v>-266.268448885766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(C6-B6)*Assumptions!$B$23/100</f>
        <v>80.7646048</v>
      </c>
      <c r="D18" s="4" t="n">
        <f aca="false">(D6-C6)*Assumptions!$B$23/100</f>
        <v>26.138363008</v>
      </c>
      <c r="E18" s="4" t="n">
        <f aca="false">(E6-D6)*Assumptions!$B$23/100</f>
        <v>-0</v>
      </c>
      <c r="F18" s="4" t="n">
        <f aca="false">(F6-E6)*Assumptions!$B$23/100</f>
        <v>-12.54641424384</v>
      </c>
      <c r="G18" s="4" t="n">
        <f aca="false">(G6-F6)*Assumptions!$B$23/100</f>
        <v>-12.7973425287168</v>
      </c>
      <c r="H18" s="4" t="n">
        <f aca="false">(H6-G6)*Assumptions!$B$23/100</f>
        <v>-13.0532893792911</v>
      </c>
      <c r="I18" s="4" t="n">
        <f aca="false">(I6-H6)*Assumptions!$B$23/100</f>
        <v>-13.3143551668769</v>
      </c>
      <c r="J18" s="4" t="n">
        <f aca="false">(J6-I6)*Assumptions!$B$23/100</f>
        <v>-10.1854817026608</v>
      </c>
      <c r="K18" s="4" t="n">
        <f aca="false">(K6-J6)*Assumptions!$B$23/100</f>
        <v>-10.3382639282008</v>
      </c>
      <c r="L18" s="4" t="n">
        <f aca="false">(L6-K6)*Assumptions!$B$23/100</f>
        <v>-10.4933378871238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312.742576496</v>
      </c>
      <c r="D19" s="0" t="n">
        <f aca="false">D15+D16+D17+D18</f>
        <v>382.9270180672</v>
      </c>
      <c r="E19" s="0" t="n">
        <f aca="false">E15+E16+E17+E18</f>
        <v>424.61770706496</v>
      </c>
      <c r="F19" s="0" t="n">
        <f aca="false">F15+F16+F17+F18</f>
        <v>418.764020669318</v>
      </c>
      <c r="G19" s="0" t="n">
        <f aca="false">G15+G16+G17+G18</f>
        <v>425.303682263742</v>
      </c>
      <c r="H19" s="0" t="n">
        <f aca="false">H15+H16+H17+H18</f>
        <v>431.937424713675</v>
      </c>
      <c r="I19" s="0" t="n">
        <f aca="false">I15+I16+I17+I18</f>
        <v>440.576173207948</v>
      </c>
      <c r="J19" s="0" t="n">
        <f aca="false">J15+J16+J17+J18</f>
        <v>450.513404597787</v>
      </c>
      <c r="K19" s="0" t="n">
        <f aca="false">K15+K16+K17+K18</f>
        <v>457.271105666753</v>
      </c>
      <c r="L19" s="0" t="n">
        <f aca="false">L15+L16+L17+L18</f>
        <v>464.130172251755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284.311433178182</v>
      </c>
      <c r="D21" s="0" t="n">
        <f aca="false">D19*D20</f>
        <v>316.468609972892</v>
      </c>
      <c r="E21" s="0" t="n">
        <f aca="false">E19*E20</f>
        <v>319.021568042795</v>
      </c>
      <c r="F21" s="0" t="n">
        <f aca="false">F19*F20</f>
        <v>286.021460739921</v>
      </c>
      <c r="G21" s="0" t="n">
        <f aca="false">G19*G20</f>
        <v>264.080125093133</v>
      </c>
      <c r="H21" s="0" t="n">
        <f aca="false">H19*H20</f>
        <v>243.817415665435</v>
      </c>
      <c r="I21" s="0" t="n">
        <f aca="false">I19*I20</f>
        <v>226.085239980677</v>
      </c>
      <c r="J21" s="0" t="n">
        <f aca="false">J19*J20</f>
        <v>210.167828128281</v>
      </c>
      <c r="K21" s="0" t="n">
        <f aca="false">K19*K20</f>
        <v>193.927586863823</v>
      </c>
      <c r="L21" s="0" t="n">
        <f aca="false">L19*L20</f>
        <v>178.942273333436</v>
      </c>
    </row>
    <row r="23" customFormat="false" ht="15" hidden="false" customHeight="false" outlineLevel="0" collapsed="false">
      <c r="A23" s="0" t="s">
        <v>96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101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102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2522.84354099858</v>
      </c>
    </row>
    <row r="31" customFormat="false" ht="15" hidden="false" customHeight="false" outlineLevel="0" collapsed="false">
      <c r="A31" s="0" t="s">
        <v>124</v>
      </c>
      <c r="B31" s="0" t="n">
        <f aca="false">L19</f>
        <v>464.130172251755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5542.26029218272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5569.56206702106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5542.26029218272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2136.7812639228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4659.62480492138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4417.62480492138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13.0089401430942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-0.408684538950262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50.5287248177191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40.8619152390346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13.2780656163153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3489.57129507801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7.82278943971945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Assumptions!C27</f>
        <v>-8</v>
      </c>
      <c r="D5" s="4" t="n">
        <f aca="false">Assumptions!D27</f>
        <v>3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9177.796</v>
      </c>
      <c r="C6" s="0" t="n">
        <f aca="false">B6*(1+C5/100)</f>
        <v>8443.57232</v>
      </c>
      <c r="D6" s="0" t="n">
        <f aca="false">C6*(1+D5/100)</f>
        <v>8696.8794896</v>
      </c>
      <c r="E6" s="0" t="n">
        <f aca="false">D6*(1+E5/100)</f>
        <v>9131.72346408</v>
      </c>
      <c r="F6" s="0" t="n">
        <f aca="false">E6*(1+F5/100)</f>
        <v>9588.309637284</v>
      </c>
      <c r="G6" s="0" t="n">
        <f aca="false">F6*(1+G5/100)</f>
        <v>10019.7835709618</v>
      </c>
      <c r="H6" s="0" t="n">
        <f aca="false">G6*(1+H5/100)</f>
        <v>10420.5749138003</v>
      </c>
      <c r="I6" s="0" t="n">
        <f aca="false">H6*(1+I5/100)</f>
        <v>10837.3979103523</v>
      </c>
      <c r="J6" s="0" t="n">
        <f aca="false">I6*(1+J5/100)</f>
        <v>11216.7068372146</v>
      </c>
      <c r="K6" s="0" t="n">
        <f aca="false">J6*(1+K5/100)</f>
        <v>11553.208042331</v>
      </c>
      <c r="L6" s="0" t="n">
        <f aca="false">K6*(1+L5/100)</f>
        <v>11842.0382433893</v>
      </c>
    </row>
    <row r="7" customFormat="false" ht="15" hidden="false" customHeight="false" outlineLevel="0" collapsed="false">
      <c r="A7" s="0" t="s">
        <v>94</v>
      </c>
      <c r="C7" s="4" t="n">
        <f aca="false">Assumptions!C28</f>
        <v>10</v>
      </c>
      <c r="D7" s="4" t="n">
        <f aca="false">Assumptions!D28</f>
        <v>12</v>
      </c>
      <c r="E7" s="4" t="n">
        <f aca="false">Assumptions!E28</f>
        <v>13.5</v>
      </c>
      <c r="F7" s="4" t="n">
        <f aca="false">Assumptions!F28</f>
        <v>14</v>
      </c>
      <c r="G7" s="4" t="n">
        <f aca="false">Assumptions!G28</f>
        <v>14</v>
      </c>
      <c r="H7" s="4" t="n">
        <f aca="false">Assumptions!H28</f>
        <v>14</v>
      </c>
      <c r="I7" s="4" t="n">
        <f aca="false">Assumptions!I28</f>
        <v>14</v>
      </c>
      <c r="J7" s="4" t="n">
        <f aca="false">Assumptions!J28</f>
        <v>14</v>
      </c>
      <c r="K7" s="4" t="n">
        <f aca="false">Assumptions!K28</f>
        <v>14</v>
      </c>
      <c r="L7" s="4" t="n">
        <f aca="false">Assumptions!L28</f>
        <v>14</v>
      </c>
    </row>
    <row r="8" customFormat="false" ht="15" hidden="false" customHeight="false" outlineLevel="0" collapsed="false">
      <c r="A8" s="0" t="s">
        <v>44</v>
      </c>
      <c r="C8" s="0" t="n">
        <f aca="false">C6*C7/100</f>
        <v>844.357232</v>
      </c>
      <c r="D8" s="0" t="n">
        <f aca="false">D6*D7/100</f>
        <v>1043.625538752</v>
      </c>
      <c r="E8" s="0" t="n">
        <f aca="false">E6*E7/100</f>
        <v>1232.7826676508</v>
      </c>
      <c r="F8" s="0" t="n">
        <f aca="false">F6*F7/100</f>
        <v>1342.36334921976</v>
      </c>
      <c r="G8" s="0" t="n">
        <f aca="false">G6*G7/100</f>
        <v>1402.76969993465</v>
      </c>
      <c r="H8" s="0" t="n">
        <f aca="false">H6*H7/100</f>
        <v>1458.88048793204</v>
      </c>
      <c r="I8" s="0" t="n">
        <f aca="false">I6*I7/100</f>
        <v>1517.23570744932</v>
      </c>
      <c r="J8" s="0" t="n">
        <f aca="false">J6*J7/100</f>
        <v>1570.33895721004</v>
      </c>
      <c r="K8" s="0" t="n">
        <f aca="false">K6*K7/100</f>
        <v>1617.44912592634</v>
      </c>
      <c r="L8" s="0" t="n">
        <f aca="false">L6*L7/100</f>
        <v>1657.8853540745</v>
      </c>
    </row>
    <row r="9" customFormat="false" ht="15" hidden="false" customHeight="false" outlineLevel="0" collapsed="false">
      <c r="A9" s="0" t="s">
        <v>95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-8.44357232</v>
      </c>
      <c r="D10" s="0" t="n">
        <f aca="false">-D6*D9/100</f>
        <v>-8.6968794896</v>
      </c>
      <c r="E10" s="0" t="n">
        <f aca="false">-E6*E9/100</f>
        <v>-9.13172346408</v>
      </c>
      <c r="F10" s="0" t="n">
        <f aca="false">-F6*F9/100</f>
        <v>-9.588309637284</v>
      </c>
      <c r="G10" s="0" t="n">
        <f aca="false">-G6*G9/100</f>
        <v>-10.0197835709618</v>
      </c>
      <c r="H10" s="0" t="n">
        <f aca="false">-H6*H9/100</f>
        <v>-10.4205749138003</v>
      </c>
      <c r="I10" s="0" t="n">
        <f aca="false">-I6*I9/100</f>
        <v>-10.8373979103523</v>
      </c>
      <c r="J10" s="0" t="n">
        <f aca="false">-J6*J9/100</f>
        <v>-11.2167068372146</v>
      </c>
      <c r="K10" s="0" t="n">
        <f aca="false">-K6*K9/100</f>
        <v>-11.553208042331</v>
      </c>
      <c r="L10" s="0" t="n">
        <f aca="false">-L6*L9/100</f>
        <v>-11.8420382433893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835.91365968</v>
      </c>
      <c r="D11" s="0" t="n">
        <f aca="false">D8+D10+D24</f>
        <v>1034.9286592624</v>
      </c>
      <c r="E11" s="0" t="n">
        <f aca="false">E8+E10+E24</f>
        <v>1223.65094418672</v>
      </c>
      <c r="F11" s="0" t="n">
        <f aca="false">F8+F10+F24</f>
        <v>1332.77503958248</v>
      </c>
      <c r="G11" s="0" t="n">
        <f aca="false">G8+G10+G24</f>
        <v>1392.74991636369</v>
      </c>
      <c r="H11" s="0" t="n">
        <f aca="false">H8+H10+H24</f>
        <v>1448.45991301824</v>
      </c>
      <c r="I11" s="0" t="n">
        <f aca="false">I8+I10+I24</f>
        <v>1506.39830953896</v>
      </c>
      <c r="J11" s="0" t="n">
        <f aca="false">J8+J10+J24</f>
        <v>1559.12225037283</v>
      </c>
      <c r="K11" s="0" t="n">
        <f aca="false">K8+K10+K24</f>
        <v>1605.89591788401</v>
      </c>
      <c r="L11" s="0" t="n">
        <f aca="false">L8+L10+L24</f>
        <v>1646.04331583111</v>
      </c>
    </row>
    <row r="12" customFormat="false" ht="15" hidden="false" customHeight="false" outlineLevel="0" collapsed="false">
      <c r="A12" s="0" t="s">
        <v>112</v>
      </c>
      <c r="C12" s="4" t="n">
        <f aca="false">-C6*Assumptions!C31/100</f>
        <v>-270.19431424</v>
      </c>
      <c r="D12" s="4" t="n">
        <f aca="false">-D6*Assumptions!D31/100</f>
        <v>-269.6032641776</v>
      </c>
      <c r="E12" s="4" t="n">
        <f aca="false">-E6*Assumptions!E31/100</f>
        <v>-273.9517039224</v>
      </c>
      <c r="F12" s="4" t="n">
        <f aca="false">-F6*Assumptions!F31/100</f>
        <v>-278.060979481236</v>
      </c>
      <c r="G12" s="4" t="n">
        <f aca="false">-G6*Assumptions!G31/100</f>
        <v>-290.573723557892</v>
      </c>
      <c r="H12" s="4" t="n">
        <f aca="false">-H6*Assumptions!H31/100</f>
        <v>-291.776097586407</v>
      </c>
      <c r="I12" s="4" t="n">
        <f aca="false">-I6*Assumptions!I31/100</f>
        <v>-303.447141489863</v>
      </c>
      <c r="J12" s="4" t="n">
        <f aca="false">-J6*Assumptions!J31/100</f>
        <v>-314.067791442009</v>
      </c>
      <c r="K12" s="4" t="n">
        <f aca="false">-K6*Assumptions!K31/100</f>
        <v>-323.489825185269</v>
      </c>
      <c r="L12" s="4" t="n">
        <f aca="false">-L6*Assumptions!L31/100</f>
        <v>-331.577070814901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565.71934544</v>
      </c>
      <c r="D13" s="0" t="n">
        <f aca="false">D11+D12</f>
        <v>765.3253950848</v>
      </c>
      <c r="E13" s="0" t="n">
        <f aca="false">E11+E12</f>
        <v>949.69924026432</v>
      </c>
      <c r="F13" s="0" t="n">
        <f aca="false">F11+F12</f>
        <v>1054.71406010124</v>
      </c>
      <c r="G13" s="0" t="n">
        <f aca="false">G11+G12</f>
        <v>1102.1761928058</v>
      </c>
      <c r="H13" s="0" t="n">
        <f aca="false">H11+H12</f>
        <v>1156.68381543183</v>
      </c>
      <c r="I13" s="0" t="n">
        <f aca="false">I11+I12</f>
        <v>1202.9511680491</v>
      </c>
      <c r="J13" s="0" t="n">
        <f aca="false">J11+J12</f>
        <v>1245.05445893082</v>
      </c>
      <c r="K13" s="0" t="n">
        <f aca="false">K11+K12</f>
        <v>1282.40609269874</v>
      </c>
      <c r="L13" s="0" t="n">
        <f aca="false">L11+L12</f>
        <v>1314.46624501621</v>
      </c>
    </row>
    <row r="14" customFormat="false" ht="15" hidden="false" customHeight="false" outlineLevel="0" collapsed="false">
      <c r="A14" s="0" t="s">
        <v>99</v>
      </c>
      <c r="C14" s="4" t="n">
        <f aca="false">Assumptions!C33</f>
        <v>22.5</v>
      </c>
      <c r="D14" s="4" t="n">
        <f aca="false">Assumptions!D33</f>
        <v>22.5</v>
      </c>
      <c r="E14" s="4" t="n">
        <f aca="false">Assumptions!E33</f>
        <v>22.5</v>
      </c>
      <c r="F14" s="4" t="n">
        <f aca="false">Assumptions!F33</f>
        <v>22.5</v>
      </c>
      <c r="G14" s="4" t="n">
        <f aca="false">Assumptions!G33</f>
        <v>22.5</v>
      </c>
      <c r="H14" s="4" t="n">
        <f aca="false">Assumptions!H33</f>
        <v>22.5</v>
      </c>
      <c r="I14" s="4" t="n">
        <f aca="false">Assumptions!I33</f>
        <v>22.5</v>
      </c>
      <c r="J14" s="4" t="n">
        <f aca="false">Assumptions!J33</f>
        <v>22.5</v>
      </c>
      <c r="K14" s="4" t="n">
        <f aca="false">Assumptions!K33</f>
        <v>22.5</v>
      </c>
      <c r="L14" s="4" t="n">
        <f aca="false">Assumptions!L33</f>
        <v>22.5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438.432492716</v>
      </c>
      <c r="D15" s="0" t="n">
        <f aca="false">D13-MAX(0,D13)*D14/100</f>
        <v>593.12718119072</v>
      </c>
      <c r="E15" s="0" t="n">
        <f aca="false">E13-MAX(0,E13)*E14/100</f>
        <v>736.016911204848</v>
      </c>
      <c r="F15" s="0" t="n">
        <f aca="false">F13-MAX(0,F13)*F14/100</f>
        <v>817.403396578461</v>
      </c>
      <c r="G15" s="0" t="n">
        <f aca="false">G13-MAX(0,G13)*G14/100</f>
        <v>854.186549424492</v>
      </c>
      <c r="H15" s="0" t="n">
        <f aca="false">H13-MAX(0,H13)*H14/100</f>
        <v>896.429956959667</v>
      </c>
      <c r="I15" s="0" t="n">
        <f aca="false">I13-MAX(0,I13)*I14/100</f>
        <v>932.287155238054</v>
      </c>
      <c r="J15" s="0" t="n">
        <f aca="false">J13-MAX(0,J13)*J14/100</f>
        <v>964.917205671385</v>
      </c>
      <c r="K15" s="0" t="n">
        <f aca="false">K13-MAX(0,K13)*K14/100</f>
        <v>993.864721841527</v>
      </c>
      <c r="L15" s="0" t="n">
        <f aca="false">L13-MAX(0,L13)*L14/100</f>
        <v>1018.71133988757</v>
      </c>
    </row>
    <row r="16" customFormat="false" ht="15" hidden="false" customHeight="false" outlineLevel="0" collapsed="false">
      <c r="A16" s="0" t="s">
        <v>115</v>
      </c>
      <c r="C16" s="0" t="n">
        <f aca="false">-C12</f>
        <v>270.19431424</v>
      </c>
      <c r="D16" s="0" t="n">
        <f aca="false">-D12</f>
        <v>269.6032641776</v>
      </c>
      <c r="E16" s="0" t="n">
        <f aca="false">-E12</f>
        <v>273.9517039224</v>
      </c>
      <c r="F16" s="0" t="n">
        <f aca="false">-F12</f>
        <v>278.060979481236</v>
      </c>
      <c r="G16" s="0" t="n">
        <f aca="false">-G12</f>
        <v>290.573723557892</v>
      </c>
      <c r="H16" s="0" t="n">
        <f aca="false">-H12</f>
        <v>291.776097586407</v>
      </c>
      <c r="I16" s="0" t="n">
        <f aca="false">-I12</f>
        <v>303.447141489863</v>
      </c>
      <c r="J16" s="0" t="n">
        <f aca="false">-J12</f>
        <v>314.067791442009</v>
      </c>
      <c r="K16" s="0" t="n">
        <f aca="false">-K12</f>
        <v>323.489825185269</v>
      </c>
      <c r="L16" s="0" t="n">
        <f aca="false">-L12</f>
        <v>331.577070814901</v>
      </c>
    </row>
    <row r="17" customFormat="false" ht="15" hidden="false" customHeight="false" outlineLevel="0" collapsed="false">
      <c r="A17" s="0" t="s">
        <v>116</v>
      </c>
      <c r="C17" s="4" t="n">
        <f aca="false">-C6*Assumptions!C32/100</f>
        <v>-405.29147136</v>
      </c>
      <c r="D17" s="4" t="n">
        <f aca="false">-D6*Assumptions!D32/100</f>
        <v>-330.4814206048</v>
      </c>
      <c r="E17" s="4" t="n">
        <f aca="false">-E6*Assumptions!E32/100</f>
        <v>-292.21515085056</v>
      </c>
      <c r="F17" s="4" t="n">
        <f aca="false">-F6*Assumptions!F32/100</f>
        <v>-287.64928911852</v>
      </c>
      <c r="G17" s="4" t="n">
        <f aca="false">-G6*Assumptions!G32/100</f>
        <v>-300.593507128854</v>
      </c>
      <c r="H17" s="4" t="n">
        <f aca="false">-H6*Assumptions!H32/100</f>
        <v>-312.617247414008</v>
      </c>
      <c r="I17" s="4" t="n">
        <f aca="false">-I6*Assumptions!I32/100</f>
        <v>-325.121937310568</v>
      </c>
      <c r="J17" s="4" t="n">
        <f aca="false">-J6*Assumptions!J32/100</f>
        <v>-336.501205116438</v>
      </c>
      <c r="K17" s="4" t="n">
        <f aca="false">-K6*Assumptions!K32/100</f>
        <v>-346.596241269931</v>
      </c>
      <c r="L17" s="4" t="n">
        <f aca="false">-L6*Assumptions!L32/100</f>
        <v>-355.261147301679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(C6-B6)*Assumptions!$B$37/100</f>
        <v>58.7378943999999</v>
      </c>
      <c r="D18" s="4" t="n">
        <f aca="false">(D6-C6)*Assumptions!$B$37/100</f>
        <v>-20.2645735680001</v>
      </c>
      <c r="E18" s="4" t="n">
        <f aca="false">(E6-D6)*Assumptions!$B$37/100</f>
        <v>-34.7875179584</v>
      </c>
      <c r="F18" s="4" t="n">
        <f aca="false">(F6-E6)*Assumptions!$B$37/100</f>
        <v>-36.5268938563201</v>
      </c>
      <c r="G18" s="4" t="n">
        <f aca="false">(G6-F6)*Assumptions!$B$37/100</f>
        <v>-34.5179146942224</v>
      </c>
      <c r="H18" s="4" t="n">
        <f aca="false">(H6-G6)*Assumptions!$B$37/100</f>
        <v>-32.0633074270777</v>
      </c>
      <c r="I18" s="4" t="n">
        <f aca="false">(I6-H6)*Assumptions!$B$37/100</f>
        <v>-33.3458397241609</v>
      </c>
      <c r="J18" s="4" t="n">
        <f aca="false">(J6-I6)*Assumptions!$B$37/100</f>
        <v>-30.3447141489862</v>
      </c>
      <c r="K18" s="4" t="n">
        <f aca="false">(K6-J6)*Assumptions!$B$37/100</f>
        <v>-26.920096409315</v>
      </c>
      <c r="L18" s="4" t="n">
        <f aca="false">(L6-K6)*Assumptions!$B$37/100</f>
        <v>-23.1064160846621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362.073229996</v>
      </c>
      <c r="D19" s="0" t="n">
        <f aca="false">D15+D16+D17+D18</f>
        <v>511.98445119552</v>
      </c>
      <c r="E19" s="0" t="n">
        <f aca="false">E15+E16+E17+E18</f>
        <v>682.965946318288</v>
      </c>
      <c r="F19" s="0" t="n">
        <f aca="false">F15+F16+F17+F18</f>
        <v>771.288193084857</v>
      </c>
      <c r="G19" s="0" t="n">
        <f aca="false">G15+G16+G17+G18</f>
        <v>809.648851159308</v>
      </c>
      <c r="H19" s="0" t="n">
        <f aca="false">H15+H16+H17+H18</f>
        <v>843.525499704989</v>
      </c>
      <c r="I19" s="0" t="n">
        <f aca="false">I15+I16+I17+I18</f>
        <v>877.266519693188</v>
      </c>
      <c r="J19" s="0" t="n">
        <f aca="false">J15+J16+J17+J18</f>
        <v>912.13907784797</v>
      </c>
      <c r="K19" s="0" t="n">
        <f aca="false">K15+K16+K17+K18</f>
        <v>943.83820934755</v>
      </c>
      <c r="L19" s="0" t="n">
        <f aca="false">L15+L16+L17+L18</f>
        <v>971.920847316124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329.157481814545</v>
      </c>
      <c r="D21" s="0" t="n">
        <f aca="false">D19*D20</f>
        <v>423.127645616132</v>
      </c>
      <c r="E21" s="0" t="n">
        <f aca="false">E19*E20</f>
        <v>513.122423980682</v>
      </c>
      <c r="F21" s="0" t="n">
        <f aca="false">F19*F20</f>
        <v>526.80021384117</v>
      </c>
      <c r="G21" s="0" t="n">
        <f aca="false">G19*G20</f>
        <v>502.728235875162</v>
      </c>
      <c r="H21" s="0" t="n">
        <f aca="false">H19*H20</f>
        <v>476.148153919051</v>
      </c>
      <c r="I21" s="0" t="n">
        <f aca="false">I19*I20</f>
        <v>450.176436432557</v>
      </c>
      <c r="J21" s="0" t="n">
        <f aca="false">J19*J20</f>
        <v>425.519611593778</v>
      </c>
      <c r="K21" s="0" t="n">
        <f aca="false">K19*K20</f>
        <v>400.279536713246</v>
      </c>
      <c r="L21" s="0" t="n">
        <f aca="false">L19*L20</f>
        <v>374.717560539396</v>
      </c>
    </row>
    <row r="23" customFormat="false" ht="15" hidden="false" customHeight="false" outlineLevel="0" collapsed="false">
      <c r="A23" s="0" t="s">
        <v>96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101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102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4421.77730032572</v>
      </c>
    </row>
    <row r="31" customFormat="false" ht="15" hidden="false" customHeight="false" outlineLevel="0" collapsed="false">
      <c r="A31" s="0" t="s">
        <v>124</v>
      </c>
      <c r="B31" s="0" t="n">
        <f aca="false">L19</f>
        <v>971.920847316124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12391.9908032806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11663.0501677935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11663.0501677935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4496.61072647275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8918.38802679847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8676.38802679847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25.5500676230221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0.161366710137367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60.6361438188369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58.2116343183094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25.9000483706409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7625.84049432651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15.1325123309083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Assumptions!C41</f>
        <v>-6</v>
      </c>
      <c r="D5" s="4" t="n">
        <f aca="false">Assumptions!D41</f>
        <v>9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9177.796</v>
      </c>
      <c r="C6" s="0" t="n">
        <f aca="false">B6*(1+C5/100)</f>
        <v>8627.12824</v>
      </c>
      <c r="D6" s="0" t="n">
        <f aca="false">C6*(1+D5/100)</f>
        <v>9403.5697816</v>
      </c>
      <c r="E6" s="0" t="n">
        <f aca="false">D6*(1+E5/100)</f>
        <v>10249.891061944</v>
      </c>
      <c r="F6" s="0" t="n">
        <f aca="false">E6*(1+F5/100)</f>
        <v>11069.8823468995</v>
      </c>
      <c r="G6" s="0" t="n">
        <f aca="false">F6*(1+G5/100)</f>
        <v>11844.7741111825</v>
      </c>
      <c r="H6" s="0" t="n">
        <f aca="false">G6*(1+H5/100)</f>
        <v>12555.4605578534</v>
      </c>
      <c r="I6" s="0" t="n">
        <f aca="false">H6*(1+I5/100)</f>
        <v>13183.2335857461</v>
      </c>
      <c r="J6" s="0" t="n">
        <f aca="false">I6*(1+J5/100)</f>
        <v>13710.562929176</v>
      </c>
      <c r="K6" s="0" t="n">
        <f aca="false">J6*(1+K5/100)</f>
        <v>14190.4326316971</v>
      </c>
      <c r="L6" s="0" t="n">
        <f aca="false">K6*(1+L5/100)</f>
        <v>14616.145610648</v>
      </c>
    </row>
    <row r="7" customFormat="false" ht="15" hidden="false" customHeight="false" outlineLevel="0" collapsed="false">
      <c r="A7" s="0" t="s">
        <v>94</v>
      </c>
      <c r="C7" s="4" t="n">
        <f aca="false">Assumptions!C42</f>
        <v>11</v>
      </c>
      <c r="D7" s="4" t="n">
        <f aca="false">Assumptions!D42</f>
        <v>14</v>
      </c>
      <c r="E7" s="4" t="n">
        <f aca="false">Assumptions!E42</f>
        <v>15.5</v>
      </c>
      <c r="F7" s="4" t="n">
        <f aca="false">Assumptions!F42</f>
        <v>16.5</v>
      </c>
      <c r="G7" s="4" t="n">
        <f aca="false">Assumptions!G42</f>
        <v>17</v>
      </c>
      <c r="H7" s="4" t="n">
        <f aca="false">Assumptions!H42</f>
        <v>17</v>
      </c>
      <c r="I7" s="4" t="n">
        <f aca="false">Assumptions!I42</f>
        <v>17</v>
      </c>
      <c r="J7" s="4" t="n">
        <f aca="false">Assumptions!J42</f>
        <v>17</v>
      </c>
      <c r="K7" s="4" t="n">
        <f aca="false">Assumptions!K42</f>
        <v>17</v>
      </c>
      <c r="L7" s="4" t="n">
        <f aca="false">Assumptions!L42</f>
        <v>17</v>
      </c>
    </row>
    <row r="8" customFormat="false" ht="15" hidden="false" customHeight="false" outlineLevel="0" collapsed="false">
      <c r="A8" s="0" t="s">
        <v>44</v>
      </c>
      <c r="C8" s="0" t="n">
        <f aca="false">C6*C7/100</f>
        <v>948.9841064</v>
      </c>
      <c r="D8" s="0" t="n">
        <f aca="false">D6*D7/100</f>
        <v>1316.499769424</v>
      </c>
      <c r="E8" s="0" t="n">
        <f aca="false">E6*E7/100</f>
        <v>1588.73311460132</v>
      </c>
      <c r="F8" s="0" t="n">
        <f aca="false">F6*F7/100</f>
        <v>1826.53058723842</v>
      </c>
      <c r="G8" s="0" t="n">
        <f aca="false">G6*G7/100</f>
        <v>2013.61159890102</v>
      </c>
      <c r="H8" s="0" t="n">
        <f aca="false">H6*H7/100</f>
        <v>2134.42829483508</v>
      </c>
      <c r="I8" s="0" t="n">
        <f aca="false">I6*I7/100</f>
        <v>2241.14970957684</v>
      </c>
      <c r="J8" s="0" t="n">
        <f aca="false">J6*J7/100</f>
        <v>2330.79569795991</v>
      </c>
      <c r="K8" s="0" t="n">
        <f aca="false">K6*K7/100</f>
        <v>2412.37354738851</v>
      </c>
      <c r="L8" s="0" t="n">
        <f aca="false">L6*L7/100</f>
        <v>2484.74475381016</v>
      </c>
    </row>
    <row r="9" customFormat="false" ht="15" hidden="false" customHeight="false" outlineLevel="0" collapsed="false">
      <c r="A9" s="0" t="s">
        <v>95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-8.62712824</v>
      </c>
      <c r="D10" s="0" t="n">
        <f aca="false">-D6*D9/100</f>
        <v>-9.4035697816</v>
      </c>
      <c r="E10" s="0" t="n">
        <f aca="false">-E6*E9/100</f>
        <v>-10.249891061944</v>
      </c>
      <c r="F10" s="0" t="n">
        <f aca="false">-F6*F9/100</f>
        <v>-11.0698823468995</v>
      </c>
      <c r="G10" s="0" t="n">
        <f aca="false">-G6*G9/100</f>
        <v>-11.8447741111825</v>
      </c>
      <c r="H10" s="0" t="n">
        <f aca="false">-H6*H9/100</f>
        <v>-12.5554605578534</v>
      </c>
      <c r="I10" s="0" t="n">
        <f aca="false">-I6*I9/100</f>
        <v>-13.1832335857461</v>
      </c>
      <c r="J10" s="0" t="n">
        <f aca="false">-J6*J9/100</f>
        <v>-13.710562929176</v>
      </c>
      <c r="K10" s="0" t="n">
        <f aca="false">-K6*K9/100</f>
        <v>-14.1904326316971</v>
      </c>
      <c r="L10" s="0" t="n">
        <f aca="false">-L6*L9/100</f>
        <v>-14.616145610648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940.35697816</v>
      </c>
      <c r="D11" s="0" t="n">
        <f aca="false">D8+D10+D24</f>
        <v>1307.0961996424</v>
      </c>
      <c r="E11" s="0" t="n">
        <f aca="false">E8+E10+E24</f>
        <v>1578.48322353938</v>
      </c>
      <c r="F11" s="0" t="n">
        <f aca="false">F8+F10+F24</f>
        <v>1815.46070489152</v>
      </c>
      <c r="G11" s="0" t="n">
        <f aca="false">G8+G10+G24</f>
        <v>2001.76682478984</v>
      </c>
      <c r="H11" s="0" t="n">
        <f aca="false">H8+H10+H24</f>
        <v>2121.87283427723</v>
      </c>
      <c r="I11" s="0" t="n">
        <f aca="false">I8+I10+I24</f>
        <v>2227.96647599109</v>
      </c>
      <c r="J11" s="0" t="n">
        <f aca="false">J8+J10+J24</f>
        <v>2317.08513503074</v>
      </c>
      <c r="K11" s="0" t="n">
        <f aca="false">K8+K10+K24</f>
        <v>2398.18311475681</v>
      </c>
      <c r="L11" s="0" t="n">
        <f aca="false">L8+L10+L24</f>
        <v>2470.12860819952</v>
      </c>
    </row>
    <row r="12" customFormat="false" ht="15" hidden="false" customHeight="false" outlineLevel="0" collapsed="false">
      <c r="A12" s="0" t="s">
        <v>112</v>
      </c>
      <c r="C12" s="4" t="n">
        <f aca="false">-C6*Assumptions!C45/100</f>
        <v>-276.06810368</v>
      </c>
      <c r="D12" s="4" t="n">
        <f aca="false">-D6*Assumptions!D45/100</f>
        <v>-282.107093448</v>
      </c>
      <c r="E12" s="4" t="n">
        <f aca="false">-E6*Assumptions!E45/100</f>
        <v>-286.996949734432</v>
      </c>
      <c r="F12" s="4" t="n">
        <f aca="false">-F6*Assumptions!F45/100</f>
        <v>-298.886823366287</v>
      </c>
      <c r="G12" s="4" t="n">
        <f aca="false">-G6*Assumptions!G45/100</f>
        <v>-307.964126890745</v>
      </c>
      <c r="H12" s="4" t="n">
        <f aca="false">-H6*Assumptions!H45/100</f>
        <v>-326.441974504189</v>
      </c>
      <c r="I12" s="4" t="n">
        <f aca="false">-I6*Assumptions!I45/100</f>
        <v>-342.764073229399</v>
      </c>
      <c r="J12" s="4" t="n">
        <f aca="false">-J6*Assumptions!J45/100</f>
        <v>-356.474636158575</v>
      </c>
      <c r="K12" s="4" t="n">
        <f aca="false">-K6*Assumptions!K45/100</f>
        <v>-368.951248424125</v>
      </c>
      <c r="L12" s="4" t="n">
        <f aca="false">-L6*Assumptions!L45/100</f>
        <v>-380.019785876849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664.28887448</v>
      </c>
      <c r="D13" s="0" t="n">
        <f aca="false">D11+D12</f>
        <v>1024.9891061944</v>
      </c>
      <c r="E13" s="0" t="n">
        <f aca="false">E11+E12</f>
        <v>1291.48627380494</v>
      </c>
      <c r="F13" s="0" t="n">
        <f aca="false">F11+F12</f>
        <v>1516.57388152523</v>
      </c>
      <c r="G13" s="0" t="n">
        <f aca="false">G11+G12</f>
        <v>1693.8026978991</v>
      </c>
      <c r="H13" s="0" t="n">
        <f aca="false">H11+H12</f>
        <v>1795.43085977304</v>
      </c>
      <c r="I13" s="0" t="n">
        <f aca="false">I11+I12</f>
        <v>1885.20240276169</v>
      </c>
      <c r="J13" s="0" t="n">
        <f aca="false">J11+J12</f>
        <v>1960.61049887216</v>
      </c>
      <c r="K13" s="0" t="n">
        <f aca="false">K11+K12</f>
        <v>2029.23186633269</v>
      </c>
      <c r="L13" s="0" t="n">
        <f aca="false">L11+L12</f>
        <v>2090.10882232267</v>
      </c>
    </row>
    <row r="14" customFormat="false" ht="15" hidden="false" customHeight="false" outlineLevel="0" collapsed="false">
      <c r="A14" s="0" t="s">
        <v>99</v>
      </c>
      <c r="C14" s="4" t="n">
        <f aca="false">Assumptions!C47</f>
        <v>22.5</v>
      </c>
      <c r="D14" s="4" t="n">
        <f aca="false">Assumptions!D47</f>
        <v>22.5</v>
      </c>
      <c r="E14" s="4" t="n">
        <f aca="false">Assumptions!E47</f>
        <v>22.5</v>
      </c>
      <c r="F14" s="4" t="n">
        <f aca="false">Assumptions!F47</f>
        <v>22.5</v>
      </c>
      <c r="G14" s="4" t="n">
        <f aca="false">Assumptions!G47</f>
        <v>22.5</v>
      </c>
      <c r="H14" s="4" t="n">
        <f aca="false">Assumptions!H47</f>
        <v>22.5</v>
      </c>
      <c r="I14" s="4" t="n">
        <f aca="false">Assumptions!I47</f>
        <v>22.5</v>
      </c>
      <c r="J14" s="4" t="n">
        <f aca="false">Assumptions!J47</f>
        <v>22.5</v>
      </c>
      <c r="K14" s="4" t="n">
        <f aca="false">Assumptions!K47</f>
        <v>22.5</v>
      </c>
      <c r="L14" s="4" t="n">
        <f aca="false">Assumptions!L47</f>
        <v>22.5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514.823877722</v>
      </c>
      <c r="D15" s="0" t="n">
        <f aca="false">D13-MAX(0,D13)*D14/100</f>
        <v>794.36655730066</v>
      </c>
      <c r="E15" s="0" t="n">
        <f aca="false">E13-MAX(0,E13)*E14/100</f>
        <v>1000.90186219883</v>
      </c>
      <c r="F15" s="0" t="n">
        <f aca="false">F13-MAX(0,F13)*F14/100</f>
        <v>1175.34475818206</v>
      </c>
      <c r="G15" s="0" t="n">
        <f aca="false">G13-MAX(0,G13)*G14/100</f>
        <v>1312.6970908718</v>
      </c>
      <c r="H15" s="0" t="n">
        <f aca="false">H13-MAX(0,H13)*H14/100</f>
        <v>1391.45891632411</v>
      </c>
      <c r="I15" s="0" t="n">
        <f aca="false">I13-MAX(0,I13)*I14/100</f>
        <v>1461.03186214031</v>
      </c>
      <c r="J15" s="0" t="n">
        <f aca="false">J13-MAX(0,J13)*J14/100</f>
        <v>1519.47313662593</v>
      </c>
      <c r="K15" s="0" t="n">
        <f aca="false">K13-MAX(0,K13)*K14/100</f>
        <v>1572.65469640783</v>
      </c>
      <c r="L15" s="0" t="n">
        <f aca="false">L13-MAX(0,L13)*L14/100</f>
        <v>1619.83433730007</v>
      </c>
    </row>
    <row r="16" customFormat="false" ht="15" hidden="false" customHeight="false" outlineLevel="0" collapsed="false">
      <c r="A16" s="0" t="s">
        <v>115</v>
      </c>
      <c r="C16" s="0" t="n">
        <f aca="false">-C12</f>
        <v>276.06810368</v>
      </c>
      <c r="D16" s="0" t="n">
        <f aca="false">-D12</f>
        <v>282.107093448</v>
      </c>
      <c r="E16" s="0" t="n">
        <f aca="false">-E12</f>
        <v>286.996949734432</v>
      </c>
      <c r="F16" s="0" t="n">
        <f aca="false">-F12</f>
        <v>298.886823366287</v>
      </c>
      <c r="G16" s="0" t="n">
        <f aca="false">-G12</f>
        <v>307.964126890745</v>
      </c>
      <c r="H16" s="0" t="n">
        <f aca="false">-H12</f>
        <v>326.441974504189</v>
      </c>
      <c r="I16" s="0" t="n">
        <f aca="false">-I12</f>
        <v>342.764073229399</v>
      </c>
      <c r="J16" s="0" t="n">
        <f aca="false">-J12</f>
        <v>356.474636158575</v>
      </c>
      <c r="K16" s="0" t="n">
        <f aca="false">-K12</f>
        <v>368.951248424125</v>
      </c>
      <c r="L16" s="0" t="n">
        <f aca="false">-L12</f>
        <v>380.019785876849</v>
      </c>
    </row>
    <row r="17" customFormat="false" ht="15" hidden="false" customHeight="false" outlineLevel="0" collapsed="false">
      <c r="A17" s="0" t="s">
        <v>116</v>
      </c>
      <c r="C17" s="4" t="n">
        <f aca="false">-C6*Assumptions!C46/100</f>
        <v>-414.10215552</v>
      </c>
      <c r="D17" s="4" t="n">
        <f aca="false">-D6*Assumptions!D46/100</f>
        <v>-357.3356517008</v>
      </c>
      <c r="E17" s="4" t="n">
        <f aca="false">-E6*Assumptions!E46/100</f>
        <v>-348.496296106096</v>
      </c>
      <c r="F17" s="4" t="n">
        <f aca="false">-F6*Assumptions!F46/100</f>
        <v>-354.236235100785</v>
      </c>
      <c r="G17" s="4" t="n">
        <f aca="false">-G6*Assumptions!G46/100</f>
        <v>-355.343223335475</v>
      </c>
      <c r="H17" s="4" t="n">
        <f aca="false">-H6*Assumptions!H46/100</f>
        <v>-376.663816735603</v>
      </c>
      <c r="I17" s="4" t="n">
        <f aca="false">-I6*Assumptions!I46/100</f>
        <v>-395.497007572383</v>
      </c>
      <c r="J17" s="4" t="n">
        <f aca="false">-J6*Assumptions!J46/100</f>
        <v>-411.316887875279</v>
      </c>
      <c r="K17" s="4" t="n">
        <f aca="false">-K6*Assumptions!K46/100</f>
        <v>-425.712978950913</v>
      </c>
      <c r="L17" s="4" t="n">
        <f aca="false">-L6*Assumptions!L46/100</f>
        <v>-438.484368319441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(C6-B6)*Assumptions!$B$51/100</f>
        <v>44.0534208</v>
      </c>
      <c r="D18" s="4" t="n">
        <f aca="false">(D6-C6)*Assumptions!$B$51/100</f>
        <v>-62.1153233280001</v>
      </c>
      <c r="E18" s="4" t="n">
        <f aca="false">(E6-D6)*Assumptions!$B$51/100</f>
        <v>-67.70570242752</v>
      </c>
      <c r="F18" s="4" t="n">
        <f aca="false">(F6-E6)*Assumptions!$B$51/100</f>
        <v>-65.5993027964416</v>
      </c>
      <c r="G18" s="4" t="n">
        <f aca="false">(G6-F6)*Assumptions!$B$51/100</f>
        <v>-61.9913411426374</v>
      </c>
      <c r="H18" s="4" t="n">
        <f aca="false">(H6-G6)*Assumptions!$B$51/100</f>
        <v>-56.854915733676</v>
      </c>
      <c r="I18" s="4" t="n">
        <f aca="false">(I6-H6)*Assumptions!$B$51/100</f>
        <v>-50.2218422314138</v>
      </c>
      <c r="J18" s="4" t="n">
        <f aca="false">(J6-I6)*Assumptions!$B$51/100</f>
        <v>-42.1863474743876</v>
      </c>
      <c r="K18" s="4" t="n">
        <f aca="false">(K6-J6)*Assumptions!$B$51/100</f>
        <v>-38.3895762016925</v>
      </c>
      <c r="L18" s="4" t="n">
        <f aca="false">(L6-K6)*Assumptions!$B$51/100</f>
        <v>-34.0570383160732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420.843246682</v>
      </c>
      <c r="D19" s="0" t="n">
        <f aca="false">D15+D16+D17+D18</f>
        <v>657.02267571986</v>
      </c>
      <c r="E19" s="0" t="n">
        <f aca="false">E15+E16+E17+E18</f>
        <v>871.696813399648</v>
      </c>
      <c r="F19" s="0" t="n">
        <f aca="false">F15+F16+F17+F18</f>
        <v>1054.39604365112</v>
      </c>
      <c r="G19" s="0" t="n">
        <f aca="false">G15+G16+G17+G18</f>
        <v>1203.32665328443</v>
      </c>
      <c r="H19" s="0" t="n">
        <f aca="false">H15+H16+H17+H18</f>
        <v>1284.38215835902</v>
      </c>
      <c r="I19" s="0" t="n">
        <f aca="false">I15+I16+I17+I18</f>
        <v>1358.07708556591</v>
      </c>
      <c r="J19" s="0" t="n">
        <f aca="false">J15+J16+J17+J18</f>
        <v>1422.44453743483</v>
      </c>
      <c r="K19" s="0" t="n">
        <f aca="false">K15+K16+K17+K18</f>
        <v>1477.50338967935</v>
      </c>
      <c r="L19" s="0" t="n">
        <f aca="false">L15+L16+L17+L18</f>
        <v>1527.3127165414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382.584769710909</v>
      </c>
      <c r="D21" s="0" t="n">
        <f aca="false">D19*D20</f>
        <v>542.993946875917</v>
      </c>
      <c r="E21" s="0" t="n">
        <f aca="false">E19*E20</f>
        <v>654.918717805896</v>
      </c>
      <c r="F21" s="0" t="n">
        <f aca="false">F19*F20</f>
        <v>720.16668509741</v>
      </c>
      <c r="G21" s="0" t="n">
        <f aca="false">G19*G20</f>
        <v>747.171177629715</v>
      </c>
      <c r="H21" s="0" t="n">
        <f aca="false">H19*H20</f>
        <v>725.000244619867</v>
      </c>
      <c r="I21" s="0" t="n">
        <f aca="false">I19*I20</f>
        <v>696.908281641247</v>
      </c>
      <c r="J21" s="0" t="n">
        <f aca="false">J19*J20</f>
        <v>663.58087465237</v>
      </c>
      <c r="K21" s="0" t="n">
        <f aca="false">K19*K20</f>
        <v>626.605668700286</v>
      </c>
      <c r="L21" s="0" t="n">
        <f aca="false">L19*L20</f>
        <v>588.845168722926</v>
      </c>
    </row>
    <row r="23" customFormat="false" ht="15" hidden="false" customHeight="false" outlineLevel="0" collapsed="false">
      <c r="A23" s="0" t="s">
        <v>96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101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102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6348.77553545654</v>
      </c>
    </row>
    <row r="31" customFormat="false" ht="15" hidden="false" customHeight="false" outlineLevel="0" collapsed="false">
      <c r="A31" s="0" t="s">
        <v>124</v>
      </c>
      <c r="B31" s="0" t="n">
        <f aca="false">L19</f>
        <v>1527.3127165414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20873.2737927325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18327.7525984968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18327.7525984968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7066.14202467511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13414.9175601317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13172.9175601317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38.7913649567434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0.763243861670156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70.1325132331181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77.0138103859734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39.2246787397756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12523.9642756395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23.0255822449255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2" t="s">
        <v>141</v>
      </c>
      <c r="B3" s="2" t="s">
        <v>142</v>
      </c>
      <c r="C3" s="2" t="s">
        <v>132</v>
      </c>
      <c r="D3" s="2" t="s">
        <v>143</v>
      </c>
      <c r="E3" s="2" t="s">
        <v>135</v>
      </c>
      <c r="F3" s="2" t="s">
        <v>144</v>
      </c>
    </row>
    <row r="4" customFormat="false" ht="15" hidden="false" customHeight="false" outlineLevel="0" collapsed="false">
      <c r="A4" s="0" t="s">
        <v>145</v>
      </c>
      <c r="B4" s="4" t="n">
        <f aca="false">DCF_Bear!$B$38</f>
        <v>13.0089401430942</v>
      </c>
      <c r="C4" s="0" t="n">
        <f aca="false">B4/Assumptions!$B$2-1</f>
        <v>-0.408684538950262</v>
      </c>
      <c r="D4" s="4" t="n">
        <f aca="false">Assumptions!$B$24</f>
        <v>0.3</v>
      </c>
      <c r="E4" s="4" t="n">
        <f aca="false">DCF_Bear!$B$43</f>
        <v>13.2780656163153</v>
      </c>
      <c r="F4" s="4" t="n">
        <f aca="false">DCF_Bear!$B$47</f>
        <v>7.82278943971945</v>
      </c>
    </row>
    <row r="5" customFormat="false" ht="15" hidden="false" customHeight="false" outlineLevel="0" collapsed="false">
      <c r="A5" s="0" t="s">
        <v>146</v>
      </c>
      <c r="B5" s="4" t="n">
        <f aca="false">DCF_Base!$B$38</f>
        <v>25.5500676230221</v>
      </c>
      <c r="C5" s="0" t="n">
        <f aca="false">B5/Assumptions!$B$2-1</f>
        <v>0.161366710137367</v>
      </c>
      <c r="D5" s="4" t="n">
        <f aca="false">Assumptions!$B$38</f>
        <v>0.5</v>
      </c>
      <c r="E5" s="4" t="n">
        <f aca="false">DCF_Base!$B$43</f>
        <v>25.9000483706409</v>
      </c>
      <c r="F5" s="4" t="n">
        <f aca="false">DCF_Base!$B$47</f>
        <v>15.1325123309083</v>
      </c>
    </row>
    <row r="6" customFormat="false" ht="15" hidden="false" customHeight="false" outlineLevel="0" collapsed="false">
      <c r="A6" s="0" t="s">
        <v>147</v>
      </c>
      <c r="B6" s="4" t="n">
        <f aca="false">DCF_Bull!$B$38</f>
        <v>38.7913649567434</v>
      </c>
      <c r="C6" s="0" t="n">
        <f aca="false">B6/Assumptions!$B$2-1</f>
        <v>0.763243861670156</v>
      </c>
      <c r="D6" s="4" t="n">
        <f aca="false">Assumptions!$B$52</f>
        <v>0.2</v>
      </c>
      <c r="E6" s="4" t="n">
        <f aca="false">DCF_Bull!$B$43</f>
        <v>39.2246787397756</v>
      </c>
      <c r="F6" s="4" t="n">
        <f aca="false">DCF_Bull!$B$47</f>
        <v>23.0255822449255</v>
      </c>
    </row>
    <row r="8" customFormat="false" ht="15" hidden="false" customHeight="false" outlineLevel="0" collapsed="false">
      <c r="A8" s="0" t="s">
        <v>148</v>
      </c>
      <c r="B8" s="0" t="n">
        <f aca="false">SUMPRODUCT(B4:B6,D4:D6)</f>
        <v>24.435988845788</v>
      </c>
    </row>
    <row r="9" customFormat="false" ht="15" hidden="false" customHeight="false" outlineLevel="0" collapsed="false">
      <c r="A9" s="0" t="s">
        <v>149</v>
      </c>
      <c r="B9" s="0" t="n">
        <f aca="false">SUMPRODUCT(E4:E6,D4:D6)</f>
        <v>24.7783796181701</v>
      </c>
    </row>
    <row r="10" customFormat="false" ht="15" hidden="false" customHeight="false" outlineLevel="0" collapsed="false">
      <c r="A10" s="0" t="s">
        <v>150</v>
      </c>
      <c r="B10" s="0" t="n">
        <f aca="false">1-Assumptions!$B$2/B8</f>
        <v>0.0996885725051344</v>
      </c>
    </row>
    <row r="11" customFormat="false" ht="15" hidden="false" customHeight="false" outlineLevel="0" collapsed="false">
      <c r="A11" s="0" t="s">
        <v>151</v>
      </c>
      <c r="B11" s="0" t="n">
        <f aca="false">IF(ABS(B9-B8)&gt;0.01*ABS(B8),(Assumptions!$B$2-B8)/(B9-B8)*100,"n/a")</f>
        <v>-711.46451431498</v>
      </c>
    </row>
    <row r="12" customFormat="false" ht="15" hidden="false" customHeight="false" outlineLevel="0" collapsed="false">
      <c r="A12" s="0" t="s">
        <v>152</v>
      </c>
      <c r="B12" s="0" t="n">
        <f aca="false">SUMPRODUCT(F4:F6,D4:D6)</f>
        <v>14.5182094463551</v>
      </c>
    </row>
    <row r="14" customFormat="false" ht="15" hidden="false" customHeight="false" outlineLevel="0" collapsed="false">
      <c r="A14" s="2" t="s">
        <v>153</v>
      </c>
      <c r="C14" s="0" t="s">
        <v>154</v>
      </c>
    </row>
    <row r="15" customFormat="false" ht="15" hidden="false" customHeight="false" outlineLevel="0" collapsed="false">
      <c r="A15" s="0" t="s">
        <v>155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27.4849615111533</v>
      </c>
      <c r="C15" s="3" t="n">
        <v>9</v>
      </c>
    </row>
    <row r="16" customFormat="false" ht="15" hidden="false" customHeight="false" outlineLevel="0" collapsed="false">
      <c r="A16" s="0" t="s">
        <v>156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25.5500676230221</v>
      </c>
      <c r="C16" s="3" t="n">
        <v>10</v>
      </c>
    </row>
    <row r="17" customFormat="false" ht="15" hidden="false" customHeight="false" outlineLevel="0" collapsed="false">
      <c r="A17" s="0" t="s">
        <v>157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23.1094924620488</v>
      </c>
      <c r="C17" s="3" t="n">
        <v>11</v>
      </c>
    </row>
    <row r="18" customFormat="false" ht="15" hidden="false" customHeight="false" outlineLevel="0" collapsed="false">
      <c r="A18" s="0" t="s">
        <v>158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20.5042861983543</v>
      </c>
      <c r="C18" s="3" t="n">
        <v>12</v>
      </c>
    </row>
    <row r="19" customFormat="false" ht="15" hidden="false" customHeight="false" outlineLevel="0" collapsed="false">
      <c r="A19" s="0" t="s">
        <v>159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15.1325123309083</v>
      </c>
      <c r="C19" s="3" t="n">
        <v>15</v>
      </c>
    </row>
    <row r="21" customFormat="false" ht="15" hidden="false" customHeight="false" outlineLevel="0" collapsed="false">
      <c r="A21" s="2" t="s">
        <v>160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29.6043081261242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29.6043081261242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29.6043081261242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29.6043081261242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29.6043081261242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27.4849615111533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27.4849615111533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27.4849615111533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27.4849615111533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27.4849615111533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24.6918198914621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25.4851581307192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25.5500676230221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25.5500676230221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25.5500676230221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21.8663105956229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22.4551862165615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23.1094924620488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23.7814826601169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23.7814826601169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19.5660134643033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20.0128100043276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20.5042861983543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21.0474967285944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21.6510639844167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2026-10-17T03:47:42Z</dcterms:created>
  <dc:creator>openpyxl</dc:creator>
  <dc:description/>
  <dc:language>en-NZ</dc:language>
  <cp:lastModifiedBy/>
  <dcterms:modified xsi:type="dcterms:W3CDTF">2026-10-17T03:47:42Z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