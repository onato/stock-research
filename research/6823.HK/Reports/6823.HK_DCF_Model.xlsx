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<sst xmlns="http://schemas.openxmlformats.org/spreadsheetml/2006/main" count="364" uniqueCount="171">
  <si>
    <t xml:space="preserve">Ticker</t>
  </si>
  <si>
    <t xml:space="preserve">6823.HK</t>
  </si>
  <si>
    <t xml:space="preserve">Company</t>
  </si>
  <si>
    <t xml:space="preserve">HKT Trust and HKT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</si>
  <si>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</si>
  <si>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</si>
  <si>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</si>
  <si>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</si>
  <si>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</si>
  <si>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</si>
  <si>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</si>
  <si>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</si>
  <si>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</si>
  <si>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</si>
  <si>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</si>
  <si>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</si>
  <si>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</si>
  <si>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</si>
  <si>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</si>
  <si>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</si>
  <si>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</si>
  <si>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2026-10-23T16:29:05Z</t>
  </si>
  <si>
    <t xml:space="preserve">Drivers file</t>
  </si>
  <si>
    <t xml:space="preserve">6823.HK_Drivers.json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</si>
  <si>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</si>
  <si>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</si>
  <si>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</si>
  <si>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HKT on the cash the consolidated cash flow statement actually generates for unit-holders after every recurring reinvestment line (PPE, software and spectrum intangibles, customer acquisition and fulfilment costs, lease payments) and after cash tax normalises - not on the company's Adjusted Funds Flow, which omits ~HK$3bn/yr of software additions and is the basis of a distribution that has been partly debt-funded for years. Leverage (HK$46.6bn net debt incl. PCCW and NCI funding balances) and the Fiber Link 40% NCI (at its 2024 sale value) are deducted once each in the bridge; leases are charged in the flows and excluded from debt; risk is carried in three scenario paths and their weights at a single HKD WACC of 6.5%. The AFF-at-cost-of-equity memo (HK$12-14) is reported so the reader can see exactly what the market is paying for.
key_risks_to_valuation: Capex definition: if a material part of the HK$3.1bn/yr software additions is customer-funded or non-recurring (DCI anchor prepayments), capex_pct is 2-3pp too high and value is understated by roughly HK$1.5-2.5 per unit; the FY2026 annual report's intangibles note and contract-liability movement are the evidence to watch.; Cash tax ramp: the 14% mature cash rate may overstate tax if HK capex allowances continue to defer indefinitely at today's ~3%; each 5pp of cash tax rate is worth ~HK$0.5-0.6 per unit.; WACC: at 6.5% the 18x cap binds; a buyer accepting 5.5% (yield-vehicle pricing) adds ~HK$2 per unit, which is why the sensitivity grid is shown.; Payout policy: a distribution reset would likely de-rate the units toward the owner-FCF value; its absence keeps the price anchored to the AFF yield and the gap is funded by debt.; Working capital: FY2024-25 OCF was flattered by +HK$3.9bn of trade-payables growth; a reversal would cut reported OCF without changing the model (wc_capture 0) but would make the payout gap visible sooner.; HIBOR/USD rates: ~HK$46bn of (partly USD) debt makes levered cash flow sensitive to rates; this sits in the discount rate and net debt rather than the unlevered flows.</t>
  </si>
  <si>
    <t xml:space="preserve">Data sources</t>
  </si>
  <si>
    <t xml:space="preserve">price: Yahoo Finance chart API at inputs.price_as_of (HKEX regular close); 52-week range 11.24-13.58
financials: 6823.HK_Metrics.csv (FY2017-FY2025 annual, H1 FY2023-H1 FY2026 interim) from core_metrics; FY2025 Annual Report (AFF table p.50-51, cash flow statement p.102, note 19 intangibles, note 24(b) NCI, note 34(a) OCF reconciliation); H1 FY2026 Interim Report (balance sheet 30 Jun 2026, AFF table, note 6 diluted units)
qualitative: 6823.HK_Analysis.json (2026-10-24): business model, guidance, bull/bear cases</t>
  </si>
  <si>
    <t xml:space="preserve">Scenario narrative: bear</t>
  </si>
  <si>
    <t xml:space="preserve">Competition and capex intensity bite together: China Mobile HK and HKBN price pressure plus exchange-line erosion hold revenue growth to ~1%, product-sales mix and content costs (Premier League to 2031, World Cup) pin the margin at 37%, software/spectrum/DCI reinvestment stays at 21%+ of revenue, cash tax normalises fully to 16.5%, and a 15x exit at 1.5% growth. Owner FCF stalls around HK$4bn against a HK$6bn+ distribution, forcing either continued debt funding until the Baa2/BBB rating is at risk or a distribution reset - the latter removes the yield support that holds the price today.</t>
  </si>
  <si>
    <t xml:space="preserve">Scenario narrative: base</t>
  </si>
  <si>
    <t xml:space="preserve">HKT stays the defensive HK incumbent: revenue compounds ~2.5% (enterprise/AI solutions +8% and 2500M+ fibre ARPU uplift offset exchange-line decline of 4-5%/yr and mobile price competition), EBITDA margin drifts to 38.7%, total reinvestment (PPE + software + spectrum + CAC + fulfilment) stays at ~20% of revenue after a 22% FY2026 DCI-build peak, and cash tax normalises from 3% to 14% of EBIT as deferred assessments catch up. Owner FCF grows ~2-3%/yr off a ~HK$4.9bn FY2026 base, well below the HK$6.2bn AFF the distribution is set on; the model takes no view on when the Board resets the payout, only that the cash distributed in excess of owner FCF is borrowed and therefore already in net debt.</t>
  </si>
  <si>
    <t xml:space="preserve">Scenario narrative: bull</t>
  </si>
  <si>
    <t xml:space="preserve">The AI narrative delivers: the 3.2Tbps DCI superhighway and PCCW Global's hyperscaler interconnect business turn enterprise growth into group growth of 3-4% for a decade, bundling (3+ product customers +20%) lifts the EBITDA margin to 39.5%, the DCI build is genuinely customer-pre-funded so reinvestment falls to 19% of revenue with a 10% working-capital capture on growth, cash tax settles at 12% on continuing capex allowances, and a 20x exit at 2.5% terminal growth reflects a scarce HK infrastructure yield asset. Even here owner FCF only reaches the current AFF level late in the decade.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</si>
  <si>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</si>
  <si>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</si>
  <si>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</si>
  <si>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</si>
  <si>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</si>
  <si>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</si>
  <si>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</si>
  <si>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</si>
  <si>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</si>
  <si>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</si>
  <si>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</si>
  <si>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</si>
  <si>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</si>
  <si>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</si>
  <si>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</si>
  <si>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</si>
  <si>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</si>
  <si>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</si>
  <si>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</si>
  <si>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</si>
  <si>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</si>
  <si>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</si>
  <si>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</si>
  <si>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</si>
  <si>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</si>
  <si>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</si>
  <si>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</si>
  <si>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BroadbandConnections</t>
  </si>
  <si>
    <t xml:space="preserve">CapexIntangibles</t>
  </si>
  <si>
    <t xml:space="preserve">CapexPPE</t>
  </si>
  <si>
    <t xml:space="preserve">IPTVSubscribers</t>
  </si>
  <si>
    <t xml:space="preserve">LoyaltyMembers</t>
  </si>
  <si>
    <t xml:space="preserve">ShareAwardSchemePurchases</t>
  </si>
  <si>
    <t xml:space="preserve">Subscribers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</si>
  <si>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</si>
  <si>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</si>
  <si>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</si>
  <si>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</si>
  <si>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</si>
  <si>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</si>
  <si>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</si>
  <si>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</si>
  <si>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</si>
  <si>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</si>
  <si>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</si>
  <si>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</si>
  <si>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</si>
  <si>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</si>
  <si>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</si>
  <si>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</si>
  <si>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</si>
  <si>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</si>
  <si>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</si>
  <si>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</si>
  <si>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</si>
  <si>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</si>
  <si>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</si>
  <si>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</si>
  <si>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</si>
  <si>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</si>
  <si>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</si>
  <si>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</si>
  <si>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</si>
  <si>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</si>
  <si>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</si>
  <si>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</si>
  <si>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</si>
  <si>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</si>
  <si>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</si>
  <si>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</si>
  <si>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</si>
  <si>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</si>
  <si>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</si>
  <si>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</si>
  <si>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</si>
  <si>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</si>
  <si>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</si>
  <si>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</si>
  <si>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</si>
  <si>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</si>
  <si>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6823.HK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</si>
  <si>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</si>
  <si>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</si>
  <si>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</si>
  <si>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</si>
  <si>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</si>
  <si>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</si>
  <si>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</si>
  <si>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</si>
  <si>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</si>
  <si>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</si>
  <si>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</si>
  <si>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</si>
  <si>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</si>
  <si>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</si>
  <si>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</si>
  <si>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</si>
  <si>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</si>
  <si>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</si>
  <si>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</si>
  <si>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</si>
  <si>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</si>
  <si>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</si>
  <si>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</si>
  <si>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</si>
  <si>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</si>
  <si>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</si>
  <si>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</si>
  <si>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</si>
  <si>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</si>
  <si>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</si>
  <si>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6823.HK owner-FCF component DCF: base case (millions, HKD)</t>
  </si>
  <si>
    <t xml:space="preserve">6823.HK owner-FCF component DCF: bull case (millions, HKD)</t>
  </si>
  <si>
    <t xml:space="preserve">6823.HK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</si>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</sst>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</row>
    <row r="2" customFormat="false" ht="15" hidden="false" customHeight="false" outlineLevel="0" collapsed="false">
      <c r="A2" s="0" t="s">
        <v>70</v>
      </c>
      <c r="B2" s="0" t="n">
        <v>33067</v>
      </c>
      <c r="C2" s="0" t="n">
        <v>15972</v>
      </c>
      <c r="D2" s="0" t="n">
        <v>17095</v>
      </c>
      <c r="E2" s="0" t="n">
        <v>51.7</v>
      </c>
      <c r="H2" s="0" t="n">
        <v>12285</v>
      </c>
      <c r="I2" s="0" t="n">
        <v>4745</v>
      </c>
      <c r="J2" s="0" t="n">
        <v>14.3</v>
      </c>
      <c r="K2" s="0" t="n">
        <v>0.6266</v>
      </c>
      <c r="L2" s="0" t="n">
        <v>10261</v>
      </c>
      <c r="M2" s="0" t="n">
        <v>3846</v>
      </c>
      <c r="N2" s="0" t="n">
        <v>6415</v>
      </c>
      <c r="O2" s="0" t="n">
        <v>37850</v>
      </c>
      <c r="P2" s="0" t="n">
        <v>95172</v>
      </c>
      <c r="Q2" s="0" t="n">
        <v>57282</v>
      </c>
      <c r="R2" s="0" t="n">
        <v>39146</v>
      </c>
      <c r="S2" s="0" t="n">
        <v>3217</v>
      </c>
      <c r="T2" s="0" t="n">
        <v>7572.6</v>
      </c>
      <c r="U2" s="0" t="n">
        <v>50</v>
      </c>
      <c r="AA2" s="0" t="s">
        <v>17</v>
      </c>
      <c r="AB2" s="0" t="s">
        <v>14</v>
      </c>
      <c r="AD2" s="0" t="n">
        <v>1244</v>
      </c>
      <c r="AE2" s="0" t="n">
        <v>2602</v>
      </c>
    </row>
    <row r="3" customFormat="false" ht="15" hidden="false" customHeight="false" outlineLevel="0" collapsed="false">
      <c r="A3" s="0" t="s">
        <v>71</v>
      </c>
      <c r="B3" s="0" t="n">
        <v>35187</v>
      </c>
      <c r="C3" s="0" t="n">
        <v>17980</v>
      </c>
      <c r="D3" s="0" t="n">
        <v>17207</v>
      </c>
      <c r="E3" s="0" t="n">
        <v>48.9</v>
      </c>
      <c r="H3" s="0" t="n">
        <v>12558</v>
      </c>
      <c r="I3" s="0" t="n">
        <v>4825</v>
      </c>
      <c r="J3" s="0" t="n">
        <v>13.7</v>
      </c>
      <c r="K3" s="0" t="n">
        <v>0.6371</v>
      </c>
      <c r="L3" s="0" t="n">
        <v>10659</v>
      </c>
      <c r="M3" s="0" t="n">
        <v>4673</v>
      </c>
      <c r="N3" s="0" t="n">
        <v>5986</v>
      </c>
      <c r="O3" s="0" t="n">
        <v>37555</v>
      </c>
      <c r="P3" s="0" t="n">
        <v>97565</v>
      </c>
      <c r="Q3" s="0" t="n">
        <v>59971</v>
      </c>
      <c r="R3" s="0" t="n">
        <v>40169</v>
      </c>
      <c r="S3" s="0" t="n">
        <v>2534</v>
      </c>
      <c r="T3" s="0" t="n">
        <v>7573.4</v>
      </c>
      <c r="U3" s="0" t="n">
        <v>55</v>
      </c>
      <c r="AA3" s="0" t="s">
        <v>17</v>
      </c>
      <c r="AB3" s="0" t="s">
        <v>14</v>
      </c>
      <c r="AC3" s="0" t="n">
        <v>1615</v>
      </c>
      <c r="AD3" s="0" t="n">
        <v>2137</v>
      </c>
      <c r="AE3" s="0" t="n">
        <v>2536</v>
      </c>
      <c r="AG3" s="0" t="n">
        <v>2729</v>
      </c>
      <c r="AI3" s="0" t="n">
        <v>4324</v>
      </c>
    </row>
    <row r="4" customFormat="false" ht="15" hidden="false" customHeight="false" outlineLevel="0" collapsed="false">
      <c r="A4" s="0" t="s">
        <v>72</v>
      </c>
      <c r="B4" s="0" t="n">
        <v>33103</v>
      </c>
      <c r="C4" s="0" t="n">
        <v>15787</v>
      </c>
      <c r="D4" s="0" t="n">
        <v>17316</v>
      </c>
      <c r="E4" s="0" t="n">
        <v>52.3</v>
      </c>
      <c r="H4" s="0" t="n">
        <v>12817</v>
      </c>
      <c r="I4" s="0" t="n">
        <v>5217</v>
      </c>
      <c r="J4" s="0" t="n">
        <v>15.8</v>
      </c>
      <c r="K4" s="0" t="n">
        <v>0.6889</v>
      </c>
      <c r="L4" s="0" t="n">
        <v>11084</v>
      </c>
      <c r="M4" s="0" t="n">
        <v>5129</v>
      </c>
      <c r="N4" s="0" t="n">
        <v>5955</v>
      </c>
      <c r="O4" s="0" t="n">
        <v>37912</v>
      </c>
      <c r="P4" s="0" t="n">
        <v>99769</v>
      </c>
      <c r="Q4" s="0" t="n">
        <v>61799</v>
      </c>
      <c r="R4" s="0" t="n">
        <v>40358</v>
      </c>
      <c r="S4" s="0" t="n">
        <v>2417</v>
      </c>
      <c r="T4" s="0" t="n">
        <v>7572.9</v>
      </c>
      <c r="U4" s="0" t="n">
        <v>39</v>
      </c>
      <c r="AA4" s="0" t="s">
        <v>17</v>
      </c>
      <c r="AB4" s="0" t="s">
        <v>14</v>
      </c>
      <c r="AC4" s="0" t="n">
        <v>1620</v>
      </c>
      <c r="AD4" s="0" t="n">
        <v>2487</v>
      </c>
      <c r="AE4" s="0" t="n">
        <v>2642</v>
      </c>
      <c r="AG4" s="0" t="n">
        <v>2953</v>
      </c>
      <c r="AI4" s="0" t="n">
        <v>4679</v>
      </c>
    </row>
    <row r="5" customFormat="false" ht="15" hidden="false" customHeight="false" outlineLevel="0" collapsed="false">
      <c r="A5" s="0" t="s">
        <v>73</v>
      </c>
      <c r="B5" s="0" t="n">
        <v>32389</v>
      </c>
      <c r="C5" s="0" t="n">
        <v>15703</v>
      </c>
      <c r="D5" s="0" t="n">
        <v>16686</v>
      </c>
      <c r="E5" s="0" t="n">
        <v>51.5</v>
      </c>
      <c r="H5" s="0" t="n">
        <v>12527</v>
      </c>
      <c r="I5" s="0" t="n">
        <v>5303</v>
      </c>
      <c r="J5" s="0" t="n">
        <v>16.4</v>
      </c>
      <c r="K5" s="0" t="n">
        <v>0.7</v>
      </c>
      <c r="L5" s="0" t="n">
        <v>10540</v>
      </c>
      <c r="M5" s="0" t="n">
        <v>4768</v>
      </c>
      <c r="N5" s="0" t="n">
        <v>5772</v>
      </c>
      <c r="O5" s="0" t="n">
        <v>37838</v>
      </c>
      <c r="P5" s="0" t="n">
        <v>103171</v>
      </c>
      <c r="Q5" s="0" t="n">
        <v>65271</v>
      </c>
      <c r="R5" s="0" t="n">
        <v>42271</v>
      </c>
      <c r="S5" s="0" t="n">
        <v>2092</v>
      </c>
      <c r="T5" s="0" t="n">
        <v>7575.7</v>
      </c>
      <c r="U5" s="0" t="n">
        <v>39</v>
      </c>
      <c r="AA5" s="0" t="s">
        <v>17</v>
      </c>
      <c r="AB5" s="0" t="s">
        <v>14</v>
      </c>
      <c r="AC5" s="0" t="n">
        <v>1627</v>
      </c>
      <c r="AD5" s="0" t="n">
        <v>2391</v>
      </c>
      <c r="AE5" s="0" t="n">
        <v>2377</v>
      </c>
      <c r="AF5" s="0" t="n">
        <v>1348</v>
      </c>
      <c r="AG5" s="0" t="n">
        <v>3178</v>
      </c>
      <c r="AI5" s="0" t="n">
        <v>4605</v>
      </c>
    </row>
    <row r="6" customFormat="false" ht="15" hidden="false" customHeight="false" outlineLevel="0" collapsed="false">
      <c r="A6" s="0" t="s">
        <v>74</v>
      </c>
      <c r="B6" s="0" t="n">
        <v>33961</v>
      </c>
      <c r="C6" s="0" t="n">
        <v>16729</v>
      </c>
      <c r="D6" s="0" t="n">
        <v>17232</v>
      </c>
      <c r="E6" s="0" t="n">
        <v>50.7</v>
      </c>
      <c r="H6" s="0" t="n">
        <v>12733</v>
      </c>
      <c r="I6" s="0" t="n">
        <v>4808</v>
      </c>
      <c r="J6" s="0" t="n">
        <v>14.2</v>
      </c>
      <c r="K6" s="0" t="n">
        <v>0.6348</v>
      </c>
      <c r="L6" s="0" t="n">
        <v>10641</v>
      </c>
      <c r="M6" s="0" t="n">
        <v>5265</v>
      </c>
      <c r="N6" s="0" t="n">
        <v>5376</v>
      </c>
      <c r="O6" s="0" t="n">
        <v>37141</v>
      </c>
      <c r="P6" s="0" t="n">
        <v>109612</v>
      </c>
      <c r="Q6" s="0" t="n">
        <v>72415</v>
      </c>
      <c r="R6" s="0" t="n">
        <v>43689</v>
      </c>
      <c r="S6" s="0" t="n">
        <v>2411</v>
      </c>
      <c r="T6" s="0" t="n">
        <v>7574</v>
      </c>
      <c r="U6" s="0" t="n">
        <v>33</v>
      </c>
      <c r="AA6" s="0" t="s">
        <v>17</v>
      </c>
      <c r="AB6" s="0" t="s">
        <v>14</v>
      </c>
      <c r="AC6" s="0" t="n">
        <v>1637</v>
      </c>
      <c r="AD6" s="0" t="n">
        <v>2887</v>
      </c>
      <c r="AE6" s="0" t="n">
        <v>2378</v>
      </c>
      <c r="AF6" s="0" t="n">
        <v>1373</v>
      </c>
      <c r="AG6" s="0" t="n">
        <v>3541</v>
      </c>
      <c r="AI6" s="0" t="n">
        <v>4770</v>
      </c>
    </row>
    <row r="7" customFormat="false" ht="15" hidden="false" customHeight="false" outlineLevel="0" collapsed="false">
      <c r="A7" s="0" t="s">
        <v>75</v>
      </c>
      <c r="B7" s="0" t="n">
        <v>34125</v>
      </c>
      <c r="C7" s="0" t="n">
        <v>17094</v>
      </c>
      <c r="D7" s="0" t="n">
        <v>17031</v>
      </c>
      <c r="E7" s="0" t="n">
        <v>49.9</v>
      </c>
      <c r="H7" s="0" t="n">
        <v>13064</v>
      </c>
      <c r="I7" s="0" t="n">
        <v>4901</v>
      </c>
      <c r="J7" s="0" t="n">
        <v>14.4</v>
      </c>
      <c r="K7" s="0" t="n">
        <v>0.647</v>
      </c>
      <c r="L7" s="0" t="n">
        <v>10691</v>
      </c>
      <c r="M7" s="0" t="n">
        <v>5000</v>
      </c>
      <c r="N7" s="0" t="n">
        <v>5691</v>
      </c>
      <c r="O7" s="0" t="n">
        <v>36369</v>
      </c>
      <c r="P7" s="0" t="n">
        <v>111195</v>
      </c>
      <c r="Q7" s="0" t="n">
        <v>74766</v>
      </c>
      <c r="R7" s="0" t="n">
        <v>43838</v>
      </c>
      <c r="S7" s="0" t="n">
        <v>1997</v>
      </c>
      <c r="T7" s="0" t="n">
        <v>7575</v>
      </c>
      <c r="U7" s="0" t="n">
        <v>30</v>
      </c>
      <c r="AA7" s="0" t="s">
        <v>17</v>
      </c>
      <c r="AB7" s="0" t="s">
        <v>14</v>
      </c>
      <c r="AC7" s="0" t="n">
        <v>1640</v>
      </c>
      <c r="AD7" s="0" t="n">
        <v>2747</v>
      </c>
      <c r="AE7" s="0" t="n">
        <v>2253</v>
      </c>
      <c r="AF7" s="0" t="n">
        <v>1398</v>
      </c>
      <c r="AG7" s="0" t="n">
        <v>3707</v>
      </c>
      <c r="AI7" s="0" t="n">
        <v>4787</v>
      </c>
    </row>
    <row r="8" customFormat="false" ht="15" hidden="false" customHeight="false" outlineLevel="0" collapsed="false">
      <c r="A8" s="0" t="s">
        <v>76</v>
      </c>
      <c r="B8" s="0" t="n">
        <v>34330</v>
      </c>
      <c r="C8" s="0" t="n">
        <v>17454</v>
      </c>
      <c r="D8" s="0" t="n">
        <v>16876</v>
      </c>
      <c r="E8" s="0" t="n">
        <v>49.2</v>
      </c>
      <c r="H8" s="0" t="n">
        <v>13400</v>
      </c>
      <c r="I8" s="0" t="n">
        <v>4991</v>
      </c>
      <c r="J8" s="0" t="n">
        <v>14.5</v>
      </c>
      <c r="K8" s="0" t="n">
        <v>0.6588</v>
      </c>
      <c r="L8" s="0" t="n">
        <v>11261</v>
      </c>
      <c r="M8" s="0" t="n">
        <v>5035</v>
      </c>
      <c r="N8" s="0" t="n">
        <v>6226</v>
      </c>
      <c r="O8" s="0" t="n">
        <v>35312</v>
      </c>
      <c r="P8" s="0" t="n">
        <v>112118</v>
      </c>
      <c r="Q8" s="0" t="n">
        <v>76736</v>
      </c>
      <c r="R8" s="0" t="n">
        <v>44567</v>
      </c>
      <c r="S8" s="0" t="n">
        <v>1630</v>
      </c>
      <c r="T8" s="0" t="n">
        <v>7575.9</v>
      </c>
      <c r="U8" s="0" t="n">
        <v>31</v>
      </c>
      <c r="AA8" s="0" t="s">
        <v>17</v>
      </c>
      <c r="AB8" s="0" t="s">
        <v>14</v>
      </c>
      <c r="AC8" s="0" t="n">
        <v>1647</v>
      </c>
      <c r="AD8" s="0" t="n">
        <v>2897</v>
      </c>
      <c r="AE8" s="0" t="n">
        <v>2138</v>
      </c>
      <c r="AF8" s="0" t="n">
        <v>1429</v>
      </c>
      <c r="AG8" s="0" t="n">
        <v>3847</v>
      </c>
      <c r="AI8" s="0" t="n">
        <v>4764</v>
      </c>
    </row>
    <row r="9" customFormat="false" ht="15" hidden="false" customHeight="false" outlineLevel="0" collapsed="false">
      <c r="A9" s="0" t="s">
        <v>77</v>
      </c>
      <c r="B9" s="0" t="n">
        <v>34753</v>
      </c>
      <c r="C9" s="0" t="n">
        <v>17710</v>
      </c>
      <c r="D9" s="0" t="n">
        <v>17043</v>
      </c>
      <c r="E9" s="0" t="n">
        <v>49</v>
      </c>
      <c r="H9" s="0" t="n">
        <v>13743</v>
      </c>
      <c r="I9" s="0" t="n">
        <v>5070</v>
      </c>
      <c r="J9" s="0" t="n">
        <v>14.6</v>
      </c>
      <c r="K9" s="0" t="n">
        <v>0.6691</v>
      </c>
      <c r="L9" s="0" t="n">
        <v>11911</v>
      </c>
      <c r="M9" s="0" t="n">
        <v>5127</v>
      </c>
      <c r="N9" s="0" t="n">
        <v>6784</v>
      </c>
      <c r="O9" s="0" t="n">
        <v>38282</v>
      </c>
      <c r="P9" s="0" t="n">
        <v>116813</v>
      </c>
      <c r="Q9" s="0" t="n">
        <v>77168</v>
      </c>
      <c r="R9" s="0" t="n">
        <v>41306</v>
      </c>
      <c r="S9" s="0" t="n">
        <v>1850</v>
      </c>
      <c r="T9" s="0" t="n">
        <v>7577.3</v>
      </c>
      <c r="U9" s="0" t="n">
        <v>34</v>
      </c>
      <c r="AA9" s="0" t="s">
        <v>17</v>
      </c>
      <c r="AB9" s="0" t="s">
        <v>14</v>
      </c>
      <c r="AC9" s="0" t="n">
        <v>1650</v>
      </c>
      <c r="AD9" s="0" t="n">
        <v>3090</v>
      </c>
      <c r="AE9" s="0" t="n">
        <v>2037</v>
      </c>
      <c r="AF9" s="0" t="n">
        <v>1433</v>
      </c>
      <c r="AG9" s="0" t="n">
        <v>4008</v>
      </c>
      <c r="AH9" s="0" t="n">
        <v>5</v>
      </c>
      <c r="AI9" s="0" t="n">
        <v>4805</v>
      </c>
    </row>
    <row r="10" customFormat="false" ht="15" hidden="false" customHeight="false" outlineLevel="0" collapsed="false">
      <c r="A10" s="0" t="s">
        <v>78</v>
      </c>
      <c r="B10" s="0" t="n">
        <v>36553</v>
      </c>
      <c r="C10" s="0" t="n">
        <v>19140</v>
      </c>
      <c r="D10" s="0" t="n">
        <v>17413</v>
      </c>
      <c r="E10" s="0" t="n">
        <v>47.6</v>
      </c>
      <c r="H10" s="0" t="n">
        <v>14234</v>
      </c>
      <c r="I10" s="0" t="n">
        <v>5286</v>
      </c>
      <c r="J10" s="0" t="n">
        <v>14.5</v>
      </c>
      <c r="K10" s="0" t="n">
        <v>0.6975</v>
      </c>
      <c r="L10" s="0" t="n">
        <v>11628</v>
      </c>
      <c r="M10" s="0" t="n">
        <v>5534</v>
      </c>
      <c r="N10" s="0" t="n">
        <v>6094</v>
      </c>
      <c r="O10" s="0" t="n">
        <v>36821</v>
      </c>
      <c r="P10" s="0" t="n">
        <v>121152</v>
      </c>
      <c r="Q10" s="0" t="n">
        <v>82758</v>
      </c>
      <c r="R10" s="0" t="n">
        <v>44575</v>
      </c>
      <c r="S10" s="0" t="n">
        <v>1957</v>
      </c>
      <c r="T10" s="0" t="n">
        <v>7578.5</v>
      </c>
      <c r="U10" s="0" t="n">
        <v>42</v>
      </c>
      <c r="AA10" s="0" t="s">
        <v>17</v>
      </c>
      <c r="AB10" s="0" t="s">
        <v>14</v>
      </c>
      <c r="AC10" s="0" t="n">
        <v>1661</v>
      </c>
      <c r="AD10" s="0" t="n">
        <v>3557</v>
      </c>
      <c r="AE10" s="0" t="n">
        <v>1977</v>
      </c>
      <c r="AF10" s="0" t="n">
        <v>1464</v>
      </c>
      <c r="AG10" s="0" t="n">
        <v>4148</v>
      </c>
      <c r="AH10" s="0" t="n">
        <v>23</v>
      </c>
      <c r="AI10" s="0" t="n">
        <v>4817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12</v>
      </c>
    </row>
    <row r="3" customFormat="false" ht="15" hidden="false" customHeight="false" outlineLevel="0" collapsed="false">
      <c r="A3" s="0" t="s">
        <v>82</v>
      </c>
      <c r="B3" s="3" t="n">
        <v>7581</v>
      </c>
    </row>
    <row r="4" customFormat="false" ht="15" hidden="false" customHeight="false" outlineLevel="0" collapsed="false">
      <c r="A4" s="0" t="s">
        <v>83</v>
      </c>
      <c r="B4" s="3" t="n">
        <v>46648</v>
      </c>
    </row>
    <row r="5" customFormat="false" ht="15" hidden="false" customHeight="false" outlineLevel="0" collapsed="false">
      <c r="A5" s="0" t="s">
        <v>84</v>
      </c>
      <c r="B5" s="3" t="n">
        <v>-5821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36553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4</v>
      </c>
      <c r="D13" s="3" t="n">
        <v>1.5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103</v>
      </c>
      <c r="C14" s="3" t="n">
        <v>37.5</v>
      </c>
      <c r="D14" s="3" t="n">
        <v>37.3</v>
      </c>
      <c r="E14" s="3" t="n">
        <v>37.2</v>
      </c>
      <c r="F14" s="3" t="n">
        <v>37</v>
      </c>
      <c r="G14" s="3" t="n">
        <v>37</v>
      </c>
      <c r="H14" s="3" t="n">
        <v>37</v>
      </c>
      <c r="I14" s="3" t="n">
        <v>37</v>
      </c>
      <c r="J14" s="3" t="n">
        <v>37</v>
      </c>
      <c r="K14" s="3" t="n">
        <v>37</v>
      </c>
      <c r="L14" s="3" t="n">
        <v>37</v>
      </c>
    </row>
    <row r="15" customFormat="false" ht="15" hidden="false" customHeight="false" outlineLevel="0" collapsed="false">
      <c r="A15" s="0" t="s">
        <v>104</v>
      </c>
      <c r="C15" s="3" t="n">
        <v>0.12</v>
      </c>
      <c r="D15" s="3" t="n">
        <v>0.12</v>
      </c>
      <c r="E15" s="3" t="n">
        <v>0.12</v>
      </c>
      <c r="F15" s="3" t="n">
        <v>0.12</v>
      </c>
      <c r="G15" s="3" t="n">
        <v>0.12</v>
      </c>
      <c r="H15" s="3" t="n">
        <v>0.12</v>
      </c>
      <c r="I15" s="3" t="n">
        <v>0.12</v>
      </c>
      <c r="J15" s="3" t="n">
        <v>0.12</v>
      </c>
      <c r="K15" s="3" t="n">
        <v>0.12</v>
      </c>
      <c r="L15" s="3" t="n">
        <v>0.12</v>
      </c>
    </row>
    <row r="16" customFormat="false" ht="15" hidden="false" customHeight="false" outlineLevel="0" collapsed="false">
      <c r="A16" s="0" t="s">
        <v>105</v>
      </c>
      <c r="C16" s="3" t="n">
        <v>3.6</v>
      </c>
      <c r="D16" s="3" t="n">
        <v>3.6</v>
      </c>
      <c r="E16" s="3" t="n">
        <v>3.6</v>
      </c>
      <c r="F16" s="3" t="n">
        <v>3.6</v>
      </c>
      <c r="G16" s="3" t="n">
        <v>3.6</v>
      </c>
      <c r="H16" s="3" t="n">
        <v>3.6</v>
      </c>
      <c r="I16" s="3" t="n">
        <v>3.6</v>
      </c>
      <c r="J16" s="3" t="n">
        <v>3.6</v>
      </c>
      <c r="K16" s="3" t="n">
        <v>3.6</v>
      </c>
      <c r="L16" s="3" t="n">
        <v>3.6</v>
      </c>
    </row>
    <row r="17" customFormat="false" ht="15" hidden="false" customHeight="false" outlineLevel="0" collapsed="false">
      <c r="A17" s="0" t="s">
        <v>106</v>
      </c>
      <c r="C17" s="3" t="n">
        <v>12.6</v>
      </c>
      <c r="D17" s="3" t="n">
        <v>12.8</v>
      </c>
      <c r="E17" s="3" t="n">
        <v>13</v>
      </c>
      <c r="F17" s="3" t="n">
        <v>13.2</v>
      </c>
      <c r="G17" s="3" t="n">
        <v>13.4</v>
      </c>
      <c r="H17" s="3" t="n">
        <v>13.6</v>
      </c>
      <c r="I17" s="3" t="n">
        <v>13.8</v>
      </c>
      <c r="J17" s="3" t="n">
        <v>14</v>
      </c>
      <c r="K17" s="3" t="n">
        <v>14</v>
      </c>
      <c r="L17" s="3" t="n">
        <v>14</v>
      </c>
    </row>
    <row r="18" customFormat="false" ht="15" hidden="false" customHeight="false" outlineLevel="0" collapsed="false">
      <c r="A18" s="0" t="s">
        <v>107</v>
      </c>
      <c r="C18" s="3" t="n">
        <v>22.5</v>
      </c>
      <c r="D18" s="3" t="n">
        <v>22</v>
      </c>
      <c r="E18" s="3" t="n">
        <v>21.5</v>
      </c>
      <c r="F18" s="3" t="n">
        <v>21</v>
      </c>
      <c r="G18" s="3" t="n">
        <v>21</v>
      </c>
      <c r="H18" s="3" t="n">
        <v>21</v>
      </c>
      <c r="I18" s="3" t="n">
        <v>21</v>
      </c>
      <c r="J18" s="3" t="n">
        <v>21</v>
      </c>
      <c r="K18" s="3" t="n">
        <v>21</v>
      </c>
      <c r="L18" s="3" t="n">
        <v>21</v>
      </c>
    </row>
    <row r="19" customFormat="false" ht="15" hidden="false" customHeight="false" outlineLevel="0" collapsed="false">
      <c r="A19" s="0" t="s">
        <v>108</v>
      </c>
      <c r="C19" s="3" t="n">
        <v>9</v>
      </c>
      <c r="D19" s="3" t="n">
        <v>11</v>
      </c>
      <c r="E19" s="3" t="n">
        <v>13</v>
      </c>
      <c r="F19" s="3" t="n">
        <v>15</v>
      </c>
      <c r="G19" s="3" t="n">
        <v>16</v>
      </c>
      <c r="H19" s="3" t="n">
        <v>16.5</v>
      </c>
      <c r="I19" s="3" t="n">
        <v>16.5</v>
      </c>
      <c r="J19" s="3" t="n">
        <v>16.5</v>
      </c>
      <c r="K19" s="3" t="n">
        <v>16.5</v>
      </c>
      <c r="L19" s="3" t="n">
        <v>16.5</v>
      </c>
    </row>
    <row r="20" customFormat="false" ht="15" hidden="false" customHeight="false" outlineLevel="0" collapsed="false">
      <c r="A20" s="0" t="s">
        <v>109</v>
      </c>
      <c r="B20" s="3" t="n">
        <v>6.5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15</v>
      </c>
    </row>
    <row r="23" customFormat="false" ht="15" hidden="false" customHeight="false" outlineLevel="0" collapsed="false">
      <c r="A23" s="0" t="s">
        <v>112</v>
      </c>
      <c r="B23" s="3" t="n">
        <v>0</v>
      </c>
    </row>
    <row r="24" customFormat="false" ht="15" hidden="false" customHeight="false" outlineLevel="0" collapsed="false">
      <c r="A24" s="0" t="s">
        <v>113</v>
      </c>
      <c r="B24" s="3" t="n">
        <v>0.3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6</v>
      </c>
      <c r="D27" s="3" t="n">
        <v>3</v>
      </c>
      <c r="E27" s="3" t="n">
        <v>2.5</v>
      </c>
      <c r="F27" s="3" t="n">
        <v>2.5</v>
      </c>
      <c r="G27" s="3" t="n">
        <v>2.5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103</v>
      </c>
      <c r="C28" s="3" t="n">
        <v>38</v>
      </c>
      <c r="D28" s="3" t="n">
        <v>38.3</v>
      </c>
      <c r="E28" s="3" t="n">
        <v>38.5</v>
      </c>
      <c r="F28" s="3" t="n">
        <v>38.6</v>
      </c>
      <c r="G28" s="3" t="n">
        <v>38.7</v>
      </c>
      <c r="H28" s="3" t="n">
        <v>38.7</v>
      </c>
      <c r="I28" s="3" t="n">
        <v>38.7</v>
      </c>
      <c r="J28" s="3" t="n">
        <v>38.7</v>
      </c>
      <c r="K28" s="3" t="n">
        <v>38.7</v>
      </c>
      <c r="L28" s="3" t="n">
        <v>38.7</v>
      </c>
    </row>
    <row r="29" customFormat="false" ht="15" hidden="false" customHeight="false" outlineLevel="0" collapsed="false">
      <c r="A29" s="0" t="s">
        <v>104</v>
      </c>
      <c r="C29" s="3" t="n">
        <v>0.12</v>
      </c>
      <c r="D29" s="3" t="n">
        <v>0.12</v>
      </c>
      <c r="E29" s="3" t="n">
        <v>0.12</v>
      </c>
      <c r="F29" s="3" t="n">
        <v>0.12</v>
      </c>
      <c r="G29" s="3" t="n">
        <v>0.12</v>
      </c>
      <c r="H29" s="3" t="n">
        <v>0.12</v>
      </c>
      <c r="I29" s="3" t="n">
        <v>0.12</v>
      </c>
      <c r="J29" s="3" t="n">
        <v>0.12</v>
      </c>
      <c r="K29" s="3" t="n">
        <v>0.12</v>
      </c>
      <c r="L29" s="3" t="n">
        <v>0.12</v>
      </c>
    </row>
    <row r="30" customFormat="false" ht="15" hidden="false" customHeight="false" outlineLevel="0" collapsed="false">
      <c r="A30" s="0" t="s">
        <v>105</v>
      </c>
      <c r="C30" s="3" t="n">
        <v>3.5</v>
      </c>
      <c r="D30" s="3" t="n">
        <v>3.4</v>
      </c>
      <c r="E30" s="3" t="n">
        <v>3.3</v>
      </c>
      <c r="F30" s="3" t="n">
        <v>3.3</v>
      </c>
      <c r="G30" s="3" t="n">
        <v>3.3</v>
      </c>
      <c r="H30" s="3" t="n">
        <v>3.3</v>
      </c>
      <c r="I30" s="3" t="n">
        <v>3.3</v>
      </c>
      <c r="J30" s="3" t="n">
        <v>3.3</v>
      </c>
      <c r="K30" s="3" t="n">
        <v>3.3</v>
      </c>
      <c r="L30" s="3" t="n">
        <v>3.3</v>
      </c>
    </row>
    <row r="31" customFormat="false" ht="15" hidden="false" customHeight="false" outlineLevel="0" collapsed="false">
      <c r="A31" s="0" t="s">
        <v>106</v>
      </c>
      <c r="C31" s="3" t="n">
        <v>12.6</v>
      </c>
      <c r="D31" s="3" t="n">
        <v>12.8</v>
      </c>
      <c r="E31" s="3" t="n">
        <v>13</v>
      </c>
      <c r="F31" s="3" t="n">
        <v>13.2</v>
      </c>
      <c r="G31" s="3" t="n">
        <v>13.4</v>
      </c>
      <c r="H31" s="3" t="n">
        <v>13.6</v>
      </c>
      <c r="I31" s="3" t="n">
        <v>13.8</v>
      </c>
      <c r="J31" s="3" t="n">
        <v>14</v>
      </c>
      <c r="K31" s="3" t="n">
        <v>14</v>
      </c>
      <c r="L31" s="3" t="n">
        <v>14</v>
      </c>
    </row>
    <row r="32" customFormat="false" ht="15" hidden="false" customHeight="false" outlineLevel="0" collapsed="false">
      <c r="A32" s="0" t="s">
        <v>107</v>
      </c>
      <c r="C32" s="3" t="n">
        <v>22</v>
      </c>
      <c r="D32" s="3" t="n">
        <v>21</v>
      </c>
      <c r="E32" s="3" t="n">
        <v>20.5</v>
      </c>
      <c r="F32" s="3" t="n">
        <v>20</v>
      </c>
      <c r="G32" s="3" t="n">
        <v>20</v>
      </c>
      <c r="H32" s="3" t="n">
        <v>20</v>
      </c>
      <c r="I32" s="3" t="n">
        <v>20</v>
      </c>
      <c r="J32" s="3" t="n">
        <v>20</v>
      </c>
      <c r="K32" s="3" t="n">
        <v>20</v>
      </c>
      <c r="L32" s="3" t="n">
        <v>20</v>
      </c>
    </row>
    <row r="33" customFormat="false" ht="15" hidden="false" customHeight="false" outlineLevel="0" collapsed="false">
      <c r="A33" s="0" t="s">
        <v>108</v>
      </c>
      <c r="C33" s="3" t="n">
        <v>8</v>
      </c>
      <c r="D33" s="3" t="n">
        <v>10</v>
      </c>
      <c r="E33" s="3" t="n">
        <v>11</v>
      </c>
      <c r="F33" s="3" t="n">
        <v>12</v>
      </c>
      <c r="G33" s="3" t="n">
        <v>13</v>
      </c>
      <c r="H33" s="3" t="n">
        <v>14</v>
      </c>
      <c r="I33" s="3" t="n">
        <v>14</v>
      </c>
      <c r="J33" s="3" t="n">
        <v>14</v>
      </c>
      <c r="K33" s="3" t="n">
        <v>14</v>
      </c>
      <c r="L33" s="3" t="n">
        <v>14</v>
      </c>
    </row>
    <row r="34" customFormat="false" ht="15" hidden="false" customHeight="false" outlineLevel="0" collapsed="false">
      <c r="A34" s="0" t="s">
        <v>109</v>
      </c>
      <c r="B34" s="3" t="n">
        <v>6.5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18</v>
      </c>
    </row>
    <row r="37" customFormat="false" ht="15" hidden="false" customHeight="false" outlineLevel="0" collapsed="false">
      <c r="A37" s="0" t="s">
        <v>112</v>
      </c>
      <c r="B37" s="3" t="n">
        <v>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8</v>
      </c>
      <c r="D41" s="3" t="n">
        <v>4</v>
      </c>
      <c r="E41" s="3" t="n">
        <v>3.5</v>
      </c>
      <c r="F41" s="3" t="n">
        <v>3.5</v>
      </c>
      <c r="G41" s="3" t="n">
        <v>3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38.3</v>
      </c>
      <c r="D42" s="3" t="n">
        <v>38.7</v>
      </c>
      <c r="E42" s="3" t="n">
        <v>39</v>
      </c>
      <c r="F42" s="3" t="n">
        <v>39.2</v>
      </c>
      <c r="G42" s="3" t="n">
        <v>39.4</v>
      </c>
      <c r="H42" s="3" t="n">
        <v>39.5</v>
      </c>
      <c r="I42" s="3" t="n">
        <v>39.5</v>
      </c>
      <c r="J42" s="3" t="n">
        <v>39.5</v>
      </c>
      <c r="K42" s="3" t="n">
        <v>39.5</v>
      </c>
      <c r="L42" s="3" t="n">
        <v>39.5</v>
      </c>
    </row>
    <row r="43" customFormat="false" ht="15" hidden="false" customHeight="false" outlineLevel="0" collapsed="false">
      <c r="A43" s="0" t="s">
        <v>104</v>
      </c>
      <c r="C43" s="3" t="n">
        <v>0.12</v>
      </c>
      <c r="D43" s="3" t="n">
        <v>0.12</v>
      </c>
      <c r="E43" s="3" t="n">
        <v>0.12</v>
      </c>
      <c r="F43" s="3" t="n">
        <v>0.12</v>
      </c>
      <c r="G43" s="3" t="n">
        <v>0.12</v>
      </c>
      <c r="H43" s="3" t="n">
        <v>0.12</v>
      </c>
      <c r="I43" s="3" t="n">
        <v>0.12</v>
      </c>
      <c r="J43" s="3" t="n">
        <v>0.12</v>
      </c>
      <c r="K43" s="3" t="n">
        <v>0.12</v>
      </c>
      <c r="L43" s="3" t="n">
        <v>0.12</v>
      </c>
    </row>
    <row r="44" customFormat="false" ht="15" hidden="false" customHeight="false" outlineLevel="0" collapsed="false">
      <c r="A44" s="0" t="s">
        <v>105</v>
      </c>
      <c r="C44" s="3" t="n">
        <v>3.5</v>
      </c>
      <c r="D44" s="3" t="n">
        <v>3.4</v>
      </c>
      <c r="E44" s="3" t="n">
        <v>3.3</v>
      </c>
      <c r="F44" s="3" t="n">
        <v>3.2</v>
      </c>
      <c r="G44" s="3" t="n">
        <v>3.2</v>
      </c>
      <c r="H44" s="3" t="n">
        <v>3.2</v>
      </c>
      <c r="I44" s="3" t="n">
        <v>3.2</v>
      </c>
      <c r="J44" s="3" t="n">
        <v>3.2</v>
      </c>
      <c r="K44" s="3" t="n">
        <v>3.2</v>
      </c>
      <c r="L44" s="3" t="n">
        <v>3.2</v>
      </c>
    </row>
    <row r="45" customFormat="false" ht="15" hidden="false" customHeight="false" outlineLevel="0" collapsed="false">
      <c r="A45" s="0" t="s">
        <v>106</v>
      </c>
      <c r="C45" s="3" t="n">
        <v>12.6</v>
      </c>
      <c r="D45" s="3" t="n">
        <v>12.8</v>
      </c>
      <c r="E45" s="3" t="n">
        <v>13</v>
      </c>
      <c r="F45" s="3" t="n">
        <v>13.2</v>
      </c>
      <c r="G45" s="3" t="n">
        <v>13.4</v>
      </c>
      <c r="H45" s="3" t="n">
        <v>13.6</v>
      </c>
      <c r="I45" s="3" t="n">
        <v>13.8</v>
      </c>
      <c r="J45" s="3" t="n">
        <v>14</v>
      </c>
      <c r="K45" s="3" t="n">
        <v>14</v>
      </c>
      <c r="L45" s="3" t="n">
        <v>14</v>
      </c>
    </row>
    <row r="46" customFormat="false" ht="15" hidden="false" customHeight="false" outlineLevel="0" collapsed="false">
      <c r="A46" s="0" t="s">
        <v>107</v>
      </c>
      <c r="C46" s="3" t="n">
        <v>21.5</v>
      </c>
      <c r="D46" s="3" t="n">
        <v>20</v>
      </c>
      <c r="E46" s="3" t="n">
        <v>19.5</v>
      </c>
      <c r="F46" s="3" t="n">
        <v>19</v>
      </c>
      <c r="G46" s="3" t="n">
        <v>19</v>
      </c>
      <c r="H46" s="3" t="n">
        <v>19</v>
      </c>
      <c r="I46" s="3" t="n">
        <v>19</v>
      </c>
      <c r="J46" s="3" t="n">
        <v>19</v>
      </c>
      <c r="K46" s="3" t="n">
        <v>19</v>
      </c>
      <c r="L46" s="3" t="n">
        <v>19</v>
      </c>
    </row>
    <row r="47" customFormat="false" ht="15" hidden="false" customHeight="false" outlineLevel="0" collapsed="false">
      <c r="A47" s="0" t="s">
        <v>108</v>
      </c>
      <c r="C47" s="3" t="n">
        <v>8</v>
      </c>
      <c r="D47" s="3" t="n">
        <v>9</v>
      </c>
      <c r="E47" s="3" t="n">
        <v>10</v>
      </c>
      <c r="F47" s="3" t="n">
        <v>11</v>
      </c>
      <c r="G47" s="3" t="n">
        <v>12</v>
      </c>
      <c r="H47" s="3" t="n">
        <v>12</v>
      </c>
      <c r="I47" s="3" t="n">
        <v>12</v>
      </c>
      <c r="J47" s="3" t="n">
        <v>12</v>
      </c>
      <c r="K47" s="3" t="n">
        <v>12</v>
      </c>
      <c r="L47" s="3" t="n">
        <v>12</v>
      </c>
    </row>
    <row r="48" customFormat="false" ht="15" hidden="false" customHeight="false" outlineLevel="0" collapsed="false">
      <c r="A48" s="0" t="s">
        <v>109</v>
      </c>
      <c r="B48" s="3" t="n">
        <v>6.5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20</v>
      </c>
    </row>
    <row r="51" customFormat="false" ht="15" hidden="false" customHeight="false" outlineLevel="0" collapsed="false">
      <c r="A51" s="0" t="s">
        <v>112</v>
      </c>
      <c r="B51" s="3" t="n">
        <v>10</v>
      </c>
    </row>
    <row r="52" customFormat="false" ht="15" hidden="false" customHeight="false" outlineLevel="0" collapsed="false">
      <c r="A52" s="0" t="s">
        <v>113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4</v>
      </c>
      <c r="D5" s="4" t="n">
        <f aca="false">Assumptions!D13</f>
        <v>1.5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36553</v>
      </c>
      <c r="C6" s="0" t="n">
        <f aca="false">B6*(1+C5/100)</f>
        <v>38015.12</v>
      </c>
      <c r="D6" s="0" t="n">
        <f aca="false">C6*(1+D5/100)</f>
        <v>38585.3468</v>
      </c>
      <c r="E6" s="0" t="n">
        <f aca="false">D6*(1+E5/100)</f>
        <v>38971.200268</v>
      </c>
      <c r="F6" s="0" t="n">
        <f aca="false">E6*(1+F5/100)</f>
        <v>39360.91227068</v>
      </c>
      <c r="G6" s="0" t="n">
        <f aca="false">F6*(1+G5/100)</f>
        <v>39754.5213933868</v>
      </c>
      <c r="H6" s="0" t="n">
        <f aca="false">G6*(1+H5/100)</f>
        <v>40152.0666073207</v>
      </c>
      <c r="I6" s="0" t="n">
        <f aca="false">H6*(1+I5/100)</f>
        <v>40553.5872733939</v>
      </c>
      <c r="J6" s="0" t="n">
        <f aca="false">I6*(1+J5/100)</f>
        <v>40959.1231461278</v>
      </c>
      <c r="K6" s="0" t="n">
        <f aca="false">J6*(1+K5/100)</f>
        <v>41368.7143775891</v>
      </c>
      <c r="L6" s="0" t="n">
        <f aca="false">K6*(1+L5/100)</f>
        <v>41782.401521365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37.5</v>
      </c>
      <c r="D7" s="4" t="n">
        <f aca="false">Assumptions!D14</f>
        <v>37.3</v>
      </c>
      <c r="E7" s="4" t="n">
        <f aca="false">Assumptions!E14</f>
        <v>37.2</v>
      </c>
      <c r="F7" s="4" t="n">
        <f aca="false">Assumptions!F14</f>
        <v>37</v>
      </c>
      <c r="G7" s="4" t="n">
        <f aca="false">Assumptions!G14</f>
        <v>37</v>
      </c>
      <c r="H7" s="4" t="n">
        <f aca="false">Assumptions!H14</f>
        <v>37</v>
      </c>
      <c r="I7" s="4" t="n">
        <f aca="false">Assumptions!I14</f>
        <v>37</v>
      </c>
      <c r="J7" s="4" t="n">
        <f aca="false">Assumptions!J14</f>
        <v>37</v>
      </c>
      <c r="K7" s="4" t="n">
        <f aca="false">Assumptions!K14</f>
        <v>37</v>
      </c>
      <c r="L7" s="4" t="n">
        <f aca="false">Assumptions!L14</f>
        <v>37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14255.67</v>
      </c>
      <c r="D8" s="0" t="n">
        <f aca="false">D6*D7/100</f>
        <v>14392.3343564</v>
      </c>
      <c r="E8" s="0" t="n">
        <f aca="false">E6*E7/100</f>
        <v>14497.286499696</v>
      </c>
      <c r="F8" s="0" t="n">
        <f aca="false">F6*F7/100</f>
        <v>14563.5375401516</v>
      </c>
      <c r="G8" s="0" t="n">
        <f aca="false">G6*G7/100</f>
        <v>14709.1729155531</v>
      </c>
      <c r="H8" s="0" t="n">
        <f aca="false">H6*H7/100</f>
        <v>14856.2646447087</v>
      </c>
      <c r="I8" s="0" t="n">
        <f aca="false">I6*I7/100</f>
        <v>15004.8272911557</v>
      </c>
      <c r="J8" s="0" t="n">
        <f aca="false">J6*J7/100</f>
        <v>15154.8755640673</v>
      </c>
      <c r="K8" s="0" t="n">
        <f aca="false">K6*K7/100</f>
        <v>15306.424319708</v>
      </c>
      <c r="L8" s="0" t="n">
        <f aca="false">L6*L7/100</f>
        <v>15459.488562905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0.12</v>
      </c>
      <c r="D9" s="4" t="n">
        <f aca="false">Assumptions!D15</f>
        <v>0.12</v>
      </c>
      <c r="E9" s="4" t="n">
        <f aca="false">Assumptions!E15</f>
        <v>0.12</v>
      </c>
      <c r="F9" s="4" t="n">
        <f aca="false">Assumptions!F15</f>
        <v>0.12</v>
      </c>
      <c r="G9" s="4" t="n">
        <f aca="false">Assumptions!G15</f>
        <v>0.12</v>
      </c>
      <c r="H9" s="4" t="n">
        <f aca="false">Assumptions!H15</f>
        <v>0.12</v>
      </c>
      <c r="I9" s="4" t="n">
        <f aca="false">Assumptions!I15</f>
        <v>0.12</v>
      </c>
      <c r="J9" s="4" t="n">
        <f aca="false">Assumptions!J15</f>
        <v>0.12</v>
      </c>
      <c r="K9" s="4" t="n">
        <f aca="false">Assumptions!K15</f>
        <v>0.12</v>
      </c>
      <c r="L9" s="4" t="n">
        <f aca="false">Assumptions!L15</f>
        <v>0.12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-45.618144</v>
      </c>
      <c r="D10" s="0" t="n">
        <f aca="false">-D6*D9/100</f>
        <v>-46.30241616</v>
      </c>
      <c r="E10" s="0" t="n">
        <f aca="false">-E6*E9/100</f>
        <v>-46.7654403216</v>
      </c>
      <c r="F10" s="0" t="n">
        <f aca="false">-F6*F9/100</f>
        <v>-47.233094724816</v>
      </c>
      <c r="G10" s="0" t="n">
        <f aca="false">-G6*G9/100</f>
        <v>-47.7054256720642</v>
      </c>
      <c r="H10" s="0" t="n">
        <f aca="false">-H6*H9/100</f>
        <v>-48.1824799287848</v>
      </c>
      <c r="I10" s="0" t="n">
        <f aca="false">-I6*I9/100</f>
        <v>-48.6643047280727</v>
      </c>
      <c r="J10" s="0" t="n">
        <f aca="false">-J6*J9/100</f>
        <v>-49.1509477753534</v>
      </c>
      <c r="K10" s="0" t="n">
        <f aca="false">-K6*K9/100</f>
        <v>-49.6424572531069</v>
      </c>
      <c r="L10" s="0" t="n">
        <f aca="false">-L6*L9/100</f>
        <v>-50.138881825638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12841.507536</v>
      </c>
      <c r="D11" s="0" t="n">
        <f aca="false">D8+D10+D24</f>
        <v>12956.95945544</v>
      </c>
      <c r="E11" s="0" t="n">
        <f aca="false">E8+E10+E24</f>
        <v>13047.5578497264</v>
      </c>
      <c r="F11" s="0" t="n">
        <f aca="false">F8+F10+F24</f>
        <v>13099.3116036823</v>
      </c>
      <c r="G11" s="0" t="n">
        <f aca="false">G8+G10+G24</f>
        <v>13230.3047197191</v>
      </c>
      <c r="H11" s="0" t="n">
        <f aca="false">H8+H10+H24</f>
        <v>13362.6077669163</v>
      </c>
      <c r="I11" s="0" t="n">
        <f aca="false">I8+I10+I24</f>
        <v>13496.2338445855</v>
      </c>
      <c r="J11" s="0" t="n">
        <f aca="false">J8+J10+J24</f>
        <v>13631.1961830313</v>
      </c>
      <c r="K11" s="0" t="n">
        <f aca="false">K8+K10+K24</f>
        <v>13767.5081448617</v>
      </c>
      <c r="L11" s="0" t="n">
        <f aca="false">L8+L10+L24</f>
        <v>13905.1832263103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-4789.90512</v>
      </c>
      <c r="D12" s="4" t="n">
        <f aca="false">-D6*Assumptions!D17/100</f>
        <v>-4938.9243904</v>
      </c>
      <c r="E12" s="4" t="n">
        <f aca="false">-E6*Assumptions!E17/100</f>
        <v>-5066.25603484</v>
      </c>
      <c r="F12" s="4" t="n">
        <f aca="false">-F6*Assumptions!F17/100</f>
        <v>-5195.64041972976</v>
      </c>
      <c r="G12" s="4" t="n">
        <f aca="false">-G6*Assumptions!G17/100</f>
        <v>-5327.10586671383</v>
      </c>
      <c r="H12" s="4" t="n">
        <f aca="false">-H6*Assumptions!H17/100</f>
        <v>-5460.68105859561</v>
      </c>
      <c r="I12" s="4" t="n">
        <f aca="false">-I6*Assumptions!I17/100</f>
        <v>-5596.39504372836</v>
      </c>
      <c r="J12" s="4" t="n">
        <f aca="false">-J6*Assumptions!J17/100</f>
        <v>-5734.2772404579</v>
      </c>
      <c r="K12" s="4" t="n">
        <f aca="false">-K6*Assumptions!K17/100</f>
        <v>-5791.62001286247</v>
      </c>
      <c r="L12" s="4" t="n">
        <f aca="false">-L6*Assumptions!L17/100</f>
        <v>-5849.5362129911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8051.602416</v>
      </c>
      <c r="D13" s="0" t="n">
        <f aca="false">D11+D12</f>
        <v>8018.03506504</v>
      </c>
      <c r="E13" s="0" t="n">
        <f aca="false">E11+E12</f>
        <v>7981.3018148864</v>
      </c>
      <c r="F13" s="0" t="n">
        <f aca="false">F11+F12</f>
        <v>7903.67118395255</v>
      </c>
      <c r="G13" s="0" t="n">
        <f aca="false">G11+G12</f>
        <v>7903.1988530053</v>
      </c>
      <c r="H13" s="0" t="n">
        <f aca="false">H11+H12</f>
        <v>7901.92670832071</v>
      </c>
      <c r="I13" s="0" t="n">
        <f aca="false">I11+I12</f>
        <v>7899.83880085713</v>
      </c>
      <c r="J13" s="0" t="n">
        <f aca="false">J11+J12</f>
        <v>7896.91894257344</v>
      </c>
      <c r="K13" s="0" t="n">
        <f aca="false">K11+K12</f>
        <v>7975.88813199918</v>
      </c>
      <c r="L13" s="0" t="n">
        <f aca="false">L11+L12</f>
        <v>8055.64701331917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9</v>
      </c>
      <c r="D14" s="4" t="n">
        <f aca="false">Assumptions!D19</f>
        <v>11</v>
      </c>
      <c r="E14" s="4" t="n">
        <f aca="false">Assumptions!E19</f>
        <v>13</v>
      </c>
      <c r="F14" s="4" t="n">
        <f aca="false">Assumptions!F19</f>
        <v>15</v>
      </c>
      <c r="G14" s="4" t="n">
        <f aca="false">Assumptions!G19</f>
        <v>16</v>
      </c>
      <c r="H14" s="4" t="n">
        <f aca="false">Assumptions!H19</f>
        <v>16.5</v>
      </c>
      <c r="I14" s="4" t="n">
        <f aca="false">Assumptions!I19</f>
        <v>16.5</v>
      </c>
      <c r="J14" s="4" t="n">
        <f aca="false">Assumptions!J19</f>
        <v>16.5</v>
      </c>
      <c r="K14" s="4" t="n">
        <f aca="false">Assumptions!K19</f>
        <v>16.5</v>
      </c>
      <c r="L14" s="4" t="n">
        <f aca="false">Assumptions!L19</f>
        <v>16.5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7326.95819856</v>
      </c>
      <c r="D15" s="0" t="n">
        <f aca="false">D13-MAX(0,D13)*D14/100</f>
        <v>7136.0512078856</v>
      </c>
      <c r="E15" s="0" t="n">
        <f aca="false">E13-MAX(0,E13)*E14/100</f>
        <v>6943.73257895117</v>
      </c>
      <c r="F15" s="0" t="n">
        <f aca="false">F13-MAX(0,F13)*F14/100</f>
        <v>6718.12050635966</v>
      </c>
      <c r="G15" s="0" t="n">
        <f aca="false">G13-MAX(0,G13)*G14/100</f>
        <v>6638.68703652445</v>
      </c>
      <c r="H15" s="0" t="n">
        <f aca="false">H13-MAX(0,H13)*H14/100</f>
        <v>6598.10880144779</v>
      </c>
      <c r="I15" s="0" t="n">
        <f aca="false">I13-MAX(0,I13)*I14/100</f>
        <v>6596.3653987157</v>
      </c>
      <c r="J15" s="0" t="n">
        <f aca="false">J13-MAX(0,J13)*J14/100</f>
        <v>6593.92731704882</v>
      </c>
      <c r="K15" s="0" t="n">
        <f aca="false">K13-MAX(0,K13)*K14/100</f>
        <v>6659.86659021932</v>
      </c>
      <c r="L15" s="0" t="n">
        <f aca="false">L13-MAX(0,L13)*L14/100</f>
        <v>6726.46525612151</v>
      </c>
    </row>
    <row r="16" customFormat="false" ht="15" hidden="false" customHeight="false" outlineLevel="0" collapsed="false">
      <c r="A16" s="0" t="s">
        <v>124</v>
      </c>
      <c r="C16" s="0" t="n">
        <f aca="false">-C12</f>
        <v>4789.90512</v>
      </c>
      <c r="D16" s="0" t="n">
        <f aca="false">-D12</f>
        <v>4938.9243904</v>
      </c>
      <c r="E16" s="0" t="n">
        <f aca="false">-E12</f>
        <v>5066.25603484</v>
      </c>
      <c r="F16" s="0" t="n">
        <f aca="false">-F12</f>
        <v>5195.64041972976</v>
      </c>
      <c r="G16" s="0" t="n">
        <f aca="false">-G12</f>
        <v>5327.10586671383</v>
      </c>
      <c r="H16" s="0" t="n">
        <f aca="false">-H12</f>
        <v>5460.68105859561</v>
      </c>
      <c r="I16" s="0" t="n">
        <f aca="false">-I12</f>
        <v>5596.39504372836</v>
      </c>
      <c r="J16" s="0" t="n">
        <f aca="false">-J12</f>
        <v>5734.2772404579</v>
      </c>
      <c r="K16" s="0" t="n">
        <f aca="false">-K12</f>
        <v>5791.62001286247</v>
      </c>
      <c r="L16" s="0" t="n">
        <f aca="false">-L12</f>
        <v>5849.5362129911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-8553.402</v>
      </c>
      <c r="D17" s="4" t="n">
        <f aca="false">-D6*Assumptions!D18/100</f>
        <v>-8488.776296</v>
      </c>
      <c r="E17" s="4" t="n">
        <f aca="false">-E6*Assumptions!E18/100</f>
        <v>-8378.80805762</v>
      </c>
      <c r="F17" s="4" t="n">
        <f aca="false">-F6*Assumptions!F18/100</f>
        <v>-8265.7915768428</v>
      </c>
      <c r="G17" s="4" t="n">
        <f aca="false">-G6*Assumptions!G18/100</f>
        <v>-8348.44949261123</v>
      </c>
      <c r="H17" s="4" t="n">
        <f aca="false">-H6*Assumptions!H18/100</f>
        <v>-8431.93398753734</v>
      </c>
      <c r="I17" s="4" t="n">
        <f aca="false">-I6*Assumptions!I18/100</f>
        <v>-8516.25332741271</v>
      </c>
      <c r="J17" s="4" t="n">
        <f aca="false">-J6*Assumptions!J18/100</f>
        <v>-8601.41586068684</v>
      </c>
      <c r="K17" s="4" t="n">
        <f aca="false">-K6*Assumptions!K18/100</f>
        <v>-8687.43001929371</v>
      </c>
      <c r="L17" s="4" t="n">
        <f aca="false">-L6*Assumptions!L18/100</f>
        <v>-8774.30431948665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3563.46131856</v>
      </c>
      <c r="D19" s="0" t="n">
        <f aca="false">D15+D16+D17+D18</f>
        <v>3586.1993022856</v>
      </c>
      <c r="E19" s="0" t="n">
        <f aca="false">E15+E16+E17+E18</f>
        <v>3631.18055617117</v>
      </c>
      <c r="F19" s="0" t="n">
        <f aca="false">F15+F16+F17+F18</f>
        <v>3647.96934924662</v>
      </c>
      <c r="G19" s="0" t="n">
        <f aca="false">G15+G16+G17+G18</f>
        <v>3617.34341062705</v>
      </c>
      <c r="H19" s="0" t="n">
        <f aca="false">H15+H16+H17+H18</f>
        <v>3626.85587250606</v>
      </c>
      <c r="I19" s="0" t="n">
        <f aca="false">I15+I16+I17+I18</f>
        <v>3676.50711503134</v>
      </c>
      <c r="J19" s="0" t="n">
        <f aca="false">J15+J16+J17+J18</f>
        <v>3726.78869681988</v>
      </c>
      <c r="K19" s="0" t="n">
        <f aca="false">K15+K16+K17+K18</f>
        <v>3764.05658378808</v>
      </c>
      <c r="L19" s="0" t="n">
        <f aca="false">L15+L16+L17+L18</f>
        <v>3801.69714962596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3345.97306907042</v>
      </c>
      <c r="D21" s="0" t="n">
        <f aca="false">D19*D20</f>
        <v>3161.80590472402</v>
      </c>
      <c r="E21" s="0" t="n">
        <f aca="false">E19*E20</f>
        <v>3006.06952559894</v>
      </c>
      <c r="F21" s="0" t="n">
        <f aca="false">F19*F20</f>
        <v>2835.65081004594</v>
      </c>
      <c r="G21" s="0" t="n">
        <f aca="false">G19*G20</f>
        <v>2640.22963453204</v>
      </c>
      <c r="H21" s="0" t="n">
        <f aca="false">H19*H20</f>
        <v>2485.60807339499</v>
      </c>
      <c r="I21" s="0" t="n">
        <f aca="false">I19*I20</f>
        <v>2365.85517740688</v>
      </c>
      <c r="J21" s="0" t="n">
        <f aca="false">J19*J20</f>
        <v>2251.84196035636</v>
      </c>
      <c r="K21" s="0" t="n">
        <f aca="false">K19*K20</f>
        <v>2135.54965254453</v>
      </c>
      <c r="L21" s="0" t="n">
        <f aca="false">L19*L20</f>
        <v>2025.26305076993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3.6</v>
      </c>
      <c r="D23" s="4" t="n">
        <f aca="false">Assumptions!D16</f>
        <v>3.6</v>
      </c>
      <c r="E23" s="4" t="n">
        <f aca="false">Assumptions!E16</f>
        <v>3.6</v>
      </c>
      <c r="F23" s="4" t="n">
        <f aca="false">Assumptions!F16</f>
        <v>3.6</v>
      </c>
      <c r="G23" s="4" t="n">
        <f aca="false">Assumptions!G16</f>
        <v>3.6</v>
      </c>
      <c r="H23" s="4" t="n">
        <f aca="false">Assumptions!H16</f>
        <v>3.6</v>
      </c>
      <c r="I23" s="4" t="n">
        <f aca="false">Assumptions!I16</f>
        <v>3.6</v>
      </c>
      <c r="J23" s="4" t="n">
        <f aca="false">Assumptions!J16</f>
        <v>3.6</v>
      </c>
      <c r="K23" s="4" t="n">
        <f aca="false">Assumptions!K16</f>
        <v>3.6</v>
      </c>
      <c r="L23" s="4" t="n">
        <f aca="false">Assumptions!L16</f>
        <v>3.6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-1368.54432</v>
      </c>
      <c r="D24" s="0" t="n">
        <f aca="false">-D6*D23/100</f>
        <v>-1389.0724848</v>
      </c>
      <c r="E24" s="0" t="n">
        <f aca="false">-E6*E23/100</f>
        <v>-1402.963209648</v>
      </c>
      <c r="F24" s="0" t="n">
        <f aca="false">-F6*F23/100</f>
        <v>-1416.99284174448</v>
      </c>
      <c r="G24" s="0" t="n">
        <f aca="false">-G6*G23/100</f>
        <v>-1431.16277016193</v>
      </c>
      <c r="H24" s="0" t="n">
        <f aca="false">-H6*H23/100</f>
        <v>-1445.47439786354</v>
      </c>
      <c r="I24" s="0" t="n">
        <f aca="false">-I6*I23/100</f>
        <v>-1459.92914184218</v>
      </c>
      <c r="J24" s="0" t="n">
        <f aca="false">-J6*J23/100</f>
        <v>-1474.5284332606</v>
      </c>
      <c r="K24" s="0" t="n">
        <f aca="false">-K6*K23/100</f>
        <v>-1489.27371759321</v>
      </c>
      <c r="L24" s="0" t="n">
        <f aca="false">-L6*L23/100</f>
        <v>-1504.16645476914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26253.8468584441</v>
      </c>
    </row>
    <row r="31" customFormat="false" ht="15" hidden="false" customHeight="false" outlineLevel="0" collapsed="false">
      <c r="A31" s="0" t="s">
        <v>133</v>
      </c>
      <c r="B31" s="0" t="n">
        <f aca="false">L19</f>
        <v>3801.69714962596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77174.4521374069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57025.4572443894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57025.4572443894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30378.945761549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56632.792619993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4163.79261999302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0.549240551377525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-0.954229954051873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342.816783133317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542.21884113021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0.665984466990706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28583.1304212618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-3.5804598104756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6</v>
      </c>
      <c r="D5" s="4" t="n">
        <f aca="false">Assumptions!D27</f>
        <v>3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36553</v>
      </c>
      <c r="C6" s="0" t="n">
        <f aca="false">B6*(1+C5/100)</f>
        <v>38746.18</v>
      </c>
      <c r="D6" s="0" t="n">
        <f aca="false">C6*(1+D5/100)</f>
        <v>39908.5654</v>
      </c>
      <c r="E6" s="0" t="n">
        <f aca="false">D6*(1+E5/100)</f>
        <v>40906.279535</v>
      </c>
      <c r="F6" s="0" t="n">
        <f aca="false">E6*(1+F5/100)</f>
        <v>41928.936523375</v>
      </c>
      <c r="G6" s="0" t="n">
        <f aca="false">F6*(1+G5/100)</f>
        <v>42977.1599364594</v>
      </c>
      <c r="H6" s="0" t="n">
        <f aca="false">G6*(1+H5/100)</f>
        <v>43836.7031351886</v>
      </c>
      <c r="I6" s="0" t="n">
        <f aca="false">H6*(1+I5/100)</f>
        <v>44713.4371978923</v>
      </c>
      <c r="J6" s="0" t="n">
        <f aca="false">I6*(1+J5/100)</f>
        <v>45607.7059418502</v>
      </c>
      <c r="K6" s="0" t="n">
        <f aca="false">J6*(1+K5/100)</f>
        <v>46519.8600606872</v>
      </c>
      <c r="L6" s="0" t="n">
        <f aca="false">K6*(1+L5/100)</f>
        <v>47450.2572619009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38</v>
      </c>
      <c r="D7" s="4" t="n">
        <f aca="false">Assumptions!D28</f>
        <v>38.3</v>
      </c>
      <c r="E7" s="4" t="n">
        <f aca="false">Assumptions!E28</f>
        <v>38.5</v>
      </c>
      <c r="F7" s="4" t="n">
        <f aca="false">Assumptions!F28</f>
        <v>38.6</v>
      </c>
      <c r="G7" s="4" t="n">
        <f aca="false">Assumptions!G28</f>
        <v>38.7</v>
      </c>
      <c r="H7" s="4" t="n">
        <f aca="false">Assumptions!H28</f>
        <v>38.7</v>
      </c>
      <c r="I7" s="4" t="n">
        <f aca="false">Assumptions!I28</f>
        <v>38.7</v>
      </c>
      <c r="J7" s="4" t="n">
        <f aca="false">Assumptions!J28</f>
        <v>38.7</v>
      </c>
      <c r="K7" s="4" t="n">
        <f aca="false">Assumptions!K28</f>
        <v>38.7</v>
      </c>
      <c r="L7" s="4" t="n">
        <f aca="false">Assumptions!L28</f>
        <v>38.7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14723.5484</v>
      </c>
      <c r="D8" s="0" t="n">
        <f aca="false">D6*D7/100</f>
        <v>15284.9805482</v>
      </c>
      <c r="E8" s="0" t="n">
        <f aca="false">E6*E7/100</f>
        <v>15748.917620975</v>
      </c>
      <c r="F8" s="0" t="n">
        <f aca="false">F6*F7/100</f>
        <v>16184.5694980227</v>
      </c>
      <c r="G8" s="0" t="n">
        <f aca="false">G6*G7/100</f>
        <v>16632.1608954098</v>
      </c>
      <c r="H8" s="0" t="n">
        <f aca="false">H6*H7/100</f>
        <v>16964.804113318</v>
      </c>
      <c r="I8" s="0" t="n">
        <f aca="false">I6*I7/100</f>
        <v>17304.1001955843</v>
      </c>
      <c r="J8" s="0" t="n">
        <f aca="false">J6*J7/100</f>
        <v>17650.182199496</v>
      </c>
      <c r="K8" s="0" t="n">
        <f aca="false">K6*K7/100</f>
        <v>18003.1858434859</v>
      </c>
      <c r="L8" s="0" t="n">
        <f aca="false">L6*L7/100</f>
        <v>18363.2495603557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0.12</v>
      </c>
      <c r="D9" s="4" t="n">
        <f aca="false">Assumptions!D29</f>
        <v>0.12</v>
      </c>
      <c r="E9" s="4" t="n">
        <f aca="false">Assumptions!E29</f>
        <v>0.12</v>
      </c>
      <c r="F9" s="4" t="n">
        <f aca="false">Assumptions!F29</f>
        <v>0.12</v>
      </c>
      <c r="G9" s="4" t="n">
        <f aca="false">Assumptions!G29</f>
        <v>0.12</v>
      </c>
      <c r="H9" s="4" t="n">
        <f aca="false">Assumptions!H29</f>
        <v>0.12</v>
      </c>
      <c r="I9" s="4" t="n">
        <f aca="false">Assumptions!I29</f>
        <v>0.12</v>
      </c>
      <c r="J9" s="4" t="n">
        <f aca="false">Assumptions!J29</f>
        <v>0.12</v>
      </c>
      <c r="K9" s="4" t="n">
        <f aca="false">Assumptions!K29</f>
        <v>0.12</v>
      </c>
      <c r="L9" s="4" t="n">
        <f aca="false">Assumptions!L29</f>
        <v>0.12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-46.495416</v>
      </c>
      <c r="D10" s="0" t="n">
        <f aca="false">-D6*D9/100</f>
        <v>-47.89027848</v>
      </c>
      <c r="E10" s="0" t="n">
        <f aca="false">-E6*E9/100</f>
        <v>-49.087535442</v>
      </c>
      <c r="F10" s="0" t="n">
        <f aca="false">-F6*F9/100</f>
        <v>-50.31472382805</v>
      </c>
      <c r="G10" s="0" t="n">
        <f aca="false">-G6*G9/100</f>
        <v>-51.5725919237512</v>
      </c>
      <c r="H10" s="0" t="n">
        <f aca="false">-H6*H9/100</f>
        <v>-52.6040437622263</v>
      </c>
      <c r="I10" s="0" t="n">
        <f aca="false">-I6*I9/100</f>
        <v>-53.6561246374708</v>
      </c>
      <c r="J10" s="0" t="n">
        <f aca="false">-J6*J9/100</f>
        <v>-54.7292471302202</v>
      </c>
      <c r="K10" s="0" t="n">
        <f aca="false">-K6*K9/100</f>
        <v>-55.8238320728246</v>
      </c>
      <c r="L10" s="0" t="n">
        <f aca="false">-L6*L9/100</f>
        <v>-56.9403087142811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13320.936684</v>
      </c>
      <c r="D11" s="0" t="n">
        <f aca="false">D8+D10+D24</f>
        <v>13880.19904612</v>
      </c>
      <c r="E11" s="0" t="n">
        <f aca="false">E8+E10+E24</f>
        <v>14349.922860878</v>
      </c>
      <c r="F11" s="0" t="n">
        <f aca="false">F8+F10+F24</f>
        <v>14750.5998689233</v>
      </c>
      <c r="G11" s="0" t="n">
        <f aca="false">G8+G10+G24</f>
        <v>15162.3420255829</v>
      </c>
      <c r="H11" s="0" t="n">
        <f aca="false">H8+H10+H24</f>
        <v>15465.5888660945</v>
      </c>
      <c r="I11" s="0" t="n">
        <f aca="false">I8+I10+I24</f>
        <v>15774.9006434164</v>
      </c>
      <c r="J11" s="0" t="n">
        <f aca="false">J8+J10+J24</f>
        <v>16090.3986562847</v>
      </c>
      <c r="K11" s="0" t="n">
        <f aca="false">K8+K10+K24</f>
        <v>16412.2066294104</v>
      </c>
      <c r="L11" s="0" t="n">
        <f aca="false">L8+L10+L24</f>
        <v>16740.4507619986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-4882.01868</v>
      </c>
      <c r="D12" s="4" t="n">
        <f aca="false">-D6*Assumptions!D31/100</f>
        <v>-5108.2963712</v>
      </c>
      <c r="E12" s="4" t="n">
        <f aca="false">-E6*Assumptions!E31/100</f>
        <v>-5317.81633955</v>
      </c>
      <c r="F12" s="4" t="n">
        <f aca="false">-F6*Assumptions!F31/100</f>
        <v>-5534.6196210855</v>
      </c>
      <c r="G12" s="4" t="n">
        <f aca="false">-G6*Assumptions!G31/100</f>
        <v>-5758.93943148555</v>
      </c>
      <c r="H12" s="4" t="n">
        <f aca="false">-H6*Assumptions!H31/100</f>
        <v>-5961.79162638564</v>
      </c>
      <c r="I12" s="4" t="n">
        <f aca="false">-I6*Assumptions!I31/100</f>
        <v>-6170.45433330914</v>
      </c>
      <c r="J12" s="4" t="n">
        <f aca="false">-J6*Assumptions!J31/100</f>
        <v>-6385.07883185902</v>
      </c>
      <c r="K12" s="4" t="n">
        <f aca="false">-K6*Assumptions!K31/100</f>
        <v>-6512.7804084962</v>
      </c>
      <c r="L12" s="4" t="n">
        <f aca="false">-L6*Assumptions!L31/100</f>
        <v>-6643.03601666613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8438.918004</v>
      </c>
      <c r="D13" s="0" t="n">
        <f aca="false">D11+D12</f>
        <v>8771.90267492</v>
      </c>
      <c r="E13" s="0" t="n">
        <f aca="false">E11+E12</f>
        <v>9032.106521328</v>
      </c>
      <c r="F13" s="0" t="n">
        <f aca="false">F11+F12</f>
        <v>9215.98024783783</v>
      </c>
      <c r="G13" s="0" t="n">
        <f aca="false">G11+G12</f>
        <v>9403.40259409731</v>
      </c>
      <c r="H13" s="0" t="n">
        <f aca="false">H11+H12</f>
        <v>9503.79723970888</v>
      </c>
      <c r="I13" s="0" t="n">
        <f aca="false">I11+I12</f>
        <v>9604.44631010727</v>
      </c>
      <c r="J13" s="0" t="n">
        <f aca="false">J11+J12</f>
        <v>9705.31982442572</v>
      </c>
      <c r="K13" s="0" t="n">
        <f aca="false">K11+K12</f>
        <v>9899.42622091423</v>
      </c>
      <c r="L13" s="0" t="n">
        <f aca="false">L11+L12</f>
        <v>10097.4147453325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8</v>
      </c>
      <c r="D14" s="4" t="n">
        <f aca="false">Assumptions!D33</f>
        <v>10</v>
      </c>
      <c r="E14" s="4" t="n">
        <f aca="false">Assumptions!E33</f>
        <v>11</v>
      </c>
      <c r="F14" s="4" t="n">
        <f aca="false">Assumptions!F33</f>
        <v>12</v>
      </c>
      <c r="G14" s="4" t="n">
        <f aca="false">Assumptions!G33</f>
        <v>13</v>
      </c>
      <c r="H14" s="4" t="n">
        <f aca="false">Assumptions!H33</f>
        <v>14</v>
      </c>
      <c r="I14" s="4" t="n">
        <f aca="false">Assumptions!I33</f>
        <v>14</v>
      </c>
      <c r="J14" s="4" t="n">
        <f aca="false">Assumptions!J33</f>
        <v>14</v>
      </c>
      <c r="K14" s="4" t="n">
        <f aca="false">Assumptions!K33</f>
        <v>14</v>
      </c>
      <c r="L14" s="4" t="n">
        <f aca="false">Assumptions!L33</f>
        <v>14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7763.80456368</v>
      </c>
      <c r="D15" s="0" t="n">
        <f aca="false">D13-MAX(0,D13)*D14/100</f>
        <v>7894.712407428</v>
      </c>
      <c r="E15" s="0" t="n">
        <f aca="false">E13-MAX(0,E13)*E14/100</f>
        <v>8038.57480398192</v>
      </c>
      <c r="F15" s="0" t="n">
        <f aca="false">F13-MAX(0,F13)*F14/100</f>
        <v>8110.06261809729</v>
      </c>
      <c r="G15" s="0" t="n">
        <f aca="false">G13-MAX(0,G13)*G14/100</f>
        <v>8180.96025686466</v>
      </c>
      <c r="H15" s="0" t="n">
        <f aca="false">H13-MAX(0,H13)*H14/100</f>
        <v>8173.26562614964</v>
      </c>
      <c r="I15" s="0" t="n">
        <f aca="false">I13-MAX(0,I13)*I14/100</f>
        <v>8259.82382669225</v>
      </c>
      <c r="J15" s="0" t="n">
        <f aca="false">J13-MAX(0,J13)*J14/100</f>
        <v>8346.57504900612</v>
      </c>
      <c r="K15" s="0" t="n">
        <f aca="false">K13-MAX(0,K13)*K14/100</f>
        <v>8513.50654998624</v>
      </c>
      <c r="L15" s="0" t="n">
        <f aca="false">L13-MAX(0,L13)*L14/100</f>
        <v>8683.77668098596</v>
      </c>
    </row>
    <row r="16" customFormat="false" ht="15" hidden="false" customHeight="false" outlineLevel="0" collapsed="false">
      <c r="A16" s="0" t="s">
        <v>124</v>
      </c>
      <c r="C16" s="0" t="n">
        <f aca="false">-C12</f>
        <v>4882.01868</v>
      </c>
      <c r="D16" s="0" t="n">
        <f aca="false">-D12</f>
        <v>5108.2963712</v>
      </c>
      <c r="E16" s="0" t="n">
        <f aca="false">-E12</f>
        <v>5317.81633955</v>
      </c>
      <c r="F16" s="0" t="n">
        <f aca="false">-F12</f>
        <v>5534.6196210855</v>
      </c>
      <c r="G16" s="0" t="n">
        <f aca="false">-G12</f>
        <v>5758.93943148555</v>
      </c>
      <c r="H16" s="0" t="n">
        <f aca="false">-H12</f>
        <v>5961.79162638564</v>
      </c>
      <c r="I16" s="0" t="n">
        <f aca="false">-I12</f>
        <v>6170.45433330914</v>
      </c>
      <c r="J16" s="0" t="n">
        <f aca="false">-J12</f>
        <v>6385.07883185902</v>
      </c>
      <c r="K16" s="0" t="n">
        <f aca="false">-K12</f>
        <v>6512.7804084962</v>
      </c>
      <c r="L16" s="0" t="n">
        <f aca="false">-L12</f>
        <v>6643.03601666613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-8524.1596</v>
      </c>
      <c r="D17" s="4" t="n">
        <f aca="false">-D6*Assumptions!D32/100</f>
        <v>-8380.798734</v>
      </c>
      <c r="E17" s="4" t="n">
        <f aca="false">-E6*Assumptions!E32/100</f>
        <v>-8385.787304675</v>
      </c>
      <c r="F17" s="4" t="n">
        <f aca="false">-F6*Assumptions!F32/100</f>
        <v>-8385.787304675</v>
      </c>
      <c r="G17" s="4" t="n">
        <f aca="false">-G6*Assumptions!G32/100</f>
        <v>-8595.43198729187</v>
      </c>
      <c r="H17" s="4" t="n">
        <f aca="false">-H6*Assumptions!H32/100</f>
        <v>-8767.34062703771</v>
      </c>
      <c r="I17" s="4" t="n">
        <f aca="false">-I6*Assumptions!I32/100</f>
        <v>-8942.68743957846</v>
      </c>
      <c r="J17" s="4" t="n">
        <f aca="false">-J6*Assumptions!J32/100</f>
        <v>-9121.54118837003</v>
      </c>
      <c r="K17" s="4" t="n">
        <f aca="false">-K6*Assumptions!K32/100</f>
        <v>-9303.97201213743</v>
      </c>
      <c r="L17" s="4" t="n">
        <f aca="false">-L6*Assumptions!L32/100</f>
        <v>-9490.05145238018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4121.66364368</v>
      </c>
      <c r="D19" s="0" t="n">
        <f aca="false">D15+D16+D17+D18</f>
        <v>4622.210044628</v>
      </c>
      <c r="E19" s="0" t="n">
        <f aca="false">E15+E16+E17+E18</f>
        <v>4970.60383885692</v>
      </c>
      <c r="F19" s="0" t="n">
        <f aca="false">F15+F16+F17+F18</f>
        <v>5258.89493450779</v>
      </c>
      <c r="G19" s="0" t="n">
        <f aca="false">G15+G16+G17+G18</f>
        <v>5344.46770105834</v>
      </c>
      <c r="H19" s="0" t="n">
        <f aca="false">H15+H16+H17+H18</f>
        <v>5367.71662549757</v>
      </c>
      <c r="I19" s="0" t="n">
        <f aca="false">I15+I16+I17+I18</f>
        <v>5487.59072042293</v>
      </c>
      <c r="J19" s="0" t="n">
        <f aca="false">J15+J16+J17+J18</f>
        <v>5610.1126924951</v>
      </c>
      <c r="K19" s="0" t="n">
        <f aca="false">K15+K16+K17+K18</f>
        <v>5722.31494634501</v>
      </c>
      <c r="L19" s="0" t="n">
        <f aca="false">L15+L16+L17+L18</f>
        <v>5836.76124527191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3870.10670768075</v>
      </c>
      <c r="D21" s="0" t="n">
        <f aca="false">D19*D20</f>
        <v>4075.21439275981</v>
      </c>
      <c r="E21" s="0" t="n">
        <f aca="false">E19*E20</f>
        <v>4114.90987371011</v>
      </c>
      <c r="F21" s="0" t="n">
        <f aca="false">F19*F20</f>
        <v>4087.86046518269</v>
      </c>
      <c r="G21" s="0" t="n">
        <f aca="false">G19*G20</f>
        <v>3900.82455640769</v>
      </c>
      <c r="H21" s="0" t="n">
        <f aca="false">H19*H20</f>
        <v>3678.67934349822</v>
      </c>
      <c r="I21" s="0" t="n">
        <f aca="false">I19*I20</f>
        <v>3531.29873306171</v>
      </c>
      <c r="J21" s="0" t="n">
        <f aca="false">J19*J20</f>
        <v>3389.80505497086</v>
      </c>
      <c r="K21" s="0" t="n">
        <f aca="false">K19*K20</f>
        <v>3246.57385546505</v>
      </c>
      <c r="L21" s="0" t="n">
        <f aca="false">L19*L20</f>
        <v>3109.39467847357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3.5</v>
      </c>
      <c r="D23" s="4" t="n">
        <f aca="false">Assumptions!D30</f>
        <v>3.4</v>
      </c>
      <c r="E23" s="4" t="n">
        <f aca="false">Assumptions!E30</f>
        <v>3.3</v>
      </c>
      <c r="F23" s="4" t="n">
        <f aca="false">Assumptions!F30</f>
        <v>3.3</v>
      </c>
      <c r="G23" s="4" t="n">
        <f aca="false">Assumptions!G30</f>
        <v>3.3</v>
      </c>
      <c r="H23" s="4" t="n">
        <f aca="false">Assumptions!H30</f>
        <v>3.3</v>
      </c>
      <c r="I23" s="4" t="n">
        <f aca="false">Assumptions!I30</f>
        <v>3.3</v>
      </c>
      <c r="J23" s="4" t="n">
        <f aca="false">Assumptions!J30</f>
        <v>3.3</v>
      </c>
      <c r="K23" s="4" t="n">
        <f aca="false">Assumptions!K30</f>
        <v>3.3</v>
      </c>
      <c r="L23" s="4" t="n">
        <f aca="false">Assumptions!L30</f>
        <v>3.3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-1356.1163</v>
      </c>
      <c r="D24" s="0" t="n">
        <f aca="false">-D6*D23/100</f>
        <v>-1356.8912236</v>
      </c>
      <c r="E24" s="0" t="n">
        <f aca="false">-E6*E23/100</f>
        <v>-1349.907224655</v>
      </c>
      <c r="F24" s="0" t="n">
        <f aca="false">-F6*F23/100</f>
        <v>-1383.65490527137</v>
      </c>
      <c r="G24" s="0" t="n">
        <f aca="false">-G6*G23/100</f>
        <v>-1418.24627790316</v>
      </c>
      <c r="H24" s="0" t="n">
        <f aca="false">-H6*H23/100</f>
        <v>-1446.61120346122</v>
      </c>
      <c r="I24" s="0" t="n">
        <f aca="false">-I6*I23/100</f>
        <v>-1475.54342753045</v>
      </c>
      <c r="J24" s="0" t="n">
        <f aca="false">-J6*J23/100</f>
        <v>-1505.05429608106</v>
      </c>
      <c r="K24" s="0" t="n">
        <f aca="false">-K6*K23/100</f>
        <v>-1535.15538200268</v>
      </c>
      <c r="L24" s="0" t="n">
        <f aca="false">-L6*L23/100</f>
        <v>-1565.85848964273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37004.6676612105</v>
      </c>
    </row>
    <row r="31" customFormat="false" ht="15" hidden="false" customHeight="false" outlineLevel="0" collapsed="false">
      <c r="A31" s="0" t="s">
        <v>133</v>
      </c>
      <c r="B31" s="0" t="n">
        <f aca="false">L19</f>
        <v>5836.76124527191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132299.921559497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105061.702414894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105061.702414894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55969.1042125242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92973.7718737347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40504.7718737347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5.34293257798901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-0.554755618500916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368.924220871129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687.561258247277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5.48229222435735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45796.1266936719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-2.09083842985982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8</v>
      </c>
      <c r="D5" s="4" t="n">
        <f aca="false">Assumptions!D41</f>
        <v>4</v>
      </c>
      <c r="E5" s="4" t="n">
        <f aca="false">Assumptions!E41</f>
        <v>3.5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36553</v>
      </c>
      <c r="C6" s="0" t="n">
        <f aca="false">B6*(1+C5/100)</f>
        <v>39477.24</v>
      </c>
      <c r="D6" s="0" t="n">
        <f aca="false">C6*(1+D5/100)</f>
        <v>41056.3296</v>
      </c>
      <c r="E6" s="0" t="n">
        <f aca="false">D6*(1+E5/100)</f>
        <v>42493.301136</v>
      </c>
      <c r="F6" s="0" t="n">
        <f aca="false">E6*(1+F5/100)</f>
        <v>43980.56667576</v>
      </c>
      <c r="G6" s="0" t="n">
        <f aca="false">F6*(1+G5/100)</f>
        <v>45299.9836760328</v>
      </c>
      <c r="H6" s="0" t="n">
        <f aca="false">G6*(1+H5/100)</f>
        <v>46658.9831863138</v>
      </c>
      <c r="I6" s="0" t="n">
        <f aca="false">H6*(1+I5/100)</f>
        <v>48058.7526819032</v>
      </c>
      <c r="J6" s="0" t="n">
        <f aca="false">I6*(1+J5/100)</f>
        <v>49260.2214989508</v>
      </c>
      <c r="K6" s="0" t="n">
        <f aca="false">J6*(1+K5/100)</f>
        <v>50491.7270364245</v>
      </c>
      <c r="L6" s="0" t="n">
        <f aca="false">K6*(1+L5/100)</f>
        <v>51754.0202123351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38.3</v>
      </c>
      <c r="D7" s="4" t="n">
        <f aca="false">Assumptions!D42</f>
        <v>38.7</v>
      </c>
      <c r="E7" s="4" t="n">
        <f aca="false">Assumptions!E42</f>
        <v>39</v>
      </c>
      <c r="F7" s="4" t="n">
        <f aca="false">Assumptions!F42</f>
        <v>39.2</v>
      </c>
      <c r="G7" s="4" t="n">
        <f aca="false">Assumptions!G42</f>
        <v>39.4</v>
      </c>
      <c r="H7" s="4" t="n">
        <f aca="false">Assumptions!H42</f>
        <v>39.5</v>
      </c>
      <c r="I7" s="4" t="n">
        <f aca="false">Assumptions!I42</f>
        <v>39.5</v>
      </c>
      <c r="J7" s="4" t="n">
        <f aca="false">Assumptions!J42</f>
        <v>39.5</v>
      </c>
      <c r="K7" s="4" t="n">
        <f aca="false">Assumptions!K42</f>
        <v>39.5</v>
      </c>
      <c r="L7" s="4" t="n">
        <f aca="false">Assumptions!L42</f>
        <v>39.5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15119.78292</v>
      </c>
      <c r="D8" s="0" t="n">
        <f aca="false">D6*D7/100</f>
        <v>15888.7995552</v>
      </c>
      <c r="E8" s="0" t="n">
        <f aca="false">E6*E7/100</f>
        <v>16572.38744304</v>
      </c>
      <c r="F8" s="0" t="n">
        <f aca="false">F6*F7/100</f>
        <v>17240.3821368979</v>
      </c>
      <c r="G8" s="0" t="n">
        <f aca="false">G6*G7/100</f>
        <v>17848.1935683569</v>
      </c>
      <c r="H8" s="0" t="n">
        <f aca="false">H6*H7/100</f>
        <v>18430.2983585939</v>
      </c>
      <c r="I8" s="0" t="n">
        <f aca="false">I6*I7/100</f>
        <v>18983.2073093518</v>
      </c>
      <c r="J8" s="0" t="n">
        <f aca="false">J6*J7/100</f>
        <v>19457.7874920856</v>
      </c>
      <c r="K8" s="0" t="n">
        <f aca="false">K6*K7/100</f>
        <v>19944.2321793877</v>
      </c>
      <c r="L8" s="0" t="n">
        <f aca="false">L6*L7/100</f>
        <v>20442.8379838724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0.12</v>
      </c>
      <c r="D9" s="4" t="n">
        <f aca="false">Assumptions!D43</f>
        <v>0.12</v>
      </c>
      <c r="E9" s="4" t="n">
        <f aca="false">Assumptions!E43</f>
        <v>0.12</v>
      </c>
      <c r="F9" s="4" t="n">
        <f aca="false">Assumptions!F43</f>
        <v>0.12</v>
      </c>
      <c r="G9" s="4" t="n">
        <f aca="false">Assumptions!G43</f>
        <v>0.12</v>
      </c>
      <c r="H9" s="4" t="n">
        <f aca="false">Assumptions!H43</f>
        <v>0.12</v>
      </c>
      <c r="I9" s="4" t="n">
        <f aca="false">Assumptions!I43</f>
        <v>0.12</v>
      </c>
      <c r="J9" s="4" t="n">
        <f aca="false">Assumptions!J43</f>
        <v>0.12</v>
      </c>
      <c r="K9" s="4" t="n">
        <f aca="false">Assumptions!K43</f>
        <v>0.12</v>
      </c>
      <c r="L9" s="4" t="n">
        <f aca="false">Assumptions!L43</f>
        <v>0.12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-47.372688</v>
      </c>
      <c r="D10" s="0" t="n">
        <f aca="false">-D6*D9/100</f>
        <v>-49.26759552</v>
      </c>
      <c r="E10" s="0" t="n">
        <f aca="false">-E6*E9/100</f>
        <v>-50.9919613632</v>
      </c>
      <c r="F10" s="0" t="n">
        <f aca="false">-F6*F9/100</f>
        <v>-52.776680010912</v>
      </c>
      <c r="G10" s="0" t="n">
        <f aca="false">-G6*G9/100</f>
        <v>-54.3599804112394</v>
      </c>
      <c r="H10" s="0" t="n">
        <f aca="false">-H6*H9/100</f>
        <v>-55.9907798235765</v>
      </c>
      <c r="I10" s="0" t="n">
        <f aca="false">-I6*I9/100</f>
        <v>-57.6705032182838</v>
      </c>
      <c r="J10" s="0" t="n">
        <f aca="false">-J6*J9/100</f>
        <v>-59.1122657987409</v>
      </c>
      <c r="K10" s="0" t="n">
        <f aca="false">-K6*K9/100</f>
        <v>-60.5900724437094</v>
      </c>
      <c r="L10" s="0" t="n">
        <f aca="false">-L6*L9/100</f>
        <v>-62.1048242548022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13690.706832</v>
      </c>
      <c r="D11" s="0" t="n">
        <f aca="false">D8+D10+D24</f>
        <v>14443.61675328</v>
      </c>
      <c r="E11" s="0" t="n">
        <f aca="false">E8+E10+E24</f>
        <v>15119.1165441888</v>
      </c>
      <c r="F11" s="0" t="n">
        <f aca="false">F8+F10+F24</f>
        <v>15780.2273232627</v>
      </c>
      <c r="G11" s="0" t="n">
        <f aca="false">G8+G10+G24</f>
        <v>16344.2341103126</v>
      </c>
      <c r="H11" s="0" t="n">
        <f aca="false">H8+H10+H24</f>
        <v>16881.2201168083</v>
      </c>
      <c r="I11" s="0" t="n">
        <f aca="false">I8+I10+I24</f>
        <v>17387.6567203126</v>
      </c>
      <c r="J11" s="0" t="n">
        <f aca="false">J8+J10+J24</f>
        <v>17822.3481383204</v>
      </c>
      <c r="K11" s="0" t="n">
        <f aca="false">K8+K10+K24</f>
        <v>18267.9068417784</v>
      </c>
      <c r="L11" s="0" t="n">
        <f aca="false">L8+L10+L24</f>
        <v>18724.6045128229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-4974.13224</v>
      </c>
      <c r="D12" s="4" t="n">
        <f aca="false">-D6*Assumptions!D45/100</f>
        <v>-5255.2101888</v>
      </c>
      <c r="E12" s="4" t="n">
        <f aca="false">-E6*Assumptions!E45/100</f>
        <v>-5524.12914768</v>
      </c>
      <c r="F12" s="4" t="n">
        <f aca="false">-F6*Assumptions!F45/100</f>
        <v>-5805.43480120032</v>
      </c>
      <c r="G12" s="4" t="n">
        <f aca="false">-G6*Assumptions!G45/100</f>
        <v>-6070.1978125884</v>
      </c>
      <c r="H12" s="4" t="n">
        <f aca="false">-H6*Assumptions!H45/100</f>
        <v>-6345.62171333867</v>
      </c>
      <c r="I12" s="4" t="n">
        <f aca="false">-I6*Assumptions!I45/100</f>
        <v>-6632.10787010264</v>
      </c>
      <c r="J12" s="4" t="n">
        <f aca="false">-J6*Assumptions!J45/100</f>
        <v>-6896.43100985311</v>
      </c>
      <c r="K12" s="4" t="n">
        <f aca="false">-K6*Assumptions!K45/100</f>
        <v>-7068.84178509943</v>
      </c>
      <c r="L12" s="4" t="n">
        <f aca="false">-L6*Assumptions!L45/100</f>
        <v>-7245.56282972692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8716.574592</v>
      </c>
      <c r="D13" s="0" t="n">
        <f aca="false">D11+D12</f>
        <v>9188.40656448</v>
      </c>
      <c r="E13" s="0" t="n">
        <f aca="false">E11+E12</f>
        <v>9594.9873965088</v>
      </c>
      <c r="F13" s="0" t="n">
        <f aca="false">F11+F12</f>
        <v>9974.79252206237</v>
      </c>
      <c r="G13" s="0" t="n">
        <f aca="false">G11+G12</f>
        <v>10274.0362977242</v>
      </c>
      <c r="H13" s="0" t="n">
        <f aca="false">H11+H12</f>
        <v>10535.5984034697</v>
      </c>
      <c r="I13" s="0" t="n">
        <f aca="false">I11+I12</f>
        <v>10755.5488502099</v>
      </c>
      <c r="J13" s="0" t="n">
        <f aca="false">J11+J12</f>
        <v>10925.9171284673</v>
      </c>
      <c r="K13" s="0" t="n">
        <f aca="false">K11+K12</f>
        <v>11199.065056679</v>
      </c>
      <c r="L13" s="0" t="n">
        <f aca="false">L11+L12</f>
        <v>11479.0416830959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8</v>
      </c>
      <c r="D14" s="4" t="n">
        <f aca="false">Assumptions!D47</f>
        <v>9</v>
      </c>
      <c r="E14" s="4" t="n">
        <f aca="false">Assumptions!E47</f>
        <v>10</v>
      </c>
      <c r="F14" s="4" t="n">
        <f aca="false">Assumptions!F47</f>
        <v>11</v>
      </c>
      <c r="G14" s="4" t="n">
        <f aca="false">Assumptions!G47</f>
        <v>12</v>
      </c>
      <c r="H14" s="4" t="n">
        <f aca="false">Assumptions!H47</f>
        <v>12</v>
      </c>
      <c r="I14" s="4" t="n">
        <f aca="false">Assumptions!I47</f>
        <v>12</v>
      </c>
      <c r="J14" s="4" t="n">
        <f aca="false">Assumptions!J47</f>
        <v>12</v>
      </c>
      <c r="K14" s="4" t="n">
        <f aca="false">Assumptions!K47</f>
        <v>12</v>
      </c>
      <c r="L14" s="4" t="n">
        <f aca="false">Assumptions!L47</f>
        <v>12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8019.24862464</v>
      </c>
      <c r="D15" s="0" t="n">
        <f aca="false">D13-MAX(0,D13)*D14/100</f>
        <v>8361.4499736768</v>
      </c>
      <c r="E15" s="0" t="n">
        <f aca="false">E13-MAX(0,E13)*E14/100</f>
        <v>8635.48865685792</v>
      </c>
      <c r="F15" s="0" t="n">
        <f aca="false">F13-MAX(0,F13)*F14/100</f>
        <v>8877.56534463551</v>
      </c>
      <c r="G15" s="0" t="n">
        <f aca="false">G13-MAX(0,G13)*G14/100</f>
        <v>9041.15194199733</v>
      </c>
      <c r="H15" s="0" t="n">
        <f aca="false">H13-MAX(0,H13)*H14/100</f>
        <v>9271.32659505329</v>
      </c>
      <c r="I15" s="0" t="n">
        <f aca="false">I13-MAX(0,I13)*I14/100</f>
        <v>9464.88298818474</v>
      </c>
      <c r="J15" s="0" t="n">
        <f aca="false">J13-MAX(0,J13)*J14/100</f>
        <v>9614.80707305121</v>
      </c>
      <c r="K15" s="0" t="n">
        <f aca="false">K13-MAX(0,K13)*K14/100</f>
        <v>9855.17724987749</v>
      </c>
      <c r="L15" s="0" t="n">
        <f aca="false">L13-MAX(0,L13)*L14/100</f>
        <v>10101.5566811244</v>
      </c>
    </row>
    <row r="16" customFormat="false" ht="15" hidden="false" customHeight="false" outlineLevel="0" collapsed="false">
      <c r="A16" s="0" t="s">
        <v>124</v>
      </c>
      <c r="C16" s="0" t="n">
        <f aca="false">-C12</f>
        <v>4974.13224</v>
      </c>
      <c r="D16" s="0" t="n">
        <f aca="false">-D12</f>
        <v>5255.2101888</v>
      </c>
      <c r="E16" s="0" t="n">
        <f aca="false">-E12</f>
        <v>5524.12914768</v>
      </c>
      <c r="F16" s="0" t="n">
        <f aca="false">-F12</f>
        <v>5805.43480120032</v>
      </c>
      <c r="G16" s="0" t="n">
        <f aca="false">-G12</f>
        <v>6070.1978125884</v>
      </c>
      <c r="H16" s="0" t="n">
        <f aca="false">-H12</f>
        <v>6345.62171333867</v>
      </c>
      <c r="I16" s="0" t="n">
        <f aca="false">-I12</f>
        <v>6632.10787010264</v>
      </c>
      <c r="J16" s="0" t="n">
        <f aca="false">-J12</f>
        <v>6896.43100985311</v>
      </c>
      <c r="K16" s="0" t="n">
        <f aca="false">-K12</f>
        <v>7068.84178509943</v>
      </c>
      <c r="L16" s="0" t="n">
        <f aca="false">-L12</f>
        <v>7245.56282972692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-8487.6066</v>
      </c>
      <c r="D17" s="4" t="n">
        <f aca="false">-D6*Assumptions!D46/100</f>
        <v>-8211.26592</v>
      </c>
      <c r="E17" s="4" t="n">
        <f aca="false">-E6*Assumptions!E46/100</f>
        <v>-8286.19372152</v>
      </c>
      <c r="F17" s="4" t="n">
        <f aca="false">-F6*Assumptions!F46/100</f>
        <v>-8356.3076683944</v>
      </c>
      <c r="G17" s="4" t="n">
        <f aca="false">-G6*Assumptions!G46/100</f>
        <v>-8606.99689844623</v>
      </c>
      <c r="H17" s="4" t="n">
        <f aca="false">-H6*Assumptions!H46/100</f>
        <v>-8865.20680539962</v>
      </c>
      <c r="I17" s="4" t="n">
        <f aca="false">-I6*Assumptions!I46/100</f>
        <v>-9131.16300956161</v>
      </c>
      <c r="J17" s="4" t="n">
        <f aca="false">-J6*Assumptions!J46/100</f>
        <v>-9359.44208480065</v>
      </c>
      <c r="K17" s="4" t="n">
        <f aca="false">-K6*Assumptions!K46/100</f>
        <v>-9593.42813692066</v>
      </c>
      <c r="L17" s="4" t="n">
        <f aca="false">-L6*Assumptions!L46/100</f>
        <v>-9833.26384034368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292.424000000001</v>
      </c>
      <c r="D18" s="4" t="n">
        <f aca="false">(D6-C6)*Assumptions!$B$51/100</f>
        <v>157.90896</v>
      </c>
      <c r="E18" s="4" t="n">
        <f aca="false">(E6-D6)*Assumptions!$B$51/100</f>
        <v>143.6971536</v>
      </c>
      <c r="F18" s="4" t="n">
        <f aca="false">(F6-E6)*Assumptions!$B$51/100</f>
        <v>148.726553976</v>
      </c>
      <c r="G18" s="4" t="n">
        <f aca="false">(G6-F6)*Assumptions!$B$51/100</f>
        <v>131.94170002728</v>
      </c>
      <c r="H18" s="4" t="n">
        <f aca="false">(H6-G6)*Assumptions!$B$51/100</f>
        <v>135.899951028098</v>
      </c>
      <c r="I18" s="4" t="n">
        <f aca="false">(I6-H6)*Assumptions!$B$51/100</f>
        <v>139.976949558941</v>
      </c>
      <c r="J18" s="4" t="n">
        <f aca="false">(J6-I6)*Assumptions!$B$51/100</f>
        <v>120.146881704758</v>
      </c>
      <c r="K18" s="4" t="n">
        <f aca="false">(K6-J6)*Assumptions!$B$51/100</f>
        <v>123.150553747376</v>
      </c>
      <c r="L18" s="4" t="n">
        <f aca="false">(L6-K6)*Assumptions!$B$51/100</f>
        <v>126.229317591061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4798.19826464</v>
      </c>
      <c r="D19" s="0" t="n">
        <f aca="false">D15+D16+D17+D18</f>
        <v>5563.3032024768</v>
      </c>
      <c r="E19" s="0" t="n">
        <f aca="false">E15+E16+E17+E18</f>
        <v>6017.12123661792</v>
      </c>
      <c r="F19" s="0" t="n">
        <f aca="false">F15+F16+F17+F18</f>
        <v>6475.41903141743</v>
      </c>
      <c r="G19" s="0" t="n">
        <f aca="false">G15+G16+G17+G18</f>
        <v>6636.29455616677</v>
      </c>
      <c r="H19" s="0" t="n">
        <f aca="false">H15+H16+H17+H18</f>
        <v>6887.64145402045</v>
      </c>
      <c r="I19" s="0" t="n">
        <f aca="false">I15+I16+I17+I18</f>
        <v>7105.80479828472</v>
      </c>
      <c r="J19" s="0" t="n">
        <f aca="false">J15+J16+J17+J18</f>
        <v>7271.94287980843</v>
      </c>
      <c r="K19" s="0" t="n">
        <f aca="false">K15+K16+K17+K18</f>
        <v>7453.74145180364</v>
      </c>
      <c r="L19" s="0" t="n">
        <f aca="false">L15+L16+L17+L18</f>
        <v>7640.08498809873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4505.35048323005</v>
      </c>
      <c r="D21" s="0" t="n">
        <f aca="false">D19*D20</f>
        <v>4904.93791132871</v>
      </c>
      <c r="E21" s="0" t="n">
        <f aca="false">E19*E20</f>
        <v>4981.26835100257</v>
      </c>
      <c r="F21" s="0" t="n">
        <f aca="false">F19*F20</f>
        <v>5033.49273634052</v>
      </c>
      <c r="G21" s="0" t="n">
        <f aca="false">G19*G20</f>
        <v>4843.70422205446</v>
      </c>
      <c r="H21" s="0" t="n">
        <f aca="false">H19*H20</f>
        <v>4720.33568649469</v>
      </c>
      <c r="I21" s="0" t="n">
        <f aca="false">I19*I20</f>
        <v>4572.62954909887</v>
      </c>
      <c r="J21" s="0" t="n">
        <f aca="false">J19*J20</f>
        <v>4393.93468270432</v>
      </c>
      <c r="K21" s="0" t="n">
        <f aca="false">K19*K20</f>
        <v>4228.90427208632</v>
      </c>
      <c r="L21" s="0" t="n">
        <f aca="false">L19*L20</f>
        <v>4070.07218674974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3.5</v>
      </c>
      <c r="D23" s="4" t="n">
        <f aca="false">Assumptions!D44</f>
        <v>3.4</v>
      </c>
      <c r="E23" s="4" t="n">
        <f aca="false">Assumptions!E44</f>
        <v>3.3</v>
      </c>
      <c r="F23" s="4" t="n">
        <f aca="false">Assumptions!F44</f>
        <v>3.2</v>
      </c>
      <c r="G23" s="4" t="n">
        <f aca="false">Assumptions!G44</f>
        <v>3.2</v>
      </c>
      <c r="H23" s="4" t="n">
        <f aca="false">Assumptions!H44</f>
        <v>3.2</v>
      </c>
      <c r="I23" s="4" t="n">
        <f aca="false">Assumptions!I44</f>
        <v>3.2</v>
      </c>
      <c r="J23" s="4" t="n">
        <f aca="false">Assumptions!J44</f>
        <v>3.2</v>
      </c>
      <c r="K23" s="4" t="n">
        <f aca="false">Assumptions!K44</f>
        <v>3.2</v>
      </c>
      <c r="L23" s="4" t="n">
        <f aca="false">Assumptions!L44</f>
        <v>3.2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-1381.7034</v>
      </c>
      <c r="D24" s="0" t="n">
        <f aca="false">-D6*D23/100</f>
        <v>-1395.9152064</v>
      </c>
      <c r="E24" s="0" t="n">
        <f aca="false">-E6*E23/100</f>
        <v>-1402.278937488</v>
      </c>
      <c r="F24" s="0" t="n">
        <f aca="false">-F6*F23/100</f>
        <v>-1407.37813362432</v>
      </c>
      <c r="G24" s="0" t="n">
        <f aca="false">-G6*G23/100</f>
        <v>-1449.59947763305</v>
      </c>
      <c r="H24" s="0" t="n">
        <f aca="false">-H6*H23/100</f>
        <v>-1493.08746196204</v>
      </c>
      <c r="I24" s="0" t="n">
        <f aca="false">-I6*I23/100</f>
        <v>-1537.8800858209</v>
      </c>
      <c r="J24" s="0" t="n">
        <f aca="false">-J6*J23/100</f>
        <v>-1576.32708796642</v>
      </c>
      <c r="K24" s="0" t="n">
        <f aca="false">-K6*K23/100</f>
        <v>-1615.73526516559</v>
      </c>
      <c r="L24" s="0" t="n">
        <f aca="false">-L6*L23/100</f>
        <v>-1656.12864679472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46254.6300810903</v>
      </c>
    </row>
    <row r="31" customFormat="false" ht="15" hidden="false" customHeight="false" outlineLevel="0" collapsed="false">
      <c r="A31" s="0" t="s">
        <v>133</v>
      </c>
      <c r="B31" s="0" t="n">
        <f aca="false">L19</f>
        <v>7640.08498809873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195777.17782003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152801.699761975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152801.699761975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81401.4437349948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127656.073816085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75187.0738160851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9.91783060494461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-0.173514116254616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389.495142565668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847.799455806473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10.0810405506473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62648.6969024096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-0.740337035031395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0.549240551377525</v>
      </c>
      <c r="C4" s="0" t="n">
        <f aca="false">B4/Assumptions!$B$2-1</f>
        <v>-0.954229954051873</v>
      </c>
      <c r="D4" s="4" t="n">
        <f aca="false">Assumptions!$B$24</f>
        <v>0.3</v>
      </c>
      <c r="E4" s="4" t="n">
        <f aca="false">DCF_Bear!$B$43</f>
        <v>0.665984466990706</v>
      </c>
      <c r="F4" s="4" t="n">
        <f aca="false">DCF_Bear!$B$47</f>
        <v>-3.5804598104756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5.34293257798901</v>
      </c>
      <c r="C5" s="0" t="n">
        <f aca="false">B5/Assumptions!$B$2-1</f>
        <v>-0.554755618500916</v>
      </c>
      <c r="D5" s="4" t="n">
        <f aca="false">Assumptions!$B$38</f>
        <v>0.5</v>
      </c>
      <c r="E5" s="4" t="n">
        <f aca="false">DCF_Base!$B$43</f>
        <v>5.48229222435735</v>
      </c>
      <c r="F5" s="4" t="n">
        <f aca="false">DCF_Base!$B$47</f>
        <v>-2.09083842985982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9.91783060494461</v>
      </c>
      <c r="C6" s="0" t="n">
        <f aca="false">B6/Assumptions!$B$2-1</f>
        <v>-0.173514116254616</v>
      </c>
      <c r="D6" s="4" t="n">
        <f aca="false">Assumptions!$B$52</f>
        <v>0.2</v>
      </c>
      <c r="E6" s="4" t="n">
        <f aca="false">DCF_Bull!$B$43</f>
        <v>10.0810405506473</v>
      </c>
      <c r="F6" s="4" t="n">
        <f aca="false">DCF_Bull!$B$47</f>
        <v>-0.740337035031395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4.81980457539668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4.95714956240535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-1.48972750083179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5227.85402000172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-2.26762456507887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5.34293257798901</v>
      </c>
      <c r="C15" s="3" t="n">
        <v>6.5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2.14804324370447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0.99917255920254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0.105917832837119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-0.608414496202186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-2.09083842985982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7.40305618550459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7.40305618550459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7.40305618550459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7.40305618550459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7.40305618550459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6.32323097865296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6.32323097865296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6.32323097865296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6.32323097865296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6.32323097865296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5.34293257798901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5.34293257798901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5.34293257798901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5.34293257798901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5.34293257798901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3.53236868215414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4.04721149108903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4.451901885089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4.451901885089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4.451901885089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2.09732188096351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2.44919694346593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2.85520663096873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3.328884599722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3.64103183258706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2026-10-23T16:29:05Z</dcterms:created>
  <dc:creator>openpyxl</dc:creator>
  <dc:description/>
  <dc:language>en-NZ</dc:language>
  <cp:lastModifiedBy/>
  <dcterms:modified xsi:type="dcterms:W3CDTF">2026-10-23T16:29:05Z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