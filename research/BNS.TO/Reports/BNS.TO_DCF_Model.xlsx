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<sst xmlns="http://schemas.openxmlformats.org/spreadsheetml/2006/main" count="382" uniqueCount="182">
  <si>
    <t xml:space="preserve">Ticker</t>
  </si>
  <si>
    <t xml:space="preserve">BNS.TO</t>
  </si>
  <si>
    <t xml:space="preserve">Company</t>
  </si>
  <si>
    <t xml:space="preserve">The Bank of Nova Scotia</t>
  </si>
  <si>
    <t xml:space="preserve">Valuation date</t>
  </si>
  <si>
    <t xml:space="preserve">2026-10-10</t>
  </si>
  <si>
    <t xml:space="preserve">Current price</t>
  </si>
  <si>
    <t xml:space="preserve">Price as of</t>
  </si>
  <si>
    <t xml:space="preserve">2026-10-09T20:00:00Z regular close (Yahoo Finance chart API, TSX BNS.TO, CAD)</t>
  </si>
  <si>
    <t xml:space="preserve">Balance sheet date</t>
  </si>
  <si>
    <t xml:space="preserve">2026-07-31</t>
  </si>
  <si>
    <t xml:space="preserve">Model</t>
  </si>
  <si>
    <t xml:space="preserve">Bank FCFE at cost of equity (engine route), net_debt = 0</t>
  </si>
  <si>
    <t xml:space="preserve">Currency (model)</t>
  </si>
  <si>
    <t xml:space="preserve">CAD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</si>
  <si>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</si>
  <si>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</si>
  <si>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</si>
  <si>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</si>
  <si>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</si>
  <si>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</si>
  <si>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2026-10-10T07:39:45Z</t>
  </si>
  <si>
    <t xml:space="preserve">Drivers file</t>
  </si>
  <si>
    <t xml:space="preserve">BNS.TO_Drivers.json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</si>
  <si>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</si>
  <si>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</si>
  <si>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</si>
  <si>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bank is valued on what common shareholders can take out: adjusted net income to common less the earnings that must be retained to hold CET1 at ~13% as the balance sheet grows, discounted at the CAD cost of equity. Deposits and wholesale funding are operating funding, so there is no net-debt deduction; preferred/AT1 distributions and NCI are removed inside the flow. Flows, bridge, discount rate and quote are all CAD, so the per-share result compares directly with the TSX price. Scotiabank is charged a 25bp higher cost of equity than BMO/TD for its emerging-market earnings mix, and the base case holds the ROE it has just reached rather than extrapolating the Q3-26 record.
key_risks_to_valuation: Credit cycle: PCL is 11.4% of revenue at 0.60% of loans; the bear's ~1.1% year takes ~C$4B pre-tax out of one year's earnings, and BNS's International Banking book (Mexico, Peru, Chile, Caribbean) is more cyclical than the domestic peers'.; Fee-cycle peak: GBM posted a record C$647M quarter (+37% YoY) and wealth AUM is up 16%; a market reversal hits year-1 growth and margin directly.; Adjusted vs reported: the model uses adjusted earnings; BNS has booked 'one-off' charges in four of the last five years (Bank of Xi'an, software impairment, Davivienda impairment and FX release, restructuring, legal). If such charges recur, adjusted overstates owner earnings.; Pro forma divestiture: the ~C$530M revenue / ~C$30M NI removed for the Davivienda-transferred operations uses the Q3-FY25 run-rate from T8B; the Davivienda stake's equity-accounted contribution is only eight months old.; Equity-accounted stakes: KeyCorp (~14.9%) and Davivienda (20.3%) earnings are inside the flow at the associates' reported results; a KeyCorp credit event or a Colombian peso devaluation flows straight through, and the capital charged against them is not fully recoverable in a bear case.; FX (earnings, not quote): about a quarter of earnings are in MXN, PEN, CLP and USD; a stronger CAD lowers reported CAD earnings and the FY0 base.; Terminal value carries most of the value; the 13x FCFE cap and 3% CAD nominal terminal growth drive it.</t>
  </si>
  <si>
    <t xml:space="preserve">Data sources</t>
  </si>
  <si>
    <t xml:space="preserve">price: Yahoo Finance chart API at inputs.price_as_of (TSX BNS.TO, CAD); 52-week range 88.5-134.5 CAD
financials: BNS Q3-2026 Report to Shareholders (Aug 25, 2026; BNS.TO_Quarterly_Q3-2026.txt: T1 financial highlights, T2 reported-to-adjusted reconciliation, T2A diluted share data, T8B impact of divested operations, CET1 13.1% / RWA 492,866, preferred and other equity 9,939, goodwill and intangibles 16,012, common equity 79,212); FY2025 Annual Report (adjusted results table :1169-1178, Q4-FY25 adjusted :2358-2364, share-based payments :9100, restructuring/legal items); BNS.TO_Metrics.csv / BNS.TO.duckdb kpis for history (NII, non-interest income, BVPS, CET1, productivity, ROE, PCL).
qualitative: BNS.TO_Analysis.json (2026-10-10): 14%+ ROE target pulled forward to FY2027 and met in Q3-26, double-digit FY26 earnings-growth guidance, CET1 ~13% target, KeyCorp/MapleMark/Davivienda repositioning, CRO commentary on gradual PCL moderation and GTA mortgage stress. Sibling Canadian bank valuations: research/BMO.TO, research/TD, research/RY Drivers files (2026-10-04/10).</t>
  </si>
  <si>
    <t xml:space="preserve">Scenario narrative: bear</t>
  </si>
  <si>
    <t xml:space="preserve">CUSMA renegotiation fails, broad U.S. tariffs return and both Canada and Mexico enter recession in 2027-28: Canadian unemployment passes 8%, pandemic-era GTA mortgages renew into losses, card losses among younger borrowers rise, Chilean and Caribbean impairments keep climbing, and PCL doubles to ~1.1% of loans. The Davivienda and KeyCorp stakes mark down. No solvency or funding case (CET1 13.1%, TLAC 28.6%, LCR 126%), but earnings power resets lower, the ROE target slips back below 12% and the market prices BNS at its historical discount to the Big Six again.</t>
  </si>
  <si>
    <t xml:space="preserve">Scenario narrative: base</t>
  </si>
  <si>
    <t xml:space="preserve">Scotiabank holds the ROE it has just reached: Canadian Banking keeps expanding margin (five straight quarters) with mid-single-digit loan growth, Global Wealth compounds AUM (C$474B, +16% YoY) and GBM stays strong but off the Q3-26 record pace, International Banking grows modestly from the slimmer Mexico/Peru/Chile/Caribbean core with the Davivienda 20.3% stake and KeyCorp ~14.9% stake contributing equity-accounted income. Productivity improves to ~51.5%, PCL moderates gradually as management guides, adjusted ROE settles around 14-14.5% and the capital above 13% CET1 is returned through the NCIB and a dividend growing with earnings.</t>
  </si>
  <si>
    <t xml:space="preserve">Scenario narrative: bull</t>
  </si>
  <si>
    <t xml:space="preserve">The North American corridor pivot works: KeyCorp delivers the ~C$350M/yr earnings contribution, MapleMark seeds a U.S. commercial franchise, Canadian rate cuts reignite mortgage and commercial lending, wealth and capital markets sustain double-digit fee growth, and the LatAm core re-rates as a growth asset rather than a risk. Productivity ~50%, PCL ~0.45%, ROE ~16%, and BNS closes its valuation discount to RY/NA.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</si>
  <si>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</si>
  <si>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</si>
  <si>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</si>
  <si>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</si>
  <si>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</si>
  <si>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</si>
  <si>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</si>
  <si>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</si>
  <si>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</si>
  <si>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</si>
  <si>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</si>
  <si>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</si>
  <si>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</si>
  <si>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</si>
  <si>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</si>
  <si>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</si>
  <si>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</si>
  <si>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</si>
  <si>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</si>
  <si>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</si>
  <si>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</si>
  <si>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</si>
  <si>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</si>
  <si>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</si>
  <si>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</si>
  <si>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</si>
  <si>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</si>
  <si>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BasicEPS</t>
  </si>
  <si>
    <t xml:space="preserve">BookValuePerShare</t>
  </si>
  <si>
    <t xml:space="preserve">CET1Ratio</t>
  </si>
  <si>
    <t xml:space="preserve">CreditImpairmentCharge</t>
  </si>
  <si>
    <t xml:space="preserve">Deposits</t>
  </si>
  <si>
    <t xml:space="preserve">EfficiencyRatio</t>
  </si>
  <si>
    <t xml:space="preserve">NetInterestIncome</t>
  </si>
  <si>
    <t xml:space="preserve">NetInterestMargin</t>
  </si>
  <si>
    <t xml:space="preserve">NetLoans</t>
  </si>
  <si>
    <t xml:space="preserve">NetProfitAttributable</t>
  </si>
  <si>
    <t xml:space="preserve">NonInterestIncome</t>
  </si>
  <si>
    <t xml:space="preserve">ROE</t>
  </si>
  <si>
    <t xml:space="preserve">RiskWeightedAssets</t>
  </si>
  <si>
    <t xml:space="preserve">TotalCommonEquity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</si>
  <si>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</si>
  <si>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</si>
  <si>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</si>
  <si>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</si>
  <si>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</si>
  <si>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</si>
  <si>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</si>
  <si>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</si>
  <si>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</si>
  <si>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</si>
  <si>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</si>
  <si>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</si>
  <si>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</si>
  <si>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</si>
  <si>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</si>
  <si>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</si>
  <si>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</si>
  <si>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</si>
  <si>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</si>
  <si>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</si>
  <si>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</si>
  <si>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</si>
  <si>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TTM to 2026-07-31 (adjusted basis, pro forma for the divested Colombia/Costa Rica/Panama operations)</t>
  </si>
  <si>
    <t xml:space="preserve">Currency / units</t>
  </si>
  <si>
    <t xml:space="preserve">CAD millions</t>
  </si>
  <si>
    <t xml:space="preserve">FX rate (model -&gt; quote)</t>
  </si>
  <si>
    <t xml:space="preserve">BEAR</t>
  </si>
  <si>
    <t xml:space="preserve">TTM to 2027</t>
  </si>
  <si>
    <t xml:space="preserve">TTM to 2028</t>
  </si>
  <si>
    <t xml:space="preserve">TTM to 2029</t>
  </si>
  <si>
    <t xml:space="preserve">TTM to 2030</t>
  </si>
  <si>
    <t xml:space="preserve">TTM to 2031</t>
  </si>
  <si>
    <t xml:space="preserve">TTM to 2032</t>
  </si>
  <si>
    <t xml:space="preserve">TTM to 2033</t>
  </si>
  <si>
    <t xml:space="preserve">TTM to 2034</t>
  </si>
  <si>
    <t xml:space="preserve">TTM to 2035</t>
  </si>
  <si>
    <t xml:space="preserve">TTM to 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</si>
  <si>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</si>
  <si>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</si>
  <si>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</si>
  <si>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</si>
  <si>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</si>
  <si>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</si>
  <si>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</si>
  <si>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</si>
  <si>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</si>
  <si>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</si>
  <si>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</si>
  <si>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</si>
  <si>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</si>
  <si>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</si>
  <si>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BNS.TO owner-FCF component DCF: bear case (millions, CAD)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</si>
  <si>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</si>
  <si>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</si>
  <si>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</si>
  <si>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</si>
  <si>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</si>
  <si>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</si>
  <si>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</si>
  <si>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</si>
  <si>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</si>
  <si>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</si>
  <si>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</si>
  <si>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</si>
  <si>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</si>
  <si>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</si>
  <si>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</si>
  <si>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</si>
  <si>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</si>
  <si>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</si>
  <si>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</si>
  <si>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</si>
  <si>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</si>
  <si>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</si>
  <si>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</si>
  <si>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</si>
  <si>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</si>
  <si>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</si>
  <si>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</si>
  <si>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</si>
  <si>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</si>
  <si>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</si>
  <si>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BNS.TO owner-FCF component DCF: base case (millions, CAD)</t>
  </si>
  <si>
    <t xml:space="preserve">BNS.TO owner-FCF component DCF: bull case (millions, CAD)</t>
  </si>
  <si>
    <t xml:space="preserve">BNS.TO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</si>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</sst>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126.03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  <c r="AE1" s="2" t="s">
        <v>65</v>
      </c>
      <c r="AF1" s="2" t="s">
        <v>66</v>
      </c>
      <c r="AG1" s="2" t="s">
        <v>67</v>
      </c>
      <c r="AH1" s="2" t="s">
        <v>68</v>
      </c>
      <c r="AI1" s="2" t="s">
        <v>69</v>
      </c>
      <c r="AJ1" s="2" t="s">
        <v>70</v>
      </c>
      <c r="AK1" s="2" t="s">
        <v>71</v>
      </c>
      <c r="AL1" s="2" t="s">
        <v>72</v>
      </c>
      <c r="AM1" s="2" t="s">
        <v>73</v>
      </c>
      <c r="AN1" s="2" t="s">
        <v>74</v>
      </c>
      <c r="AO1" s="2" t="s">
        <v>75</v>
      </c>
      <c r="AP1" s="2" t="s">
        <v>76</v>
      </c>
    </row>
    <row r="2" customFormat="false" ht="15" hidden="false" customHeight="false" outlineLevel="0" collapsed="false">
      <c r="A2" s="0" t="s">
        <v>77</v>
      </c>
      <c r="B2" s="0" t="n">
        <v>21343</v>
      </c>
      <c r="I2" s="0" t="n">
        <v>6697</v>
      </c>
      <c r="J2" s="0" t="n">
        <v>31.4</v>
      </c>
      <c r="K2" s="0" t="n">
        <v>5.15</v>
      </c>
      <c r="L2" s="0" t="n">
        <v>9744</v>
      </c>
      <c r="O2" s="0" t="n">
        <v>44653</v>
      </c>
      <c r="P2" s="0" t="n">
        <v>743788</v>
      </c>
      <c r="Q2" s="0" t="n">
        <v>697237</v>
      </c>
      <c r="R2" s="0" t="n">
        <v>5841</v>
      </c>
      <c r="S2" s="0" t="n">
        <v>53338</v>
      </c>
      <c r="T2" s="0" t="n">
        <v>1209</v>
      </c>
      <c r="U2" s="0" t="n">
        <v>222</v>
      </c>
      <c r="V2" s="0" t="n">
        <v>2.39</v>
      </c>
      <c r="AA2" s="0" t="s">
        <v>17</v>
      </c>
      <c r="AB2" s="0" t="s">
        <v>14</v>
      </c>
      <c r="AC2" s="0" t="n">
        <v>5.19</v>
      </c>
      <c r="AD2" s="0" t="n">
        <v>33.57</v>
      </c>
      <c r="AE2" s="0" t="n">
        <v>9.1</v>
      </c>
      <c r="AF2" s="0" t="n">
        <v>1296</v>
      </c>
      <c r="AG2" s="0" t="n">
        <v>516554</v>
      </c>
      <c r="AH2" s="0" t="n">
        <v>53.5</v>
      </c>
      <c r="AI2" s="0" t="n">
        <v>11366</v>
      </c>
      <c r="AK2" s="0" t="n">
        <v>402150</v>
      </c>
      <c r="AL2" s="0" t="n">
        <v>6205</v>
      </c>
      <c r="AM2" s="0" t="n">
        <v>9977</v>
      </c>
      <c r="AN2" s="0" t="n">
        <v>16.4</v>
      </c>
      <c r="AO2" s="0" t="n">
        <v>288246</v>
      </c>
      <c r="AP2" s="0" t="n">
        <v>40569</v>
      </c>
    </row>
    <row r="3" customFormat="false" ht="15" hidden="false" customHeight="false" outlineLevel="0" collapsed="false">
      <c r="A3" s="0" t="s">
        <v>78</v>
      </c>
      <c r="B3" s="0" t="n">
        <v>23604</v>
      </c>
      <c r="I3" s="0" t="n">
        <v>7298</v>
      </c>
      <c r="J3" s="0" t="n">
        <v>30.9</v>
      </c>
      <c r="K3" s="0" t="n">
        <v>5.66</v>
      </c>
      <c r="L3" s="0" t="n">
        <v>4944</v>
      </c>
      <c r="O3" s="0" t="n">
        <v>47899</v>
      </c>
      <c r="P3" s="0" t="n">
        <v>805666</v>
      </c>
      <c r="Q3" s="0" t="n">
        <v>756455</v>
      </c>
      <c r="R3" s="0" t="n">
        <v>4871</v>
      </c>
      <c r="S3" s="0" t="n">
        <v>56730</v>
      </c>
      <c r="T3" s="0" t="n">
        <v>1222</v>
      </c>
      <c r="U3" s="0" t="n">
        <v>270</v>
      </c>
      <c r="V3" s="0" t="n">
        <v>2.56</v>
      </c>
      <c r="AA3" s="0" t="s">
        <v>17</v>
      </c>
      <c r="AB3" s="0" t="s">
        <v>14</v>
      </c>
      <c r="AC3" s="0" t="n">
        <v>5.69</v>
      </c>
      <c r="AD3" s="0" t="n">
        <v>36.96</v>
      </c>
      <c r="AE3" s="0" t="n">
        <v>10.8</v>
      </c>
      <c r="AF3" s="0" t="n">
        <v>1703</v>
      </c>
      <c r="AG3" s="0" t="n">
        <v>554017</v>
      </c>
      <c r="AH3" s="0" t="n">
        <v>52.6</v>
      </c>
      <c r="AI3" s="0" t="n">
        <v>12305</v>
      </c>
      <c r="AK3" s="0" t="n">
        <v>424309</v>
      </c>
      <c r="AL3" s="0" t="n">
        <v>6916</v>
      </c>
      <c r="AM3" s="0" t="n">
        <v>11299</v>
      </c>
      <c r="AN3" s="0" t="n">
        <v>16.1</v>
      </c>
      <c r="AO3" s="0" t="n">
        <v>312473</v>
      </c>
      <c r="AP3" s="0" t="n">
        <v>44965</v>
      </c>
    </row>
    <row r="4" customFormat="false" ht="15" hidden="false" customHeight="false" outlineLevel="0" collapsed="false">
      <c r="A4" s="0" t="s">
        <v>79</v>
      </c>
      <c r="B4" s="0" t="n">
        <v>24049</v>
      </c>
      <c r="I4" s="0" t="n">
        <v>7213</v>
      </c>
      <c r="J4" s="0" t="n">
        <v>30</v>
      </c>
      <c r="K4" s="0" t="n">
        <v>5.67</v>
      </c>
      <c r="L4" s="0" t="n">
        <v>13847</v>
      </c>
      <c r="O4" s="0" t="n">
        <v>52019</v>
      </c>
      <c r="P4" s="0" t="n">
        <v>856497</v>
      </c>
      <c r="Q4" s="0" t="n">
        <v>803018</v>
      </c>
      <c r="R4" s="0" t="n">
        <v>6182</v>
      </c>
      <c r="S4" s="0" t="n">
        <v>73927</v>
      </c>
      <c r="T4" s="0" t="n">
        <v>1232</v>
      </c>
      <c r="U4" s="0" t="n">
        <v>220</v>
      </c>
      <c r="V4" s="0" t="n">
        <v>2.72</v>
      </c>
      <c r="AA4" s="0" t="s">
        <v>17</v>
      </c>
      <c r="AB4" s="0" t="s">
        <v>14</v>
      </c>
      <c r="AC4" s="0" t="n">
        <v>5.7</v>
      </c>
      <c r="AD4" s="0" t="n">
        <v>40.8</v>
      </c>
      <c r="AE4" s="0" t="n">
        <v>10.3</v>
      </c>
      <c r="AF4" s="0" t="n">
        <v>1942</v>
      </c>
      <c r="AG4" s="0" t="n">
        <v>600919</v>
      </c>
      <c r="AH4" s="0" t="n">
        <v>53.4</v>
      </c>
      <c r="AI4" s="0" t="n">
        <v>13092</v>
      </c>
      <c r="AK4" s="0" t="n">
        <v>458628</v>
      </c>
      <c r="AL4" s="0" t="n">
        <v>6897</v>
      </c>
      <c r="AM4" s="0" t="n">
        <v>10957</v>
      </c>
      <c r="AN4" s="0" t="n">
        <v>14.6</v>
      </c>
      <c r="AO4" s="0" t="n">
        <v>357995</v>
      </c>
      <c r="AP4" s="0" t="n">
        <v>49085</v>
      </c>
    </row>
    <row r="5" customFormat="false" ht="15" hidden="false" customHeight="false" outlineLevel="0" collapsed="false">
      <c r="A5" s="0" t="s">
        <v>80</v>
      </c>
      <c r="B5" s="0" t="n">
        <v>26350</v>
      </c>
      <c r="I5" s="0" t="n">
        <v>7368</v>
      </c>
      <c r="J5" s="0" t="n">
        <v>28</v>
      </c>
      <c r="K5" s="0" t="n">
        <v>5.77</v>
      </c>
      <c r="L5" s="0" t="n">
        <v>4099</v>
      </c>
      <c r="O5" s="0" t="n">
        <v>56251</v>
      </c>
      <c r="P5" s="0" t="n">
        <v>896266</v>
      </c>
      <c r="Q5" s="0" t="n">
        <v>838445</v>
      </c>
      <c r="R5" s="0" t="n">
        <v>7633</v>
      </c>
      <c r="S5" s="0" t="n">
        <v>46344</v>
      </c>
      <c r="T5" s="0" t="n">
        <v>1226</v>
      </c>
      <c r="U5" s="0" t="n">
        <v>243</v>
      </c>
      <c r="V5" s="0" t="n">
        <v>2.88</v>
      </c>
      <c r="AA5" s="0" t="s">
        <v>17</v>
      </c>
      <c r="AB5" s="0" t="s">
        <v>14</v>
      </c>
      <c r="AC5" s="0" t="n">
        <v>5.8</v>
      </c>
      <c r="AD5" s="0" t="n">
        <v>43.59</v>
      </c>
      <c r="AE5" s="0" t="n">
        <v>11</v>
      </c>
      <c r="AF5" s="0" t="n">
        <v>2412</v>
      </c>
      <c r="AG5" s="0" t="n">
        <v>611877</v>
      </c>
      <c r="AH5" s="0" t="n">
        <v>55.2</v>
      </c>
      <c r="AI5" s="0" t="n">
        <v>14292</v>
      </c>
      <c r="AK5" s="0" t="n">
        <v>480164</v>
      </c>
      <c r="AL5" s="0" t="n">
        <v>6987</v>
      </c>
      <c r="AM5" s="0" t="n">
        <v>12058</v>
      </c>
      <c r="AN5" s="0" t="n">
        <v>13.8</v>
      </c>
      <c r="AO5" s="0" t="n">
        <v>364048</v>
      </c>
      <c r="AP5" s="0" t="n">
        <v>52657</v>
      </c>
    </row>
    <row r="6" customFormat="false" ht="15" hidden="false" customHeight="false" outlineLevel="0" collapsed="false">
      <c r="A6" s="0" t="s">
        <v>81</v>
      </c>
      <c r="B6" s="0" t="n">
        <v>27155</v>
      </c>
      <c r="I6" s="0" t="n">
        <v>8243</v>
      </c>
      <c r="J6" s="0" t="n">
        <v>30.4</v>
      </c>
      <c r="K6" s="0" t="n">
        <v>6.49</v>
      </c>
      <c r="L6" s="0" t="n">
        <v>16584</v>
      </c>
      <c r="O6" s="0" t="n">
        <v>60033</v>
      </c>
      <c r="P6" s="0" t="n">
        <v>915273</v>
      </c>
      <c r="Q6" s="0" t="n">
        <v>853648</v>
      </c>
      <c r="R6" s="0" t="n">
        <v>5935</v>
      </c>
      <c r="S6" s="0" t="n">
        <v>59663</v>
      </c>
      <c r="T6" s="0" t="n">
        <v>1223</v>
      </c>
      <c r="U6" s="0" t="n">
        <v>209</v>
      </c>
      <c r="V6" s="0" t="n">
        <v>3.05</v>
      </c>
      <c r="AA6" s="0" t="s">
        <v>17</v>
      </c>
      <c r="AB6" s="0" t="s">
        <v>14</v>
      </c>
      <c r="AC6" s="0" t="n">
        <v>6.55</v>
      </c>
      <c r="AD6" s="0" t="n">
        <v>46.24</v>
      </c>
      <c r="AE6" s="0" t="n">
        <v>11.5</v>
      </c>
      <c r="AF6" s="0" t="n">
        <v>2249</v>
      </c>
      <c r="AG6" s="0" t="n">
        <v>625367</v>
      </c>
      <c r="AH6" s="0" t="n">
        <v>53.9</v>
      </c>
      <c r="AI6" s="0" t="n">
        <v>15035</v>
      </c>
      <c r="AK6" s="0" t="n">
        <v>504369</v>
      </c>
      <c r="AL6" s="0" t="n">
        <v>7876</v>
      </c>
      <c r="AM6" s="0" t="n">
        <v>12120</v>
      </c>
      <c r="AN6" s="0" t="n">
        <v>14.6</v>
      </c>
      <c r="AO6" s="0" t="n">
        <v>376379</v>
      </c>
      <c r="AP6" s="0" t="n">
        <v>55454</v>
      </c>
    </row>
    <row r="7" customFormat="false" ht="15" hidden="false" customHeight="false" outlineLevel="0" collapsed="false">
      <c r="A7" s="0" t="s">
        <v>82</v>
      </c>
      <c r="B7" s="0" t="n">
        <v>28775</v>
      </c>
      <c r="I7" s="0" t="n">
        <v>8724</v>
      </c>
      <c r="J7" s="0" t="n">
        <v>30.3</v>
      </c>
      <c r="K7" s="0" t="n">
        <v>6.82</v>
      </c>
      <c r="L7" s="0" t="n">
        <v>17811</v>
      </c>
      <c r="O7" s="0" t="n">
        <v>65228</v>
      </c>
      <c r="P7" s="0" t="n">
        <v>998493</v>
      </c>
      <c r="Q7" s="0" t="n">
        <v>930813</v>
      </c>
      <c r="R7" s="0" t="n">
        <v>5698</v>
      </c>
      <c r="S7" s="0" t="n">
        <v>62269</v>
      </c>
      <c r="T7" s="0" t="n">
        <v>1229</v>
      </c>
      <c r="U7" s="0" t="n">
        <v>192</v>
      </c>
      <c r="V7" s="0" t="n">
        <v>3.28</v>
      </c>
      <c r="AA7" s="0" t="s">
        <v>17</v>
      </c>
      <c r="AB7" s="0" t="s">
        <v>14</v>
      </c>
      <c r="AC7" s="0" t="n">
        <v>6.9</v>
      </c>
      <c r="AD7" s="0" t="n">
        <v>49.75</v>
      </c>
      <c r="AE7" s="0" t="n">
        <v>11.1</v>
      </c>
      <c r="AF7" s="0" t="n">
        <v>2611</v>
      </c>
      <c r="AG7" s="0" t="n">
        <v>676534</v>
      </c>
      <c r="AH7" s="0" t="n">
        <v>52.3</v>
      </c>
      <c r="AI7" s="0" t="n">
        <v>16191</v>
      </c>
      <c r="AK7" s="0" t="n">
        <v>551834</v>
      </c>
      <c r="AL7" s="0" t="n">
        <v>8361</v>
      </c>
      <c r="AM7" s="0" t="n">
        <v>12584</v>
      </c>
      <c r="AN7" s="0" t="n">
        <v>14.5</v>
      </c>
      <c r="AO7" s="0" t="n">
        <v>400507</v>
      </c>
      <c r="AP7" s="0" t="n">
        <v>61044</v>
      </c>
    </row>
    <row r="8" customFormat="false" ht="15" hidden="false" customHeight="false" outlineLevel="0" collapsed="false">
      <c r="A8" s="0" t="s">
        <v>83</v>
      </c>
      <c r="B8" s="0" t="n">
        <v>31034</v>
      </c>
      <c r="I8" s="0" t="n">
        <v>8798</v>
      </c>
      <c r="J8" s="0" t="n">
        <v>28.3</v>
      </c>
      <c r="K8" s="0" t="n">
        <v>6.68</v>
      </c>
      <c r="L8" s="0" t="n">
        <v>-12025</v>
      </c>
      <c r="O8" s="0" t="n">
        <v>67522</v>
      </c>
      <c r="P8" s="0" t="n">
        <v>1086161</v>
      </c>
      <c r="Q8" s="0" t="n">
        <v>1015969</v>
      </c>
      <c r="R8" s="0" t="n">
        <v>7252</v>
      </c>
      <c r="S8" s="0" t="n">
        <v>46720</v>
      </c>
      <c r="T8" s="0" t="n">
        <v>1251</v>
      </c>
      <c r="U8" s="0" t="n">
        <v>278</v>
      </c>
      <c r="V8" s="0" t="n">
        <v>3.49</v>
      </c>
      <c r="AA8" s="0" t="s">
        <v>17</v>
      </c>
      <c r="AB8" s="0" t="s">
        <v>14</v>
      </c>
      <c r="AC8" s="0" t="n">
        <v>6.72</v>
      </c>
      <c r="AD8" s="0" t="n">
        <v>52.33</v>
      </c>
      <c r="AE8" s="0" t="n">
        <v>11.1</v>
      </c>
      <c r="AF8" s="0" t="n">
        <v>3027</v>
      </c>
      <c r="AG8" s="0" t="n">
        <v>733390</v>
      </c>
      <c r="AH8" s="0" t="n">
        <v>53.9</v>
      </c>
      <c r="AI8" s="0" t="n">
        <v>17177</v>
      </c>
      <c r="AJ8" s="0" t="n">
        <v>2.44</v>
      </c>
      <c r="AK8" s="0" t="n">
        <v>592483</v>
      </c>
      <c r="AL8" s="0" t="n">
        <v>8208</v>
      </c>
      <c r="AM8" s="0" t="n">
        <v>13857</v>
      </c>
      <c r="AN8" s="0" t="n">
        <v>13.1</v>
      </c>
      <c r="AO8" s="0" t="n">
        <v>421185</v>
      </c>
      <c r="AP8" s="0" t="n">
        <v>63638</v>
      </c>
    </row>
    <row r="9" customFormat="false" ht="15" hidden="false" customHeight="false" outlineLevel="0" collapsed="false">
      <c r="A9" s="0" t="s">
        <v>84</v>
      </c>
      <c r="B9" s="0" t="n">
        <v>31336</v>
      </c>
      <c r="I9" s="0" t="n">
        <v>6853</v>
      </c>
      <c r="J9" s="0" t="n">
        <v>21.9</v>
      </c>
      <c r="K9" s="0" t="n">
        <v>5.3</v>
      </c>
      <c r="L9" s="0" t="n">
        <v>56664</v>
      </c>
      <c r="O9" s="0" t="n">
        <v>68127</v>
      </c>
      <c r="P9" s="0" t="n">
        <v>1136466</v>
      </c>
      <c r="Q9" s="0" t="n">
        <v>1065963</v>
      </c>
      <c r="R9" s="0" t="n">
        <v>7405</v>
      </c>
      <c r="S9" s="0" t="n">
        <v>76460</v>
      </c>
      <c r="T9" s="0" t="n">
        <v>1243</v>
      </c>
      <c r="U9" s="0" t="n">
        <v>298</v>
      </c>
      <c r="V9" s="0" t="n">
        <v>3.6</v>
      </c>
      <c r="AA9" s="0" t="s">
        <v>17</v>
      </c>
      <c r="AB9" s="0" t="s">
        <v>14</v>
      </c>
      <c r="AC9" s="0" t="n">
        <v>5.43</v>
      </c>
      <c r="AD9" s="0" t="n">
        <v>51.85</v>
      </c>
      <c r="AE9" s="0" t="n">
        <v>11.8</v>
      </c>
      <c r="AF9" s="0" t="n">
        <v>6084</v>
      </c>
      <c r="AG9" s="0" t="n">
        <v>750838</v>
      </c>
      <c r="AH9" s="0" t="n">
        <v>53.8</v>
      </c>
      <c r="AI9" s="0" t="n">
        <v>17320</v>
      </c>
      <c r="AJ9" s="0" t="n">
        <v>2.27</v>
      </c>
      <c r="AK9" s="0" t="n">
        <v>603263</v>
      </c>
      <c r="AL9" s="0" t="n">
        <v>6582</v>
      </c>
      <c r="AM9" s="0" t="n">
        <v>14016</v>
      </c>
      <c r="AN9" s="0" t="n">
        <v>10.4</v>
      </c>
      <c r="AO9" s="0" t="n">
        <v>417138</v>
      </c>
      <c r="AP9" s="0" t="n">
        <v>62819</v>
      </c>
    </row>
    <row r="10" customFormat="false" ht="15" hidden="false" customHeight="false" outlineLevel="0" collapsed="false">
      <c r="A10" s="0" t="s">
        <v>85</v>
      </c>
      <c r="B10" s="0" t="n">
        <v>31252</v>
      </c>
      <c r="I10" s="0" t="n">
        <v>9955</v>
      </c>
      <c r="J10" s="0" t="n">
        <v>31.9</v>
      </c>
      <c r="K10" s="0" t="n">
        <v>7.7</v>
      </c>
      <c r="L10" s="0" t="n">
        <v>-12807</v>
      </c>
      <c r="O10" s="0" t="n">
        <v>70802</v>
      </c>
      <c r="P10" s="0" t="n">
        <v>1184844</v>
      </c>
      <c r="Q10" s="0" t="n">
        <v>1111952</v>
      </c>
      <c r="R10" s="0" t="n">
        <v>6334</v>
      </c>
      <c r="S10" s="0" t="n">
        <v>86323</v>
      </c>
      <c r="T10" s="0" t="n">
        <v>1225</v>
      </c>
      <c r="U10" s="0" t="n">
        <v>223</v>
      </c>
      <c r="V10" s="0" t="n">
        <v>3.6</v>
      </c>
      <c r="AA10" s="0" t="s">
        <v>17</v>
      </c>
      <c r="AB10" s="0" t="s">
        <v>14</v>
      </c>
      <c r="AC10" s="0" t="n">
        <v>7.74</v>
      </c>
      <c r="AD10" s="0" t="n">
        <v>53.28</v>
      </c>
      <c r="AE10" s="0" t="n">
        <v>12.3</v>
      </c>
      <c r="AF10" s="0" t="n">
        <v>1808</v>
      </c>
      <c r="AG10" s="0" t="n">
        <v>797259</v>
      </c>
      <c r="AH10" s="0" t="n">
        <v>53.2</v>
      </c>
      <c r="AI10" s="0" t="n">
        <v>16961</v>
      </c>
      <c r="AJ10" s="0" t="n">
        <v>2.23</v>
      </c>
      <c r="AK10" s="0" t="n">
        <v>636986</v>
      </c>
      <c r="AL10" s="0" t="n">
        <v>9391</v>
      </c>
      <c r="AM10" s="0" t="n">
        <v>14291</v>
      </c>
      <c r="AN10" s="0" t="n">
        <v>14.7</v>
      </c>
      <c r="AO10" s="0" t="n">
        <v>416105</v>
      </c>
      <c r="AP10" s="0" t="n">
        <v>64750</v>
      </c>
    </row>
    <row r="11" customFormat="false" ht="15" hidden="false" customHeight="false" outlineLevel="0" collapsed="false">
      <c r="A11" s="0" t="s">
        <v>86</v>
      </c>
      <c r="B11" s="0" t="n">
        <v>31416</v>
      </c>
      <c r="I11" s="0" t="n">
        <v>10174</v>
      </c>
      <c r="J11" s="0" t="n">
        <v>32.4</v>
      </c>
      <c r="K11" s="0" t="n">
        <v>8.02</v>
      </c>
      <c r="L11" s="0" t="n">
        <v>16943</v>
      </c>
      <c r="O11" s="0" t="n">
        <v>73225</v>
      </c>
      <c r="P11" s="0" t="n">
        <v>1349418</v>
      </c>
      <c r="Q11" s="0" t="n">
        <v>1274669</v>
      </c>
      <c r="R11" s="0" t="n">
        <v>8469</v>
      </c>
      <c r="S11" s="0" t="n">
        <v>65895</v>
      </c>
      <c r="T11" s="0" t="n">
        <v>1208</v>
      </c>
      <c r="U11" s="0" t="n">
        <v>335</v>
      </c>
      <c r="V11" s="0" t="n">
        <v>4.06</v>
      </c>
      <c r="AA11" s="0" t="s">
        <v>17</v>
      </c>
      <c r="AB11" s="0" t="s">
        <v>14</v>
      </c>
      <c r="AC11" s="0" t="n">
        <v>8.05</v>
      </c>
      <c r="AD11" s="0" t="n">
        <v>54.68</v>
      </c>
      <c r="AE11" s="0" t="n">
        <v>11.5</v>
      </c>
      <c r="AF11" s="0" t="n">
        <v>1382</v>
      </c>
      <c r="AG11" s="0" t="n">
        <v>916181</v>
      </c>
      <c r="AH11" s="0" t="n">
        <v>54.4</v>
      </c>
      <c r="AI11" s="0" t="n">
        <v>18115</v>
      </c>
      <c r="AJ11" s="0" t="n">
        <v>2.2</v>
      </c>
      <c r="AK11" s="0" t="n">
        <v>744987</v>
      </c>
      <c r="AL11" s="0" t="n">
        <v>9656</v>
      </c>
      <c r="AM11" s="0" t="n">
        <v>13301</v>
      </c>
      <c r="AN11" s="0" t="n">
        <v>14.8</v>
      </c>
      <c r="AO11" s="0" t="n">
        <v>462448</v>
      </c>
      <c r="AP11" s="0" t="n">
        <v>65150</v>
      </c>
    </row>
    <row r="12" customFormat="false" ht="15" hidden="false" customHeight="false" outlineLevel="0" collapsed="false">
      <c r="A12" s="0" t="s">
        <v>87</v>
      </c>
      <c r="B12" s="0" t="n">
        <v>32307</v>
      </c>
      <c r="I12" s="0" t="n">
        <v>7528</v>
      </c>
      <c r="J12" s="0" t="n">
        <v>23.3</v>
      </c>
      <c r="K12" s="0" t="n">
        <v>5.78</v>
      </c>
      <c r="L12" s="0" t="n">
        <v>31724</v>
      </c>
      <c r="O12" s="0" t="n">
        <v>76928</v>
      </c>
      <c r="P12" s="0" t="n">
        <v>1410789</v>
      </c>
      <c r="Q12" s="0" t="n">
        <v>1332122</v>
      </c>
      <c r="R12" s="0" t="n">
        <v>9693</v>
      </c>
      <c r="S12" s="0" t="n">
        <v>90312</v>
      </c>
      <c r="T12" s="0" t="n">
        <v>1204</v>
      </c>
      <c r="U12" s="0" t="n">
        <v>332</v>
      </c>
      <c r="V12" s="0" t="n">
        <v>4.18</v>
      </c>
      <c r="AA12" s="0" t="s">
        <v>17</v>
      </c>
      <c r="AB12" s="0" t="s">
        <v>14</v>
      </c>
      <c r="AC12" s="0" t="n">
        <v>5.84</v>
      </c>
      <c r="AD12" s="0" t="n">
        <v>56.71</v>
      </c>
      <c r="AE12" s="0" t="n">
        <v>13</v>
      </c>
      <c r="AF12" s="0" t="n">
        <v>3422</v>
      </c>
      <c r="AG12" s="0" t="n">
        <v>952333</v>
      </c>
      <c r="AH12" s="0" t="n">
        <v>59.2</v>
      </c>
      <c r="AI12" s="0" t="n">
        <v>18287</v>
      </c>
      <c r="AJ12" s="0" t="n">
        <v>2.12</v>
      </c>
      <c r="AK12" s="0" t="n">
        <v>750911</v>
      </c>
      <c r="AL12" s="0" t="n">
        <v>6991</v>
      </c>
      <c r="AM12" s="0" t="n">
        <v>14020</v>
      </c>
      <c r="AN12" s="0" t="n">
        <v>10.4</v>
      </c>
      <c r="AO12" s="0" t="n">
        <v>440017</v>
      </c>
      <c r="AP12" s="0" t="n">
        <v>68853</v>
      </c>
    </row>
    <row r="13" customFormat="false" ht="15" hidden="false" customHeight="false" outlineLevel="0" collapsed="false">
      <c r="A13" s="0" t="s">
        <v>88</v>
      </c>
      <c r="B13" s="0" t="n">
        <v>33670</v>
      </c>
      <c r="I13" s="0" t="n">
        <v>7892</v>
      </c>
      <c r="J13" s="0" t="n">
        <v>23.4</v>
      </c>
      <c r="K13" s="0" t="n">
        <v>5.87</v>
      </c>
      <c r="L13" s="0" t="n">
        <v>15652</v>
      </c>
      <c r="O13" s="0" t="n">
        <v>82369</v>
      </c>
      <c r="P13" s="0" t="n">
        <v>1412027</v>
      </c>
      <c r="Q13" s="0" t="n">
        <v>1327951</v>
      </c>
      <c r="R13" s="0" t="n">
        <v>7833</v>
      </c>
      <c r="S13" s="0" t="n">
        <v>63860</v>
      </c>
      <c r="T13" s="0" t="n">
        <v>1232</v>
      </c>
      <c r="U13" s="0" t="n">
        <v>371</v>
      </c>
      <c r="V13" s="0" t="n">
        <v>4.24</v>
      </c>
      <c r="AA13" s="0" t="s">
        <v>17</v>
      </c>
      <c r="AB13" s="0" t="s">
        <v>14</v>
      </c>
      <c r="AC13" s="0" t="n">
        <v>5.94</v>
      </c>
      <c r="AD13" s="0" t="n">
        <v>59.14</v>
      </c>
      <c r="AE13" s="0" t="n">
        <v>13.1</v>
      </c>
      <c r="AF13" s="0" t="n">
        <v>4051</v>
      </c>
      <c r="AG13" s="0" t="n">
        <v>943849</v>
      </c>
      <c r="AH13" s="0" t="n">
        <v>58.5</v>
      </c>
      <c r="AI13" s="0" t="n">
        <v>19252</v>
      </c>
      <c r="AJ13" s="0" t="n">
        <v>2.16</v>
      </c>
      <c r="AK13" s="0" t="n">
        <v>760829</v>
      </c>
      <c r="AL13" s="0" t="n">
        <v>7286</v>
      </c>
      <c r="AM13" s="0" t="n">
        <v>14418</v>
      </c>
      <c r="AN13" s="0" t="n">
        <v>10.2</v>
      </c>
      <c r="AO13" s="0" t="n">
        <v>463992</v>
      </c>
      <c r="AP13" s="0" t="n">
        <v>73590</v>
      </c>
    </row>
    <row r="14" customFormat="false" ht="15" hidden="false" customHeight="false" outlineLevel="0" collapsed="false">
      <c r="A14" s="0" t="s">
        <v>89</v>
      </c>
      <c r="B14" s="0" t="n">
        <v>37741</v>
      </c>
      <c r="I14" s="0" t="n">
        <v>7758</v>
      </c>
      <c r="J14" s="0" t="n">
        <v>20.6</v>
      </c>
      <c r="K14" s="0" t="n">
        <v>5.67</v>
      </c>
      <c r="L14" s="0" t="n">
        <v>5407</v>
      </c>
      <c r="O14" s="0" t="n">
        <v>86866</v>
      </c>
      <c r="P14" s="0" t="n">
        <v>1460042</v>
      </c>
      <c r="Q14" s="0" t="n">
        <v>1371455</v>
      </c>
      <c r="R14" s="0" t="n">
        <v>7692</v>
      </c>
      <c r="S14" s="0" t="n">
        <v>65967</v>
      </c>
      <c r="T14" s="0" t="n">
        <v>1248</v>
      </c>
      <c r="U14" s="0" t="n">
        <v>407</v>
      </c>
      <c r="V14" s="0" t="n">
        <v>4.32</v>
      </c>
      <c r="AA14" s="0" t="s">
        <v>17</v>
      </c>
      <c r="AB14" s="0" t="s">
        <v>14</v>
      </c>
      <c r="AC14" s="0" t="n">
        <v>5.84</v>
      </c>
      <c r="AD14" s="0" t="n">
        <v>62.22</v>
      </c>
      <c r="AE14" s="0" t="n">
        <v>13.2</v>
      </c>
      <c r="AF14" s="0" t="n">
        <v>4714</v>
      </c>
      <c r="AG14" s="0" t="n">
        <v>966279</v>
      </c>
      <c r="AH14" s="0" t="n">
        <v>59.7</v>
      </c>
      <c r="AI14" s="0" t="n">
        <v>21522</v>
      </c>
      <c r="AJ14" s="0" t="n">
        <v>2.33</v>
      </c>
      <c r="AK14" s="0" t="n">
        <v>771045</v>
      </c>
      <c r="AL14" s="0" t="n">
        <v>7283</v>
      </c>
      <c r="AM14" s="0" t="n">
        <v>16219</v>
      </c>
      <c r="AN14" s="0" t="n">
        <v>9.7</v>
      </c>
      <c r="AO14" s="0" t="n">
        <v>474453</v>
      </c>
      <c r="AP14" s="0" t="n">
        <v>76927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90</v>
      </c>
      <c r="B1" s="2" t="s">
        <v>91</v>
      </c>
    </row>
    <row r="2" customFormat="false" ht="15" hidden="false" customHeight="false" outlineLevel="0" collapsed="false">
      <c r="A2" s="0" t="s">
        <v>92</v>
      </c>
      <c r="B2" s="3" t="n">
        <v>126.03</v>
      </c>
    </row>
    <row r="3" customFormat="false" ht="15" hidden="false" customHeight="false" outlineLevel="0" collapsed="false">
      <c r="A3" s="0" t="s">
        <v>93</v>
      </c>
      <c r="B3" s="3" t="n">
        <v>1222</v>
      </c>
    </row>
    <row r="4" customFormat="false" ht="15" hidden="false" customHeight="false" outlineLevel="0" collapsed="false">
      <c r="A4" s="0" t="s">
        <v>94</v>
      </c>
      <c r="B4" s="3" t="n">
        <v>0</v>
      </c>
    </row>
    <row r="5" customFormat="false" ht="15" hidden="false" customHeight="false" outlineLevel="0" collapsed="false">
      <c r="A5" s="0" t="s">
        <v>95</v>
      </c>
      <c r="B5" s="3" t="n">
        <v>0</v>
      </c>
    </row>
    <row r="6" customFormat="false" ht="15" hidden="false" customHeight="false" outlineLevel="0" collapsed="false">
      <c r="A6" s="0" t="s">
        <v>96</v>
      </c>
      <c r="B6" s="3" t="n">
        <v>15</v>
      </c>
    </row>
    <row r="7" customFormat="false" ht="15" hidden="false" customHeight="false" outlineLevel="0" collapsed="false">
      <c r="A7" s="0" t="s">
        <v>97</v>
      </c>
      <c r="B7" s="3" t="n">
        <v>39700</v>
      </c>
    </row>
    <row r="8" customFormat="false" ht="15" hidden="false" customHeight="false" outlineLevel="0" collapsed="false">
      <c r="A8" s="0" t="s">
        <v>98</v>
      </c>
      <c r="B8" s="3" t="s">
        <v>99</v>
      </c>
    </row>
    <row r="9" customFormat="false" ht="15" hidden="false" customHeight="false" outlineLevel="0" collapsed="false">
      <c r="A9" s="0" t="s">
        <v>100</v>
      </c>
      <c r="B9" s="3" t="s">
        <v>101</v>
      </c>
    </row>
    <row r="10" customFormat="false" ht="15" hidden="false" customHeight="false" outlineLevel="0" collapsed="false">
      <c r="A10" s="0" t="s">
        <v>102</v>
      </c>
      <c r="B10" s="3" t="n">
        <v>1</v>
      </c>
    </row>
    <row r="12" customFormat="false" ht="15" hidden="false" customHeight="false" outlineLevel="0" collapsed="false">
      <c r="A12" s="2" t="s">
        <v>103</v>
      </c>
      <c r="C12" s="2" t="s">
        <v>104</v>
      </c>
      <c r="D12" s="2" t="s">
        <v>105</v>
      </c>
      <c r="E12" s="2" t="s">
        <v>106</v>
      </c>
      <c r="F12" s="2" t="s">
        <v>107</v>
      </c>
      <c r="G12" s="2" t="s">
        <v>108</v>
      </c>
      <c r="H12" s="2" t="s">
        <v>109</v>
      </c>
      <c r="I12" s="2" t="s">
        <v>110</v>
      </c>
      <c r="J12" s="2" t="s">
        <v>111</v>
      </c>
      <c r="K12" s="2" t="s">
        <v>112</v>
      </c>
      <c r="L12" s="2" t="s">
        <v>113</v>
      </c>
    </row>
    <row r="13" customFormat="false" ht="15" hidden="false" customHeight="false" outlineLevel="0" collapsed="false">
      <c r="A13" s="0" t="s">
        <v>114</v>
      </c>
      <c r="C13" s="3" t="n">
        <v>3</v>
      </c>
      <c r="D13" s="3" t="n">
        <v>0</v>
      </c>
      <c r="E13" s="3" t="n">
        <v>2</v>
      </c>
      <c r="F13" s="3" t="n">
        <v>3</v>
      </c>
      <c r="G13" s="3" t="n">
        <v>3</v>
      </c>
      <c r="H13" s="3" t="n">
        <v>3</v>
      </c>
      <c r="I13" s="3" t="n">
        <v>3</v>
      </c>
      <c r="J13" s="3" t="n">
        <v>2.5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115</v>
      </c>
      <c r="C14" s="3" t="n">
        <v>33</v>
      </c>
      <c r="D14" s="3" t="n">
        <v>26</v>
      </c>
      <c r="E14" s="3" t="n">
        <v>29.5</v>
      </c>
      <c r="F14" s="3" t="n">
        <v>32</v>
      </c>
      <c r="G14" s="3" t="n">
        <v>32.5</v>
      </c>
      <c r="H14" s="3" t="n">
        <v>32.5</v>
      </c>
      <c r="I14" s="3" t="n">
        <v>32.5</v>
      </c>
      <c r="J14" s="3" t="n">
        <v>32.5</v>
      </c>
      <c r="K14" s="3" t="n">
        <v>32.5</v>
      </c>
      <c r="L14" s="3" t="n">
        <v>32.5</v>
      </c>
    </row>
    <row r="15" customFormat="false" ht="15" hidden="false" customHeight="false" outlineLevel="0" collapsed="false">
      <c r="A15" s="0" t="s">
        <v>116</v>
      </c>
      <c r="C15" s="3" t="n">
        <v>0.04</v>
      </c>
      <c r="D15" s="3" t="n">
        <v>0.04</v>
      </c>
      <c r="E15" s="3" t="n">
        <v>0.04</v>
      </c>
      <c r="F15" s="3" t="n">
        <v>0.04</v>
      </c>
      <c r="G15" s="3" t="n">
        <v>0.04</v>
      </c>
      <c r="H15" s="3" t="n">
        <v>0.04</v>
      </c>
      <c r="I15" s="3" t="n">
        <v>0.04</v>
      </c>
      <c r="J15" s="3" t="n">
        <v>0.04</v>
      </c>
      <c r="K15" s="3" t="n">
        <v>0.04</v>
      </c>
      <c r="L15" s="3" t="n">
        <v>0.04</v>
      </c>
    </row>
    <row r="16" customFormat="false" ht="15" hidden="false" customHeight="false" outlineLevel="0" collapsed="false">
      <c r="A16" s="0" t="s">
        <v>117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118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119</v>
      </c>
      <c r="C18" s="3" t="n">
        <v>4.74</v>
      </c>
      <c r="D18" s="3" t="n">
        <v>0</v>
      </c>
      <c r="E18" s="3" t="n">
        <v>3.19</v>
      </c>
      <c r="F18" s="3" t="n">
        <v>4.74</v>
      </c>
      <c r="G18" s="3" t="n">
        <v>4.74</v>
      </c>
      <c r="H18" s="3" t="n">
        <v>4.74</v>
      </c>
      <c r="I18" s="3" t="n">
        <v>4.74</v>
      </c>
      <c r="J18" s="3" t="n">
        <v>3.97</v>
      </c>
      <c r="K18" s="3" t="n">
        <v>3.97</v>
      </c>
      <c r="L18" s="3" t="n">
        <v>3.97</v>
      </c>
    </row>
    <row r="19" customFormat="false" ht="15" hidden="false" customHeight="false" outlineLevel="0" collapsed="false">
      <c r="A19" s="0" t="s">
        <v>120</v>
      </c>
      <c r="C19" s="3" t="n">
        <v>24.2</v>
      </c>
      <c r="D19" s="3" t="n">
        <v>24.2</v>
      </c>
      <c r="E19" s="3" t="n">
        <v>24.2</v>
      </c>
      <c r="F19" s="3" t="n">
        <v>24.2</v>
      </c>
      <c r="G19" s="3" t="n">
        <v>24.2</v>
      </c>
      <c r="H19" s="3" t="n">
        <v>24.2</v>
      </c>
      <c r="I19" s="3" t="n">
        <v>24.2</v>
      </c>
      <c r="J19" s="3" t="n">
        <v>24.2</v>
      </c>
      <c r="K19" s="3" t="n">
        <v>24.2</v>
      </c>
      <c r="L19" s="3" t="n">
        <v>24.2</v>
      </c>
    </row>
    <row r="20" customFormat="false" ht="15" hidden="false" customHeight="false" outlineLevel="0" collapsed="false">
      <c r="A20" s="0" t="s">
        <v>121</v>
      </c>
      <c r="B20" s="3" t="n">
        <v>10.5</v>
      </c>
    </row>
    <row r="21" customFormat="false" ht="15" hidden="false" customHeight="false" outlineLevel="0" collapsed="false">
      <c r="A21" s="0" t="s">
        <v>122</v>
      </c>
      <c r="B21" s="3" t="n">
        <v>2.5</v>
      </c>
    </row>
    <row r="22" customFormat="false" ht="15" hidden="false" customHeight="false" outlineLevel="0" collapsed="false">
      <c r="A22" s="0" t="s">
        <v>123</v>
      </c>
      <c r="B22" s="3" t="n">
        <v>10</v>
      </c>
    </row>
    <row r="23" customFormat="false" ht="15" hidden="false" customHeight="false" outlineLevel="0" collapsed="false">
      <c r="A23" s="0" t="s">
        <v>124</v>
      </c>
      <c r="B23" s="3" t="n">
        <v>0</v>
      </c>
    </row>
    <row r="24" customFormat="false" ht="15" hidden="false" customHeight="false" outlineLevel="0" collapsed="false">
      <c r="A24" s="0" t="s">
        <v>125</v>
      </c>
      <c r="B24" s="3" t="n">
        <v>0.25</v>
      </c>
    </row>
    <row r="26" customFormat="false" ht="15" hidden="false" customHeight="false" outlineLevel="0" collapsed="false">
      <c r="A26" s="2" t="s">
        <v>126</v>
      </c>
      <c r="C26" s="2" t="s">
        <v>104</v>
      </c>
      <c r="D26" s="2" t="s">
        <v>105</v>
      </c>
      <c r="E26" s="2" t="s">
        <v>106</v>
      </c>
      <c r="F26" s="2" t="s">
        <v>107</v>
      </c>
      <c r="G26" s="2" t="s">
        <v>108</v>
      </c>
      <c r="H26" s="2" t="s">
        <v>109</v>
      </c>
      <c r="I26" s="2" t="s">
        <v>110</v>
      </c>
      <c r="J26" s="2" t="s">
        <v>111</v>
      </c>
      <c r="K26" s="2" t="s">
        <v>112</v>
      </c>
      <c r="L26" s="2" t="s">
        <v>113</v>
      </c>
    </row>
    <row r="27" customFormat="false" ht="15" hidden="false" customHeight="false" outlineLevel="0" collapsed="false">
      <c r="A27" s="0" t="s">
        <v>114</v>
      </c>
      <c r="C27" s="3" t="n">
        <v>5.5</v>
      </c>
      <c r="D27" s="3" t="n">
        <v>5</v>
      </c>
      <c r="E27" s="3" t="n">
        <v>4.5</v>
      </c>
      <c r="F27" s="3" t="n">
        <v>4.5</v>
      </c>
      <c r="G27" s="3" t="n">
        <v>4</v>
      </c>
      <c r="H27" s="3" t="n">
        <v>4</v>
      </c>
      <c r="I27" s="3" t="n">
        <v>3.5</v>
      </c>
      <c r="J27" s="3" t="n">
        <v>3.5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115</v>
      </c>
      <c r="C28" s="3" t="n">
        <v>34.5</v>
      </c>
      <c r="D28" s="3" t="n">
        <v>35.2</v>
      </c>
      <c r="E28" s="3" t="n">
        <v>35.8</v>
      </c>
      <c r="F28" s="3" t="n">
        <v>36</v>
      </c>
      <c r="G28" s="3" t="n">
        <v>36</v>
      </c>
      <c r="H28" s="3" t="n">
        <v>36</v>
      </c>
      <c r="I28" s="3" t="n">
        <v>36</v>
      </c>
      <c r="J28" s="3" t="n">
        <v>36</v>
      </c>
      <c r="K28" s="3" t="n">
        <v>36</v>
      </c>
      <c r="L28" s="3" t="n">
        <v>36</v>
      </c>
    </row>
    <row r="29" customFormat="false" ht="15" hidden="false" customHeight="false" outlineLevel="0" collapsed="false">
      <c r="A29" s="0" t="s">
        <v>116</v>
      </c>
      <c r="C29" s="3" t="n">
        <v>0.04</v>
      </c>
      <c r="D29" s="3" t="n">
        <v>0.04</v>
      </c>
      <c r="E29" s="3" t="n">
        <v>0.04</v>
      </c>
      <c r="F29" s="3" t="n">
        <v>0.04</v>
      </c>
      <c r="G29" s="3" t="n">
        <v>0.04</v>
      </c>
      <c r="H29" s="3" t="n">
        <v>0.04</v>
      </c>
      <c r="I29" s="3" t="n">
        <v>0.04</v>
      </c>
      <c r="J29" s="3" t="n">
        <v>0.04</v>
      </c>
      <c r="K29" s="3" t="n">
        <v>0.04</v>
      </c>
      <c r="L29" s="3" t="n">
        <v>0.04</v>
      </c>
    </row>
    <row r="30" customFormat="false" ht="15" hidden="false" customHeight="false" outlineLevel="0" collapsed="false">
      <c r="A30" s="0" t="s">
        <v>117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118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119</v>
      </c>
      <c r="C32" s="3" t="n">
        <v>8.48</v>
      </c>
      <c r="D32" s="3" t="n">
        <v>7.74</v>
      </c>
      <c r="E32" s="3" t="n">
        <v>7</v>
      </c>
      <c r="F32" s="3" t="n">
        <v>7</v>
      </c>
      <c r="G32" s="3" t="n">
        <v>6.25</v>
      </c>
      <c r="H32" s="3" t="n">
        <v>6.25</v>
      </c>
      <c r="I32" s="3" t="n">
        <v>5.5</v>
      </c>
      <c r="J32" s="3" t="n">
        <v>5.5</v>
      </c>
      <c r="K32" s="3" t="n">
        <v>4.74</v>
      </c>
      <c r="L32" s="3" t="n">
        <v>4.74</v>
      </c>
    </row>
    <row r="33" customFormat="false" ht="15" hidden="false" customHeight="false" outlineLevel="0" collapsed="false">
      <c r="A33" s="0" t="s">
        <v>120</v>
      </c>
      <c r="C33" s="3" t="n">
        <v>24.2</v>
      </c>
      <c r="D33" s="3" t="n">
        <v>24.2</v>
      </c>
      <c r="E33" s="3" t="n">
        <v>24.2</v>
      </c>
      <c r="F33" s="3" t="n">
        <v>24.2</v>
      </c>
      <c r="G33" s="3" t="n">
        <v>24.2</v>
      </c>
      <c r="H33" s="3" t="n">
        <v>24.2</v>
      </c>
      <c r="I33" s="3" t="n">
        <v>24.2</v>
      </c>
      <c r="J33" s="3" t="n">
        <v>24.2</v>
      </c>
      <c r="K33" s="3" t="n">
        <v>24.2</v>
      </c>
      <c r="L33" s="3" t="n">
        <v>24.2</v>
      </c>
    </row>
    <row r="34" customFormat="false" ht="15" hidden="false" customHeight="false" outlineLevel="0" collapsed="false">
      <c r="A34" s="0" t="s">
        <v>121</v>
      </c>
      <c r="B34" s="3" t="n">
        <v>10</v>
      </c>
    </row>
    <row r="35" customFormat="false" ht="15" hidden="false" customHeight="false" outlineLevel="0" collapsed="false">
      <c r="A35" s="0" t="s">
        <v>122</v>
      </c>
      <c r="B35" s="3" t="n">
        <v>3</v>
      </c>
    </row>
    <row r="36" customFormat="false" ht="15" hidden="false" customHeight="false" outlineLevel="0" collapsed="false">
      <c r="A36" s="0" t="s">
        <v>123</v>
      </c>
      <c r="B36" s="3" t="n">
        <v>13</v>
      </c>
    </row>
    <row r="37" customFormat="false" ht="15" hidden="false" customHeight="false" outlineLevel="0" collapsed="false">
      <c r="A37" s="0" t="s">
        <v>124</v>
      </c>
      <c r="B37" s="3" t="n">
        <v>0</v>
      </c>
    </row>
    <row r="38" customFormat="false" ht="15" hidden="false" customHeight="false" outlineLevel="0" collapsed="false">
      <c r="A38" s="0" t="s">
        <v>125</v>
      </c>
      <c r="B38" s="3" t="n">
        <v>0.5</v>
      </c>
    </row>
    <row r="40" customFormat="false" ht="15" hidden="false" customHeight="false" outlineLevel="0" collapsed="false">
      <c r="A40" s="2" t="s">
        <v>127</v>
      </c>
      <c r="C40" s="2" t="s">
        <v>104</v>
      </c>
      <c r="D40" s="2" t="s">
        <v>105</v>
      </c>
      <c r="E40" s="2" t="s">
        <v>106</v>
      </c>
      <c r="F40" s="2" t="s">
        <v>107</v>
      </c>
      <c r="G40" s="2" t="s">
        <v>108</v>
      </c>
      <c r="H40" s="2" t="s">
        <v>109</v>
      </c>
      <c r="I40" s="2" t="s">
        <v>110</v>
      </c>
      <c r="J40" s="2" t="s">
        <v>111</v>
      </c>
      <c r="K40" s="2" t="s">
        <v>112</v>
      </c>
      <c r="L40" s="2" t="s">
        <v>113</v>
      </c>
    </row>
    <row r="41" customFormat="false" ht="15" hidden="false" customHeight="false" outlineLevel="0" collapsed="false">
      <c r="A41" s="0" t="s">
        <v>114</v>
      </c>
      <c r="C41" s="3" t="n">
        <v>7</v>
      </c>
      <c r="D41" s="3" t="n">
        <v>6.5</v>
      </c>
      <c r="E41" s="3" t="n">
        <v>6</v>
      </c>
      <c r="F41" s="3" t="n">
        <v>5.5</v>
      </c>
      <c r="G41" s="3" t="n">
        <v>5</v>
      </c>
      <c r="H41" s="3" t="n">
        <v>4.5</v>
      </c>
      <c r="I41" s="3" t="n">
        <v>4.5</v>
      </c>
      <c r="J41" s="3" t="n">
        <v>4</v>
      </c>
      <c r="K41" s="3" t="n">
        <v>4</v>
      </c>
      <c r="L41" s="3" t="n">
        <v>3.5</v>
      </c>
    </row>
    <row r="42" customFormat="false" ht="15" hidden="false" customHeight="false" outlineLevel="0" collapsed="false">
      <c r="A42" s="0" t="s">
        <v>115</v>
      </c>
      <c r="C42" s="3" t="n">
        <v>35.2</v>
      </c>
      <c r="D42" s="3" t="n">
        <v>36.5</v>
      </c>
      <c r="E42" s="3" t="n">
        <v>37.5</v>
      </c>
      <c r="F42" s="3" t="n">
        <v>38</v>
      </c>
      <c r="G42" s="3" t="n">
        <v>38</v>
      </c>
      <c r="H42" s="3" t="n">
        <v>38</v>
      </c>
      <c r="I42" s="3" t="n">
        <v>38</v>
      </c>
      <c r="J42" s="3" t="n">
        <v>38</v>
      </c>
      <c r="K42" s="3" t="n">
        <v>38</v>
      </c>
      <c r="L42" s="3" t="n">
        <v>38</v>
      </c>
    </row>
    <row r="43" customFormat="false" ht="15" hidden="false" customHeight="false" outlineLevel="0" collapsed="false">
      <c r="A43" s="0" t="s">
        <v>116</v>
      </c>
      <c r="C43" s="3" t="n">
        <v>0.04</v>
      </c>
      <c r="D43" s="3" t="n">
        <v>0.04</v>
      </c>
      <c r="E43" s="3" t="n">
        <v>0.04</v>
      </c>
      <c r="F43" s="3" t="n">
        <v>0.04</v>
      </c>
      <c r="G43" s="3" t="n">
        <v>0.04</v>
      </c>
      <c r="H43" s="3" t="n">
        <v>0.04</v>
      </c>
      <c r="I43" s="3" t="n">
        <v>0.04</v>
      </c>
      <c r="J43" s="3" t="n">
        <v>0.04</v>
      </c>
      <c r="K43" s="3" t="n">
        <v>0.04</v>
      </c>
      <c r="L43" s="3" t="n">
        <v>0.04</v>
      </c>
    </row>
    <row r="44" customFormat="false" ht="15" hidden="false" customHeight="false" outlineLevel="0" collapsed="false">
      <c r="A44" s="0" t="s">
        <v>117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118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119</v>
      </c>
      <c r="C46" s="3" t="n">
        <v>10.64</v>
      </c>
      <c r="D46" s="3" t="n">
        <v>9.92</v>
      </c>
      <c r="E46" s="3" t="n">
        <v>9.2</v>
      </c>
      <c r="F46" s="3" t="n">
        <v>8.48</v>
      </c>
      <c r="G46" s="3" t="n">
        <v>7.74</v>
      </c>
      <c r="H46" s="3" t="n">
        <v>7</v>
      </c>
      <c r="I46" s="3" t="n">
        <v>7</v>
      </c>
      <c r="J46" s="3" t="n">
        <v>6.25</v>
      </c>
      <c r="K46" s="3" t="n">
        <v>6.25</v>
      </c>
      <c r="L46" s="3" t="n">
        <v>5.5</v>
      </c>
    </row>
    <row r="47" customFormat="false" ht="15" hidden="false" customHeight="false" outlineLevel="0" collapsed="false">
      <c r="A47" s="0" t="s">
        <v>120</v>
      </c>
      <c r="C47" s="3" t="n">
        <v>24.2</v>
      </c>
      <c r="D47" s="3" t="n">
        <v>24.2</v>
      </c>
      <c r="E47" s="3" t="n">
        <v>24.2</v>
      </c>
      <c r="F47" s="3" t="n">
        <v>24.2</v>
      </c>
      <c r="G47" s="3" t="n">
        <v>24.2</v>
      </c>
      <c r="H47" s="3" t="n">
        <v>24.2</v>
      </c>
      <c r="I47" s="3" t="n">
        <v>24.2</v>
      </c>
      <c r="J47" s="3" t="n">
        <v>24.2</v>
      </c>
      <c r="K47" s="3" t="n">
        <v>24.2</v>
      </c>
      <c r="L47" s="3" t="n">
        <v>24.2</v>
      </c>
    </row>
    <row r="48" customFormat="false" ht="15" hidden="false" customHeight="false" outlineLevel="0" collapsed="false">
      <c r="A48" s="0" t="s">
        <v>121</v>
      </c>
      <c r="B48" s="3" t="n">
        <v>9.75</v>
      </c>
    </row>
    <row r="49" customFormat="false" ht="15" hidden="false" customHeight="false" outlineLevel="0" collapsed="false">
      <c r="A49" s="0" t="s">
        <v>122</v>
      </c>
      <c r="B49" s="3" t="n">
        <v>3.5</v>
      </c>
    </row>
    <row r="50" customFormat="false" ht="15" hidden="false" customHeight="false" outlineLevel="0" collapsed="false">
      <c r="A50" s="0" t="s">
        <v>123</v>
      </c>
      <c r="B50" s="3" t="n">
        <v>14</v>
      </c>
    </row>
    <row r="51" customFormat="false" ht="15" hidden="false" customHeight="false" outlineLevel="0" collapsed="false">
      <c r="A51" s="0" t="s">
        <v>124</v>
      </c>
      <c r="B51" s="3" t="n">
        <v>0</v>
      </c>
    </row>
    <row r="52" customFormat="false" ht="15" hidden="false" customHeight="false" outlineLevel="0" collapsed="false">
      <c r="A52" s="0" t="s">
        <v>125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128</v>
      </c>
    </row>
    <row r="3" customFormat="false" ht="15" hidden="false" customHeight="false" outlineLevel="0" collapsed="false">
      <c r="A3" s="0" t="s">
        <v>129</v>
      </c>
      <c r="B3" s="0" t="s">
        <v>99</v>
      </c>
      <c r="C3" s="2" t="s">
        <v>104</v>
      </c>
      <c r="D3" s="2" t="s">
        <v>105</v>
      </c>
      <c r="E3" s="2" t="s">
        <v>106</v>
      </c>
      <c r="F3" s="2" t="s">
        <v>107</v>
      </c>
      <c r="G3" s="2" t="s">
        <v>108</v>
      </c>
      <c r="H3" s="2" t="s">
        <v>109</v>
      </c>
      <c r="I3" s="2" t="s">
        <v>110</v>
      </c>
      <c r="J3" s="2" t="s">
        <v>111</v>
      </c>
      <c r="K3" s="2" t="s">
        <v>112</v>
      </c>
      <c r="L3" s="2" t="s">
        <v>113</v>
      </c>
    </row>
    <row r="4" customFormat="false" ht="15" hidden="false" customHeight="false" outlineLevel="0" collapsed="false">
      <c r="A4" s="0" t="s">
        <v>130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114</v>
      </c>
      <c r="C5" s="4" t="n">
        <f aca="false">Assumptions!C13</f>
        <v>3</v>
      </c>
      <c r="D5" s="4" t="n">
        <f aca="false">Assumptions!D13</f>
        <v>0</v>
      </c>
      <c r="E5" s="4" t="n">
        <f aca="false">Assumptions!E13</f>
        <v>2</v>
      </c>
      <c r="F5" s="4" t="n">
        <f aca="false">Assumptions!F13</f>
        <v>3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3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37</v>
      </c>
      <c r="B6" s="3" t="n">
        <v>39700</v>
      </c>
      <c r="C6" s="0" t="n">
        <f aca="false">B6*(1+C5/100)</f>
        <v>40891</v>
      </c>
      <c r="D6" s="0" t="n">
        <f aca="false">C6*(1+D5/100)</f>
        <v>40891</v>
      </c>
      <c r="E6" s="0" t="n">
        <f aca="false">D6*(1+E5/100)</f>
        <v>41708.82</v>
      </c>
      <c r="F6" s="0" t="n">
        <f aca="false">E6*(1+F5/100)</f>
        <v>42960.0846</v>
      </c>
      <c r="G6" s="0" t="n">
        <f aca="false">F6*(1+G5/100)</f>
        <v>44248.887138</v>
      </c>
      <c r="H6" s="0" t="n">
        <f aca="false">G6*(1+H5/100)</f>
        <v>45576.35375214</v>
      </c>
      <c r="I6" s="0" t="n">
        <f aca="false">H6*(1+I5/100)</f>
        <v>46943.6443647042</v>
      </c>
      <c r="J6" s="0" t="n">
        <f aca="false">I6*(1+J5/100)</f>
        <v>48117.2354738218</v>
      </c>
      <c r="K6" s="0" t="n">
        <f aca="false">J6*(1+K5/100)</f>
        <v>49320.1663606674</v>
      </c>
      <c r="L6" s="0" t="n">
        <f aca="false">K6*(1+L5/100)</f>
        <v>50553.170519684</v>
      </c>
    </row>
    <row r="7" customFormat="false" ht="15" hidden="false" customHeight="false" outlineLevel="0" collapsed="false">
      <c r="A7" s="0" t="s">
        <v>115</v>
      </c>
      <c r="C7" s="4" t="n">
        <f aca="false">Assumptions!C14</f>
        <v>33</v>
      </c>
      <c r="D7" s="4" t="n">
        <f aca="false">Assumptions!D14</f>
        <v>26</v>
      </c>
      <c r="E7" s="4" t="n">
        <f aca="false">Assumptions!E14</f>
        <v>29.5</v>
      </c>
      <c r="F7" s="4" t="n">
        <f aca="false">Assumptions!F14</f>
        <v>32</v>
      </c>
      <c r="G7" s="4" t="n">
        <f aca="false">Assumptions!G14</f>
        <v>32.5</v>
      </c>
      <c r="H7" s="4" t="n">
        <f aca="false">Assumptions!H14</f>
        <v>32.5</v>
      </c>
      <c r="I7" s="4" t="n">
        <f aca="false">Assumptions!I14</f>
        <v>32.5</v>
      </c>
      <c r="J7" s="4" t="n">
        <f aca="false">Assumptions!J14</f>
        <v>32.5</v>
      </c>
      <c r="K7" s="4" t="n">
        <f aca="false">Assumptions!K14</f>
        <v>32.5</v>
      </c>
      <c r="L7" s="4" t="n">
        <f aca="false">Assumptions!L14</f>
        <v>32.5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13494.03</v>
      </c>
      <c r="D8" s="0" t="n">
        <f aca="false">D6*D7/100</f>
        <v>10631.66</v>
      </c>
      <c r="E8" s="0" t="n">
        <f aca="false">E6*E7/100</f>
        <v>12304.1019</v>
      </c>
      <c r="F8" s="0" t="n">
        <f aca="false">F6*F7/100</f>
        <v>13747.227072</v>
      </c>
      <c r="G8" s="0" t="n">
        <f aca="false">G6*G7/100</f>
        <v>14380.88831985</v>
      </c>
      <c r="H8" s="0" t="n">
        <f aca="false">H6*H7/100</f>
        <v>14812.3149694455</v>
      </c>
      <c r="I8" s="0" t="n">
        <f aca="false">I6*I7/100</f>
        <v>15256.6844185289</v>
      </c>
      <c r="J8" s="0" t="n">
        <f aca="false">J6*J7/100</f>
        <v>15638.1015289921</v>
      </c>
      <c r="K8" s="0" t="n">
        <f aca="false">K6*K7/100</f>
        <v>16029.0540672169</v>
      </c>
      <c r="L8" s="0" t="n">
        <f aca="false">L6*L7/100</f>
        <v>16429.7804188973</v>
      </c>
    </row>
    <row r="9" customFormat="false" ht="15" hidden="false" customHeight="false" outlineLevel="0" collapsed="false">
      <c r="A9" s="0" t="s">
        <v>116</v>
      </c>
      <c r="C9" s="4" t="n">
        <f aca="false">Assumptions!C15</f>
        <v>0.04</v>
      </c>
      <c r="D9" s="4" t="n">
        <f aca="false">Assumptions!D15</f>
        <v>0.04</v>
      </c>
      <c r="E9" s="4" t="n">
        <f aca="false">Assumptions!E15</f>
        <v>0.04</v>
      </c>
      <c r="F9" s="4" t="n">
        <f aca="false">Assumptions!F15</f>
        <v>0.04</v>
      </c>
      <c r="G9" s="4" t="n">
        <f aca="false">Assumptions!G15</f>
        <v>0.04</v>
      </c>
      <c r="H9" s="4" t="n">
        <f aca="false">Assumptions!H15</f>
        <v>0.04</v>
      </c>
      <c r="I9" s="4" t="n">
        <f aca="false">Assumptions!I15</f>
        <v>0.04</v>
      </c>
      <c r="J9" s="4" t="n">
        <f aca="false">Assumptions!J15</f>
        <v>0.04</v>
      </c>
      <c r="K9" s="4" t="n">
        <f aca="false">Assumptions!K15</f>
        <v>0.04</v>
      </c>
      <c r="L9" s="4" t="n">
        <f aca="false">Assumptions!L15</f>
        <v>0.04</v>
      </c>
    </row>
    <row r="10" customFormat="false" ht="15" hidden="false" customHeight="false" outlineLevel="0" collapsed="false">
      <c r="A10" s="0" t="s">
        <v>131</v>
      </c>
      <c r="C10" s="0" t="n">
        <f aca="false">-C6*C9/100</f>
        <v>-16.3564</v>
      </c>
      <c r="D10" s="0" t="n">
        <f aca="false">-D6*D9/100</f>
        <v>-16.3564</v>
      </c>
      <c r="E10" s="0" t="n">
        <f aca="false">-E6*E9/100</f>
        <v>-16.683528</v>
      </c>
      <c r="F10" s="0" t="n">
        <f aca="false">-F6*F9/100</f>
        <v>-17.18403384</v>
      </c>
      <c r="G10" s="0" t="n">
        <f aca="false">-G6*G9/100</f>
        <v>-17.6995548552</v>
      </c>
      <c r="H10" s="0" t="n">
        <f aca="false">-H6*H9/100</f>
        <v>-18.230541500856</v>
      </c>
      <c r="I10" s="0" t="n">
        <f aca="false">-I6*I9/100</f>
        <v>-18.7774577458817</v>
      </c>
      <c r="J10" s="0" t="n">
        <f aca="false">-J6*J9/100</f>
        <v>-19.2468941895287</v>
      </c>
      <c r="K10" s="0" t="n">
        <f aca="false">-K6*K9/100</f>
        <v>-19.7280665442669</v>
      </c>
      <c r="L10" s="0" t="n">
        <f aca="false">-L6*L9/100</f>
        <v>-20.2212682078736</v>
      </c>
    </row>
    <row r="11" customFormat="false" ht="15" hidden="false" customHeight="false" outlineLevel="0" collapsed="false">
      <c r="A11" s="0" t="s">
        <v>132</v>
      </c>
      <c r="C11" s="0" t="n">
        <f aca="false">C8+C10+C24</f>
        <v>13477.6736</v>
      </c>
      <c r="D11" s="0" t="n">
        <f aca="false">D8+D10+D24</f>
        <v>10615.3036</v>
      </c>
      <c r="E11" s="0" t="n">
        <f aca="false">E8+E10+E24</f>
        <v>12287.418372</v>
      </c>
      <c r="F11" s="0" t="n">
        <f aca="false">F8+F10+F24</f>
        <v>13730.04303816</v>
      </c>
      <c r="G11" s="0" t="n">
        <f aca="false">G8+G10+G24</f>
        <v>14363.1887649948</v>
      </c>
      <c r="H11" s="0" t="n">
        <f aca="false">H8+H10+H24</f>
        <v>14794.0844279446</v>
      </c>
      <c r="I11" s="0" t="n">
        <f aca="false">I8+I10+I24</f>
        <v>15237.906960783</v>
      </c>
      <c r="J11" s="0" t="n">
        <f aca="false">J8+J10+J24</f>
        <v>15618.8546348026</v>
      </c>
      <c r="K11" s="0" t="n">
        <f aca="false">K8+K10+K24</f>
        <v>16009.3260006726</v>
      </c>
      <c r="L11" s="0" t="n">
        <f aca="false">L8+L10+L24</f>
        <v>16409.5591506894</v>
      </c>
    </row>
    <row r="12" customFormat="false" ht="15" hidden="false" customHeight="false" outlineLevel="0" collapsed="false">
      <c r="A12" s="0" t="s">
        <v>133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134</v>
      </c>
      <c r="C13" s="0" t="n">
        <f aca="false">C11+C12</f>
        <v>13477.6736</v>
      </c>
      <c r="D13" s="0" t="n">
        <f aca="false">D11+D12</f>
        <v>10615.3036</v>
      </c>
      <c r="E13" s="0" t="n">
        <f aca="false">E11+E12</f>
        <v>12287.418372</v>
      </c>
      <c r="F13" s="0" t="n">
        <f aca="false">F11+F12</f>
        <v>13730.04303816</v>
      </c>
      <c r="G13" s="0" t="n">
        <f aca="false">G11+G12</f>
        <v>14363.1887649948</v>
      </c>
      <c r="H13" s="0" t="n">
        <f aca="false">H11+H12</f>
        <v>14794.0844279446</v>
      </c>
      <c r="I13" s="0" t="n">
        <f aca="false">I11+I12</f>
        <v>15237.906960783</v>
      </c>
      <c r="J13" s="0" t="n">
        <f aca="false">J11+J12</f>
        <v>15618.8546348026</v>
      </c>
      <c r="K13" s="0" t="n">
        <f aca="false">K11+K12</f>
        <v>16009.3260006726</v>
      </c>
      <c r="L13" s="0" t="n">
        <f aca="false">L11+L12</f>
        <v>16409.5591506894</v>
      </c>
    </row>
    <row r="14" customFormat="false" ht="15" hidden="false" customHeight="false" outlineLevel="0" collapsed="false">
      <c r="A14" s="0" t="s">
        <v>120</v>
      </c>
      <c r="C14" s="4" t="n">
        <f aca="false">Assumptions!C19</f>
        <v>24.2</v>
      </c>
      <c r="D14" s="4" t="n">
        <f aca="false">Assumptions!D19</f>
        <v>24.2</v>
      </c>
      <c r="E14" s="4" t="n">
        <f aca="false">Assumptions!E19</f>
        <v>24.2</v>
      </c>
      <c r="F14" s="4" t="n">
        <f aca="false">Assumptions!F19</f>
        <v>24.2</v>
      </c>
      <c r="G14" s="4" t="n">
        <f aca="false">Assumptions!G19</f>
        <v>24.2</v>
      </c>
      <c r="H14" s="4" t="n">
        <f aca="false">Assumptions!H19</f>
        <v>24.2</v>
      </c>
      <c r="I14" s="4" t="n">
        <f aca="false">Assumptions!I19</f>
        <v>24.2</v>
      </c>
      <c r="J14" s="4" t="n">
        <f aca="false">Assumptions!J19</f>
        <v>24.2</v>
      </c>
      <c r="K14" s="4" t="n">
        <f aca="false">Assumptions!K19</f>
        <v>24.2</v>
      </c>
      <c r="L14" s="4" t="n">
        <f aca="false">Assumptions!L19</f>
        <v>24.2</v>
      </c>
    </row>
    <row r="15" customFormat="false" ht="15" hidden="false" customHeight="false" outlineLevel="0" collapsed="false">
      <c r="A15" s="0" t="s">
        <v>135</v>
      </c>
      <c r="C15" s="0" t="n">
        <f aca="false">C13-MAX(0,C13)*C14/100</f>
        <v>10216.0765888</v>
      </c>
      <c r="D15" s="0" t="n">
        <f aca="false">D13-MAX(0,D13)*D14/100</f>
        <v>8046.4001288</v>
      </c>
      <c r="E15" s="0" t="n">
        <f aca="false">E13-MAX(0,E13)*E14/100</f>
        <v>9313.863125976</v>
      </c>
      <c r="F15" s="0" t="n">
        <f aca="false">F13-MAX(0,F13)*F14/100</f>
        <v>10407.3726229253</v>
      </c>
      <c r="G15" s="0" t="n">
        <f aca="false">G13-MAX(0,G13)*G14/100</f>
        <v>10887.2970838661</v>
      </c>
      <c r="H15" s="0" t="n">
        <f aca="false">H13-MAX(0,H13)*H14/100</f>
        <v>11213.915996382</v>
      </c>
      <c r="I15" s="0" t="n">
        <f aca="false">I13-MAX(0,I13)*I14/100</f>
        <v>11550.3334762735</v>
      </c>
      <c r="J15" s="0" t="n">
        <f aca="false">J13-MAX(0,J13)*J14/100</f>
        <v>11839.0918131803</v>
      </c>
      <c r="K15" s="0" t="n">
        <f aca="false">K13-MAX(0,K13)*K14/100</f>
        <v>12135.0691085098</v>
      </c>
      <c r="L15" s="0" t="n">
        <f aca="false">L13-MAX(0,L13)*L14/100</f>
        <v>12438.4458362226</v>
      </c>
    </row>
    <row r="16" customFormat="false" ht="15" hidden="false" customHeight="false" outlineLevel="0" collapsed="false">
      <c r="A16" s="0" t="s">
        <v>136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137</v>
      </c>
      <c r="C17" s="4" t="n">
        <f aca="false">-C6*Assumptions!C18/100</f>
        <v>-1938.2334</v>
      </c>
      <c r="D17" s="4" t="n">
        <f aca="false">-D6*Assumptions!D18/100</f>
        <v>-0</v>
      </c>
      <c r="E17" s="4" t="n">
        <f aca="false">-E6*Assumptions!E18/100</f>
        <v>-1330.511358</v>
      </c>
      <c r="F17" s="4" t="n">
        <f aca="false">-F6*Assumptions!F18/100</f>
        <v>-2036.30801004</v>
      </c>
      <c r="G17" s="4" t="n">
        <f aca="false">-G6*Assumptions!G18/100</f>
        <v>-2097.3972503412</v>
      </c>
      <c r="H17" s="4" t="n">
        <f aca="false">-H6*Assumptions!H18/100</f>
        <v>-2160.31916785144</v>
      </c>
      <c r="I17" s="4" t="n">
        <f aca="false">-I6*Assumptions!I18/100</f>
        <v>-2225.12874288698</v>
      </c>
      <c r="J17" s="4" t="n">
        <f aca="false">-J6*Assumptions!J18/100</f>
        <v>-1910.25424831073</v>
      </c>
      <c r="K17" s="4" t="n">
        <f aca="false">-K6*Assumptions!K18/100</f>
        <v>-1958.01060451849</v>
      </c>
      <c r="L17" s="4" t="n">
        <f aca="false">-L6*Assumptions!L18/100</f>
        <v>-2006.96086963146</v>
      </c>
    </row>
    <row r="18" customFormat="false" ht="15" hidden="false" customHeight="false" outlineLevel="0" collapsed="false">
      <c r="A18" s="0" t="s">
        <v>138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139</v>
      </c>
      <c r="C19" s="0" t="n">
        <f aca="false">C15+C16+C17+C18</f>
        <v>8277.8431888</v>
      </c>
      <c r="D19" s="0" t="n">
        <f aca="false">D15+D16+D17+D18</f>
        <v>8046.4001288</v>
      </c>
      <c r="E19" s="0" t="n">
        <f aca="false">E15+E16+E17+E18</f>
        <v>7983.351767976</v>
      </c>
      <c r="F19" s="0" t="n">
        <f aca="false">F15+F16+F17+F18</f>
        <v>8371.06461288528</v>
      </c>
      <c r="G19" s="0" t="n">
        <f aca="false">G15+G16+G17+G18</f>
        <v>8789.89983352486</v>
      </c>
      <c r="H19" s="0" t="n">
        <f aca="false">H15+H16+H17+H18</f>
        <v>9053.59682853061</v>
      </c>
      <c r="I19" s="0" t="n">
        <f aca="false">I15+I16+I17+I18</f>
        <v>9325.20473338653</v>
      </c>
      <c r="J19" s="0" t="n">
        <f aca="false">J15+J16+J17+J18</f>
        <v>9928.83756486962</v>
      </c>
      <c r="K19" s="0" t="n">
        <f aca="false">K15+K16+K17+K18</f>
        <v>10177.0585039914</v>
      </c>
      <c r="L19" s="0" t="n">
        <f aca="false">L15+L16+L17+L18</f>
        <v>10431.4849665911</v>
      </c>
    </row>
    <row r="20" customFormat="false" ht="15" hidden="false" customHeight="false" outlineLevel="0" collapsed="false">
      <c r="A20" s="0" t="s">
        <v>140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141</v>
      </c>
      <c r="C21" s="0" t="n">
        <f aca="false">C19*C20</f>
        <v>7491.26080434389</v>
      </c>
      <c r="D21" s="0" t="n">
        <f aca="false">D19*D20</f>
        <v>6589.87336770336</v>
      </c>
      <c r="E21" s="0" t="n">
        <f aca="false">E19*E20</f>
        <v>5916.95725411028</v>
      </c>
      <c r="F21" s="0" t="n">
        <f aca="false">F19*F20</f>
        <v>5614.76497357828</v>
      </c>
      <c r="G21" s="0" t="n">
        <f aca="false">G19*G20</f>
        <v>5335.46820161208</v>
      </c>
      <c r="H21" s="0" t="n">
        <f aca="false">H19*H20</f>
        <v>4973.33235082393</v>
      </c>
      <c r="I21" s="0" t="n">
        <f aca="false">I19*I20</f>
        <v>4635.77585642412</v>
      </c>
      <c r="J21" s="0" t="n">
        <f aca="false">J19*J20</f>
        <v>4466.83778885785</v>
      </c>
      <c r="K21" s="0" t="n">
        <f aca="false">K19*K20</f>
        <v>4143.44681771882</v>
      </c>
      <c r="L21" s="0" t="n">
        <f aca="false">L19*L20</f>
        <v>3843.46876756723</v>
      </c>
    </row>
    <row r="23" customFormat="false" ht="15" hidden="false" customHeight="false" outlineLevel="0" collapsed="false">
      <c r="A23" s="0" t="s">
        <v>117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142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143</v>
      </c>
    </row>
    <row r="27" customFormat="false" ht="15" hidden="false" customHeight="false" outlineLevel="0" collapsed="false">
      <c r="A27" s="0" t="s">
        <v>121</v>
      </c>
      <c r="B27" s="4" t="n">
        <f aca="false">Assumptions!$B$20</f>
        <v>10.5</v>
      </c>
    </row>
    <row r="28" customFormat="false" ht="15" hidden="false" customHeight="false" outlineLevel="0" collapsed="false">
      <c r="A28" s="0" t="s">
        <v>122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123</v>
      </c>
      <c r="B29" s="4" t="n">
        <f aca="false">Assumptions!$B$22</f>
        <v>10</v>
      </c>
    </row>
    <row r="30" customFormat="false" ht="15" hidden="false" customHeight="false" outlineLevel="0" collapsed="false">
      <c r="A30" s="0" t="s">
        <v>144</v>
      </c>
      <c r="B30" s="0" t="n">
        <f aca="false">SUM(C21:L21)</f>
        <v>53011.1861827398</v>
      </c>
    </row>
    <row r="31" customFormat="false" ht="15" hidden="false" customHeight="false" outlineLevel="0" collapsed="false">
      <c r="A31" s="0" t="s">
        <v>145</v>
      </c>
      <c r="B31" s="0" t="n">
        <f aca="false">L19</f>
        <v>10431.4849665911</v>
      </c>
    </row>
    <row r="32" customFormat="false" ht="15" hidden="false" customHeight="false" outlineLevel="0" collapsed="false">
      <c r="A32" s="0" t="s">
        <v>146</v>
      </c>
      <c r="B32" s="0" t="n">
        <f aca="false">IF(B27&gt;B28,B31*(1+B28/100)/((B27-B28)/100),B31*B29)</f>
        <v>133653.401134449</v>
      </c>
    </row>
    <row r="33" customFormat="false" ht="15" hidden="false" customHeight="false" outlineLevel="0" collapsed="false">
      <c r="A33" s="0" t="s">
        <v>147</v>
      </c>
      <c r="B33" s="0" t="n">
        <f aca="false">B31*B29</f>
        <v>104314.849665911</v>
      </c>
    </row>
    <row r="34" customFormat="false" ht="15" hidden="false" customHeight="false" outlineLevel="0" collapsed="false">
      <c r="A34" s="0" t="s">
        <v>148</v>
      </c>
      <c r="B34" s="0" t="n">
        <f aca="false">MAX(0,MIN(B32,B33))</f>
        <v>104314.849665911</v>
      </c>
    </row>
    <row r="35" customFormat="false" ht="15" hidden="false" customHeight="false" outlineLevel="0" collapsed="false">
      <c r="A35" s="0" t="s">
        <v>149</v>
      </c>
      <c r="B35" s="0" t="n">
        <f aca="false">B34/(1+B27/100)^L4</f>
        <v>38434.6876756723</v>
      </c>
    </row>
    <row r="36" customFormat="false" ht="15" hidden="false" customHeight="false" outlineLevel="0" collapsed="false">
      <c r="A36" s="0" t="s">
        <v>150</v>
      </c>
      <c r="B36" s="0" t="n">
        <f aca="false">B30+B35</f>
        <v>91445.8738584121</v>
      </c>
    </row>
    <row r="37" customFormat="false" ht="15" hidden="false" customHeight="false" outlineLevel="0" collapsed="false">
      <c r="A37" s="0" t="s">
        <v>151</v>
      </c>
      <c r="B37" s="0" t="n">
        <f aca="false">B36+Assumptions!$B$5-Assumptions!$B$4</f>
        <v>91445.8738584121</v>
      </c>
    </row>
    <row r="38" customFormat="false" ht="15" hidden="false" customHeight="false" outlineLevel="0" collapsed="false">
      <c r="A38" s="0" t="s">
        <v>152</v>
      </c>
      <c r="B38" s="0" t="n">
        <f aca="false">B37/Assumptions!$B$3*Assumptions!$B$10</f>
        <v>74.8329573309428</v>
      </c>
    </row>
    <row r="39" customFormat="false" ht="15" hidden="false" customHeight="false" outlineLevel="0" collapsed="false">
      <c r="A39" s="0" t="s">
        <v>153</v>
      </c>
      <c r="B39" s="4" t="n">
        <f aca="false">B38/Assumptions!$B$2-1</f>
        <v>-0.406229014274833</v>
      </c>
    </row>
    <row r="41" customFormat="false" ht="15" hidden="false" customHeight="false" outlineLevel="0" collapsed="false">
      <c r="A41" s="0" t="s">
        <v>154</v>
      </c>
      <c r="B41" s="0" t="n">
        <f aca="false">SUMPRODUCT(-C10:L10/(1+$B$27/100)^C4:L4)</f>
        <v>106.323094922737</v>
      </c>
    </row>
    <row r="42" customFormat="false" ht="15" hidden="false" customHeight="false" outlineLevel="0" collapsed="false">
      <c r="A42" s="0" t="s">
        <v>155</v>
      </c>
      <c r="B42" s="0" t="n">
        <f aca="false">IF(B27&gt;B28,-L10*(1+B28/100)/((B27-B28)/100),-L10*20)/(1+B27/100)^L4</f>
        <v>95.4595730768883</v>
      </c>
    </row>
    <row r="43" customFormat="false" ht="15" hidden="false" customHeight="false" outlineLevel="0" collapsed="false">
      <c r="A43" s="0" t="s">
        <v>156</v>
      </c>
      <c r="B43" s="0" t="n">
        <f aca="false">(B37+B41+B42)/Assumptions!$B$3*Assumptions!$B$10</f>
        <v>74.9980822638394</v>
      </c>
    </row>
    <row r="45" customFormat="false" ht="15" hidden="false" customHeight="false" outlineLevel="0" collapsed="false">
      <c r="A45" s="0" t="s">
        <v>96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157</v>
      </c>
      <c r="B46" s="0" t="n">
        <f aca="false">MAX(0,MIN(IF(B45&gt;B28,B31*(1+B28/100)/((B45-B28)/100),B31*B29),B31*B29))</f>
        <v>85538.1767260473</v>
      </c>
    </row>
    <row r="47" customFormat="false" ht="15" hidden="false" customHeight="false" outlineLevel="0" collapsed="false">
      <c r="A47" s="0" t="s">
        <v>158</v>
      </c>
      <c r="B47" s="0" t="n">
        <f aca="false">(SUMPRODUCT(C19:L19/(1+B45/100)^C4:L4)+B46/(1+B45/100)^L4+Assumptions!$B$5-Assumptions!$B$4)/Assumptions!$B$3*Assumptions!$B$10</f>
        <v>53.1658031934498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159</v>
      </c>
    </row>
    <row r="3" customFormat="false" ht="15" hidden="false" customHeight="false" outlineLevel="0" collapsed="false">
      <c r="A3" s="0" t="s">
        <v>129</v>
      </c>
      <c r="B3" s="0" t="s">
        <v>99</v>
      </c>
      <c r="C3" s="2" t="s">
        <v>104</v>
      </c>
      <c r="D3" s="2" t="s">
        <v>105</v>
      </c>
      <c r="E3" s="2" t="s">
        <v>106</v>
      </c>
      <c r="F3" s="2" t="s">
        <v>107</v>
      </c>
      <c r="G3" s="2" t="s">
        <v>108</v>
      </c>
      <c r="H3" s="2" t="s">
        <v>109</v>
      </c>
      <c r="I3" s="2" t="s">
        <v>110</v>
      </c>
      <c r="J3" s="2" t="s">
        <v>111</v>
      </c>
      <c r="K3" s="2" t="s">
        <v>112</v>
      </c>
      <c r="L3" s="2" t="s">
        <v>113</v>
      </c>
    </row>
    <row r="4" customFormat="false" ht="15" hidden="false" customHeight="false" outlineLevel="0" collapsed="false">
      <c r="A4" s="0" t="s">
        <v>130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114</v>
      </c>
      <c r="C5" s="4" t="n">
        <f aca="false">Assumptions!C27</f>
        <v>5.5</v>
      </c>
      <c r="D5" s="4" t="n">
        <f aca="false">Assumptions!D27</f>
        <v>5</v>
      </c>
      <c r="E5" s="4" t="n">
        <f aca="false">Assumptions!E27</f>
        <v>4.5</v>
      </c>
      <c r="F5" s="4" t="n">
        <f aca="false">Assumptions!F27</f>
        <v>4.5</v>
      </c>
      <c r="G5" s="4" t="n">
        <f aca="false">Assumptions!G27</f>
        <v>4</v>
      </c>
      <c r="H5" s="4" t="n">
        <f aca="false">Assumptions!H27</f>
        <v>4</v>
      </c>
      <c r="I5" s="4" t="n">
        <f aca="false">Assumptions!I27</f>
        <v>3.5</v>
      </c>
      <c r="J5" s="4" t="n">
        <f aca="false">Assumptions!J27</f>
        <v>3.5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39700</v>
      </c>
      <c r="C6" s="0" t="n">
        <f aca="false">B6*(1+C5/100)</f>
        <v>41883.5</v>
      </c>
      <c r="D6" s="0" t="n">
        <f aca="false">C6*(1+D5/100)</f>
        <v>43977.675</v>
      </c>
      <c r="E6" s="0" t="n">
        <f aca="false">D6*(1+E5/100)</f>
        <v>45956.670375</v>
      </c>
      <c r="F6" s="0" t="n">
        <f aca="false">E6*(1+F5/100)</f>
        <v>48024.720541875</v>
      </c>
      <c r="G6" s="0" t="n">
        <f aca="false">F6*(1+G5/100)</f>
        <v>49945.70936355</v>
      </c>
      <c r="H6" s="0" t="n">
        <f aca="false">G6*(1+H5/100)</f>
        <v>51943.537738092</v>
      </c>
      <c r="I6" s="0" t="n">
        <f aca="false">H6*(1+I5/100)</f>
        <v>53761.5615589252</v>
      </c>
      <c r="J6" s="0" t="n">
        <f aca="false">I6*(1+J5/100)</f>
        <v>55643.2162134876</v>
      </c>
      <c r="K6" s="0" t="n">
        <f aca="false">J6*(1+K5/100)</f>
        <v>57312.5126998922</v>
      </c>
      <c r="L6" s="0" t="n">
        <f aca="false">K6*(1+L5/100)</f>
        <v>59031.888080889</v>
      </c>
    </row>
    <row r="7" customFormat="false" ht="15" hidden="false" customHeight="false" outlineLevel="0" collapsed="false">
      <c r="A7" s="0" t="s">
        <v>115</v>
      </c>
      <c r="C7" s="4" t="n">
        <f aca="false">Assumptions!C28</f>
        <v>34.5</v>
      </c>
      <c r="D7" s="4" t="n">
        <f aca="false">Assumptions!D28</f>
        <v>35.2</v>
      </c>
      <c r="E7" s="4" t="n">
        <f aca="false">Assumptions!E28</f>
        <v>35.8</v>
      </c>
      <c r="F7" s="4" t="n">
        <f aca="false">Assumptions!F28</f>
        <v>36</v>
      </c>
      <c r="G7" s="4" t="n">
        <f aca="false">Assumptions!G28</f>
        <v>36</v>
      </c>
      <c r="H7" s="4" t="n">
        <f aca="false">Assumptions!H28</f>
        <v>36</v>
      </c>
      <c r="I7" s="4" t="n">
        <f aca="false">Assumptions!I28</f>
        <v>36</v>
      </c>
      <c r="J7" s="4" t="n">
        <f aca="false">Assumptions!J28</f>
        <v>36</v>
      </c>
      <c r="K7" s="4" t="n">
        <f aca="false">Assumptions!K28</f>
        <v>36</v>
      </c>
      <c r="L7" s="4" t="n">
        <f aca="false">Assumptions!L28</f>
        <v>36</v>
      </c>
    </row>
    <row r="8" customFormat="false" ht="15" hidden="false" customHeight="false" outlineLevel="0" collapsed="false">
      <c r="A8" s="0" t="s">
        <v>43</v>
      </c>
      <c r="C8" s="0" t="n">
        <f aca="false">C6*C7/100</f>
        <v>14449.8075</v>
      </c>
      <c r="D8" s="0" t="n">
        <f aca="false">D6*D7/100</f>
        <v>15480.1416</v>
      </c>
      <c r="E8" s="0" t="n">
        <f aca="false">E6*E7/100</f>
        <v>16452.48799425</v>
      </c>
      <c r="F8" s="0" t="n">
        <f aca="false">F6*F7/100</f>
        <v>17288.899395075</v>
      </c>
      <c r="G8" s="0" t="n">
        <f aca="false">G6*G7/100</f>
        <v>17980.455370878</v>
      </c>
      <c r="H8" s="0" t="n">
        <f aca="false">H6*H7/100</f>
        <v>18699.6735857131</v>
      </c>
      <c r="I8" s="0" t="n">
        <f aca="false">I6*I7/100</f>
        <v>19354.1621612131</v>
      </c>
      <c r="J8" s="0" t="n">
        <f aca="false">J6*J7/100</f>
        <v>20031.5578368555</v>
      </c>
      <c r="K8" s="0" t="n">
        <f aca="false">K6*K7/100</f>
        <v>20632.5045719612</v>
      </c>
      <c r="L8" s="0" t="n">
        <f aca="false">L6*L7/100</f>
        <v>21251.47970912</v>
      </c>
    </row>
    <row r="9" customFormat="false" ht="15" hidden="false" customHeight="false" outlineLevel="0" collapsed="false">
      <c r="A9" s="0" t="s">
        <v>116</v>
      </c>
      <c r="C9" s="4" t="n">
        <f aca="false">Assumptions!C29</f>
        <v>0.04</v>
      </c>
      <c r="D9" s="4" t="n">
        <f aca="false">Assumptions!D29</f>
        <v>0.04</v>
      </c>
      <c r="E9" s="4" t="n">
        <f aca="false">Assumptions!E29</f>
        <v>0.04</v>
      </c>
      <c r="F9" s="4" t="n">
        <f aca="false">Assumptions!F29</f>
        <v>0.04</v>
      </c>
      <c r="G9" s="4" t="n">
        <f aca="false">Assumptions!G29</f>
        <v>0.04</v>
      </c>
      <c r="H9" s="4" t="n">
        <f aca="false">Assumptions!H29</f>
        <v>0.04</v>
      </c>
      <c r="I9" s="4" t="n">
        <f aca="false">Assumptions!I29</f>
        <v>0.04</v>
      </c>
      <c r="J9" s="4" t="n">
        <f aca="false">Assumptions!J29</f>
        <v>0.04</v>
      </c>
      <c r="K9" s="4" t="n">
        <f aca="false">Assumptions!K29</f>
        <v>0.04</v>
      </c>
      <c r="L9" s="4" t="n">
        <f aca="false">Assumptions!L29</f>
        <v>0.04</v>
      </c>
    </row>
    <row r="10" customFormat="false" ht="15" hidden="false" customHeight="false" outlineLevel="0" collapsed="false">
      <c r="A10" s="0" t="s">
        <v>131</v>
      </c>
      <c r="C10" s="0" t="n">
        <f aca="false">-C6*C9/100</f>
        <v>-16.7534</v>
      </c>
      <c r="D10" s="0" t="n">
        <f aca="false">-D6*D9/100</f>
        <v>-17.59107</v>
      </c>
      <c r="E10" s="0" t="n">
        <f aca="false">-E6*E9/100</f>
        <v>-18.38266815</v>
      </c>
      <c r="F10" s="0" t="n">
        <f aca="false">-F6*F9/100</f>
        <v>-19.20988821675</v>
      </c>
      <c r="G10" s="0" t="n">
        <f aca="false">-G6*G9/100</f>
        <v>-19.97828374542</v>
      </c>
      <c r="H10" s="0" t="n">
        <f aca="false">-H6*H9/100</f>
        <v>-20.7774150952368</v>
      </c>
      <c r="I10" s="0" t="n">
        <f aca="false">-I6*I9/100</f>
        <v>-21.5046246235701</v>
      </c>
      <c r="J10" s="0" t="n">
        <f aca="false">-J6*J9/100</f>
        <v>-22.257286485395</v>
      </c>
      <c r="K10" s="0" t="n">
        <f aca="false">-K6*K9/100</f>
        <v>-22.9250050799569</v>
      </c>
      <c r="L10" s="0" t="n">
        <f aca="false">-L6*L9/100</f>
        <v>-23.6127552323556</v>
      </c>
    </row>
    <row r="11" customFormat="false" ht="15" hidden="false" customHeight="false" outlineLevel="0" collapsed="false">
      <c r="A11" s="0" t="s">
        <v>132</v>
      </c>
      <c r="C11" s="0" t="n">
        <f aca="false">C8+C10+C24</f>
        <v>14433.0541</v>
      </c>
      <c r="D11" s="0" t="n">
        <f aca="false">D8+D10+D24</f>
        <v>15462.55053</v>
      </c>
      <c r="E11" s="0" t="n">
        <f aca="false">E8+E10+E24</f>
        <v>16434.1053261</v>
      </c>
      <c r="F11" s="0" t="n">
        <f aca="false">F8+F10+F24</f>
        <v>17269.6895068583</v>
      </c>
      <c r="G11" s="0" t="n">
        <f aca="false">G8+G10+G24</f>
        <v>17960.4770871326</v>
      </c>
      <c r="H11" s="0" t="n">
        <f aca="false">H8+H10+H24</f>
        <v>18678.8961706179</v>
      </c>
      <c r="I11" s="0" t="n">
        <f aca="false">I8+I10+I24</f>
        <v>19332.6575365895</v>
      </c>
      <c r="J11" s="0" t="n">
        <f aca="false">J8+J10+J24</f>
        <v>20009.3005503701</v>
      </c>
      <c r="K11" s="0" t="n">
        <f aca="false">K8+K10+K24</f>
        <v>20609.5795668812</v>
      </c>
      <c r="L11" s="0" t="n">
        <f aca="false">L8+L10+L24</f>
        <v>21227.8669538877</v>
      </c>
    </row>
    <row r="12" customFormat="false" ht="15" hidden="false" customHeight="false" outlineLevel="0" collapsed="false">
      <c r="A12" s="0" t="s">
        <v>133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134</v>
      </c>
      <c r="C13" s="0" t="n">
        <f aca="false">C11+C12</f>
        <v>14433.0541</v>
      </c>
      <c r="D13" s="0" t="n">
        <f aca="false">D11+D12</f>
        <v>15462.55053</v>
      </c>
      <c r="E13" s="0" t="n">
        <f aca="false">E11+E12</f>
        <v>16434.1053261</v>
      </c>
      <c r="F13" s="0" t="n">
        <f aca="false">F11+F12</f>
        <v>17269.6895068583</v>
      </c>
      <c r="G13" s="0" t="n">
        <f aca="false">G11+G12</f>
        <v>17960.4770871326</v>
      </c>
      <c r="H13" s="0" t="n">
        <f aca="false">H11+H12</f>
        <v>18678.8961706179</v>
      </c>
      <c r="I13" s="0" t="n">
        <f aca="false">I11+I12</f>
        <v>19332.6575365895</v>
      </c>
      <c r="J13" s="0" t="n">
        <f aca="false">J11+J12</f>
        <v>20009.3005503701</v>
      </c>
      <c r="K13" s="0" t="n">
        <f aca="false">K11+K12</f>
        <v>20609.5795668812</v>
      </c>
      <c r="L13" s="0" t="n">
        <f aca="false">L11+L12</f>
        <v>21227.8669538877</v>
      </c>
    </row>
    <row r="14" customFormat="false" ht="15" hidden="false" customHeight="false" outlineLevel="0" collapsed="false">
      <c r="A14" s="0" t="s">
        <v>120</v>
      </c>
      <c r="C14" s="4" t="n">
        <f aca="false">Assumptions!C33</f>
        <v>24.2</v>
      </c>
      <c r="D14" s="4" t="n">
        <f aca="false">Assumptions!D33</f>
        <v>24.2</v>
      </c>
      <c r="E14" s="4" t="n">
        <f aca="false">Assumptions!E33</f>
        <v>24.2</v>
      </c>
      <c r="F14" s="4" t="n">
        <f aca="false">Assumptions!F33</f>
        <v>24.2</v>
      </c>
      <c r="G14" s="4" t="n">
        <f aca="false">Assumptions!G33</f>
        <v>24.2</v>
      </c>
      <c r="H14" s="4" t="n">
        <f aca="false">Assumptions!H33</f>
        <v>24.2</v>
      </c>
      <c r="I14" s="4" t="n">
        <f aca="false">Assumptions!I33</f>
        <v>24.2</v>
      </c>
      <c r="J14" s="4" t="n">
        <f aca="false">Assumptions!J33</f>
        <v>24.2</v>
      </c>
      <c r="K14" s="4" t="n">
        <f aca="false">Assumptions!K33</f>
        <v>24.2</v>
      </c>
      <c r="L14" s="4" t="n">
        <f aca="false">Assumptions!L33</f>
        <v>24.2</v>
      </c>
    </row>
    <row r="15" customFormat="false" ht="15" hidden="false" customHeight="false" outlineLevel="0" collapsed="false">
      <c r="A15" s="0" t="s">
        <v>135</v>
      </c>
      <c r="C15" s="0" t="n">
        <f aca="false">C13-MAX(0,C13)*C14/100</f>
        <v>10940.2550078</v>
      </c>
      <c r="D15" s="0" t="n">
        <f aca="false">D13-MAX(0,D13)*D14/100</f>
        <v>11720.61330174</v>
      </c>
      <c r="E15" s="0" t="n">
        <f aca="false">E13-MAX(0,E13)*E14/100</f>
        <v>12457.0518371838</v>
      </c>
      <c r="F15" s="0" t="n">
        <f aca="false">F13-MAX(0,F13)*F14/100</f>
        <v>13090.4246461986</v>
      </c>
      <c r="G15" s="0" t="n">
        <f aca="false">G13-MAX(0,G13)*G14/100</f>
        <v>13614.0416320465</v>
      </c>
      <c r="H15" s="0" t="n">
        <f aca="false">H13-MAX(0,H13)*H14/100</f>
        <v>14158.6032973284</v>
      </c>
      <c r="I15" s="0" t="n">
        <f aca="false">I13-MAX(0,I13)*I14/100</f>
        <v>14654.1544127349</v>
      </c>
      <c r="J15" s="0" t="n">
        <f aca="false">J13-MAX(0,J13)*J14/100</f>
        <v>15167.0498171806</v>
      </c>
      <c r="K15" s="0" t="n">
        <f aca="false">K13-MAX(0,K13)*K14/100</f>
        <v>15622.061311696</v>
      </c>
      <c r="L15" s="0" t="n">
        <f aca="false">L13-MAX(0,L13)*L14/100</f>
        <v>16090.7231510469</v>
      </c>
    </row>
    <row r="16" customFormat="false" ht="15" hidden="false" customHeight="false" outlineLevel="0" collapsed="false">
      <c r="A16" s="0" t="s">
        <v>136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137</v>
      </c>
      <c r="C17" s="4" t="n">
        <f aca="false">-C6*Assumptions!C32/100</f>
        <v>-3551.7208</v>
      </c>
      <c r="D17" s="4" t="n">
        <f aca="false">-D6*Assumptions!D32/100</f>
        <v>-3403.872045</v>
      </c>
      <c r="E17" s="4" t="n">
        <f aca="false">-E6*Assumptions!E32/100</f>
        <v>-3216.96692625</v>
      </c>
      <c r="F17" s="4" t="n">
        <f aca="false">-F6*Assumptions!F32/100</f>
        <v>-3361.73043793125</v>
      </c>
      <c r="G17" s="4" t="n">
        <f aca="false">-G6*Assumptions!G32/100</f>
        <v>-3121.60683522188</v>
      </c>
      <c r="H17" s="4" t="n">
        <f aca="false">-H6*Assumptions!H32/100</f>
        <v>-3246.47110863075</v>
      </c>
      <c r="I17" s="4" t="n">
        <f aca="false">-I6*Assumptions!I32/100</f>
        <v>-2956.88588574089</v>
      </c>
      <c r="J17" s="4" t="n">
        <f aca="false">-J6*Assumptions!J32/100</f>
        <v>-3060.37689174182</v>
      </c>
      <c r="K17" s="4" t="n">
        <f aca="false">-K6*Assumptions!K32/100</f>
        <v>-2716.61310197489</v>
      </c>
      <c r="L17" s="4" t="n">
        <f aca="false">-L6*Assumptions!L32/100</f>
        <v>-2798.11149503414</v>
      </c>
    </row>
    <row r="18" customFormat="false" ht="15" hidden="false" customHeight="false" outlineLevel="0" collapsed="false">
      <c r="A18" s="0" t="s">
        <v>138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139</v>
      </c>
      <c r="C19" s="0" t="n">
        <f aca="false">C15+C16+C17+C18</f>
        <v>7388.5342078</v>
      </c>
      <c r="D19" s="0" t="n">
        <f aca="false">D15+D16+D17+D18</f>
        <v>8316.74125674</v>
      </c>
      <c r="E19" s="0" t="n">
        <f aca="false">E15+E16+E17+E18</f>
        <v>9240.0849109338</v>
      </c>
      <c r="F19" s="0" t="n">
        <f aca="false">F15+F16+F17+F18</f>
        <v>9728.69420826731</v>
      </c>
      <c r="G19" s="0" t="n">
        <f aca="false">G15+G16+G17+G18</f>
        <v>10492.4347968246</v>
      </c>
      <c r="H19" s="0" t="n">
        <f aca="false">H15+H16+H17+H18</f>
        <v>10912.1321886976</v>
      </c>
      <c r="I19" s="0" t="n">
        <f aca="false">I15+I16+I17+I18</f>
        <v>11697.268526994</v>
      </c>
      <c r="J19" s="0" t="n">
        <f aca="false">J15+J16+J17+J18</f>
        <v>12106.6729254388</v>
      </c>
      <c r="K19" s="0" t="n">
        <f aca="false">K15+K16+K17+K18</f>
        <v>12905.4482097211</v>
      </c>
      <c r="L19" s="0" t="n">
        <f aca="false">L15+L16+L17+L18</f>
        <v>13292.6116560127</v>
      </c>
    </row>
    <row r="20" customFormat="false" ht="15" hidden="false" customHeight="false" outlineLevel="0" collapsed="false">
      <c r="A20" s="0" t="s">
        <v>140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141</v>
      </c>
      <c r="C21" s="0" t="n">
        <f aca="false">C19*C20</f>
        <v>6716.84927981818</v>
      </c>
      <c r="D21" s="0" t="n">
        <f aca="false">D19*D20</f>
        <v>6873.33988160331</v>
      </c>
      <c r="E21" s="0" t="n">
        <f aca="false">E19*E20</f>
        <v>6942.2125551719</v>
      </c>
      <c r="F21" s="0" t="n">
        <f aca="false">F19*F20</f>
        <v>6644.8290473788</v>
      </c>
      <c r="G21" s="0" t="n">
        <f aca="false">G19*G20</f>
        <v>6514.97649615626</v>
      </c>
      <c r="H21" s="0" t="n">
        <f aca="false">H19*H20</f>
        <v>6159.61414182047</v>
      </c>
      <c r="I21" s="0" t="n">
        <f aca="false">I19*I20</f>
        <v>6002.54830575149</v>
      </c>
      <c r="J21" s="0" t="n">
        <f aca="false">J19*J20</f>
        <v>5647.85226950254</v>
      </c>
      <c r="K21" s="0" t="n">
        <f aca="false">K19*K20</f>
        <v>5473.16984977216</v>
      </c>
      <c r="L21" s="0" t="n">
        <f aca="false">L19*L20</f>
        <v>5124.87722296848</v>
      </c>
    </row>
    <row r="23" customFormat="false" ht="15" hidden="false" customHeight="false" outlineLevel="0" collapsed="false">
      <c r="A23" s="0" t="s">
        <v>117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142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143</v>
      </c>
    </row>
    <row r="27" customFormat="false" ht="15" hidden="false" customHeight="false" outlineLevel="0" collapsed="false">
      <c r="A27" s="0" t="s">
        <v>121</v>
      </c>
      <c r="B27" s="4" t="n">
        <f aca="false">Assumptions!$B$34</f>
        <v>10</v>
      </c>
    </row>
    <row r="28" customFormat="false" ht="15" hidden="false" customHeight="false" outlineLevel="0" collapsed="false">
      <c r="A28" s="0" t="s">
        <v>122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123</v>
      </c>
      <c r="B29" s="4" t="n">
        <f aca="false">Assumptions!$B$36</f>
        <v>13</v>
      </c>
    </row>
    <row r="30" customFormat="false" ht="15" hidden="false" customHeight="false" outlineLevel="0" collapsed="false">
      <c r="A30" s="0" t="s">
        <v>144</v>
      </c>
      <c r="B30" s="0" t="n">
        <f aca="false">SUM(C21:L21)</f>
        <v>62100.2690499436</v>
      </c>
    </row>
    <row r="31" customFormat="false" ht="15" hidden="false" customHeight="false" outlineLevel="0" collapsed="false">
      <c r="A31" s="0" t="s">
        <v>145</v>
      </c>
      <c r="B31" s="0" t="n">
        <f aca="false">L19</f>
        <v>13292.6116560127</v>
      </c>
    </row>
    <row r="32" customFormat="false" ht="15" hidden="false" customHeight="false" outlineLevel="0" collapsed="false">
      <c r="A32" s="0" t="s">
        <v>146</v>
      </c>
      <c r="B32" s="0" t="n">
        <f aca="false">IF(B27&gt;B28,B31*(1+B28/100)/((B27-B28)/100),B31*B29)</f>
        <v>195591.285795616</v>
      </c>
    </row>
    <row r="33" customFormat="false" ht="15" hidden="false" customHeight="false" outlineLevel="0" collapsed="false">
      <c r="A33" s="0" t="s">
        <v>147</v>
      </c>
      <c r="B33" s="0" t="n">
        <f aca="false">B31*B29</f>
        <v>172803.951528165</v>
      </c>
    </row>
    <row r="34" customFormat="false" ht="15" hidden="false" customHeight="false" outlineLevel="0" collapsed="false">
      <c r="A34" s="0" t="s">
        <v>148</v>
      </c>
      <c r="B34" s="0" t="n">
        <f aca="false">MAX(0,MIN(B32,B33))</f>
        <v>172803.951528165</v>
      </c>
    </row>
    <row r="35" customFormat="false" ht="15" hidden="false" customHeight="false" outlineLevel="0" collapsed="false">
      <c r="A35" s="0" t="s">
        <v>149</v>
      </c>
      <c r="B35" s="0" t="n">
        <f aca="false">B34/(1+B27/100)^L4</f>
        <v>66623.4038985902</v>
      </c>
    </row>
    <row r="36" customFormat="false" ht="15" hidden="false" customHeight="false" outlineLevel="0" collapsed="false">
      <c r="A36" s="0" t="s">
        <v>150</v>
      </c>
      <c r="B36" s="0" t="n">
        <f aca="false">B30+B35</f>
        <v>128723.672948534</v>
      </c>
    </row>
    <row r="37" customFormat="false" ht="15" hidden="false" customHeight="false" outlineLevel="0" collapsed="false">
      <c r="A37" s="0" t="s">
        <v>151</v>
      </c>
      <c r="B37" s="0" t="n">
        <f aca="false">B36+Assumptions!$B$5-Assumptions!$B$4</f>
        <v>128723.672948534</v>
      </c>
    </row>
    <row r="38" customFormat="false" ht="15" hidden="false" customHeight="false" outlineLevel="0" collapsed="false">
      <c r="A38" s="0" t="s">
        <v>152</v>
      </c>
      <c r="B38" s="0" t="n">
        <f aca="false">B37/Assumptions!$B$3*Assumptions!$B$10</f>
        <v>105.338521234479</v>
      </c>
    </row>
    <row r="39" customFormat="false" ht="15" hidden="false" customHeight="false" outlineLevel="0" collapsed="false">
      <c r="A39" s="0" t="s">
        <v>153</v>
      </c>
      <c r="B39" s="4" t="n">
        <f aca="false">B38/Assumptions!$B$2-1</f>
        <v>-0.164178995203687</v>
      </c>
    </row>
    <row r="41" customFormat="false" ht="15" hidden="false" customHeight="false" outlineLevel="0" collapsed="false">
      <c r="A41" s="0" t="s">
        <v>154</v>
      </c>
      <c r="B41" s="0" t="n">
        <f aca="false">SUMPRODUCT(-C10:L10/(1+$B$27/100)^C4:L4)</f>
        <v>121.078112830941</v>
      </c>
    </row>
    <row r="42" customFormat="false" ht="15" hidden="false" customHeight="false" outlineLevel="0" collapsed="false">
      <c r="A42" s="0" t="s">
        <v>155</v>
      </c>
      <c r="B42" s="0" t="n">
        <f aca="false">IF(B27&gt;B28,-L10*(1+B28/100)/((B27-B28)/100),-L10*20)/(1+B27/100)^L4</f>
        <v>133.955021493144</v>
      </c>
    </row>
    <row r="43" customFormat="false" ht="15" hidden="false" customHeight="false" outlineLevel="0" collapsed="false">
      <c r="A43" s="0" t="s">
        <v>156</v>
      </c>
      <c r="B43" s="0" t="n">
        <f aca="false">(B37+B41+B42)/Assumptions!$B$3*Assumptions!$B$10</f>
        <v>105.54722265373</v>
      </c>
    </row>
    <row r="45" customFormat="false" ht="15" hidden="false" customHeight="false" outlineLevel="0" collapsed="false">
      <c r="A45" s="0" t="s">
        <v>96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157</v>
      </c>
      <c r="B46" s="0" t="n">
        <f aca="false">MAX(0,MIN(IF(B45&gt;B28,B31*(1+B28/100)/((B45-B28)/100),B31*B29),B31*B29))</f>
        <v>114094.916714109</v>
      </c>
    </row>
    <row r="47" customFormat="false" ht="15" hidden="false" customHeight="false" outlineLevel="0" collapsed="false">
      <c r="A47" s="0" t="s">
        <v>158</v>
      </c>
      <c r="B47" s="0" t="n">
        <f aca="false">(SUMPRODUCT(C19:L19/(1+B45/100)^C4:L4)+B46/(1+B45/100)^L4+Assumptions!$B$5-Assumptions!$B$4)/Assumptions!$B$3*Assumptions!$B$10</f>
        <v>63.6640787304824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160</v>
      </c>
    </row>
    <row r="3" customFormat="false" ht="15" hidden="false" customHeight="false" outlineLevel="0" collapsed="false">
      <c r="A3" s="0" t="s">
        <v>129</v>
      </c>
      <c r="B3" s="0" t="s">
        <v>99</v>
      </c>
      <c r="C3" s="2" t="s">
        <v>104</v>
      </c>
      <c r="D3" s="2" t="s">
        <v>105</v>
      </c>
      <c r="E3" s="2" t="s">
        <v>106</v>
      </c>
      <c r="F3" s="2" t="s">
        <v>107</v>
      </c>
      <c r="G3" s="2" t="s">
        <v>108</v>
      </c>
      <c r="H3" s="2" t="s">
        <v>109</v>
      </c>
      <c r="I3" s="2" t="s">
        <v>110</v>
      </c>
      <c r="J3" s="2" t="s">
        <v>111</v>
      </c>
      <c r="K3" s="2" t="s">
        <v>112</v>
      </c>
      <c r="L3" s="2" t="s">
        <v>113</v>
      </c>
    </row>
    <row r="4" customFormat="false" ht="15" hidden="false" customHeight="false" outlineLevel="0" collapsed="false">
      <c r="A4" s="0" t="s">
        <v>130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114</v>
      </c>
      <c r="C5" s="4" t="n">
        <f aca="false">Assumptions!C41</f>
        <v>7</v>
      </c>
      <c r="D5" s="4" t="n">
        <f aca="false">Assumptions!D41</f>
        <v>6.5</v>
      </c>
      <c r="E5" s="4" t="n">
        <f aca="false">Assumptions!E41</f>
        <v>6</v>
      </c>
      <c r="F5" s="4" t="n">
        <f aca="false">Assumptions!F41</f>
        <v>5.5</v>
      </c>
      <c r="G5" s="4" t="n">
        <f aca="false">Assumptions!G41</f>
        <v>5</v>
      </c>
      <c r="H5" s="4" t="n">
        <f aca="false">Assumptions!H41</f>
        <v>4.5</v>
      </c>
      <c r="I5" s="4" t="n">
        <f aca="false">Assumptions!I41</f>
        <v>4.5</v>
      </c>
      <c r="J5" s="4" t="n">
        <f aca="false">Assumptions!J41</f>
        <v>4</v>
      </c>
      <c r="K5" s="4" t="n">
        <f aca="false">Assumptions!K41</f>
        <v>4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37</v>
      </c>
      <c r="B6" s="3" t="n">
        <v>39700</v>
      </c>
      <c r="C6" s="0" t="n">
        <f aca="false">B6*(1+C5/100)</f>
        <v>42479</v>
      </c>
      <c r="D6" s="0" t="n">
        <f aca="false">C6*(1+D5/100)</f>
        <v>45240.135</v>
      </c>
      <c r="E6" s="0" t="n">
        <f aca="false">D6*(1+E5/100)</f>
        <v>47954.5431</v>
      </c>
      <c r="F6" s="0" t="n">
        <f aca="false">E6*(1+F5/100)</f>
        <v>50592.0429705</v>
      </c>
      <c r="G6" s="0" t="n">
        <f aca="false">F6*(1+G5/100)</f>
        <v>53121.645119025</v>
      </c>
      <c r="H6" s="0" t="n">
        <f aca="false">G6*(1+H5/100)</f>
        <v>55512.1191493811</v>
      </c>
      <c r="I6" s="0" t="n">
        <f aca="false">H6*(1+I5/100)</f>
        <v>58010.1645111033</v>
      </c>
      <c r="J6" s="0" t="n">
        <f aca="false">I6*(1+J5/100)</f>
        <v>60330.5710915474</v>
      </c>
      <c r="K6" s="0" t="n">
        <f aca="false">J6*(1+K5/100)</f>
        <v>62743.7939352093</v>
      </c>
      <c r="L6" s="0" t="n">
        <f aca="false">K6*(1+L5/100)</f>
        <v>64939.8267229416</v>
      </c>
    </row>
    <row r="7" customFormat="false" ht="15" hidden="false" customHeight="false" outlineLevel="0" collapsed="false">
      <c r="A7" s="0" t="s">
        <v>115</v>
      </c>
      <c r="C7" s="4" t="n">
        <f aca="false">Assumptions!C42</f>
        <v>35.2</v>
      </c>
      <c r="D7" s="4" t="n">
        <f aca="false">Assumptions!D42</f>
        <v>36.5</v>
      </c>
      <c r="E7" s="4" t="n">
        <f aca="false">Assumptions!E42</f>
        <v>37.5</v>
      </c>
      <c r="F7" s="4" t="n">
        <f aca="false">Assumptions!F42</f>
        <v>38</v>
      </c>
      <c r="G7" s="4" t="n">
        <f aca="false">Assumptions!G42</f>
        <v>38</v>
      </c>
      <c r="H7" s="4" t="n">
        <f aca="false">Assumptions!H42</f>
        <v>38</v>
      </c>
      <c r="I7" s="4" t="n">
        <f aca="false">Assumptions!I42</f>
        <v>38</v>
      </c>
      <c r="J7" s="4" t="n">
        <f aca="false">Assumptions!J42</f>
        <v>38</v>
      </c>
      <c r="K7" s="4" t="n">
        <f aca="false">Assumptions!K42</f>
        <v>38</v>
      </c>
      <c r="L7" s="4" t="n">
        <f aca="false">Assumptions!L42</f>
        <v>38</v>
      </c>
    </row>
    <row r="8" customFormat="false" ht="15" hidden="false" customHeight="false" outlineLevel="0" collapsed="false">
      <c r="A8" s="0" t="s">
        <v>43</v>
      </c>
      <c r="C8" s="0" t="n">
        <f aca="false">C6*C7/100</f>
        <v>14952.608</v>
      </c>
      <c r="D8" s="0" t="n">
        <f aca="false">D6*D7/100</f>
        <v>16512.649275</v>
      </c>
      <c r="E8" s="0" t="n">
        <f aca="false">E6*E7/100</f>
        <v>17982.9536625</v>
      </c>
      <c r="F8" s="0" t="n">
        <f aca="false">F6*F7/100</f>
        <v>19224.97632879</v>
      </c>
      <c r="G8" s="0" t="n">
        <f aca="false">G6*G7/100</f>
        <v>20186.2251452295</v>
      </c>
      <c r="H8" s="0" t="n">
        <f aca="false">H6*H7/100</f>
        <v>21094.6052767648</v>
      </c>
      <c r="I8" s="0" t="n">
        <f aca="false">I6*I7/100</f>
        <v>22043.8625142192</v>
      </c>
      <c r="J8" s="0" t="n">
        <f aca="false">J6*J7/100</f>
        <v>22925.617014788</v>
      </c>
      <c r="K8" s="0" t="n">
        <f aca="false">K6*K7/100</f>
        <v>23842.6416953795</v>
      </c>
      <c r="L8" s="0" t="n">
        <f aca="false">L6*L7/100</f>
        <v>24677.1341547178</v>
      </c>
    </row>
    <row r="9" customFormat="false" ht="15" hidden="false" customHeight="false" outlineLevel="0" collapsed="false">
      <c r="A9" s="0" t="s">
        <v>116</v>
      </c>
      <c r="C9" s="4" t="n">
        <f aca="false">Assumptions!C43</f>
        <v>0.04</v>
      </c>
      <c r="D9" s="4" t="n">
        <f aca="false">Assumptions!D43</f>
        <v>0.04</v>
      </c>
      <c r="E9" s="4" t="n">
        <f aca="false">Assumptions!E43</f>
        <v>0.04</v>
      </c>
      <c r="F9" s="4" t="n">
        <f aca="false">Assumptions!F43</f>
        <v>0.04</v>
      </c>
      <c r="G9" s="4" t="n">
        <f aca="false">Assumptions!G43</f>
        <v>0.04</v>
      </c>
      <c r="H9" s="4" t="n">
        <f aca="false">Assumptions!H43</f>
        <v>0.04</v>
      </c>
      <c r="I9" s="4" t="n">
        <f aca="false">Assumptions!I43</f>
        <v>0.04</v>
      </c>
      <c r="J9" s="4" t="n">
        <f aca="false">Assumptions!J43</f>
        <v>0.04</v>
      </c>
      <c r="K9" s="4" t="n">
        <f aca="false">Assumptions!K43</f>
        <v>0.04</v>
      </c>
      <c r="L9" s="4" t="n">
        <f aca="false">Assumptions!L43</f>
        <v>0.04</v>
      </c>
    </row>
    <row r="10" customFormat="false" ht="15" hidden="false" customHeight="false" outlineLevel="0" collapsed="false">
      <c r="A10" s="0" t="s">
        <v>131</v>
      </c>
      <c r="C10" s="0" t="n">
        <f aca="false">-C6*C9/100</f>
        <v>-16.9916</v>
      </c>
      <c r="D10" s="0" t="n">
        <f aca="false">-D6*D9/100</f>
        <v>-18.096054</v>
      </c>
      <c r="E10" s="0" t="n">
        <f aca="false">-E6*E9/100</f>
        <v>-19.18181724</v>
      </c>
      <c r="F10" s="0" t="n">
        <f aca="false">-F6*F9/100</f>
        <v>-20.2368171882</v>
      </c>
      <c r="G10" s="0" t="n">
        <f aca="false">-G6*G9/100</f>
        <v>-21.24865804761</v>
      </c>
      <c r="H10" s="0" t="n">
        <f aca="false">-H6*H9/100</f>
        <v>-22.2048476597524</v>
      </c>
      <c r="I10" s="0" t="n">
        <f aca="false">-I6*I9/100</f>
        <v>-23.2040658044413</v>
      </c>
      <c r="J10" s="0" t="n">
        <f aca="false">-J6*J9/100</f>
        <v>-24.132228436619</v>
      </c>
      <c r="K10" s="0" t="n">
        <f aca="false">-K6*K9/100</f>
        <v>-25.0975175740837</v>
      </c>
      <c r="L10" s="0" t="n">
        <f aca="false">-L6*L9/100</f>
        <v>-25.9759306891766</v>
      </c>
    </row>
    <row r="11" customFormat="false" ht="15" hidden="false" customHeight="false" outlineLevel="0" collapsed="false">
      <c r="A11" s="0" t="s">
        <v>132</v>
      </c>
      <c r="C11" s="0" t="n">
        <f aca="false">C8+C10+C24</f>
        <v>14935.6164</v>
      </c>
      <c r="D11" s="0" t="n">
        <f aca="false">D8+D10+D24</f>
        <v>16494.553221</v>
      </c>
      <c r="E11" s="0" t="n">
        <f aca="false">E8+E10+E24</f>
        <v>17963.77184526</v>
      </c>
      <c r="F11" s="0" t="n">
        <f aca="false">F8+F10+F24</f>
        <v>19204.7395116018</v>
      </c>
      <c r="G11" s="0" t="n">
        <f aca="false">G8+G10+G24</f>
        <v>20164.9764871819</v>
      </c>
      <c r="H11" s="0" t="n">
        <f aca="false">H8+H10+H24</f>
        <v>21072.4004291051</v>
      </c>
      <c r="I11" s="0" t="n">
        <f aca="false">I8+I10+I24</f>
        <v>22020.6584484148</v>
      </c>
      <c r="J11" s="0" t="n">
        <f aca="false">J8+J10+J24</f>
        <v>22901.4847863514</v>
      </c>
      <c r="K11" s="0" t="n">
        <f aca="false">K8+K10+K24</f>
        <v>23817.5441778055</v>
      </c>
      <c r="L11" s="0" t="n">
        <f aca="false">L8+L10+L24</f>
        <v>24651.1582240286</v>
      </c>
    </row>
    <row r="12" customFormat="false" ht="15" hidden="false" customHeight="false" outlineLevel="0" collapsed="false">
      <c r="A12" s="0" t="s">
        <v>133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134</v>
      </c>
      <c r="C13" s="0" t="n">
        <f aca="false">C11+C12</f>
        <v>14935.6164</v>
      </c>
      <c r="D13" s="0" t="n">
        <f aca="false">D11+D12</f>
        <v>16494.553221</v>
      </c>
      <c r="E13" s="0" t="n">
        <f aca="false">E11+E12</f>
        <v>17963.77184526</v>
      </c>
      <c r="F13" s="0" t="n">
        <f aca="false">F11+F12</f>
        <v>19204.7395116018</v>
      </c>
      <c r="G13" s="0" t="n">
        <f aca="false">G11+G12</f>
        <v>20164.9764871819</v>
      </c>
      <c r="H13" s="0" t="n">
        <f aca="false">H11+H12</f>
        <v>21072.4004291051</v>
      </c>
      <c r="I13" s="0" t="n">
        <f aca="false">I11+I12</f>
        <v>22020.6584484148</v>
      </c>
      <c r="J13" s="0" t="n">
        <f aca="false">J11+J12</f>
        <v>22901.4847863514</v>
      </c>
      <c r="K13" s="0" t="n">
        <f aca="false">K11+K12</f>
        <v>23817.5441778055</v>
      </c>
      <c r="L13" s="0" t="n">
        <f aca="false">L11+L12</f>
        <v>24651.1582240286</v>
      </c>
    </row>
    <row r="14" customFormat="false" ht="15" hidden="false" customHeight="false" outlineLevel="0" collapsed="false">
      <c r="A14" s="0" t="s">
        <v>120</v>
      </c>
      <c r="C14" s="4" t="n">
        <f aca="false">Assumptions!C47</f>
        <v>24.2</v>
      </c>
      <c r="D14" s="4" t="n">
        <f aca="false">Assumptions!D47</f>
        <v>24.2</v>
      </c>
      <c r="E14" s="4" t="n">
        <f aca="false">Assumptions!E47</f>
        <v>24.2</v>
      </c>
      <c r="F14" s="4" t="n">
        <f aca="false">Assumptions!F47</f>
        <v>24.2</v>
      </c>
      <c r="G14" s="4" t="n">
        <f aca="false">Assumptions!G47</f>
        <v>24.2</v>
      </c>
      <c r="H14" s="4" t="n">
        <f aca="false">Assumptions!H47</f>
        <v>24.2</v>
      </c>
      <c r="I14" s="4" t="n">
        <f aca="false">Assumptions!I47</f>
        <v>24.2</v>
      </c>
      <c r="J14" s="4" t="n">
        <f aca="false">Assumptions!J47</f>
        <v>24.2</v>
      </c>
      <c r="K14" s="4" t="n">
        <f aca="false">Assumptions!K47</f>
        <v>24.2</v>
      </c>
      <c r="L14" s="4" t="n">
        <f aca="false">Assumptions!L47</f>
        <v>24.2</v>
      </c>
    </row>
    <row r="15" customFormat="false" ht="15" hidden="false" customHeight="false" outlineLevel="0" collapsed="false">
      <c r="A15" s="0" t="s">
        <v>135</v>
      </c>
      <c r="C15" s="0" t="n">
        <f aca="false">C13-MAX(0,C13)*C14/100</f>
        <v>11321.1972312</v>
      </c>
      <c r="D15" s="0" t="n">
        <f aca="false">D13-MAX(0,D13)*D14/100</f>
        <v>12502.871341518</v>
      </c>
      <c r="E15" s="0" t="n">
        <f aca="false">E13-MAX(0,E13)*E14/100</f>
        <v>13616.5390587071</v>
      </c>
      <c r="F15" s="0" t="n">
        <f aca="false">F13-MAX(0,F13)*F14/100</f>
        <v>14557.1925497942</v>
      </c>
      <c r="G15" s="0" t="n">
        <f aca="false">G13-MAX(0,G13)*G14/100</f>
        <v>15285.0521772839</v>
      </c>
      <c r="H15" s="0" t="n">
        <f aca="false">H13-MAX(0,H13)*H14/100</f>
        <v>15972.8795252616</v>
      </c>
      <c r="I15" s="0" t="n">
        <f aca="false">I13-MAX(0,I13)*I14/100</f>
        <v>16691.6591038984</v>
      </c>
      <c r="J15" s="0" t="n">
        <f aca="false">J13-MAX(0,J13)*J14/100</f>
        <v>17359.3254680544</v>
      </c>
      <c r="K15" s="0" t="n">
        <f aca="false">K13-MAX(0,K13)*K14/100</f>
        <v>18053.6984867765</v>
      </c>
      <c r="L15" s="0" t="n">
        <f aca="false">L13-MAX(0,L13)*L14/100</f>
        <v>18685.5779338137</v>
      </c>
    </row>
    <row r="16" customFormat="false" ht="15" hidden="false" customHeight="false" outlineLevel="0" collapsed="false">
      <c r="A16" s="0" t="s">
        <v>136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137</v>
      </c>
      <c r="C17" s="4" t="n">
        <f aca="false">-C6*Assumptions!C46/100</f>
        <v>-4519.7656</v>
      </c>
      <c r="D17" s="4" t="n">
        <f aca="false">-D6*Assumptions!D46/100</f>
        <v>-4487.821392</v>
      </c>
      <c r="E17" s="4" t="n">
        <f aca="false">-E6*Assumptions!E46/100</f>
        <v>-4411.8179652</v>
      </c>
      <c r="F17" s="4" t="n">
        <f aca="false">-F6*Assumptions!F46/100</f>
        <v>-4290.2052438984</v>
      </c>
      <c r="G17" s="4" t="n">
        <f aca="false">-G6*Assumptions!G46/100</f>
        <v>-4111.61533221254</v>
      </c>
      <c r="H17" s="4" t="n">
        <f aca="false">-H6*Assumptions!H46/100</f>
        <v>-3885.84834045668</v>
      </c>
      <c r="I17" s="4" t="n">
        <f aca="false">-I6*Assumptions!I46/100</f>
        <v>-4060.71151577723</v>
      </c>
      <c r="J17" s="4" t="n">
        <f aca="false">-J6*Assumptions!J46/100</f>
        <v>-3770.66069322171</v>
      </c>
      <c r="K17" s="4" t="n">
        <f aca="false">-K6*Assumptions!K46/100</f>
        <v>-3921.48712095058</v>
      </c>
      <c r="L17" s="4" t="n">
        <f aca="false">-L6*Assumptions!L46/100</f>
        <v>-3571.69046976179</v>
      </c>
    </row>
    <row r="18" customFormat="false" ht="15" hidden="false" customHeight="false" outlineLevel="0" collapsed="false">
      <c r="A18" s="0" t="s">
        <v>138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139</v>
      </c>
      <c r="C19" s="0" t="n">
        <f aca="false">C15+C16+C17+C18</f>
        <v>6801.4316312</v>
      </c>
      <c r="D19" s="0" t="n">
        <f aca="false">D15+D16+D17+D18</f>
        <v>8015.049949518</v>
      </c>
      <c r="E19" s="0" t="n">
        <f aca="false">E15+E16+E17+E18</f>
        <v>9204.72109350708</v>
      </c>
      <c r="F19" s="0" t="n">
        <f aca="false">F15+F16+F17+F18</f>
        <v>10266.9873058958</v>
      </c>
      <c r="G19" s="0" t="n">
        <f aca="false">G15+G16+G17+G18</f>
        <v>11173.4368450713</v>
      </c>
      <c r="H19" s="0" t="n">
        <f aca="false">H15+H16+H17+H18</f>
        <v>12087.031184805</v>
      </c>
      <c r="I19" s="0" t="n">
        <f aca="false">I15+I16+I17+I18</f>
        <v>12630.9475881212</v>
      </c>
      <c r="J19" s="0" t="n">
        <f aca="false">J15+J16+J17+J18</f>
        <v>13588.6647748326</v>
      </c>
      <c r="K19" s="0" t="n">
        <f aca="false">K15+K16+K17+K18</f>
        <v>14132.2113658259</v>
      </c>
      <c r="L19" s="0" t="n">
        <f aca="false">L15+L16+L17+L18</f>
        <v>15113.8874640519</v>
      </c>
    </row>
    <row r="20" customFormat="false" ht="15" hidden="false" customHeight="false" outlineLevel="0" collapsed="false">
      <c r="A20" s="0" t="s">
        <v>140</v>
      </c>
      <c r="C20" s="0" t="n">
        <f aca="false">1/(1+$B$27/100)^C4</f>
        <v>0.911161731207289</v>
      </c>
      <c r="D20" s="0" t="n">
        <f aca="false">1/(1+$B$27/100)^D4</f>
        <v>0.830215700416665</v>
      </c>
      <c r="E20" s="0" t="n">
        <f aca="false">1/(1+$B$27/100)^E4</f>
        <v>0.756460774867121</v>
      </c>
      <c r="F20" s="0" t="n">
        <f aca="false">1/(1+$B$27/100)^F4</f>
        <v>0.689258109218333</v>
      </c>
      <c r="G20" s="0" t="n">
        <f aca="false">1/(1+$B$27/100)^G4</f>
        <v>0.628025612044039</v>
      </c>
      <c r="H20" s="0" t="n">
        <f aca="false">1/(1+$B$27/100)^H4</f>
        <v>0.572232903912564</v>
      </c>
      <c r="I20" s="0" t="n">
        <f aca="false">1/(1+$B$27/100)^I4</f>
        <v>0.521396723382747</v>
      </c>
      <c r="J20" s="0" t="n">
        <f aca="false">1/(1+$B$27/100)^J4</f>
        <v>0.475076741123232</v>
      </c>
      <c r="K20" s="0" t="n">
        <f aca="false">1/(1+$B$27/100)^K4</f>
        <v>0.432871745898161</v>
      </c>
      <c r="L20" s="0" t="n">
        <f aca="false">1/(1+$B$27/100)^L4</f>
        <v>0.39441616938329</v>
      </c>
    </row>
    <row r="21" customFormat="false" ht="15" hidden="false" customHeight="false" outlineLevel="0" collapsed="false">
      <c r="A21" s="0" t="s">
        <v>141</v>
      </c>
      <c r="C21" s="0" t="n">
        <f aca="false">C19*C20</f>
        <v>6197.20421977221</v>
      </c>
      <c r="D21" s="0" t="n">
        <f aca="false">D19*D20</f>
        <v>6654.22030771364</v>
      </c>
      <c r="E21" s="0" t="n">
        <f aca="false">E19*E20</f>
        <v>6963.01045083009</v>
      </c>
      <c r="F21" s="0" t="n">
        <f aca="false">F19*F20</f>
        <v>7076.60425783034</v>
      </c>
      <c r="G21" s="0" t="n">
        <f aca="false">G19*G20</f>
        <v>7017.20451326135</v>
      </c>
      <c r="H21" s="0" t="n">
        <f aca="false">H19*H20</f>
        <v>6916.59695456267</v>
      </c>
      <c r="I21" s="0" t="n">
        <f aca="false">I19*I20</f>
        <v>6585.73468566559</v>
      </c>
      <c r="J21" s="0" t="n">
        <f aca="false">J19*J20</f>
        <v>6455.65857744354</v>
      </c>
      <c r="K21" s="0" t="n">
        <f aca="false">K19*K20</f>
        <v>6117.43500732691</v>
      </c>
      <c r="L21" s="0" t="n">
        <f aca="false">L19*L20</f>
        <v>5961.16159806149</v>
      </c>
    </row>
    <row r="23" customFormat="false" ht="15" hidden="false" customHeight="false" outlineLevel="0" collapsed="false">
      <c r="A23" s="0" t="s">
        <v>117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142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143</v>
      </c>
    </row>
    <row r="27" customFormat="false" ht="15" hidden="false" customHeight="false" outlineLevel="0" collapsed="false">
      <c r="A27" s="0" t="s">
        <v>121</v>
      </c>
      <c r="B27" s="4" t="n">
        <f aca="false">Assumptions!$B$48</f>
        <v>9.75</v>
      </c>
    </row>
    <row r="28" customFormat="false" ht="15" hidden="false" customHeight="false" outlineLevel="0" collapsed="false">
      <c r="A28" s="0" t="s">
        <v>122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123</v>
      </c>
      <c r="B29" s="4" t="n">
        <f aca="false">Assumptions!$B$50</f>
        <v>14</v>
      </c>
    </row>
    <row r="30" customFormat="false" ht="15" hidden="false" customHeight="false" outlineLevel="0" collapsed="false">
      <c r="A30" s="0" t="s">
        <v>144</v>
      </c>
      <c r="B30" s="0" t="n">
        <f aca="false">SUM(C21:L21)</f>
        <v>65944.8305724678</v>
      </c>
    </row>
    <row r="31" customFormat="false" ht="15" hidden="false" customHeight="false" outlineLevel="0" collapsed="false">
      <c r="A31" s="0" t="s">
        <v>145</v>
      </c>
      <c r="B31" s="0" t="n">
        <f aca="false">L19</f>
        <v>15113.8874640519</v>
      </c>
    </row>
    <row r="32" customFormat="false" ht="15" hidden="false" customHeight="false" outlineLevel="0" collapsed="false">
      <c r="A32" s="0" t="s">
        <v>146</v>
      </c>
      <c r="B32" s="0" t="n">
        <f aca="false">IF(B27&gt;B28,B31*(1+B28/100)/((B27-B28)/100),B31*B29)</f>
        <v>250285.9764047</v>
      </c>
    </row>
    <row r="33" customFormat="false" ht="15" hidden="false" customHeight="false" outlineLevel="0" collapsed="false">
      <c r="A33" s="0" t="s">
        <v>147</v>
      </c>
      <c r="B33" s="0" t="n">
        <f aca="false">B31*B29</f>
        <v>211594.424496727</v>
      </c>
    </row>
    <row r="34" customFormat="false" ht="15" hidden="false" customHeight="false" outlineLevel="0" collapsed="false">
      <c r="A34" s="0" t="s">
        <v>148</v>
      </c>
      <c r="B34" s="0" t="n">
        <f aca="false">MAX(0,MIN(B32,B33))</f>
        <v>211594.424496727</v>
      </c>
    </row>
    <row r="35" customFormat="false" ht="15" hidden="false" customHeight="false" outlineLevel="0" collapsed="false">
      <c r="A35" s="0" t="s">
        <v>149</v>
      </c>
      <c r="B35" s="0" t="n">
        <f aca="false">B34/(1+B27/100)^L4</f>
        <v>83456.2623728608</v>
      </c>
    </row>
    <row r="36" customFormat="false" ht="15" hidden="false" customHeight="false" outlineLevel="0" collapsed="false">
      <c r="A36" s="0" t="s">
        <v>150</v>
      </c>
      <c r="B36" s="0" t="n">
        <f aca="false">B30+B35</f>
        <v>149401.092945329</v>
      </c>
    </row>
    <row r="37" customFormat="false" ht="15" hidden="false" customHeight="false" outlineLevel="0" collapsed="false">
      <c r="A37" s="0" t="s">
        <v>151</v>
      </c>
      <c r="B37" s="0" t="n">
        <f aca="false">B36+Assumptions!$B$5-Assumptions!$B$4</f>
        <v>149401.092945329</v>
      </c>
    </row>
    <row r="38" customFormat="false" ht="15" hidden="false" customHeight="false" outlineLevel="0" collapsed="false">
      <c r="A38" s="0" t="s">
        <v>152</v>
      </c>
      <c r="B38" s="0" t="n">
        <f aca="false">B37/Assumptions!$B$3*Assumptions!$B$10</f>
        <v>122.259486861971</v>
      </c>
    </row>
    <row r="39" customFormat="false" ht="15" hidden="false" customHeight="false" outlineLevel="0" collapsed="false">
      <c r="A39" s="0" t="s">
        <v>153</v>
      </c>
      <c r="B39" s="4" t="n">
        <f aca="false">B38/Assumptions!$B$2-1</f>
        <v>-0.0299175842103384</v>
      </c>
    </row>
    <row r="41" customFormat="false" ht="15" hidden="false" customHeight="false" outlineLevel="0" collapsed="false">
      <c r="A41" s="0" t="s">
        <v>154</v>
      </c>
      <c r="B41" s="0" t="n">
        <f aca="false">SUMPRODUCT(-C10:L10/(1+$B$27/100)^C4:L4)</f>
        <v>129.687970085474</v>
      </c>
    </row>
    <row r="42" customFormat="false" ht="15" hidden="false" customHeight="false" outlineLevel="0" collapsed="false">
      <c r="A42" s="0" t="s">
        <v>155</v>
      </c>
      <c r="B42" s="0" t="n">
        <f aca="false">IF(B27&gt;B28,-L10*(1+B28/100)/((B27-B28)/100),-L10*20)/(1+B27/100)^L4</f>
        <v>169.662616421465</v>
      </c>
    </row>
    <row r="43" customFormat="false" ht="15" hidden="false" customHeight="false" outlineLevel="0" collapsed="false">
      <c r="A43" s="0" t="s">
        <v>156</v>
      </c>
      <c r="B43" s="0" t="n">
        <f aca="false">(B37+B41+B42)/Assumptions!$B$3*Assumptions!$B$10</f>
        <v>122.504454608703</v>
      </c>
    </row>
    <row r="45" customFormat="false" ht="15" hidden="false" customHeight="false" outlineLevel="0" collapsed="false">
      <c r="A45" s="0" t="s">
        <v>96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157</v>
      </c>
      <c r="B46" s="0" t="n">
        <f aca="false">MAX(0,MIN(IF(B45&gt;B28,B31*(1+B28/100)/((B45-B28)/100),B31*B29),B31*B29))</f>
        <v>136024.987176467</v>
      </c>
    </row>
    <row r="47" customFormat="false" ht="15" hidden="false" customHeight="false" outlineLevel="0" collapsed="false">
      <c r="A47" s="0" t="s">
        <v>158</v>
      </c>
      <c r="B47" s="0" t="n">
        <f aca="false">(SUMPRODUCT(C19:L19/(1+B45/100)^C4:L4)+B46/(1+B45/100)^L4+Assumptions!$B$5-Assumptions!$B$4)/Assumptions!$B$3*Assumptions!$B$10</f>
        <v>69.7586407047399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161</v>
      </c>
    </row>
    <row r="3" customFormat="false" ht="15" hidden="false" customHeight="false" outlineLevel="0" collapsed="false">
      <c r="A3" s="2" t="s">
        <v>162</v>
      </c>
      <c r="B3" s="2" t="s">
        <v>163</v>
      </c>
      <c r="C3" s="2" t="s">
        <v>153</v>
      </c>
      <c r="D3" s="2" t="s">
        <v>164</v>
      </c>
      <c r="E3" s="2" t="s">
        <v>156</v>
      </c>
      <c r="F3" s="2" t="s">
        <v>165</v>
      </c>
    </row>
    <row r="4" customFormat="false" ht="15" hidden="false" customHeight="false" outlineLevel="0" collapsed="false">
      <c r="A4" s="0" t="s">
        <v>166</v>
      </c>
      <c r="B4" s="4" t="n">
        <f aca="false">DCF_Bear!$B$38</f>
        <v>74.8329573309428</v>
      </c>
      <c r="C4" s="0" t="n">
        <f aca="false">B4/Assumptions!$B$2-1</f>
        <v>-0.406229014274833</v>
      </c>
      <c r="D4" s="4" t="n">
        <f aca="false">Assumptions!$B$24</f>
        <v>0.25</v>
      </c>
      <c r="E4" s="4" t="n">
        <f aca="false">DCF_Bear!$B$43</f>
        <v>74.9980822638394</v>
      </c>
      <c r="F4" s="4" t="n">
        <f aca="false">DCF_Bear!$B$47</f>
        <v>53.1658031934498</v>
      </c>
    </row>
    <row r="5" customFormat="false" ht="15" hidden="false" customHeight="false" outlineLevel="0" collapsed="false">
      <c r="A5" s="0" t="s">
        <v>167</v>
      </c>
      <c r="B5" s="4" t="n">
        <f aca="false">DCF_Base!$B$38</f>
        <v>105.338521234479</v>
      </c>
      <c r="C5" s="0" t="n">
        <f aca="false">B5/Assumptions!$B$2-1</f>
        <v>-0.164178995203687</v>
      </c>
      <c r="D5" s="4" t="n">
        <f aca="false">Assumptions!$B$38</f>
        <v>0.5</v>
      </c>
      <c r="E5" s="4" t="n">
        <f aca="false">DCF_Base!$B$43</f>
        <v>105.54722265373</v>
      </c>
      <c r="F5" s="4" t="n">
        <f aca="false">DCF_Base!$B$47</f>
        <v>63.6640787304824</v>
      </c>
    </row>
    <row r="6" customFormat="false" ht="15" hidden="false" customHeight="false" outlineLevel="0" collapsed="false">
      <c r="A6" s="0" t="s">
        <v>168</v>
      </c>
      <c r="B6" s="4" t="n">
        <f aca="false">DCF_Bull!$B$38</f>
        <v>122.259486861971</v>
      </c>
      <c r="C6" s="0" t="n">
        <f aca="false">B6/Assumptions!$B$2-1</f>
        <v>-0.0299175842103384</v>
      </c>
      <c r="D6" s="4" t="n">
        <f aca="false">Assumptions!$B$52</f>
        <v>0.25</v>
      </c>
      <c r="E6" s="4" t="n">
        <f aca="false">DCF_Bull!$B$43</f>
        <v>122.504454608703</v>
      </c>
      <c r="F6" s="4" t="n">
        <f aca="false">DCF_Bull!$B$47</f>
        <v>69.7586407047399</v>
      </c>
    </row>
    <row r="8" customFormat="false" ht="15" hidden="false" customHeight="false" outlineLevel="0" collapsed="false">
      <c r="A8" s="0" t="s">
        <v>169</v>
      </c>
      <c r="B8" s="0" t="n">
        <f aca="false">SUMPRODUCT(B4:B6,D4:D6)</f>
        <v>101.942371665468</v>
      </c>
    </row>
    <row r="9" customFormat="false" ht="15" hidden="false" customHeight="false" outlineLevel="0" collapsed="false">
      <c r="A9" s="0" t="s">
        <v>170</v>
      </c>
      <c r="B9" s="0" t="n">
        <f aca="false">SUMPRODUCT(E4:E6,D4:D6)</f>
        <v>102.149245545001</v>
      </c>
    </row>
    <row r="10" customFormat="false" ht="15" hidden="false" customHeight="false" outlineLevel="0" collapsed="false">
      <c r="A10" s="0" t="s">
        <v>171</v>
      </c>
      <c r="B10" s="0" t="n">
        <f aca="false">1-Assumptions!$B$2/B8</f>
        <v>-0.236286717103044</v>
      </c>
    </row>
    <row r="11" customFormat="false" ht="15" hidden="false" customHeight="false" outlineLevel="0" collapsed="false">
      <c r="A11" s="0" t="s">
        <v>172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173</v>
      </c>
      <c r="B12" s="0" t="n">
        <f aca="false">SUMPRODUCT(F4:F6,D4:D6)</f>
        <v>62.5631503397886</v>
      </c>
    </row>
    <row r="14" customFormat="false" ht="15" hidden="false" customHeight="false" outlineLevel="0" collapsed="false">
      <c r="A14" s="2" t="s">
        <v>174</v>
      </c>
      <c r="C14" s="0" t="s">
        <v>175</v>
      </c>
    </row>
    <row r="15" customFormat="false" ht="15" hidden="false" customHeight="false" outlineLevel="0" collapsed="false">
      <c r="A15" s="0" t="s">
        <v>176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113.058489249813</v>
      </c>
      <c r="C15" s="3" t="n">
        <v>9</v>
      </c>
    </row>
    <row r="16" customFormat="false" ht="15" hidden="false" customHeight="false" outlineLevel="0" collapsed="false">
      <c r="A16" s="0" t="s">
        <v>177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105.338521234479</v>
      </c>
      <c r="C16" s="3" t="n">
        <v>10</v>
      </c>
    </row>
    <row r="17" customFormat="false" ht="15" hidden="false" customHeight="false" outlineLevel="0" collapsed="false">
      <c r="A17" s="0" t="s">
        <v>178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97.8066836320703</v>
      </c>
      <c r="C17" s="3" t="n">
        <v>11</v>
      </c>
    </row>
    <row r="18" customFormat="false" ht="15" hidden="false" customHeight="false" outlineLevel="0" collapsed="false">
      <c r="A18" s="0" t="s">
        <v>179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86.3862993819733</v>
      </c>
      <c r="C18" s="3" t="n">
        <v>12</v>
      </c>
    </row>
    <row r="19" customFormat="false" ht="15" hidden="false" customHeight="false" outlineLevel="0" collapsed="false">
      <c r="A19" s="0" t="s">
        <v>180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63.6640787304824</v>
      </c>
      <c r="C19" s="3" t="n">
        <v>15</v>
      </c>
    </row>
    <row r="21" customFormat="false" ht="15" hidden="false" customHeight="false" outlineLevel="0" collapsed="false">
      <c r="A21" s="2" t="s">
        <v>181</v>
      </c>
    </row>
    <row r="22" customFormat="false" ht="15" hidden="false" customHeight="false" outlineLevel="0" collapsed="false">
      <c r="B22" s="3" t="n">
        <v>2</v>
      </c>
      <c r="C22" s="3" t="n">
        <v>2.5</v>
      </c>
      <c r="D22" s="3" t="n">
        <v>3</v>
      </c>
      <c r="E22" s="3" t="n">
        <v>3.5</v>
      </c>
      <c r="F22" s="3" t="n">
        <v>4</v>
      </c>
    </row>
    <row r="23" customFormat="false" ht="15" hidden="false" customHeight="false" outlineLevel="0" collapsed="false">
      <c r="A23" s="3" t="n">
        <v>8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121.518562569316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121.518562569316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121.518562569316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121.518562569316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121.518562569316</v>
      </c>
    </row>
    <row r="24" customFormat="false" ht="15" hidden="false" customHeight="false" outlineLevel="0" collapsed="false">
      <c r="A24" s="3" t="n">
        <v>9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113.058489249813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113.058489249813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113.058489249813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113.058489249813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113.058489249813</v>
      </c>
    </row>
    <row r="25" customFormat="false" ht="15" hidden="false" customHeight="false" outlineLevel="0" collapsed="false">
      <c r="A25" s="3" t="n">
        <v>10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104.29006026415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105.338521234479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105.338521234479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105.338521234479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105.338521234479</v>
      </c>
    </row>
    <row r="26" customFormat="false" ht="15" hidden="false" customHeight="false" outlineLevel="0" collapsed="false">
      <c r="A26" s="3" t="n">
        <v>11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91.9005971010386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94.6799319391712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97.8066836320703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98.2855555129648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98.2855555129648</v>
      </c>
    </row>
    <row r="27" customFormat="false" ht="15" hidden="false" customHeight="false" outlineLevel="0" collapsed="false">
      <c r="A27" s="3" t="n">
        <v>12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82.0278260037726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84.0923660250255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86.3862993819733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88.9501072515032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91.8343911047243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2026-10-10T07:39:45Z</dcterms:created>
  <dc:creator>openpyxl</dc:creator>
  <dc:description/>
  <dc:language>en-NZ</dc:language>
  <cp:lastModifiedBy/>
  <dcterms:modified xsi:type="dcterms:W3CDTF">2026-10-10T07:39:45Z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