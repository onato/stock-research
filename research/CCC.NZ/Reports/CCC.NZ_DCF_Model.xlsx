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FCF Quality" sheetId="3" r:id="rId3"/>
    <sheet name="Historical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<sst xmlns="http://schemas.openxmlformats.org/spreadsheetml/2006/main" count="167" uniqueCount="148">
  <si>
    <t>CCC.NZ Cooks Coffee Company - DCF Valuation Model</t>
  </si>
  <si>
    <t>Gray cells are INPUTS. NANO-CAP, NEGATIVE EQUITY, component-built 10yr EBITDA-to-FCF bridge - see Model_Info tab.</t>
  </si>
  <si>
    <t>Base case IV is BELOW current market price - this is a legitimate result, not an error. See Sanity_Check tab.</t>
  </si>
  <si>
    <t>KEY INPUTS</t>
  </si>
  <si>
    <t>Current Stock Price (NZD)</t>
  </si>
  <si>
    <t>Shares Outstanding (M)</t>
  </si>
  <si>
    <t>Cash &amp; Equivalents (M)</t>
  </si>
  <si>
    <t>Total Debt - bank only (M)</t>
  </si>
  <si>
    <t>Net Debt (M)</t>
  </si>
  <si>
    <t>WACC (base)</t>
  </si>
  <si>
    <t>Terminal Growth Rate</t>
  </si>
  <si>
    <t>Terminal Cap Multiple (x FCF)</t>
  </si>
  <si>
    <t>Annual Share Dilution %</t>
  </si>
  <si>
    <t>FY2026 Revenue (M, actual)</t>
  </si>
  <si>
    <t xml:space="preserve">  (= Year-1 revenue / (1+Y1 growth))</t>
  </si>
  <si>
    <t>GROWTH &amp; MARGIN ASSUMPTIONS (Base Case)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</si>
  <si>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</si>
  <si>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</si>
  <si>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</si>
  <si>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</si>
  <si>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</si>
  <si>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</si>
  <si>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</si>
  <si>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</si>
  <si>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</si>
  <si>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</si>
  <si>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Revenue Growth %</t>
  </si>
  <si>
    <t>EBITDA Margin %</t>
  </si>
  <si>
    <t>D&amp;A % of Revenue</t>
  </si>
  <si>
    <t>CapEx % of Revenue</t>
  </si>
  <si>
    <t>Net Lease Cash Cost % of Rev</t>
  </si>
  <si>
    <t>Cash Tax Rate %</t>
  </si>
  <si>
    <t>Debt Balance (M)</t>
  </si>
  <si>
    <t>WC Capture % (of rev change)</t>
  </si>
  <si>
    <t>PROJECTIONS (component build)</t>
  </si>
  <si>
    <t>Revenue</t>
  </si>
  <si>
    <t>EBITDA</t>
  </si>
  <si>
    <t>D&amp;A</t>
  </si>
  <si>
    <t>EBIT</t>
  </si>
  <si>
    <t>Interest Expense (debt x 9%)</t>
  </si>
  <si>
    <t>Pre-tax Income</t>
  </si>
  <si>
    <t>Cash Tax</t>
  </si>
  <si>
    <t>NOPAT-equivalent</t>
  </si>
  <si>
    <t>+ D&amp;A (addback)</t>
  </si>
  <si>
    <t>- CapEx</t>
  </si>
  <si>
    <t>- Net Lease Cash Cost</t>
  </si>
  <si>
    <t>+/- Working Capital</t>
  </si>
  <si>
    <t>OWNER FCF</t>
  </si>
  <si>
    <t>Owner FCF Margin %</t>
  </si>
  <si>
    <t>Discount Factor</t>
  </si>
  <si>
    <t>PV of Owner FCF</t>
  </si>
  <si>
    <t>VALUATION</t>
  </si>
  <si>
    <t>Sum of PV of FCF (Yr 1-10)</t>
  </si>
  <si>
    <t>Terminal FCF (Year 10 x (1+g))</t>
  </si>
  <si>
    <t>Gordon Terminal Value</t>
  </si>
  <si>
    <t>Cap Terminal Value (12x FCF10)</t>
  </si>
  <si>
    <t>Terminal Value (lower of the two)</t>
  </si>
  <si>
    <t>PV of Terminal Value</t>
  </si>
  <si>
    <t>Enterprise Value</t>
  </si>
  <si>
    <t>Less: Net Debt</t>
  </si>
  <si>
    <t>Equity Value</t>
  </si>
  <si>
    <t>Terminal-Year Shares (M)</t>
  </si>
  <si>
    <t>INTRINSIC VALUE/SHARE</t>
  </si>
  <si>
    <t>Upside/(Downside) vs Current Price</t>
  </si>
  <si>
    <t>ENTRY PRICE (15% IRR Target)</t>
  </si>
  <si>
    <t>PV of Yrs 1-10 FCF @15%</t>
  </si>
  <si>
    <t>PV of Terminal Value @15%</t>
  </si>
  <si>
    <t>Entry Price (15% IRR)</t>
  </si>
  <si>
    <t>Discount of Entry Price to Current</t>
  </si>
  <si>
    <t>Sensitivity Analysis (Base Case)</t>
  </si>
  <si>
    <t>Intrinsic Value by WACC &amp; Terminal Growth</t>
  </si>
  <si>
    <t>WACC \ Term G</t>
  </si>
  <si>
    <t>Note: matrix values are precomputed (hardcoded) from the Python DCF build, not live formulas,</t>
  </si>
  <si>
    <t>because the 10-year component build (margin/capex/tax paths per year) is too complex for a compact</t>
  </si>
  <si>
    <t>single-formula sensitivity table. Adjust B11/B12 on the DCF Model tab to test other combinations directly.</t>
  </si>
  <si>
    <t>FCF Quality Reconciliation</t>
  </si>
  <si>
    <t>Reported (as-filed) figures reconciled to a comparable, lease-pass-through-adjusted basis, FY2022-FY2026</t>
  </si>
  <si>
    <t>FY2022</t>
  </si>
  <si>
    <t>FY2023</t>
  </si>
  <si>
    <t>FY2024</t>
  </si>
  <si>
    <t>FY2025</t>
  </si>
  <si>
    <t>FY2026</t>
  </si>
  <si>
    <t>EBITDA (reported)</t>
  </si>
  <si>
    <t>Net Income</t>
  </si>
  <si>
    <t>OCF as filed (primary CF stmt)</t>
  </si>
  <si>
    <t xml:space="preserve">  less: FY26-only lease-receipt reclass.</t>
  </si>
  <si>
    <t xml:space="preserve">  less: CapEx</t>
  </si>
  <si>
    <t>Reported FCF margin %</t>
  </si>
  <si>
    <t>Underlying FCF margin % (ex lease reclass.)</t>
  </si>
  <si>
    <t>Memo: cash tax paid</t>
  </si>
  <si>
    <t>Memo: cash tax rate is ABNORMAL (0% every year)</t>
  </si>
  <si>
    <t>Memo: FY2026 lease-receipt reclass as % of as-filed OCF</t>
  </si>
  <si>
    <t>KEY FINDING:</t>
  </si>
  <si>
    <t>FY2026's as-filed OCF of $5.122m is not comparable to FY2022-2025 because the FY2026 annual report reclassified 'principal elements of lease receipts' ($4.147m) from investing activities (where it sat in every prior year, including the FY2026 H1 interim) into operating activities. Stripping this reclassification gives an underlying FY2026 OCF of only $0.975m and underlying FCF of $0.232m -- consistent with, not dramatically better than, the FY2024 underlying FCF of $1.068m. The DCF is built from this underlying/comparable basis, not the as-filed FY2026 OCF.</t>
  </si>
  <si>
    <t>Historical Growth Rates</t>
  </si>
  <si>
    <t>Metric</t>
  </si>
  <si>
    <t>3yr CAGR/value</t>
  </si>
  <si>
    <t>4-5yr CAGR/value</t>
  </si>
  <si>
    <t>Used as driver?</t>
  </si>
  <si>
    <t>Revenue (reported) - CONTAMINATED</t>
  </si>
  <si>
    <t>NO - see warning</t>
  </si>
  <si>
    <t>Store sales (system-wide UK+Ireland)</t>
  </si>
  <si>
    <t>YES - primary driver</t>
  </si>
  <si>
    <t>Franchise ex-Dairygold (FY26 only)</t>
  </si>
  <si>
    <t>n/a</t>
  </si>
  <si>
    <t>YES - Year-1 anchor</t>
  </si>
  <si>
    <t>Shareholders Equity</t>
  </si>
  <si>
    <t>NO - negative equity, undefined</t>
  </si>
  <si>
    <t>EPS</t>
  </si>
  <si>
    <t>NO - loss-to-thin-profit transition</t>
  </si>
  <si>
    <t>FCF (underlying)</t>
  </si>
  <si>
    <t>NO - crosses zero repeatedly</t>
  </si>
  <si>
    <t>Selected Growth Rate (Year-1 anchor):</t>
  </si>
  <si>
    <t>Source:</t>
  </si>
  <si>
    <t>franchise_ex_dairygold_growth_fy26 (system-wide store sales / core-franchise growth), decelerating over the 10-year explicit forecast -- see assumptions.base.growth_rates. Equity, EPS and reported-revenue CAGRs are all disclaimed above as unusable for this company.</t>
  </si>
  <si>
    <t>Model Provenance &amp; Notes</t>
  </si>
  <si>
    <t>Built by</t>
  </si>
  <si>
    <t>Claude (dcf-analyst workflow), via an interactive agent session</t>
  </si>
  <si>
    <t>Build date</t>
  </si>
  <si>
    <t>2026-08-10</t>
  </si>
  <si>
    <t>Ticker</t>
  </si>
  <si>
    <t>CCC.NZ - Cooks Coffee Company Limited</t>
  </si>
  <si>
    <t>Share price date/source</t>
  </si>
  <si>
    <t>NZ$0.172, Yahoo Finance regularMarketPrice, quote timestamp corresponds to close of 2026-08-07 (per verified task input); fetched live at build time and reconfirmed.</t>
  </si>
  <si>
    <t>Primary filing used</t>
  </si>
  <si>
    <t>CCC.NZ_AnnualReport_FY2026.txt (year ended 31 March 2026), cross-checked against FY2022-2025 annual reports and the H1 FY2026 interim report, all in research/CCC.NZ/Extracted/.</t>
  </si>
  <si>
    <t>Fiscal year</t>
  </si>
  <si>
    <t>Year end 31 March. FY2026 = year to 31 March 2026.</t>
  </si>
  <si>
    <t>Share count basis</t>
  </si>
  <si>
    <t>66,377,342 quoted ordinary shares at FY2026 year end. A 1-for-15 share consolidation on 30 March 2022 means NO per-share metric is compared across that date.</t>
  </si>
  <si>
    <t>Methodology - growth driver</t>
  </si>
  <si>
    <t>System-wide UK &amp; Ireland store sales / franchise-ex-Dairygold revenue growth (~22-23% FY26, decelerating over 10yrs), NOT reported revenue growth, because FY2026 reported revenue growth (+84-87%) is a consolidation/mix effect from company-managed Dairygold/Tesco Ireland stores booking full store sales rather than royalty-only.</t>
  </si>
  <si>
    <t>Methodology - FCF build</t>
  </si>
  <si>
    <t>10-year component build: EBITDA margin path (compresses then partially recovers) x revenue, less D&amp;A, net IFRS16 lease cash cost, bank debt interest, cash tax (ramping from 0% - large unrecognised NZ/UK tax-loss shield - toward 28% statutory), CapEx, plus working capital capture on revenue growth. See DCF Model tab rows 18-47.</t>
  </si>
  <si>
    <t>Methodology - WACC</t>
  </si>
  <si>
    <t>Stacked CAPM: risk-free 4.5% + beta 1.1 x ERP 5.5% = 10.55% base CoE, plus nano-cap illiquidity +3.0pp, single-brand/two-market concentration +1.5pp, negative-equity/going-concern +2.0pp, franchisee-credit/cyclicality +1.0pp = 18.05% base WACC (16.05% bull, 20.05% bear). See wacc_rationale in the JSON.</t>
  </si>
  <si>
    <t>Methodology - terminal value</t>
  </si>
  <si>
    <t>Lower of Gordon growth (2.5% base terminal growth) and a 12x FCF cap (lower than the standard 20x given the cyclical, capital-intensive-when-managed, nano-cap nature of the business). Gordon binds in every scenario tested (does not hit the cap).</t>
  </si>
  <si>
    <t>Data quality issue found &amp; handled</t>
  </si>
  <si>
    <t>CCC.NZ_Metrics.csv OperatingCashFlow/FreeCashFlow for FY2025 and FY2026 do not match the primary Consolidated Statement of Cash Flows in the filings. This model was built directly from the primary financial statements (Extracted/*.txt), NOT from the CSV OCF/FCF columns. The FY2026 annual report also reclassified 'principal elements of lease receipts' ($4.147m) from investing into operating activities versus every prior year's presentation (including the FY2026 H1 interim) - see FCF Quality tab. RECOMMENDATION: correct core_metrics/CCC.NZ_Metrics.csv OperatingCashFlow for FY2025 (-0.274, not 0.422) and FY2026 (5.122 as-filed, or 0.975 on an underlying/comparable basis, not 0.496) in a future data-pipeline pass.</t>
  </si>
  <si>
    <t>Sanity check result</t>
  </si>
  <si>
    <t>TRIPPED on first pass (implied EV/EBITDA of 3.3x vs 9.4x current). Diagnosed and partially corrected by fading CapEx/lease-cost assumptions to reflect that the 300-store target is overwhelmingly franchised/capital-light (raised implied EV/EBITDA to 4.6x). Remaining gap to the 9.4x current multiple was NOT force-closed - each WACC component is independently justified by disclosed facts, and the task explicitly permits a legitimate negative-upside conclusion for a nano-cap trading on growth-story optionality. See sanity_check block in the JSON.</t>
  </si>
  <si>
    <t>What to refresh after next earnings</t>
  </si>
  <si>
    <t>FY2027 half-year (H1 FY2027, expected ~November 2026): re-check whether the OCF presentation reverts to excluding lease receipts from operating activities (if so, this confirms FY2026 annual was an aberration, not a new normal); re-check normalised EBITDA guidance; re-check Dairygold/Tesco/UAE/India store counts and system-wide store sales growth (the primary driver); re-check cash tax paid (still 0%?); re-check share count for further dilution; re-fetch live price.</t>
  </si>
  <si>
    <t>Cell colour conventions</t>
  </si>
  <si>
    <t>Gray background = input cell (edit these). Green background = key output (Intrinsic Value/share, Entry Price). Red background = warning banner. All other cells are formulas - do not hardcode over them.</t>
  </si>
  <si>
    <t>Staleness warning</t>
  </si>
  <si>
    <t>All figures in this model are current as of the build date above and WILL go stale. Re-verify the share price, the latest filing, and management guidance before relying on this model for a live investment decision, especially given the nano-cap/negative-equity/thin-trading nature of this name.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</si>
</sst>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0.00%"/>
    <numFmt numFmtId="166" formatCode="&quot;$&quot;#,##0.00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3031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2" xfId="0" applyFont="1" applyBorder="1"/>
    <xf numFmtId="164" fontId="0" fillId="3" borderId="1" xfId="0" applyNumberFormat="1" applyFill="1" applyBorder="1"/>
    <xf numFmtId="164" fontId="0" fillId="0" borderId="1" xfId="0" applyNumberFormat="1" applyBorder="1"/>
    <xf numFmtId="165" fontId="0" fillId="3" borderId="1" xfId="0" applyNumberFormat="1" applyFill="1" applyBorder="1"/>
    <xf numFmtId="0" fontId="3" fillId="4" borderId="1" xfId="0" applyFont="1" applyFill="1" applyBorder="1"/>
    <xf numFmtId="0" fontId="5" fillId="0" borderId="0" xfId="0" applyFont="1"/>
    <xf numFmtId="165" fontId="0" fillId="0" borderId="1" xfId="0" applyNumberFormat="1" applyBorder="1"/>
    <xf numFmtId="166" fontId="3" fillId="5" borderId="1" xfId="0" applyNumberFormat="1" applyFont="1" applyFill="1" applyBorder="1"/>
    <xf numFmtId="165" fontId="3" fillId="4" borderId="0" xfId="0" applyNumberFormat="1" applyFont="1" applyFill="1"/>
    <xf numFmtId="166" fontId="0" fillId="0" borderId="1" xfId="0" applyNumberForma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/>
  </sheetViews>
  <sheetFormatPr defaultRowHeight="15"/>
  <cols>
    <col min="1" max="1" width="32.7109375" customWidth="1"/>
    <col min="2" max="12" width="12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</row>
    <row r="6" spans="1:2">
      <c r="A6" t="s">
        <v>4</v>
      </c>
      <c r="B6" s="5">
        <v>0.172</v>
      </c>
    </row>
    <row r="7" spans="1:2">
      <c r="A7" t="s">
        <v>5</v>
      </c>
      <c r="B7" s="5">
        <v>66.377342</v>
      </c>
    </row>
    <row r="8" spans="1:2">
      <c r="A8" t="s">
        <v>6</v>
      </c>
      <c r="B8" s="5">
        <v>1.123</v>
      </c>
    </row>
    <row r="9" spans="1:2">
      <c r="A9" t="s">
        <v>7</v>
      </c>
      <c r="B9" s="5">
        <v>2.86</v>
      </c>
    </row>
    <row r="10" spans="1:2">
      <c r="A10" t="s">
        <v>8</v>
      </c>
      <c r="B10" s="6">
        <f>B9-B8</f>
        <v>0</v>
      </c>
    </row>
    <row r="11" spans="1:2">
      <c r="A11" t="s">
        <v>9</v>
      </c>
      <c r="B11" s="7">
        <v>0.1805</v>
      </c>
    </row>
    <row r="12" spans="1:2">
      <c r="A12" t="s">
        <v>10</v>
      </c>
      <c r="B12" s="7">
        <v>0.025</v>
      </c>
    </row>
    <row r="13" spans="1:2">
      <c r="A13" t="s">
        <v>11</v>
      </c>
      <c r="B13" s="5">
        <v>12</v>
      </c>
    </row>
    <row r="14" spans="1:2">
      <c r="A14" t="s">
        <v>12</v>
      </c>
      <c r="B14" s="7">
        <v>0.035</v>
      </c>
    </row>
    <row r="15" spans="1:2">
      <c r="A15" t="s">
        <v>13</v>
      </c>
      <c r="B15" s="5">
        <v>12.78461538461539</v>
      </c>
    </row>
    <row r="16" spans="1:2">
      <c r="A16" s="2" t="s">
        <v>14</v>
      </c>
    </row>
    <row r="18" spans="1:11">
      <c r="A18" s="4" t="s">
        <v>15</v>
      </c>
    </row>
    <row r="19" spans="1:11">
      <c r="A19" s="8"/>
      <c r="B19" s="8" t="s">
        <v>16</v>
      </c>
      <c r="C19" s="8" t="s">
        <v>17</v>
      </c>
      <c r="D19" s="8" t="s">
        <v>18</v>
      </c>
      <c r="E19" s="8" t="s">
        <v>19</v>
      </c>
      <c r="F19" s="8" t="s">
        <v>20</v>
      </c>
      <c r="G19" s="8" t="s">
        <v>21</v>
      </c>
      <c r="H19" s="8" t="s">
        <v>22</v>
      </c>
      <c r="I19" s="8" t="s">
        <v>23</v>
      </c>
      <c r="J19" s="8" t="s">
        <v>24</v>
      </c>
      <c r="K19" s="8" t="s">
        <v>25</v>
      </c>
    </row>
    <row r="20" spans="1:11">
      <c r="A20" t="s">
        <v>26</v>
      </c>
      <c r="B20" s="7">
        <v>0.17</v>
      </c>
      <c r="C20" s="7">
        <v>0.14</v>
      </c>
      <c r="D20" s="7">
        <v>0.12</v>
      </c>
      <c r="E20" s="7">
        <v>0.1</v>
      </c>
      <c r="F20" s="7">
        <v>0.08</v>
      </c>
      <c r="G20" s="7">
        <v>0.07000000000000001</v>
      </c>
      <c r="H20" s="7">
        <v>0.06</v>
      </c>
      <c r="I20" s="7">
        <v>0.05</v>
      </c>
      <c r="J20" s="7">
        <v>0.05</v>
      </c>
      <c r="K20" s="7">
        <v>0.045</v>
      </c>
    </row>
    <row r="21" spans="1:11">
      <c r="A21" t="s">
        <v>27</v>
      </c>
      <c r="B21" s="7">
        <v>0.115</v>
      </c>
      <c r="C21" s="7">
        <v>0.112</v>
      </c>
      <c r="D21" s="7">
        <v>0.112</v>
      </c>
      <c r="E21" s="7">
        <v>0.114</v>
      </c>
      <c r="F21" s="7">
        <v>0.117</v>
      </c>
      <c r="G21" s="7">
        <v>0.12</v>
      </c>
      <c r="H21" s="7">
        <v>0.123</v>
      </c>
      <c r="I21" s="7">
        <v>0.125</v>
      </c>
      <c r="J21" s="7">
        <v>0.126</v>
      </c>
      <c r="K21" s="7">
        <v>0.127</v>
      </c>
    </row>
    <row r="22" spans="1:11">
      <c r="A22" t="s">
        <v>28</v>
      </c>
      <c r="B22" s="7">
        <v>0.034</v>
      </c>
      <c r="C22" s="7">
        <v>0.031</v>
      </c>
      <c r="D22" s="7">
        <v>0.028</v>
      </c>
      <c r="E22" s="7">
        <v>0.025</v>
      </c>
      <c r="F22" s="7">
        <v>0.023</v>
      </c>
      <c r="G22" s="7">
        <v>0.021</v>
      </c>
      <c r="H22" s="7">
        <v>0.02</v>
      </c>
      <c r="I22" s="7">
        <v>0.019</v>
      </c>
      <c r="J22" s="7">
        <v>0.018</v>
      </c>
      <c r="K22" s="7">
        <v>0.018</v>
      </c>
    </row>
    <row r="23" spans="1:11">
      <c r="A23" t="s">
        <v>29</v>
      </c>
      <c r="B23" s="7">
        <v>0.045</v>
      </c>
      <c r="C23" s="7">
        <v>0.036</v>
      </c>
      <c r="D23" s="7">
        <v>0.03</v>
      </c>
      <c r="E23" s="7">
        <v>0.025</v>
      </c>
      <c r="F23" s="7">
        <v>0.022</v>
      </c>
      <c r="G23" s="7">
        <v>0.02</v>
      </c>
      <c r="H23" s="7">
        <v>0.018</v>
      </c>
      <c r="I23" s="7">
        <v>0.017</v>
      </c>
      <c r="J23" s="7">
        <v>0.016</v>
      </c>
      <c r="K23" s="7">
        <v>0.016</v>
      </c>
    </row>
    <row r="24" spans="1:11">
      <c r="A24" t="s">
        <v>30</v>
      </c>
      <c r="B24" s="7">
        <v>0.03</v>
      </c>
      <c r="C24" s="7">
        <v>0.026</v>
      </c>
      <c r="D24" s="7">
        <v>0.022</v>
      </c>
      <c r="E24" s="7">
        <v>0.02</v>
      </c>
      <c r="F24" s="7">
        <v>0.018</v>
      </c>
      <c r="G24" s="7">
        <v>0.017</v>
      </c>
      <c r="H24" s="7">
        <v>0.016</v>
      </c>
      <c r="I24" s="7">
        <v>0.015</v>
      </c>
      <c r="J24" s="7">
        <v>0.015</v>
      </c>
      <c r="K24" s="7">
        <v>0.014</v>
      </c>
    </row>
    <row r="25" spans="1:11">
      <c r="A25" t="s">
        <v>31</v>
      </c>
      <c r="B25" s="7">
        <v>0</v>
      </c>
      <c r="C25" s="7">
        <v>0</v>
      </c>
      <c r="D25" s="7">
        <v>0</v>
      </c>
      <c r="E25" s="7">
        <v>0.03</v>
      </c>
      <c r="F25" s="7">
        <v>0.08</v>
      </c>
      <c r="G25" s="7">
        <v>0.12</v>
      </c>
      <c r="H25" s="7">
        <v>0.16</v>
      </c>
      <c r="I25" s="7">
        <v>0.2</v>
      </c>
      <c r="J25" s="7">
        <v>0.24</v>
      </c>
      <c r="K25" s="7">
        <v>0.27</v>
      </c>
    </row>
    <row r="26" spans="1:11">
      <c r="A26" t="s">
        <v>32</v>
      </c>
      <c r="B26" s="5">
        <v>2.6</v>
      </c>
      <c r="C26" s="5">
        <v>2.3</v>
      </c>
      <c r="D26" s="5">
        <v>2</v>
      </c>
      <c r="E26" s="5">
        <v>1.8</v>
      </c>
      <c r="F26" s="5">
        <v>1.6</v>
      </c>
      <c r="G26" s="5">
        <v>1.5</v>
      </c>
      <c r="H26" s="5">
        <v>1.4</v>
      </c>
      <c r="I26" s="5">
        <v>1.3</v>
      </c>
      <c r="J26" s="5">
        <v>1.2</v>
      </c>
      <c r="K26" s="5">
        <v>1.2</v>
      </c>
    </row>
    <row r="27" spans="1:11">
      <c r="A27" t="s">
        <v>33</v>
      </c>
      <c r="B27" s="7">
        <v>0.08</v>
      </c>
    </row>
    <row r="29" spans="1:11">
      <c r="A29" s="4" t="s">
        <v>34</v>
      </c>
    </row>
    <row r="30" spans="1:11">
      <c r="A30" s="8"/>
      <c r="B30" s="8" t="s">
        <v>16</v>
      </c>
      <c r="C30" s="8" t="s">
        <v>17</v>
      </c>
      <c r="D30" s="8" t="s">
        <v>18</v>
      </c>
      <c r="E30" s="8" t="s">
        <v>19</v>
      </c>
      <c r="F30" s="8" t="s">
        <v>20</v>
      </c>
      <c r="G30" s="8" t="s">
        <v>21</v>
      </c>
      <c r="H30" s="8" t="s">
        <v>22</v>
      </c>
      <c r="I30" s="8" t="s">
        <v>23</v>
      </c>
      <c r="J30" s="8" t="s">
        <v>24</v>
      </c>
      <c r="K30" s="8" t="s">
        <v>25</v>
      </c>
    </row>
    <row r="31" spans="1:11">
      <c r="A31" t="s">
        <v>35</v>
      </c>
      <c r="B31" s="6">
        <f>$B$15*(1+B20)</f>
        <v>0</v>
      </c>
      <c r="C31" s="6">
        <f>B31*(1+C20)</f>
        <v>0</v>
      </c>
      <c r="D31" s="6">
        <f>C31*(1+D20)</f>
        <v>0</v>
      </c>
      <c r="E31" s="6">
        <f>D31*(1+E20)</f>
        <v>0</v>
      </c>
      <c r="F31" s="6">
        <f>E31*(1+F20)</f>
        <v>0</v>
      </c>
      <c r="G31" s="6">
        <f>F31*(1+G20)</f>
        <v>0</v>
      </c>
      <c r="H31" s="6">
        <f>G31*(1+H20)</f>
        <v>0</v>
      </c>
      <c r="I31" s="6">
        <f>H31*(1+I20)</f>
        <v>0</v>
      </c>
      <c r="J31" s="6">
        <f>I31*(1+J20)</f>
        <v>0</v>
      </c>
      <c r="K31" s="6">
        <f>J31*(1+K20)</f>
        <v>0</v>
      </c>
    </row>
    <row r="32" spans="1:11">
      <c r="A32" t="s">
        <v>36</v>
      </c>
      <c r="B32" s="6">
        <f>B31*B21</f>
        <v>0</v>
      </c>
      <c r="C32" s="6">
        <f>C31*C21</f>
        <v>0</v>
      </c>
      <c r="D32" s="6">
        <f>D31*D21</f>
        <v>0</v>
      </c>
      <c r="E32" s="6">
        <f>E31*E21</f>
        <v>0</v>
      </c>
      <c r="F32" s="6">
        <f>F31*F21</f>
        <v>0</v>
      </c>
      <c r="G32" s="6">
        <f>G31*G21</f>
        <v>0</v>
      </c>
      <c r="H32" s="6">
        <f>H31*H21</f>
        <v>0</v>
      </c>
      <c r="I32" s="6">
        <f>I31*I21</f>
        <v>0</v>
      </c>
      <c r="J32" s="6">
        <f>J31*J21</f>
        <v>0</v>
      </c>
      <c r="K32" s="6">
        <f>K31*K21</f>
        <v>0</v>
      </c>
    </row>
    <row r="33" spans="1:11">
      <c r="A33" t="s">
        <v>37</v>
      </c>
      <c r="B33" s="6">
        <f>B31*B22</f>
        <v>0</v>
      </c>
      <c r="C33" s="6">
        <f>C31*C22</f>
        <v>0</v>
      </c>
      <c r="D33" s="6">
        <f>D31*D22</f>
        <v>0</v>
      </c>
      <c r="E33" s="6">
        <f>E31*E22</f>
        <v>0</v>
      </c>
      <c r="F33" s="6">
        <f>F31*F22</f>
        <v>0</v>
      </c>
      <c r="G33" s="6">
        <f>G31*G22</f>
        <v>0</v>
      </c>
      <c r="H33" s="6">
        <f>H31*H22</f>
        <v>0</v>
      </c>
      <c r="I33" s="6">
        <f>I31*I22</f>
        <v>0</v>
      </c>
      <c r="J33" s="6">
        <f>J31*J22</f>
        <v>0</v>
      </c>
      <c r="K33" s="6">
        <f>K31*K22</f>
        <v>0</v>
      </c>
    </row>
    <row r="34" spans="1:11">
      <c r="A34" t="s">
        <v>38</v>
      </c>
      <c r="B34" s="6">
        <f>B32-B33</f>
        <v>0</v>
      </c>
      <c r="C34" s="6">
        <f>C32-C33</f>
        <v>0</v>
      </c>
      <c r="D34" s="6">
        <f>D32-D33</f>
        <v>0</v>
      </c>
      <c r="E34" s="6">
        <f>E32-E33</f>
        <v>0</v>
      </c>
      <c r="F34" s="6">
        <f>F32-F33</f>
        <v>0</v>
      </c>
      <c r="G34" s="6">
        <f>G32-G33</f>
        <v>0</v>
      </c>
      <c r="H34" s="6">
        <f>H32-H33</f>
        <v>0</v>
      </c>
      <c r="I34" s="6">
        <f>I32-I33</f>
        <v>0</v>
      </c>
      <c r="J34" s="6">
        <f>J32-J33</f>
        <v>0</v>
      </c>
      <c r="K34" s="6">
        <f>K32-K33</f>
        <v>0</v>
      </c>
    </row>
    <row r="35" spans="1:11">
      <c r="A35" t="s">
        <v>39</v>
      </c>
      <c r="B35" s="6">
        <f>B26*0.09</f>
        <v>0</v>
      </c>
      <c r="C35" s="6">
        <f>C26*0.09</f>
        <v>0</v>
      </c>
      <c r="D35" s="6">
        <f>D26*0.09</f>
        <v>0</v>
      </c>
      <c r="E35" s="6">
        <f>E26*0.09</f>
        <v>0</v>
      </c>
      <c r="F35" s="6">
        <f>F26*0.09</f>
        <v>0</v>
      </c>
      <c r="G35" s="6">
        <f>G26*0.09</f>
        <v>0</v>
      </c>
      <c r="H35" s="6">
        <f>H26*0.09</f>
        <v>0</v>
      </c>
      <c r="I35" s="6">
        <f>I26*0.09</f>
        <v>0</v>
      </c>
      <c r="J35" s="6">
        <f>J26*0.09</f>
        <v>0</v>
      </c>
      <c r="K35" s="6">
        <f>K26*0.09</f>
        <v>0</v>
      </c>
    </row>
    <row r="36" spans="1:11">
      <c r="A36" t="s">
        <v>40</v>
      </c>
      <c r="B36" s="6">
        <f>B34-B35</f>
        <v>0</v>
      </c>
      <c r="C36" s="6">
        <f>C34-C35</f>
        <v>0</v>
      </c>
      <c r="D36" s="6">
        <f>D34-D35</f>
        <v>0</v>
      </c>
      <c r="E36" s="6">
        <f>E34-E35</f>
        <v>0</v>
      </c>
      <c r="F36" s="6">
        <f>F34-F35</f>
        <v>0</v>
      </c>
      <c r="G36" s="6">
        <f>G34-G35</f>
        <v>0</v>
      </c>
      <c r="H36" s="6">
        <f>H34-H35</f>
        <v>0</v>
      </c>
      <c r="I36" s="6">
        <f>I34-I35</f>
        <v>0</v>
      </c>
      <c r="J36" s="6">
        <f>J34-J35</f>
        <v>0</v>
      </c>
      <c r="K36" s="6">
        <f>K34-K35</f>
        <v>0</v>
      </c>
    </row>
    <row r="37" spans="1:11">
      <c r="A37" t="s">
        <v>41</v>
      </c>
      <c r="B37" s="6">
        <f>MAX(0,B36)*B25</f>
        <v>0</v>
      </c>
      <c r="C37" s="6">
        <f>MAX(0,C36)*C25</f>
        <v>0</v>
      </c>
      <c r="D37" s="6">
        <f>MAX(0,D36)*D25</f>
        <v>0</v>
      </c>
      <c r="E37" s="6">
        <f>MAX(0,E36)*E25</f>
        <v>0</v>
      </c>
      <c r="F37" s="6">
        <f>MAX(0,F36)*F25</f>
        <v>0</v>
      </c>
      <c r="G37" s="6">
        <f>MAX(0,G36)*G25</f>
        <v>0</v>
      </c>
      <c r="H37" s="6">
        <f>MAX(0,H36)*H25</f>
        <v>0</v>
      </c>
      <c r="I37" s="6">
        <f>MAX(0,I36)*I25</f>
        <v>0</v>
      </c>
      <c r="J37" s="6">
        <f>MAX(0,J36)*J25</f>
        <v>0</v>
      </c>
      <c r="K37" s="6">
        <f>MAX(0,K36)*K25</f>
        <v>0</v>
      </c>
    </row>
    <row r="38" spans="1:11">
      <c r="A38" t="s">
        <v>42</v>
      </c>
      <c r="B38" s="6">
        <f>B36-B37</f>
        <v>0</v>
      </c>
      <c r="C38" s="6">
        <f>C36-C37</f>
        <v>0</v>
      </c>
      <c r="D38" s="6">
        <f>D36-D37</f>
        <v>0</v>
      </c>
      <c r="E38" s="6">
        <f>E36-E37</f>
        <v>0</v>
      </c>
      <c r="F38" s="6">
        <f>F36-F37</f>
        <v>0</v>
      </c>
      <c r="G38" s="6">
        <f>G36-G37</f>
        <v>0</v>
      </c>
      <c r="H38" s="6">
        <f>H36-H37</f>
        <v>0</v>
      </c>
      <c r="I38" s="6">
        <f>I36-I37</f>
        <v>0</v>
      </c>
      <c r="J38" s="6">
        <f>J36-J37</f>
        <v>0</v>
      </c>
      <c r="K38" s="6">
        <f>K36-K37</f>
        <v>0</v>
      </c>
    </row>
    <row r="39" spans="1:11">
      <c r="A39" t="s">
        <v>43</v>
      </c>
      <c r="B39" s="6">
        <f>B33</f>
        <v>0</v>
      </c>
      <c r="C39" s="6">
        <f>C33</f>
        <v>0</v>
      </c>
      <c r="D39" s="6">
        <f>D33</f>
        <v>0</v>
      </c>
      <c r="E39" s="6">
        <f>E33</f>
        <v>0</v>
      </c>
      <c r="F39" s="6">
        <f>F33</f>
        <v>0</v>
      </c>
      <c r="G39" s="6">
        <f>G33</f>
        <v>0</v>
      </c>
      <c r="H39" s="6">
        <f>H33</f>
        <v>0</v>
      </c>
      <c r="I39" s="6">
        <f>I33</f>
        <v>0</v>
      </c>
      <c r="J39" s="6">
        <f>J33</f>
        <v>0</v>
      </c>
      <c r="K39" s="6">
        <f>K33</f>
        <v>0</v>
      </c>
    </row>
    <row r="40" spans="1:11">
      <c r="A40" t="s">
        <v>44</v>
      </c>
      <c r="B40" s="6">
        <f>B31*B23</f>
        <v>0</v>
      </c>
      <c r="C40" s="6">
        <f>C31*C23</f>
        <v>0</v>
      </c>
      <c r="D40" s="6">
        <f>D31*D23</f>
        <v>0</v>
      </c>
      <c r="E40" s="6">
        <f>E31*E23</f>
        <v>0</v>
      </c>
      <c r="F40" s="6">
        <f>F31*F23</f>
        <v>0</v>
      </c>
      <c r="G40" s="6">
        <f>G31*G23</f>
        <v>0</v>
      </c>
      <c r="H40" s="6">
        <f>H31*H23</f>
        <v>0</v>
      </c>
      <c r="I40" s="6">
        <f>I31*I23</f>
        <v>0</v>
      </c>
      <c r="J40" s="6">
        <f>J31*J23</f>
        <v>0</v>
      </c>
      <c r="K40" s="6">
        <f>K31*K23</f>
        <v>0</v>
      </c>
    </row>
    <row r="41" spans="1:11">
      <c r="A41" t="s">
        <v>45</v>
      </c>
      <c r="B41" s="6">
        <f>B31*B24</f>
        <v>0</v>
      </c>
      <c r="C41" s="6">
        <f>C31*C24</f>
        <v>0</v>
      </c>
      <c r="D41" s="6">
        <f>D31*D24</f>
        <v>0</v>
      </c>
      <c r="E41" s="6">
        <f>E31*E24</f>
        <v>0</v>
      </c>
      <c r="F41" s="6">
        <f>F31*F24</f>
        <v>0</v>
      </c>
      <c r="G41" s="6">
        <f>G31*G24</f>
        <v>0</v>
      </c>
      <c r="H41" s="6">
        <f>H31*H24</f>
        <v>0</v>
      </c>
      <c r="I41" s="6">
        <f>I31*I24</f>
        <v>0</v>
      </c>
      <c r="J41" s="6">
        <f>J31*J24</f>
        <v>0</v>
      </c>
      <c r="K41" s="6">
        <f>K31*K24</f>
        <v>0</v>
      </c>
    </row>
    <row r="42" spans="1:11">
      <c r="A42" t="s">
        <v>46</v>
      </c>
      <c r="B42" s="6">
        <f>$B$27*(B31-$B$15)</f>
        <v>0</v>
      </c>
      <c r="C42" s="6">
        <f>$B$27*(C31-B31)</f>
        <v>0</v>
      </c>
      <c r="D42" s="6">
        <f>$B$27*(D31-C31)</f>
        <v>0</v>
      </c>
      <c r="E42" s="6">
        <f>$B$27*(E31-D31)</f>
        <v>0</v>
      </c>
      <c r="F42" s="6">
        <f>$B$27*(F31-E31)</f>
        <v>0</v>
      </c>
      <c r="G42" s="6">
        <f>$B$27*(G31-F31)</f>
        <v>0</v>
      </c>
      <c r="H42" s="6">
        <f>$B$27*(H31-G31)</f>
        <v>0</v>
      </c>
      <c r="I42" s="6">
        <f>$B$27*(I31-H31)</f>
        <v>0</v>
      </c>
      <c r="J42" s="6">
        <f>$B$27*(J31-I31)</f>
        <v>0</v>
      </c>
      <c r="K42" s="6">
        <f>$B$27*(K31-J31)</f>
        <v>0</v>
      </c>
    </row>
    <row r="43" spans="1:11">
      <c r="A43" s="9" t="s">
        <v>47</v>
      </c>
      <c r="B43" s="6">
        <f>B38+B39-B40-B41+B42</f>
        <v>0</v>
      </c>
      <c r="C43" s="6">
        <f>C38+C39-C40-C41+C42</f>
        <v>0</v>
      </c>
      <c r="D43" s="6">
        <f>D38+D39-D40-D41+D42</f>
        <v>0</v>
      </c>
      <c r="E43" s="6">
        <f>E38+E39-E40-E41+E42</f>
        <v>0</v>
      </c>
      <c r="F43" s="6">
        <f>F38+F39-F40-F41+F42</f>
        <v>0</v>
      </c>
      <c r="G43" s="6">
        <f>G38+G39-G40-G41+G42</f>
        <v>0</v>
      </c>
      <c r="H43" s="6">
        <f>H38+H39-H40-H41+H42</f>
        <v>0</v>
      </c>
      <c r="I43" s="6">
        <f>I38+I39-I40-I41+I42</f>
        <v>0</v>
      </c>
      <c r="J43" s="6">
        <f>J38+J39-J40-J41+J42</f>
        <v>0</v>
      </c>
      <c r="K43" s="6">
        <f>K38+K39-K40-K41+K42</f>
        <v>0</v>
      </c>
    </row>
    <row r="44" spans="1:11">
      <c r="A44" t="s">
        <v>48</v>
      </c>
      <c r="B44" s="10">
        <f>B43/B31</f>
        <v>0</v>
      </c>
      <c r="C44" s="10">
        <f>C43/C31</f>
        <v>0</v>
      </c>
      <c r="D44" s="10">
        <f>D43/D31</f>
        <v>0</v>
      </c>
      <c r="E44" s="10">
        <f>E43/E31</f>
        <v>0</v>
      </c>
      <c r="F44" s="10">
        <f>F43/F31</f>
        <v>0</v>
      </c>
      <c r="G44" s="10">
        <f>G43/G31</f>
        <v>0</v>
      </c>
      <c r="H44" s="10">
        <f>H43/H31</f>
        <v>0</v>
      </c>
      <c r="I44" s="10">
        <f>I43/I31</f>
        <v>0</v>
      </c>
      <c r="J44" s="10">
        <f>J43/J31</f>
        <v>0</v>
      </c>
      <c r="K44" s="10">
        <f>K43/K31</f>
        <v>0</v>
      </c>
    </row>
    <row r="45" spans="1:11">
      <c r="A45" t="s">
        <v>5</v>
      </c>
      <c r="B45" s="6">
        <f>$B$7*(1+$B$14)</f>
        <v>0</v>
      </c>
      <c r="C45" s="6">
        <f>B45*(1+$B$14)</f>
        <v>0</v>
      </c>
      <c r="D45" s="6">
        <f>C45*(1+$B$14)</f>
        <v>0</v>
      </c>
      <c r="E45" s="6">
        <f>D45*(1+$B$14)</f>
        <v>0</v>
      </c>
      <c r="F45" s="6">
        <f>E45*(1+$B$14)</f>
        <v>0</v>
      </c>
      <c r="G45" s="6">
        <f>F45*(1+$B$14)</f>
        <v>0</v>
      </c>
      <c r="H45" s="6">
        <f>G45*(1+$B$14)</f>
        <v>0</v>
      </c>
      <c r="I45" s="6">
        <f>H45*(1+$B$14)</f>
        <v>0</v>
      </c>
      <c r="J45" s="6">
        <f>I45*(1+$B$14)</f>
        <v>0</v>
      </c>
      <c r="K45" s="6">
        <f>J45*(1+$B$14)</f>
        <v>0</v>
      </c>
    </row>
    <row r="46" spans="1:11">
      <c r="A46" t="s">
        <v>49</v>
      </c>
      <c r="B46" s="6">
        <f>1/(1+$B$11)^1</f>
        <v>0</v>
      </c>
      <c r="C46" s="6">
        <f>1/(1+$B$11)^2</f>
        <v>0</v>
      </c>
      <c r="D46" s="6">
        <f>1/(1+$B$11)^3</f>
        <v>0</v>
      </c>
      <c r="E46" s="6">
        <f>1/(1+$B$11)^4</f>
        <v>0</v>
      </c>
      <c r="F46" s="6">
        <f>1/(1+$B$11)^5</f>
        <v>0</v>
      </c>
      <c r="G46" s="6">
        <f>1/(1+$B$11)^6</f>
        <v>0</v>
      </c>
      <c r="H46" s="6">
        <f>1/(1+$B$11)^7</f>
        <v>0</v>
      </c>
      <c r="I46" s="6">
        <f>1/(1+$B$11)^8</f>
        <v>0</v>
      </c>
      <c r="J46" s="6">
        <f>1/(1+$B$11)^9</f>
        <v>0</v>
      </c>
      <c r="K46" s="6">
        <f>1/(1+$B$11)^10</f>
        <v>0</v>
      </c>
    </row>
    <row r="47" spans="1:11">
      <c r="A47" t="s">
        <v>50</v>
      </c>
      <c r="B47" s="6">
        <f>B43*B46</f>
        <v>0</v>
      </c>
      <c r="C47" s="6">
        <f>C43*C46</f>
        <v>0</v>
      </c>
      <c r="D47" s="6">
        <f>D43*D46</f>
        <v>0</v>
      </c>
      <c r="E47" s="6">
        <f>E43*E46</f>
        <v>0</v>
      </c>
      <c r="F47" s="6">
        <f>F43*F46</f>
        <v>0</v>
      </c>
      <c r="G47" s="6">
        <f>G43*G46</f>
        <v>0</v>
      </c>
      <c r="H47" s="6">
        <f>H43*H46</f>
        <v>0</v>
      </c>
      <c r="I47" s="6">
        <f>I43*I46</f>
        <v>0</v>
      </c>
      <c r="J47" s="6">
        <f>J43*J46</f>
        <v>0</v>
      </c>
      <c r="K47" s="6">
        <f>K43*K46</f>
        <v>0</v>
      </c>
    </row>
    <row r="49" spans="1:2">
      <c r="A49" s="4" t="s">
        <v>51</v>
      </c>
    </row>
    <row r="50" spans="1:2">
      <c r="A50" t="s">
        <v>52</v>
      </c>
      <c r="B50" s="6">
        <f>SUM(B47:K47)</f>
        <v>0</v>
      </c>
    </row>
    <row r="51" spans="1:2">
      <c r="A51" t="s">
        <v>53</v>
      </c>
      <c r="B51" s="6">
        <f>K43*(1+$B$12)</f>
        <v>0</v>
      </c>
    </row>
    <row r="52" spans="1:2">
      <c r="A52" t="s">
        <v>54</v>
      </c>
      <c r="B52" s="6">
        <f>B51/($B$11-$B$12)</f>
        <v>0</v>
      </c>
    </row>
    <row r="53" spans="1:2">
      <c r="A53" t="s">
        <v>55</v>
      </c>
      <c r="B53" s="6">
        <f>K43*$B$13</f>
        <v>0</v>
      </c>
    </row>
    <row r="54" spans="1:2">
      <c r="A54" t="s">
        <v>56</v>
      </c>
      <c r="B54" s="6">
        <f>MIN(B52,B53)</f>
        <v>0</v>
      </c>
    </row>
    <row r="55" spans="1:2">
      <c r="A55" t="s">
        <v>57</v>
      </c>
      <c r="B55" s="6">
        <f>B54*K46</f>
        <v>0</v>
      </c>
    </row>
    <row r="56" spans="1:2">
      <c r="A56" t="s">
        <v>58</v>
      </c>
      <c r="B56" s="6">
        <f>B50+B55</f>
        <v>0</v>
      </c>
    </row>
    <row r="57" spans="1:2">
      <c r="A57" t="s">
        <v>59</v>
      </c>
      <c r="B57" s="6">
        <f>B10</f>
        <v>0</v>
      </c>
    </row>
    <row r="58" spans="1:2">
      <c r="A58" t="s">
        <v>60</v>
      </c>
      <c r="B58" s="6">
        <f>B56-B57</f>
        <v>0</v>
      </c>
    </row>
    <row r="59" spans="1:2">
      <c r="A59" t="s">
        <v>61</v>
      </c>
      <c r="B59" s="6">
        <f>K45</f>
        <v>0</v>
      </c>
    </row>
    <row r="60" spans="1:2">
      <c r="A60" s="9" t="s">
        <v>62</v>
      </c>
      <c r="B60" s="11">
        <f>B58/B59</f>
        <v>0</v>
      </c>
    </row>
    <row r="61" spans="1:2">
      <c r="A61" t="s">
        <v>63</v>
      </c>
      <c r="B61" s="10">
        <f>(B60-B6)/B6</f>
        <v>0</v>
      </c>
    </row>
    <row r="63" spans="1:2">
      <c r="A63" s="4" t="s">
        <v>64</v>
      </c>
    </row>
    <row r="64" spans="1:2">
      <c r="A64" t="s">
        <v>65</v>
      </c>
      <c r="B64" s="6">
        <f>NPV(0.15,B43:K43)</f>
        <v>0</v>
      </c>
    </row>
    <row r="65" spans="1:2">
      <c r="A65" t="s">
        <v>66</v>
      </c>
      <c r="B65" s="6">
        <f>B54/(1.15^10)</f>
        <v>0</v>
      </c>
    </row>
    <row r="66" spans="1:2">
      <c r="A66" t="s">
        <v>59</v>
      </c>
      <c r="B66" s="6">
        <f>B10</f>
        <v>0</v>
      </c>
    </row>
    <row r="67" spans="1:2">
      <c r="A67" t="s">
        <v>67</v>
      </c>
      <c r="B67" s="11">
        <f>(B64+B65-B66)/B59</f>
        <v>0</v>
      </c>
    </row>
    <row r="68" spans="1:2">
      <c r="A68" t="s">
        <v>68</v>
      </c>
      <c r="B68" s="10">
        <f>(B6-B67)/B6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69</v>
      </c>
    </row>
    <row r="2" spans="1:6">
      <c r="A2" t="s">
        <v>70</v>
      </c>
    </row>
    <row r="4" spans="1:6">
      <c r="A4" s="8" t="s">
        <v>71</v>
      </c>
      <c r="B4" s="12">
        <v>0.015</v>
      </c>
      <c r="C4" s="12">
        <v>0.02</v>
      </c>
      <c r="D4" s="12">
        <v>0.025</v>
      </c>
      <c r="E4" s="12">
        <v>0.03</v>
      </c>
      <c r="F4" s="12">
        <v>0.035</v>
      </c>
    </row>
    <row r="5" spans="1:6">
      <c r="A5" s="12">
        <v>0.1605</v>
      </c>
      <c r="B5" s="13">
        <v>0.0823</v>
      </c>
      <c r="C5" s="13">
        <v>0.0837</v>
      </c>
      <c r="D5" s="13">
        <v>0.0851</v>
      </c>
      <c r="E5" s="13">
        <v>0.0867</v>
      </c>
      <c r="F5" s="13">
        <v>0.0885</v>
      </c>
    </row>
    <row r="6" spans="1:6">
      <c r="A6" s="12">
        <v>0.1705</v>
      </c>
      <c r="B6" s="13">
        <v>0.0745</v>
      </c>
      <c r="C6" s="13">
        <v>0.0756</v>
      </c>
      <c r="D6" s="13">
        <v>0.07679999999999999</v>
      </c>
      <c r="E6" s="13">
        <v>0.0781</v>
      </c>
      <c r="F6" s="13">
        <v>0.0794</v>
      </c>
    </row>
    <row r="7" spans="1:6">
      <c r="A7" s="12">
        <v>0.1805</v>
      </c>
      <c r="B7" s="13">
        <v>0.0677</v>
      </c>
      <c r="C7" s="13">
        <v>0.06859999999999999</v>
      </c>
      <c r="D7" s="13">
        <v>0.06950000000000001</v>
      </c>
      <c r="E7" s="13">
        <v>0.0706</v>
      </c>
      <c r="F7" s="13">
        <v>0.0717</v>
      </c>
    </row>
    <row r="8" spans="1:6">
      <c r="A8" s="12">
        <v>0.1905</v>
      </c>
      <c r="B8" s="13">
        <v>0.0617</v>
      </c>
      <c r="C8" s="13">
        <v>0.0624</v>
      </c>
      <c r="D8" s="13">
        <v>0.06320000000000001</v>
      </c>
      <c r="E8" s="13">
        <v>0.0641</v>
      </c>
      <c r="F8" s="13">
        <v>0.065</v>
      </c>
    </row>
    <row r="9" spans="1:6">
      <c r="A9" s="12">
        <v>0.2005</v>
      </c>
      <c r="B9" s="13">
        <v>0.0564</v>
      </c>
      <c r="C9" s="13">
        <v>0.057</v>
      </c>
      <c r="D9" s="13">
        <v>0.0576</v>
      </c>
      <c r="E9" s="13">
        <v>0.0583</v>
      </c>
      <c r="F9" s="13">
        <v>0.0591</v>
      </c>
    </row>
    <row r="11" spans="1:6">
      <c r="A11" s="2" t="s">
        <v>72</v>
      </c>
    </row>
    <row r="12" spans="1:6">
      <c r="A12" s="2" t="s">
        <v>73</v>
      </c>
    </row>
    <row r="13" spans="1:6">
      <c r="A13" s="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40.7109375" customWidth="1"/>
    <col min="2" max="6" width="12.7109375" customWidth="1"/>
  </cols>
  <sheetData>
    <row r="1" spans="1:6">
      <c r="A1" s="1" t="s">
        <v>75</v>
      </c>
    </row>
    <row r="2" spans="1:6">
      <c r="A2" s="2" t="s">
        <v>76</v>
      </c>
    </row>
    <row r="4" spans="1:6">
      <c r="A4" s="8"/>
      <c r="B4" s="8" t="s">
        <v>77</v>
      </c>
      <c r="C4" s="8" t="s">
        <v>78</v>
      </c>
      <c r="D4" s="8" t="s">
        <v>79</v>
      </c>
      <c r="E4" s="8" t="s">
        <v>80</v>
      </c>
      <c r="F4" s="8" t="s">
        <v>81</v>
      </c>
    </row>
    <row r="5" spans="1:6">
      <c r="A5" t="s">
        <v>35</v>
      </c>
      <c r="B5" s="6">
        <v>7.372</v>
      </c>
      <c r="C5" s="6">
        <v>6.613</v>
      </c>
      <c r="D5" s="6">
        <v>4.667</v>
      </c>
      <c r="E5" s="6">
        <v>6.728</v>
      </c>
      <c r="F5" s="6">
        <v>12.785</v>
      </c>
    </row>
    <row r="6" spans="1:6">
      <c r="A6" t="s">
        <v>82</v>
      </c>
      <c r="B6" s="6">
        <v>0.8139999999999999</v>
      </c>
      <c r="C6" s="6">
        <v>0.75</v>
      </c>
      <c r="D6" s="6">
        <v>0.203</v>
      </c>
      <c r="E6" s="6">
        <v>1.218</v>
      </c>
      <c r="F6" s="6">
        <v>1.393</v>
      </c>
    </row>
    <row r="7" spans="1:6">
      <c r="A7" t="s">
        <v>83</v>
      </c>
      <c r="B7" s="6">
        <v>-0.438</v>
      </c>
      <c r="C7" s="6">
        <v>-3.316</v>
      </c>
      <c r="D7" s="6">
        <v>-6.359</v>
      </c>
      <c r="E7" s="6">
        <v>0.8129999999999999</v>
      </c>
      <c r="F7" s="6">
        <v>0.407</v>
      </c>
    </row>
    <row r="8" spans="1:6">
      <c r="A8" t="s">
        <v>84</v>
      </c>
      <c r="B8" s="6">
        <v>-0.632</v>
      </c>
      <c r="C8" s="6">
        <v>-0.484</v>
      </c>
      <c r="D8" s="6">
        <v>1.073</v>
      </c>
      <c r="E8" s="6">
        <v>-0.274</v>
      </c>
      <c r="F8" s="6">
        <v>5.122</v>
      </c>
    </row>
    <row r="9" spans="1:6">
      <c r="A9" t="s">
        <v>85</v>
      </c>
      <c r="B9" s="6">
        <v>0</v>
      </c>
      <c r="C9" s="6">
        <v>0</v>
      </c>
      <c r="D9" s="6">
        <v>0</v>
      </c>
      <c r="E9" s="6">
        <v>0</v>
      </c>
      <c r="F9" s="6">
        <v>-4.147</v>
      </c>
    </row>
    <row r="10" spans="1:6">
      <c r="A10" s="9" t="inlineStr">
        <is>
          <t>= Underlying/comparable OCF</t>
        </is>
      </c>
      <c r="B10" s="6">
        <v>-0.632</v>
      </c>
      <c r="C10" s="6">
        <v>-0.484</v>
      </c>
      <c r="D10" s="6">
        <v>1.073</v>
      </c>
      <c r="E10" s="6">
        <v>-0.274</v>
      </c>
      <c r="F10" s="6">
        <v>0.9749999999999996</v>
      </c>
    </row>
    <row r="11" spans="1:6">
      <c r="A11" t="s">
        <v>86</v>
      </c>
      <c r="B11" s="6">
        <v>-0.124</v>
      </c>
      <c r="C11" s="6">
        <v>-0.056</v>
      </c>
      <c r="D11" s="6">
        <v>-0.005</v>
      </c>
      <c r="E11" s="6">
        <v>-0.366</v>
      </c>
      <c r="F11" s="6">
        <v>-0.743</v>
      </c>
    </row>
    <row r="12" spans="1:6">
      <c r="A12" s="9" t="inlineStr">
        <is>
          <t>= Underlying/comparable FCF</t>
        </is>
      </c>
      <c r="B12" s="6">
        <v>-0.756</v>
      </c>
      <c r="C12" s="6">
        <v>-0.54</v>
      </c>
      <c r="D12" s="6">
        <v>1.068</v>
      </c>
      <c r="E12" s="6">
        <v>-0.64</v>
      </c>
      <c r="F12" s="6">
        <v>0.2319999999999997</v>
      </c>
    </row>
    <row r="14" spans="1:6">
      <c r="A14" s="9" t="s">
        <v>87</v>
      </c>
      <c r="B14" s="10">
        <v>-0.1025501899077591</v>
      </c>
      <c r="C14" s="10">
        <v>-0.08165734159987903</v>
      </c>
      <c r="D14" s="10">
        <v>0.2288407970859224</v>
      </c>
      <c r="E14" s="10">
        <v>-0.09512485136741974</v>
      </c>
      <c r="F14" s="10">
        <v>0.3425107547907704</v>
      </c>
    </row>
    <row r="15" spans="1:6">
      <c r="A15" s="9" t="s">
        <v>88</v>
      </c>
      <c r="B15" s="10">
        <v>-0.1025501899077591</v>
      </c>
      <c r="C15" s="10">
        <v>-0.08165734159987903</v>
      </c>
      <c r="D15" s="10">
        <v>0.2288407970859224</v>
      </c>
      <c r="E15" s="10">
        <v>-0.09512485136741974</v>
      </c>
      <c r="F15" s="10">
        <v>0.01814626515447788</v>
      </c>
    </row>
    <row r="17" spans="1:7">
      <c r="A17" s="9" t="s">
        <v>89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</row>
    <row r="18" spans="1:7">
      <c r="A18" s="2" t="s">
        <v>90</v>
      </c>
    </row>
    <row r="19" spans="1:7">
      <c r="A19" s="9" t="s">
        <v>91</v>
      </c>
      <c r="F19" s="10">
        <v>0.8096446700507615</v>
      </c>
    </row>
    <row r="22" spans="1:7">
      <c r="A22" s="9" t="s">
        <v>92</v>
      </c>
    </row>
    <row r="23" spans="1:7">
      <c r="A23" s="14" t="s">
        <v>93</v>
      </c>
      <c r="B23" s="14"/>
      <c r="C23" s="14"/>
      <c r="D23" s="14"/>
      <c r="E23" s="14"/>
      <c r="F23" s="14"/>
      <c r="G23" s="14"/>
    </row>
    <row r="24" spans="1:7">
      <c r="A24" s="14"/>
      <c r="B24" s="14"/>
      <c r="C24" s="14"/>
      <c r="D24" s="14"/>
      <c r="E24" s="14"/>
      <c r="F24" s="14"/>
      <c r="G24" s="14"/>
    </row>
    <row r="25" spans="1:7">
      <c r="A25" s="14"/>
      <c r="B25" s="14"/>
      <c r="C25" s="14"/>
      <c r="D25" s="14"/>
      <c r="E25" s="14"/>
      <c r="F25" s="14"/>
      <c r="G25" s="14"/>
    </row>
    <row r="26" spans="1:7">
      <c r="A26" s="14"/>
      <c r="B26" s="14"/>
      <c r="C26" s="14"/>
      <c r="D26" s="14"/>
      <c r="E26" s="14"/>
      <c r="F26" s="14"/>
      <c r="G26" s="14"/>
    </row>
  </sheetData>
  <mergeCells count="1">
    <mergeCell ref="A23:G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30.7109375" customWidth="1"/>
    <col min="2" max="6" width="14.7109375" customWidth="1"/>
  </cols>
  <sheetData>
    <row r="1" spans="1:4">
      <c r="A1" s="1" t="s">
        <v>94</v>
      </c>
    </row>
    <row r="3" spans="1:4">
      <c r="A3" s="8" t="s">
        <v>95</v>
      </c>
      <c r="B3" s="8" t="s">
        <v>96</v>
      </c>
      <c r="C3" s="8" t="s">
        <v>97</v>
      </c>
      <c r="D3" s="8" t="s">
        <v>98</v>
      </c>
    </row>
    <row r="5" spans="1:4">
      <c r="A5" t="s">
        <v>99</v>
      </c>
      <c r="B5" s="10">
        <v>0.246</v>
      </c>
      <c r="C5" s="10">
        <v>0.148</v>
      </c>
      <c r="D5" t="s">
        <v>100</v>
      </c>
    </row>
    <row r="6" spans="1:4">
      <c r="A6" t="s">
        <v>101</v>
      </c>
      <c r="B6" s="10">
        <v>0.246</v>
      </c>
      <c r="C6" s="10">
        <v>0.156</v>
      </c>
      <c r="D6" t="s">
        <v>102</v>
      </c>
    </row>
    <row r="7" spans="1:4">
      <c r="A7" t="s">
        <v>103</v>
      </c>
      <c r="B7" s="10">
        <v>0.226</v>
      </c>
      <c r="C7" t="s">
        <v>104</v>
      </c>
      <c r="D7" t="s">
        <v>105</v>
      </c>
    </row>
    <row r="8" spans="1:4">
      <c r="A8" t="s">
        <v>106</v>
      </c>
      <c r="B8" t="s">
        <v>104</v>
      </c>
      <c r="C8" t="s">
        <v>104</v>
      </c>
      <c r="D8" t="s">
        <v>107</v>
      </c>
    </row>
    <row r="9" spans="1:4">
      <c r="A9" t="s">
        <v>108</v>
      </c>
      <c r="B9" t="s">
        <v>104</v>
      </c>
      <c r="C9" t="s">
        <v>104</v>
      </c>
      <c r="D9" t="s">
        <v>109</v>
      </c>
    </row>
    <row r="10" spans="1:4">
      <c r="A10" t="s">
        <v>110</v>
      </c>
      <c r="B10" t="s">
        <v>104</v>
      </c>
      <c r="C10" t="s">
        <v>104</v>
      </c>
      <c r="D10" t="s">
        <v>111</v>
      </c>
    </row>
    <row r="12" spans="1:4">
      <c r="A12" s="9" t="s">
        <v>112</v>
      </c>
      <c r="B12" s="10">
        <v>0.226</v>
      </c>
    </row>
    <row r="13" spans="1:4">
      <c r="A13" t="s">
        <v>113</v>
      </c>
      <c r="B13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115</v>
      </c>
    </row>
    <row r="3" spans="1:2">
      <c r="A3" s="9" t="s">
        <v>116</v>
      </c>
      <c r="B3" s="14" t="s">
        <v>117</v>
      </c>
    </row>
    <row r="4" spans="1:2">
      <c r="A4" s="9" t="s">
        <v>118</v>
      </c>
      <c r="B4" s="14" t="s">
        <v>119</v>
      </c>
    </row>
    <row r="5" spans="1:2">
      <c r="A5" s="9" t="s">
        <v>120</v>
      </c>
      <c r="B5" s="14" t="s">
        <v>121</v>
      </c>
    </row>
    <row r="6" spans="1:2">
      <c r="A6" s="9" t="s">
        <v>122</v>
      </c>
      <c r="B6" s="14" t="s">
        <v>123</v>
      </c>
    </row>
    <row r="7" spans="1:2">
      <c r="A7" s="9" t="s">
        <v>124</v>
      </c>
      <c r="B7" s="14" t="s">
        <v>125</v>
      </c>
    </row>
    <row r="8" spans="1:2">
      <c r="A8" s="9" t="s">
        <v>126</v>
      </c>
      <c r="B8" s="14" t="s">
        <v>127</v>
      </c>
    </row>
    <row r="9" spans="1:2">
      <c r="A9" s="9" t="s">
        <v>128</v>
      </c>
      <c r="B9" s="14" t="s">
        <v>129</v>
      </c>
    </row>
    <row r="10" spans="1:2">
      <c r="A10" s="9" t="s">
        <v>130</v>
      </c>
      <c r="B10" s="14" t="s">
        <v>131</v>
      </c>
    </row>
    <row r="11" spans="1:2">
      <c r="A11" s="9" t="s">
        <v>132</v>
      </c>
      <c r="B11" s="14" t="s">
        <v>133</v>
      </c>
    </row>
    <row r="12" spans="1:2">
      <c r="A12" s="9" t="s">
        <v>134</v>
      </c>
      <c r="B12" s="14" t="s">
        <v>135</v>
      </c>
    </row>
    <row r="13" spans="1:2">
      <c r="A13" s="9" t="s">
        <v>136</v>
      </c>
      <c r="B13" s="14" t="s">
        <v>137</v>
      </c>
    </row>
    <row r="14" spans="1:2">
      <c r="A14" s="9" t="s">
        <v>138</v>
      </c>
      <c r="B14" s="14" t="s">
        <v>139</v>
      </c>
    </row>
    <row r="15" spans="1:2">
      <c r="A15" s="9" t="s">
        <v>140</v>
      </c>
      <c r="B15" s="14" t="s">
        <v>141</v>
      </c>
    </row>
    <row r="16" spans="1:2">
      <c r="A16" s="9" t="s">
        <v>142</v>
      </c>
      <c r="B16" s="14" t="s">
        <v>143</v>
      </c>
    </row>
    <row r="17" spans="1:2">
      <c r="A17" s="9" t="s">
        <v>144</v>
      </c>
      <c r="B17" s="14" t="s">
        <v>145</v>
      </c>
    </row>
    <row r="18" spans="1:2">
      <c r="A18" s="9" t="s">
        <v>146</v>
      </c>
      <c r="B18" s="14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2026-08-09T15:40:18Z</dcterms:created>
  <dcterms:modified xsi:type="dcterms:W3CDTF">2026-08-09T15:40:18Z</dcterms:modified>
</cp:coreProperties>
</file>