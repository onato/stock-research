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<sst xmlns="http://schemas.openxmlformats.org/spreadsheetml/2006/main" count="371" uniqueCount="174">
  <si>
    <t xml:space="preserve">Ticker</t>
  </si>
  <si>
    <t xml:space="preserve">N2IU.SI</t>
  </si>
  <si>
    <t xml:space="preserve">Company</t>
  </si>
  <si>
    <t xml:space="preserve">Mapletree Pan Asia Commercial Trust</t>
  </si>
  <si>
    <t xml:space="preserve">Valuation date</t>
  </si>
  <si>
    <t xml:space="preserve">2026-10-24</t>
  </si>
  <si>
    <t xml:space="preserve">Current price</t>
  </si>
  <si>
    <t xml:space="preserve">Price as of</t>
  </si>
  <si>
    <t xml:space="preserve">2026-10-23T09:06:01Z (SGX regular session close, Yahoo chart API; meta.currency=SGD)</t>
  </si>
  <si>
    <t xml:space="preserve">Balance sheet date</t>
  </si>
  <si>
    <t xml:space="preserve">2026-03-31</t>
  </si>
  <si>
    <t xml:space="preserve">Model</t>
  </si>
  <si>
    <t xml:space="preserve">REIT AFFO capitalisation at cost of equity (engine route)</t>
  </si>
  <si>
    <t xml:space="preserve">Currency (model)</t>
  </si>
  <si>
    <t xml:space="preserve">SGD</t>
  </si>
  <si>
    <t xml:space="preserve">Currency (quote)</t>
  </si>
  <si>
    <t xml:space="preserve">Units</t>
  </si>
  <si>
    <t xml:space="preserve">millions</t>
  </si>
  <si>
    <t xml:space="preserve">Engine</t>
  </si>
  <si>
    <t xml:space="preserve">dcf_engine v1</t>
  </si>
  <si>
    <t xml:space="preserve">Built at</t>
  </si>
  <si>
    <t xml:space="preserve">2026-10-24T05:13:32Z</t>
  </si>
  <si>
    <t xml:space="preserve">Drivers file</t>
  </si>
  <si>
    <t xml:space="preserve">N2IU.SI_Drivers.json</t>
  </si>
  <si>
    <t xml:space="preserve">Convention</t>
  </si>
  <si>
    <t xml:space="preserve">Percents stored as percents; formulas divide by 100. Blue = input, green = link, black = formula.</t>
  </si>
  <si>
    <t xml:space="preserve">Methodology</t>
  </si>
  <si>
    <t xml:space="preserve">summary: Value the distribution stream unitholders actually receive, net of the units issued to the manager and of the capex needed to keep the buildings lettable, capitalised at an SGD cost of equity. Distributable income is post-interest, so borrowings are not deducted again. NAV (S$1.73) is a cross-check, not the valuation: external-manager REITs with declining DPU rarely trade at book.
key_risks_to_valuation: Interest-rate path: SGD/HKD refinancing costs drive the DI margin and the cost of equity simultaneously; Greater China (Festival Walk retail, Gateway Plaza, Sandhill Plaza) and Japan office occupancy and negative reversions; Capital distribution (S$27.3m FY26) may not recur at that level; External-manager fee leakage and unit issuance for fees; FX translation of HKD/JPY/RMB/KRW income against SGD; Further divestments below book would crystallise NAV losses</t>
  </si>
  <si>
    <t xml:space="preserve">Data sources</t>
  </si>
  <si>
    <t xml:space="preserve">price: Yahoo Finance chart API at inputs.price_as_of (meta.currency SGD); 52-week range 1.12-1.50
financials: MPACT FY25/26 unaudited results and distribution announcement (N2IU.SI_Annual_FY2026.txt): distribution statement lines 255-300, balance sheet 520-545, cash flow 640-690, capital management ratios 1620-1635; history from N2IU.SI_Metrics.csv
qualitative: FY26 results commentary and outlook section (N2IU.SI_Annual_FY2026.txt:2085-2160, 2336-2400)</t>
  </si>
  <si>
    <t xml:space="preserve">Scenario narrative: bear</t>
  </si>
  <si>
    <t xml:space="preserve">Greater China and Japan office vacancies and negative reversions persist, HK retail weakens further, the capital-distribution component of DI falls away and renewed inflation lifts refinancing costs. Revenue falls 6% then 1% before low growth; DI margin ~46.5%, maintenance/AEI capex 5.5% of revenue, CoE 7.75%.</t>
  </si>
  <si>
    <t xml:space="preserve">Scenario narrative: base</t>
  </si>
  <si>
    <t xml:space="preserve">Post-divestment MPACT is a Singapore-anchored trust (61% of AUM, 66% of NPI) with a shrinking North Asia tail. FY27 DI to unitholders ~S$400m (DPU ~7.5-7.6c) after the full-year loss of Festival Walk Tower, TSI and ASY, partly offset by interest savings. Thereafter ~2% revenue growth from VivoCity and MBC reversions against soft HK/China/Japan offices, slight DI margin lift as debt costs ease. Capitalised at 7.0% CoE, 1.5% terminal growth.</t>
  </si>
  <si>
    <t xml:space="preserve">Scenario narrative: bull</t>
  </si>
  <si>
    <t xml:space="preserve">Singapore reversions stay high-single-digit, HK Festival Walk retail stabilises, further overseas divestments at or near book are recycled into debt reduction or Singapore assets, and SGD rates stay low. DI margin rises to ~51%; 6.5% CoE as the market re-rates a cleaner Singapore REIT toward NAV.</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</si>
  <si>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</si>
  <si>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</si>
  <si>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</si>
  <si>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</si>
  <si>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</si>
  <si>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</si>
  <si>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</si>
  <si>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</si>
  <si>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</si>
  <si>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</si>
  <si>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</si>
  <si>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</si>
  <si>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</si>
  <si>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</si>
  <si>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</si>
  <si>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</si>
  <si>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</si>
  <si>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</si>
  <si>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</si>
  <si>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</si>
  <si>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</si>
  <si>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</si>
  <si>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</si>
  <si>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</si>
  <si>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</si>
  <si>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</si>
  <si>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</si>
  <si>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DistributableIncome</t>
  </si>
  <si>
    <t xml:space="preserve">Gearing</t>
  </si>
  <si>
    <t xml:space="preserve">ManagementFeesPaidInUnits</t>
  </si>
  <si>
    <t xml:space="preserve">NAVPerShare</t>
  </si>
  <si>
    <t xml:space="preserve">NPIMargin</t>
  </si>
  <si>
    <t xml:space="preserve">NetPropertyIncome</t>
  </si>
  <si>
    <t xml:space="preserve">Occupancy</t>
  </si>
  <si>
    <t xml:space="preserve">ProfitAfterTaxTotal</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</si>
  <si>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</si>
  <si>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</si>
  <si>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</si>
  <si>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</si>
  <si>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</si>
  <si>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</si>
  <si>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</si>
  <si>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</si>
  <si>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</si>
  <si>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</si>
  <si>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</si>
  <si>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</si>
  <si>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</si>
  <si>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</si>
  <si>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</si>
  <si>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</si>
  <si>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</si>
  <si>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</si>
  <si>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</si>
  <si>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</si>
  <si>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</si>
  <si>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SGD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</si>
  <si>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</si>
  <si>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</si>
  <si>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</si>
  <si>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</si>
  <si>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</si>
  <si>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</si>
  <si>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</si>
  <si>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</si>
  <si>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</si>
  <si>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</si>
  <si>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</si>
  <si>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</si>
  <si>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</si>
  <si>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</si>
  <si>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</si>
  <si>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</si>
  <si>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</si>
  <si>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</si>
  <si>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</si>
  <si>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</si>
  <si>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</si>
  <si>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</si>
  <si>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</si>
  <si>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</si>
  <si>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</si>
  <si>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</si>
  <si>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N2IU.SI owner-FCF component DCF: bear case (millions, SGD)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</si>
  <si>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</si>
  <si>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</si>
  <si>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</si>
  <si>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</si>
  <si>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</si>
  <si>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</si>
  <si>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</si>
  <si>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</si>
  <si>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</si>
  <si>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</si>
  <si>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</si>
  <si>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</si>
  <si>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</si>
  <si>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</si>
  <si>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</si>
  <si>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</si>
  <si>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</si>
  <si>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</si>
  <si>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</si>
  <si>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</si>
  <si>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</si>
  <si>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</si>
  <si>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</si>
  <si>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</si>
  <si>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</si>
  <si>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</si>
  <si>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</si>
  <si>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</si>
  <si>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</si>
  <si>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</si>
  <si>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N2IU.SI owner-FCF component DCF: base case (millions, SGD)</t>
  </si>
  <si>
    <t xml:space="preserve">N2IU.SI owner-FCF component DCF: bull case (millions, SGD)</t>
  </si>
  <si>
    <t xml:space="preserve">N2IU.SI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</si>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</sst>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287.761</v>
      </c>
      <c r="I2" s="0" t="n">
        <v>298.71</v>
      </c>
      <c r="J2" s="0" t="n">
        <v>103.8</v>
      </c>
      <c r="K2" s="0" t="n">
        <v>0.1398</v>
      </c>
      <c r="L2" s="0" t="n">
        <v>212.725</v>
      </c>
      <c r="M2" s="0" t="n">
        <v>7.373</v>
      </c>
      <c r="N2" s="0" t="n">
        <v>205.352</v>
      </c>
      <c r="O2" s="0" t="n">
        <v>2763.976</v>
      </c>
      <c r="P2" s="0" t="n">
        <v>4415.179</v>
      </c>
      <c r="Q2" s="0" t="n">
        <v>1651.203</v>
      </c>
      <c r="R2" s="0" t="n">
        <v>1551.519</v>
      </c>
      <c r="S2" s="0" t="n">
        <v>63.589</v>
      </c>
      <c r="T2" s="0" t="n">
        <v>2130.0029</v>
      </c>
      <c r="V2" s="0" t="n">
        <v>0.0813</v>
      </c>
      <c r="AA2" s="0" t="s">
        <v>17</v>
      </c>
      <c r="AB2" s="0" t="s">
        <v>14</v>
      </c>
      <c r="AC2" s="0" t="n">
        <v>172.501</v>
      </c>
      <c r="AF2" s="0" t="n">
        <v>1.3</v>
      </c>
      <c r="AG2" s="0" t="n">
        <v>76.7</v>
      </c>
      <c r="AH2" s="0" t="n">
        <v>220.713</v>
      </c>
    </row>
    <row r="3" customFormat="false" ht="15" hidden="false" customHeight="false" outlineLevel="0" collapsed="false">
      <c r="A3" s="0" t="s">
        <v>72</v>
      </c>
      <c r="B3" s="0" t="n">
        <v>377.747</v>
      </c>
      <c r="I3" s="0" t="n">
        <v>345.84</v>
      </c>
      <c r="J3" s="0" t="n">
        <v>91.6</v>
      </c>
      <c r="K3" s="0" t="n">
        <v>0.1332</v>
      </c>
      <c r="L3" s="0" t="n">
        <v>287.571</v>
      </c>
      <c r="M3" s="0" t="n">
        <v>18.607</v>
      </c>
      <c r="N3" s="0" t="n">
        <v>268.964</v>
      </c>
      <c r="O3" s="0" t="n">
        <v>3957.453</v>
      </c>
      <c r="P3" s="0" t="n">
        <v>6405.653</v>
      </c>
      <c r="Q3" s="0" t="n">
        <v>2448.2</v>
      </c>
      <c r="R3" s="0" t="n">
        <v>2329.754</v>
      </c>
      <c r="S3" s="0" t="n">
        <v>53.907</v>
      </c>
      <c r="T3" s="0" t="n">
        <v>2871.1433</v>
      </c>
      <c r="U3" s="0" t="n">
        <v>12.789</v>
      </c>
      <c r="V3" s="0" t="n">
        <v>0.0862</v>
      </c>
      <c r="AA3" s="0" t="s">
        <v>17</v>
      </c>
      <c r="AB3" s="0" t="s">
        <v>14</v>
      </c>
      <c r="AC3" s="0" t="n">
        <v>227.243</v>
      </c>
      <c r="AE3" s="0" t="n">
        <v>12.789</v>
      </c>
      <c r="AF3" s="0" t="n">
        <v>1.38</v>
      </c>
      <c r="AG3" s="0" t="n">
        <v>77.4</v>
      </c>
      <c r="AH3" s="0" t="n">
        <v>292.306</v>
      </c>
    </row>
    <row r="4" customFormat="false" ht="15" hidden="false" customHeight="false" outlineLevel="0" collapsed="false">
      <c r="A4" s="0" t="s">
        <v>73</v>
      </c>
      <c r="B4" s="0" t="n">
        <v>433.525</v>
      </c>
      <c r="I4" s="0" t="n">
        <v>567.573</v>
      </c>
      <c r="J4" s="0" t="n">
        <v>130.9</v>
      </c>
      <c r="K4" s="0" t="n">
        <v>0.1973</v>
      </c>
      <c r="L4" s="0" t="n">
        <v>332.311</v>
      </c>
      <c r="M4" s="0" t="n">
        <v>18.541</v>
      </c>
      <c r="N4" s="0" t="n">
        <v>313.77</v>
      </c>
      <c r="O4" s="0" t="n">
        <v>4283.373</v>
      </c>
      <c r="P4" s="0" t="n">
        <v>6740.813</v>
      </c>
      <c r="Q4" s="0" t="n">
        <v>2457.44</v>
      </c>
      <c r="R4" s="0" t="n">
        <v>2329.431</v>
      </c>
      <c r="S4" s="0" t="n">
        <v>45.092</v>
      </c>
      <c r="T4" s="0" t="n">
        <v>2880.1566</v>
      </c>
      <c r="U4" s="0" t="n">
        <v>14.82</v>
      </c>
      <c r="V4" s="0" t="n">
        <v>0.0904</v>
      </c>
      <c r="AA4" s="0" t="s">
        <v>17</v>
      </c>
      <c r="AB4" s="0" t="s">
        <v>14</v>
      </c>
      <c r="AE4" s="0" t="n">
        <v>14.82</v>
      </c>
      <c r="AF4" s="0" t="n">
        <v>1.49</v>
      </c>
      <c r="AG4" s="0" t="n">
        <v>78.2</v>
      </c>
      <c r="AH4" s="0" t="n">
        <v>338.845</v>
      </c>
    </row>
    <row r="5" customFormat="false" ht="15" hidden="false" customHeight="false" outlineLevel="0" collapsed="false">
      <c r="A5" s="0" t="s">
        <v>74</v>
      </c>
      <c r="B5" s="0" t="n">
        <v>443.893</v>
      </c>
      <c r="I5" s="0" t="n">
        <v>582.302</v>
      </c>
      <c r="J5" s="0" t="n">
        <v>131.2</v>
      </c>
      <c r="K5" s="0" t="n">
        <v>0.2017</v>
      </c>
      <c r="L5" s="0" t="n">
        <v>337.042</v>
      </c>
      <c r="M5" s="0" t="n">
        <v>22.108</v>
      </c>
      <c r="N5" s="0" t="n">
        <v>314.934</v>
      </c>
      <c r="O5" s="0" t="n">
        <v>4615.979</v>
      </c>
      <c r="P5" s="0" t="n">
        <v>7100.765</v>
      </c>
      <c r="Q5" s="0" t="n">
        <v>2484.786</v>
      </c>
      <c r="R5" s="0" t="n">
        <v>2350.137</v>
      </c>
      <c r="S5" s="0" t="n">
        <v>49.119</v>
      </c>
      <c r="T5" s="0" t="n">
        <v>2889.6907</v>
      </c>
      <c r="V5" s="0" t="n">
        <v>0.0914</v>
      </c>
      <c r="AA5" s="0" t="s">
        <v>17</v>
      </c>
      <c r="AB5" s="0" t="s">
        <v>14</v>
      </c>
      <c r="AC5" s="0" t="n">
        <v>264.027</v>
      </c>
      <c r="AF5" s="0" t="n">
        <v>1.6</v>
      </c>
      <c r="AG5" s="0" t="n">
        <v>78.3</v>
      </c>
      <c r="AH5" s="0" t="n">
        <v>347.627</v>
      </c>
    </row>
    <row r="6" customFormat="false" ht="15" hidden="false" customHeight="false" outlineLevel="0" collapsed="false">
      <c r="A6" s="0" t="s">
        <v>75</v>
      </c>
      <c r="B6" s="0" t="n">
        <v>482.825</v>
      </c>
      <c r="I6" s="0" t="n">
        <v>543.095</v>
      </c>
      <c r="J6" s="0" t="n">
        <v>112.5</v>
      </c>
      <c r="K6" s="0" t="n">
        <v>0.1774</v>
      </c>
      <c r="L6" s="0" t="n">
        <v>370.216</v>
      </c>
      <c r="M6" s="0" t="n">
        <v>17.088</v>
      </c>
      <c r="N6" s="0" t="n">
        <v>353.128</v>
      </c>
      <c r="O6" s="0" t="n">
        <v>5786.948</v>
      </c>
      <c r="P6" s="0" t="n">
        <v>9007.073</v>
      </c>
      <c r="Q6" s="0" t="n">
        <v>3220.125</v>
      </c>
      <c r="R6" s="0" t="n">
        <v>3008.02</v>
      </c>
      <c r="S6" s="0" t="n">
        <v>65.857</v>
      </c>
      <c r="T6" s="0" t="n">
        <v>3307.5106</v>
      </c>
      <c r="U6" s="0" t="n">
        <v>16.143</v>
      </c>
      <c r="V6" s="0" t="n">
        <v>0.08</v>
      </c>
      <c r="AA6" s="0" t="s">
        <v>17</v>
      </c>
      <c r="AB6" s="0" t="s">
        <v>14</v>
      </c>
      <c r="AC6" s="0" t="n">
        <v>243.218</v>
      </c>
      <c r="AD6" s="0" t="n">
        <v>33.3</v>
      </c>
      <c r="AE6" s="0" t="n">
        <v>16.143</v>
      </c>
      <c r="AF6" s="0" t="n">
        <v>1.75</v>
      </c>
      <c r="AG6" s="0" t="n">
        <v>78.3</v>
      </c>
      <c r="AH6" s="0" t="n">
        <v>377.94</v>
      </c>
    </row>
    <row r="7" customFormat="false" ht="15" hidden="false" customHeight="false" outlineLevel="0" collapsed="false">
      <c r="A7" s="0" t="s">
        <v>76</v>
      </c>
      <c r="B7" s="0" t="n">
        <v>478.997</v>
      </c>
      <c r="I7" s="0" t="n">
        <v>68.606</v>
      </c>
      <c r="J7" s="0" t="n">
        <v>14.3</v>
      </c>
      <c r="K7" s="0" t="n">
        <v>0.0207</v>
      </c>
      <c r="L7" s="0" t="n">
        <v>355.435</v>
      </c>
      <c r="M7" s="0" t="n">
        <v>14.417</v>
      </c>
      <c r="N7" s="0" t="n">
        <v>341.018</v>
      </c>
      <c r="O7" s="0" t="n">
        <v>5708.968</v>
      </c>
      <c r="P7" s="0" t="n">
        <v>8950.584</v>
      </c>
      <c r="Q7" s="0" t="n">
        <v>3241.616</v>
      </c>
      <c r="R7" s="0" t="n">
        <v>3029.625</v>
      </c>
      <c r="S7" s="0" t="n">
        <v>192.543</v>
      </c>
      <c r="T7" s="0" t="n">
        <v>3316.204</v>
      </c>
      <c r="U7" s="0" t="n">
        <v>15.402</v>
      </c>
      <c r="V7" s="0" t="n">
        <v>0.0949</v>
      </c>
      <c r="AA7" s="0" t="s">
        <v>17</v>
      </c>
      <c r="AB7" s="0" t="s">
        <v>14</v>
      </c>
      <c r="AC7" s="0" t="n">
        <v>314.72</v>
      </c>
      <c r="AD7" s="0" t="n">
        <v>33.9</v>
      </c>
      <c r="AE7" s="0" t="n">
        <v>15.402</v>
      </c>
      <c r="AF7" s="0" t="n">
        <v>1.72</v>
      </c>
      <c r="AG7" s="0" t="n">
        <v>78.7</v>
      </c>
      <c r="AH7" s="0" t="n">
        <v>377.01</v>
      </c>
    </row>
    <row r="8" customFormat="false" ht="15" hidden="false" customHeight="false" outlineLevel="0" collapsed="false">
      <c r="A8" s="0" t="s">
        <v>77</v>
      </c>
      <c r="B8" s="0" t="n">
        <v>499.475</v>
      </c>
      <c r="I8" s="0" t="n">
        <v>347.019</v>
      </c>
      <c r="J8" s="0" t="n">
        <v>69.5</v>
      </c>
      <c r="K8" s="0" t="n">
        <v>0.1045</v>
      </c>
      <c r="L8" s="0" t="n">
        <v>363.625</v>
      </c>
      <c r="M8" s="0" t="n">
        <v>18.726</v>
      </c>
      <c r="N8" s="0" t="n">
        <v>344.899</v>
      </c>
      <c r="O8" s="0" t="n">
        <v>5793.537</v>
      </c>
      <c r="P8" s="0" t="n">
        <v>8984.523</v>
      </c>
      <c r="Q8" s="0" t="n">
        <v>3190.986</v>
      </c>
      <c r="R8" s="0" t="n">
        <v>3004.334</v>
      </c>
      <c r="S8" s="0" t="n">
        <v>124.17</v>
      </c>
      <c r="T8" s="0" t="n">
        <v>3323.514</v>
      </c>
      <c r="U8" s="0" t="n">
        <v>15.497</v>
      </c>
      <c r="V8" s="0" t="n">
        <v>0.0953</v>
      </c>
      <c r="AA8" s="0" t="s">
        <v>17</v>
      </c>
      <c r="AB8" s="0" t="s">
        <v>14</v>
      </c>
      <c r="AC8" s="0" t="n">
        <v>316.982</v>
      </c>
      <c r="AD8" s="0" t="n">
        <v>33.5</v>
      </c>
      <c r="AE8" s="0" t="n">
        <v>15.497</v>
      </c>
      <c r="AF8" s="0" t="n">
        <v>1.74</v>
      </c>
      <c r="AG8" s="0" t="n">
        <v>77.8</v>
      </c>
      <c r="AH8" s="0" t="n">
        <v>388.681</v>
      </c>
    </row>
    <row r="9" customFormat="false" ht="15" hidden="false" customHeight="false" outlineLevel="0" collapsed="false">
      <c r="A9" s="0" t="s">
        <v>78</v>
      </c>
      <c r="B9" s="0" t="n">
        <v>826.185</v>
      </c>
      <c r="I9" s="0" t="n">
        <v>482.596</v>
      </c>
      <c r="J9" s="0" t="n">
        <v>58.4</v>
      </c>
      <c r="K9" s="0" t="n">
        <v>0.1045</v>
      </c>
      <c r="L9" s="0" t="n">
        <v>605.308</v>
      </c>
      <c r="M9" s="0" t="n">
        <v>43.581</v>
      </c>
      <c r="N9" s="0" t="n">
        <v>561.727</v>
      </c>
      <c r="O9" s="0" t="n">
        <v>9220.257</v>
      </c>
      <c r="P9" s="0" t="n">
        <v>16828.82</v>
      </c>
      <c r="Q9" s="0" t="n">
        <v>7346.44</v>
      </c>
      <c r="R9" s="0" t="n">
        <v>6783.558</v>
      </c>
      <c r="S9" s="0" t="n">
        <v>216.147</v>
      </c>
      <c r="T9" s="0" t="n">
        <v>5239.332</v>
      </c>
      <c r="U9" s="0" t="n">
        <v>19.521</v>
      </c>
      <c r="V9" s="0" t="n">
        <v>0.0961</v>
      </c>
      <c r="AA9" s="0" t="s">
        <v>17</v>
      </c>
      <c r="AB9" s="0" t="s">
        <v>14</v>
      </c>
      <c r="AC9" s="0" t="n">
        <v>445.598</v>
      </c>
      <c r="AD9" s="0" t="n">
        <v>40.9</v>
      </c>
      <c r="AE9" s="0" t="n">
        <v>19.521</v>
      </c>
      <c r="AF9" s="0" t="n">
        <v>1.76</v>
      </c>
      <c r="AG9" s="0" t="n">
        <v>76.5</v>
      </c>
      <c r="AH9" s="0" t="n">
        <v>631.942</v>
      </c>
      <c r="AJ9" s="0" t="n">
        <v>486.749</v>
      </c>
    </row>
    <row r="10" customFormat="false" ht="15" hidden="false" customHeight="false" outlineLevel="0" collapsed="false">
      <c r="A10" s="0" t="s">
        <v>79</v>
      </c>
      <c r="B10" s="0" t="n">
        <v>958.088</v>
      </c>
      <c r="I10" s="0" t="n">
        <v>577.94</v>
      </c>
      <c r="J10" s="0" t="n">
        <v>60.3</v>
      </c>
      <c r="K10" s="0" t="n">
        <v>0.1102</v>
      </c>
      <c r="L10" s="0" t="n">
        <v>725.032</v>
      </c>
      <c r="M10" s="0" t="n">
        <v>65.116</v>
      </c>
      <c r="N10" s="0" t="n">
        <v>659.916</v>
      </c>
      <c r="O10" s="0" t="n">
        <v>9209.163</v>
      </c>
      <c r="P10" s="0" t="n">
        <v>16662.291</v>
      </c>
      <c r="Q10" s="0" t="n">
        <v>7191.089</v>
      </c>
      <c r="R10" s="0" t="n">
        <v>6650.343</v>
      </c>
      <c r="S10" s="0" t="n">
        <v>157.235</v>
      </c>
      <c r="T10" s="0" t="n">
        <v>5252.985</v>
      </c>
      <c r="U10" s="0" t="n">
        <v>19.939</v>
      </c>
      <c r="V10" s="0" t="n">
        <v>0.0891</v>
      </c>
      <c r="AA10" s="0" t="s">
        <v>17</v>
      </c>
      <c r="AB10" s="0" t="s">
        <v>14</v>
      </c>
      <c r="AC10" s="0" t="n">
        <v>468.569</v>
      </c>
      <c r="AD10" s="0" t="n">
        <v>40.5</v>
      </c>
      <c r="AE10" s="0" t="n">
        <v>19.939</v>
      </c>
      <c r="AF10" s="0" t="n">
        <v>1.75</v>
      </c>
      <c r="AG10" s="0" t="n">
        <v>76</v>
      </c>
      <c r="AH10" s="0" t="n">
        <v>727.929</v>
      </c>
      <c r="AJ10" s="0" t="n">
        <v>583.07</v>
      </c>
    </row>
    <row r="11" customFormat="false" ht="15" hidden="false" customHeight="false" outlineLevel="0" collapsed="false">
      <c r="A11" s="0" t="s">
        <v>80</v>
      </c>
      <c r="B11" s="0" t="n">
        <v>908.841</v>
      </c>
      <c r="I11" s="0" t="n">
        <v>584.181</v>
      </c>
      <c r="J11" s="0" t="n">
        <v>64.3</v>
      </c>
      <c r="K11" s="0" t="n">
        <v>0.1108</v>
      </c>
      <c r="L11" s="0" t="n">
        <v>634.034</v>
      </c>
      <c r="M11" s="0" t="n">
        <v>57.802</v>
      </c>
      <c r="N11" s="0" t="n">
        <v>576.232</v>
      </c>
      <c r="O11" s="0" t="n">
        <v>9363.997</v>
      </c>
      <c r="P11" s="0" t="n">
        <v>16141.607</v>
      </c>
      <c r="Q11" s="0" t="n">
        <v>6517.064</v>
      </c>
      <c r="R11" s="0" t="n">
        <v>5997.117</v>
      </c>
      <c r="S11" s="0" t="n">
        <v>171.395</v>
      </c>
      <c r="T11" s="0" t="n">
        <v>5271.107</v>
      </c>
      <c r="U11" s="0" t="n">
        <v>18.001</v>
      </c>
      <c r="V11" s="0" t="n">
        <v>0.0802</v>
      </c>
      <c r="AA11" s="0" t="s">
        <v>17</v>
      </c>
      <c r="AB11" s="0" t="s">
        <v>14</v>
      </c>
      <c r="AC11" s="0" t="n">
        <v>423.022</v>
      </c>
      <c r="AD11" s="0" t="n">
        <v>37.7</v>
      </c>
      <c r="AE11" s="0" t="n">
        <v>18.001</v>
      </c>
      <c r="AF11" s="0" t="n">
        <v>1.78</v>
      </c>
      <c r="AG11" s="0" t="n">
        <v>75.2</v>
      </c>
      <c r="AH11" s="0" t="n">
        <v>683.537</v>
      </c>
      <c r="AJ11" s="0" t="n">
        <v>587.301</v>
      </c>
    </row>
    <row r="12" customFormat="false" ht="15" hidden="false" customHeight="false" outlineLevel="0" collapsed="false">
      <c r="A12" s="0" t="s">
        <v>81</v>
      </c>
      <c r="B12" s="0" t="n">
        <v>867.287</v>
      </c>
      <c r="I12" s="0" t="n">
        <v>261.274</v>
      </c>
      <c r="J12" s="0" t="n">
        <v>30.1</v>
      </c>
      <c r="K12" s="0" t="n">
        <v>0.0494</v>
      </c>
      <c r="L12" s="0" t="n">
        <v>586.003</v>
      </c>
      <c r="M12" s="0" t="n">
        <v>87.603</v>
      </c>
      <c r="N12" s="0" t="n">
        <v>498.4</v>
      </c>
      <c r="O12" s="0" t="n">
        <v>9132.512</v>
      </c>
      <c r="P12" s="0" t="n">
        <v>15424.898</v>
      </c>
      <c r="Q12" s="0" t="n">
        <v>6032.06</v>
      </c>
      <c r="R12" s="0" t="n">
        <v>5556.738</v>
      </c>
      <c r="S12" s="0" t="n">
        <v>164.223</v>
      </c>
      <c r="T12" s="0" t="n">
        <v>5284.37</v>
      </c>
      <c r="U12" s="0" t="n">
        <v>17.931</v>
      </c>
      <c r="V12" s="0" t="n">
        <v>0.0797</v>
      </c>
      <c r="AA12" s="0" t="s">
        <v>17</v>
      </c>
      <c r="AB12" s="0" t="s">
        <v>14</v>
      </c>
      <c r="AC12" s="0" t="n">
        <v>421.38</v>
      </c>
      <c r="AD12" s="0" t="n">
        <v>36.5</v>
      </c>
      <c r="AE12" s="0" t="n">
        <v>17.931</v>
      </c>
      <c r="AF12" s="0" t="n">
        <v>1.73</v>
      </c>
      <c r="AG12" s="0" t="n">
        <v>75.5</v>
      </c>
      <c r="AH12" s="0" t="n">
        <v>654.427</v>
      </c>
      <c r="AJ12" s="0" t="n">
        <v>265.474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1.17</v>
      </c>
    </row>
    <row r="3" customFormat="false" ht="15" hidden="false" customHeight="false" outlineLevel="0" collapsed="false">
      <c r="A3" s="0" t="s">
        <v>85</v>
      </c>
      <c r="B3" s="3" t="n">
        <v>5284.37</v>
      </c>
    </row>
    <row r="4" customFormat="false" ht="15" hidden="false" customHeight="false" outlineLevel="0" collapsed="false">
      <c r="A4" s="0" t="s">
        <v>86</v>
      </c>
      <c r="B4" s="3" t="n">
        <v>0</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867.287</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-6</v>
      </c>
      <c r="D13" s="3" t="n">
        <v>-1</v>
      </c>
      <c r="E13" s="3" t="n">
        <v>1</v>
      </c>
      <c r="F13" s="3" t="n">
        <v>1</v>
      </c>
      <c r="G13" s="3" t="n">
        <v>1.5</v>
      </c>
      <c r="H13" s="3" t="n">
        <v>1.5</v>
      </c>
      <c r="I13" s="3" t="n">
        <v>1</v>
      </c>
      <c r="J13" s="3" t="n">
        <v>1</v>
      </c>
      <c r="K13" s="3" t="n">
        <v>1</v>
      </c>
      <c r="L13" s="3" t="n">
        <v>1</v>
      </c>
    </row>
    <row r="14" customFormat="false" ht="15" hidden="false" customHeight="false" outlineLevel="0" collapsed="false">
      <c r="A14" s="0" t="s">
        <v>106</v>
      </c>
      <c r="C14" s="3" t="n">
        <v>47</v>
      </c>
      <c r="D14" s="3" t="n">
        <v>46.5</v>
      </c>
      <c r="E14" s="3" t="n">
        <v>46.5</v>
      </c>
      <c r="F14" s="3" t="n">
        <v>46.5</v>
      </c>
      <c r="G14" s="3" t="n">
        <v>46.5</v>
      </c>
      <c r="H14" s="3" t="n">
        <v>46.5</v>
      </c>
      <c r="I14" s="3" t="n">
        <v>46.5</v>
      </c>
      <c r="J14" s="3" t="n">
        <v>46.5</v>
      </c>
      <c r="K14" s="3" t="n">
        <v>46.5</v>
      </c>
      <c r="L14" s="3" t="n">
        <v>46.5</v>
      </c>
    </row>
    <row r="15" customFormat="false" ht="15" hidden="false" customHeight="false" outlineLevel="0" collapsed="false">
      <c r="A15" s="0" t="s">
        <v>107</v>
      </c>
      <c r="C15" s="3" t="n">
        <v>2.2</v>
      </c>
      <c r="D15" s="3" t="n">
        <v>2.2</v>
      </c>
      <c r="E15" s="3" t="n">
        <v>2.2</v>
      </c>
      <c r="F15" s="3" t="n">
        <v>2.2</v>
      </c>
      <c r="G15" s="3" t="n">
        <v>2.2</v>
      </c>
      <c r="H15" s="3" t="n">
        <v>2.2</v>
      </c>
      <c r="I15" s="3" t="n">
        <v>2.2</v>
      </c>
      <c r="J15" s="3" t="n">
        <v>2.2</v>
      </c>
      <c r="K15" s="3" t="n">
        <v>2.2</v>
      </c>
      <c r="L15" s="3" t="n">
        <v>2.2</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110</v>
      </c>
      <c r="C18" s="3" t="n">
        <v>5.5</v>
      </c>
      <c r="D18" s="3" t="n">
        <v>5.5</v>
      </c>
      <c r="E18" s="3" t="n">
        <v>5.5</v>
      </c>
      <c r="F18" s="3" t="n">
        <v>5.5</v>
      </c>
      <c r="G18" s="3" t="n">
        <v>5.5</v>
      </c>
      <c r="H18" s="3" t="n">
        <v>5.5</v>
      </c>
      <c r="I18" s="3" t="n">
        <v>5.5</v>
      </c>
      <c r="J18" s="3" t="n">
        <v>5.5</v>
      </c>
      <c r="K18" s="3" t="n">
        <v>5.5</v>
      </c>
      <c r="L18" s="3" t="n">
        <v>5.5</v>
      </c>
    </row>
    <row r="19" customFormat="false" ht="15" hidden="false" customHeight="false" outlineLevel="0" collapsed="false">
      <c r="A19" s="0" t="s">
        <v>111</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112</v>
      </c>
      <c r="B20" s="3" t="n">
        <v>7.75</v>
      </c>
    </row>
    <row r="21" customFormat="false" ht="15" hidden="false" customHeight="false" outlineLevel="0" collapsed="false">
      <c r="A21" s="0" t="s">
        <v>113</v>
      </c>
      <c r="B21" s="3" t="n">
        <v>1</v>
      </c>
    </row>
    <row r="22" customFormat="false" ht="15" hidden="false" customHeight="false" outlineLevel="0" collapsed="false">
      <c r="A22" s="0" t="s">
        <v>114</v>
      </c>
      <c r="B22" s="3" t="n">
        <v>15</v>
      </c>
    </row>
    <row r="23" customFormat="false" ht="15" hidden="false" customHeight="false" outlineLevel="0" collapsed="false">
      <c r="A23" s="0" t="s">
        <v>115</v>
      </c>
      <c r="B23" s="3" t="n">
        <v>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-4.5</v>
      </c>
      <c r="D27" s="3" t="n">
        <v>1.5</v>
      </c>
      <c r="E27" s="3" t="n">
        <v>2</v>
      </c>
      <c r="F27" s="3" t="n">
        <v>2</v>
      </c>
      <c r="G27" s="3" t="n">
        <v>2</v>
      </c>
      <c r="H27" s="3" t="n">
        <v>2</v>
      </c>
      <c r="I27" s="3" t="n">
        <v>1.75</v>
      </c>
      <c r="J27" s="3" t="n">
        <v>1.5</v>
      </c>
      <c r="K27" s="3" t="n">
        <v>1.5</v>
      </c>
      <c r="L27" s="3" t="n">
        <v>1.5</v>
      </c>
    </row>
    <row r="28" customFormat="false" ht="15" hidden="false" customHeight="false" outlineLevel="0" collapsed="false">
      <c r="A28" s="0" t="s">
        <v>106</v>
      </c>
      <c r="C28" s="3" t="n">
        <v>48.3</v>
      </c>
      <c r="D28" s="3" t="n">
        <v>48.8</v>
      </c>
      <c r="E28" s="3" t="n">
        <v>49.2</v>
      </c>
      <c r="F28" s="3" t="n">
        <v>49.5</v>
      </c>
      <c r="G28" s="3" t="n">
        <v>49.5</v>
      </c>
      <c r="H28" s="3" t="n">
        <v>49.5</v>
      </c>
      <c r="I28" s="3" t="n">
        <v>49.5</v>
      </c>
      <c r="J28" s="3" t="n">
        <v>49.5</v>
      </c>
      <c r="K28" s="3" t="n">
        <v>49.5</v>
      </c>
      <c r="L28" s="3" t="n">
        <v>49.5</v>
      </c>
    </row>
    <row r="29" customFormat="false" ht="15" hidden="false" customHeight="false" outlineLevel="0" collapsed="false">
      <c r="A29" s="0" t="s">
        <v>107</v>
      </c>
      <c r="C29" s="3" t="n">
        <v>2.1</v>
      </c>
      <c r="D29" s="3" t="n">
        <v>2.1</v>
      </c>
      <c r="E29" s="3" t="n">
        <v>2.1</v>
      </c>
      <c r="F29" s="3" t="n">
        <v>2.1</v>
      </c>
      <c r="G29" s="3" t="n">
        <v>2.1</v>
      </c>
      <c r="H29" s="3" t="n">
        <v>2.1</v>
      </c>
      <c r="I29" s="3" t="n">
        <v>2.1</v>
      </c>
      <c r="J29" s="3" t="n">
        <v>2.1</v>
      </c>
      <c r="K29" s="3" t="n">
        <v>2.1</v>
      </c>
      <c r="L29" s="3" t="n">
        <v>2.1</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110</v>
      </c>
      <c r="C32" s="3" t="n">
        <v>4.5</v>
      </c>
      <c r="D32" s="3" t="n">
        <v>4.5</v>
      </c>
      <c r="E32" s="3" t="n">
        <v>4.5</v>
      </c>
      <c r="F32" s="3" t="n">
        <v>4.5</v>
      </c>
      <c r="G32" s="3" t="n">
        <v>4.5</v>
      </c>
      <c r="H32" s="3" t="n">
        <v>4.5</v>
      </c>
      <c r="I32" s="3" t="n">
        <v>4.5</v>
      </c>
      <c r="J32" s="3" t="n">
        <v>4.5</v>
      </c>
      <c r="K32" s="3" t="n">
        <v>4.5</v>
      </c>
      <c r="L32" s="3" t="n">
        <v>4.5</v>
      </c>
    </row>
    <row r="33" customFormat="false" ht="15" hidden="false" customHeight="false" outlineLevel="0" collapsed="false">
      <c r="A33" s="0" t="s">
        <v>111</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112</v>
      </c>
      <c r="B34" s="3" t="n">
        <v>7</v>
      </c>
    </row>
    <row r="35" customFormat="false" ht="15" hidden="false" customHeight="false" outlineLevel="0" collapsed="false">
      <c r="A35" s="0" t="s">
        <v>113</v>
      </c>
      <c r="B35" s="3" t="n">
        <v>1.5</v>
      </c>
    </row>
    <row r="36" customFormat="false" ht="15" hidden="false" customHeight="false" outlineLevel="0" collapsed="false">
      <c r="A36" s="0" t="s">
        <v>114</v>
      </c>
      <c r="B36" s="3" t="n">
        <v>18</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-3.5</v>
      </c>
      <c r="D41" s="3" t="n">
        <v>2.5</v>
      </c>
      <c r="E41" s="3" t="n">
        <v>3</v>
      </c>
      <c r="F41" s="3" t="n">
        <v>3</v>
      </c>
      <c r="G41" s="3" t="n">
        <v>3</v>
      </c>
      <c r="H41" s="3" t="n">
        <v>2.5</v>
      </c>
      <c r="I41" s="3" t="n">
        <v>2.5</v>
      </c>
      <c r="J41" s="3" t="n">
        <v>2</v>
      </c>
      <c r="K41" s="3" t="n">
        <v>2</v>
      </c>
      <c r="L41" s="3" t="n">
        <v>2</v>
      </c>
    </row>
    <row r="42" customFormat="false" ht="15" hidden="false" customHeight="false" outlineLevel="0" collapsed="false">
      <c r="A42" s="0" t="s">
        <v>106</v>
      </c>
      <c r="C42" s="3" t="n">
        <v>48.8</v>
      </c>
      <c r="D42" s="3" t="n">
        <v>49.5</v>
      </c>
      <c r="E42" s="3" t="n">
        <v>50.2</v>
      </c>
      <c r="F42" s="3" t="n">
        <v>50.8</v>
      </c>
      <c r="G42" s="3" t="n">
        <v>51</v>
      </c>
      <c r="H42" s="3" t="n">
        <v>51</v>
      </c>
      <c r="I42" s="3" t="n">
        <v>51</v>
      </c>
      <c r="J42" s="3" t="n">
        <v>51</v>
      </c>
      <c r="K42" s="3" t="n">
        <v>51</v>
      </c>
      <c r="L42" s="3" t="n">
        <v>51</v>
      </c>
    </row>
    <row r="43" customFormat="false" ht="15" hidden="false" customHeight="false" outlineLevel="0" collapsed="false">
      <c r="A43" s="0" t="s">
        <v>107</v>
      </c>
      <c r="C43" s="3" t="n">
        <v>2</v>
      </c>
      <c r="D43" s="3" t="n">
        <v>2</v>
      </c>
      <c r="E43" s="3" t="n">
        <v>2</v>
      </c>
      <c r="F43" s="3" t="n">
        <v>2</v>
      </c>
      <c r="G43" s="3" t="n">
        <v>2</v>
      </c>
      <c r="H43" s="3" t="n">
        <v>2</v>
      </c>
      <c r="I43" s="3" t="n">
        <v>2</v>
      </c>
      <c r="J43" s="3" t="n">
        <v>2</v>
      </c>
      <c r="K43" s="3" t="n">
        <v>2</v>
      </c>
      <c r="L43" s="3" t="n">
        <v>2</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110</v>
      </c>
      <c r="C46" s="3" t="n">
        <v>4</v>
      </c>
      <c r="D46" s="3" t="n">
        <v>4</v>
      </c>
      <c r="E46" s="3" t="n">
        <v>4</v>
      </c>
      <c r="F46" s="3" t="n">
        <v>4</v>
      </c>
      <c r="G46" s="3" t="n">
        <v>4</v>
      </c>
      <c r="H46" s="3" t="n">
        <v>4</v>
      </c>
      <c r="I46" s="3" t="n">
        <v>4</v>
      </c>
      <c r="J46" s="3" t="n">
        <v>4</v>
      </c>
      <c r="K46" s="3" t="n">
        <v>4</v>
      </c>
      <c r="L46" s="3" t="n">
        <v>4</v>
      </c>
    </row>
    <row r="47" customFormat="false" ht="15" hidden="false" customHeight="false" outlineLevel="0" collapsed="false">
      <c r="A47" s="0" t="s">
        <v>111</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112</v>
      </c>
      <c r="B48" s="3" t="n">
        <v>6.5</v>
      </c>
    </row>
    <row r="49" customFormat="false" ht="15" hidden="false" customHeight="false" outlineLevel="0" collapsed="false">
      <c r="A49" s="0" t="s">
        <v>113</v>
      </c>
      <c r="B49" s="3" t="n">
        <v>2</v>
      </c>
    </row>
    <row r="50" customFormat="false" ht="15" hidden="false" customHeight="false" outlineLevel="0" collapsed="false">
      <c r="A50" s="0" t="s">
        <v>114</v>
      </c>
      <c r="B50" s="3" t="n">
        <v>21</v>
      </c>
    </row>
    <row r="51" customFormat="false" ht="15" hidden="false" customHeight="false" outlineLevel="0" collapsed="false">
      <c r="A51" s="0" t="s">
        <v>115</v>
      </c>
      <c r="B51" s="3" t="n">
        <v>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-6</v>
      </c>
      <c r="D5" s="4" t="n">
        <f aca="false">Assumptions!D13</f>
        <v>-1</v>
      </c>
      <c r="E5" s="4" t="n">
        <f aca="false">Assumptions!E13</f>
        <v>1</v>
      </c>
      <c r="F5" s="4" t="n">
        <f aca="false">Assumptions!F13</f>
        <v>1</v>
      </c>
      <c r="G5" s="4" t="n">
        <f aca="false">Assumptions!G13</f>
        <v>1.5</v>
      </c>
      <c r="H5" s="4" t="n">
        <f aca="false">Assumptions!H13</f>
        <v>1.5</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867.287</v>
      </c>
      <c r="C6" s="0" t="n">
        <f aca="false">B6*(1+C5/100)</f>
        <v>815.24978</v>
      </c>
      <c r="D6" s="0" t="n">
        <f aca="false">C6*(1+D5/100)</f>
        <v>807.0972822</v>
      </c>
      <c r="E6" s="0" t="n">
        <f aca="false">D6*(1+E5/100)</f>
        <v>815.168255022</v>
      </c>
      <c r="F6" s="0" t="n">
        <f aca="false">E6*(1+F5/100)</f>
        <v>823.31993757222</v>
      </c>
      <c r="G6" s="0" t="n">
        <f aca="false">F6*(1+G5/100)</f>
        <v>835.669736635803</v>
      </c>
      <c r="H6" s="0" t="n">
        <f aca="false">G6*(1+H5/100)</f>
        <v>848.20478268534</v>
      </c>
      <c r="I6" s="0" t="n">
        <f aca="false">H6*(1+I5/100)</f>
        <v>856.686830512194</v>
      </c>
      <c r="J6" s="0" t="n">
        <f aca="false">I6*(1+J5/100)</f>
        <v>865.253698817316</v>
      </c>
      <c r="K6" s="0" t="n">
        <f aca="false">J6*(1+K5/100)</f>
        <v>873.906235805489</v>
      </c>
      <c r="L6" s="0" t="n">
        <f aca="false">K6*(1+L5/100)</f>
        <v>882.645298163544</v>
      </c>
    </row>
    <row r="7" customFormat="false" ht="15" hidden="false" customHeight="false" outlineLevel="0" collapsed="false">
      <c r="A7" s="0" t="s">
        <v>106</v>
      </c>
      <c r="C7" s="4" t="n">
        <f aca="false">Assumptions!C14</f>
        <v>47</v>
      </c>
      <c r="D7" s="4" t="n">
        <f aca="false">Assumptions!D14</f>
        <v>46.5</v>
      </c>
      <c r="E7" s="4" t="n">
        <f aca="false">Assumptions!E14</f>
        <v>46.5</v>
      </c>
      <c r="F7" s="4" t="n">
        <f aca="false">Assumptions!F14</f>
        <v>46.5</v>
      </c>
      <c r="G7" s="4" t="n">
        <f aca="false">Assumptions!G14</f>
        <v>46.5</v>
      </c>
      <c r="H7" s="4" t="n">
        <f aca="false">Assumptions!H14</f>
        <v>46.5</v>
      </c>
      <c r="I7" s="4" t="n">
        <f aca="false">Assumptions!I14</f>
        <v>46.5</v>
      </c>
      <c r="J7" s="4" t="n">
        <f aca="false">Assumptions!J14</f>
        <v>46.5</v>
      </c>
      <c r="K7" s="4" t="n">
        <f aca="false">Assumptions!K14</f>
        <v>46.5</v>
      </c>
      <c r="L7" s="4" t="n">
        <f aca="false">Assumptions!L14</f>
        <v>46.5</v>
      </c>
    </row>
    <row r="8" customFormat="false" ht="15" hidden="false" customHeight="false" outlineLevel="0" collapsed="false">
      <c r="A8" s="0" t="s">
        <v>43</v>
      </c>
      <c r="C8" s="0" t="n">
        <f aca="false">C6*C7/100</f>
        <v>383.1673966</v>
      </c>
      <c r="D8" s="0" t="n">
        <f aca="false">D6*D7/100</f>
        <v>375.300236223</v>
      </c>
      <c r="E8" s="0" t="n">
        <f aca="false">E6*E7/100</f>
        <v>379.05323858523</v>
      </c>
      <c r="F8" s="0" t="n">
        <f aca="false">F6*F7/100</f>
        <v>382.843770971082</v>
      </c>
      <c r="G8" s="0" t="n">
        <f aca="false">G6*G7/100</f>
        <v>388.586427535649</v>
      </c>
      <c r="H8" s="0" t="n">
        <f aca="false">H6*H7/100</f>
        <v>394.415223948683</v>
      </c>
      <c r="I8" s="0" t="n">
        <f aca="false">I6*I7/100</f>
        <v>398.35937618817</v>
      </c>
      <c r="J8" s="0" t="n">
        <f aca="false">J6*J7/100</f>
        <v>402.342969950052</v>
      </c>
      <c r="K8" s="0" t="n">
        <f aca="false">K6*K7/100</f>
        <v>406.366399649552</v>
      </c>
      <c r="L8" s="0" t="n">
        <f aca="false">L6*L7/100</f>
        <v>410.430063646048</v>
      </c>
    </row>
    <row r="9" customFormat="false" ht="15" hidden="false" customHeight="false" outlineLevel="0" collapsed="false">
      <c r="A9" s="0" t="s">
        <v>107</v>
      </c>
      <c r="C9" s="4" t="n">
        <f aca="false">Assumptions!C15</f>
        <v>2.2</v>
      </c>
      <c r="D9" s="4" t="n">
        <f aca="false">Assumptions!D15</f>
        <v>2.2</v>
      </c>
      <c r="E9" s="4" t="n">
        <f aca="false">Assumptions!E15</f>
        <v>2.2</v>
      </c>
      <c r="F9" s="4" t="n">
        <f aca="false">Assumptions!F15</f>
        <v>2.2</v>
      </c>
      <c r="G9" s="4" t="n">
        <f aca="false">Assumptions!G15</f>
        <v>2.2</v>
      </c>
      <c r="H9" s="4" t="n">
        <f aca="false">Assumptions!H15</f>
        <v>2.2</v>
      </c>
      <c r="I9" s="4" t="n">
        <f aca="false">Assumptions!I15</f>
        <v>2.2</v>
      </c>
      <c r="J9" s="4" t="n">
        <f aca="false">Assumptions!J15</f>
        <v>2.2</v>
      </c>
      <c r="K9" s="4" t="n">
        <f aca="false">Assumptions!K15</f>
        <v>2.2</v>
      </c>
      <c r="L9" s="4" t="n">
        <f aca="false">Assumptions!L15</f>
        <v>2.2</v>
      </c>
    </row>
    <row r="10" customFormat="false" ht="15" hidden="false" customHeight="false" outlineLevel="0" collapsed="false">
      <c r="A10" s="0" t="s">
        <v>122</v>
      </c>
      <c r="C10" s="0" t="n">
        <f aca="false">-C6*C9/100</f>
        <v>-17.93549516</v>
      </c>
      <c r="D10" s="0" t="n">
        <f aca="false">-D6*D9/100</f>
        <v>-17.7561402084</v>
      </c>
      <c r="E10" s="0" t="n">
        <f aca="false">-E6*E9/100</f>
        <v>-17.933701610484</v>
      </c>
      <c r="F10" s="0" t="n">
        <f aca="false">-F6*F9/100</f>
        <v>-18.1130386265888</v>
      </c>
      <c r="G10" s="0" t="n">
        <f aca="false">-G6*G9/100</f>
        <v>-18.3847342059877</v>
      </c>
      <c r="H10" s="0" t="n">
        <f aca="false">-H6*H9/100</f>
        <v>-18.6605052190775</v>
      </c>
      <c r="I10" s="0" t="n">
        <f aca="false">-I6*I9/100</f>
        <v>-18.8471102712683</v>
      </c>
      <c r="J10" s="0" t="n">
        <f aca="false">-J6*J9/100</f>
        <v>-19.0355813739809</v>
      </c>
      <c r="K10" s="0" t="n">
        <f aca="false">-K6*K9/100</f>
        <v>-19.2259371877208</v>
      </c>
      <c r="L10" s="0" t="n">
        <f aca="false">-L6*L9/100</f>
        <v>-19.418196559598</v>
      </c>
    </row>
    <row r="11" customFormat="false" ht="15" hidden="false" customHeight="false" outlineLevel="0" collapsed="false">
      <c r="A11" s="0" t="s">
        <v>123</v>
      </c>
      <c r="C11" s="0" t="n">
        <f aca="false">C8+C10+C24</f>
        <v>365.23190144</v>
      </c>
      <c r="D11" s="0" t="n">
        <f aca="false">D8+D10+D24</f>
        <v>357.5440960146</v>
      </c>
      <c r="E11" s="0" t="n">
        <f aca="false">E8+E10+E24</f>
        <v>361.119536974746</v>
      </c>
      <c r="F11" s="0" t="n">
        <f aca="false">F8+F10+F24</f>
        <v>364.730732344494</v>
      </c>
      <c r="G11" s="0" t="n">
        <f aca="false">G8+G10+G24</f>
        <v>370.201693329661</v>
      </c>
      <c r="H11" s="0" t="n">
        <f aca="false">H8+H10+H24</f>
        <v>375.754718729606</v>
      </c>
      <c r="I11" s="0" t="n">
        <f aca="false">I8+I10+I24</f>
        <v>379.512265916902</v>
      </c>
      <c r="J11" s="0" t="n">
        <f aca="false">J8+J10+J24</f>
        <v>383.307388576071</v>
      </c>
      <c r="K11" s="0" t="n">
        <f aca="false">K8+K10+K24</f>
        <v>387.140462461832</v>
      </c>
      <c r="L11" s="0" t="n">
        <f aca="false">L8+L10+L24</f>
        <v>391.01186708645</v>
      </c>
    </row>
    <row r="12" customFormat="false" ht="15" hidden="false" customHeight="false" outlineLevel="0" collapsed="false">
      <c r="A12" s="0" t="s">
        <v>124</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125</v>
      </c>
      <c r="C13" s="0" t="n">
        <f aca="false">C11+C12</f>
        <v>365.23190144</v>
      </c>
      <c r="D13" s="0" t="n">
        <f aca="false">D11+D12</f>
        <v>357.5440960146</v>
      </c>
      <c r="E13" s="0" t="n">
        <f aca="false">E11+E12</f>
        <v>361.119536974746</v>
      </c>
      <c r="F13" s="0" t="n">
        <f aca="false">F11+F12</f>
        <v>364.730732344494</v>
      </c>
      <c r="G13" s="0" t="n">
        <f aca="false">G11+G12</f>
        <v>370.201693329661</v>
      </c>
      <c r="H13" s="0" t="n">
        <f aca="false">H11+H12</f>
        <v>375.754718729606</v>
      </c>
      <c r="I13" s="0" t="n">
        <f aca="false">I11+I12</f>
        <v>379.512265916902</v>
      </c>
      <c r="J13" s="0" t="n">
        <f aca="false">J11+J12</f>
        <v>383.307388576071</v>
      </c>
      <c r="K13" s="0" t="n">
        <f aca="false">K11+K12</f>
        <v>387.140462461832</v>
      </c>
      <c r="L13" s="0" t="n">
        <f aca="false">L11+L12</f>
        <v>391.01186708645</v>
      </c>
    </row>
    <row r="14" customFormat="false" ht="15" hidden="false" customHeight="false" outlineLevel="0" collapsed="false">
      <c r="A14" s="0" t="s">
        <v>111</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126</v>
      </c>
      <c r="C15" s="0" t="n">
        <f aca="false">C13-MAX(0,C13)*C14/100</f>
        <v>365.23190144</v>
      </c>
      <c r="D15" s="0" t="n">
        <f aca="false">D13-MAX(0,D13)*D14/100</f>
        <v>357.5440960146</v>
      </c>
      <c r="E15" s="0" t="n">
        <f aca="false">E13-MAX(0,E13)*E14/100</f>
        <v>361.119536974746</v>
      </c>
      <c r="F15" s="0" t="n">
        <f aca="false">F13-MAX(0,F13)*F14/100</f>
        <v>364.730732344494</v>
      </c>
      <c r="G15" s="0" t="n">
        <f aca="false">G13-MAX(0,G13)*G14/100</f>
        <v>370.201693329661</v>
      </c>
      <c r="H15" s="0" t="n">
        <f aca="false">H13-MAX(0,H13)*H14/100</f>
        <v>375.754718729606</v>
      </c>
      <c r="I15" s="0" t="n">
        <f aca="false">I13-MAX(0,I13)*I14/100</f>
        <v>379.512265916902</v>
      </c>
      <c r="J15" s="0" t="n">
        <f aca="false">J13-MAX(0,J13)*J14/100</f>
        <v>383.307388576071</v>
      </c>
      <c r="K15" s="0" t="n">
        <f aca="false">K13-MAX(0,K13)*K14/100</f>
        <v>387.140462461832</v>
      </c>
      <c r="L15" s="0" t="n">
        <f aca="false">L13-MAX(0,L13)*L14/100</f>
        <v>391.01186708645</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-C6*Assumptions!C18/100</f>
        <v>-44.8387379</v>
      </c>
      <c r="D17" s="4" t="n">
        <f aca="false">-D6*Assumptions!D18/100</f>
        <v>-44.390350521</v>
      </c>
      <c r="E17" s="4" t="n">
        <f aca="false">-E6*Assumptions!E18/100</f>
        <v>-44.83425402621</v>
      </c>
      <c r="F17" s="4" t="n">
        <f aca="false">-F6*Assumptions!F18/100</f>
        <v>-45.2825965664721</v>
      </c>
      <c r="G17" s="4" t="n">
        <f aca="false">-G6*Assumptions!G18/100</f>
        <v>-45.9618355149692</v>
      </c>
      <c r="H17" s="4" t="n">
        <f aca="false">-H6*Assumptions!H18/100</f>
        <v>-46.6512630476937</v>
      </c>
      <c r="I17" s="4" t="n">
        <f aca="false">-I6*Assumptions!I18/100</f>
        <v>-47.1177756781706</v>
      </c>
      <c r="J17" s="4" t="n">
        <f aca="false">-J6*Assumptions!J18/100</f>
        <v>-47.5889534349524</v>
      </c>
      <c r="K17" s="4" t="n">
        <f aca="false">-K6*Assumptions!K18/100</f>
        <v>-48.0648429693019</v>
      </c>
      <c r="L17" s="4" t="n">
        <f aca="false">-L6*Assumptions!L18/100</f>
        <v>-48.5454913989949</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320.39316354</v>
      </c>
      <c r="D19" s="0" t="n">
        <f aca="false">D15+D16+D17+D18</f>
        <v>313.1537454936</v>
      </c>
      <c r="E19" s="0" t="n">
        <f aca="false">E15+E16+E17+E18</f>
        <v>316.285282948536</v>
      </c>
      <c r="F19" s="0" t="n">
        <f aca="false">F15+F16+F17+F18</f>
        <v>319.448135778021</v>
      </c>
      <c r="G19" s="0" t="n">
        <f aca="false">G15+G16+G17+G18</f>
        <v>324.239857814692</v>
      </c>
      <c r="H19" s="0" t="n">
        <f aca="false">H15+H16+H17+H18</f>
        <v>329.103455681912</v>
      </c>
      <c r="I19" s="0" t="n">
        <f aca="false">I15+I16+I17+I18</f>
        <v>332.394490238731</v>
      </c>
      <c r="J19" s="0" t="n">
        <f aca="false">J15+J16+J17+J18</f>
        <v>335.718435141118</v>
      </c>
      <c r="K19" s="0" t="n">
        <f aca="false">K15+K16+K17+K18</f>
        <v>339.07561949253</v>
      </c>
      <c r="L19" s="0" t="n">
        <f aca="false">L15+L16+L17+L18</f>
        <v>342.466375687455</v>
      </c>
    </row>
    <row r="20" customFormat="false" ht="15" hidden="false" customHeight="false" outlineLevel="0" collapsed="false">
      <c r="A20" s="0" t="s">
        <v>131</v>
      </c>
      <c r="C20" s="0" t="n">
        <f aca="false">1/(1+$B$27/100)^C4</f>
        <v>0.928074245939675</v>
      </c>
      <c r="D20" s="0" t="n">
        <f aca="false">1/(1+$B$27/100)^D4</f>
        <v>0.861321805976497</v>
      </c>
      <c r="E20" s="0" t="n">
        <f aca="false">1/(1+$B$27/100)^E4</f>
        <v>0.799370585593037</v>
      </c>
      <c r="F20" s="0" t="n">
        <f aca="false">1/(1+$B$27/100)^F4</f>
        <v>0.741875253450614</v>
      </c>
      <c r="G20" s="0" t="n">
        <f aca="false">1/(1+$B$27/100)^G4</f>
        <v>0.688515316427484</v>
      </c>
      <c r="H20" s="0" t="n">
        <f aca="false">1/(1+$B$27/100)^H4</f>
        <v>0.638993333111354</v>
      </c>
      <c r="I20" s="0" t="n">
        <f aca="false">1/(1+$B$27/100)^I4</f>
        <v>0.5930332557878</v>
      </c>
      <c r="J20" s="0" t="n">
        <f aca="false">1/(1+$B$27/100)^J4</f>
        <v>0.550378891682413</v>
      </c>
      <c r="K20" s="0" t="n">
        <f aca="false">1/(1+$B$27/100)^K4</f>
        <v>0.51079247487927</v>
      </c>
      <c r="L20" s="0" t="n">
        <f aca="false">1/(1+$B$27/100)^L4</f>
        <v>0.474053340955239</v>
      </c>
    </row>
    <row r="21" customFormat="false" ht="15" hidden="false" customHeight="false" outlineLevel="0" collapsed="false">
      <c r="A21" s="0" t="s">
        <v>132</v>
      </c>
      <c r="C21" s="0" t="n">
        <f aca="false">C19*C20</f>
        <v>297.348643656613</v>
      </c>
      <c r="D21" s="0" t="n">
        <f aca="false">D19*D20</f>
        <v>269.726149616852</v>
      </c>
      <c r="E21" s="0" t="n">
        <f aca="false">E19*E20</f>
        <v>252.829151845031</v>
      </c>
      <c r="F21" s="0" t="n">
        <f aca="false">F19*F20</f>
        <v>236.990666694646</v>
      </c>
      <c r="G21" s="0" t="n">
        <f aca="false">G19*G20</f>
        <v>223.244108301685</v>
      </c>
      <c r="H21" s="0" t="n">
        <f aca="false">H19*H20</f>
        <v>210.29491408465</v>
      </c>
      <c r="I21" s="0" t="n">
        <f aca="false">I19*I20</f>
        <v>197.120986752201</v>
      </c>
      <c r="J21" s="0" t="n">
        <f aca="false">J19*J20</f>
        <v>184.772340250323</v>
      </c>
      <c r="K21" s="0" t="n">
        <f aca="false">K19*K20</f>
        <v>173.197274851811</v>
      </c>
      <c r="L21" s="0" t="n">
        <f aca="false">L19*L20</f>
        <v>162.34732955947</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7.75</v>
      </c>
    </row>
    <row r="28" customFormat="false" ht="15" hidden="false" customHeight="false" outlineLevel="0" collapsed="false">
      <c r="A28" s="0" t="s">
        <v>113</v>
      </c>
      <c r="B28" s="4" t="n">
        <f aca="false">Assumptions!$B$21</f>
        <v>1</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2207.87156561328</v>
      </c>
    </row>
    <row r="31" customFormat="false" ht="15" hidden="false" customHeight="false" outlineLevel="0" collapsed="false">
      <c r="A31" s="0" t="s">
        <v>136</v>
      </c>
      <c r="B31" s="0" t="n">
        <f aca="false">L19</f>
        <v>342.466375687455</v>
      </c>
    </row>
    <row r="32" customFormat="false" ht="15" hidden="false" customHeight="false" outlineLevel="0" collapsed="false">
      <c r="A32" s="0" t="s">
        <v>137</v>
      </c>
      <c r="B32" s="0" t="n">
        <f aca="false">IF(B27&gt;B28,B31*(1+B28/100)/((B27-B28)/100),B31*B29)</f>
        <v>5124.31169547155</v>
      </c>
    </row>
    <row r="33" customFormat="false" ht="15" hidden="false" customHeight="false" outlineLevel="0" collapsed="false">
      <c r="A33" s="0" t="s">
        <v>138</v>
      </c>
      <c r="B33" s="0" t="n">
        <f aca="false">B31*B29</f>
        <v>5136.99563531182</v>
      </c>
    </row>
    <row r="34" customFormat="false" ht="15" hidden="false" customHeight="false" outlineLevel="0" collapsed="false">
      <c r="A34" s="0" t="s">
        <v>139</v>
      </c>
      <c r="B34" s="0" t="n">
        <f aca="false">MAX(0,MIN(B32,B33))</f>
        <v>5124.31169547155</v>
      </c>
    </row>
    <row r="35" customFormat="false" ht="15" hidden="false" customHeight="false" outlineLevel="0" collapsed="false">
      <c r="A35" s="0" t="s">
        <v>140</v>
      </c>
      <c r="B35" s="0" t="n">
        <f aca="false">B34/(1+B27/100)^L4</f>
        <v>2429.19707933429</v>
      </c>
    </row>
    <row r="36" customFormat="false" ht="15" hidden="false" customHeight="false" outlineLevel="0" collapsed="false">
      <c r="A36" s="0" t="s">
        <v>141</v>
      </c>
      <c r="B36" s="0" t="n">
        <f aca="false">B30+B35</f>
        <v>4637.06864494757</v>
      </c>
    </row>
    <row r="37" customFormat="false" ht="15" hidden="false" customHeight="false" outlineLevel="0" collapsed="false">
      <c r="A37" s="0" t="s">
        <v>142</v>
      </c>
      <c r="B37" s="0" t="n">
        <f aca="false">B36+Assumptions!$B$5-Assumptions!$B$4</f>
        <v>4637.06864494757</v>
      </c>
    </row>
    <row r="38" customFormat="false" ht="15" hidden="false" customHeight="false" outlineLevel="0" collapsed="false">
      <c r="A38" s="0" t="s">
        <v>143</v>
      </c>
      <c r="B38" s="0" t="n">
        <f aca="false">B37/Assumptions!$B$3*Assumptions!$B$10</f>
        <v>0.877506428381731</v>
      </c>
    </row>
    <row r="39" customFormat="false" ht="15" hidden="false" customHeight="false" outlineLevel="0" collapsed="false">
      <c r="A39" s="0" t="s">
        <v>144</v>
      </c>
      <c r="B39" s="4" t="n">
        <f aca="false">B38/Assumptions!$B$2-1</f>
        <v>-0.24999450565664</v>
      </c>
    </row>
    <row r="41" customFormat="false" ht="15" hidden="false" customHeight="false" outlineLevel="0" collapsed="false">
      <c r="A41" s="0" t="s">
        <v>145</v>
      </c>
      <c r="B41" s="0" t="n">
        <f aca="false">SUMPRODUCT(-C10:L10/(1+$B$27/100)^C4:L4)</f>
        <v>124.974090432374</v>
      </c>
    </row>
    <row r="42" customFormat="false" ht="15" hidden="false" customHeight="false" outlineLevel="0" collapsed="false">
      <c r="A42" s="0" t="s">
        <v>146</v>
      </c>
      <c r="B42" s="0" t="n">
        <f aca="false">IF(B27&gt;B28,-L10*(1+B28/100)/((B27-B28)/100),-L10*20)/(1+B27/100)^L4</f>
        <v>137.73797872514</v>
      </c>
    </row>
    <row r="43" customFormat="false" ht="15" hidden="false" customHeight="false" outlineLevel="0" collapsed="false">
      <c r="A43" s="0" t="s">
        <v>147</v>
      </c>
      <c r="B43" s="0" t="n">
        <f aca="false">(B37+B41+B42)/Assumptions!$B$3*Assumptions!$B$10</f>
        <v>0.927221355451091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2470.65028174521</v>
      </c>
    </row>
    <row r="47" customFormat="false" ht="15" hidden="false" customHeight="false" outlineLevel="0" collapsed="false">
      <c r="A47" s="0" t="s">
        <v>149</v>
      </c>
      <c r="B47" s="0" t="n">
        <f aca="false">(SUMPRODUCT(C19:L19/(1+B45/100)^C4:L4)+B46/(1+B45/100)^L4+Assumptions!$B$5-Assumptions!$B$4)/Assumptions!$B$3*Assumptions!$B$10</f>
        <v>0.423122799630407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-4.5</v>
      </c>
      <c r="D5" s="4" t="n">
        <f aca="false">Assumptions!D27</f>
        <v>1.5</v>
      </c>
      <c r="E5" s="4" t="n">
        <f aca="false">Assumptions!E27</f>
        <v>2</v>
      </c>
      <c r="F5" s="4" t="n">
        <f aca="false">Assumptions!F27</f>
        <v>2</v>
      </c>
      <c r="G5" s="4" t="n">
        <f aca="false">Assumptions!G27</f>
        <v>2</v>
      </c>
      <c r="H5" s="4" t="n">
        <f aca="false">Assumptions!H27</f>
        <v>2</v>
      </c>
      <c r="I5" s="4" t="n">
        <f aca="false">Assumptions!I27</f>
        <v>1.75</v>
      </c>
      <c r="J5" s="4" t="n">
        <f aca="false">Assumptions!J27</f>
        <v>1.5</v>
      </c>
      <c r="K5" s="4" t="n">
        <f aca="false">Assumptions!K27</f>
        <v>1.5</v>
      </c>
      <c r="L5" s="4" t="n">
        <f aca="false">Assumptions!L27</f>
        <v>1.5</v>
      </c>
    </row>
    <row r="6" customFormat="false" ht="15" hidden="false" customHeight="false" outlineLevel="0" collapsed="false">
      <c r="A6" s="0" t="s">
        <v>37</v>
      </c>
      <c r="B6" s="3" t="n">
        <v>867.287</v>
      </c>
      <c r="C6" s="0" t="n">
        <f aca="false">B6*(1+C5/100)</f>
        <v>828.259085</v>
      </c>
      <c r="D6" s="0" t="n">
        <f aca="false">C6*(1+D5/100)</f>
        <v>840.682971275</v>
      </c>
      <c r="E6" s="0" t="n">
        <f aca="false">D6*(1+E5/100)</f>
        <v>857.4966307005</v>
      </c>
      <c r="F6" s="0" t="n">
        <f aca="false">E6*(1+F5/100)</f>
        <v>874.64656331451</v>
      </c>
      <c r="G6" s="0" t="n">
        <f aca="false">F6*(1+G5/100)</f>
        <v>892.1394945808</v>
      </c>
      <c r="H6" s="0" t="n">
        <f aca="false">G6*(1+H5/100)</f>
        <v>909.982284472416</v>
      </c>
      <c r="I6" s="0" t="n">
        <f aca="false">H6*(1+I5/100)</f>
        <v>925.906974450684</v>
      </c>
      <c r="J6" s="0" t="n">
        <f aca="false">I6*(1+J5/100)</f>
        <v>939.795579067444</v>
      </c>
      <c r="K6" s="0" t="n">
        <f aca="false">J6*(1+K5/100)</f>
        <v>953.892512753455</v>
      </c>
      <c r="L6" s="0" t="n">
        <f aca="false">K6*(1+L5/100)</f>
        <v>968.200900444757</v>
      </c>
    </row>
    <row r="7" customFormat="false" ht="15" hidden="false" customHeight="false" outlineLevel="0" collapsed="false">
      <c r="A7" s="0" t="s">
        <v>106</v>
      </c>
      <c r="C7" s="4" t="n">
        <f aca="false">Assumptions!C28</f>
        <v>48.3</v>
      </c>
      <c r="D7" s="4" t="n">
        <f aca="false">Assumptions!D28</f>
        <v>48.8</v>
      </c>
      <c r="E7" s="4" t="n">
        <f aca="false">Assumptions!E28</f>
        <v>49.2</v>
      </c>
      <c r="F7" s="4" t="n">
        <f aca="false">Assumptions!F28</f>
        <v>49.5</v>
      </c>
      <c r="G7" s="4" t="n">
        <f aca="false">Assumptions!G28</f>
        <v>49.5</v>
      </c>
      <c r="H7" s="4" t="n">
        <f aca="false">Assumptions!H28</f>
        <v>49.5</v>
      </c>
      <c r="I7" s="4" t="n">
        <f aca="false">Assumptions!I28</f>
        <v>49.5</v>
      </c>
      <c r="J7" s="4" t="n">
        <f aca="false">Assumptions!J28</f>
        <v>49.5</v>
      </c>
      <c r="K7" s="4" t="n">
        <f aca="false">Assumptions!K28</f>
        <v>49.5</v>
      </c>
      <c r="L7" s="4" t="n">
        <f aca="false">Assumptions!L28</f>
        <v>49.5</v>
      </c>
    </row>
    <row r="8" customFormat="false" ht="15" hidden="false" customHeight="false" outlineLevel="0" collapsed="false">
      <c r="A8" s="0" t="s">
        <v>43</v>
      </c>
      <c r="C8" s="0" t="n">
        <f aca="false">C6*C7/100</f>
        <v>400.049138055</v>
      </c>
      <c r="D8" s="0" t="n">
        <f aca="false">D6*D7/100</f>
        <v>410.2532899822</v>
      </c>
      <c r="E8" s="0" t="n">
        <f aca="false">E6*E7/100</f>
        <v>421.888342304646</v>
      </c>
      <c r="F8" s="0" t="n">
        <f aca="false">F6*F7/100</f>
        <v>432.950048840682</v>
      </c>
      <c r="G8" s="0" t="n">
        <f aca="false">G6*G7/100</f>
        <v>441.609049817496</v>
      </c>
      <c r="H8" s="0" t="n">
        <f aca="false">H6*H7/100</f>
        <v>450.441230813846</v>
      </c>
      <c r="I8" s="0" t="n">
        <f aca="false">I6*I7/100</f>
        <v>458.323952353088</v>
      </c>
      <c r="J8" s="0" t="n">
        <f aca="false">J6*J7/100</f>
        <v>465.198811638385</v>
      </c>
      <c r="K8" s="0" t="n">
        <f aca="false">K6*K7/100</f>
        <v>472.17679381296</v>
      </c>
      <c r="L8" s="0" t="n">
        <f aca="false">L6*L7/100</f>
        <v>479.259445720155</v>
      </c>
    </row>
    <row r="9" customFormat="false" ht="15" hidden="false" customHeight="false" outlineLevel="0" collapsed="false">
      <c r="A9" s="0" t="s">
        <v>107</v>
      </c>
      <c r="C9" s="4" t="n">
        <f aca="false">Assumptions!C29</f>
        <v>2.1</v>
      </c>
      <c r="D9" s="4" t="n">
        <f aca="false">Assumptions!D29</f>
        <v>2.1</v>
      </c>
      <c r="E9" s="4" t="n">
        <f aca="false">Assumptions!E29</f>
        <v>2.1</v>
      </c>
      <c r="F9" s="4" t="n">
        <f aca="false">Assumptions!F29</f>
        <v>2.1</v>
      </c>
      <c r="G9" s="4" t="n">
        <f aca="false">Assumptions!G29</f>
        <v>2.1</v>
      </c>
      <c r="H9" s="4" t="n">
        <f aca="false">Assumptions!H29</f>
        <v>2.1</v>
      </c>
      <c r="I9" s="4" t="n">
        <f aca="false">Assumptions!I29</f>
        <v>2.1</v>
      </c>
      <c r="J9" s="4" t="n">
        <f aca="false">Assumptions!J29</f>
        <v>2.1</v>
      </c>
      <c r="K9" s="4" t="n">
        <f aca="false">Assumptions!K29</f>
        <v>2.1</v>
      </c>
      <c r="L9" s="4" t="n">
        <f aca="false">Assumptions!L29</f>
        <v>2.1</v>
      </c>
    </row>
    <row r="10" customFormat="false" ht="15" hidden="false" customHeight="false" outlineLevel="0" collapsed="false">
      <c r="A10" s="0" t="s">
        <v>122</v>
      </c>
      <c r="C10" s="0" t="n">
        <f aca="false">-C6*C9/100</f>
        <v>-17.393440785</v>
      </c>
      <c r="D10" s="0" t="n">
        <f aca="false">-D6*D9/100</f>
        <v>-17.654342396775</v>
      </c>
      <c r="E10" s="0" t="n">
        <f aca="false">-E6*E9/100</f>
        <v>-18.0074292447105</v>
      </c>
      <c r="F10" s="0" t="n">
        <f aca="false">-F6*F9/100</f>
        <v>-18.3675778296047</v>
      </c>
      <c r="G10" s="0" t="n">
        <f aca="false">-G6*G9/100</f>
        <v>-18.7349293861968</v>
      </c>
      <c r="H10" s="0" t="n">
        <f aca="false">-H6*H9/100</f>
        <v>-19.1096279739207</v>
      </c>
      <c r="I10" s="0" t="n">
        <f aca="false">-I6*I9/100</f>
        <v>-19.4440464634644</v>
      </c>
      <c r="J10" s="0" t="n">
        <f aca="false">-J6*J9/100</f>
        <v>-19.7357071604163</v>
      </c>
      <c r="K10" s="0" t="n">
        <f aca="false">-K6*K9/100</f>
        <v>-20.0317427678226</v>
      </c>
      <c r="L10" s="0" t="n">
        <f aca="false">-L6*L9/100</f>
        <v>-20.3322189093399</v>
      </c>
    </row>
    <row r="11" customFormat="false" ht="15" hidden="false" customHeight="false" outlineLevel="0" collapsed="false">
      <c r="A11" s="0" t="s">
        <v>123</v>
      </c>
      <c r="C11" s="0" t="n">
        <f aca="false">C8+C10+C24</f>
        <v>382.65569727</v>
      </c>
      <c r="D11" s="0" t="n">
        <f aca="false">D8+D10+D24</f>
        <v>392.598947585425</v>
      </c>
      <c r="E11" s="0" t="n">
        <f aca="false">E8+E10+E24</f>
        <v>403.880913059936</v>
      </c>
      <c r="F11" s="0" t="n">
        <f aca="false">F8+F10+F24</f>
        <v>414.582471011078</v>
      </c>
      <c r="G11" s="0" t="n">
        <f aca="false">G8+G10+G24</f>
        <v>422.874120431299</v>
      </c>
      <c r="H11" s="0" t="n">
        <f aca="false">H8+H10+H24</f>
        <v>431.331602839925</v>
      </c>
      <c r="I11" s="0" t="n">
        <f aca="false">I8+I10+I24</f>
        <v>438.879905889624</v>
      </c>
      <c r="J11" s="0" t="n">
        <f aca="false">J8+J10+J24</f>
        <v>445.463104477968</v>
      </c>
      <c r="K11" s="0" t="n">
        <f aca="false">K8+K10+K24</f>
        <v>452.145051045138</v>
      </c>
      <c r="L11" s="0" t="n">
        <f aca="false">L8+L10+L24</f>
        <v>458.927226810815</v>
      </c>
    </row>
    <row r="12" customFormat="false" ht="15" hidden="false" customHeight="false" outlineLevel="0" collapsed="false">
      <c r="A12" s="0" t="s">
        <v>124</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125</v>
      </c>
      <c r="C13" s="0" t="n">
        <f aca="false">C11+C12</f>
        <v>382.65569727</v>
      </c>
      <c r="D13" s="0" t="n">
        <f aca="false">D11+D12</f>
        <v>392.598947585425</v>
      </c>
      <c r="E13" s="0" t="n">
        <f aca="false">E11+E12</f>
        <v>403.880913059936</v>
      </c>
      <c r="F13" s="0" t="n">
        <f aca="false">F11+F12</f>
        <v>414.582471011078</v>
      </c>
      <c r="G13" s="0" t="n">
        <f aca="false">G11+G12</f>
        <v>422.874120431299</v>
      </c>
      <c r="H13" s="0" t="n">
        <f aca="false">H11+H12</f>
        <v>431.331602839925</v>
      </c>
      <c r="I13" s="0" t="n">
        <f aca="false">I11+I12</f>
        <v>438.879905889624</v>
      </c>
      <c r="J13" s="0" t="n">
        <f aca="false">J11+J12</f>
        <v>445.463104477968</v>
      </c>
      <c r="K13" s="0" t="n">
        <f aca="false">K11+K12</f>
        <v>452.145051045138</v>
      </c>
      <c r="L13" s="0" t="n">
        <f aca="false">L11+L12</f>
        <v>458.927226810815</v>
      </c>
    </row>
    <row r="14" customFormat="false" ht="15" hidden="false" customHeight="false" outlineLevel="0" collapsed="false">
      <c r="A14" s="0" t="s">
        <v>111</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126</v>
      </c>
      <c r="C15" s="0" t="n">
        <f aca="false">C13-MAX(0,C13)*C14/100</f>
        <v>382.65569727</v>
      </c>
      <c r="D15" s="0" t="n">
        <f aca="false">D13-MAX(0,D13)*D14/100</f>
        <v>392.598947585425</v>
      </c>
      <c r="E15" s="0" t="n">
        <f aca="false">E13-MAX(0,E13)*E14/100</f>
        <v>403.880913059936</v>
      </c>
      <c r="F15" s="0" t="n">
        <f aca="false">F13-MAX(0,F13)*F14/100</f>
        <v>414.582471011078</v>
      </c>
      <c r="G15" s="0" t="n">
        <f aca="false">G13-MAX(0,G13)*G14/100</f>
        <v>422.874120431299</v>
      </c>
      <c r="H15" s="0" t="n">
        <f aca="false">H13-MAX(0,H13)*H14/100</f>
        <v>431.331602839925</v>
      </c>
      <c r="I15" s="0" t="n">
        <f aca="false">I13-MAX(0,I13)*I14/100</f>
        <v>438.879905889624</v>
      </c>
      <c r="J15" s="0" t="n">
        <f aca="false">J13-MAX(0,J13)*J14/100</f>
        <v>445.463104477968</v>
      </c>
      <c r="K15" s="0" t="n">
        <f aca="false">K13-MAX(0,K13)*K14/100</f>
        <v>452.145051045138</v>
      </c>
      <c r="L15" s="0" t="n">
        <f aca="false">L13-MAX(0,L13)*L14/100</f>
        <v>458.927226810815</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-C6*Assumptions!C32/100</f>
        <v>-37.271658825</v>
      </c>
      <c r="D17" s="4" t="n">
        <f aca="false">-D6*Assumptions!D32/100</f>
        <v>-37.830733707375</v>
      </c>
      <c r="E17" s="4" t="n">
        <f aca="false">-E6*Assumptions!E32/100</f>
        <v>-38.5873483815225</v>
      </c>
      <c r="F17" s="4" t="n">
        <f aca="false">-F6*Assumptions!F32/100</f>
        <v>-39.359095349153</v>
      </c>
      <c r="G17" s="4" t="n">
        <f aca="false">-G6*Assumptions!G32/100</f>
        <v>-40.146277256136</v>
      </c>
      <c r="H17" s="4" t="n">
        <f aca="false">-H6*Assumptions!H32/100</f>
        <v>-40.9492028012587</v>
      </c>
      <c r="I17" s="4" t="n">
        <f aca="false">-I6*Assumptions!I32/100</f>
        <v>-41.6658138502808</v>
      </c>
      <c r="J17" s="4" t="n">
        <f aca="false">-J6*Assumptions!J32/100</f>
        <v>-42.290801058035</v>
      </c>
      <c r="K17" s="4" t="n">
        <f aca="false">-K6*Assumptions!K32/100</f>
        <v>-42.9251630739055</v>
      </c>
      <c r="L17" s="4" t="n">
        <f aca="false">-L6*Assumptions!L32/100</f>
        <v>-43.5690405200141</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345.384038445</v>
      </c>
      <c r="D19" s="0" t="n">
        <f aca="false">D15+D16+D17+D18</f>
        <v>354.76821387805</v>
      </c>
      <c r="E19" s="0" t="n">
        <f aca="false">E15+E16+E17+E18</f>
        <v>365.293564678413</v>
      </c>
      <c r="F19" s="0" t="n">
        <f aca="false">F15+F16+F17+F18</f>
        <v>375.223375661925</v>
      </c>
      <c r="G19" s="0" t="n">
        <f aca="false">G15+G16+G17+G18</f>
        <v>382.727843175163</v>
      </c>
      <c r="H19" s="0" t="n">
        <f aca="false">H15+H16+H17+H18</f>
        <v>390.382400038667</v>
      </c>
      <c r="I19" s="0" t="n">
        <f aca="false">I15+I16+I17+I18</f>
        <v>397.214092039343</v>
      </c>
      <c r="J19" s="0" t="n">
        <f aca="false">J15+J16+J17+J18</f>
        <v>403.172303419933</v>
      </c>
      <c r="K19" s="0" t="n">
        <f aca="false">K15+K16+K17+K18</f>
        <v>409.219887971232</v>
      </c>
      <c r="L19" s="0" t="n">
        <f aca="false">L15+L16+L17+L18</f>
        <v>415.358186290801</v>
      </c>
    </row>
    <row r="20" customFormat="false" ht="15" hidden="false" customHeight="false" outlineLevel="0" collapsed="false">
      <c r="A20" s="0" t="s">
        <v>131</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132</v>
      </c>
      <c r="C21" s="0" t="n">
        <f aca="false">C19*C20</f>
        <v>322.788820976636</v>
      </c>
      <c r="D21" s="0" t="n">
        <f aca="false">D19*D20</f>
        <v>309.868297561403</v>
      </c>
      <c r="E21" s="0" t="n">
        <f aca="false">E19*E20</f>
        <v>298.18836128888</v>
      </c>
      <c r="F21" s="0" t="n">
        <f aca="false">F19*F20</f>
        <v>286.256116740792</v>
      </c>
      <c r="G21" s="0" t="n">
        <f aca="false">G19*G20</f>
        <v>272.879662687484</v>
      </c>
      <c r="H21" s="0" t="n">
        <f aca="false">H19*H20</f>
        <v>260.128276580592</v>
      </c>
      <c r="I21" s="0" t="n">
        <f aca="false">I19*I20</f>
        <v>247.364973290423</v>
      </c>
      <c r="J21" s="0" t="n">
        <f aca="false">J19*J20</f>
        <v>234.649951298859</v>
      </c>
      <c r="K21" s="0" t="n">
        <f aca="false">K19*K20</f>
        <v>222.588505204058</v>
      </c>
      <c r="L21" s="0" t="n">
        <f aca="false">L19*L20</f>
        <v>211.147039983289</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7</v>
      </c>
    </row>
    <row r="28" customFormat="false" ht="15" hidden="false" customHeight="false" outlineLevel="0" collapsed="false">
      <c r="A28" s="0" t="s">
        <v>113</v>
      </c>
      <c r="B28" s="4" t="n">
        <f aca="false">Assumptions!$B$35</f>
        <v>1.5</v>
      </c>
    </row>
    <row r="29" customFormat="false" ht="15" hidden="false" customHeight="false" outlineLevel="0" collapsed="false">
      <c r="A29" s="0" t="s">
        <v>114</v>
      </c>
      <c r="B29" s="4" t="n">
        <f aca="false">Assumptions!$B$36</f>
        <v>18</v>
      </c>
    </row>
    <row r="30" customFormat="false" ht="15" hidden="false" customHeight="false" outlineLevel="0" collapsed="false">
      <c r="A30" s="0" t="s">
        <v>135</v>
      </c>
      <c r="B30" s="0" t="n">
        <f aca="false">SUM(C21:L21)</f>
        <v>2665.86000561242</v>
      </c>
    </row>
    <row r="31" customFormat="false" ht="15" hidden="false" customHeight="false" outlineLevel="0" collapsed="false">
      <c r="A31" s="0" t="s">
        <v>136</v>
      </c>
      <c r="B31" s="0" t="n">
        <f aca="false">L19</f>
        <v>415.358186290801</v>
      </c>
    </row>
    <row r="32" customFormat="false" ht="15" hidden="false" customHeight="false" outlineLevel="0" collapsed="false">
      <c r="A32" s="0" t="s">
        <v>137</v>
      </c>
      <c r="B32" s="0" t="n">
        <f aca="false">IF(B27&gt;B28,B31*(1+B28/100)/((B27-B28)/100),B31*B29)</f>
        <v>7665.24652882114</v>
      </c>
    </row>
    <row r="33" customFormat="false" ht="15" hidden="false" customHeight="false" outlineLevel="0" collapsed="false">
      <c r="A33" s="0" t="s">
        <v>138</v>
      </c>
      <c r="B33" s="0" t="n">
        <f aca="false">B31*B29</f>
        <v>7476.44735323442</v>
      </c>
    </row>
    <row r="34" customFormat="false" ht="15" hidden="false" customHeight="false" outlineLevel="0" collapsed="false">
      <c r="A34" s="0" t="s">
        <v>139</v>
      </c>
      <c r="B34" s="0" t="n">
        <f aca="false">MAX(0,MIN(B32,B33))</f>
        <v>7476.44735323442</v>
      </c>
    </row>
    <row r="35" customFormat="false" ht="15" hidden="false" customHeight="false" outlineLevel="0" collapsed="false">
      <c r="A35" s="0" t="s">
        <v>140</v>
      </c>
      <c r="B35" s="0" t="n">
        <f aca="false">B34/(1+B27/100)^L4</f>
        <v>3800.6467196992</v>
      </c>
    </row>
    <row r="36" customFormat="false" ht="15" hidden="false" customHeight="false" outlineLevel="0" collapsed="false">
      <c r="A36" s="0" t="s">
        <v>141</v>
      </c>
      <c r="B36" s="0" t="n">
        <f aca="false">B30+B35</f>
        <v>6466.50672531161</v>
      </c>
    </row>
    <row r="37" customFormat="false" ht="15" hidden="false" customHeight="false" outlineLevel="0" collapsed="false">
      <c r="A37" s="0" t="s">
        <v>142</v>
      </c>
      <c r="B37" s="0" t="n">
        <f aca="false">B36+Assumptions!$B$5-Assumptions!$B$4</f>
        <v>6466.50672531161</v>
      </c>
    </row>
    <row r="38" customFormat="false" ht="15" hidden="false" customHeight="false" outlineLevel="0" collapsed="false">
      <c r="A38" s="0" t="s">
        <v>143</v>
      </c>
      <c r="B38" s="0" t="n">
        <f aca="false">B37/Assumptions!$B$3*Assumptions!$B$10</f>
        <v>1.22370438203828</v>
      </c>
    </row>
    <row r="39" customFormat="false" ht="15" hidden="false" customHeight="false" outlineLevel="0" collapsed="false">
      <c r="A39" s="0" t="s">
        <v>144</v>
      </c>
      <c r="B39" s="4" t="n">
        <f aca="false">B38/Assumptions!$B$2-1</f>
        <v>0.0459011812292973</v>
      </c>
    </row>
    <row r="41" customFormat="false" ht="15" hidden="false" customHeight="false" outlineLevel="0" collapsed="false">
      <c r="A41" s="0" t="s">
        <v>145</v>
      </c>
      <c r="B41" s="0" t="n">
        <f aca="false">SUMPRODUCT(-C10:L10/(1+$B$27/100)^C4:L4)</f>
        <v>131.305745750279</v>
      </c>
    </row>
    <row r="42" customFormat="false" ht="15" hidden="false" customHeight="false" outlineLevel="0" collapsed="false">
      <c r="A42" s="0" t="s">
        <v>146</v>
      </c>
      <c r="B42" s="0" t="n">
        <f aca="false">IF(B27&gt;B28,-L10*(1+B28/100)/((B27-B28)/100),-L10*20)/(1+B27/100)^L4</f>
        <v>190.743765935317</v>
      </c>
    </row>
    <row r="43" customFormat="false" ht="15" hidden="false" customHeight="false" outlineLevel="0" collapsed="false">
      <c r="A43" s="0" t="s">
        <v>147</v>
      </c>
      <c r="B43" s="0" t="n">
        <f aca="false">(B37+B41+B42)/Assumptions!$B$3*Assumptions!$B$10</f>
        <v>1.28464816751991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3122.87821544565</v>
      </c>
    </row>
    <row r="47" customFormat="false" ht="15" hidden="false" customHeight="false" outlineLevel="0" collapsed="false">
      <c r="A47" s="0" t="s">
        <v>149</v>
      </c>
      <c r="B47" s="0" t="n">
        <f aca="false">(SUMPRODUCT(C19:L19/(1+B45/100)^C4:L4)+B46/(1+B45/100)^L4+Assumptions!$B$5-Assumptions!$B$4)/Assumptions!$B$3*Assumptions!$B$10</f>
        <v>0.502314707099919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-3.5</v>
      </c>
      <c r="D5" s="4" t="n">
        <f aca="false">Assumptions!D41</f>
        <v>2.5</v>
      </c>
      <c r="E5" s="4" t="n">
        <f aca="false">Assumptions!E41</f>
        <v>3</v>
      </c>
      <c r="F5" s="4" t="n">
        <f aca="false">Assumptions!F41</f>
        <v>3</v>
      </c>
      <c r="G5" s="4" t="n">
        <f aca="false">Assumptions!G41</f>
        <v>3</v>
      </c>
      <c r="H5" s="4" t="n">
        <f aca="false">Assumptions!H41</f>
        <v>2.5</v>
      </c>
      <c r="I5" s="4" t="n">
        <f aca="false">Assumptions!I41</f>
        <v>2.5</v>
      </c>
      <c r="J5" s="4" t="n">
        <f aca="false">Assumptions!J41</f>
        <v>2</v>
      </c>
      <c r="K5" s="4" t="n">
        <f aca="false">Assumptions!K41</f>
        <v>2</v>
      </c>
      <c r="L5" s="4" t="n">
        <f aca="false">Assumptions!L41</f>
        <v>2</v>
      </c>
    </row>
    <row r="6" customFormat="false" ht="15" hidden="false" customHeight="false" outlineLevel="0" collapsed="false">
      <c r="A6" s="0" t="s">
        <v>37</v>
      </c>
      <c r="B6" s="3" t="n">
        <v>867.287</v>
      </c>
      <c r="C6" s="0" t="n">
        <f aca="false">B6*(1+C5/100)</f>
        <v>836.931955</v>
      </c>
      <c r="D6" s="0" t="n">
        <f aca="false">C6*(1+D5/100)</f>
        <v>857.855253875</v>
      </c>
      <c r="E6" s="0" t="n">
        <f aca="false">D6*(1+E5/100)</f>
        <v>883.59091149125</v>
      </c>
      <c r="F6" s="0" t="n">
        <f aca="false">E6*(1+F5/100)</f>
        <v>910.098638835988</v>
      </c>
      <c r="G6" s="0" t="n">
        <f aca="false">F6*(1+G5/100)</f>
        <v>937.401598001067</v>
      </c>
      <c r="H6" s="0" t="n">
        <f aca="false">G6*(1+H5/100)</f>
        <v>960.836637951094</v>
      </c>
      <c r="I6" s="0" t="n">
        <f aca="false">H6*(1+I5/100)</f>
        <v>984.857553899871</v>
      </c>
      <c r="J6" s="0" t="n">
        <f aca="false">I6*(1+J5/100)</f>
        <v>1004.55470497787</v>
      </c>
      <c r="K6" s="0" t="n">
        <f aca="false">J6*(1+K5/100)</f>
        <v>1024.64579907743</v>
      </c>
      <c r="L6" s="0" t="n">
        <f aca="false">K6*(1+L5/100)</f>
        <v>1045.13871505897</v>
      </c>
    </row>
    <row r="7" customFormat="false" ht="15" hidden="false" customHeight="false" outlineLevel="0" collapsed="false">
      <c r="A7" s="0" t="s">
        <v>106</v>
      </c>
      <c r="C7" s="4" t="n">
        <f aca="false">Assumptions!C42</f>
        <v>48.8</v>
      </c>
      <c r="D7" s="4" t="n">
        <f aca="false">Assumptions!D42</f>
        <v>49.5</v>
      </c>
      <c r="E7" s="4" t="n">
        <f aca="false">Assumptions!E42</f>
        <v>50.2</v>
      </c>
      <c r="F7" s="4" t="n">
        <f aca="false">Assumptions!F42</f>
        <v>50.8</v>
      </c>
      <c r="G7" s="4" t="n">
        <f aca="false">Assumptions!G42</f>
        <v>51</v>
      </c>
      <c r="H7" s="4" t="n">
        <f aca="false">Assumptions!H42</f>
        <v>51</v>
      </c>
      <c r="I7" s="4" t="n">
        <f aca="false">Assumptions!I42</f>
        <v>51</v>
      </c>
      <c r="J7" s="4" t="n">
        <f aca="false">Assumptions!J42</f>
        <v>51</v>
      </c>
      <c r="K7" s="4" t="n">
        <f aca="false">Assumptions!K42</f>
        <v>51</v>
      </c>
      <c r="L7" s="4" t="n">
        <f aca="false">Assumptions!L42</f>
        <v>51</v>
      </c>
    </row>
    <row r="8" customFormat="false" ht="15" hidden="false" customHeight="false" outlineLevel="0" collapsed="false">
      <c r="A8" s="0" t="s">
        <v>43</v>
      </c>
      <c r="C8" s="0" t="n">
        <f aca="false">C6*C7/100</f>
        <v>408.42279404</v>
      </c>
      <c r="D8" s="0" t="n">
        <f aca="false">D6*D7/100</f>
        <v>424.638350668125</v>
      </c>
      <c r="E8" s="0" t="n">
        <f aca="false">E6*E7/100</f>
        <v>443.562637568607</v>
      </c>
      <c r="F8" s="0" t="n">
        <f aca="false">F6*F7/100</f>
        <v>462.330108528682</v>
      </c>
      <c r="G8" s="0" t="n">
        <f aca="false">G6*G7/100</f>
        <v>478.074814980544</v>
      </c>
      <c r="H8" s="0" t="n">
        <f aca="false">H6*H7/100</f>
        <v>490.026685355058</v>
      </c>
      <c r="I8" s="0" t="n">
        <f aca="false">I6*I7/100</f>
        <v>502.277352488934</v>
      </c>
      <c r="J8" s="0" t="n">
        <f aca="false">J6*J7/100</f>
        <v>512.322899538713</v>
      </c>
      <c r="K8" s="0" t="n">
        <f aca="false">K6*K7/100</f>
        <v>522.569357529487</v>
      </c>
      <c r="L8" s="0" t="n">
        <f aca="false">L6*L7/100</f>
        <v>533.020744680077</v>
      </c>
    </row>
    <row r="9" customFormat="false" ht="15" hidden="false" customHeight="false" outlineLevel="0" collapsed="false">
      <c r="A9" s="0" t="s">
        <v>107</v>
      </c>
      <c r="C9" s="4" t="n">
        <f aca="false">Assumptions!C43</f>
        <v>2</v>
      </c>
      <c r="D9" s="4" t="n">
        <f aca="false">Assumptions!D43</f>
        <v>2</v>
      </c>
      <c r="E9" s="4" t="n">
        <f aca="false">Assumptions!E43</f>
        <v>2</v>
      </c>
      <c r="F9" s="4" t="n">
        <f aca="false">Assumptions!F43</f>
        <v>2</v>
      </c>
      <c r="G9" s="4" t="n">
        <f aca="false">Assumptions!G43</f>
        <v>2</v>
      </c>
      <c r="H9" s="4" t="n">
        <f aca="false">Assumptions!H43</f>
        <v>2</v>
      </c>
      <c r="I9" s="4" t="n">
        <f aca="false">Assumptions!I43</f>
        <v>2</v>
      </c>
      <c r="J9" s="4" t="n">
        <f aca="false">Assumptions!J43</f>
        <v>2</v>
      </c>
      <c r="K9" s="4" t="n">
        <f aca="false">Assumptions!K43</f>
        <v>2</v>
      </c>
      <c r="L9" s="4" t="n">
        <f aca="false">Assumptions!L43</f>
        <v>2</v>
      </c>
    </row>
    <row r="10" customFormat="false" ht="15" hidden="false" customHeight="false" outlineLevel="0" collapsed="false">
      <c r="A10" s="0" t="s">
        <v>122</v>
      </c>
      <c r="C10" s="0" t="n">
        <f aca="false">-C6*C9/100</f>
        <v>-16.7386391</v>
      </c>
      <c r="D10" s="0" t="n">
        <f aca="false">-D6*D9/100</f>
        <v>-17.1571050775</v>
      </c>
      <c r="E10" s="0" t="n">
        <f aca="false">-E6*E9/100</f>
        <v>-17.671818229825</v>
      </c>
      <c r="F10" s="0" t="n">
        <f aca="false">-F6*F9/100</f>
        <v>-18.2019727767198</v>
      </c>
      <c r="G10" s="0" t="n">
        <f aca="false">-G6*G9/100</f>
        <v>-18.7480319600213</v>
      </c>
      <c r="H10" s="0" t="n">
        <f aca="false">-H6*H9/100</f>
        <v>-19.2167327590219</v>
      </c>
      <c r="I10" s="0" t="n">
        <f aca="false">-I6*I9/100</f>
        <v>-19.6971510779974</v>
      </c>
      <c r="J10" s="0" t="n">
        <f aca="false">-J6*J9/100</f>
        <v>-20.0910940995574</v>
      </c>
      <c r="K10" s="0" t="n">
        <f aca="false">-K6*K9/100</f>
        <v>-20.4929159815485</v>
      </c>
      <c r="L10" s="0" t="n">
        <f aca="false">-L6*L9/100</f>
        <v>-20.9027743011795</v>
      </c>
    </row>
    <row r="11" customFormat="false" ht="15" hidden="false" customHeight="false" outlineLevel="0" collapsed="false">
      <c r="A11" s="0" t="s">
        <v>123</v>
      </c>
      <c r="C11" s="0" t="n">
        <f aca="false">C8+C10+C24</f>
        <v>391.68415494</v>
      </c>
      <c r="D11" s="0" t="n">
        <f aca="false">D8+D10+D24</f>
        <v>407.481245590625</v>
      </c>
      <c r="E11" s="0" t="n">
        <f aca="false">E8+E10+E24</f>
        <v>425.890819338782</v>
      </c>
      <c r="F11" s="0" t="n">
        <f aca="false">F8+F10+F24</f>
        <v>444.128135751962</v>
      </c>
      <c r="G11" s="0" t="n">
        <f aca="false">G8+G10+G24</f>
        <v>459.326783020523</v>
      </c>
      <c r="H11" s="0" t="n">
        <f aca="false">H8+H10+H24</f>
        <v>470.809952596036</v>
      </c>
      <c r="I11" s="0" t="n">
        <f aca="false">I8+I10+I24</f>
        <v>482.580201410937</v>
      </c>
      <c r="J11" s="0" t="n">
        <f aca="false">J8+J10+J24</f>
        <v>492.231805439156</v>
      </c>
      <c r="K11" s="0" t="n">
        <f aca="false">K8+K10+K24</f>
        <v>502.076441547939</v>
      </c>
      <c r="L11" s="0" t="n">
        <f aca="false">L8+L10+L24</f>
        <v>512.117970378897</v>
      </c>
    </row>
    <row r="12" customFormat="false" ht="15" hidden="false" customHeight="false" outlineLevel="0" collapsed="false">
      <c r="A12" s="0" t="s">
        <v>124</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125</v>
      </c>
      <c r="C13" s="0" t="n">
        <f aca="false">C11+C12</f>
        <v>391.68415494</v>
      </c>
      <c r="D13" s="0" t="n">
        <f aca="false">D11+D12</f>
        <v>407.481245590625</v>
      </c>
      <c r="E13" s="0" t="n">
        <f aca="false">E11+E12</f>
        <v>425.890819338782</v>
      </c>
      <c r="F13" s="0" t="n">
        <f aca="false">F11+F12</f>
        <v>444.128135751962</v>
      </c>
      <c r="G13" s="0" t="n">
        <f aca="false">G11+G12</f>
        <v>459.326783020523</v>
      </c>
      <c r="H13" s="0" t="n">
        <f aca="false">H11+H12</f>
        <v>470.809952596036</v>
      </c>
      <c r="I13" s="0" t="n">
        <f aca="false">I11+I12</f>
        <v>482.580201410937</v>
      </c>
      <c r="J13" s="0" t="n">
        <f aca="false">J11+J12</f>
        <v>492.231805439156</v>
      </c>
      <c r="K13" s="0" t="n">
        <f aca="false">K11+K12</f>
        <v>502.076441547939</v>
      </c>
      <c r="L13" s="0" t="n">
        <f aca="false">L11+L12</f>
        <v>512.117970378897</v>
      </c>
    </row>
    <row r="14" customFormat="false" ht="15" hidden="false" customHeight="false" outlineLevel="0" collapsed="false">
      <c r="A14" s="0" t="s">
        <v>111</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126</v>
      </c>
      <c r="C15" s="0" t="n">
        <f aca="false">C13-MAX(0,C13)*C14/100</f>
        <v>391.68415494</v>
      </c>
      <c r="D15" s="0" t="n">
        <f aca="false">D13-MAX(0,D13)*D14/100</f>
        <v>407.481245590625</v>
      </c>
      <c r="E15" s="0" t="n">
        <f aca="false">E13-MAX(0,E13)*E14/100</f>
        <v>425.890819338782</v>
      </c>
      <c r="F15" s="0" t="n">
        <f aca="false">F13-MAX(0,F13)*F14/100</f>
        <v>444.128135751962</v>
      </c>
      <c r="G15" s="0" t="n">
        <f aca="false">G13-MAX(0,G13)*G14/100</f>
        <v>459.326783020523</v>
      </c>
      <c r="H15" s="0" t="n">
        <f aca="false">H13-MAX(0,H13)*H14/100</f>
        <v>470.809952596036</v>
      </c>
      <c r="I15" s="0" t="n">
        <f aca="false">I13-MAX(0,I13)*I14/100</f>
        <v>482.580201410937</v>
      </c>
      <c r="J15" s="0" t="n">
        <f aca="false">J13-MAX(0,J13)*J14/100</f>
        <v>492.231805439156</v>
      </c>
      <c r="K15" s="0" t="n">
        <f aca="false">K13-MAX(0,K13)*K14/100</f>
        <v>502.076441547939</v>
      </c>
      <c r="L15" s="0" t="n">
        <f aca="false">L13-MAX(0,L13)*L14/100</f>
        <v>512.117970378897</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-C6*Assumptions!C46/100</f>
        <v>-33.4772782</v>
      </c>
      <c r="D17" s="4" t="n">
        <f aca="false">-D6*Assumptions!D46/100</f>
        <v>-34.314210155</v>
      </c>
      <c r="E17" s="4" t="n">
        <f aca="false">-E6*Assumptions!E46/100</f>
        <v>-35.34363645965</v>
      </c>
      <c r="F17" s="4" t="n">
        <f aca="false">-F6*Assumptions!F46/100</f>
        <v>-36.4039455534395</v>
      </c>
      <c r="G17" s="4" t="n">
        <f aca="false">-G6*Assumptions!G46/100</f>
        <v>-37.4960639200427</v>
      </c>
      <c r="H17" s="4" t="n">
        <f aca="false">-H6*Assumptions!H46/100</f>
        <v>-38.4334655180438</v>
      </c>
      <c r="I17" s="4" t="n">
        <f aca="false">-I6*Assumptions!I46/100</f>
        <v>-39.3943021559948</v>
      </c>
      <c r="J17" s="4" t="n">
        <f aca="false">-J6*Assumptions!J46/100</f>
        <v>-40.1821881991147</v>
      </c>
      <c r="K17" s="4" t="n">
        <f aca="false">-K6*Assumptions!K46/100</f>
        <v>-40.985831963097</v>
      </c>
      <c r="L17" s="4" t="n">
        <f aca="false">-L6*Assumptions!L46/100</f>
        <v>-41.805548602359</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358.20687674</v>
      </c>
      <c r="D19" s="0" t="n">
        <f aca="false">D15+D16+D17+D18</f>
        <v>373.167035435625</v>
      </c>
      <c r="E19" s="0" t="n">
        <f aca="false">E15+E16+E17+E18</f>
        <v>390.547182879132</v>
      </c>
      <c r="F19" s="0" t="n">
        <f aca="false">F15+F16+F17+F18</f>
        <v>407.724190198522</v>
      </c>
      <c r="G19" s="0" t="n">
        <f aca="false">G15+G16+G17+G18</f>
        <v>421.83071910048</v>
      </c>
      <c r="H19" s="0" t="n">
        <f aca="false">H15+H16+H17+H18</f>
        <v>432.376487077992</v>
      </c>
      <c r="I19" s="0" t="n">
        <f aca="false">I15+I16+I17+I18</f>
        <v>443.185899254942</v>
      </c>
      <c r="J19" s="0" t="n">
        <f aca="false">J15+J16+J17+J18</f>
        <v>452.049617240041</v>
      </c>
      <c r="K19" s="0" t="n">
        <f aca="false">K15+K16+K17+K18</f>
        <v>461.090609584842</v>
      </c>
      <c r="L19" s="0" t="n">
        <f aca="false">L15+L16+L17+L18</f>
        <v>470.312421776539</v>
      </c>
    </row>
    <row r="20" customFormat="false" ht="15" hidden="false" customHeight="false" outlineLevel="0" collapsed="false">
      <c r="A20" s="0" t="s">
        <v>131</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132</v>
      </c>
      <c r="C21" s="0" t="n">
        <f aca="false">C19*C20</f>
        <v>336.344485201878</v>
      </c>
      <c r="D21" s="0" t="n">
        <f aca="false">D19*D20</f>
        <v>329.006180815645</v>
      </c>
      <c r="E21" s="0" t="n">
        <f aca="false">E19*E20</f>
        <v>323.314130652702</v>
      </c>
      <c r="F21" s="0" t="n">
        <f aca="false">F19*F20</f>
        <v>316.933427757702</v>
      </c>
      <c r="G21" s="0" t="n">
        <f aca="false">G19*G20</f>
        <v>307.886158127294</v>
      </c>
      <c r="H21" s="0" t="n">
        <f aca="false">H19*H20</f>
        <v>296.322358761011</v>
      </c>
      <c r="I21" s="0" t="n">
        <f aca="false">I19*I20</f>
        <v>285.192880497687</v>
      </c>
      <c r="J21" s="0" t="n">
        <f aca="false">J19*J20</f>
        <v>273.142477096376</v>
      </c>
      <c r="K21" s="0" t="n">
        <f aca="false">K19*K20</f>
        <v>261.601245669769</v>
      </c>
      <c r="L21" s="0" t="n">
        <f aca="false">L19*L20</f>
        <v>250.547671909074</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6.5</v>
      </c>
    </row>
    <row r="28" customFormat="false" ht="15" hidden="false" customHeight="false" outlineLevel="0" collapsed="false">
      <c r="A28" s="0" t="s">
        <v>113</v>
      </c>
      <c r="B28" s="4" t="n">
        <f aca="false">Assumptions!$B$49</f>
        <v>2</v>
      </c>
    </row>
    <row r="29" customFormat="false" ht="15" hidden="false" customHeight="false" outlineLevel="0" collapsed="false">
      <c r="A29" s="0" t="s">
        <v>114</v>
      </c>
      <c r="B29" s="4" t="n">
        <f aca="false">Assumptions!$B$50</f>
        <v>21</v>
      </c>
    </row>
    <row r="30" customFormat="false" ht="15" hidden="false" customHeight="false" outlineLevel="0" collapsed="false">
      <c r="A30" s="0" t="s">
        <v>135</v>
      </c>
      <c r="B30" s="0" t="n">
        <f aca="false">SUM(C21:L21)</f>
        <v>2980.29101648914</v>
      </c>
    </row>
    <row r="31" customFormat="false" ht="15" hidden="false" customHeight="false" outlineLevel="0" collapsed="false">
      <c r="A31" s="0" t="s">
        <v>136</v>
      </c>
      <c r="B31" s="0" t="n">
        <f aca="false">L19</f>
        <v>470.312421776539</v>
      </c>
    </row>
    <row r="32" customFormat="false" ht="15" hidden="false" customHeight="false" outlineLevel="0" collapsed="false">
      <c r="A32" s="0" t="s">
        <v>137</v>
      </c>
      <c r="B32" s="0" t="n">
        <f aca="false">IF(B27&gt;B28,B31*(1+B28/100)/((B27-B28)/100),B31*B29)</f>
        <v>10660.4148936015</v>
      </c>
    </row>
    <row r="33" customFormat="false" ht="15" hidden="false" customHeight="false" outlineLevel="0" collapsed="false">
      <c r="A33" s="0" t="s">
        <v>138</v>
      </c>
      <c r="B33" s="0" t="n">
        <f aca="false">B31*B29</f>
        <v>9876.56085730731</v>
      </c>
    </row>
    <row r="34" customFormat="false" ht="15" hidden="false" customHeight="false" outlineLevel="0" collapsed="false">
      <c r="A34" s="0" t="s">
        <v>139</v>
      </c>
      <c r="B34" s="0" t="n">
        <f aca="false">MAX(0,MIN(B32,B33))</f>
        <v>9876.56085730731</v>
      </c>
    </row>
    <row r="35" customFormat="false" ht="15" hidden="false" customHeight="false" outlineLevel="0" collapsed="false">
      <c r="A35" s="0" t="s">
        <v>140</v>
      </c>
      <c r="B35" s="0" t="n">
        <f aca="false">B34/(1+B27/100)^L4</f>
        <v>5261.50111009056</v>
      </c>
    </row>
    <row r="36" customFormat="false" ht="15" hidden="false" customHeight="false" outlineLevel="0" collapsed="false">
      <c r="A36" s="0" t="s">
        <v>141</v>
      </c>
      <c r="B36" s="0" t="n">
        <f aca="false">B30+B35</f>
        <v>8241.79212657969</v>
      </c>
    </row>
    <row r="37" customFormat="false" ht="15" hidden="false" customHeight="false" outlineLevel="0" collapsed="false">
      <c r="A37" s="0" t="s">
        <v>142</v>
      </c>
      <c r="B37" s="0" t="n">
        <f aca="false">B36+Assumptions!$B$5-Assumptions!$B$4</f>
        <v>8241.79212657969</v>
      </c>
    </row>
    <row r="38" customFormat="false" ht="15" hidden="false" customHeight="false" outlineLevel="0" collapsed="false">
      <c r="A38" s="0" t="s">
        <v>143</v>
      </c>
      <c r="B38" s="0" t="n">
        <f aca="false">B37/Assumptions!$B$3*Assumptions!$B$10</f>
        <v>1.5596546280029</v>
      </c>
    </row>
    <row r="39" customFormat="false" ht="15" hidden="false" customHeight="false" outlineLevel="0" collapsed="false">
      <c r="A39" s="0" t="s">
        <v>144</v>
      </c>
      <c r="B39" s="4" t="n">
        <f aca="false">B38/Assumptions!$B$2-1</f>
        <v>0.333038143592224</v>
      </c>
    </row>
    <row r="41" customFormat="false" ht="15" hidden="false" customHeight="false" outlineLevel="0" collapsed="false">
      <c r="A41" s="0" t="s">
        <v>145</v>
      </c>
      <c r="B41" s="0" t="n">
        <f aca="false">SUMPRODUCT(-C10:L10/(1+$B$27/100)^C4:L4)</f>
        <v>134.052956145348</v>
      </c>
    </row>
    <row r="42" customFormat="false" ht="15" hidden="false" customHeight="false" outlineLevel="0" collapsed="false">
      <c r="A42" s="0" t="s">
        <v>146</v>
      </c>
      <c r="B42" s="0" t="n">
        <f aca="false">IF(B27&gt;B28,-L10*(1+B28/100)/((B27-B28)/100),-L10*20)/(1+B27/100)^L4</f>
        <v>252.403580589882</v>
      </c>
    </row>
    <row r="43" customFormat="false" ht="15" hidden="false" customHeight="false" outlineLevel="0" collapsed="false">
      <c r="A43" s="0" t="s">
        <v>147</v>
      </c>
      <c r="B43" s="0" t="n">
        <f aca="false">(B37+B41+B42)/Assumptions!$B$3*Assumptions!$B$10</f>
        <v>1.6327866260907</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3690.14361701592</v>
      </c>
    </row>
    <row r="47" customFormat="false" ht="15" hidden="false" customHeight="false" outlineLevel="0" collapsed="false">
      <c r="A47" s="0" t="s">
        <v>149</v>
      </c>
      <c r="B47" s="0" t="n">
        <f aca="false">(SUMPRODUCT(C19:L19/(1+B45/100)^C4:L4)+B46/(1+B45/100)^L4+Assumptions!$B$5-Assumptions!$B$4)/Assumptions!$B$3*Assumptions!$B$10</f>
        <v>0.559020513058658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0.877506428381731</v>
      </c>
      <c r="C4" s="0" t="n">
        <f aca="false">B4/Assumptions!$B$2-1</f>
        <v>-0.24999450565664</v>
      </c>
      <c r="D4" s="4" t="n">
        <f aca="false">Assumptions!$B$24</f>
        <v>0.25</v>
      </c>
      <c r="E4" s="4" t="n">
        <f aca="false">DCF_Bear!$B$43</f>
        <v>0.927221355451091</v>
      </c>
      <c r="F4" s="4" t="n">
        <f aca="false">DCF_Bear!$B$47</f>
        <v>0.423122799630407</v>
      </c>
    </row>
    <row r="5" customFormat="false" ht="15" hidden="false" customHeight="false" outlineLevel="0" collapsed="false">
      <c r="A5" s="0" t="s">
        <v>158</v>
      </c>
      <c r="B5" s="4" t="n">
        <f aca="false">DCF_Base!$B$38</f>
        <v>1.22370438203828</v>
      </c>
      <c r="C5" s="0" t="n">
        <f aca="false">B5/Assumptions!$B$2-1</f>
        <v>0.0459011812292973</v>
      </c>
      <c r="D5" s="4" t="n">
        <f aca="false">Assumptions!$B$38</f>
        <v>0.5</v>
      </c>
      <c r="E5" s="4" t="n">
        <f aca="false">DCF_Base!$B$43</f>
        <v>1.28464816751991</v>
      </c>
      <c r="F5" s="4" t="n">
        <f aca="false">DCF_Base!$B$47</f>
        <v>0.502314707099919</v>
      </c>
    </row>
    <row r="6" customFormat="false" ht="15" hidden="false" customHeight="false" outlineLevel="0" collapsed="false">
      <c r="A6" s="0" t="s">
        <v>159</v>
      </c>
      <c r="B6" s="4" t="n">
        <f aca="false">DCF_Bull!$B$38</f>
        <v>1.5596546280029</v>
      </c>
      <c r="C6" s="0" t="n">
        <f aca="false">B6/Assumptions!$B$2-1</f>
        <v>0.333038143592224</v>
      </c>
      <c r="D6" s="4" t="n">
        <f aca="false">Assumptions!$B$52</f>
        <v>0.25</v>
      </c>
      <c r="E6" s="4" t="n">
        <f aca="false">DCF_Bull!$B$43</f>
        <v>1.6327866260907</v>
      </c>
      <c r="F6" s="4" t="n">
        <f aca="false">DCF_Bull!$B$47</f>
        <v>0.559020513058658</v>
      </c>
    </row>
    <row r="8" customFormat="false" ht="15" hidden="false" customHeight="false" outlineLevel="0" collapsed="false">
      <c r="A8" s="0" t="s">
        <v>160</v>
      </c>
      <c r="B8" s="0" t="n">
        <f aca="false">SUMPRODUCT(B4:B6,D4:D6)</f>
        <v>1.2211424551153</v>
      </c>
    </row>
    <row r="9" customFormat="false" ht="15" hidden="false" customHeight="false" outlineLevel="0" collapsed="false">
      <c r="A9" s="0" t="s">
        <v>161</v>
      </c>
      <c r="B9" s="0" t="n">
        <f aca="false">SUMPRODUCT(E4:E6,D4:D6)</f>
        <v>1.28232607914541</v>
      </c>
    </row>
    <row r="10" customFormat="false" ht="15" hidden="false" customHeight="false" outlineLevel="0" collapsed="false">
      <c r="A10" s="0" t="s">
        <v>162</v>
      </c>
      <c r="B10" s="0" t="n">
        <f aca="false">1-Assumptions!$B$2/B8</f>
        <v>0.0418808263532763</v>
      </c>
    </row>
    <row r="11" customFormat="false" ht="15" hidden="false" customHeight="false" outlineLevel="0" collapsed="false">
      <c r="A11" s="0" t="s">
        <v>163</v>
      </c>
      <c r="B11" s="0" t="n">
        <f aca="false">IF(ABS(B9-B8)&gt;0.01*ABS(B8),(Assumptions!$B$2-B8)/(B9-B8)*100,"n/a")</f>
        <v>-83.5884698332515</v>
      </c>
    </row>
    <row r="12" customFormat="false" ht="15" hidden="false" customHeight="false" outlineLevel="0" collapsed="false">
      <c r="A12" s="0" t="s">
        <v>164</v>
      </c>
      <c r="B12" s="0" t="n">
        <f aca="false">SUMPRODUCT(F4:F6,D4:D6)</f>
        <v>0.496693181722226</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1.22370438203828</v>
      </c>
      <c r="C15" s="3" t="n">
        <v>7</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0.908873084065658</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0.801186718028955</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0.716197181440394</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0.647418465510831</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0.502314707099919</v>
      </c>
      <c r="C20" s="3" t="n">
        <v>15</v>
      </c>
    </row>
    <row r="22" customFormat="false" ht="15" hidden="false" customHeight="false" outlineLevel="0" collapsed="false">
      <c r="A22" s="2" t="s">
        <v>173</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1.42495829921582</v>
      </c>
      <c r="C24" s="0" t="n">
        <f aca="false">(SUMPRODUCT(DCF_Base!$C$19:$L$19/(1+$A$24/100)^DCF_Base!$C$4:$L$4)+MAX(0,MIN(IF($A$24&gt;$C$23,DCF_Base!$L$19*(1+$C$23/100)/(($A$24-$C$23)/100),DCF_Base!$L$19*DCF_Base!$B$29),DCF_Base!$L$19*DCF_Base!$B$29))/(1+$A$24/100)^DCF_Base!$L$4+Assumptions!$B$5-Assumptions!$B$4)/Assumptions!$B$3*Assumptions!$B$10</f>
        <v>1.42495829921582</v>
      </c>
      <c r="D24" s="0" t="n">
        <f aca="false">(SUMPRODUCT(DCF_Base!$C$19:$L$19/(1+$A$24/100)^DCF_Base!$C$4:$L$4)+MAX(0,MIN(IF($A$24&gt;$D$23,DCF_Base!$L$19*(1+$D$23/100)/(($A$24-$D$23)/100),DCF_Base!$L$19*DCF_Base!$B$29),DCF_Base!$L$19*DCF_Base!$B$29))/(1+$A$24/100)^DCF_Base!$L$4+Assumptions!$B$5-Assumptions!$B$4)/Assumptions!$B$3*Assumptions!$B$10</f>
        <v>1.42495829921582</v>
      </c>
      <c r="E24" s="0" t="n">
        <f aca="false">(SUMPRODUCT(DCF_Base!$C$19:$L$19/(1+$A$24/100)^DCF_Base!$C$4:$L$4)+MAX(0,MIN(IF($A$24&gt;$E$23,DCF_Base!$L$19*(1+$E$23/100)/(($A$24-$E$23)/100),DCF_Base!$L$19*DCF_Base!$B$29),DCF_Base!$L$19*DCF_Base!$B$29))/(1+$A$24/100)^DCF_Base!$L$4+Assumptions!$B$5-Assumptions!$B$4)/Assumptions!$B$3*Assumptions!$B$10</f>
        <v>1.42495829921582</v>
      </c>
      <c r="F24" s="0" t="n">
        <f aca="false">(SUMPRODUCT(DCF_Base!$C$19:$L$19/(1+$A$24/100)^DCF_Base!$C$4:$L$4)+MAX(0,MIN(IF($A$24&gt;$F$23,DCF_Base!$L$19*(1+$F$23/100)/(($A$24-$F$23)/100),DCF_Base!$L$19*DCF_Base!$B$29),DCF_Base!$L$19*DCF_Base!$B$29))/(1+$A$24/100)^DCF_Base!$L$4+Assumptions!$B$5-Assumptions!$B$4)/Assumptions!$B$3*Assumptions!$B$10</f>
        <v>1.42495829921582</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1.31951049729276</v>
      </c>
      <c r="C25" s="0" t="n">
        <f aca="false">(SUMPRODUCT(DCF_Base!$C$19:$L$19/(1+$A$25/100)^DCF_Base!$C$4:$L$4)+MAX(0,MIN(IF($A$25&gt;$C$23,DCF_Base!$L$19*(1+$C$23/100)/(($A$25-$C$23)/100),DCF_Base!$L$19*DCF_Base!$B$29),DCF_Base!$L$19*DCF_Base!$B$29))/(1+$A$25/100)^DCF_Base!$L$4+Assumptions!$B$5-Assumptions!$B$4)/Assumptions!$B$3*Assumptions!$B$10</f>
        <v>1.31951049729276</v>
      </c>
      <c r="D25" s="0" t="n">
        <f aca="false">(SUMPRODUCT(DCF_Base!$C$19:$L$19/(1+$A$25/100)^DCF_Base!$C$4:$L$4)+MAX(0,MIN(IF($A$25&gt;$D$23,DCF_Base!$L$19*(1+$D$23/100)/(($A$25-$D$23)/100),DCF_Base!$L$19*DCF_Base!$B$29),DCF_Base!$L$19*DCF_Base!$B$29))/(1+$A$25/100)^DCF_Base!$L$4+Assumptions!$B$5-Assumptions!$B$4)/Assumptions!$B$3*Assumptions!$B$10</f>
        <v>1.31951049729276</v>
      </c>
      <c r="E25" s="0" t="n">
        <f aca="false">(SUMPRODUCT(DCF_Base!$C$19:$L$19/(1+$A$25/100)^DCF_Base!$C$4:$L$4)+MAX(0,MIN(IF($A$25&gt;$E$23,DCF_Base!$L$19*(1+$E$23/100)/(($A$25-$E$23)/100),DCF_Base!$L$19*DCF_Base!$B$29),DCF_Base!$L$19*DCF_Base!$B$29))/(1+$A$25/100)^DCF_Base!$L$4+Assumptions!$B$5-Assumptions!$B$4)/Assumptions!$B$3*Assumptions!$B$10</f>
        <v>1.31951049729276</v>
      </c>
      <c r="F25" s="0" t="n">
        <f aca="false">(SUMPRODUCT(DCF_Base!$C$19:$L$19/(1+$A$25/100)^DCF_Base!$C$4:$L$4)+MAX(0,MIN(IF($A$25&gt;$F$23,DCF_Base!$L$19*(1+$F$23/100)/(($A$25-$F$23)/100),DCF_Base!$L$19*DCF_Base!$B$29),DCF_Base!$L$19*DCF_Base!$B$29))/(1+$A$25/100)^DCF_Base!$L$4+Assumptions!$B$5-Assumptions!$B$4)/Assumptions!$B$3*Assumptions!$B$10</f>
        <v>1.31951049729276</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1.12227532995495</v>
      </c>
      <c r="C26" s="0" t="n">
        <f aca="false">(SUMPRODUCT(DCF_Base!$C$19:$L$19/(1+$A$26/100)^DCF_Base!$C$4:$L$4)+MAX(0,MIN(IF($A$26&gt;$C$23,DCF_Base!$L$19*(1+$C$23/100)/(($A$26-$C$23)/100),DCF_Base!$L$19*DCF_Base!$B$29),DCF_Base!$L$19*DCF_Base!$B$29))/(1+$A$26/100)^DCF_Base!$L$4+Assumptions!$B$5-Assumptions!$B$4)/Assumptions!$B$3*Assumptions!$B$10</f>
        <v>1.17708799951513</v>
      </c>
      <c r="D26" s="0" t="n">
        <f aca="false">(SUMPRODUCT(DCF_Base!$C$19:$L$19/(1+$A$26/100)^DCF_Base!$C$4:$L$4)+MAX(0,MIN(IF($A$26&gt;$D$23,DCF_Base!$L$19*(1+$D$23/100)/(($A$26-$D$23)/100),DCF_Base!$L$19*DCF_Base!$B$29),DCF_Base!$L$19*DCF_Base!$B$29))/(1+$A$26/100)^DCF_Base!$L$4+Assumptions!$B$5-Assumptions!$B$4)/Assumptions!$B$3*Assumptions!$B$10</f>
        <v>1.22370438203828</v>
      </c>
      <c r="E26" s="0" t="n">
        <f aca="false">(SUMPRODUCT(DCF_Base!$C$19:$L$19/(1+$A$26/100)^DCF_Base!$C$4:$L$4)+MAX(0,MIN(IF($A$26&gt;$E$23,DCF_Base!$L$19*(1+$E$23/100)/(($A$26-$E$23)/100),DCF_Base!$L$19*DCF_Base!$B$29),DCF_Base!$L$19*DCF_Base!$B$29))/(1+$A$26/100)^DCF_Base!$L$4+Assumptions!$B$5-Assumptions!$B$4)/Assumptions!$B$3*Assumptions!$B$10</f>
        <v>1.22370438203828</v>
      </c>
      <c r="F26" s="0" t="n">
        <f aca="false">(SUMPRODUCT(DCF_Base!$C$19:$L$19/(1+$A$26/100)^DCF_Base!$C$4:$L$4)+MAX(0,MIN(IF($A$26&gt;$F$23,DCF_Base!$L$19*(1+$F$23/100)/(($A$26-$F$23)/100),DCF_Base!$L$19*DCF_Base!$B$29),DCF_Base!$L$19*DCF_Base!$B$29))/(1+$A$26/100)^DCF_Base!$L$4+Assumptions!$B$5-Assumptions!$B$4)/Assumptions!$B$3*Assumptions!$B$10</f>
        <v>1.22370438203828</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0.96907698109789</v>
      </c>
      <c r="C27" s="0" t="n">
        <f aca="false">(SUMPRODUCT(DCF_Base!$C$19:$L$19/(1+$A$27/100)^DCF_Base!$C$4:$L$4)+MAX(0,MIN(IF($A$27&gt;$C$23,DCF_Base!$L$19*(1+$C$23/100)/(($A$27-$C$23)/100),DCF_Base!$L$19*DCF_Base!$B$29),DCF_Base!$L$19*DCF_Base!$B$29))/(1+$A$27/100)^DCF_Base!$L$4+Assumptions!$B$5-Assumptions!$B$4)/Assumptions!$B$3*Assumptions!$B$10</f>
        <v>1.00652479393922</v>
      </c>
      <c r="D27" s="0" t="n">
        <f aca="false">(SUMPRODUCT(DCF_Base!$C$19:$L$19/(1+$A$27/100)^DCF_Base!$C$4:$L$4)+MAX(0,MIN(IF($A$27&gt;$D$23,DCF_Base!$L$19*(1+$D$23/100)/(($A$27-$D$23)/100),DCF_Base!$L$19*DCF_Base!$B$29),DCF_Base!$L$19*DCF_Base!$B$29))/(1+$A$27/100)^DCF_Base!$L$4+Assumptions!$B$5-Assumptions!$B$4)/Assumptions!$B$3*Assumptions!$B$10</f>
        <v>1.04973380875614</v>
      </c>
      <c r="E27" s="0" t="n">
        <f aca="false">(SUMPRODUCT(DCF_Base!$C$19:$L$19/(1+$A$27/100)^DCF_Base!$C$4:$L$4)+MAX(0,MIN(IF($A$27&gt;$E$23,DCF_Base!$L$19*(1+$E$23/100)/(($A$27-$E$23)/100),DCF_Base!$L$19*DCF_Base!$B$29),DCF_Base!$L$19*DCF_Base!$B$29))/(1+$A$27/100)^DCF_Base!$L$4+Assumptions!$B$5-Assumptions!$B$4)/Assumptions!$B$3*Assumptions!$B$10</f>
        <v>1.10014432604255</v>
      </c>
      <c r="F27" s="0" t="n">
        <f aca="false">(SUMPRODUCT(DCF_Base!$C$19:$L$19/(1+$A$27/100)^DCF_Base!$C$4:$L$4)+MAX(0,MIN(IF($A$27&gt;$F$23,DCF_Base!$L$19*(1+$F$23/100)/(($A$27-$F$23)/100),DCF_Base!$L$19*DCF_Base!$B$29),DCF_Base!$L$19*DCF_Base!$B$29))/(1+$A$27/100)^DCF_Base!$L$4+Assumptions!$B$5-Assumptions!$B$4)/Assumptions!$B$3*Assumptions!$B$10</f>
        <v>1.13655192186052</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0.852104130943105</v>
      </c>
      <c r="C28" s="0" t="n">
        <f aca="false">(SUMPRODUCT(DCF_Base!$C$19:$L$19/(1+$A$28/100)^DCF_Base!$C$4:$L$4)+MAX(0,MIN(IF($A$28&gt;$C$23,DCF_Base!$L$19*(1+$C$23/100)/(($A$28-$C$23)/100),DCF_Base!$L$19*DCF_Base!$B$29),DCF_Base!$L$19*DCF_Base!$B$29))/(1+$A$28/100)^DCF_Base!$L$4+Assumptions!$B$5-Assumptions!$B$4)/Assumptions!$B$3*Assumptions!$B$10</f>
        <v>0.878714577719302</v>
      </c>
      <c r="D28" s="0" t="n">
        <f aca="false">(SUMPRODUCT(DCF_Base!$C$19:$L$19/(1+$A$28/100)^DCF_Base!$C$4:$L$4)+MAX(0,MIN(IF($A$28&gt;$D$23,DCF_Base!$L$19*(1+$D$23/100)/(($A$28-$D$23)/100),DCF_Base!$L$19*DCF_Base!$B$29),DCF_Base!$L$19*DCF_Base!$B$29))/(1+$A$28/100)^DCF_Base!$L$4+Assumptions!$B$5-Assumptions!$B$4)/Assumptions!$B$3*Assumptions!$B$10</f>
        <v>0.908873084065658</v>
      </c>
      <c r="E28" s="0" t="n">
        <f aca="false">(SUMPRODUCT(DCF_Base!$C$19:$L$19/(1+$A$28/100)^DCF_Base!$C$4:$L$4)+MAX(0,MIN(IF($A$28&gt;$E$23,DCF_Base!$L$19*(1+$E$23/100)/(($A$28-$E$23)/100),DCF_Base!$L$19*DCF_Base!$B$29),DCF_Base!$L$19*DCF_Base!$B$29))/(1+$A$28/100)^DCF_Base!$L$4+Assumptions!$B$5-Assumptions!$B$4)/Assumptions!$B$3*Assumptions!$B$10</f>
        <v>0.943339948461493</v>
      </c>
      <c r="F28" s="0" t="n">
        <f aca="false">(SUMPRODUCT(DCF_Base!$C$19:$L$19/(1+$A$28/100)^DCF_Base!$C$4:$L$4)+MAX(0,MIN(IF($A$28&gt;$F$23,DCF_Base!$L$19*(1+$F$23/100)/(($A$28-$F$23)/100),DCF_Base!$L$19*DCF_Base!$B$29),DCF_Base!$L$19*DCF_Base!$B$29))/(1+$A$28/100)^DCF_Base!$L$4+Assumptions!$B$5-Assumptions!$B$4)/Assumptions!$B$3*Assumptions!$B$10</f>
        <v>0.983109407379764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2026-10-24T05:13:32Z</dcterms:created>
  <dc:creator>openpyxl</dc:creator>
  <dc:description/>
  <dc:language>en-NZ</dc:language>
  <cp:lastModifiedBy/>
  <dcterms:modified xsi:type="dcterms:W3CDTF">2026-10-24T05:13:32Z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