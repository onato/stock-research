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</font>
    <font>
      <color rgb="000000CC"/>
    </font>
    <font>
      <color rgb="00000000"/>
    </font>
    <font>
      <color rgb="00006600"/>
    </font>
  </fonts>
  <fills count="4">
    <fill>
      <patternFill/>
    </fill>
    <fill>
      <patternFill patternType="gray125"/>
    </fill>
    <fill>
      <patternFill patternType="solid">
        <fgColor rgb="00FFF2AB"/>
      </patternFill>
    </fill>
    <fill>
      <patternFill patternType="solid">
        <fgColor rgb="00C9F0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2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SCL.NZ - Scales Corporation Limited - owner-FCF DCF model, version 1 (fresh build, supersedes nothing)</t>
        </is>
      </c>
    </row>
    <row r="2">
      <c r="A2" t="inlineStr">
        <is>
          <t>Built by the dcf-analyst agent (Claude, model claude-fable-5) on 2026-08-28 at the user's request via /research-stock.</t>
        </is>
      </c>
    </row>
    <row r="3">
      <c r="A3" t="inlineStr">
        <is>
          <t>DATA VINTAGE (figures go stale - refresh after each result):</t>
        </is>
      </c>
    </row>
    <row r="4">
      <c r="A4" t="inlineStr">
        <is>
          <t xml:space="preserve">  Price NZ$7.10, Yahoo Finance NZX regular close 2026-08-27 (04:59:43Z). 52w range 4.90-7.20; top of range post H1-2026 result.</t>
        </is>
      </c>
    </row>
    <row r="5">
      <c r="A5" t="inlineStr">
        <is>
          <t xml:space="preserve">  Balance sheet: net debt NZ$84.1m (mgmt, borrowings less cash, EXCLUDING leases) at 31-Dec-2025 (FY2025 Annual Report);</t>
        </is>
      </c>
    </row>
    <row r="6">
      <c r="A6" t="inlineStr">
        <is>
          <t xml:space="preserve">    plus NZ$36.7m deferred acquisition consideration (AUD 7.3m p.a. Sep-2026..Sep-2030). Jun-2026 mgmt net debt $106.7m is a seasonal peak</t>
        </is>
      </c>
    </row>
    <row r="7">
      <c r="A7" t="inlineStr">
        <is>
          <t xml:space="preserve">    and matches year-1 flows only if H1 WC build were excluded - Dec-25 anchor avoids double-counting the FY2026 WC build charged in year 1.</t>
        </is>
      </c>
    </row>
    <row r="8">
      <c r="A8" t="inlineStr">
        <is>
          <t xml:space="preserve">  Shares: 144.820m at 30-Jun-2026 (H1-2026 interim). Held FLAT: SBC fully expensed in flows (charge once).</t>
        </is>
      </c>
    </row>
    <row r="9">
      <c r="A9" t="inlineStr">
        <is>
          <t xml:space="preserve">  Guidance: FY2026 Underlying NPATAS $55-60m (raised 26-Aug-2026), implied Underlying EBITDA $135-142m, Underlying NPAT $72-78m.</t>
        </is>
      </c>
    </row>
    <row r="10">
      <c r="A10" t="inlineStr">
        <is>
          <t>METHODOLOGY CHOICES:</t>
        </is>
      </c>
    </row>
    <row r="11">
      <c r="A11" t="inlineStr">
        <is>
          <t xml:space="preserve">  Earnings basis UNDERLYING not reported: FY2025 reported NPATAS $101.0m includes ~$26.4m one-off non-cash IFRS 3 step-acquisition gains;</t>
        </is>
      </c>
    </row>
    <row r="12">
      <c r="A12" t="inlineStr">
        <is>
          <t xml:space="preserve">    Underlying NPATAS $61.8m / Underlying EBITDA $137.6m are the base. Year 1 ties to FY2026 guidance.</t>
        </is>
      </c>
    </row>
    <row r="13">
      <c r="A13" t="inlineStr">
        <is>
          <t xml:space="preserve">  Lease treatment B (leases as operating cost): full lease payment (~1.1% of revenue) deducted in flows; lease liabilities EXCLUDED from net debt.</t>
        </is>
      </c>
    </row>
    <row r="14">
      <c r="A14" t="inlineStr">
        <is>
          <t xml:space="preserve">    D&amp;A driver is ex-ROU depreciation so leases are charged exactly once.</t>
        </is>
      </c>
    </row>
    <row r="15">
      <c r="A15" t="inlineStr">
        <is>
          <t xml:space="preserve">  NCI: flows are attributable-only via a COMBINED cash-tax + NCI leakage rate on EBIT (~36.5% = 1-(1-~17% tax)x(1-~23% NCI)).</t>
        </is>
      </c>
    </row>
    <row r="16">
      <c r="A16" t="inlineStr">
        <is>
          <t xml:space="preserve">    NCI equity is NOT also deducted in the bridge (charge once). Calibrated: year-1 attributable NOPAT $61.1m = guidance midpoint + after-tax interest.</t>
        </is>
      </c>
    </row>
    <row r="17">
      <c r="A17" t="inlineStr">
        <is>
          <t xml:space="preserve">  WACC 11.5% NZD, all scenarios (risk priced once; discrete Esro/weather severity is in the 25%-weighted bear case). See Assumptions notes.</t>
        </is>
      </c>
    </row>
    <row r="18">
      <c r="A18" t="inlineStr">
        <is>
          <t xml:space="preserve">  Terminal: min(Gordon at 2.0-2.5% growth, 12x year-10 FCF); Gordon binds (~10.7x).</t>
        </is>
      </c>
    </row>
    <row r="19">
      <c r="A19" t="inlineStr">
        <is>
          <t xml:space="preserve">  Year-1 revenue +55% is CONSOLIDATION of Sep-2025 acquisitions (Fayman/ANZ/Meateor) + Esro control - not organic. Organic thereafter 2.5-4.5%.</t>
        </is>
      </c>
    </row>
    <row r="20">
      <c r="A20" t="inlineStr">
        <is>
          <t>SCENARIO DRIVERS are the agent's judgment, set 2026-08-28 from the H1-2026 result, FY2025 annual report and guidance; user has not yet amended.</t>
        </is>
      </c>
    </row>
    <row r="21">
      <c r="A21" t="inlineStr">
        <is>
          <t>REFRESH AFTER FY2026 RESULT (Feb-2027): price/date, net debt + deferred consideration, shares, FY2027 guidance, Esro status, GP $85m target progress.</t>
        </is>
      </c>
    </row>
    <row r="22">
      <c r="A22" t="inlineStr">
        <is>
          <t>CELL COLOURS: blue = hardcoded input; yellow fill = key driver row; black = formula; green = cross-sheet link. Sheet names contain no spaces.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Metric (NZ$m)</t>
        </is>
      </c>
      <c r="B1" s="1" t="inlineStr">
        <is>
          <t>FY2019</t>
        </is>
      </c>
      <c r="C1" s="1" t="inlineStr">
        <is>
          <t>FY2020</t>
        </is>
      </c>
      <c r="D1" s="1" t="inlineStr">
        <is>
          <t>FY2021</t>
        </is>
      </c>
      <c r="E1" s="1" t="inlineStr">
        <is>
          <t>FY2022</t>
        </is>
      </c>
      <c r="F1" s="1" t="inlineStr">
        <is>
          <t>FY2023</t>
        </is>
      </c>
      <c r="G1" s="1" t="inlineStr">
        <is>
          <t>FY2024</t>
        </is>
      </c>
      <c r="H1" s="1" t="inlineStr">
        <is>
          <t>FY2025</t>
        </is>
      </c>
      <c r="I1" s="1" t="inlineStr">
        <is>
          <t>Source</t>
        </is>
      </c>
    </row>
    <row r="2">
      <c r="A2" t="inlineStr">
        <is>
          <t>Revenue</t>
        </is>
      </c>
      <c r="B2" s="2" t="n">
        <v>484.609</v>
      </c>
      <c r="C2" s="2" t="n">
        <v>470.709</v>
      </c>
      <c r="D2" s="2" t="n">
        <v>514.551</v>
      </c>
      <c r="E2" s="2" t="n">
        <v>619.173</v>
      </c>
      <c r="F2" s="2" t="n">
        <v>565.356</v>
      </c>
      <c r="G2" s="2" t="n">
        <v>584.627</v>
      </c>
      <c r="H2" s="2" t="n">
        <v>899.949</v>
      </c>
      <c r="I2" t="inlineStr">
        <is>
          <t>Metrics.csv / annual reports</t>
        </is>
      </c>
    </row>
    <row r="3">
      <c r="A3" t="inlineStr">
        <is>
          <t>EBITDA (reported)</t>
        </is>
      </c>
      <c r="B3" s="2" t="n">
        <v>79.85299999999999</v>
      </c>
      <c r="C3" s="2" t="n">
        <v>56.74</v>
      </c>
      <c r="D3" s="2" t="n">
        <v>71.619</v>
      </c>
      <c r="E3" s="2" t="n">
        <v>68.51600000000001</v>
      </c>
      <c r="F3" s="2" t="n">
        <v>53.675</v>
      </c>
      <c r="G3" s="2" t="n">
        <v>88.093</v>
      </c>
      <c r="H3" s="2" t="n">
        <v>169.862</v>
      </c>
      <c r="I3" t="inlineStr">
        <is>
          <t>Metrics.csv; FY2025 incl $40.6m one-off gains</t>
        </is>
      </c>
    </row>
    <row r="4">
      <c r="A4" t="inlineStr">
        <is>
          <t>Underlying EBITDA</t>
        </is>
      </c>
      <c r="G4" s="2" t="n">
        <v>91.70399999999999</v>
      </c>
      <c r="H4" s="2" t="n">
        <v>137.628</v>
      </c>
      <c r="I4" t="inlineStr">
        <is>
          <t>FY2025 AR underlying reconciliation</t>
        </is>
      </c>
    </row>
    <row r="5">
      <c r="A5" t="inlineStr">
        <is>
          <t>NPAT attributable (reported)</t>
        </is>
      </c>
      <c r="B5" s="2" t="n">
        <v>118.002</v>
      </c>
      <c r="C5" s="2" t="n">
        <v>21.025</v>
      </c>
      <c r="D5" s="2" t="n">
        <v>26.925</v>
      </c>
      <c r="E5" s="2" t="n">
        <v>19.412</v>
      </c>
      <c r="F5" s="2" t="n">
        <v>5.235</v>
      </c>
      <c r="G5" s="2" t="n">
        <v>30.726</v>
      </c>
      <c r="H5" s="2" t="n">
        <v>100.988</v>
      </c>
      <c r="I5" t="inlineStr">
        <is>
          <t>FY2019 incl divestment gains; FY2023 cyclone; FY2025 incl step-acq gains</t>
        </is>
      </c>
    </row>
    <row r="6">
      <c r="A6" t="inlineStr">
        <is>
          <t>Underlying NPATAS</t>
        </is>
      </c>
      <c r="G6" s="2" t="n">
        <v>34.058</v>
      </c>
      <c r="H6" s="2" t="n">
        <v>61.834</v>
      </c>
      <c r="I6" t="inlineStr">
        <is>
          <t>FY2025 AR; FY2026 guidance 55-60</t>
        </is>
      </c>
    </row>
    <row r="7">
      <c r="A7" t="inlineStr">
        <is>
          <t>NCI share of profit</t>
        </is>
      </c>
      <c r="B7" s="2" t="n">
        <v>3.575</v>
      </c>
      <c r="C7" s="2" t="n">
        <v>5.556</v>
      </c>
      <c r="D7" s="2" t="n">
        <v>10.025</v>
      </c>
      <c r="E7" s="2" t="n">
        <v>18.819</v>
      </c>
      <c r="F7" s="2" t="n">
        <v>19.439</v>
      </c>
      <c r="G7" s="2" t="n">
        <v>19.311</v>
      </c>
      <c r="H7" s="2" t="n">
        <v>16.71</v>
      </c>
      <c r="I7" t="inlineStr">
        <is>
          <t>annual reports; underlying NCI FY2025 15.8</t>
        </is>
      </c>
    </row>
    <row r="8">
      <c r="A8" t="inlineStr">
        <is>
          <t>Reported FCF (OCF - capex)</t>
        </is>
      </c>
      <c r="B8" s="2" t="n">
        <v>39.786</v>
      </c>
      <c r="C8" s="2" t="n">
        <v>28.987</v>
      </c>
      <c r="D8" s="2" t="n">
        <v>24.017</v>
      </c>
      <c r="E8" s="2" t="n">
        <v>30.273</v>
      </c>
      <c r="F8" s="2" t="n">
        <v>47.892</v>
      </c>
      <c r="G8" s="2" t="n">
        <v>43.124</v>
      </c>
      <c r="H8" s="2" t="n">
        <v>74.86199999999999</v>
      </c>
      <c r="I8" t="inlineStr">
        <is>
          <t>Metrics.csv</t>
        </is>
      </c>
    </row>
    <row r="9">
      <c r="A9" t="inlineStr">
        <is>
          <t>Owner FCF (see FCF_Quality)</t>
        </is>
      </c>
      <c r="B9" s="2" t="n">
        <v>29.252</v>
      </c>
      <c r="C9" s="2" t="n">
        <v>18.008</v>
      </c>
      <c r="D9" s="2" t="n">
        <v>12.488</v>
      </c>
      <c r="E9" s="2" t="n">
        <v>18.43</v>
      </c>
      <c r="F9" s="2" t="n">
        <v>35.872</v>
      </c>
      <c r="G9" s="2" t="n">
        <v>29.565</v>
      </c>
      <c r="H9" s="2" t="n">
        <v>60.489</v>
      </c>
      <c r="I9" t="inlineStr">
        <is>
          <t>reported FCF - SBC - full lease payments</t>
        </is>
      </c>
    </row>
    <row r="10">
      <c r="A10" t="inlineStr">
        <is>
          <t>Mgmt net debt (ex-lease)</t>
        </is>
      </c>
      <c r="G10" s="2" t="n">
        <v>-12.5</v>
      </c>
      <c r="H10" s="2" t="n">
        <v>84.09999999999999</v>
      </c>
      <c r="I10" t="inlineStr">
        <is>
          <t>FY2025 AR / H1-2026 presentation (FY2024 = net cash)</t>
        </is>
      </c>
    </row>
    <row r="11">
      <c r="A11" t="inlineStr">
        <is>
          <t>Shares outstanding (m)</t>
        </is>
      </c>
      <c r="B11" s="2" t="n">
        <v>140.591</v>
      </c>
      <c r="C11" s="2" t="n">
        <v>140.87</v>
      </c>
      <c r="D11" s="2" t="n">
        <v>141.252</v>
      </c>
      <c r="E11" s="2" t="n">
        <v>141.716</v>
      </c>
      <c r="F11" s="2" t="n">
        <v>141.948</v>
      </c>
      <c r="G11" s="2" t="n">
        <v>142.617</v>
      </c>
      <c r="H11" s="2" t="n">
        <v>143.92</v>
      </c>
      <c r="I11" t="inlineStr">
        <is>
          <t>Metrics.csv; 144.820 at 30-Jun-2026</t>
        </is>
      </c>
    </row>
    <row r="13">
      <c r="A13" s="2" t="inlineStr">
        <is>
          <t>FY2026 guidance (26-Aug-2026): Underlying EBITDA 135-142; Underlying NPAT 72-78; Underlying NPATAS 55-60. H1-2026 actual: revenue 762.1, U-EBITDA 102.2, U-NPATAS 52.0.</t>
        </is>
      </c>
    </row>
    <row r="14">
      <c r="A14" t="inlineStr">
        <is>
          <t>Buybacks: none - Scales issues via DRP; SBC immaterial (~0.1% of revenue).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10" customWidth="1" min="6" max="6"/>
  </cols>
  <sheetData>
    <row r="1">
      <c r="A1" s="1" t="inlineStr">
        <is>
          <t>Global inputs</t>
        </is>
      </c>
    </row>
    <row r="3">
      <c r="A3" t="inlineStr">
        <is>
          <t>Current price (NZ$, 27-Aug-2026 close)</t>
        </is>
      </c>
      <c r="B3" s="2" t="n">
        <v>7.1</v>
      </c>
      <c r="F3" t="inlineStr">
        <is>
          <t>Yahoo NZX close; post-result print at top of 52w range</t>
        </is>
      </c>
    </row>
    <row r="4">
      <c r="A4" t="inlineStr">
        <is>
          <t>Diluted shares (m, 30-Jun-2026)</t>
        </is>
      </c>
      <c r="B4" s="2" t="n">
        <v>144.82</v>
      </c>
      <c r="F4" t="inlineStr">
        <is>
          <t>held flat - SBC expensed in flows</t>
        </is>
      </c>
    </row>
    <row r="5">
      <c r="A5" t="inlineStr">
        <is>
          <t>Mgmt net debt ex-lease (31-Dec-2025)</t>
        </is>
      </c>
      <c r="B5" s="2" t="n">
        <v>84.09999999999999</v>
      </c>
      <c r="F5" t="inlineStr">
        <is>
          <t>borrowings less cash; leases excluded (treatment B)</t>
        </is>
      </c>
    </row>
    <row r="6">
      <c r="A6" t="inlineStr">
        <is>
          <t>Deferred consideration (31-Dec-2025)</t>
        </is>
      </c>
      <c r="B6" s="2" t="n">
        <v>36.7</v>
      </c>
      <c r="F6" t="inlineStr">
        <is>
          <t>AUD 7.3m p.a. to Sep-2030, amortised cost</t>
        </is>
      </c>
    </row>
    <row r="7">
      <c r="A7" t="inlineStr">
        <is>
          <t>Net debt used in bridge</t>
        </is>
      </c>
      <c r="B7" s="3">
        <f>B5+B6</f>
        <v/>
      </c>
      <c r="F7" t="inlineStr">
        <is>
          <t>core net debt + deferred consideration</t>
        </is>
      </c>
    </row>
    <row r="8">
      <c r="A8" t="inlineStr">
        <is>
          <t>WACC (all scenarios)</t>
        </is>
      </c>
      <c r="B8" s="2" t="n">
        <v>0.115</v>
      </c>
      <c r="F8" t="inlineStr">
        <is>
          <t>NZD build: 4.4 rf + 0.95x5.5 ERP + 0.5 size + 0.75 weather/cyclicality + 0.5 integration/Esro + 0.25 FX = ~11.6 CoE; ~10.7 blended; adopted 11.5</t>
        </is>
      </c>
    </row>
    <row r="9">
      <c r="A9" t="inlineStr">
        <is>
          <t>Hurdle rate (entry price)</t>
        </is>
      </c>
      <c r="B9" s="2" t="n">
        <v>0.15</v>
      </c>
      <c r="F9" t="inlineStr">
        <is>
          <t>house standard 15% IRR</t>
        </is>
      </c>
    </row>
    <row r="10">
      <c r="A10" t="inlineStr">
        <is>
          <t>Terminal cap multiple (x year-10 FCF)</t>
        </is>
      </c>
      <c r="B10" s="2" t="n">
        <v>12</v>
      </c>
      <c r="F10" t="inlineStr">
        <is>
          <t>cyclical agribusiness - low cap; Gordon binds anyway</t>
        </is>
      </c>
    </row>
    <row r="11">
      <c r="A11" t="inlineStr">
        <is>
          <t>Base revenue FY2025 (NZ$m)</t>
        </is>
      </c>
      <c r="B11" s="2" t="n">
        <v>899.949</v>
      </c>
      <c r="F11" t="inlineStr">
        <is>
          <t>FY2025 actual</t>
        </is>
      </c>
    </row>
    <row r="13">
      <c r="A13" s="1" t="inlineStr">
        <is>
          <t>Per-scenario</t>
        </is>
      </c>
    </row>
    <row r="14">
      <c r="B14" s="1" t="inlineStr">
        <is>
          <t>Bear</t>
        </is>
      </c>
      <c r="C14" s="1" t="inlineStr">
        <is>
          <t>Base</t>
        </is>
      </c>
      <c r="D14" s="1" t="inlineStr">
        <is>
          <t>Bull</t>
        </is>
      </c>
    </row>
    <row r="15">
      <c r="A15" t="inlineStr">
        <is>
          <t>D&amp;A ex-ROU, % of revenue</t>
        </is>
      </c>
      <c r="B15" s="2" t="n">
        <v>0.019</v>
      </c>
      <c r="C15" s="2" t="n">
        <v>0.0185</v>
      </c>
      <c r="D15" s="2" t="n">
        <v>0.0185</v>
      </c>
      <c r="F15" t="inlineStr">
        <is>
          <t>FY2025 ex-ROU D&amp;A 18.4 = 2.05%; ~1.85% on enlarged trading-heavy base</t>
        </is>
      </c>
    </row>
    <row r="16">
      <c r="A16" t="inlineStr">
        <is>
          <t>Capex, % of revenue</t>
        </is>
      </c>
      <c r="B16" s="2" t="n">
        <v>0.02</v>
      </c>
      <c r="C16" s="2" t="n">
        <v>0.02</v>
      </c>
      <c r="D16" s="2" t="n">
        <v>0.021</v>
      </c>
      <c r="F16" t="inlineStr">
        <is>
          <t>FY2025 capex 20.9 (2.3%); orchard redevelopment + GP capacity; bull adds growth capex</t>
        </is>
      </c>
    </row>
    <row r="17">
      <c r="A17" t="inlineStr">
        <is>
          <t>WC capture, % of revenue CHANGE</t>
        </is>
      </c>
      <c r="B17" s="2" t="n">
        <v>-0.03</v>
      </c>
      <c r="C17" s="2" t="n">
        <v>-0.04</v>
      </c>
      <c r="D17" s="2" t="n">
        <v>-0.04</v>
      </c>
      <c r="F17" t="inlineStr">
        <is>
          <t>trading + horticulture CONSUME WC as they grow (negative capture)</t>
        </is>
      </c>
    </row>
    <row r="18">
      <c r="A18" t="inlineStr">
        <is>
          <t>Terminal growth</t>
        </is>
      </c>
      <c r="B18" s="2" t="n">
        <v>0.02</v>
      </c>
      <c r="C18" s="2" t="n">
        <v>0.02</v>
      </c>
      <c r="D18" s="2" t="n">
        <v>0.025</v>
      </c>
      <c r="F18" t="inlineStr">
        <is>
          <t>mature agribusiness in a small economy; capped 2.0-2.5%</t>
        </is>
      </c>
    </row>
    <row r="19">
      <c r="A19" t="inlineStr">
        <is>
          <t>Probability weight</t>
        </is>
      </c>
      <c r="B19" s="2" t="n">
        <v>0.25</v>
      </c>
      <c r="C19" s="2" t="n">
        <v>0.5</v>
      </c>
      <c r="D19" s="2" t="n">
        <v>0.25</v>
      </c>
      <c r="F19" t="inlineStr">
        <is>
          <t>bear raised for LIVE Esro distress + weather concentration; bull needs several independent wins</t>
        </is>
      </c>
    </row>
    <row r="20">
      <c r="A20" t="inlineStr">
        <is>
          <t>Weight sum check (must be 1.00)</t>
        </is>
      </c>
      <c r="B20" s="3">
        <f>SUM(B19:D19)</f>
        <v/>
      </c>
    </row>
    <row r="22">
      <c r="A22" s="1" t="inlineStr">
        <is>
          <t>Scenario narratives</t>
        </is>
      </c>
    </row>
    <row r="23">
      <c r="A23" s="1" t="inlineStr">
        <is>
          <t>Base:</t>
        </is>
      </c>
      <c r="B23" t="inlineStr">
        <is>
          <t>FY2026 lands at guidance (crop 93% sold); organic 4.5% fading to 2.5%; margin 9.9-&gt;10.5% as GP FY27 $85m target broadly met and Esro drag stabilised; ~23% NCI leakage, ~17% cash tax drifting up; no credit for future M&amp;A.</t>
        </is>
      </c>
    </row>
    <row r="24">
      <c r="A24" s="1" t="inlineStr">
        <is>
          <t>Bull:</t>
        </is>
      </c>
      <c r="B24" t="inlineStr">
        <is>
          <t>Premium apple mix accelerates; GP beats $85m FY27 target; Esro stabilised/exited cleanly; organic 7% fading to 3%; margin to 11.5%; NCI buyouts trim leakage to 35%; terminal 2.5%.</t>
        </is>
      </c>
    </row>
    <row r="25">
      <c r="A25" s="1" t="inlineStr">
        <is>
          <t>Bear:</t>
        </is>
      </c>
      <c r="B25" t="inlineStr">
        <is>
          <t>Esro losses deepen and exit costs mount; Gabrielle-class Hawke's Bay event hits FY2027 (year-2 revenue -6%, margin 7.8%, leakage spikes to 42% because the weather loss is 100% parent); recovery only to 9.3% margin; CPI growth thereafter.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Bear scenario - all NZ$m; drivers (yellow) in rows 5,7,9,11,16</t>
        </is>
      </c>
    </row>
    <row r="3">
      <c r="A3" t="inlineStr">
        <is>
          <t>Year</t>
        </is>
      </c>
      <c r="B3" t="inlineStr">
        <is>
          <t>2025A</t>
        </is>
      </c>
      <c r="C3" t="inlineStr">
        <is>
          <t>2026E</t>
        </is>
      </c>
      <c r="D3" t="inlineStr">
        <is>
          <t>2027E</t>
        </is>
      </c>
      <c r="E3" t="inlineStr">
        <is>
          <t>2028E</t>
        </is>
      </c>
      <c r="F3" t="inlineStr">
        <is>
          <t>2029E</t>
        </is>
      </c>
      <c r="G3" t="inlineStr">
        <is>
          <t>2030E</t>
        </is>
      </c>
      <c r="H3" t="inlineStr">
        <is>
          <t>2031E</t>
        </is>
      </c>
      <c r="I3" t="inlineStr">
        <is>
          <t>2032E</t>
        </is>
      </c>
      <c r="J3" t="inlineStr">
        <is>
          <t>2033E</t>
        </is>
      </c>
      <c r="K3" t="inlineStr">
        <is>
          <t>2034E</t>
        </is>
      </c>
      <c r="L3" t="inlineStr">
        <is>
          <t>2035E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 %</t>
        </is>
      </c>
      <c r="C5" s="4" t="n">
        <v>0.539</v>
      </c>
      <c r="D5" s="4" t="n">
        <v>-0.06</v>
      </c>
      <c r="E5" s="4" t="n">
        <v>0.05</v>
      </c>
      <c r="F5" s="4" t="n">
        <v>0.02</v>
      </c>
      <c r="G5" s="4" t="n">
        <v>0.02</v>
      </c>
      <c r="H5" s="4" t="n">
        <v>0.02</v>
      </c>
      <c r="I5" s="4" t="n">
        <v>0.02</v>
      </c>
      <c r="J5" s="4" t="n">
        <v>0.02</v>
      </c>
      <c r="K5" s="4" t="n">
        <v>0.02</v>
      </c>
      <c r="L5" s="4" t="n">
        <v>0.02</v>
      </c>
    </row>
    <row r="6">
      <c r="A6" t="inlineStr">
        <is>
          <t>Revenue</t>
        </is>
      </c>
      <c r="B6" s="2" t="n">
        <v>899.949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(Underlying) EBITDA margin %</t>
        </is>
      </c>
      <c r="C7" s="4" t="n">
        <v>0.096</v>
      </c>
      <c r="D7" s="4" t="n">
        <v>0.078</v>
      </c>
      <c r="E7" s="4" t="n">
        <v>0.08800000000000001</v>
      </c>
      <c r="F7" s="4" t="n">
        <v>0.09</v>
      </c>
      <c r="G7" s="4" t="n">
        <v>0.092</v>
      </c>
      <c r="H7" s="4" t="n">
        <v>0.09300000000000001</v>
      </c>
      <c r="I7" s="4" t="n">
        <v>0.09300000000000001</v>
      </c>
      <c r="J7" s="4" t="n">
        <v>0.09300000000000001</v>
      </c>
      <c r="K7" s="4" t="n">
        <v>0.09300000000000001</v>
      </c>
      <c r="L7" s="4" t="n">
        <v>0.09300000000000001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4" t="n">
        <v>0.001</v>
      </c>
      <c r="D9" s="4" t="n">
        <v>0.001</v>
      </c>
      <c r="E9" s="4" t="n">
        <v>0.001</v>
      </c>
      <c r="F9" s="4" t="n">
        <v>0.001</v>
      </c>
      <c r="G9" s="4" t="n">
        <v>0.001</v>
      </c>
      <c r="H9" s="4" t="n">
        <v>0.001</v>
      </c>
      <c r="I9" s="4" t="n">
        <v>0.001</v>
      </c>
      <c r="J9" s="4" t="n">
        <v>0.001</v>
      </c>
      <c r="K9" s="4" t="n">
        <v>0.001</v>
      </c>
      <c r="L9" s="4" t="n">
        <v>0.001</v>
      </c>
    </row>
    <row r="10">
      <c r="A10" t="inlineStr">
        <is>
          <t>SBC $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cost % of revenue (principal+interest)</t>
        </is>
      </c>
      <c r="C11" s="4" t="n">
        <v>0.0115</v>
      </c>
      <c r="D11" s="4" t="n">
        <v>0.012</v>
      </c>
      <c r="E11" s="4" t="n">
        <v>0.0115</v>
      </c>
      <c r="F11" s="4" t="n">
        <v>0.0115</v>
      </c>
      <c r="G11" s="4" t="n">
        <v>0.011</v>
      </c>
      <c r="H11" s="4" t="n">
        <v>0.011</v>
      </c>
      <c r="I11" s="4" t="n">
        <v>0.011</v>
      </c>
      <c r="J11" s="4" t="n">
        <v>0.011</v>
      </c>
      <c r="K11" s="4" t="n">
        <v>0.011</v>
      </c>
      <c r="L11" s="4" t="n">
        <v>0.011</v>
      </c>
    </row>
    <row r="12">
      <c r="A12" t="inlineStr">
        <is>
          <t>Lease payments $ (negative)</t>
        </is>
      </c>
      <c r="C12">
        <f>-C6*C11</f>
        <v/>
      </c>
      <c r="D12">
        <f>-D6*D11</f>
        <v/>
      </c>
      <c r="E12">
        <f>-E6*E11</f>
        <v/>
      </c>
      <c r="F12">
        <f>-F6*F11</f>
        <v/>
      </c>
      <c r="G12">
        <f>-G6*G11</f>
        <v/>
      </c>
      <c r="H12">
        <f>-H6*H11</f>
        <v/>
      </c>
      <c r="I12">
        <f>-I6*I11</f>
        <v/>
      </c>
      <c r="J12">
        <f>-J6*J11</f>
        <v/>
      </c>
      <c r="K12">
        <f>-K6*K11</f>
        <v/>
      </c>
      <c r="L12">
        <f>-L6*L11</f>
        <v/>
      </c>
    </row>
    <row r="13">
      <c r="A13" t="inlineStr">
        <is>
          <t>Owner EBITDA after SBC and leases</t>
        </is>
      </c>
      <c r="C13">
        <f>C8+C10+C12</f>
        <v/>
      </c>
      <c r="D13">
        <f>D8+D10+D12</f>
        <v/>
      </c>
      <c r="E13">
        <f>E8+E10+E12</f>
        <v/>
      </c>
      <c r="F13">
        <f>F8+F10+F12</f>
        <v/>
      </c>
      <c r="G13">
        <f>G8+G10+G12</f>
        <v/>
      </c>
      <c r="H13">
        <f>H8+H10+H12</f>
        <v/>
      </c>
      <c r="I13">
        <f>I8+I10+I12</f>
        <v/>
      </c>
      <c r="J13">
        <f>J8+J10+J12</f>
        <v/>
      </c>
      <c r="K13">
        <f>K8+K10+K12</f>
        <v/>
      </c>
      <c r="L13">
        <f>L8+L10+L12</f>
        <v/>
      </c>
    </row>
    <row r="14">
      <c r="A14" t="inlineStr">
        <is>
          <t>D&amp;A ex-ROU (negative)</t>
        </is>
      </c>
      <c r="C14" s="5">
        <f>-C6*Assumptions!$B$15</f>
        <v/>
      </c>
      <c r="D14" s="5">
        <f>-D6*Assumptions!$B$15</f>
        <v/>
      </c>
      <c r="E14" s="5">
        <f>-E6*Assumptions!$B$15</f>
        <v/>
      </c>
      <c r="F14" s="5">
        <f>-F6*Assumptions!$B$15</f>
        <v/>
      </c>
      <c r="G14" s="5">
        <f>-G6*Assumptions!$B$15</f>
        <v/>
      </c>
      <c r="H14" s="5">
        <f>-H6*Assumptions!$B$15</f>
        <v/>
      </c>
      <c r="I14" s="5">
        <f>-I6*Assumptions!$B$15</f>
        <v/>
      </c>
      <c r="J14" s="5">
        <f>-J6*Assumptions!$B$15</f>
        <v/>
      </c>
      <c r="K14" s="5">
        <f>-K6*Assumptions!$B$15</f>
        <v/>
      </c>
      <c r="L14" s="5">
        <f>-L6*Assumptions!$B$15</f>
        <v/>
      </c>
    </row>
    <row r="15">
      <c r="A15" t="inlineStr">
        <is>
          <t>EBIT (SBC and leases expensed)</t>
        </is>
      </c>
      <c r="C15">
        <f>C13+C14</f>
        <v/>
      </c>
      <c r="D15">
        <f>D13+D14</f>
        <v/>
      </c>
      <c r="E15">
        <f>E13+E14</f>
        <v/>
      </c>
      <c r="F15">
        <f>F13+F14</f>
        <v/>
      </c>
      <c r="G15">
        <f>G13+G14</f>
        <v/>
      </c>
      <c r="H15">
        <f>H13+H14</f>
        <v/>
      </c>
      <c r="I15">
        <f>I13+I14</f>
        <v/>
      </c>
      <c r="J15">
        <f>J13+J14</f>
        <v/>
      </c>
      <c r="K15">
        <f>K13+K14</f>
        <v/>
      </c>
      <c r="L15">
        <f>L13+L14</f>
        <v/>
      </c>
    </row>
    <row r="16">
      <c r="A16" t="inlineStr">
        <is>
          <t>Combined cash-tax + NCI leakage % of EBIT</t>
        </is>
      </c>
      <c r="C16" s="4" t="n">
        <v>0.37</v>
      </c>
      <c r="D16" s="4" t="n">
        <v>0.42</v>
      </c>
      <c r="E16" s="4" t="n">
        <v>0.39</v>
      </c>
      <c r="F16" s="4" t="n">
        <v>0.385</v>
      </c>
      <c r="G16" s="4" t="n">
        <v>0.38</v>
      </c>
      <c r="H16" s="4" t="n">
        <v>0.38</v>
      </c>
      <c r="I16" s="4" t="n">
        <v>0.38</v>
      </c>
      <c r="J16" s="4" t="n">
        <v>0.38</v>
      </c>
      <c r="K16" s="4" t="n">
        <v>0.38</v>
      </c>
      <c r="L16" s="4" t="n">
        <v>0.38</v>
      </c>
    </row>
    <row r="17">
      <c r="A17" t="inlineStr">
        <is>
          <t>Attributable NOPAT (unlevered)</t>
        </is>
      </c>
      <c r="C17">
        <f>C15-MAX(0,C15)*C16</f>
        <v/>
      </c>
      <c r="D17">
        <f>D15-MAX(0,D15)*D16</f>
        <v/>
      </c>
      <c r="E17">
        <f>E15-MAX(0,E15)*E16</f>
        <v/>
      </c>
      <c r="F17">
        <f>F15-MAX(0,F15)*F16</f>
        <v/>
      </c>
      <c r="G17">
        <f>G15-MAX(0,G15)*G16</f>
        <v/>
      </c>
      <c r="H17">
        <f>H15-MAX(0,H15)*H16</f>
        <v/>
      </c>
      <c r="I17">
        <f>I15-MAX(0,I15)*I16</f>
        <v/>
      </c>
      <c r="J17">
        <f>J15-MAX(0,J15)*J16</f>
        <v/>
      </c>
      <c r="K17">
        <f>K15-MAX(0,K15)*K16</f>
        <v/>
      </c>
      <c r="L17">
        <f>L15-MAX(0,L15)*L16</f>
        <v/>
      </c>
    </row>
    <row r="18">
      <c r="A18" t="inlineStr">
        <is>
          <t>Add back D&amp;A</t>
        </is>
      </c>
      <c r="C18">
        <f>-C14</f>
        <v/>
      </c>
      <c r="D18">
        <f>-D14</f>
        <v/>
      </c>
      <c r="E18">
        <f>-E14</f>
        <v/>
      </c>
      <c r="F18">
        <f>-F14</f>
        <v/>
      </c>
      <c r="G18">
        <f>-G14</f>
        <v/>
      </c>
      <c r="H18">
        <f>-H14</f>
        <v/>
      </c>
      <c r="I18">
        <f>-I14</f>
        <v/>
      </c>
      <c r="J18">
        <f>-J14</f>
        <v/>
      </c>
      <c r="K18">
        <f>-K14</f>
        <v/>
      </c>
      <c r="L18">
        <f>-L14</f>
        <v/>
      </c>
    </row>
    <row r="19">
      <c r="A19" t="inlineStr">
        <is>
          <t>Less capex</t>
        </is>
      </c>
      <c r="C19" s="5">
        <f>-C6*Assumptions!$B$16</f>
        <v/>
      </c>
      <c r="D19" s="5">
        <f>-D6*Assumptions!$B$16</f>
        <v/>
      </c>
      <c r="E19" s="5">
        <f>-E6*Assumptions!$B$16</f>
        <v/>
      </c>
      <c r="F19" s="5">
        <f>-F6*Assumptions!$B$16</f>
        <v/>
      </c>
      <c r="G19" s="5">
        <f>-G6*Assumptions!$B$16</f>
        <v/>
      </c>
      <c r="H19" s="5">
        <f>-H6*Assumptions!$B$16</f>
        <v/>
      </c>
      <c r="I19" s="5">
        <f>-I6*Assumptions!$B$16</f>
        <v/>
      </c>
      <c r="J19" s="5">
        <f>-J6*Assumptions!$B$16</f>
        <v/>
      </c>
      <c r="K19" s="5">
        <f>-K6*Assumptions!$B$16</f>
        <v/>
      </c>
      <c r="L19" s="5">
        <f>-L6*Assumptions!$B$16</f>
        <v/>
      </c>
    </row>
    <row r="20">
      <c r="A20" t="inlineStr">
        <is>
          <t>Add working capital (on revenue change)</t>
        </is>
      </c>
      <c r="C20" s="5">
        <f>(C6-B6)*Assumptions!$B$17</f>
        <v/>
      </c>
      <c r="D20" s="5">
        <f>(D6-C6)*Assumptions!$B$17</f>
        <v/>
      </c>
      <c r="E20" s="5">
        <f>(E6-D6)*Assumptions!$B$17</f>
        <v/>
      </c>
      <c r="F20" s="5">
        <f>(F6-E6)*Assumptions!$B$17</f>
        <v/>
      </c>
      <c r="G20" s="5">
        <f>(G6-F6)*Assumptions!$B$17</f>
        <v/>
      </c>
      <c r="H20" s="5">
        <f>(H6-G6)*Assumptions!$B$17</f>
        <v/>
      </c>
      <c r="I20" s="5">
        <f>(I6-H6)*Assumptions!$B$17</f>
        <v/>
      </c>
      <c r="J20" s="5">
        <f>(J6-I6)*Assumptions!$B$17</f>
        <v/>
      </c>
      <c r="K20" s="5">
        <f>(K6-J6)*Assumptions!$B$17</f>
        <v/>
      </c>
      <c r="L20" s="5">
        <f>(L6-K6)*Assumptions!$B$17</f>
        <v/>
      </c>
    </row>
    <row r="21">
      <c r="A21" t="inlineStr">
        <is>
          <t>Unlevered attributable owner FCF</t>
        </is>
      </c>
      <c r="C21">
        <f>C17+C18+C19+C20</f>
        <v/>
      </c>
      <c r="D21">
        <f>D17+D18+D19+D20</f>
        <v/>
      </c>
      <c r="E21">
        <f>E17+E18+E19+E20</f>
        <v/>
      </c>
      <c r="F21">
        <f>F17+F18+F19+F20</f>
        <v/>
      </c>
      <c r="G21">
        <f>G17+G18+G19+G20</f>
        <v/>
      </c>
      <c r="H21">
        <f>H17+H18+H19+H20</f>
        <v/>
      </c>
      <c r="I21">
        <f>I17+I18+I19+I20</f>
        <v/>
      </c>
      <c r="J21">
        <f>J17+J18+J19+J20</f>
        <v/>
      </c>
      <c r="K21">
        <f>K17+K18+K19+K20</f>
        <v/>
      </c>
      <c r="L21">
        <f>L17+L18+L19+L20</f>
        <v/>
      </c>
    </row>
    <row r="22">
      <c r="A22" t="inlineStr">
        <is>
          <t>Discount factor</t>
        </is>
      </c>
      <c r="C22" s="5">
        <f>1/(1+Assumptions!$B$8)^C4</f>
        <v/>
      </c>
      <c r="D22" s="5">
        <f>1/(1+Assumptions!$B$8)^D4</f>
        <v/>
      </c>
      <c r="E22" s="5">
        <f>1/(1+Assumptions!$B$8)^E4</f>
        <v/>
      </c>
      <c r="F22" s="5">
        <f>1/(1+Assumptions!$B$8)^F4</f>
        <v/>
      </c>
      <c r="G22" s="5">
        <f>1/(1+Assumptions!$B$8)^G4</f>
        <v/>
      </c>
      <c r="H22" s="5">
        <f>1/(1+Assumptions!$B$8)^H4</f>
        <v/>
      </c>
      <c r="I22" s="5">
        <f>1/(1+Assumptions!$B$8)^I4</f>
        <v/>
      </c>
      <c r="J22" s="5">
        <f>1/(1+Assumptions!$B$8)^J4</f>
        <v/>
      </c>
      <c r="K22" s="5">
        <f>1/(1+Assumptions!$B$8)^K4</f>
        <v/>
      </c>
      <c r="L22" s="5">
        <f>1/(1+Assumptions!$B$8)^L4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FCF before SBC (company-style)</t>
        </is>
      </c>
      <c r="C25">
        <f>C21-C10</f>
        <v/>
      </c>
      <c r="D25">
        <f>D21-D10</f>
        <v/>
      </c>
      <c r="E25">
        <f>E21-E10</f>
        <v/>
      </c>
      <c r="F25">
        <f>F21-F10</f>
        <v/>
      </c>
      <c r="G25">
        <f>G21-G10</f>
        <v/>
      </c>
      <c r="H25">
        <f>H21-H10</f>
        <v/>
      </c>
      <c r="I25">
        <f>I21-I10</f>
        <v/>
      </c>
      <c r="J25">
        <f>J21-J10</f>
        <v/>
      </c>
      <c r="K25">
        <f>K21-K10</f>
        <v/>
      </c>
      <c r="L25">
        <f>L21-L10</f>
        <v/>
      </c>
    </row>
    <row r="26">
      <c r="A26" t="inlineStr">
        <is>
          <t>Memo: implied owner-FCF margin</t>
        </is>
      </c>
      <c r="C26" s="6">
        <f>C21/C6</f>
        <v/>
      </c>
      <c r="D26" s="6">
        <f>D21/D6</f>
        <v/>
      </c>
      <c r="E26" s="6">
        <f>E21/E6</f>
        <v/>
      </c>
      <c r="F26" s="6">
        <f>F21/F6</f>
        <v/>
      </c>
      <c r="G26" s="6">
        <f>G21/G6</f>
        <v/>
      </c>
      <c r="H26" s="6">
        <f>H21/H6</f>
        <v/>
      </c>
      <c r="I26" s="6">
        <f>I21/I6</f>
        <v/>
      </c>
      <c r="J26" s="6">
        <f>J21/J6</f>
        <v/>
      </c>
      <c r="K26" s="6">
        <f>K21/K6</f>
        <v/>
      </c>
      <c r="L26" s="6">
        <f>L21/L6</f>
        <v/>
      </c>
    </row>
    <row r="28">
      <c r="A28" t="inlineStr">
        <is>
          <t>Sum of PV of FCF (years 1-10)</t>
        </is>
      </c>
      <c r="B28" s="3">
        <f>SUM(C23:L23)</f>
        <v/>
      </c>
    </row>
    <row r="29">
      <c r="A29" t="inlineStr">
        <is>
          <t>Terminal growth</t>
        </is>
      </c>
      <c r="B29" s="5">
        <f>Assumptions!$B$18</f>
        <v/>
      </c>
    </row>
    <row r="30">
      <c r="A30" t="inlineStr">
        <is>
          <t>Terminal-year FCF x (1+g)</t>
        </is>
      </c>
      <c r="B30" s="3">
        <f>L21*(1+B29)</f>
        <v/>
      </c>
    </row>
    <row r="31">
      <c r="A31" t="inlineStr">
        <is>
          <t>Gordon terminal value</t>
        </is>
      </c>
      <c r="B31" s="3">
        <f>B30/(Assumptions!$B$8-B29)</f>
        <v/>
      </c>
    </row>
    <row r="32">
      <c r="A32" t="inlineStr">
        <is>
          <t>Cap terminal value (12x year-10 FCF)</t>
        </is>
      </c>
      <c r="B32" s="5">
        <f>Assumptions!$B$10*L21</f>
        <v/>
      </c>
    </row>
    <row r="33">
      <c r="A33" t="inlineStr">
        <is>
          <t>Terminal value used</t>
        </is>
      </c>
      <c r="B33" s="3">
        <f>MAX(0,MIN(B31,B32))</f>
        <v/>
      </c>
    </row>
    <row r="34">
      <c r="A34" t="inlineStr">
        <is>
          <t>Implied exit multiple (TV / year-10 FCF)</t>
        </is>
      </c>
      <c r="B34" s="3">
        <f>B33/L21</f>
        <v/>
      </c>
    </row>
    <row r="35">
      <c r="A35" t="inlineStr">
        <is>
          <t>PV of terminal value</t>
        </is>
      </c>
      <c r="B35" s="3">
        <f>B33*L22</f>
        <v/>
      </c>
    </row>
    <row r="36">
      <c r="A36" t="inlineStr">
        <is>
          <t>Enterprise value</t>
        </is>
      </c>
      <c r="B36" s="3">
        <f>B28+B35</f>
        <v/>
      </c>
    </row>
    <row r="37">
      <c r="A37" t="inlineStr">
        <is>
          <t>Less net debt (incl deferred consideration)</t>
        </is>
      </c>
      <c r="B37" s="5">
        <f>Assumptions!$B$7</f>
        <v/>
      </c>
    </row>
    <row r="38">
      <c r="A38" t="inlineStr">
        <is>
          <t>Equity value (parent share)</t>
        </is>
      </c>
      <c r="B38" s="3">
        <f>B36-B37</f>
        <v/>
      </c>
    </row>
    <row r="39">
      <c r="A39" t="inlineStr">
        <is>
          <t>Diluted shares (m)</t>
        </is>
      </c>
      <c r="B39" s="5">
        <f>Assumptions!$B$4</f>
        <v/>
      </c>
    </row>
    <row r="40">
      <c r="A40" s="1" t="inlineStr">
        <is>
          <t>VALUE PER SHARE (NZ$)</t>
        </is>
      </c>
      <c r="B40" s="7">
        <f>B38/B39</f>
        <v/>
      </c>
    </row>
    <row r="41">
      <c r="A41" t="inlineStr">
        <is>
          <t>Upside vs current price</t>
        </is>
      </c>
      <c r="B41" s="8">
        <f>B40/Assumptions!$B$3-1</f>
        <v/>
      </c>
    </row>
    <row r="43">
      <c r="A43" t="inlineStr">
        <is>
          <t>Street memo: PV of explicit-period SBC</t>
        </is>
      </c>
      <c r="B43">
        <f>SUMPRODUCT(-C10:L10/(1+Assumptions!$B$8)^C4:L4)</f>
        <v/>
      </c>
    </row>
    <row r="44">
      <c r="A44" t="inlineStr">
        <is>
          <t>Street memo: PV of terminal SBC</t>
        </is>
      </c>
      <c r="B44">
        <f>(-L10)*(1+B29)/(Assumptions!$B$8-B29)*L22</f>
        <v/>
      </c>
    </row>
    <row r="45">
      <c r="A45" t="inlineStr">
        <is>
          <t>Street value per share (SBC as non-cash)</t>
        </is>
      </c>
      <c r="B45">
        <f>(B38+B43+B44)/B39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Base scenario - all NZ$m; drivers (yellow) in rows 5,7,9,11,16</t>
        </is>
      </c>
    </row>
    <row r="3">
      <c r="A3" t="inlineStr">
        <is>
          <t>Year</t>
        </is>
      </c>
      <c r="B3" t="inlineStr">
        <is>
          <t>2025A</t>
        </is>
      </c>
      <c r="C3" t="inlineStr">
        <is>
          <t>2026E</t>
        </is>
      </c>
      <c r="D3" t="inlineStr">
        <is>
          <t>2027E</t>
        </is>
      </c>
      <c r="E3" t="inlineStr">
        <is>
          <t>2028E</t>
        </is>
      </c>
      <c r="F3" t="inlineStr">
        <is>
          <t>2029E</t>
        </is>
      </c>
      <c r="G3" t="inlineStr">
        <is>
          <t>2030E</t>
        </is>
      </c>
      <c r="H3" t="inlineStr">
        <is>
          <t>2031E</t>
        </is>
      </c>
      <c r="I3" t="inlineStr">
        <is>
          <t>2032E</t>
        </is>
      </c>
      <c r="J3" t="inlineStr">
        <is>
          <t>2033E</t>
        </is>
      </c>
      <c r="K3" t="inlineStr">
        <is>
          <t>2034E</t>
        </is>
      </c>
      <c r="L3" t="inlineStr">
        <is>
          <t>2035E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 %</t>
        </is>
      </c>
      <c r="C5" s="4" t="n">
        <v>0.556</v>
      </c>
      <c r="D5" s="4" t="n">
        <v>0.045</v>
      </c>
      <c r="E5" s="4" t="n">
        <v>0.04</v>
      </c>
      <c r="F5" s="4" t="n">
        <v>0.04</v>
      </c>
      <c r="G5" s="4" t="n">
        <v>0.035</v>
      </c>
      <c r="H5" s="4" t="n">
        <v>0.03</v>
      </c>
      <c r="I5" s="4" t="n">
        <v>0.03</v>
      </c>
      <c r="J5" s="4" t="n">
        <v>0.025</v>
      </c>
      <c r="K5" s="4" t="n">
        <v>0.025</v>
      </c>
      <c r="L5" s="4" t="n">
        <v>0.025</v>
      </c>
    </row>
    <row r="6">
      <c r="A6" t="inlineStr">
        <is>
          <t>Revenue</t>
        </is>
      </c>
      <c r="B6" s="2" t="n">
        <v>899.949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(Underlying) EBITDA margin %</t>
        </is>
      </c>
      <c r="C7" s="4" t="n">
        <v>0.099</v>
      </c>
      <c r="D7" s="4" t="n">
        <v>0.101</v>
      </c>
      <c r="E7" s="4" t="n">
        <v>0.1025</v>
      </c>
      <c r="F7" s="4" t="n">
        <v>0.104</v>
      </c>
      <c r="G7" s="4" t="n">
        <v>0.105</v>
      </c>
      <c r="H7" s="4" t="n">
        <v>0.105</v>
      </c>
      <c r="I7" s="4" t="n">
        <v>0.105</v>
      </c>
      <c r="J7" s="4" t="n">
        <v>0.105</v>
      </c>
      <c r="K7" s="4" t="n">
        <v>0.105</v>
      </c>
      <c r="L7" s="4" t="n">
        <v>0.105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4" t="n">
        <v>0.001</v>
      </c>
      <c r="D9" s="4" t="n">
        <v>0.001</v>
      </c>
      <c r="E9" s="4" t="n">
        <v>0.001</v>
      </c>
      <c r="F9" s="4" t="n">
        <v>0.001</v>
      </c>
      <c r="G9" s="4" t="n">
        <v>0.001</v>
      </c>
      <c r="H9" s="4" t="n">
        <v>0.001</v>
      </c>
      <c r="I9" s="4" t="n">
        <v>0.001</v>
      </c>
      <c r="J9" s="4" t="n">
        <v>0.001</v>
      </c>
      <c r="K9" s="4" t="n">
        <v>0.001</v>
      </c>
      <c r="L9" s="4" t="n">
        <v>0.001</v>
      </c>
    </row>
    <row r="10">
      <c r="A10" t="inlineStr">
        <is>
          <t>SBC $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cost % of revenue (principal+interest)</t>
        </is>
      </c>
      <c r="C11" s="4" t="n">
        <v>0.011</v>
      </c>
      <c r="D11" s="4" t="n">
        <v>0.011</v>
      </c>
      <c r="E11" s="4" t="n">
        <v>0.011</v>
      </c>
      <c r="F11" s="4" t="n">
        <v>0.01</v>
      </c>
      <c r="G11" s="4" t="n">
        <v>0.01</v>
      </c>
      <c r="H11" s="4" t="n">
        <v>0.01</v>
      </c>
      <c r="I11" s="4" t="n">
        <v>0.01</v>
      </c>
      <c r="J11" s="4" t="n">
        <v>0.01</v>
      </c>
      <c r="K11" s="4" t="n">
        <v>0.01</v>
      </c>
      <c r="L11" s="4" t="n">
        <v>0.01</v>
      </c>
    </row>
    <row r="12">
      <c r="A12" t="inlineStr">
        <is>
          <t>Lease payments $ (negative)</t>
        </is>
      </c>
      <c r="C12">
        <f>-C6*C11</f>
        <v/>
      </c>
      <c r="D12">
        <f>-D6*D11</f>
        <v/>
      </c>
      <c r="E12">
        <f>-E6*E11</f>
        <v/>
      </c>
      <c r="F12">
        <f>-F6*F11</f>
        <v/>
      </c>
      <c r="G12">
        <f>-G6*G11</f>
        <v/>
      </c>
      <c r="H12">
        <f>-H6*H11</f>
        <v/>
      </c>
      <c r="I12">
        <f>-I6*I11</f>
        <v/>
      </c>
      <c r="J12">
        <f>-J6*J11</f>
        <v/>
      </c>
      <c r="K12">
        <f>-K6*K11</f>
        <v/>
      </c>
      <c r="L12">
        <f>-L6*L11</f>
        <v/>
      </c>
    </row>
    <row r="13">
      <c r="A13" t="inlineStr">
        <is>
          <t>Owner EBITDA after SBC and leases</t>
        </is>
      </c>
      <c r="C13">
        <f>C8+C10+C12</f>
        <v/>
      </c>
      <c r="D13">
        <f>D8+D10+D12</f>
        <v/>
      </c>
      <c r="E13">
        <f>E8+E10+E12</f>
        <v/>
      </c>
      <c r="F13">
        <f>F8+F10+F12</f>
        <v/>
      </c>
      <c r="G13">
        <f>G8+G10+G12</f>
        <v/>
      </c>
      <c r="H13">
        <f>H8+H10+H12</f>
        <v/>
      </c>
      <c r="I13">
        <f>I8+I10+I12</f>
        <v/>
      </c>
      <c r="J13">
        <f>J8+J10+J12</f>
        <v/>
      </c>
      <c r="K13">
        <f>K8+K10+K12</f>
        <v/>
      </c>
      <c r="L13">
        <f>L8+L10+L12</f>
        <v/>
      </c>
    </row>
    <row r="14">
      <c r="A14" t="inlineStr">
        <is>
          <t>D&amp;A ex-ROU (negative)</t>
        </is>
      </c>
      <c r="C14" s="5">
        <f>-C6*Assumptions!$C$15</f>
        <v/>
      </c>
      <c r="D14" s="5">
        <f>-D6*Assumptions!$C$15</f>
        <v/>
      </c>
      <c r="E14" s="5">
        <f>-E6*Assumptions!$C$15</f>
        <v/>
      </c>
      <c r="F14" s="5">
        <f>-F6*Assumptions!$C$15</f>
        <v/>
      </c>
      <c r="G14" s="5">
        <f>-G6*Assumptions!$C$15</f>
        <v/>
      </c>
      <c r="H14" s="5">
        <f>-H6*Assumptions!$C$15</f>
        <v/>
      </c>
      <c r="I14" s="5">
        <f>-I6*Assumptions!$C$15</f>
        <v/>
      </c>
      <c r="J14" s="5">
        <f>-J6*Assumptions!$C$15</f>
        <v/>
      </c>
      <c r="K14" s="5">
        <f>-K6*Assumptions!$C$15</f>
        <v/>
      </c>
      <c r="L14" s="5">
        <f>-L6*Assumptions!$C$15</f>
        <v/>
      </c>
    </row>
    <row r="15">
      <c r="A15" t="inlineStr">
        <is>
          <t>EBIT (SBC and leases expensed)</t>
        </is>
      </c>
      <c r="C15">
        <f>C13+C14</f>
        <v/>
      </c>
      <c r="D15">
        <f>D13+D14</f>
        <v/>
      </c>
      <c r="E15">
        <f>E13+E14</f>
        <v/>
      </c>
      <c r="F15">
        <f>F13+F14</f>
        <v/>
      </c>
      <c r="G15">
        <f>G13+G14</f>
        <v/>
      </c>
      <c r="H15">
        <f>H13+H14</f>
        <v/>
      </c>
      <c r="I15">
        <f>I13+I14</f>
        <v/>
      </c>
      <c r="J15">
        <f>J13+J14</f>
        <v/>
      </c>
      <c r="K15">
        <f>K13+K14</f>
        <v/>
      </c>
      <c r="L15">
        <f>L13+L14</f>
        <v/>
      </c>
    </row>
    <row r="16">
      <c r="A16" t="inlineStr">
        <is>
          <t>Combined cash-tax + NCI leakage % of EBIT</t>
        </is>
      </c>
      <c r="C16" s="4" t="n">
        <v>0.363</v>
      </c>
      <c r="D16" s="4" t="n">
        <v>0.365</v>
      </c>
      <c r="E16" s="4" t="n">
        <v>0.365</v>
      </c>
      <c r="F16" s="4" t="n">
        <v>0.365</v>
      </c>
      <c r="G16" s="4" t="n">
        <v>0.37</v>
      </c>
      <c r="H16" s="4" t="n">
        <v>0.37</v>
      </c>
      <c r="I16" s="4" t="n">
        <v>0.37</v>
      </c>
      <c r="J16" s="4" t="n">
        <v>0.37</v>
      </c>
      <c r="K16" s="4" t="n">
        <v>0.37</v>
      </c>
      <c r="L16" s="4" t="n">
        <v>0.37</v>
      </c>
    </row>
    <row r="17">
      <c r="A17" t="inlineStr">
        <is>
          <t>Attributable NOPAT (unlevered)</t>
        </is>
      </c>
      <c r="C17">
        <f>C15-MAX(0,C15)*C16</f>
        <v/>
      </c>
      <c r="D17">
        <f>D15-MAX(0,D15)*D16</f>
        <v/>
      </c>
      <c r="E17">
        <f>E15-MAX(0,E15)*E16</f>
        <v/>
      </c>
      <c r="F17">
        <f>F15-MAX(0,F15)*F16</f>
        <v/>
      </c>
      <c r="G17">
        <f>G15-MAX(0,G15)*G16</f>
        <v/>
      </c>
      <c r="H17">
        <f>H15-MAX(0,H15)*H16</f>
        <v/>
      </c>
      <c r="I17">
        <f>I15-MAX(0,I15)*I16</f>
        <v/>
      </c>
      <c r="J17">
        <f>J15-MAX(0,J15)*J16</f>
        <v/>
      </c>
      <c r="K17">
        <f>K15-MAX(0,K15)*K16</f>
        <v/>
      </c>
      <c r="L17">
        <f>L15-MAX(0,L15)*L16</f>
        <v/>
      </c>
    </row>
    <row r="18">
      <c r="A18" t="inlineStr">
        <is>
          <t>Add back D&amp;A</t>
        </is>
      </c>
      <c r="C18">
        <f>-C14</f>
        <v/>
      </c>
      <c r="D18">
        <f>-D14</f>
        <v/>
      </c>
      <c r="E18">
        <f>-E14</f>
        <v/>
      </c>
      <c r="F18">
        <f>-F14</f>
        <v/>
      </c>
      <c r="G18">
        <f>-G14</f>
        <v/>
      </c>
      <c r="H18">
        <f>-H14</f>
        <v/>
      </c>
      <c r="I18">
        <f>-I14</f>
        <v/>
      </c>
      <c r="J18">
        <f>-J14</f>
        <v/>
      </c>
      <c r="K18">
        <f>-K14</f>
        <v/>
      </c>
      <c r="L18">
        <f>-L14</f>
        <v/>
      </c>
    </row>
    <row r="19">
      <c r="A19" t="inlineStr">
        <is>
          <t>Less capex</t>
        </is>
      </c>
      <c r="C19" s="5">
        <f>-C6*Assumptions!$C$16</f>
        <v/>
      </c>
      <c r="D19" s="5">
        <f>-D6*Assumptions!$C$16</f>
        <v/>
      </c>
      <c r="E19" s="5">
        <f>-E6*Assumptions!$C$16</f>
        <v/>
      </c>
      <c r="F19" s="5">
        <f>-F6*Assumptions!$C$16</f>
        <v/>
      </c>
      <c r="G19" s="5">
        <f>-G6*Assumptions!$C$16</f>
        <v/>
      </c>
      <c r="H19" s="5">
        <f>-H6*Assumptions!$C$16</f>
        <v/>
      </c>
      <c r="I19" s="5">
        <f>-I6*Assumptions!$C$16</f>
        <v/>
      </c>
      <c r="J19" s="5">
        <f>-J6*Assumptions!$C$16</f>
        <v/>
      </c>
      <c r="K19" s="5">
        <f>-K6*Assumptions!$C$16</f>
        <v/>
      </c>
      <c r="L19" s="5">
        <f>-L6*Assumptions!$C$16</f>
        <v/>
      </c>
    </row>
    <row r="20">
      <c r="A20" t="inlineStr">
        <is>
          <t>Add working capital (on revenue change)</t>
        </is>
      </c>
      <c r="C20" s="5">
        <f>(C6-B6)*Assumptions!$C$17</f>
        <v/>
      </c>
      <c r="D20" s="5">
        <f>(D6-C6)*Assumptions!$C$17</f>
        <v/>
      </c>
      <c r="E20" s="5">
        <f>(E6-D6)*Assumptions!$C$17</f>
        <v/>
      </c>
      <c r="F20" s="5">
        <f>(F6-E6)*Assumptions!$C$17</f>
        <v/>
      </c>
      <c r="G20" s="5">
        <f>(G6-F6)*Assumptions!$C$17</f>
        <v/>
      </c>
      <c r="H20" s="5">
        <f>(H6-G6)*Assumptions!$C$17</f>
        <v/>
      </c>
      <c r="I20" s="5">
        <f>(I6-H6)*Assumptions!$C$17</f>
        <v/>
      </c>
      <c r="J20" s="5">
        <f>(J6-I6)*Assumptions!$C$17</f>
        <v/>
      </c>
      <c r="K20" s="5">
        <f>(K6-J6)*Assumptions!$C$17</f>
        <v/>
      </c>
      <c r="L20" s="5">
        <f>(L6-K6)*Assumptions!$C$17</f>
        <v/>
      </c>
    </row>
    <row r="21">
      <c r="A21" t="inlineStr">
        <is>
          <t>Unlevered attributable owner FCF</t>
        </is>
      </c>
      <c r="C21">
        <f>C17+C18+C19+C20</f>
        <v/>
      </c>
      <c r="D21">
        <f>D17+D18+D19+D20</f>
        <v/>
      </c>
      <c r="E21">
        <f>E17+E18+E19+E20</f>
        <v/>
      </c>
      <c r="F21">
        <f>F17+F18+F19+F20</f>
        <v/>
      </c>
      <c r="G21">
        <f>G17+G18+G19+G20</f>
        <v/>
      </c>
      <c r="H21">
        <f>H17+H18+H19+H20</f>
        <v/>
      </c>
      <c r="I21">
        <f>I17+I18+I19+I20</f>
        <v/>
      </c>
      <c r="J21">
        <f>J17+J18+J19+J20</f>
        <v/>
      </c>
      <c r="K21">
        <f>K17+K18+K19+K20</f>
        <v/>
      </c>
      <c r="L21">
        <f>L17+L18+L19+L20</f>
        <v/>
      </c>
    </row>
    <row r="22">
      <c r="A22" t="inlineStr">
        <is>
          <t>Discount factor</t>
        </is>
      </c>
      <c r="C22" s="5">
        <f>1/(1+Assumptions!$B$8)^C4</f>
        <v/>
      </c>
      <c r="D22" s="5">
        <f>1/(1+Assumptions!$B$8)^D4</f>
        <v/>
      </c>
      <c r="E22" s="5">
        <f>1/(1+Assumptions!$B$8)^E4</f>
        <v/>
      </c>
      <c r="F22" s="5">
        <f>1/(1+Assumptions!$B$8)^F4</f>
        <v/>
      </c>
      <c r="G22" s="5">
        <f>1/(1+Assumptions!$B$8)^G4</f>
        <v/>
      </c>
      <c r="H22" s="5">
        <f>1/(1+Assumptions!$B$8)^H4</f>
        <v/>
      </c>
      <c r="I22" s="5">
        <f>1/(1+Assumptions!$B$8)^I4</f>
        <v/>
      </c>
      <c r="J22" s="5">
        <f>1/(1+Assumptions!$B$8)^J4</f>
        <v/>
      </c>
      <c r="K22" s="5">
        <f>1/(1+Assumptions!$B$8)^K4</f>
        <v/>
      </c>
      <c r="L22" s="5">
        <f>1/(1+Assumptions!$B$8)^L4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FCF before SBC (company-style)</t>
        </is>
      </c>
      <c r="C25">
        <f>C21-C10</f>
        <v/>
      </c>
      <c r="D25">
        <f>D21-D10</f>
        <v/>
      </c>
      <c r="E25">
        <f>E21-E10</f>
        <v/>
      </c>
      <c r="F25">
        <f>F21-F10</f>
        <v/>
      </c>
      <c r="G25">
        <f>G21-G10</f>
        <v/>
      </c>
      <c r="H25">
        <f>H21-H10</f>
        <v/>
      </c>
      <c r="I25">
        <f>I21-I10</f>
        <v/>
      </c>
      <c r="J25">
        <f>J21-J10</f>
        <v/>
      </c>
      <c r="K25">
        <f>K21-K10</f>
        <v/>
      </c>
      <c r="L25">
        <f>L21-L10</f>
        <v/>
      </c>
    </row>
    <row r="26">
      <c r="A26" t="inlineStr">
        <is>
          <t>Memo: implied owner-FCF margin</t>
        </is>
      </c>
      <c r="C26" s="6">
        <f>C21/C6</f>
        <v/>
      </c>
      <c r="D26" s="6">
        <f>D21/D6</f>
        <v/>
      </c>
      <c r="E26" s="6">
        <f>E21/E6</f>
        <v/>
      </c>
      <c r="F26" s="6">
        <f>F21/F6</f>
        <v/>
      </c>
      <c r="G26" s="6">
        <f>G21/G6</f>
        <v/>
      </c>
      <c r="H26" s="6">
        <f>H21/H6</f>
        <v/>
      </c>
      <c r="I26" s="6">
        <f>I21/I6</f>
        <v/>
      </c>
      <c r="J26" s="6">
        <f>J21/J6</f>
        <v/>
      </c>
      <c r="K26" s="6">
        <f>K21/K6</f>
        <v/>
      </c>
      <c r="L26" s="6">
        <f>L21/L6</f>
        <v/>
      </c>
    </row>
    <row r="28">
      <c r="A28" t="inlineStr">
        <is>
          <t>Sum of PV of FCF (years 1-10)</t>
        </is>
      </c>
      <c r="B28" s="3">
        <f>SUM(C23:L23)</f>
        <v/>
      </c>
    </row>
    <row r="29">
      <c r="A29" t="inlineStr">
        <is>
          <t>Terminal growth</t>
        </is>
      </c>
      <c r="B29" s="5">
        <f>Assumptions!$C$18</f>
        <v/>
      </c>
    </row>
    <row r="30">
      <c r="A30" t="inlineStr">
        <is>
          <t>Terminal-year FCF x (1+g)</t>
        </is>
      </c>
      <c r="B30" s="3">
        <f>L21*(1+B29)</f>
        <v/>
      </c>
    </row>
    <row r="31">
      <c r="A31" t="inlineStr">
        <is>
          <t>Gordon terminal value</t>
        </is>
      </c>
      <c r="B31" s="3">
        <f>B30/(Assumptions!$B$8-B29)</f>
        <v/>
      </c>
    </row>
    <row r="32">
      <c r="A32" t="inlineStr">
        <is>
          <t>Cap terminal value (12x year-10 FCF)</t>
        </is>
      </c>
      <c r="B32" s="5">
        <f>Assumptions!$B$10*L21</f>
        <v/>
      </c>
    </row>
    <row r="33">
      <c r="A33" t="inlineStr">
        <is>
          <t>Terminal value used</t>
        </is>
      </c>
      <c r="B33" s="3">
        <f>MAX(0,MIN(B31,B32))</f>
        <v/>
      </c>
    </row>
    <row r="34">
      <c r="A34" t="inlineStr">
        <is>
          <t>Implied exit multiple (TV / year-10 FCF)</t>
        </is>
      </c>
      <c r="B34" s="3">
        <f>B33/L21</f>
        <v/>
      </c>
    </row>
    <row r="35">
      <c r="A35" t="inlineStr">
        <is>
          <t>PV of terminal value</t>
        </is>
      </c>
      <c r="B35" s="3">
        <f>B33*L22</f>
        <v/>
      </c>
    </row>
    <row r="36">
      <c r="A36" t="inlineStr">
        <is>
          <t>Enterprise value</t>
        </is>
      </c>
      <c r="B36" s="3">
        <f>B28+B35</f>
        <v/>
      </c>
    </row>
    <row r="37">
      <c r="A37" t="inlineStr">
        <is>
          <t>Less net debt (incl deferred consideration)</t>
        </is>
      </c>
      <c r="B37" s="5">
        <f>Assumptions!$B$7</f>
        <v/>
      </c>
    </row>
    <row r="38">
      <c r="A38" t="inlineStr">
        <is>
          <t>Equity value (parent share)</t>
        </is>
      </c>
      <c r="B38" s="3">
        <f>B36-B37</f>
        <v/>
      </c>
    </row>
    <row r="39">
      <c r="A39" t="inlineStr">
        <is>
          <t>Diluted shares (m)</t>
        </is>
      </c>
      <c r="B39" s="5">
        <f>Assumptions!$B$4</f>
        <v/>
      </c>
    </row>
    <row r="40">
      <c r="A40" s="1" t="inlineStr">
        <is>
          <t>VALUE PER SHARE (NZ$)</t>
        </is>
      </c>
      <c r="B40" s="7">
        <f>B38/B39</f>
        <v/>
      </c>
    </row>
    <row r="41">
      <c r="A41" t="inlineStr">
        <is>
          <t>Upside vs current price</t>
        </is>
      </c>
      <c r="B41" s="8">
        <f>B40/Assumptions!$B$3-1</f>
        <v/>
      </c>
    </row>
    <row r="43">
      <c r="A43" t="inlineStr">
        <is>
          <t>Street memo: PV of explicit-period SBC</t>
        </is>
      </c>
      <c r="B43">
        <f>SUMPRODUCT(-C10:L10/(1+Assumptions!$B$8)^C4:L4)</f>
        <v/>
      </c>
    </row>
    <row r="44">
      <c r="A44" t="inlineStr">
        <is>
          <t>Street memo: PV of terminal SBC</t>
        </is>
      </c>
      <c r="B44">
        <f>(-L10)*(1+B29)/(Assumptions!$B$8-B29)*L22</f>
        <v/>
      </c>
    </row>
    <row r="45">
      <c r="A45" t="inlineStr">
        <is>
          <t>Street value per share (SBC as non-cash)</t>
        </is>
      </c>
      <c r="B45">
        <f>(B38+B43+B44)/B39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Bull scenario - all NZ$m; drivers (yellow) in rows 5,7,9,11,16</t>
        </is>
      </c>
    </row>
    <row r="3">
      <c r="A3" t="inlineStr">
        <is>
          <t>Year</t>
        </is>
      </c>
      <c r="B3" t="inlineStr">
        <is>
          <t>2025A</t>
        </is>
      </c>
      <c r="C3" t="inlineStr">
        <is>
          <t>2026E</t>
        </is>
      </c>
      <c r="D3" t="inlineStr">
        <is>
          <t>2027E</t>
        </is>
      </c>
      <c r="E3" t="inlineStr">
        <is>
          <t>2028E</t>
        </is>
      </c>
      <c r="F3" t="inlineStr">
        <is>
          <t>2029E</t>
        </is>
      </c>
      <c r="G3" t="inlineStr">
        <is>
          <t>2030E</t>
        </is>
      </c>
      <c r="H3" t="inlineStr">
        <is>
          <t>2031E</t>
        </is>
      </c>
      <c r="I3" t="inlineStr">
        <is>
          <t>2032E</t>
        </is>
      </c>
      <c r="J3" t="inlineStr">
        <is>
          <t>2033E</t>
        </is>
      </c>
      <c r="K3" t="inlineStr">
        <is>
          <t>2034E</t>
        </is>
      </c>
      <c r="L3" t="inlineStr">
        <is>
          <t>2035E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 %</t>
        </is>
      </c>
      <c r="C5" s="4" t="n">
        <v>0.578</v>
      </c>
      <c r="D5" s="4" t="n">
        <v>0.07000000000000001</v>
      </c>
      <c r="E5" s="4" t="n">
        <v>0.065</v>
      </c>
      <c r="F5" s="4" t="n">
        <v>0.06</v>
      </c>
      <c r="G5" s="4" t="n">
        <v>0.055</v>
      </c>
      <c r="H5" s="4" t="n">
        <v>0.05</v>
      </c>
      <c r="I5" s="4" t="n">
        <v>0.045</v>
      </c>
      <c r="J5" s="4" t="n">
        <v>0.04</v>
      </c>
      <c r="K5" s="4" t="n">
        <v>0.035</v>
      </c>
      <c r="L5" s="4" t="n">
        <v>0.03</v>
      </c>
    </row>
    <row r="6">
      <c r="A6" t="inlineStr">
        <is>
          <t>Revenue</t>
        </is>
      </c>
      <c r="B6" s="2" t="n">
        <v>899.949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(Underlying) EBITDA margin %</t>
        </is>
      </c>
      <c r="C7" s="4" t="n">
        <v>0.101</v>
      </c>
      <c r="D7" s="4" t="n">
        <v>0.105</v>
      </c>
      <c r="E7" s="4" t="n">
        <v>0.109</v>
      </c>
      <c r="F7" s="4" t="n">
        <v>0.112</v>
      </c>
      <c r="G7" s="4" t="n">
        <v>0.114</v>
      </c>
      <c r="H7" s="4" t="n">
        <v>0.115</v>
      </c>
      <c r="I7" s="4" t="n">
        <v>0.115</v>
      </c>
      <c r="J7" s="4" t="n">
        <v>0.115</v>
      </c>
      <c r="K7" s="4" t="n">
        <v>0.115</v>
      </c>
      <c r="L7" s="4" t="n">
        <v>0.115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4" t="n">
        <v>0.001</v>
      </c>
      <c r="D9" s="4" t="n">
        <v>0.001</v>
      </c>
      <c r="E9" s="4" t="n">
        <v>0.001</v>
      </c>
      <c r="F9" s="4" t="n">
        <v>0.001</v>
      </c>
      <c r="G9" s="4" t="n">
        <v>0.001</v>
      </c>
      <c r="H9" s="4" t="n">
        <v>0.001</v>
      </c>
      <c r="I9" s="4" t="n">
        <v>0.001</v>
      </c>
      <c r="J9" s="4" t="n">
        <v>0.001</v>
      </c>
      <c r="K9" s="4" t="n">
        <v>0.001</v>
      </c>
      <c r="L9" s="4" t="n">
        <v>0.001</v>
      </c>
    </row>
    <row r="10">
      <c r="A10" t="inlineStr">
        <is>
          <t>SBC $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cost % of revenue (principal+interest)</t>
        </is>
      </c>
      <c r="C11" s="4" t="n">
        <v>0.011</v>
      </c>
      <c r="D11" s="4" t="n">
        <v>0.0105</v>
      </c>
      <c r="E11" s="4" t="n">
        <v>0.01</v>
      </c>
      <c r="F11" s="4" t="n">
        <v>0.01</v>
      </c>
      <c r="G11" s="4" t="n">
        <v>0.01</v>
      </c>
      <c r="H11" s="4" t="n">
        <v>0.01</v>
      </c>
      <c r="I11" s="4" t="n">
        <v>0.01</v>
      </c>
      <c r="J11" s="4" t="n">
        <v>0.01</v>
      </c>
      <c r="K11" s="4" t="n">
        <v>0.01</v>
      </c>
      <c r="L11" s="4" t="n">
        <v>0.01</v>
      </c>
    </row>
    <row r="12">
      <c r="A12" t="inlineStr">
        <is>
          <t>Lease payments $ (negative)</t>
        </is>
      </c>
      <c r="C12">
        <f>-C6*C11</f>
        <v/>
      </c>
      <c r="D12">
        <f>-D6*D11</f>
        <v/>
      </c>
      <c r="E12">
        <f>-E6*E11</f>
        <v/>
      </c>
      <c r="F12">
        <f>-F6*F11</f>
        <v/>
      </c>
      <c r="G12">
        <f>-G6*G11</f>
        <v/>
      </c>
      <c r="H12">
        <f>-H6*H11</f>
        <v/>
      </c>
      <c r="I12">
        <f>-I6*I11</f>
        <v/>
      </c>
      <c r="J12">
        <f>-J6*J11</f>
        <v/>
      </c>
      <c r="K12">
        <f>-K6*K11</f>
        <v/>
      </c>
      <c r="L12">
        <f>-L6*L11</f>
        <v/>
      </c>
    </row>
    <row r="13">
      <c r="A13" t="inlineStr">
        <is>
          <t>Owner EBITDA after SBC and leases</t>
        </is>
      </c>
      <c r="C13">
        <f>C8+C10+C12</f>
        <v/>
      </c>
      <c r="D13">
        <f>D8+D10+D12</f>
        <v/>
      </c>
      <c r="E13">
        <f>E8+E10+E12</f>
        <v/>
      </c>
      <c r="F13">
        <f>F8+F10+F12</f>
        <v/>
      </c>
      <c r="G13">
        <f>G8+G10+G12</f>
        <v/>
      </c>
      <c r="H13">
        <f>H8+H10+H12</f>
        <v/>
      </c>
      <c r="I13">
        <f>I8+I10+I12</f>
        <v/>
      </c>
      <c r="J13">
        <f>J8+J10+J12</f>
        <v/>
      </c>
      <c r="K13">
        <f>K8+K10+K12</f>
        <v/>
      </c>
      <c r="L13">
        <f>L8+L10+L12</f>
        <v/>
      </c>
    </row>
    <row r="14">
      <c r="A14" t="inlineStr">
        <is>
          <t>D&amp;A ex-ROU (negative)</t>
        </is>
      </c>
      <c r="C14" s="5">
        <f>-C6*Assumptions!$D$15</f>
        <v/>
      </c>
      <c r="D14" s="5">
        <f>-D6*Assumptions!$D$15</f>
        <v/>
      </c>
      <c r="E14" s="5">
        <f>-E6*Assumptions!$D$15</f>
        <v/>
      </c>
      <c r="F14" s="5">
        <f>-F6*Assumptions!$D$15</f>
        <v/>
      </c>
      <c r="G14" s="5">
        <f>-G6*Assumptions!$D$15</f>
        <v/>
      </c>
      <c r="H14" s="5">
        <f>-H6*Assumptions!$D$15</f>
        <v/>
      </c>
      <c r="I14" s="5">
        <f>-I6*Assumptions!$D$15</f>
        <v/>
      </c>
      <c r="J14" s="5">
        <f>-J6*Assumptions!$D$15</f>
        <v/>
      </c>
      <c r="K14" s="5">
        <f>-K6*Assumptions!$D$15</f>
        <v/>
      </c>
      <c r="L14" s="5">
        <f>-L6*Assumptions!$D$15</f>
        <v/>
      </c>
    </row>
    <row r="15">
      <c r="A15" t="inlineStr">
        <is>
          <t>EBIT (SBC and leases expensed)</t>
        </is>
      </c>
      <c r="C15">
        <f>C13+C14</f>
        <v/>
      </c>
      <c r="D15">
        <f>D13+D14</f>
        <v/>
      </c>
      <c r="E15">
        <f>E13+E14</f>
        <v/>
      </c>
      <c r="F15">
        <f>F13+F14</f>
        <v/>
      </c>
      <c r="G15">
        <f>G13+G14</f>
        <v/>
      </c>
      <c r="H15">
        <f>H13+H14</f>
        <v/>
      </c>
      <c r="I15">
        <f>I13+I14</f>
        <v/>
      </c>
      <c r="J15">
        <f>J13+J14</f>
        <v/>
      </c>
      <c r="K15">
        <f>K13+K14</f>
        <v/>
      </c>
      <c r="L15">
        <f>L13+L14</f>
        <v/>
      </c>
    </row>
    <row r="16">
      <c r="A16" t="inlineStr">
        <is>
          <t>Combined cash-tax + NCI leakage % of EBIT</t>
        </is>
      </c>
      <c r="C16" s="4" t="n">
        <v>0.36</v>
      </c>
      <c r="D16" s="4" t="n">
        <v>0.355</v>
      </c>
      <c r="E16" s="4" t="n">
        <v>0.355</v>
      </c>
      <c r="F16" s="4" t="n">
        <v>0.35</v>
      </c>
      <c r="G16" s="4" t="n">
        <v>0.35</v>
      </c>
      <c r="H16" s="4" t="n">
        <v>0.35</v>
      </c>
      <c r="I16" s="4" t="n">
        <v>0.35</v>
      </c>
      <c r="J16" s="4" t="n">
        <v>0.35</v>
      </c>
      <c r="K16" s="4" t="n">
        <v>0.35</v>
      </c>
      <c r="L16" s="4" t="n">
        <v>0.35</v>
      </c>
    </row>
    <row r="17">
      <c r="A17" t="inlineStr">
        <is>
          <t>Attributable NOPAT (unlevered)</t>
        </is>
      </c>
      <c r="C17">
        <f>C15-MAX(0,C15)*C16</f>
        <v/>
      </c>
      <c r="D17">
        <f>D15-MAX(0,D15)*D16</f>
        <v/>
      </c>
      <c r="E17">
        <f>E15-MAX(0,E15)*E16</f>
        <v/>
      </c>
      <c r="F17">
        <f>F15-MAX(0,F15)*F16</f>
        <v/>
      </c>
      <c r="G17">
        <f>G15-MAX(0,G15)*G16</f>
        <v/>
      </c>
      <c r="H17">
        <f>H15-MAX(0,H15)*H16</f>
        <v/>
      </c>
      <c r="I17">
        <f>I15-MAX(0,I15)*I16</f>
        <v/>
      </c>
      <c r="J17">
        <f>J15-MAX(0,J15)*J16</f>
        <v/>
      </c>
      <c r="K17">
        <f>K15-MAX(0,K15)*K16</f>
        <v/>
      </c>
      <c r="L17">
        <f>L15-MAX(0,L15)*L16</f>
        <v/>
      </c>
    </row>
    <row r="18">
      <c r="A18" t="inlineStr">
        <is>
          <t>Add back D&amp;A</t>
        </is>
      </c>
      <c r="C18">
        <f>-C14</f>
        <v/>
      </c>
      <c r="D18">
        <f>-D14</f>
        <v/>
      </c>
      <c r="E18">
        <f>-E14</f>
        <v/>
      </c>
      <c r="F18">
        <f>-F14</f>
        <v/>
      </c>
      <c r="G18">
        <f>-G14</f>
        <v/>
      </c>
      <c r="H18">
        <f>-H14</f>
        <v/>
      </c>
      <c r="I18">
        <f>-I14</f>
        <v/>
      </c>
      <c r="J18">
        <f>-J14</f>
        <v/>
      </c>
      <c r="K18">
        <f>-K14</f>
        <v/>
      </c>
      <c r="L18">
        <f>-L14</f>
        <v/>
      </c>
    </row>
    <row r="19">
      <c r="A19" t="inlineStr">
        <is>
          <t>Less capex</t>
        </is>
      </c>
      <c r="C19" s="5">
        <f>-C6*Assumptions!$D$16</f>
        <v/>
      </c>
      <c r="D19" s="5">
        <f>-D6*Assumptions!$D$16</f>
        <v/>
      </c>
      <c r="E19" s="5">
        <f>-E6*Assumptions!$D$16</f>
        <v/>
      </c>
      <c r="F19" s="5">
        <f>-F6*Assumptions!$D$16</f>
        <v/>
      </c>
      <c r="G19" s="5">
        <f>-G6*Assumptions!$D$16</f>
        <v/>
      </c>
      <c r="H19" s="5">
        <f>-H6*Assumptions!$D$16</f>
        <v/>
      </c>
      <c r="I19" s="5">
        <f>-I6*Assumptions!$D$16</f>
        <v/>
      </c>
      <c r="J19" s="5">
        <f>-J6*Assumptions!$D$16</f>
        <v/>
      </c>
      <c r="K19" s="5">
        <f>-K6*Assumptions!$D$16</f>
        <v/>
      </c>
      <c r="L19" s="5">
        <f>-L6*Assumptions!$D$16</f>
        <v/>
      </c>
    </row>
    <row r="20">
      <c r="A20" t="inlineStr">
        <is>
          <t>Add working capital (on revenue change)</t>
        </is>
      </c>
      <c r="C20" s="5">
        <f>(C6-B6)*Assumptions!$D$17</f>
        <v/>
      </c>
      <c r="D20" s="5">
        <f>(D6-C6)*Assumptions!$D$17</f>
        <v/>
      </c>
      <c r="E20" s="5">
        <f>(E6-D6)*Assumptions!$D$17</f>
        <v/>
      </c>
      <c r="F20" s="5">
        <f>(F6-E6)*Assumptions!$D$17</f>
        <v/>
      </c>
      <c r="G20" s="5">
        <f>(G6-F6)*Assumptions!$D$17</f>
        <v/>
      </c>
      <c r="H20" s="5">
        <f>(H6-G6)*Assumptions!$D$17</f>
        <v/>
      </c>
      <c r="I20" s="5">
        <f>(I6-H6)*Assumptions!$D$17</f>
        <v/>
      </c>
      <c r="J20" s="5">
        <f>(J6-I6)*Assumptions!$D$17</f>
        <v/>
      </c>
      <c r="K20" s="5">
        <f>(K6-J6)*Assumptions!$D$17</f>
        <v/>
      </c>
      <c r="L20" s="5">
        <f>(L6-K6)*Assumptions!$D$17</f>
        <v/>
      </c>
    </row>
    <row r="21">
      <c r="A21" t="inlineStr">
        <is>
          <t>Unlevered attributable owner FCF</t>
        </is>
      </c>
      <c r="C21">
        <f>C17+C18+C19+C20</f>
        <v/>
      </c>
      <c r="D21">
        <f>D17+D18+D19+D20</f>
        <v/>
      </c>
      <c r="E21">
        <f>E17+E18+E19+E20</f>
        <v/>
      </c>
      <c r="F21">
        <f>F17+F18+F19+F20</f>
        <v/>
      </c>
      <c r="G21">
        <f>G17+G18+G19+G20</f>
        <v/>
      </c>
      <c r="H21">
        <f>H17+H18+H19+H20</f>
        <v/>
      </c>
      <c r="I21">
        <f>I17+I18+I19+I20</f>
        <v/>
      </c>
      <c r="J21">
        <f>J17+J18+J19+J20</f>
        <v/>
      </c>
      <c r="K21">
        <f>K17+K18+K19+K20</f>
        <v/>
      </c>
      <c r="L21">
        <f>L17+L18+L19+L20</f>
        <v/>
      </c>
    </row>
    <row r="22">
      <c r="A22" t="inlineStr">
        <is>
          <t>Discount factor</t>
        </is>
      </c>
      <c r="C22" s="5">
        <f>1/(1+Assumptions!$B$8)^C4</f>
        <v/>
      </c>
      <c r="D22" s="5">
        <f>1/(1+Assumptions!$B$8)^D4</f>
        <v/>
      </c>
      <c r="E22" s="5">
        <f>1/(1+Assumptions!$B$8)^E4</f>
        <v/>
      </c>
      <c r="F22" s="5">
        <f>1/(1+Assumptions!$B$8)^F4</f>
        <v/>
      </c>
      <c r="G22" s="5">
        <f>1/(1+Assumptions!$B$8)^G4</f>
        <v/>
      </c>
      <c r="H22" s="5">
        <f>1/(1+Assumptions!$B$8)^H4</f>
        <v/>
      </c>
      <c r="I22" s="5">
        <f>1/(1+Assumptions!$B$8)^I4</f>
        <v/>
      </c>
      <c r="J22" s="5">
        <f>1/(1+Assumptions!$B$8)^J4</f>
        <v/>
      </c>
      <c r="K22" s="5">
        <f>1/(1+Assumptions!$B$8)^K4</f>
        <v/>
      </c>
      <c r="L22" s="5">
        <f>1/(1+Assumptions!$B$8)^L4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FCF before SBC (company-style)</t>
        </is>
      </c>
      <c r="C25">
        <f>C21-C10</f>
        <v/>
      </c>
      <c r="D25">
        <f>D21-D10</f>
        <v/>
      </c>
      <c r="E25">
        <f>E21-E10</f>
        <v/>
      </c>
      <c r="F25">
        <f>F21-F10</f>
        <v/>
      </c>
      <c r="G25">
        <f>G21-G10</f>
        <v/>
      </c>
      <c r="H25">
        <f>H21-H10</f>
        <v/>
      </c>
      <c r="I25">
        <f>I21-I10</f>
        <v/>
      </c>
      <c r="J25">
        <f>J21-J10</f>
        <v/>
      </c>
      <c r="K25">
        <f>K21-K10</f>
        <v/>
      </c>
      <c r="L25">
        <f>L21-L10</f>
        <v/>
      </c>
    </row>
    <row r="26">
      <c r="A26" t="inlineStr">
        <is>
          <t>Memo: implied owner-FCF margin</t>
        </is>
      </c>
      <c r="C26" s="6">
        <f>C21/C6</f>
        <v/>
      </c>
      <c r="D26" s="6">
        <f>D21/D6</f>
        <v/>
      </c>
      <c r="E26" s="6">
        <f>E21/E6</f>
        <v/>
      </c>
      <c r="F26" s="6">
        <f>F21/F6</f>
        <v/>
      </c>
      <c r="G26" s="6">
        <f>G21/G6</f>
        <v/>
      </c>
      <c r="H26" s="6">
        <f>H21/H6</f>
        <v/>
      </c>
      <c r="I26" s="6">
        <f>I21/I6</f>
        <v/>
      </c>
      <c r="J26" s="6">
        <f>J21/J6</f>
        <v/>
      </c>
      <c r="K26" s="6">
        <f>K21/K6</f>
        <v/>
      </c>
      <c r="L26" s="6">
        <f>L21/L6</f>
        <v/>
      </c>
    </row>
    <row r="28">
      <c r="A28" t="inlineStr">
        <is>
          <t>Sum of PV of FCF (years 1-10)</t>
        </is>
      </c>
      <c r="B28" s="3">
        <f>SUM(C23:L23)</f>
        <v/>
      </c>
    </row>
    <row r="29">
      <c r="A29" t="inlineStr">
        <is>
          <t>Terminal growth</t>
        </is>
      </c>
      <c r="B29" s="5">
        <f>Assumptions!$D$18</f>
        <v/>
      </c>
    </row>
    <row r="30">
      <c r="A30" t="inlineStr">
        <is>
          <t>Terminal-year FCF x (1+g)</t>
        </is>
      </c>
      <c r="B30" s="3">
        <f>L21*(1+B29)</f>
        <v/>
      </c>
    </row>
    <row r="31">
      <c r="A31" t="inlineStr">
        <is>
          <t>Gordon terminal value</t>
        </is>
      </c>
      <c r="B31" s="3">
        <f>B30/(Assumptions!$B$8-B29)</f>
        <v/>
      </c>
    </row>
    <row r="32">
      <c r="A32" t="inlineStr">
        <is>
          <t>Cap terminal value (12x year-10 FCF)</t>
        </is>
      </c>
      <c r="B32" s="5">
        <f>Assumptions!$B$10*L21</f>
        <v/>
      </c>
    </row>
    <row r="33">
      <c r="A33" t="inlineStr">
        <is>
          <t>Terminal value used</t>
        </is>
      </c>
      <c r="B33" s="3">
        <f>MAX(0,MIN(B31,B32))</f>
        <v/>
      </c>
    </row>
    <row r="34">
      <c r="A34" t="inlineStr">
        <is>
          <t>Implied exit multiple (TV / year-10 FCF)</t>
        </is>
      </c>
      <c r="B34" s="3">
        <f>B33/L21</f>
        <v/>
      </c>
    </row>
    <row r="35">
      <c r="A35" t="inlineStr">
        <is>
          <t>PV of terminal value</t>
        </is>
      </c>
      <c r="B35" s="3">
        <f>B33*L22</f>
        <v/>
      </c>
    </row>
    <row r="36">
      <c r="A36" t="inlineStr">
        <is>
          <t>Enterprise value</t>
        </is>
      </c>
      <c r="B36" s="3">
        <f>B28+B35</f>
        <v/>
      </c>
    </row>
    <row r="37">
      <c r="A37" t="inlineStr">
        <is>
          <t>Less net debt (incl deferred consideration)</t>
        </is>
      </c>
      <c r="B37" s="5">
        <f>Assumptions!$B$7</f>
        <v/>
      </c>
    </row>
    <row r="38">
      <c r="A38" t="inlineStr">
        <is>
          <t>Equity value (parent share)</t>
        </is>
      </c>
      <c r="B38" s="3">
        <f>B36-B37</f>
        <v/>
      </c>
    </row>
    <row r="39">
      <c r="A39" t="inlineStr">
        <is>
          <t>Diluted shares (m)</t>
        </is>
      </c>
      <c r="B39" s="5">
        <f>Assumptions!$B$4</f>
        <v/>
      </c>
    </row>
    <row r="40">
      <c r="A40" s="1" t="inlineStr">
        <is>
          <t>VALUE PER SHARE (NZ$)</t>
        </is>
      </c>
      <c r="B40" s="7">
        <f>B38/B39</f>
        <v/>
      </c>
    </row>
    <row r="41">
      <c r="A41" t="inlineStr">
        <is>
          <t>Upside vs current price</t>
        </is>
      </c>
      <c r="B41" s="8">
        <f>B40/Assumptions!$B$3-1</f>
        <v/>
      </c>
    </row>
    <row r="43">
      <c r="A43" t="inlineStr">
        <is>
          <t>Street memo: PV of explicit-period SBC</t>
        </is>
      </c>
      <c r="B43">
        <f>SUMPRODUCT(-C10:L10/(1+Assumptions!$B$8)^C4:L4)</f>
        <v/>
      </c>
    </row>
    <row r="44">
      <c r="A44" t="inlineStr">
        <is>
          <t>Street memo: PV of terminal SBC</t>
        </is>
      </c>
      <c r="B44">
        <f>(-L10)*(1+B29)/(Assumptions!$B$8-B29)*L22</f>
        <v/>
      </c>
    </row>
    <row r="45">
      <c r="A45" t="inlineStr">
        <is>
          <t>Street value per share (SBC as non-cash)</t>
        </is>
      </c>
      <c r="B45">
        <f>(B38+B43+B44)/B39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Reported FCF reconciled to owner FCF (NZ$m). Lease treatment B: full lease payment deducted; lease liabilities excluded from net debt.</t>
        </is>
      </c>
    </row>
    <row r="3">
      <c r="A3" s="1" t="inlineStr">
        <is>
          <t>Line</t>
        </is>
      </c>
      <c r="B3" s="1" t="inlineStr">
        <is>
          <t>FY2019</t>
        </is>
      </c>
      <c r="C3" s="1" t="inlineStr">
        <is>
          <t>FY2020</t>
        </is>
      </c>
      <c r="D3" s="1" t="inlineStr">
        <is>
          <t>FY2021</t>
        </is>
      </c>
      <c r="E3" s="1" t="inlineStr">
        <is>
          <t>FY2022</t>
        </is>
      </c>
      <c r="F3" s="1" t="inlineStr">
        <is>
          <t>FY2023</t>
        </is>
      </c>
      <c r="G3" s="1" t="inlineStr">
        <is>
          <t>FY2024</t>
        </is>
      </c>
      <c r="H3" s="1" t="inlineStr">
        <is>
          <t>FY2025</t>
        </is>
      </c>
    </row>
    <row r="4">
      <c r="A4" t="inlineStr">
        <is>
          <t>Free cash flow (company definition: OCF - capex)</t>
        </is>
      </c>
      <c r="B4" s="2" t="n">
        <v>39.786</v>
      </c>
      <c r="C4" s="2" t="n">
        <v>28.987</v>
      </c>
      <c r="D4" s="2" t="n">
        <v>24.017</v>
      </c>
      <c r="E4" s="2" t="n">
        <v>30.273</v>
      </c>
      <c r="F4" s="2" t="n">
        <v>47.892</v>
      </c>
      <c r="G4" s="2" t="n">
        <v>43.124</v>
      </c>
      <c r="H4" s="2" t="n">
        <v>74.86199999999999</v>
      </c>
    </row>
    <row r="5">
      <c r="A5" t="inlineStr">
        <is>
          <t>less: SBC (cash-flow add-back; no equity-tax line disclosed)</t>
        </is>
      </c>
      <c r="B5" s="2" t="n">
        <v>1</v>
      </c>
      <c r="C5" s="2" t="n">
        <v>0.698</v>
      </c>
      <c r="D5" s="2" t="n">
        <v>0.726</v>
      </c>
      <c r="E5" s="2" t="n">
        <v>0.609</v>
      </c>
      <c r="F5" s="2" t="n">
        <v>0.456</v>
      </c>
      <c r="G5" s="2" t="n">
        <v>0.71</v>
      </c>
      <c r="H5" s="2" t="n">
        <v>1.169</v>
      </c>
    </row>
    <row r="6">
      <c r="A6" t="inlineStr">
        <is>
          <t>less: lease principal repayments</t>
        </is>
      </c>
      <c r="B6" s="2" t="n">
        <v>6.459</v>
      </c>
      <c r="C6" s="2" t="n">
        <v>7.3</v>
      </c>
      <c r="D6" s="2" t="n">
        <v>7.839</v>
      </c>
      <c r="E6" s="2" t="n">
        <v>8.281000000000001</v>
      </c>
      <c r="F6" s="2" t="n">
        <v>8.42</v>
      </c>
      <c r="G6" s="2" t="n">
        <v>9.074999999999999</v>
      </c>
      <c r="H6" s="2" t="n">
        <v>8.464</v>
      </c>
    </row>
    <row r="7">
      <c r="A7" t="inlineStr">
        <is>
          <t>less: interest on lease liabilities</t>
        </is>
      </c>
      <c r="B7" s="2" t="n">
        <v>3.075</v>
      </c>
      <c r="C7" s="2" t="n">
        <v>2.981</v>
      </c>
      <c r="D7" s="2" t="n">
        <v>2.964</v>
      </c>
      <c r="E7" s="2" t="n">
        <v>2.953</v>
      </c>
      <c r="F7" s="2" t="n">
        <v>3.144</v>
      </c>
      <c r="G7" s="2" t="n">
        <v>3.774</v>
      </c>
      <c r="H7" s="2" t="n">
        <v>4.74</v>
      </c>
    </row>
    <row r="8">
      <c r="A8" t="inlineStr">
        <is>
          <t>Owner FCF</t>
        </is>
      </c>
      <c r="B8">
        <f>B4-B5-B6-B7</f>
        <v/>
      </c>
      <c r="C8">
        <f>C4-C5-C6-C7</f>
        <v/>
      </c>
      <c r="D8">
        <f>D4-D5-D6-D7</f>
        <v/>
      </c>
      <c r="E8">
        <f>E4-E5-E6-E7</f>
        <v/>
      </c>
      <c r="F8">
        <f>F4-F5-F6-F7</f>
        <v/>
      </c>
      <c r="G8">
        <f>G4-G5-G6-G7</f>
        <v/>
      </c>
      <c r="H8">
        <f>H4-H5-H6-H7</f>
        <v/>
      </c>
    </row>
    <row r="9">
      <c r="A9" t="inlineStr">
        <is>
          <t>Revenue</t>
        </is>
      </c>
      <c r="B9" s="2" t="n">
        <v>484.609</v>
      </c>
      <c r="C9" s="2" t="n">
        <v>470.709</v>
      </c>
      <c r="D9" s="2" t="n">
        <v>514.551</v>
      </c>
      <c r="E9" s="2" t="n">
        <v>619.173</v>
      </c>
      <c r="F9" s="2" t="n">
        <v>565.356</v>
      </c>
      <c r="G9" s="2" t="n">
        <v>584.627</v>
      </c>
      <c r="H9" s="2" t="n">
        <v>899.949</v>
      </c>
    </row>
    <row r="10">
      <c r="A10" t="inlineStr">
        <is>
          <t>Reported FCF margin</t>
        </is>
      </c>
      <c r="B10" s="6">
        <f>B4/B9</f>
        <v/>
      </c>
      <c r="C10" s="6">
        <f>C4/C9</f>
        <v/>
      </c>
      <c r="D10" s="6">
        <f>D4/D9</f>
        <v/>
      </c>
      <c r="E10" s="6">
        <f>E4/E9</f>
        <v/>
      </c>
      <c r="F10" s="6">
        <f>F4/F9</f>
        <v/>
      </c>
      <c r="G10" s="6">
        <f>G4/G9</f>
        <v/>
      </c>
      <c r="H10" s="6">
        <f>H4/H9</f>
        <v/>
      </c>
    </row>
    <row r="11">
      <c r="A11" t="inlineStr">
        <is>
          <t>Owner FCF margin</t>
        </is>
      </c>
      <c r="B11" s="6">
        <f>B8/B9</f>
        <v/>
      </c>
      <c r="C11" s="6">
        <f>C8/C9</f>
        <v/>
      </c>
      <c r="D11" s="6">
        <f>D8/D9</f>
        <v/>
      </c>
      <c r="E11" s="6">
        <f>E8/E9</f>
        <v/>
      </c>
      <c r="F11" s="6">
        <f>F8/F9</f>
        <v/>
      </c>
      <c r="G11" s="6">
        <f>G8/G9</f>
        <v/>
      </c>
      <c r="H11" s="6">
        <f>H8/H9</f>
        <v/>
      </c>
    </row>
    <row r="13">
      <c r="A13" t="inlineStr">
        <is>
          <t>Memo: interest income NOT stripped (company carries net debt; flows are unlevered). FY2025 interest received 2.602.</t>
        </is>
      </c>
    </row>
    <row r="14">
      <c r="A14" t="inlineStr">
        <is>
          <t>Memo: FY2025 income tax paid 10.113 on 137.6 underlying EBITDA - low effective cash tax reflects flow-through US LLC (Shelby) and imputation structures; leakage driver ramps it up 1pt over the horizon.</t>
        </is>
      </c>
    </row>
    <row r="15">
      <c r="A15" t="inlineStr">
        <is>
          <t>Memo: FY2024 capex 54.4 includes the Bostock orchard purchase; FY2025 capex 20.9 is the cleaner maintenance+growth base.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Valuation summary (NZ$ per share)</t>
        </is>
      </c>
    </row>
    <row r="3">
      <c r="A3" s="1" t="inlineStr">
        <is>
          <t>Scenario</t>
        </is>
      </c>
      <c r="B3" s="1" t="inlineStr">
        <is>
          <t>Bear</t>
        </is>
      </c>
      <c r="C3" s="1" t="inlineStr">
        <is>
          <t>Base</t>
        </is>
      </c>
      <c r="D3" s="1" t="inlineStr">
        <is>
          <t>Bull</t>
        </is>
      </c>
    </row>
    <row r="4">
      <c r="A4" t="inlineStr">
        <is>
          <t>Value per share (house basis)</t>
        </is>
      </c>
      <c r="B4" s="5">
        <f>DCF_Bear!$B$40</f>
        <v/>
      </c>
      <c r="C4" s="5">
        <f>DCF_Base!$B$40</f>
        <v/>
      </c>
      <c r="D4" s="5">
        <f>DCF_Bull!$B$40</f>
        <v/>
      </c>
    </row>
    <row r="5">
      <c r="A5" t="inlineStr">
        <is>
          <t>Upside vs price</t>
        </is>
      </c>
      <c r="B5" s="6">
        <f>DCF_Bear!$B$40/Assumptions!$B$3-1</f>
        <v/>
      </c>
      <c r="C5" s="6">
        <f>DCF_Base!$B$40/Assumptions!$B$3-1</f>
        <v/>
      </c>
      <c r="D5" s="6">
        <f>DCF_Bull!$B$40/Assumptions!$B$3-1</f>
        <v/>
      </c>
    </row>
    <row r="6">
      <c r="A6" t="inlineStr">
        <is>
          <t>Probability weight</t>
        </is>
      </c>
      <c r="B6" s="5">
        <f>Assumptions!$B$19</f>
        <v/>
      </c>
      <c r="C6" s="5">
        <f>Assumptions!$C$19</f>
        <v/>
      </c>
      <c r="D6" s="5">
        <f>Assumptions!$D$19</f>
        <v/>
      </c>
    </row>
    <row r="7">
      <c r="A7" t="inlineStr">
        <is>
          <t>Street value per share (SBC non-cash)</t>
        </is>
      </c>
      <c r="B7" s="5">
        <f>DCF_Bear!$B$45</f>
        <v/>
      </c>
      <c r="C7" s="5">
        <f>DCF_Base!$B$45</f>
        <v/>
      </c>
      <c r="D7" s="5">
        <f>DCF_Bull!$B$45</f>
        <v/>
      </c>
    </row>
    <row r="9">
      <c r="A9" s="1" t="inlineStr">
        <is>
          <t>Probability-weighted value</t>
        </is>
      </c>
      <c r="B9" s="9">
        <f>SUMPRODUCT(B4:D4,B6:D6)</f>
        <v/>
      </c>
    </row>
    <row r="10">
      <c r="A10" t="inlineStr">
        <is>
          <t>Margin of safety at current price</t>
        </is>
      </c>
      <c r="B10" s="6">
        <f>1-Assumptions!$B$3/B9</f>
        <v/>
      </c>
    </row>
    <row r="11">
      <c r="A11" t="inlineStr">
        <is>
          <t>Street probability-weighted value</t>
        </is>
      </c>
      <c r="B11">
        <f>SUMPRODUCT(B7:D7,B6:D6)</f>
        <v/>
      </c>
    </row>
    <row r="12">
      <c r="A12" t="inlineStr">
        <is>
          <t>Band position note: house/street band collapses (SBC ~0.1% of revenue); band position not meaningful (n/a).</t>
        </is>
      </c>
    </row>
    <row r="14">
      <c r="A14" s="1" t="inlineStr">
        <is>
          <t>Entry price at 15% hurdle (TV at WACC, discounted at hurdle)</t>
        </is>
      </c>
    </row>
    <row r="15">
      <c r="A15" t="inlineStr">
        <is>
          <t>Entry price per scenario</t>
        </is>
      </c>
      <c r="B15">
        <f>(SUMPRODUCT(DCF_Bear!C21:L21/(1+Assumptions!$B$9)^DCF_Bear!C4:L4)+DCF_Bear!$B$33/(1+Assumptions!$B$9)^10-Assumptions!$B$7)/Assumptions!$B$4</f>
        <v/>
      </c>
      <c r="C15">
        <f>(SUMPRODUCT(DCF_Base!C21:L21/(1+Assumptions!$B$9)^DCF_Base!C4:L4)+DCF_Base!$B$33/(1+Assumptions!$B$9)^10-Assumptions!$B$7)/Assumptions!$B$4</f>
        <v/>
      </c>
      <c r="D15">
        <f>(SUMPRODUCT(DCF_Bull!C21:L21/(1+Assumptions!$B$9)^DCF_Bull!C4:L4)+DCF_Bull!$B$33/(1+Assumptions!$B$9)^10-Assumptions!$B$7)/Assumptions!$B$4</f>
        <v/>
      </c>
    </row>
    <row r="16">
      <c r="A16" s="1" t="inlineStr">
        <is>
          <t>Probability-weighted entry price</t>
        </is>
      </c>
      <c r="B16" s="9">
        <f>SUMPRODUCT(B15:D15,B6:D6)</f>
        <v/>
      </c>
    </row>
    <row r="18">
      <c r="A18" s="1" t="inlineStr">
        <is>
          <t>Required-return table (base case; Gordon TV at r, cap 12x)</t>
        </is>
      </c>
    </row>
    <row r="19">
      <c r="A19" t="inlineStr">
        <is>
          <t>Required return</t>
        </is>
      </c>
      <c r="B19" s="10" t="n">
        <v>0.09</v>
      </c>
      <c r="C19" s="10" t="n">
        <v>0.1</v>
      </c>
      <c r="D19" s="10" t="n">
        <v>0.11</v>
      </c>
      <c r="E19" s="10" t="n">
        <v>0.115</v>
      </c>
      <c r="F19" s="10" t="n">
        <v>0.12</v>
      </c>
      <c r="G19" s="10" t="n">
        <v>0.15</v>
      </c>
    </row>
    <row r="20">
      <c r="A20" t="inlineStr">
        <is>
          <t>Value per share</t>
        </is>
      </c>
      <c r="B20">
        <f>(SUMPRODUCT(DCF_Base!C21:L21/(1+B19)^DCF_Base!C4:L4)+MAX(0,MIN(DCF_Base!L21*(1+DCF_Base!$B$29)/(B19-DCF_Base!$B$29),Assumptions!$B$10*DCF_Base!L21))/(1+B19)^10-Assumptions!$B$7)/Assumptions!$B$4</f>
        <v/>
      </c>
      <c r="C20">
        <f>(SUMPRODUCT(DCF_Base!C21:L21/(1+C19)^DCF_Base!C4:L4)+MAX(0,MIN(DCF_Base!L21*(1+DCF_Base!$B$29)/(C19-DCF_Base!$B$29),Assumptions!$B$10*DCF_Base!L21))/(1+C19)^10-Assumptions!$B$7)/Assumptions!$B$4</f>
        <v/>
      </c>
      <c r="D20">
        <f>(SUMPRODUCT(DCF_Base!C21:L21/(1+D19)^DCF_Base!C4:L4)+MAX(0,MIN(DCF_Base!L21*(1+DCF_Base!$B$29)/(D19-DCF_Base!$B$29),Assumptions!$B$10*DCF_Base!L21))/(1+D19)^10-Assumptions!$B$7)/Assumptions!$B$4</f>
        <v/>
      </c>
      <c r="E20">
        <f>(SUMPRODUCT(DCF_Base!C21:L21/(1+E19)^DCF_Base!C4:L4)+MAX(0,MIN(DCF_Base!L21*(1+DCF_Base!$B$29)/(E19-DCF_Base!$B$29),Assumptions!$B$10*DCF_Base!L21))/(1+E19)^10-Assumptions!$B$7)/Assumptions!$B$4</f>
        <v/>
      </c>
      <c r="F20">
        <f>(SUMPRODUCT(DCF_Base!C21:L21/(1+F19)^DCF_Base!C4:L4)+MAX(0,MIN(DCF_Base!L21*(1+DCF_Base!$B$29)/(F19-DCF_Base!$B$29),Assumptions!$B$10*DCF_Base!L21))/(1+F19)^10-Assumptions!$B$7)/Assumptions!$B$4</f>
        <v/>
      </c>
      <c r="G20">
        <f>(SUMPRODUCT(DCF_Base!C21:L21/(1+G19)^DCF_Base!C4:L4)+MAX(0,MIN(DCF_Base!L21*(1+DCF_Base!$B$29)/(G19-DCF_Base!$B$29),Assumptions!$B$10*DCF_Base!L21))/(1+G19)^10-Assumptions!$B$7)/Assumptions!$B$4</f>
        <v/>
      </c>
    </row>
    <row r="21">
      <c r="A21" t="inlineStr">
        <is>
          <t>Note: 11.5% column is the model WACC; the current NZ$7.10 price implies a required return of ~7.5% on base-case flows.</t>
        </is>
      </c>
    </row>
    <row r="23">
      <c r="A23" s="1" t="inlineStr">
        <is>
          <t>Sensitivity: value per share, WACC (rows) x terminal growth (cols), base case</t>
        </is>
      </c>
    </row>
    <row r="24">
      <c r="B24" s="10" t="n">
        <v>0.01</v>
      </c>
      <c r="C24" s="10" t="n">
        <v>0.015</v>
      </c>
      <c r="D24" s="10" t="n">
        <v>0.02</v>
      </c>
      <c r="E24" s="10" t="n">
        <v>0.025</v>
      </c>
      <c r="F24" s="10" t="n">
        <v>0.03</v>
      </c>
    </row>
    <row r="25">
      <c r="A25" s="10" t="n">
        <v>0.095</v>
      </c>
      <c r="B25">
        <f>IF($A25&gt;B$24,(SUMPRODUCT(DCF_Base!C21:L21/(1+$A25)^DCF_Base!C4:L4)+MAX(0,MIN(DCF_Base!L21*(1+B$24)/($A25-B$24),Assumptions!$B$10*DCF_Base!L21))/(1+$A25)^10-Assumptions!$B$7)/Assumptions!$B$4,"n/a")</f>
        <v/>
      </c>
      <c r="C25">
        <f>IF($A25&gt;C$24,(SUMPRODUCT(DCF_Base!C21:L21/(1+$A25)^DCF_Base!C4:L4)+MAX(0,MIN(DCF_Base!L21*(1+C$24)/($A25-C$24),Assumptions!$B$10*DCF_Base!L21))/(1+$A25)^10-Assumptions!$B$7)/Assumptions!$B$4,"n/a")</f>
        <v/>
      </c>
      <c r="D25">
        <f>IF($A25&gt;D$24,(SUMPRODUCT(DCF_Base!C21:L21/(1+$A25)^DCF_Base!C4:L4)+MAX(0,MIN(DCF_Base!L21*(1+D$24)/($A25-D$24),Assumptions!$B$10*DCF_Base!L21))/(1+$A25)^10-Assumptions!$B$7)/Assumptions!$B$4,"n/a")</f>
        <v/>
      </c>
      <c r="E25">
        <f>IF($A25&gt;E$24,(SUMPRODUCT(DCF_Base!C21:L21/(1+$A25)^DCF_Base!C4:L4)+MAX(0,MIN(DCF_Base!L21*(1+E$24)/($A25-E$24),Assumptions!$B$10*DCF_Base!L21))/(1+$A25)^10-Assumptions!$B$7)/Assumptions!$B$4,"n/a")</f>
        <v/>
      </c>
      <c r="F25">
        <f>IF($A25&gt;F$24,(SUMPRODUCT(DCF_Base!C21:L21/(1+$A25)^DCF_Base!C4:L4)+MAX(0,MIN(DCF_Base!L21*(1+F$24)/($A25-F$24),Assumptions!$B$10*DCF_Base!L21))/(1+$A25)^10-Assumptions!$B$7)/Assumptions!$B$4,"n/a")</f>
        <v/>
      </c>
    </row>
    <row r="26">
      <c r="A26" s="10" t="n">
        <v>0.105</v>
      </c>
      <c r="B26">
        <f>IF($A26&gt;B$24,(SUMPRODUCT(DCF_Base!C21:L21/(1+$A26)^DCF_Base!C4:L4)+MAX(0,MIN(DCF_Base!L21*(1+B$24)/($A26-B$24),Assumptions!$B$10*DCF_Base!L21))/(1+$A26)^10-Assumptions!$B$7)/Assumptions!$B$4,"n/a")</f>
        <v/>
      </c>
      <c r="C26">
        <f>IF($A26&gt;C$24,(SUMPRODUCT(DCF_Base!C21:L21/(1+$A26)^DCF_Base!C4:L4)+MAX(0,MIN(DCF_Base!L21*(1+C$24)/($A26-C$24),Assumptions!$B$10*DCF_Base!L21))/(1+$A26)^10-Assumptions!$B$7)/Assumptions!$B$4,"n/a")</f>
        <v/>
      </c>
      <c r="D26">
        <f>IF($A26&gt;D$24,(SUMPRODUCT(DCF_Base!C21:L21/(1+$A26)^DCF_Base!C4:L4)+MAX(0,MIN(DCF_Base!L21*(1+D$24)/($A26-D$24),Assumptions!$B$10*DCF_Base!L21))/(1+$A26)^10-Assumptions!$B$7)/Assumptions!$B$4,"n/a")</f>
        <v/>
      </c>
      <c r="E26">
        <f>IF($A26&gt;E$24,(SUMPRODUCT(DCF_Base!C21:L21/(1+$A26)^DCF_Base!C4:L4)+MAX(0,MIN(DCF_Base!L21*(1+E$24)/($A26-E$24),Assumptions!$B$10*DCF_Base!L21))/(1+$A26)^10-Assumptions!$B$7)/Assumptions!$B$4,"n/a")</f>
        <v/>
      </c>
      <c r="F26">
        <f>IF($A26&gt;F$24,(SUMPRODUCT(DCF_Base!C21:L21/(1+$A26)^DCF_Base!C4:L4)+MAX(0,MIN(DCF_Base!L21*(1+F$24)/($A26-F$24),Assumptions!$B$10*DCF_Base!L21))/(1+$A26)^10-Assumptions!$B$7)/Assumptions!$B$4,"n/a")</f>
        <v/>
      </c>
    </row>
    <row r="27">
      <c r="A27" s="10" t="n">
        <v>0.115</v>
      </c>
      <c r="B27">
        <f>IF($A27&gt;B$24,(SUMPRODUCT(DCF_Base!C21:L21/(1+$A27)^DCF_Base!C4:L4)+MAX(0,MIN(DCF_Base!L21*(1+B$24)/($A27-B$24),Assumptions!$B$10*DCF_Base!L21))/(1+$A27)^10-Assumptions!$B$7)/Assumptions!$B$4,"n/a")</f>
        <v/>
      </c>
      <c r="C27">
        <f>IF($A27&gt;C$24,(SUMPRODUCT(DCF_Base!C21:L21/(1+$A27)^DCF_Base!C4:L4)+MAX(0,MIN(DCF_Base!L21*(1+C$24)/($A27-C$24),Assumptions!$B$10*DCF_Base!L21))/(1+$A27)^10-Assumptions!$B$7)/Assumptions!$B$4,"n/a")</f>
        <v/>
      </c>
      <c r="D27" s="9">
        <f>IF($A27&gt;D$24,(SUMPRODUCT(DCF_Base!C21:L21/(1+$A27)^DCF_Base!C4:L4)+MAX(0,MIN(DCF_Base!L21*(1+D$24)/($A27-D$24),Assumptions!$B$10*DCF_Base!L21))/(1+$A27)^10-Assumptions!$B$7)/Assumptions!$B$4,"n/a")</f>
        <v/>
      </c>
      <c r="E27">
        <f>IF($A27&gt;E$24,(SUMPRODUCT(DCF_Base!C21:L21/(1+$A27)^DCF_Base!C4:L4)+MAX(0,MIN(DCF_Base!L21*(1+E$24)/($A27-E$24),Assumptions!$B$10*DCF_Base!L21))/(1+$A27)^10-Assumptions!$B$7)/Assumptions!$B$4,"n/a")</f>
        <v/>
      </c>
      <c r="F27">
        <f>IF($A27&gt;F$24,(SUMPRODUCT(DCF_Base!C21:L21/(1+$A27)^DCF_Base!C4:L4)+MAX(0,MIN(DCF_Base!L21*(1+F$24)/($A27-F$24),Assumptions!$B$10*DCF_Base!L21))/(1+$A27)^10-Assumptions!$B$7)/Assumptions!$B$4,"n/a")</f>
        <v/>
      </c>
    </row>
    <row r="28">
      <c r="A28" s="10" t="n">
        <v>0.125</v>
      </c>
      <c r="B28">
        <f>IF($A28&gt;B$24,(SUMPRODUCT(DCF_Base!C21:L21/(1+$A28)^DCF_Base!C4:L4)+MAX(0,MIN(DCF_Base!L21*(1+B$24)/($A28-B$24),Assumptions!$B$10*DCF_Base!L21))/(1+$A28)^10-Assumptions!$B$7)/Assumptions!$B$4,"n/a")</f>
        <v/>
      </c>
      <c r="C28">
        <f>IF($A28&gt;C$24,(SUMPRODUCT(DCF_Base!C21:L21/(1+$A28)^DCF_Base!C4:L4)+MAX(0,MIN(DCF_Base!L21*(1+C$24)/($A28-C$24),Assumptions!$B$10*DCF_Base!L21))/(1+$A28)^10-Assumptions!$B$7)/Assumptions!$B$4,"n/a")</f>
        <v/>
      </c>
      <c r="D28">
        <f>IF($A28&gt;D$24,(SUMPRODUCT(DCF_Base!C21:L21/(1+$A28)^DCF_Base!C4:L4)+MAX(0,MIN(DCF_Base!L21*(1+D$24)/($A28-D$24),Assumptions!$B$10*DCF_Base!L21))/(1+$A28)^10-Assumptions!$B$7)/Assumptions!$B$4,"n/a")</f>
        <v/>
      </c>
      <c r="E28">
        <f>IF($A28&gt;E$24,(SUMPRODUCT(DCF_Base!C21:L21/(1+$A28)^DCF_Base!C4:L4)+MAX(0,MIN(DCF_Base!L21*(1+E$24)/($A28-E$24),Assumptions!$B$10*DCF_Base!L21))/(1+$A28)^10-Assumptions!$B$7)/Assumptions!$B$4,"n/a")</f>
        <v/>
      </c>
      <c r="F28">
        <f>IF($A28&gt;F$24,(SUMPRODUCT(DCF_Base!C21:L21/(1+$A28)^DCF_Base!C4:L4)+MAX(0,MIN(DCF_Base!L21*(1+F$24)/($A28-F$24),Assumptions!$B$10*DCF_Base!L21))/(1+$A28)^10-Assumptions!$B$7)/Assumptions!$B$4,"n/a")</f>
        <v/>
      </c>
    </row>
    <row r="29">
      <c r="A29" s="10" t="n">
        <v>0.135</v>
      </c>
      <c r="B29">
        <f>IF($A29&gt;B$24,(SUMPRODUCT(DCF_Base!C21:L21/(1+$A29)^DCF_Base!C4:L4)+MAX(0,MIN(DCF_Base!L21*(1+B$24)/($A29-B$24),Assumptions!$B$10*DCF_Base!L21))/(1+$A29)^10-Assumptions!$B$7)/Assumptions!$B$4,"n/a")</f>
        <v/>
      </c>
      <c r="C29">
        <f>IF($A29&gt;C$24,(SUMPRODUCT(DCF_Base!C21:L21/(1+$A29)^DCF_Base!C4:L4)+MAX(0,MIN(DCF_Base!L21*(1+C$24)/($A29-C$24),Assumptions!$B$10*DCF_Base!L21))/(1+$A29)^10-Assumptions!$B$7)/Assumptions!$B$4,"n/a")</f>
        <v/>
      </c>
      <c r="D29">
        <f>IF($A29&gt;D$24,(SUMPRODUCT(DCF_Base!C21:L21/(1+$A29)^DCF_Base!C4:L4)+MAX(0,MIN(DCF_Base!L21*(1+D$24)/($A29-D$24),Assumptions!$B$10*DCF_Base!L21))/(1+$A29)^10-Assumptions!$B$7)/Assumptions!$B$4,"n/a")</f>
        <v/>
      </c>
      <c r="E29">
        <f>IF($A29&gt;E$24,(SUMPRODUCT(DCF_Base!C21:L21/(1+$A29)^DCF_Base!C4:L4)+MAX(0,MIN(DCF_Base!L21*(1+E$24)/($A29-E$24),Assumptions!$B$10*DCF_Base!L21))/(1+$A29)^10-Assumptions!$B$7)/Assumptions!$B$4,"n/a")</f>
        <v/>
      </c>
      <c r="F29">
        <f>IF($A29&gt;F$24,(SUMPRODUCT(DCF_Base!C21:L21/(1+$A29)^DCF_Base!C4:L4)+MAX(0,MIN(DCF_Base!L21*(1+F$24)/($A29-F$24),Assumptions!$B$10*DCF_Base!L21))/(1+$A29)^10-Assumptions!$B$7)/Assumptions!$B$4,"n/a")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2026-08-27T12:09:52Z</dcterms:created>
  <dcterms:modified xsi:type="dcterms:W3CDTF">2026-08-27T12:09:52Z</dcterms:modified>
</cp:coreProperties>
</file>