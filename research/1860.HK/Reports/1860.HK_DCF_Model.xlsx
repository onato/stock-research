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<sst xmlns="http://schemas.openxmlformats.org/spreadsheetml/2006/main" count="357" uniqueCount="165">
  <si>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</si>
  <si>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1860.HK</t>
  </si>
  <si>
    <t xml:space="preserve">Company</t>
  </si>
  <si>
    <t xml:space="preserve">Mobvista Inc. (Mintegral)</t>
  </si>
  <si>
    <t xml:space="preserve">Valuation date</t>
  </si>
  <si>
    <t xml:space="preserve">2026-10-17</t>
  </si>
  <si>
    <t xml:space="preserve">Current price</t>
  </si>
  <si>
    <t xml:space="preserve">Price as of</t>
  </si>
  <si>
    <t xml:space="preserve">2026-10-16T08:08:14Z (HKEX regular close, Yahoo Finance chart API); 52-week range HK$9.52-20.64</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</si>
  <si>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</si>
  <si>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</si>
  <si>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</si>
  <si>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</si>
  <si>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</si>
  <si>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</si>
  <si>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</si>
  <si>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</si>
  <si>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</si>
  <si>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</si>
  <si>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</si>
  <si>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</si>
  <si>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</si>
  <si>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2026-10-16T21:17:03Z</t>
  </si>
  <si>
    <t xml:space="preserve">Drivers file</t>
  </si>
  <si>
    <t xml:space="preserve">1860.HK_Drivers.json</t>
  </si>
  <si>
    <t xml:space="preserve">Convention</t>
  </si>
  <si>
    <t xml:space="preserve">Percents stored as percents; formulas divide by 100. Blue = input, green = link, black = formula.</t>
  </si>
  <si>
    <t xml:space="preserve">Methodology</t>
  </si>
  <si>
    <t xml:space="preserve">summary: Owner-FCF DCF on gross-basis revenue with SBC fully expensed and the share count held flat at the fully diluted 1,745.8m. Values computed in USD and converted to HKD at 7.8479 for comparison with the HKEX price. The thesis is a decelerating but cash-generative independent ad network whose negative working capital funds its own growth; most of the value sits in the terminal years, so the margin path on gross revenue (8.6% -&gt; 10.5% base) is the decisive lever.
key_risks_to_valuation: Adjusted EBITDA margin on GROSS revenue: each 1pp of terminal margin is worth roughly 10-15% of value; a shift to more net-basis revenue recognition would rescale every margin; Growth deceleration: H1 FY2026 +23.2% vs FY2025 +35.7%; base assumes ~19% for FY2026; Competition from AppLovin, Pangle, Google AdMob and Unity on AI bidding with first-party data; Privacy/regulatory shocks (Android Privacy Sandbox, ATT-style changes, China cross-border data rules); SBC re-acceleration: H1 FY2026 SBC 1.5% of revenue after the 63m-share June 2026 grant; base holds ~1.4% for two years; Valuation of the unlisted exchangeable bonds (US$65.6m at fair value, carried at a 25% haircut); FX rate in fx_rate is not refreshed by price-only updates; the HKD peg keeps drift small</t>
  </si>
  <si>
    <t xml:space="preserve">Data sources</t>
  </si>
  <si>
    <t xml:space="preserve">price: Yahoo Finance chart API at inputs.price_as_of; 52-week range HK$9.52-20.64. USD/HKD from Yahoo HKD=X the same day.
financials: 1860.HK_Metrics.csv / core_metrics (FY2017-FY2025, H1 FY2023-FY2026, USD millions); FY2025 annual report (adjusted EBITDA US$190.9m, SBC, income tax paid, capex); 2026 interim report (balance sheet at 30 June 2026, note 8 FVPL assets, note 13 convertible-bond conversion, share-award scheme, 1,684,580,346 shares in issue).
qualitative: 1860.HK_Analysis.json (2026-10-17): competitive position, Temasek stake, HK$300m buyback, H1 FY2026 deceleration, AI-Infra rollout.</t>
  </si>
  <si>
    <t xml:space="preserve">Scenario narrative: bear</t>
  </si>
  <si>
    <t xml:space="preserve">H1 FY2026's deceleration (+23% after +36%) is the start of a fade, not a pause: AppLovin, Pangle and Google AdMob out-invest Mintegral on AI bidding with first-party data, hyper-casual fatigue spreads through its ~75% gaming book, and a privacy shock (Google Privacy Sandbox on Android or a further ATT-style tightening) or China-linked cross-border data scrutiny impairs targeting. Growth drops to 8% in FY2027 and low single digits thereafter; the AI-Infra spend becomes a permanent cost, compressing adjusted EBITDA margin to 7% on gross revenue, and the working-capital float grows more slowly.</t>
  </si>
  <si>
    <t xml:space="preserve">Scenario narrative: base</t>
  </si>
  <si>
    <t xml:space="preserve">Smart bidding (now &gt;90% of Mintegral revenue) keeps taking share of medium-and-long-tail mobile app supply, non-gaming verticals (e-commerce, short drama, AI apps, ~25% of Mintegral) keep growing faster than gaming, and the October 2026 AI-Infra rollout pays for its server cost through better delivery efficiency rather than expanding margins outright. Revenue grows ~19% in FY2026 and fades to 4% by FY2035 (10% ten-year CAGR, roughly the mobile-ad market's ~10% CAGR plus a little share gain early). Adjusted EBITDA margin on gross revenue recovers from 8.3% (H1 FY2026) to 10.5% as sales, G&amp;A and R&amp;D ratios fall with scale. SBC stays elevated at ~1.4% of revenue while the June 2026 RSU grant vests, then eases to 0.9%.</t>
  </si>
  <si>
    <t xml:space="preserve">Scenario narrative: bull</t>
  </si>
  <si>
    <t xml:space="preserve">The IAP ROAS inflection sell-side flags for Q4 2026 lands: Mintegral breaks into midcore/hardcore games and IAP-heavy advertisers, non-gaming becomes a second engine, and the independent-network position strengthens as developers diversify away from AppLovin's pricing. Growth stays above 20% for two years and fades only to 4% by year 10; AI-Infra lifts algorithm efficiency so adjusted EBITDA margin climbs to 13% on gross revenue (take rate and server-cost ratio both improve). Terminal growth 3.5% reflects a structurally larger in-app-advertising market.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</si>
  <si>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</si>
  <si>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</si>
  <si>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</si>
  <si>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</si>
  <si>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</si>
  <si>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</si>
  <si>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</si>
  <si>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</si>
  <si>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</si>
  <si>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</si>
  <si>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</si>
  <si>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</si>
  <si>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</si>
  <si>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</si>
  <si>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</si>
  <si>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</si>
  <si>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</si>
  <si>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</si>
  <si>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</si>
  <si>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</si>
  <si>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</si>
  <si>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</si>
  <si>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</si>
  <si>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</si>
  <si>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</si>
  <si>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</si>
  <si>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</si>
  <si>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</si>
  <si>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</si>
  <si>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</si>
  <si>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</si>
  <si>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</si>
  <si>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</si>
  <si>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</si>
  <si>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</si>
  <si>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</si>
  <si>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</si>
  <si>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</si>
  <si>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</si>
  <si>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</si>
  <si>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</si>
  <si>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</si>
  <si>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</si>
  <si>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</si>
  <si>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</si>
  <si>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</si>
  <si>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</si>
  <si>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</si>
  <si>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</si>
  <si>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</si>
  <si>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</si>
  <si>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</si>
  <si>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</si>
  <si>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</si>
  <si>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</si>
  <si>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</si>
  <si>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</si>
  <si>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</si>
  <si>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</si>
  <si>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</si>
  <si>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</si>
  <si>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</si>
  <si>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</si>
  <si>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</si>
  <si>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</si>
  <si>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</si>
  <si>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</si>
  <si>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</si>
  <si>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</si>
  <si>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</si>
  <si>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</si>
  <si>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</si>
  <si>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</si>
  <si>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1860.HK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</si>
  <si>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</si>
  <si>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</si>
  <si>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</si>
  <si>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</si>
  <si>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</si>
  <si>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</si>
  <si>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</si>
  <si>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</si>
  <si>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</si>
  <si>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</si>
  <si>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</si>
  <si>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</si>
  <si>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</si>
  <si>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</si>
  <si>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</si>
  <si>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</si>
  <si>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</si>
  <si>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</si>
  <si>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</si>
  <si>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</si>
  <si>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</si>
  <si>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</si>
  <si>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</si>
  <si>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</si>
  <si>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</si>
  <si>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</si>
  <si>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</si>
  <si>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</si>
  <si>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</si>
  <si>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</si>
  <si>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1860.HK owner-FCF component DCF: base case (millions, USD)</t>
  </si>
  <si>
    <t xml:space="preserve">1860.HK owner-FCF component DCF: bull case (millions, USD)</t>
  </si>
  <si>
    <t xml:space="preserve">1860.HK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</si>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</sst>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312.956</v>
      </c>
      <c r="C2" s="0" t="n">
        <v>230.097</v>
      </c>
      <c r="D2" s="0" t="n">
        <v>82.859</v>
      </c>
      <c r="E2" s="0" t="n">
        <v>26.5</v>
      </c>
      <c r="F2" s="0" t="n">
        <v>30.604</v>
      </c>
      <c r="G2" s="0" t="n">
        <v>9.8</v>
      </c>
      <c r="H2" s="0" t="n">
        <v>35.729</v>
      </c>
      <c r="I2" s="0" t="n">
        <v>27.32</v>
      </c>
      <c r="J2" s="0" t="n">
        <v>8.7</v>
      </c>
      <c r="K2" s="0" t="n">
        <v>0.0241</v>
      </c>
      <c r="L2" s="0" t="n">
        <v>49.198</v>
      </c>
      <c r="O2" s="0" t="n">
        <v>90.367</v>
      </c>
      <c r="S2" s="0" t="n">
        <v>44.797</v>
      </c>
      <c r="AA2" s="0" t="s">
        <v>18</v>
      </c>
      <c r="AB2" s="0" t="s">
        <v>14</v>
      </c>
    </row>
    <row r="3" customFormat="false" ht="15" hidden="false" customHeight="false" outlineLevel="0" collapsed="false">
      <c r="A3" s="0" t="s">
        <v>65</v>
      </c>
      <c r="B3" s="0" t="n">
        <v>434.727</v>
      </c>
      <c r="C3" s="0" t="n">
        <v>336.826</v>
      </c>
      <c r="D3" s="0" t="n">
        <v>97.901</v>
      </c>
      <c r="E3" s="0" t="n">
        <v>22.5</v>
      </c>
      <c r="F3" s="0" t="n">
        <v>26.939</v>
      </c>
      <c r="G3" s="0" t="n">
        <v>6.2</v>
      </c>
      <c r="H3" s="0" t="n">
        <v>29.775</v>
      </c>
      <c r="I3" s="0" t="n">
        <v>21.854</v>
      </c>
      <c r="J3" s="0" t="n">
        <v>5</v>
      </c>
      <c r="K3" s="0" t="n">
        <v>0.0191</v>
      </c>
      <c r="L3" s="0" t="n">
        <v>29.025</v>
      </c>
      <c r="M3" s="0" t="n">
        <v>4.716</v>
      </c>
      <c r="N3" s="0" t="n">
        <v>24.309</v>
      </c>
      <c r="O3" s="0" t="n">
        <v>231.664</v>
      </c>
      <c r="P3" s="0" t="n">
        <v>406.171</v>
      </c>
      <c r="Q3" s="0" t="n">
        <v>174.507</v>
      </c>
      <c r="R3" s="0" t="n">
        <v>16.697</v>
      </c>
      <c r="S3" s="0" t="n">
        <v>64.865</v>
      </c>
      <c r="T3" s="0" t="n">
        <v>1144.6</v>
      </c>
      <c r="U3" s="0" t="n">
        <v>6.448</v>
      </c>
      <c r="AA3" s="0" t="s">
        <v>18</v>
      </c>
      <c r="AB3" s="0" t="s">
        <v>14</v>
      </c>
    </row>
    <row r="4" customFormat="false" ht="15" hidden="false" customHeight="false" outlineLevel="0" collapsed="false">
      <c r="A4" s="0" t="s">
        <v>66</v>
      </c>
      <c r="B4" s="0" t="n">
        <v>500.257</v>
      </c>
      <c r="C4" s="0" t="n">
        <v>381.494</v>
      </c>
      <c r="D4" s="0" t="n">
        <v>118.763</v>
      </c>
      <c r="E4" s="0" t="n">
        <v>23.7</v>
      </c>
      <c r="F4" s="0" t="n">
        <v>25.176</v>
      </c>
      <c r="G4" s="0" t="n">
        <v>5</v>
      </c>
      <c r="H4" s="0" t="n">
        <v>32.738</v>
      </c>
      <c r="I4" s="0" t="n">
        <v>22.069</v>
      </c>
      <c r="J4" s="0" t="n">
        <v>4.4</v>
      </c>
      <c r="K4" s="0" t="n">
        <v>0.015</v>
      </c>
      <c r="L4" s="0" t="n">
        <v>-3.12</v>
      </c>
      <c r="M4" s="0" t="n">
        <v>12.139</v>
      </c>
      <c r="N4" s="0" t="n">
        <v>-15.259</v>
      </c>
      <c r="O4" s="0" t="n">
        <v>266.04</v>
      </c>
      <c r="P4" s="0" t="n">
        <v>511.485</v>
      </c>
      <c r="Q4" s="0" t="n">
        <v>245.445</v>
      </c>
      <c r="R4" s="0" t="n">
        <v>64.884</v>
      </c>
      <c r="S4" s="0" t="n">
        <v>67.348</v>
      </c>
      <c r="T4" s="0" t="n">
        <v>1471.47</v>
      </c>
      <c r="U4" s="0" t="n">
        <v>19.891</v>
      </c>
      <c r="AA4" s="0" t="s">
        <v>18</v>
      </c>
      <c r="AB4" s="0" t="s">
        <v>14</v>
      </c>
    </row>
    <row r="5" customFormat="false" ht="15" hidden="false" customHeight="false" outlineLevel="0" collapsed="false">
      <c r="A5" s="0" t="s">
        <v>67</v>
      </c>
      <c r="B5" s="0" t="n">
        <v>516.148</v>
      </c>
      <c r="C5" s="0" t="n">
        <v>434.008</v>
      </c>
      <c r="D5" s="0" t="n">
        <v>82.14</v>
      </c>
      <c r="E5" s="0" t="n">
        <v>15.9</v>
      </c>
      <c r="F5" s="0" t="n">
        <v>-5.213</v>
      </c>
      <c r="G5" s="0" t="n">
        <v>-1</v>
      </c>
      <c r="H5" s="0" t="n">
        <v>7.359</v>
      </c>
      <c r="I5" s="0" t="n">
        <v>-5.206</v>
      </c>
      <c r="J5" s="0" t="n">
        <v>-1</v>
      </c>
      <c r="K5" s="0" t="n">
        <v>-0.0035</v>
      </c>
      <c r="L5" s="0" t="n">
        <v>15.563</v>
      </c>
      <c r="M5" s="0" t="n">
        <v>35.676</v>
      </c>
      <c r="N5" s="0" t="n">
        <v>-20.113</v>
      </c>
      <c r="O5" s="0" t="n">
        <v>267.802</v>
      </c>
      <c r="P5" s="0" t="n">
        <v>497.606</v>
      </c>
      <c r="Q5" s="0" t="n">
        <v>229.804</v>
      </c>
      <c r="R5" s="0" t="n">
        <v>68.013</v>
      </c>
      <c r="S5" s="0" t="n">
        <v>39.311</v>
      </c>
      <c r="T5" s="0" t="n">
        <v>1505.26</v>
      </c>
      <c r="U5" s="0" t="n">
        <v>13.194</v>
      </c>
      <c r="AA5" s="0" t="s">
        <v>18</v>
      </c>
      <c r="AB5" s="0" t="s">
        <v>14</v>
      </c>
    </row>
    <row r="6" customFormat="false" ht="15" hidden="false" customHeight="false" outlineLevel="0" collapsed="false">
      <c r="A6" s="0" t="s">
        <v>68</v>
      </c>
      <c r="B6" s="0" t="n">
        <v>755.412</v>
      </c>
      <c r="C6" s="0" t="n">
        <v>633.49</v>
      </c>
      <c r="D6" s="0" t="n">
        <v>121.922</v>
      </c>
      <c r="E6" s="0" t="n">
        <v>16.1</v>
      </c>
      <c r="F6" s="0" t="n">
        <v>-12.356</v>
      </c>
      <c r="G6" s="0" t="n">
        <v>-1.6</v>
      </c>
      <c r="H6" s="0" t="n">
        <v>16.693</v>
      </c>
      <c r="I6" s="0" t="n">
        <v>-24.958</v>
      </c>
      <c r="J6" s="0" t="n">
        <v>-3.3</v>
      </c>
      <c r="K6" s="0" t="n">
        <v>-0.0159</v>
      </c>
      <c r="L6" s="0" t="n">
        <v>42.479</v>
      </c>
      <c r="M6" s="0" t="n">
        <v>55.319</v>
      </c>
      <c r="N6" s="0" t="n">
        <v>-12.84</v>
      </c>
      <c r="O6" s="0" t="n">
        <v>336.804</v>
      </c>
      <c r="P6" s="0" t="n">
        <v>746.968</v>
      </c>
      <c r="Q6" s="0" t="n">
        <v>387.61</v>
      </c>
      <c r="R6" s="0" t="n">
        <v>93.624</v>
      </c>
      <c r="S6" s="0" t="n">
        <v>160.322</v>
      </c>
      <c r="T6" s="0" t="n">
        <v>1568.53</v>
      </c>
      <c r="U6" s="0" t="n">
        <v>5.836</v>
      </c>
      <c r="AA6" s="0" t="s">
        <v>18</v>
      </c>
      <c r="AB6" s="0" t="s">
        <v>14</v>
      </c>
    </row>
    <row r="7" customFormat="false" ht="15" hidden="false" customHeight="false" outlineLevel="0" collapsed="false">
      <c r="A7" s="0" t="s">
        <v>69</v>
      </c>
      <c r="B7" s="0" t="n">
        <v>894.405</v>
      </c>
      <c r="C7" s="0" t="n">
        <v>717.376</v>
      </c>
      <c r="D7" s="0" t="n">
        <v>177.029</v>
      </c>
      <c r="E7" s="0" t="n">
        <v>19.8</v>
      </c>
      <c r="F7" s="0" t="n">
        <v>2.245</v>
      </c>
      <c r="G7" s="0" t="n">
        <v>0.3</v>
      </c>
      <c r="H7" s="0" t="n">
        <v>63.806</v>
      </c>
      <c r="I7" s="0" t="n">
        <v>14.994</v>
      </c>
      <c r="J7" s="0" t="n">
        <v>1.7</v>
      </c>
      <c r="K7" s="0" t="n">
        <v>0.0097</v>
      </c>
      <c r="L7" s="0" t="n">
        <v>97.889</v>
      </c>
      <c r="M7" s="0" t="n">
        <v>80.309</v>
      </c>
      <c r="N7" s="0" t="n">
        <v>17.58</v>
      </c>
      <c r="O7" s="0" t="n">
        <v>235.403</v>
      </c>
      <c r="P7" s="0" t="n">
        <v>602.074</v>
      </c>
      <c r="Q7" s="0" t="n">
        <v>354.035</v>
      </c>
      <c r="R7" s="0" t="n">
        <v>87.458</v>
      </c>
      <c r="S7" s="0" t="n">
        <v>105.716</v>
      </c>
      <c r="T7" s="0" t="n">
        <v>1549.97</v>
      </c>
      <c r="U7" s="0" t="n">
        <v>12.481</v>
      </c>
      <c r="AA7" s="0" t="s">
        <v>18</v>
      </c>
      <c r="AB7" s="0" t="s">
        <v>14</v>
      </c>
    </row>
    <row r="8" customFormat="false" ht="15" hidden="false" customHeight="false" outlineLevel="0" collapsed="false">
      <c r="A8" s="0" t="s">
        <v>70</v>
      </c>
      <c r="B8" s="0" t="n">
        <v>1054.092</v>
      </c>
      <c r="C8" s="0" t="n">
        <v>836.801</v>
      </c>
      <c r="D8" s="0" t="n">
        <v>217.291</v>
      </c>
      <c r="E8" s="0" t="n">
        <v>20.6</v>
      </c>
      <c r="F8" s="0" t="n">
        <v>29.578</v>
      </c>
      <c r="G8" s="0" t="n">
        <v>2.8</v>
      </c>
      <c r="H8" s="0" t="n">
        <v>102.413</v>
      </c>
      <c r="I8" s="0" t="n">
        <v>21.804</v>
      </c>
      <c r="J8" s="0" t="n">
        <v>2.1</v>
      </c>
      <c r="K8" s="0" t="n">
        <v>0.0142</v>
      </c>
      <c r="L8" s="0" t="n">
        <v>108.005</v>
      </c>
      <c r="M8" s="0" t="n">
        <v>77.922</v>
      </c>
      <c r="N8" s="0" t="n">
        <v>30.083</v>
      </c>
      <c r="O8" s="0" t="n">
        <v>250.092</v>
      </c>
      <c r="P8" s="0" t="n">
        <v>691.551</v>
      </c>
      <c r="Q8" s="0" t="n">
        <v>432.441</v>
      </c>
      <c r="R8" s="0" t="n">
        <v>127.661</v>
      </c>
      <c r="S8" s="0" t="n">
        <v>146.348</v>
      </c>
      <c r="T8" s="0" t="n">
        <v>1531.51</v>
      </c>
      <c r="U8" s="0" t="n">
        <v>9.34</v>
      </c>
      <c r="AA8" s="0" t="s">
        <v>18</v>
      </c>
      <c r="AB8" s="0" t="s">
        <v>14</v>
      </c>
    </row>
    <row r="9" customFormat="false" ht="15" hidden="false" customHeight="false" outlineLevel="0" collapsed="false">
      <c r="A9" s="0" t="s">
        <v>71</v>
      </c>
      <c r="B9" s="0" t="n">
        <v>1507.767</v>
      </c>
      <c r="C9" s="0" t="n">
        <v>1191.42</v>
      </c>
      <c r="D9" s="0" t="n">
        <v>316.347</v>
      </c>
      <c r="E9" s="0" t="n">
        <v>21</v>
      </c>
      <c r="F9" s="0" t="n">
        <v>37.926</v>
      </c>
      <c r="G9" s="0" t="n">
        <v>2.5</v>
      </c>
      <c r="H9" s="0" t="n">
        <v>110.22</v>
      </c>
      <c r="I9" s="0" t="n">
        <v>15.741</v>
      </c>
      <c r="J9" s="0" t="n">
        <v>1</v>
      </c>
      <c r="K9" s="0" t="n">
        <v>0.0104</v>
      </c>
      <c r="L9" s="0" t="n">
        <v>284.594</v>
      </c>
      <c r="M9" s="0" t="n">
        <v>65.303</v>
      </c>
      <c r="N9" s="0" t="n">
        <v>219.291</v>
      </c>
      <c r="O9" s="0" t="n">
        <v>215.246</v>
      </c>
      <c r="P9" s="0" t="n">
        <v>814.656</v>
      </c>
      <c r="Q9" s="0" t="n">
        <v>592.336</v>
      </c>
      <c r="R9" s="0" t="n">
        <v>128.021</v>
      </c>
      <c r="S9" s="0" t="n">
        <v>167.817</v>
      </c>
      <c r="T9" s="0" t="n">
        <v>1511.01</v>
      </c>
      <c r="U9" s="0" t="n">
        <v>8.107</v>
      </c>
      <c r="AA9" s="0" t="s">
        <v>18</v>
      </c>
      <c r="AB9" s="0" t="s">
        <v>14</v>
      </c>
    </row>
    <row r="10" customFormat="false" ht="15" hidden="false" customHeight="false" outlineLevel="0" collapsed="false">
      <c r="A10" s="0" t="s">
        <v>72</v>
      </c>
      <c r="B10" s="0" t="n">
        <v>2046.717</v>
      </c>
      <c r="C10" s="0" t="n">
        <v>1612.617</v>
      </c>
      <c r="D10" s="0" t="n">
        <v>434.1</v>
      </c>
      <c r="E10" s="0" t="n">
        <v>21.2</v>
      </c>
      <c r="F10" s="0" t="n">
        <v>102.515</v>
      </c>
      <c r="G10" s="0" t="n">
        <v>5</v>
      </c>
      <c r="H10" s="0" t="n">
        <v>175.939</v>
      </c>
      <c r="I10" s="0" t="n">
        <v>61.619</v>
      </c>
      <c r="J10" s="0" t="n">
        <v>3</v>
      </c>
      <c r="K10" s="0" t="n">
        <v>0.0403</v>
      </c>
      <c r="L10" s="0" t="n">
        <v>214.287</v>
      </c>
      <c r="M10" s="0" t="n">
        <v>54.336</v>
      </c>
      <c r="N10" s="0" t="n">
        <v>159.951</v>
      </c>
      <c r="O10" s="0" t="n">
        <v>289.379</v>
      </c>
      <c r="P10" s="0" t="n">
        <v>884.011</v>
      </c>
      <c r="Q10" s="0" t="n">
        <v>587.558</v>
      </c>
      <c r="R10" s="0" t="n">
        <v>116.912</v>
      </c>
      <c r="S10" s="0" t="n">
        <v>124.136</v>
      </c>
      <c r="T10" s="0" t="n">
        <v>1529.66</v>
      </c>
      <c r="U10" s="0" t="n">
        <v>14.534</v>
      </c>
      <c r="AA10" s="0" t="s">
        <v>18</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10.9</v>
      </c>
    </row>
    <row r="3" customFormat="false" ht="15" hidden="false" customHeight="false" outlineLevel="0" collapsed="false">
      <c r="A3" s="0" t="s">
        <v>76</v>
      </c>
      <c r="B3" s="3" t="n">
        <v>1745.8</v>
      </c>
    </row>
    <row r="4" customFormat="false" ht="15" hidden="false" customHeight="false" outlineLevel="0" collapsed="false">
      <c r="A4" s="0" t="s">
        <v>77</v>
      </c>
      <c r="B4" s="3" t="n">
        <v>-217.5</v>
      </c>
    </row>
    <row r="5" customFormat="false" ht="15" hidden="false" customHeight="false" outlineLevel="0" collapsed="false">
      <c r="A5" s="0" t="s">
        <v>78</v>
      </c>
      <c r="B5" s="3" t="n">
        <v>50.23</v>
      </c>
    </row>
    <row r="6" customFormat="false" ht="15" hidden="false" customHeight="false" outlineLevel="0" collapsed="false">
      <c r="A6" s="0" t="s">
        <v>79</v>
      </c>
      <c r="B6" s="3" t="n">
        <v>15</v>
      </c>
    </row>
    <row r="7" customFormat="false" ht="15" hidden="false" customHeight="false" outlineLevel="0" collapsed="false">
      <c r="A7" s="0" t="s">
        <v>80</v>
      </c>
      <c r="B7" s="3" t="n">
        <v>2046.717</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7.8479</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15</v>
      </c>
      <c r="D13" s="3" t="n">
        <v>8</v>
      </c>
      <c r="E13" s="3" t="n">
        <v>6</v>
      </c>
      <c r="F13" s="3" t="n">
        <v>5</v>
      </c>
      <c r="G13" s="3" t="n">
        <v>4</v>
      </c>
      <c r="H13" s="3" t="n">
        <v>4</v>
      </c>
      <c r="I13" s="3" t="n">
        <v>3</v>
      </c>
      <c r="J13" s="3" t="n">
        <v>3</v>
      </c>
      <c r="K13" s="3" t="n">
        <v>3</v>
      </c>
      <c r="L13" s="3" t="n">
        <v>3</v>
      </c>
    </row>
    <row r="14" customFormat="false" ht="15" hidden="false" customHeight="false" outlineLevel="0" collapsed="false">
      <c r="A14" s="0" t="s">
        <v>97</v>
      </c>
      <c r="C14" s="3" t="n">
        <v>8.2</v>
      </c>
      <c r="D14" s="3" t="n">
        <v>7.8</v>
      </c>
      <c r="E14" s="3" t="n">
        <v>7.5</v>
      </c>
      <c r="F14" s="3" t="n">
        <v>7.3</v>
      </c>
      <c r="G14" s="3" t="n">
        <v>7.2</v>
      </c>
      <c r="H14" s="3" t="n">
        <v>7</v>
      </c>
      <c r="I14" s="3" t="n">
        <v>7</v>
      </c>
      <c r="J14" s="3" t="n">
        <v>7</v>
      </c>
      <c r="K14" s="3" t="n">
        <v>7</v>
      </c>
      <c r="L14" s="3" t="n">
        <v>7</v>
      </c>
    </row>
    <row r="15" customFormat="false" ht="15" hidden="false" customHeight="false" outlineLevel="0" collapsed="false">
      <c r="A15" s="0" t="s">
        <v>98</v>
      </c>
      <c r="C15" s="3" t="n">
        <v>1.5</v>
      </c>
      <c r="D15" s="3" t="n">
        <v>1.5</v>
      </c>
      <c r="E15" s="3" t="n">
        <v>1.4</v>
      </c>
      <c r="F15" s="3" t="n">
        <v>1.3</v>
      </c>
      <c r="G15" s="3" t="n">
        <v>1.2</v>
      </c>
      <c r="H15" s="3" t="n">
        <v>1.1</v>
      </c>
      <c r="I15" s="3" t="n">
        <v>1.1</v>
      </c>
      <c r="J15" s="3" t="n">
        <v>1</v>
      </c>
      <c r="K15" s="3" t="n">
        <v>1</v>
      </c>
      <c r="L15" s="3" t="n">
        <v>1</v>
      </c>
    </row>
    <row r="16" customFormat="false" ht="15" hidden="false" customHeight="false" outlineLevel="0" collapsed="false">
      <c r="A16" s="0" t="s">
        <v>99</v>
      </c>
      <c r="C16" s="3" t="n">
        <v>0.1</v>
      </c>
      <c r="D16" s="3" t="n">
        <v>0.1</v>
      </c>
      <c r="E16" s="3" t="n">
        <v>0.1</v>
      </c>
      <c r="F16" s="3" t="n">
        <v>0.1</v>
      </c>
      <c r="G16" s="3" t="n">
        <v>0.1</v>
      </c>
      <c r="H16" s="3" t="n">
        <v>0.1</v>
      </c>
      <c r="I16" s="3" t="n">
        <v>0.1</v>
      </c>
      <c r="J16" s="3" t="n">
        <v>0.1</v>
      </c>
      <c r="K16" s="3" t="n">
        <v>0.1</v>
      </c>
      <c r="L16" s="3" t="n">
        <v>0.1</v>
      </c>
    </row>
    <row r="17" customFormat="false" ht="15" hidden="false" customHeight="false" outlineLevel="0" collapsed="false">
      <c r="A17" s="0" t="s">
        <v>100</v>
      </c>
      <c r="C17" s="3" t="n">
        <v>3.2</v>
      </c>
      <c r="D17" s="3" t="n">
        <v>3.2</v>
      </c>
      <c r="E17" s="3" t="n">
        <v>3.1</v>
      </c>
      <c r="F17" s="3" t="n">
        <v>3</v>
      </c>
      <c r="G17" s="3" t="n">
        <v>3</v>
      </c>
      <c r="H17" s="3" t="n">
        <v>3</v>
      </c>
      <c r="I17" s="3" t="n">
        <v>3</v>
      </c>
      <c r="J17" s="3" t="n">
        <v>3</v>
      </c>
      <c r="K17" s="3" t="n">
        <v>3</v>
      </c>
      <c r="L17" s="3" t="n">
        <v>3</v>
      </c>
    </row>
    <row r="18" customFormat="false" ht="15" hidden="false" customHeight="false" outlineLevel="0" collapsed="false">
      <c r="A18" s="0" t="s">
        <v>101</v>
      </c>
      <c r="C18" s="3" t="n">
        <v>3.4</v>
      </c>
      <c r="D18" s="3" t="n">
        <v>3.4</v>
      </c>
      <c r="E18" s="3" t="n">
        <v>3.3</v>
      </c>
      <c r="F18" s="3" t="n">
        <v>3.2</v>
      </c>
      <c r="G18" s="3" t="n">
        <v>3.1</v>
      </c>
      <c r="H18" s="3" t="n">
        <v>3</v>
      </c>
      <c r="I18" s="3" t="n">
        <v>3</v>
      </c>
      <c r="J18" s="3" t="n">
        <v>3</v>
      </c>
      <c r="K18" s="3" t="n">
        <v>3</v>
      </c>
      <c r="L18" s="3" t="n">
        <v>3</v>
      </c>
    </row>
    <row r="19" customFormat="false" ht="15" hidden="false" customHeight="false" outlineLevel="0" collapsed="false">
      <c r="A19" s="0" t="s">
        <v>102</v>
      </c>
      <c r="C19" s="3" t="n">
        <v>14</v>
      </c>
      <c r="D19" s="3" t="n">
        <v>15</v>
      </c>
      <c r="E19" s="3" t="n">
        <v>16</v>
      </c>
      <c r="F19" s="3" t="n">
        <v>17</v>
      </c>
      <c r="G19" s="3" t="n">
        <v>18</v>
      </c>
      <c r="H19" s="3" t="n">
        <v>18</v>
      </c>
      <c r="I19" s="3" t="n">
        <v>18</v>
      </c>
      <c r="J19" s="3" t="n">
        <v>18</v>
      </c>
      <c r="K19" s="3" t="n">
        <v>18</v>
      </c>
      <c r="L19" s="3" t="n">
        <v>18</v>
      </c>
    </row>
    <row r="20" customFormat="false" ht="15" hidden="false" customHeight="false" outlineLevel="0" collapsed="false">
      <c r="A20" s="0" t="s">
        <v>103</v>
      </c>
      <c r="B20" s="3" t="n">
        <v>10.5</v>
      </c>
    </row>
    <row r="21" customFormat="false" ht="15" hidden="false" customHeight="false" outlineLevel="0" collapsed="false">
      <c r="A21" s="0" t="s">
        <v>104</v>
      </c>
      <c r="B21" s="3" t="n">
        <v>2.5</v>
      </c>
    </row>
    <row r="22" customFormat="false" ht="15" hidden="false" customHeight="false" outlineLevel="0" collapsed="false">
      <c r="A22" s="0" t="s">
        <v>105</v>
      </c>
      <c r="B22" s="3" t="n">
        <v>15</v>
      </c>
    </row>
    <row r="23" customFormat="false" ht="15" hidden="false" customHeight="false" outlineLevel="0" collapsed="false">
      <c r="A23" s="0" t="s">
        <v>106</v>
      </c>
      <c r="B23" s="3" t="n">
        <v>3</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19</v>
      </c>
      <c r="D27" s="3" t="n">
        <v>16</v>
      </c>
      <c r="E27" s="3" t="n">
        <v>14</v>
      </c>
      <c r="F27" s="3" t="n">
        <v>12</v>
      </c>
      <c r="G27" s="3" t="n">
        <v>10</v>
      </c>
      <c r="H27" s="3" t="n">
        <v>8</v>
      </c>
      <c r="I27" s="3" t="n">
        <v>7</v>
      </c>
      <c r="J27" s="3" t="n">
        <v>6</v>
      </c>
      <c r="K27" s="3" t="n">
        <v>5</v>
      </c>
      <c r="L27" s="3" t="n">
        <v>4</v>
      </c>
    </row>
    <row r="28" customFormat="false" ht="15" hidden="false" customHeight="false" outlineLevel="0" collapsed="false">
      <c r="A28" s="0" t="s">
        <v>97</v>
      </c>
      <c r="C28" s="3" t="n">
        <v>8.6</v>
      </c>
      <c r="D28" s="3" t="n">
        <v>9</v>
      </c>
      <c r="E28" s="3" t="n">
        <v>9.4</v>
      </c>
      <c r="F28" s="3" t="n">
        <v>9.7</v>
      </c>
      <c r="G28" s="3" t="n">
        <v>10</v>
      </c>
      <c r="H28" s="3" t="n">
        <v>10.2</v>
      </c>
      <c r="I28" s="3" t="n">
        <v>10.4</v>
      </c>
      <c r="J28" s="3" t="n">
        <v>10.5</v>
      </c>
      <c r="K28" s="3" t="n">
        <v>10.5</v>
      </c>
      <c r="L28" s="3" t="n">
        <v>10.5</v>
      </c>
    </row>
    <row r="29" customFormat="false" ht="15" hidden="false" customHeight="false" outlineLevel="0" collapsed="false">
      <c r="A29" s="0" t="s">
        <v>98</v>
      </c>
      <c r="C29" s="3" t="n">
        <v>1.4</v>
      </c>
      <c r="D29" s="3" t="n">
        <v>1.4</v>
      </c>
      <c r="E29" s="3" t="n">
        <v>1.3</v>
      </c>
      <c r="F29" s="3" t="n">
        <v>1.2</v>
      </c>
      <c r="G29" s="3" t="n">
        <v>1.1</v>
      </c>
      <c r="H29" s="3" t="n">
        <v>1</v>
      </c>
      <c r="I29" s="3" t="n">
        <v>1</v>
      </c>
      <c r="J29" s="3" t="n">
        <v>0.9</v>
      </c>
      <c r="K29" s="3" t="n">
        <v>0.9</v>
      </c>
      <c r="L29" s="3" t="n">
        <v>0.9</v>
      </c>
    </row>
    <row r="30" customFormat="false" ht="15" hidden="false" customHeight="false" outlineLevel="0" collapsed="false">
      <c r="A30" s="0" t="s">
        <v>99</v>
      </c>
      <c r="C30" s="3" t="n">
        <v>0.1</v>
      </c>
      <c r="D30" s="3" t="n">
        <v>0.1</v>
      </c>
      <c r="E30" s="3" t="n">
        <v>0.1</v>
      </c>
      <c r="F30" s="3" t="n">
        <v>0.1</v>
      </c>
      <c r="G30" s="3" t="n">
        <v>0.1</v>
      </c>
      <c r="H30" s="3" t="n">
        <v>0.1</v>
      </c>
      <c r="I30" s="3" t="n">
        <v>0.1</v>
      </c>
      <c r="J30" s="3" t="n">
        <v>0.1</v>
      </c>
      <c r="K30" s="3" t="n">
        <v>0.1</v>
      </c>
      <c r="L30" s="3" t="n">
        <v>0.1</v>
      </c>
    </row>
    <row r="31" customFormat="false" ht="15" hidden="false" customHeight="false" outlineLevel="0" collapsed="false">
      <c r="A31" s="0" t="s">
        <v>100</v>
      </c>
      <c r="C31" s="3" t="n">
        <v>3.2</v>
      </c>
      <c r="D31" s="3" t="n">
        <v>3.1</v>
      </c>
      <c r="E31" s="3" t="n">
        <v>3</v>
      </c>
      <c r="F31" s="3" t="n">
        <v>2.9</v>
      </c>
      <c r="G31" s="3" t="n">
        <v>2.8</v>
      </c>
      <c r="H31" s="3" t="n">
        <v>2.8</v>
      </c>
      <c r="I31" s="3" t="n">
        <v>2.8</v>
      </c>
      <c r="J31" s="3" t="n">
        <v>2.8</v>
      </c>
      <c r="K31" s="3" t="n">
        <v>2.8</v>
      </c>
      <c r="L31" s="3" t="n">
        <v>2.8</v>
      </c>
    </row>
    <row r="32" customFormat="false" ht="15" hidden="false" customHeight="false" outlineLevel="0" collapsed="false">
      <c r="A32" s="0" t="s">
        <v>101</v>
      </c>
      <c r="C32" s="3" t="n">
        <v>3.4</v>
      </c>
      <c r="D32" s="3" t="n">
        <v>3.3</v>
      </c>
      <c r="E32" s="3" t="n">
        <v>3.2</v>
      </c>
      <c r="F32" s="3" t="n">
        <v>3.1</v>
      </c>
      <c r="G32" s="3" t="n">
        <v>3</v>
      </c>
      <c r="H32" s="3" t="n">
        <v>3</v>
      </c>
      <c r="I32" s="3" t="n">
        <v>3</v>
      </c>
      <c r="J32" s="3" t="n">
        <v>3</v>
      </c>
      <c r="K32" s="3" t="n">
        <v>3</v>
      </c>
      <c r="L32" s="3" t="n">
        <v>3</v>
      </c>
    </row>
    <row r="33" customFormat="false" ht="15" hidden="false" customHeight="false" outlineLevel="0" collapsed="false">
      <c r="A33" s="0" t="s">
        <v>102</v>
      </c>
      <c r="C33" s="3" t="n">
        <v>14</v>
      </c>
      <c r="D33" s="3" t="n">
        <v>15</v>
      </c>
      <c r="E33" s="3" t="n">
        <v>16</v>
      </c>
      <c r="F33" s="3" t="n">
        <v>17</v>
      </c>
      <c r="G33" s="3" t="n">
        <v>18</v>
      </c>
      <c r="H33" s="3" t="n">
        <v>18</v>
      </c>
      <c r="I33" s="3" t="n">
        <v>18</v>
      </c>
      <c r="J33" s="3" t="n">
        <v>18</v>
      </c>
      <c r="K33" s="3" t="n">
        <v>18</v>
      </c>
      <c r="L33" s="3" t="n">
        <v>18</v>
      </c>
    </row>
    <row r="34" customFormat="false" ht="15" hidden="false" customHeight="false" outlineLevel="0" collapsed="false">
      <c r="A34" s="0" t="s">
        <v>103</v>
      </c>
      <c r="B34" s="3" t="n">
        <v>10.5</v>
      </c>
    </row>
    <row r="35" customFormat="false" ht="15" hidden="false" customHeight="false" outlineLevel="0" collapsed="false">
      <c r="A35" s="0" t="s">
        <v>104</v>
      </c>
      <c r="B35" s="3" t="n">
        <v>3</v>
      </c>
    </row>
    <row r="36" customFormat="false" ht="15" hidden="false" customHeight="false" outlineLevel="0" collapsed="false">
      <c r="A36" s="0" t="s">
        <v>105</v>
      </c>
      <c r="B36" s="3" t="n">
        <v>15</v>
      </c>
    </row>
    <row r="37" customFormat="false" ht="15" hidden="false" customHeight="false" outlineLevel="0" collapsed="false">
      <c r="A37" s="0" t="s">
        <v>106</v>
      </c>
      <c r="B37" s="3" t="n">
        <v>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22</v>
      </c>
      <c r="D41" s="3" t="n">
        <v>21</v>
      </c>
      <c r="E41" s="3" t="n">
        <v>18</v>
      </c>
      <c r="F41" s="3" t="n">
        <v>15</v>
      </c>
      <c r="G41" s="3" t="n">
        <v>13</v>
      </c>
      <c r="H41" s="3" t="n">
        <v>11</v>
      </c>
      <c r="I41" s="3" t="n">
        <v>9</v>
      </c>
      <c r="J41" s="3" t="n">
        <v>7</v>
      </c>
      <c r="K41" s="3" t="n">
        <v>5</v>
      </c>
      <c r="L41" s="3" t="n">
        <v>4</v>
      </c>
    </row>
    <row r="42" customFormat="false" ht="15" hidden="false" customHeight="false" outlineLevel="0" collapsed="false">
      <c r="A42" s="0" t="s">
        <v>97</v>
      </c>
      <c r="C42" s="3" t="n">
        <v>8.8</v>
      </c>
      <c r="D42" s="3" t="n">
        <v>9.6</v>
      </c>
      <c r="E42" s="3" t="n">
        <v>10.4</v>
      </c>
      <c r="F42" s="3" t="n">
        <v>11.2</v>
      </c>
      <c r="G42" s="3" t="n">
        <v>11.8</v>
      </c>
      <c r="H42" s="3" t="n">
        <v>12.3</v>
      </c>
      <c r="I42" s="3" t="n">
        <v>12.6</v>
      </c>
      <c r="J42" s="3" t="n">
        <v>12.8</v>
      </c>
      <c r="K42" s="3" t="n">
        <v>13</v>
      </c>
      <c r="L42" s="3" t="n">
        <v>13</v>
      </c>
    </row>
    <row r="43" customFormat="false" ht="15" hidden="false" customHeight="false" outlineLevel="0" collapsed="false">
      <c r="A43" s="0" t="s">
        <v>98</v>
      </c>
      <c r="C43" s="3" t="n">
        <v>1.4</v>
      </c>
      <c r="D43" s="3" t="n">
        <v>1.4</v>
      </c>
      <c r="E43" s="3" t="n">
        <v>1.3</v>
      </c>
      <c r="F43" s="3" t="n">
        <v>1.2</v>
      </c>
      <c r="G43" s="3" t="n">
        <v>1.1</v>
      </c>
      <c r="H43" s="3" t="n">
        <v>1</v>
      </c>
      <c r="I43" s="3" t="n">
        <v>1</v>
      </c>
      <c r="J43" s="3" t="n">
        <v>0.9</v>
      </c>
      <c r="K43" s="3" t="n">
        <v>0.9</v>
      </c>
      <c r="L43" s="3" t="n">
        <v>0.9</v>
      </c>
    </row>
    <row r="44" customFormat="false" ht="15" hidden="false" customHeight="false" outlineLevel="0" collapsed="false">
      <c r="A44" s="0" t="s">
        <v>99</v>
      </c>
      <c r="C44" s="3" t="n">
        <v>0.1</v>
      </c>
      <c r="D44" s="3" t="n">
        <v>0.1</v>
      </c>
      <c r="E44" s="3" t="n">
        <v>0.1</v>
      </c>
      <c r="F44" s="3" t="n">
        <v>0.1</v>
      </c>
      <c r="G44" s="3" t="n">
        <v>0.1</v>
      </c>
      <c r="H44" s="3" t="n">
        <v>0.1</v>
      </c>
      <c r="I44" s="3" t="n">
        <v>0.1</v>
      </c>
      <c r="J44" s="3" t="n">
        <v>0.1</v>
      </c>
      <c r="K44" s="3" t="n">
        <v>0.1</v>
      </c>
      <c r="L44" s="3" t="n">
        <v>0.1</v>
      </c>
    </row>
    <row r="45" customFormat="false" ht="15" hidden="false" customHeight="false" outlineLevel="0" collapsed="false">
      <c r="A45" s="0" t="s">
        <v>100</v>
      </c>
      <c r="C45" s="3" t="n">
        <v>3.2</v>
      </c>
      <c r="D45" s="3" t="n">
        <v>3.1</v>
      </c>
      <c r="E45" s="3" t="n">
        <v>3</v>
      </c>
      <c r="F45" s="3" t="n">
        <v>2.9</v>
      </c>
      <c r="G45" s="3" t="n">
        <v>2.8</v>
      </c>
      <c r="H45" s="3" t="n">
        <v>2.8</v>
      </c>
      <c r="I45" s="3" t="n">
        <v>2.8</v>
      </c>
      <c r="J45" s="3" t="n">
        <v>2.8</v>
      </c>
      <c r="K45" s="3" t="n">
        <v>2.8</v>
      </c>
      <c r="L45" s="3" t="n">
        <v>2.8</v>
      </c>
    </row>
    <row r="46" customFormat="false" ht="15" hidden="false" customHeight="false" outlineLevel="0" collapsed="false">
      <c r="A46" s="0" t="s">
        <v>101</v>
      </c>
      <c r="C46" s="3" t="n">
        <v>3.4</v>
      </c>
      <c r="D46" s="3" t="n">
        <v>3.3</v>
      </c>
      <c r="E46" s="3" t="n">
        <v>3.2</v>
      </c>
      <c r="F46" s="3" t="n">
        <v>3.1</v>
      </c>
      <c r="G46" s="3" t="n">
        <v>3</v>
      </c>
      <c r="H46" s="3" t="n">
        <v>3</v>
      </c>
      <c r="I46" s="3" t="n">
        <v>3</v>
      </c>
      <c r="J46" s="3" t="n">
        <v>3</v>
      </c>
      <c r="K46" s="3" t="n">
        <v>3</v>
      </c>
      <c r="L46" s="3" t="n">
        <v>3</v>
      </c>
    </row>
    <row r="47" customFormat="false" ht="15" hidden="false" customHeight="false" outlineLevel="0" collapsed="false">
      <c r="A47" s="0" t="s">
        <v>102</v>
      </c>
      <c r="C47" s="3" t="n">
        <v>14</v>
      </c>
      <c r="D47" s="3" t="n">
        <v>15</v>
      </c>
      <c r="E47" s="3" t="n">
        <v>16</v>
      </c>
      <c r="F47" s="3" t="n">
        <v>17</v>
      </c>
      <c r="G47" s="3" t="n">
        <v>18</v>
      </c>
      <c r="H47" s="3" t="n">
        <v>18</v>
      </c>
      <c r="I47" s="3" t="n">
        <v>18</v>
      </c>
      <c r="J47" s="3" t="n">
        <v>18</v>
      </c>
      <c r="K47" s="3" t="n">
        <v>18</v>
      </c>
      <c r="L47" s="3" t="n">
        <v>18</v>
      </c>
    </row>
    <row r="48" customFormat="false" ht="15" hidden="false" customHeight="false" outlineLevel="0" collapsed="false">
      <c r="A48" s="0" t="s">
        <v>103</v>
      </c>
      <c r="B48" s="3" t="n">
        <v>10.5</v>
      </c>
    </row>
    <row r="49" customFormat="false" ht="15" hidden="false" customHeight="false" outlineLevel="0" collapsed="false">
      <c r="A49" s="0" t="s">
        <v>104</v>
      </c>
      <c r="B49" s="3" t="n">
        <v>3.5</v>
      </c>
    </row>
    <row r="50" customFormat="false" ht="15" hidden="false" customHeight="false" outlineLevel="0" collapsed="false">
      <c r="A50" s="0" t="s">
        <v>105</v>
      </c>
      <c r="B50" s="3" t="n">
        <v>15</v>
      </c>
    </row>
    <row r="51" customFormat="false" ht="15" hidden="false" customHeight="false" outlineLevel="0" collapsed="false">
      <c r="A51" s="0" t="s">
        <v>106</v>
      </c>
      <c r="B51" s="3" t="n">
        <v>5</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15</v>
      </c>
      <c r="D5" s="4" t="n">
        <f aca="false">Assumptions!D13</f>
        <v>8</v>
      </c>
      <c r="E5" s="4" t="n">
        <f aca="false">Assumptions!E13</f>
        <v>6</v>
      </c>
      <c r="F5" s="4" t="n">
        <f aca="false">Assumptions!F13</f>
        <v>5</v>
      </c>
      <c r="G5" s="4" t="n">
        <f aca="false">Assumptions!G13</f>
        <v>4</v>
      </c>
      <c r="H5" s="4" t="n">
        <f aca="false">Assumptions!H13</f>
        <v>4</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38</v>
      </c>
      <c r="B6" s="3" t="n">
        <v>2046.717</v>
      </c>
      <c r="C6" s="0" t="n">
        <f aca="false">B6*(1+C5/100)</f>
        <v>2353.72455</v>
      </c>
      <c r="D6" s="0" t="n">
        <f aca="false">C6*(1+D5/100)</f>
        <v>2542.022514</v>
      </c>
      <c r="E6" s="0" t="n">
        <f aca="false">D6*(1+E5/100)</f>
        <v>2694.54386484</v>
      </c>
      <c r="F6" s="0" t="n">
        <f aca="false">E6*(1+F5/100)</f>
        <v>2829.271058082</v>
      </c>
      <c r="G6" s="0" t="n">
        <f aca="false">F6*(1+G5/100)</f>
        <v>2942.44190040528</v>
      </c>
      <c r="H6" s="0" t="n">
        <f aca="false">G6*(1+H5/100)</f>
        <v>3060.13957642149</v>
      </c>
      <c r="I6" s="0" t="n">
        <f aca="false">H6*(1+I5/100)</f>
        <v>3151.94376371414</v>
      </c>
      <c r="J6" s="0" t="n">
        <f aca="false">I6*(1+J5/100)</f>
        <v>3246.50207662556</v>
      </c>
      <c r="K6" s="0" t="n">
        <f aca="false">J6*(1+K5/100)</f>
        <v>3343.89713892433</v>
      </c>
      <c r="L6" s="0" t="n">
        <f aca="false">K6*(1+L5/100)</f>
        <v>3444.21405309206</v>
      </c>
    </row>
    <row r="7" customFormat="false" ht="15" hidden="false" customHeight="false" outlineLevel="0" collapsed="false">
      <c r="A7" s="0" t="s">
        <v>97</v>
      </c>
      <c r="C7" s="4" t="n">
        <f aca="false">Assumptions!C14</f>
        <v>8.2</v>
      </c>
      <c r="D7" s="4" t="n">
        <f aca="false">Assumptions!D14</f>
        <v>7.8</v>
      </c>
      <c r="E7" s="4" t="n">
        <f aca="false">Assumptions!E14</f>
        <v>7.5</v>
      </c>
      <c r="F7" s="4" t="n">
        <f aca="false">Assumptions!F14</f>
        <v>7.3</v>
      </c>
      <c r="G7" s="4" t="n">
        <f aca="false">Assumptions!G14</f>
        <v>7.2</v>
      </c>
      <c r="H7" s="4" t="n">
        <f aca="false">Assumptions!H14</f>
        <v>7</v>
      </c>
      <c r="I7" s="4" t="n">
        <f aca="false">Assumptions!I14</f>
        <v>7</v>
      </c>
      <c r="J7" s="4" t="n">
        <f aca="false">Assumptions!J14</f>
        <v>7</v>
      </c>
      <c r="K7" s="4" t="n">
        <f aca="false">Assumptions!K14</f>
        <v>7</v>
      </c>
      <c r="L7" s="4" t="n">
        <f aca="false">Assumptions!L14</f>
        <v>7</v>
      </c>
    </row>
    <row r="8" customFormat="false" ht="15" hidden="false" customHeight="false" outlineLevel="0" collapsed="false">
      <c r="A8" s="0" t="s">
        <v>44</v>
      </c>
      <c r="C8" s="0" t="n">
        <f aca="false">C6*C7/100</f>
        <v>193.0054131</v>
      </c>
      <c r="D8" s="0" t="n">
        <f aca="false">D6*D7/100</f>
        <v>198.277756092</v>
      </c>
      <c r="E8" s="0" t="n">
        <f aca="false">E6*E7/100</f>
        <v>202.090789863</v>
      </c>
      <c r="F8" s="0" t="n">
        <f aca="false">F6*F7/100</f>
        <v>206.536787239986</v>
      </c>
      <c r="G8" s="0" t="n">
        <f aca="false">G6*G7/100</f>
        <v>211.85581682918</v>
      </c>
      <c r="H8" s="0" t="n">
        <f aca="false">H6*H7/100</f>
        <v>214.209770349504</v>
      </c>
      <c r="I8" s="0" t="n">
        <f aca="false">I6*I7/100</f>
        <v>220.63606345999</v>
      </c>
      <c r="J8" s="0" t="n">
        <f aca="false">J6*J7/100</f>
        <v>227.255145363789</v>
      </c>
      <c r="K8" s="0" t="n">
        <f aca="false">K6*K7/100</f>
        <v>234.072799724703</v>
      </c>
      <c r="L8" s="0" t="n">
        <f aca="false">L6*L7/100</f>
        <v>241.094983716444</v>
      </c>
    </row>
    <row r="9" customFormat="false" ht="15" hidden="false" customHeight="false" outlineLevel="0" collapsed="false">
      <c r="A9" s="0" t="s">
        <v>98</v>
      </c>
      <c r="C9" s="4" t="n">
        <f aca="false">Assumptions!C15</f>
        <v>1.5</v>
      </c>
      <c r="D9" s="4" t="n">
        <f aca="false">Assumptions!D15</f>
        <v>1.5</v>
      </c>
      <c r="E9" s="4" t="n">
        <f aca="false">Assumptions!E15</f>
        <v>1.4</v>
      </c>
      <c r="F9" s="4" t="n">
        <f aca="false">Assumptions!F15</f>
        <v>1.3</v>
      </c>
      <c r="G9" s="4" t="n">
        <f aca="false">Assumptions!G15</f>
        <v>1.2</v>
      </c>
      <c r="H9" s="4" t="n">
        <f aca="false">Assumptions!H15</f>
        <v>1.1</v>
      </c>
      <c r="I9" s="4" t="n">
        <f aca="false">Assumptions!I15</f>
        <v>1.1</v>
      </c>
      <c r="J9" s="4" t="n">
        <f aca="false">Assumptions!J15</f>
        <v>1</v>
      </c>
      <c r="K9" s="4" t="n">
        <f aca="false">Assumptions!K15</f>
        <v>1</v>
      </c>
      <c r="L9" s="4" t="n">
        <f aca="false">Assumptions!L15</f>
        <v>1</v>
      </c>
    </row>
    <row r="10" customFormat="false" ht="15" hidden="false" customHeight="false" outlineLevel="0" collapsed="false">
      <c r="A10" s="0" t="s">
        <v>113</v>
      </c>
      <c r="C10" s="0" t="n">
        <f aca="false">-C6*C9/100</f>
        <v>-35.30586825</v>
      </c>
      <c r="D10" s="0" t="n">
        <f aca="false">-D6*D9/100</f>
        <v>-38.13033771</v>
      </c>
      <c r="E10" s="0" t="n">
        <f aca="false">-E6*E9/100</f>
        <v>-37.72361410776</v>
      </c>
      <c r="F10" s="0" t="n">
        <f aca="false">-F6*F9/100</f>
        <v>-36.780523755066</v>
      </c>
      <c r="G10" s="0" t="n">
        <f aca="false">-G6*G9/100</f>
        <v>-35.3093028048634</v>
      </c>
      <c r="H10" s="0" t="n">
        <f aca="false">-H6*H9/100</f>
        <v>-33.6615353406364</v>
      </c>
      <c r="I10" s="0" t="n">
        <f aca="false">-I6*I9/100</f>
        <v>-34.6713814008555</v>
      </c>
      <c r="J10" s="0" t="n">
        <f aca="false">-J6*J9/100</f>
        <v>-32.4650207662556</v>
      </c>
      <c r="K10" s="0" t="n">
        <f aca="false">-K6*K9/100</f>
        <v>-33.4389713892433</v>
      </c>
      <c r="L10" s="0" t="n">
        <f aca="false">-L6*L9/100</f>
        <v>-34.4421405309206</v>
      </c>
    </row>
    <row r="11" customFormat="false" ht="15" hidden="false" customHeight="false" outlineLevel="0" collapsed="false">
      <c r="A11" s="0" t="s">
        <v>114</v>
      </c>
      <c r="C11" s="0" t="n">
        <f aca="false">C8+C10+C24</f>
        <v>155.3458203</v>
      </c>
      <c r="D11" s="0" t="n">
        <f aca="false">D8+D10+D24</f>
        <v>157.605395868</v>
      </c>
      <c r="E11" s="0" t="n">
        <f aca="false">E8+E10+E24</f>
        <v>161.6726318904</v>
      </c>
      <c r="F11" s="0" t="n">
        <f aca="false">F8+F10+F24</f>
        <v>166.926992426838</v>
      </c>
      <c r="G11" s="0" t="n">
        <f aca="false">G8+G10+G24</f>
        <v>173.604072123912</v>
      </c>
      <c r="H11" s="0" t="n">
        <f aca="false">H8+H10+H24</f>
        <v>177.488095432447</v>
      </c>
      <c r="I11" s="0" t="n">
        <f aca="false">I8+I10+I24</f>
        <v>182.81273829542</v>
      </c>
      <c r="J11" s="0" t="n">
        <f aca="false">J8+J10+J24</f>
        <v>191.543622520908</v>
      </c>
      <c r="K11" s="0" t="n">
        <f aca="false">K8+K10+K24</f>
        <v>197.289931196535</v>
      </c>
      <c r="L11" s="0" t="n">
        <f aca="false">L8+L10+L24</f>
        <v>203.208629132431</v>
      </c>
    </row>
    <row r="12" customFormat="false" ht="15" hidden="false" customHeight="false" outlineLevel="0" collapsed="false">
      <c r="A12" s="0" t="s">
        <v>115</v>
      </c>
      <c r="C12" s="4" t="n">
        <f aca="false">-C6*Assumptions!C17/100</f>
        <v>-75.3191856</v>
      </c>
      <c r="D12" s="4" t="n">
        <f aca="false">-D6*Assumptions!D17/100</f>
        <v>-81.344720448</v>
      </c>
      <c r="E12" s="4" t="n">
        <f aca="false">-E6*Assumptions!E17/100</f>
        <v>-83.53085981004</v>
      </c>
      <c r="F12" s="4" t="n">
        <f aca="false">-F6*Assumptions!F17/100</f>
        <v>-84.87813174246</v>
      </c>
      <c r="G12" s="4" t="n">
        <f aca="false">-G6*Assumptions!G17/100</f>
        <v>-88.2732570121584</v>
      </c>
      <c r="H12" s="4" t="n">
        <f aca="false">-H6*Assumptions!H17/100</f>
        <v>-91.8041872926448</v>
      </c>
      <c r="I12" s="4" t="n">
        <f aca="false">-I6*Assumptions!I17/100</f>
        <v>-94.5583129114241</v>
      </c>
      <c r="J12" s="4" t="n">
        <f aca="false">-J6*Assumptions!J17/100</f>
        <v>-97.3950622987669</v>
      </c>
      <c r="K12" s="4" t="n">
        <f aca="false">-K6*Assumptions!K17/100</f>
        <v>-100.31691416773</v>
      </c>
      <c r="L12" s="4" t="n">
        <f aca="false">-L6*Assumptions!L17/100</f>
        <v>-103.326421592762</v>
      </c>
    </row>
    <row r="13" customFormat="false" ht="15" hidden="false" customHeight="false" outlineLevel="0" collapsed="false">
      <c r="A13" s="0" t="s">
        <v>116</v>
      </c>
      <c r="C13" s="0" t="n">
        <f aca="false">C11+C12</f>
        <v>80.0266347</v>
      </c>
      <c r="D13" s="0" t="n">
        <f aca="false">D11+D12</f>
        <v>76.26067542</v>
      </c>
      <c r="E13" s="0" t="n">
        <f aca="false">E11+E12</f>
        <v>78.14177208036</v>
      </c>
      <c r="F13" s="0" t="n">
        <f aca="false">F11+F12</f>
        <v>82.048860684378</v>
      </c>
      <c r="G13" s="0" t="n">
        <f aca="false">G11+G12</f>
        <v>85.3308151117532</v>
      </c>
      <c r="H13" s="0" t="n">
        <f aca="false">H11+H12</f>
        <v>85.6839081398018</v>
      </c>
      <c r="I13" s="0" t="n">
        <f aca="false">I11+I12</f>
        <v>88.2544253839958</v>
      </c>
      <c r="J13" s="0" t="n">
        <f aca="false">J11+J12</f>
        <v>94.1485602221413</v>
      </c>
      <c r="K13" s="0" t="n">
        <f aca="false">K11+K12</f>
        <v>96.9730170288056</v>
      </c>
      <c r="L13" s="0" t="n">
        <f aca="false">L11+L12</f>
        <v>99.8822075396697</v>
      </c>
    </row>
    <row r="14" customFormat="false" ht="15" hidden="false" customHeight="false" outlineLevel="0" collapsed="false">
      <c r="A14" s="0" t="s">
        <v>102</v>
      </c>
      <c r="C14" s="4" t="n">
        <f aca="false">Assumptions!C19</f>
        <v>14</v>
      </c>
      <c r="D14" s="4" t="n">
        <f aca="false">Assumptions!D19</f>
        <v>15</v>
      </c>
      <c r="E14" s="4" t="n">
        <f aca="false">Assumptions!E19</f>
        <v>16</v>
      </c>
      <c r="F14" s="4" t="n">
        <f aca="false">Assumptions!F19</f>
        <v>17</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117</v>
      </c>
      <c r="C15" s="0" t="n">
        <f aca="false">C13-MAX(0,C13)*C14/100</f>
        <v>68.822905842</v>
      </c>
      <c r="D15" s="0" t="n">
        <f aca="false">D13-MAX(0,D13)*D14/100</f>
        <v>64.821574107</v>
      </c>
      <c r="E15" s="0" t="n">
        <f aca="false">E13-MAX(0,E13)*E14/100</f>
        <v>65.6390885475024</v>
      </c>
      <c r="F15" s="0" t="n">
        <f aca="false">F13-MAX(0,F13)*F14/100</f>
        <v>68.1005543680337</v>
      </c>
      <c r="G15" s="0" t="n">
        <f aca="false">G13-MAX(0,G13)*G14/100</f>
        <v>69.9712683916376</v>
      </c>
      <c r="H15" s="0" t="n">
        <f aca="false">H13-MAX(0,H13)*H14/100</f>
        <v>70.2608046746375</v>
      </c>
      <c r="I15" s="0" t="n">
        <f aca="false">I13-MAX(0,I13)*I14/100</f>
        <v>72.3686288148766</v>
      </c>
      <c r="J15" s="0" t="n">
        <f aca="false">J13-MAX(0,J13)*J14/100</f>
        <v>77.2018193821559</v>
      </c>
      <c r="K15" s="0" t="n">
        <f aca="false">K13-MAX(0,K13)*K14/100</f>
        <v>79.5178739636206</v>
      </c>
      <c r="L15" s="0" t="n">
        <f aca="false">L13-MAX(0,L13)*L14/100</f>
        <v>81.9034101825291</v>
      </c>
    </row>
    <row r="16" customFormat="false" ht="15" hidden="false" customHeight="false" outlineLevel="0" collapsed="false">
      <c r="A16" s="0" t="s">
        <v>118</v>
      </c>
      <c r="C16" s="0" t="n">
        <f aca="false">-C12</f>
        <v>75.3191856</v>
      </c>
      <c r="D16" s="0" t="n">
        <f aca="false">-D12</f>
        <v>81.344720448</v>
      </c>
      <c r="E16" s="0" t="n">
        <f aca="false">-E12</f>
        <v>83.53085981004</v>
      </c>
      <c r="F16" s="0" t="n">
        <f aca="false">-F12</f>
        <v>84.87813174246</v>
      </c>
      <c r="G16" s="0" t="n">
        <f aca="false">-G12</f>
        <v>88.2732570121584</v>
      </c>
      <c r="H16" s="0" t="n">
        <f aca="false">-H12</f>
        <v>91.8041872926448</v>
      </c>
      <c r="I16" s="0" t="n">
        <f aca="false">-I12</f>
        <v>94.5583129114241</v>
      </c>
      <c r="J16" s="0" t="n">
        <f aca="false">-J12</f>
        <v>97.3950622987669</v>
      </c>
      <c r="K16" s="0" t="n">
        <f aca="false">-K12</f>
        <v>100.31691416773</v>
      </c>
      <c r="L16" s="0" t="n">
        <f aca="false">-L12</f>
        <v>103.326421592762</v>
      </c>
    </row>
    <row r="17" customFormat="false" ht="15" hidden="false" customHeight="false" outlineLevel="0" collapsed="false">
      <c r="A17" s="0" t="s">
        <v>119</v>
      </c>
      <c r="C17" s="4" t="n">
        <f aca="false">-C6*Assumptions!C18/100</f>
        <v>-80.0266347</v>
      </c>
      <c r="D17" s="4" t="n">
        <f aca="false">-D6*Assumptions!D18/100</f>
        <v>-86.428765476</v>
      </c>
      <c r="E17" s="4" t="n">
        <f aca="false">-E6*Assumptions!E18/100</f>
        <v>-88.91994753972</v>
      </c>
      <c r="F17" s="4" t="n">
        <f aca="false">-F6*Assumptions!F18/100</f>
        <v>-90.536673858624</v>
      </c>
      <c r="G17" s="4" t="n">
        <f aca="false">-G6*Assumptions!G18/100</f>
        <v>-91.2156989125637</v>
      </c>
      <c r="H17" s="4" t="n">
        <f aca="false">-H6*Assumptions!H18/100</f>
        <v>-91.8041872926448</v>
      </c>
      <c r="I17" s="4" t="n">
        <f aca="false">-I6*Assumptions!I18/100</f>
        <v>-94.5583129114241</v>
      </c>
      <c r="J17" s="4" t="n">
        <f aca="false">-J6*Assumptions!J18/100</f>
        <v>-97.3950622987669</v>
      </c>
      <c r="K17" s="4" t="n">
        <f aca="false">-K6*Assumptions!K18/100</f>
        <v>-100.31691416773</v>
      </c>
      <c r="L17" s="4" t="n">
        <f aca="false">-L6*Assumptions!L18/100</f>
        <v>-103.326421592762</v>
      </c>
    </row>
    <row r="18" customFormat="false" ht="15" hidden="false" customHeight="false" outlineLevel="0" collapsed="false">
      <c r="A18" s="0" t="s">
        <v>120</v>
      </c>
      <c r="C18" s="4" t="n">
        <f aca="false">(C6-B6)*Assumptions!$B$23/100</f>
        <v>9.21022649999999</v>
      </c>
      <c r="D18" s="4" t="n">
        <f aca="false">(D6-C6)*Assumptions!$B$23/100</f>
        <v>5.64893892000001</v>
      </c>
      <c r="E18" s="4" t="n">
        <f aca="false">(E6-D6)*Assumptions!$B$23/100</f>
        <v>4.57564052520001</v>
      </c>
      <c r="F18" s="4" t="n">
        <f aca="false">(F6-E6)*Assumptions!$B$23/100</f>
        <v>4.04181579726001</v>
      </c>
      <c r="G18" s="4" t="n">
        <f aca="false">(G6-F6)*Assumptions!$B$23/100</f>
        <v>3.39512526969841</v>
      </c>
      <c r="H18" s="4" t="n">
        <f aca="false">(H6-G6)*Assumptions!$B$23/100</f>
        <v>3.53093028048635</v>
      </c>
      <c r="I18" s="4" t="n">
        <f aca="false">(I6-H6)*Assumptions!$B$23/100</f>
        <v>2.75412561877934</v>
      </c>
      <c r="J18" s="4" t="n">
        <f aca="false">(J6-I6)*Assumptions!$B$23/100</f>
        <v>2.83674938734273</v>
      </c>
      <c r="K18" s="4" t="n">
        <f aca="false">(K6-J6)*Assumptions!$B$23/100</f>
        <v>2.921851868963</v>
      </c>
      <c r="L18" s="4" t="n">
        <f aca="false">(L6-K6)*Assumptions!$B$23/100</f>
        <v>3.0095074250319</v>
      </c>
    </row>
    <row r="19" customFormat="false" ht="15" hidden="false" customHeight="false" outlineLevel="0" collapsed="false">
      <c r="A19" s="0" t="s">
        <v>121</v>
      </c>
      <c r="C19" s="0" t="n">
        <f aca="false">C15+C16+C17+C18</f>
        <v>73.325683242</v>
      </c>
      <c r="D19" s="0" t="n">
        <f aca="false">D15+D16+D17+D18</f>
        <v>65.386467999</v>
      </c>
      <c r="E19" s="0" t="n">
        <f aca="false">E15+E16+E17+E18</f>
        <v>64.8256413430224</v>
      </c>
      <c r="F19" s="0" t="n">
        <f aca="false">F15+F16+F17+F18</f>
        <v>66.4838280491297</v>
      </c>
      <c r="G19" s="0" t="n">
        <f aca="false">G15+G16+G17+G18</f>
        <v>70.4239517609308</v>
      </c>
      <c r="H19" s="0" t="n">
        <f aca="false">H15+H16+H17+H18</f>
        <v>73.7917349551238</v>
      </c>
      <c r="I19" s="0" t="n">
        <f aca="false">I15+I16+I17+I18</f>
        <v>75.1227544336559</v>
      </c>
      <c r="J19" s="0" t="n">
        <f aca="false">J15+J16+J17+J18</f>
        <v>80.0385687694986</v>
      </c>
      <c r="K19" s="0" t="n">
        <f aca="false">K15+K16+K17+K18</f>
        <v>82.4397258325836</v>
      </c>
      <c r="L19" s="0" t="n">
        <f aca="false">L15+L16+L17+L18</f>
        <v>84.912917607561</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66.3580843819004</v>
      </c>
      <c r="D21" s="0" t="n">
        <f aca="false">D19*D20</f>
        <v>53.5504743956922</v>
      </c>
      <c r="E21" s="0" t="n">
        <f aca="false">E19*E20</f>
        <v>48.0463043524629</v>
      </c>
      <c r="F21" s="0" t="n">
        <f aca="false">F19*F20</f>
        <v>44.5930220709396</v>
      </c>
      <c r="G21" s="0" t="n">
        <f aca="false">G19*G20</f>
        <v>42.7473307282992</v>
      </c>
      <c r="H21" s="0" t="n">
        <f aca="false">H19*H20</f>
        <v>40.5353617602281</v>
      </c>
      <c r="I21" s="0" t="n">
        <f aca="false">I19*I20</f>
        <v>37.3452659998757</v>
      </c>
      <c r="J21" s="0" t="n">
        <f aca="false">J19*J20</f>
        <v>36.0081732841189</v>
      </c>
      <c r="K21" s="0" t="n">
        <f aca="false">K19*K20</f>
        <v>33.5641796223009</v>
      </c>
      <c r="L21" s="0" t="n">
        <f aca="false">L19*L20</f>
        <v>31.2860678832307</v>
      </c>
    </row>
    <row r="23" customFormat="false" ht="15" hidden="false" customHeight="false" outlineLevel="0" collapsed="false">
      <c r="A23" s="0" t="s">
        <v>99</v>
      </c>
      <c r="C23" s="4" t="n">
        <f aca="false">Assumptions!C16</f>
        <v>0.1</v>
      </c>
      <c r="D23" s="4" t="n">
        <f aca="false">Assumptions!D16</f>
        <v>0.1</v>
      </c>
      <c r="E23" s="4" t="n">
        <f aca="false">Assumptions!E16</f>
        <v>0.1</v>
      </c>
      <c r="F23" s="4" t="n">
        <f aca="false">Assumptions!F16</f>
        <v>0.1</v>
      </c>
      <c r="G23" s="4" t="n">
        <f aca="false">Assumptions!G16</f>
        <v>0.1</v>
      </c>
      <c r="H23" s="4" t="n">
        <f aca="false">Assumptions!H16</f>
        <v>0.1</v>
      </c>
      <c r="I23" s="4" t="n">
        <f aca="false">Assumptions!I16</f>
        <v>0.1</v>
      </c>
      <c r="J23" s="4" t="n">
        <f aca="false">Assumptions!J16</f>
        <v>0.1</v>
      </c>
      <c r="K23" s="4" t="n">
        <f aca="false">Assumptions!K16</f>
        <v>0.1</v>
      </c>
      <c r="L23" s="4" t="n">
        <f aca="false">Assumptions!L16</f>
        <v>0.1</v>
      </c>
    </row>
    <row r="24" customFormat="false" ht="15" hidden="false" customHeight="false" outlineLevel="0" collapsed="false">
      <c r="A24" s="0" t="s">
        <v>124</v>
      </c>
      <c r="C24" s="0" t="n">
        <f aca="false">-C6*C23/100</f>
        <v>-2.35372455</v>
      </c>
      <c r="D24" s="0" t="n">
        <f aca="false">-D6*D23/100</f>
        <v>-2.542022514</v>
      </c>
      <c r="E24" s="0" t="n">
        <f aca="false">-E6*E23/100</f>
        <v>-2.69454386484</v>
      </c>
      <c r="F24" s="0" t="n">
        <f aca="false">-F6*F23/100</f>
        <v>-2.829271058082</v>
      </c>
      <c r="G24" s="0" t="n">
        <f aca="false">-G6*G23/100</f>
        <v>-2.94244190040528</v>
      </c>
      <c r="H24" s="0" t="n">
        <f aca="false">-H6*H23/100</f>
        <v>-3.06013957642149</v>
      </c>
      <c r="I24" s="0" t="n">
        <f aca="false">-I6*I23/100</f>
        <v>-3.15194376371414</v>
      </c>
      <c r="J24" s="0" t="n">
        <f aca="false">-J6*J23/100</f>
        <v>-3.24650207662556</v>
      </c>
      <c r="K24" s="0" t="n">
        <f aca="false">-K6*K23/100</f>
        <v>-3.34389713892433</v>
      </c>
      <c r="L24" s="0" t="n">
        <f aca="false">-L6*L23/100</f>
        <v>-3.44421405309206</v>
      </c>
    </row>
    <row r="26" customFormat="false" ht="15" hidden="false" customHeight="false" outlineLevel="0" collapsed="false">
      <c r="A26" s="2" t="s">
        <v>125</v>
      </c>
    </row>
    <row r="27" customFormat="false" ht="15" hidden="false" customHeight="false" outlineLevel="0" collapsed="false">
      <c r="A27" s="0" t="s">
        <v>103</v>
      </c>
      <c r="B27" s="4" t="n">
        <f aca="false">Assumptions!$B$20</f>
        <v>10.5</v>
      </c>
    </row>
    <row r="28" customFormat="false" ht="15" hidden="false" customHeight="false" outlineLevel="0" collapsed="false">
      <c r="A28" s="0" t="s">
        <v>104</v>
      </c>
      <c r="B28" s="4" t="n">
        <f aca="false">Assumptions!$B$21</f>
        <v>2.5</v>
      </c>
    </row>
    <row r="29" customFormat="false" ht="15" hidden="false" customHeight="false" outlineLevel="0" collapsed="false">
      <c r="A29" s="0" t="s">
        <v>105</v>
      </c>
      <c r="B29" s="4" t="n">
        <f aca="false">Assumptions!$B$22</f>
        <v>15</v>
      </c>
    </row>
    <row r="30" customFormat="false" ht="15" hidden="false" customHeight="false" outlineLevel="0" collapsed="false">
      <c r="A30" s="0" t="s">
        <v>126</v>
      </c>
      <c r="B30" s="0" t="n">
        <f aca="false">SUM(C21:L21)</f>
        <v>434.034264479048</v>
      </c>
    </row>
    <row r="31" customFormat="false" ht="15" hidden="false" customHeight="false" outlineLevel="0" collapsed="false">
      <c r="A31" s="0" t="s">
        <v>127</v>
      </c>
      <c r="B31" s="0" t="n">
        <f aca="false">L19</f>
        <v>84.912917607561</v>
      </c>
    </row>
    <row r="32" customFormat="false" ht="15" hidden="false" customHeight="false" outlineLevel="0" collapsed="false">
      <c r="A32" s="0" t="s">
        <v>128</v>
      </c>
      <c r="B32" s="0" t="n">
        <f aca="false">IF(B27&gt;B28,B31*(1+B28/100)/((B27-B28)/100),B31*B29)</f>
        <v>1087.94675684688</v>
      </c>
    </row>
    <row r="33" customFormat="false" ht="15" hidden="false" customHeight="false" outlineLevel="0" collapsed="false">
      <c r="A33" s="0" t="s">
        <v>129</v>
      </c>
      <c r="B33" s="0" t="n">
        <f aca="false">B31*B29</f>
        <v>1273.69376411342</v>
      </c>
    </row>
    <row r="34" customFormat="false" ht="15" hidden="false" customHeight="false" outlineLevel="0" collapsed="false">
      <c r="A34" s="0" t="s">
        <v>130</v>
      </c>
      <c r="B34" s="0" t="n">
        <f aca="false">MAX(0,MIN(B32,B33))</f>
        <v>1087.94675684688</v>
      </c>
    </row>
    <row r="35" customFormat="false" ht="15" hidden="false" customHeight="false" outlineLevel="0" collapsed="false">
      <c r="A35" s="0" t="s">
        <v>131</v>
      </c>
      <c r="B35" s="0" t="n">
        <f aca="false">B34/(1+B27/100)^L4</f>
        <v>400.852744753893</v>
      </c>
    </row>
    <row r="36" customFormat="false" ht="15" hidden="false" customHeight="false" outlineLevel="0" collapsed="false">
      <c r="A36" s="0" t="s">
        <v>132</v>
      </c>
      <c r="B36" s="0" t="n">
        <f aca="false">B30+B35</f>
        <v>834.887009232941</v>
      </c>
    </row>
    <row r="37" customFormat="false" ht="15" hidden="false" customHeight="false" outlineLevel="0" collapsed="false">
      <c r="A37" s="0" t="s">
        <v>133</v>
      </c>
      <c r="B37" s="0" t="n">
        <f aca="false">B36+Assumptions!$B$5-Assumptions!$B$4</f>
        <v>1102.61700923294</v>
      </c>
    </row>
    <row r="38" customFormat="false" ht="15" hidden="false" customHeight="false" outlineLevel="0" collapsed="false">
      <c r="A38" s="0" t="s">
        <v>134</v>
      </c>
      <c r="B38" s="0" t="n">
        <f aca="false">B37/Assumptions!$B$3*Assumptions!$B$10</f>
        <v>4.95659756372964</v>
      </c>
    </row>
    <row r="39" customFormat="false" ht="15" hidden="false" customHeight="false" outlineLevel="0" collapsed="false">
      <c r="A39" s="0" t="s">
        <v>135</v>
      </c>
      <c r="B39" s="4" t="n">
        <f aca="false">B38/Assumptions!$B$2-1</f>
        <v>-0.545266278556914</v>
      </c>
    </row>
    <row r="41" customFormat="false" ht="15" hidden="false" customHeight="false" outlineLevel="0" collapsed="false">
      <c r="A41" s="0" t="s">
        <v>136</v>
      </c>
      <c r="B41" s="0" t="n">
        <f aca="false">SUMPRODUCT(-C10:L10/(1+$B$27/100)^C4:L4)</f>
        <v>213.878037596359</v>
      </c>
    </row>
    <row r="42" customFormat="false" ht="15" hidden="false" customHeight="false" outlineLevel="0" collapsed="false">
      <c r="A42" s="0" t="s">
        <v>137</v>
      </c>
      <c r="B42" s="0" t="n">
        <f aca="false">IF(B27&gt;B28,-L10*(1+B28/100)/((B27-B28)/100),-L10*20)/(1+B27/100)^L4</f>
        <v>162.592770994239</v>
      </c>
    </row>
    <row r="43" customFormat="false" ht="15" hidden="false" customHeight="false" outlineLevel="0" collapsed="false">
      <c r="A43" s="0" t="s">
        <v>138</v>
      </c>
      <c r="B43" s="0" t="n">
        <f aca="false">(B37+B41+B42)/Assumptions!$B$3*Assumptions!$B$10</f>
        <v>6.64894792387292</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696.285924382</v>
      </c>
    </row>
    <row r="47" customFormat="false" ht="15" hidden="false" customHeight="false" outlineLevel="0" collapsed="false">
      <c r="A47" s="0" t="s">
        <v>140</v>
      </c>
      <c r="B47" s="0" t="n">
        <f aca="false">(SUMPRODUCT(C19:L19/(1+B45/100)^C4:L4)+B46/(1+B45/100)^L4+Assumptions!$B$5-Assumptions!$B$4)/Assumptions!$B$3*Assumptions!$B$10</f>
        <v>3.5936609135873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19</v>
      </c>
      <c r="D5" s="4" t="n">
        <f aca="false">Assumptions!D27</f>
        <v>16</v>
      </c>
      <c r="E5" s="4" t="n">
        <f aca="false">Assumptions!E27</f>
        <v>14</v>
      </c>
      <c r="F5" s="4" t="n">
        <f aca="false">Assumptions!F27</f>
        <v>12</v>
      </c>
      <c r="G5" s="4" t="n">
        <f aca="false">Assumptions!G27</f>
        <v>10</v>
      </c>
      <c r="H5" s="4" t="n">
        <f aca="false">Assumptions!H27</f>
        <v>8</v>
      </c>
      <c r="I5" s="4" t="n">
        <f aca="false">Assumptions!I27</f>
        <v>7</v>
      </c>
      <c r="J5" s="4" t="n">
        <f aca="false">Assumptions!J27</f>
        <v>6</v>
      </c>
      <c r="K5" s="4" t="n">
        <f aca="false">Assumptions!K27</f>
        <v>5</v>
      </c>
      <c r="L5" s="4" t="n">
        <f aca="false">Assumptions!L27</f>
        <v>4</v>
      </c>
    </row>
    <row r="6" customFormat="false" ht="15" hidden="false" customHeight="false" outlineLevel="0" collapsed="false">
      <c r="A6" s="0" t="s">
        <v>38</v>
      </c>
      <c r="B6" s="3" t="n">
        <v>2046.717</v>
      </c>
      <c r="C6" s="0" t="n">
        <f aca="false">B6*(1+C5/100)</f>
        <v>2435.59323</v>
      </c>
      <c r="D6" s="0" t="n">
        <f aca="false">C6*(1+D5/100)</f>
        <v>2825.2881468</v>
      </c>
      <c r="E6" s="0" t="n">
        <f aca="false">D6*(1+E5/100)</f>
        <v>3220.828487352</v>
      </c>
      <c r="F6" s="0" t="n">
        <f aca="false">E6*(1+F5/100)</f>
        <v>3607.32790583424</v>
      </c>
      <c r="G6" s="0" t="n">
        <f aca="false">F6*(1+G5/100)</f>
        <v>3968.06069641766</v>
      </c>
      <c r="H6" s="0" t="n">
        <f aca="false">G6*(1+H5/100)</f>
        <v>4285.50555213108</v>
      </c>
      <c r="I6" s="0" t="n">
        <f aca="false">H6*(1+I5/100)</f>
        <v>4585.49094078025</v>
      </c>
      <c r="J6" s="0" t="n">
        <f aca="false">I6*(1+J5/100)</f>
        <v>4860.62039722707</v>
      </c>
      <c r="K6" s="0" t="n">
        <f aca="false">J6*(1+K5/100)</f>
        <v>5103.65141708842</v>
      </c>
      <c r="L6" s="0" t="n">
        <f aca="false">K6*(1+L5/100)</f>
        <v>5307.79747377196</v>
      </c>
    </row>
    <row r="7" customFormat="false" ht="15" hidden="false" customHeight="false" outlineLevel="0" collapsed="false">
      <c r="A7" s="0" t="s">
        <v>97</v>
      </c>
      <c r="C7" s="4" t="n">
        <f aca="false">Assumptions!C28</f>
        <v>8.6</v>
      </c>
      <c r="D7" s="4" t="n">
        <f aca="false">Assumptions!D28</f>
        <v>9</v>
      </c>
      <c r="E7" s="4" t="n">
        <f aca="false">Assumptions!E28</f>
        <v>9.4</v>
      </c>
      <c r="F7" s="4" t="n">
        <f aca="false">Assumptions!F28</f>
        <v>9.7</v>
      </c>
      <c r="G7" s="4" t="n">
        <f aca="false">Assumptions!G28</f>
        <v>10</v>
      </c>
      <c r="H7" s="4" t="n">
        <f aca="false">Assumptions!H28</f>
        <v>10.2</v>
      </c>
      <c r="I7" s="4" t="n">
        <f aca="false">Assumptions!I28</f>
        <v>10.4</v>
      </c>
      <c r="J7" s="4" t="n">
        <f aca="false">Assumptions!J28</f>
        <v>10.5</v>
      </c>
      <c r="K7" s="4" t="n">
        <f aca="false">Assumptions!K28</f>
        <v>10.5</v>
      </c>
      <c r="L7" s="4" t="n">
        <f aca="false">Assumptions!L28</f>
        <v>10.5</v>
      </c>
    </row>
    <row r="8" customFormat="false" ht="15" hidden="false" customHeight="false" outlineLevel="0" collapsed="false">
      <c r="A8" s="0" t="s">
        <v>44</v>
      </c>
      <c r="C8" s="0" t="n">
        <f aca="false">C6*C7/100</f>
        <v>209.46101778</v>
      </c>
      <c r="D8" s="0" t="n">
        <f aca="false">D6*D7/100</f>
        <v>254.275933212</v>
      </c>
      <c r="E8" s="0" t="n">
        <f aca="false">E6*E7/100</f>
        <v>302.757877811088</v>
      </c>
      <c r="F8" s="0" t="n">
        <f aca="false">F6*F7/100</f>
        <v>349.910806865921</v>
      </c>
      <c r="G8" s="0" t="n">
        <f aca="false">G6*G7/100</f>
        <v>396.806069641766</v>
      </c>
      <c r="H8" s="0" t="n">
        <f aca="false">H6*H7/100</f>
        <v>437.12156631737</v>
      </c>
      <c r="I8" s="0" t="n">
        <f aca="false">I6*I7/100</f>
        <v>476.891057841146</v>
      </c>
      <c r="J8" s="0" t="n">
        <f aca="false">J6*J7/100</f>
        <v>510.365141708842</v>
      </c>
      <c r="K8" s="0" t="n">
        <f aca="false">K6*K7/100</f>
        <v>535.883398794284</v>
      </c>
      <c r="L8" s="0" t="n">
        <f aca="false">L6*L7/100</f>
        <v>557.318734746056</v>
      </c>
    </row>
    <row r="9" customFormat="false" ht="15" hidden="false" customHeight="false" outlineLevel="0" collapsed="false">
      <c r="A9" s="0" t="s">
        <v>98</v>
      </c>
      <c r="C9" s="4" t="n">
        <f aca="false">Assumptions!C29</f>
        <v>1.4</v>
      </c>
      <c r="D9" s="4" t="n">
        <f aca="false">Assumptions!D29</f>
        <v>1.4</v>
      </c>
      <c r="E9" s="4" t="n">
        <f aca="false">Assumptions!E29</f>
        <v>1.3</v>
      </c>
      <c r="F9" s="4" t="n">
        <f aca="false">Assumptions!F29</f>
        <v>1.2</v>
      </c>
      <c r="G9" s="4" t="n">
        <f aca="false">Assumptions!G29</f>
        <v>1.1</v>
      </c>
      <c r="H9" s="4" t="n">
        <f aca="false">Assumptions!H29</f>
        <v>1</v>
      </c>
      <c r="I9" s="4" t="n">
        <f aca="false">Assumptions!I29</f>
        <v>1</v>
      </c>
      <c r="J9" s="4" t="n">
        <f aca="false">Assumptions!J29</f>
        <v>0.9</v>
      </c>
      <c r="K9" s="4" t="n">
        <f aca="false">Assumptions!K29</f>
        <v>0.9</v>
      </c>
      <c r="L9" s="4" t="n">
        <f aca="false">Assumptions!L29</f>
        <v>0.9</v>
      </c>
    </row>
    <row r="10" customFormat="false" ht="15" hidden="false" customHeight="false" outlineLevel="0" collapsed="false">
      <c r="A10" s="0" t="s">
        <v>113</v>
      </c>
      <c r="C10" s="0" t="n">
        <f aca="false">-C6*C9/100</f>
        <v>-34.09830522</v>
      </c>
      <c r="D10" s="0" t="n">
        <f aca="false">-D6*D9/100</f>
        <v>-39.5540340552</v>
      </c>
      <c r="E10" s="0" t="n">
        <f aca="false">-E6*E9/100</f>
        <v>-41.870770335576</v>
      </c>
      <c r="F10" s="0" t="n">
        <f aca="false">-F6*F9/100</f>
        <v>-43.2879348700109</v>
      </c>
      <c r="G10" s="0" t="n">
        <f aca="false">-G6*G9/100</f>
        <v>-43.6486676605943</v>
      </c>
      <c r="H10" s="0" t="n">
        <f aca="false">-H6*H9/100</f>
        <v>-42.8550555213108</v>
      </c>
      <c r="I10" s="0" t="n">
        <f aca="false">-I6*I9/100</f>
        <v>-45.8549094078025</v>
      </c>
      <c r="J10" s="0" t="n">
        <f aca="false">-J6*J9/100</f>
        <v>-43.7455835750436</v>
      </c>
      <c r="K10" s="0" t="n">
        <f aca="false">-K6*K9/100</f>
        <v>-45.9328627537958</v>
      </c>
      <c r="L10" s="0" t="n">
        <f aca="false">-L6*L9/100</f>
        <v>-47.7701772639476</v>
      </c>
    </row>
    <row r="11" customFormat="false" ht="15" hidden="false" customHeight="false" outlineLevel="0" collapsed="false">
      <c r="A11" s="0" t="s">
        <v>114</v>
      </c>
      <c r="C11" s="0" t="n">
        <f aca="false">C8+C10+C24</f>
        <v>172.92711933</v>
      </c>
      <c r="D11" s="0" t="n">
        <f aca="false">D8+D10+D24</f>
        <v>211.89661101</v>
      </c>
      <c r="E11" s="0" t="n">
        <f aca="false">E8+E10+E24</f>
        <v>257.66627898816</v>
      </c>
      <c r="F11" s="0" t="n">
        <f aca="false">F8+F10+F24</f>
        <v>303.015544090076</v>
      </c>
      <c r="G11" s="0" t="n">
        <f aca="false">G8+G10+G24</f>
        <v>349.189341284755</v>
      </c>
      <c r="H11" s="0" t="n">
        <f aca="false">H8+H10+H24</f>
        <v>389.981005243928</v>
      </c>
      <c r="I11" s="0" t="n">
        <f aca="false">I8+I10+I24</f>
        <v>426.450657492564</v>
      </c>
      <c r="J11" s="0" t="n">
        <f aca="false">J8+J10+J24</f>
        <v>461.758937736572</v>
      </c>
      <c r="K11" s="0" t="n">
        <f aca="false">K8+K10+K24</f>
        <v>484.8468846234</v>
      </c>
      <c r="L11" s="0" t="n">
        <f aca="false">L8+L10+L24</f>
        <v>504.240760008336</v>
      </c>
    </row>
    <row r="12" customFormat="false" ht="15" hidden="false" customHeight="false" outlineLevel="0" collapsed="false">
      <c r="A12" s="0" t="s">
        <v>115</v>
      </c>
      <c r="C12" s="4" t="n">
        <f aca="false">-C6*Assumptions!C31/100</f>
        <v>-77.93898336</v>
      </c>
      <c r="D12" s="4" t="n">
        <f aca="false">-D6*Assumptions!D31/100</f>
        <v>-87.5839325508</v>
      </c>
      <c r="E12" s="4" t="n">
        <f aca="false">-E6*Assumptions!E31/100</f>
        <v>-96.62485462056</v>
      </c>
      <c r="F12" s="4" t="n">
        <f aca="false">-F6*Assumptions!F31/100</f>
        <v>-104.612509269193</v>
      </c>
      <c r="G12" s="4" t="n">
        <f aca="false">-G6*Assumptions!G31/100</f>
        <v>-111.105699499695</v>
      </c>
      <c r="H12" s="4" t="n">
        <f aca="false">-H6*Assumptions!H31/100</f>
        <v>-119.99415545967</v>
      </c>
      <c r="I12" s="4" t="n">
        <f aca="false">-I6*Assumptions!I31/100</f>
        <v>-128.393746341847</v>
      </c>
      <c r="J12" s="4" t="n">
        <f aca="false">-J6*Assumptions!J31/100</f>
        <v>-136.097371122358</v>
      </c>
      <c r="K12" s="4" t="n">
        <f aca="false">-K6*Assumptions!K31/100</f>
        <v>-142.902239678476</v>
      </c>
      <c r="L12" s="4" t="n">
        <f aca="false">-L6*Assumptions!L31/100</f>
        <v>-148.618329265615</v>
      </c>
    </row>
    <row r="13" customFormat="false" ht="15" hidden="false" customHeight="false" outlineLevel="0" collapsed="false">
      <c r="A13" s="0" t="s">
        <v>116</v>
      </c>
      <c r="C13" s="0" t="n">
        <f aca="false">C11+C12</f>
        <v>94.98813597</v>
      </c>
      <c r="D13" s="0" t="n">
        <f aca="false">D11+D12</f>
        <v>124.3126784592</v>
      </c>
      <c r="E13" s="0" t="n">
        <f aca="false">E11+E12</f>
        <v>161.0414243676</v>
      </c>
      <c r="F13" s="0" t="n">
        <f aca="false">F11+F12</f>
        <v>198.403034820883</v>
      </c>
      <c r="G13" s="0" t="n">
        <f aca="false">G11+G12</f>
        <v>238.08364178506</v>
      </c>
      <c r="H13" s="0" t="n">
        <f aca="false">H11+H12</f>
        <v>269.986849784258</v>
      </c>
      <c r="I13" s="0" t="n">
        <f aca="false">I11+I12</f>
        <v>298.056911150717</v>
      </c>
      <c r="J13" s="0" t="n">
        <f aca="false">J11+J12</f>
        <v>325.661566614214</v>
      </c>
      <c r="K13" s="0" t="n">
        <f aca="false">K11+K12</f>
        <v>341.944644944924</v>
      </c>
      <c r="L13" s="0" t="n">
        <f aca="false">L11+L12</f>
        <v>355.622430742721</v>
      </c>
    </row>
    <row r="14" customFormat="false" ht="15" hidden="false" customHeight="false" outlineLevel="0" collapsed="false">
      <c r="A14" s="0" t="s">
        <v>102</v>
      </c>
      <c r="C14" s="4" t="n">
        <f aca="false">Assumptions!C33</f>
        <v>14</v>
      </c>
      <c r="D14" s="4" t="n">
        <f aca="false">Assumptions!D33</f>
        <v>15</v>
      </c>
      <c r="E14" s="4" t="n">
        <f aca="false">Assumptions!E33</f>
        <v>16</v>
      </c>
      <c r="F14" s="4" t="n">
        <f aca="false">Assumptions!F33</f>
        <v>17</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117</v>
      </c>
      <c r="C15" s="0" t="n">
        <f aca="false">C13-MAX(0,C13)*C14/100</f>
        <v>81.6897969342</v>
      </c>
      <c r="D15" s="0" t="n">
        <f aca="false">D13-MAX(0,D13)*D14/100</f>
        <v>105.66577669032</v>
      </c>
      <c r="E15" s="0" t="n">
        <f aca="false">E13-MAX(0,E13)*E14/100</f>
        <v>135.274796468784</v>
      </c>
      <c r="F15" s="0" t="n">
        <f aca="false">F13-MAX(0,F13)*F14/100</f>
        <v>164.674518901333</v>
      </c>
      <c r="G15" s="0" t="n">
        <f aca="false">G13-MAX(0,G13)*G14/100</f>
        <v>195.228586263749</v>
      </c>
      <c r="H15" s="0" t="n">
        <f aca="false">H13-MAX(0,H13)*H14/100</f>
        <v>221.389216823092</v>
      </c>
      <c r="I15" s="0" t="n">
        <f aca="false">I13-MAX(0,I13)*I14/100</f>
        <v>244.406667143588</v>
      </c>
      <c r="J15" s="0" t="n">
        <f aca="false">J13-MAX(0,J13)*J14/100</f>
        <v>267.042484623655</v>
      </c>
      <c r="K15" s="0" t="n">
        <f aca="false">K13-MAX(0,K13)*K14/100</f>
        <v>280.394608854838</v>
      </c>
      <c r="L15" s="0" t="n">
        <f aca="false">L13-MAX(0,L13)*L14/100</f>
        <v>291.610393209031</v>
      </c>
    </row>
    <row r="16" customFormat="false" ht="15" hidden="false" customHeight="false" outlineLevel="0" collapsed="false">
      <c r="A16" s="0" t="s">
        <v>118</v>
      </c>
      <c r="C16" s="0" t="n">
        <f aca="false">-C12</f>
        <v>77.93898336</v>
      </c>
      <c r="D16" s="0" t="n">
        <f aca="false">-D12</f>
        <v>87.5839325508</v>
      </c>
      <c r="E16" s="0" t="n">
        <f aca="false">-E12</f>
        <v>96.62485462056</v>
      </c>
      <c r="F16" s="0" t="n">
        <f aca="false">-F12</f>
        <v>104.612509269193</v>
      </c>
      <c r="G16" s="0" t="n">
        <f aca="false">-G12</f>
        <v>111.105699499695</v>
      </c>
      <c r="H16" s="0" t="n">
        <f aca="false">-H12</f>
        <v>119.99415545967</v>
      </c>
      <c r="I16" s="0" t="n">
        <f aca="false">-I12</f>
        <v>128.393746341847</v>
      </c>
      <c r="J16" s="0" t="n">
        <f aca="false">-J12</f>
        <v>136.097371122358</v>
      </c>
      <c r="K16" s="0" t="n">
        <f aca="false">-K12</f>
        <v>142.902239678476</v>
      </c>
      <c r="L16" s="0" t="n">
        <f aca="false">-L12</f>
        <v>148.618329265615</v>
      </c>
    </row>
    <row r="17" customFormat="false" ht="15" hidden="false" customHeight="false" outlineLevel="0" collapsed="false">
      <c r="A17" s="0" t="s">
        <v>119</v>
      </c>
      <c r="C17" s="4" t="n">
        <f aca="false">-C6*Assumptions!C32/100</f>
        <v>-82.81016982</v>
      </c>
      <c r="D17" s="4" t="n">
        <f aca="false">-D6*Assumptions!D32/100</f>
        <v>-93.2345088444</v>
      </c>
      <c r="E17" s="4" t="n">
        <f aca="false">-E6*Assumptions!E32/100</f>
        <v>-103.066511595264</v>
      </c>
      <c r="F17" s="4" t="n">
        <f aca="false">-F6*Assumptions!F32/100</f>
        <v>-111.827165080861</v>
      </c>
      <c r="G17" s="4" t="n">
        <f aca="false">-G6*Assumptions!G32/100</f>
        <v>-119.04182089253</v>
      </c>
      <c r="H17" s="4" t="n">
        <f aca="false">-H6*Assumptions!H32/100</f>
        <v>-128.565166563932</v>
      </c>
      <c r="I17" s="4" t="n">
        <f aca="false">-I6*Assumptions!I32/100</f>
        <v>-137.564728223408</v>
      </c>
      <c r="J17" s="4" t="n">
        <f aca="false">-J6*Assumptions!J32/100</f>
        <v>-145.818611916812</v>
      </c>
      <c r="K17" s="4" t="n">
        <f aca="false">-K6*Assumptions!K32/100</f>
        <v>-153.109542512653</v>
      </c>
      <c r="L17" s="4" t="n">
        <f aca="false">-L6*Assumptions!L32/100</f>
        <v>-159.233924213159</v>
      </c>
    </row>
    <row r="18" customFormat="false" ht="15" hidden="false" customHeight="false" outlineLevel="0" collapsed="false">
      <c r="A18" s="0" t="s">
        <v>120</v>
      </c>
      <c r="C18" s="4" t="n">
        <f aca="false">(C6-B6)*Assumptions!$B$37/100</f>
        <v>19.4438115</v>
      </c>
      <c r="D18" s="4" t="n">
        <f aca="false">(D6-C6)*Assumptions!$B$37/100</f>
        <v>19.48474584</v>
      </c>
      <c r="E18" s="4" t="n">
        <f aca="false">(E6-D6)*Assumptions!$B$37/100</f>
        <v>19.7770170276</v>
      </c>
      <c r="F18" s="4" t="n">
        <f aca="false">(F6-E6)*Assumptions!$B$37/100</f>
        <v>19.324970924112</v>
      </c>
      <c r="G18" s="4" t="n">
        <f aca="false">(G6-F6)*Assumptions!$B$37/100</f>
        <v>18.0366395291712</v>
      </c>
      <c r="H18" s="4" t="n">
        <f aca="false">(H6-G6)*Assumptions!$B$37/100</f>
        <v>15.8722427856707</v>
      </c>
      <c r="I18" s="4" t="n">
        <f aca="false">(I6-H6)*Assumptions!$B$37/100</f>
        <v>14.9992694324588</v>
      </c>
      <c r="J18" s="4" t="n">
        <f aca="false">(J6-I6)*Assumptions!$B$37/100</f>
        <v>13.7564728223408</v>
      </c>
      <c r="K18" s="4" t="n">
        <f aca="false">(K6-J6)*Assumptions!$B$37/100</f>
        <v>12.1515509930677</v>
      </c>
      <c r="L18" s="4" t="n">
        <f aca="false">(L6-K6)*Assumptions!$B$37/100</f>
        <v>10.2073028341768</v>
      </c>
    </row>
    <row r="19" customFormat="false" ht="15" hidden="false" customHeight="false" outlineLevel="0" collapsed="false">
      <c r="A19" s="0" t="s">
        <v>121</v>
      </c>
      <c r="C19" s="0" t="n">
        <f aca="false">C15+C16+C17+C18</f>
        <v>96.2624219742</v>
      </c>
      <c r="D19" s="0" t="n">
        <f aca="false">D15+D16+D17+D18</f>
        <v>119.49994623672</v>
      </c>
      <c r="E19" s="0" t="n">
        <f aca="false">E15+E16+E17+E18</f>
        <v>148.61015652168</v>
      </c>
      <c r="F19" s="0" t="n">
        <f aca="false">F15+F16+F17+F18</f>
        <v>176.784834013777</v>
      </c>
      <c r="G19" s="0" t="n">
        <f aca="false">G15+G16+G17+G18</f>
        <v>205.329104400085</v>
      </c>
      <c r="H19" s="0" t="n">
        <f aca="false">H15+H16+H17+H18</f>
        <v>228.6904485045</v>
      </c>
      <c r="I19" s="0" t="n">
        <f aca="false">I15+I16+I17+I18</f>
        <v>250.234954694486</v>
      </c>
      <c r="J19" s="0" t="n">
        <f aca="false">J15+J16+J17+J18</f>
        <v>271.077716651542</v>
      </c>
      <c r="K19" s="0" t="n">
        <f aca="false">K15+K16+K17+K18</f>
        <v>282.338857013729</v>
      </c>
      <c r="L19" s="0" t="n">
        <f aca="false">L15+L16+L17+L18</f>
        <v>291.202101095664</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87.1153140038009</v>
      </c>
      <c r="D21" s="0" t="n">
        <f aca="false">D19*D20</f>
        <v>97.8685499778628</v>
      </c>
      <c r="E21" s="0" t="n">
        <f aca="false">E19*E20</f>
        <v>110.144206245887</v>
      </c>
      <c r="F21" s="0" t="n">
        <f aca="false">F19*F20</f>
        <v>118.575753477344</v>
      </c>
      <c r="G21" s="0" t="n">
        <f aca="false">G19*G20</f>
        <v>124.634743073383</v>
      </c>
      <c r="H21" s="0" t="n">
        <f aca="false">H19*H20</f>
        <v>125.624503433566</v>
      </c>
      <c r="I21" s="0" t="n">
        <f aca="false">I19*I20</f>
        <v>124.397607835126</v>
      </c>
      <c r="J21" s="0" t="n">
        <f aca="false">J19*J20</f>
        <v>121.953872298273</v>
      </c>
      <c r="K21" s="0" t="n">
        <f aca="false">K19*K20</f>
        <v>114.950310853877</v>
      </c>
      <c r="L21" s="0" t="n">
        <f aca="false">L19*L20</f>
        <v>107.293082834868</v>
      </c>
    </row>
    <row r="23" customFormat="false" ht="15" hidden="false" customHeight="false" outlineLevel="0" collapsed="false">
      <c r="A23" s="0" t="s">
        <v>99</v>
      </c>
      <c r="C23" s="4" t="n">
        <f aca="false">Assumptions!C30</f>
        <v>0.1</v>
      </c>
      <c r="D23" s="4" t="n">
        <f aca="false">Assumptions!D30</f>
        <v>0.1</v>
      </c>
      <c r="E23" s="4" t="n">
        <f aca="false">Assumptions!E30</f>
        <v>0.1</v>
      </c>
      <c r="F23" s="4" t="n">
        <f aca="false">Assumptions!F30</f>
        <v>0.1</v>
      </c>
      <c r="G23" s="4" t="n">
        <f aca="false">Assumptions!G30</f>
        <v>0.1</v>
      </c>
      <c r="H23" s="4" t="n">
        <f aca="false">Assumptions!H30</f>
        <v>0.1</v>
      </c>
      <c r="I23" s="4" t="n">
        <f aca="false">Assumptions!I30</f>
        <v>0.1</v>
      </c>
      <c r="J23" s="4" t="n">
        <f aca="false">Assumptions!J30</f>
        <v>0.1</v>
      </c>
      <c r="K23" s="4" t="n">
        <f aca="false">Assumptions!K30</f>
        <v>0.1</v>
      </c>
      <c r="L23" s="4" t="n">
        <f aca="false">Assumptions!L30</f>
        <v>0.1</v>
      </c>
    </row>
    <row r="24" customFormat="false" ht="15" hidden="false" customHeight="false" outlineLevel="0" collapsed="false">
      <c r="A24" s="0" t="s">
        <v>124</v>
      </c>
      <c r="C24" s="0" t="n">
        <f aca="false">-C6*C23/100</f>
        <v>-2.43559323</v>
      </c>
      <c r="D24" s="0" t="n">
        <f aca="false">-D6*D23/100</f>
        <v>-2.8252881468</v>
      </c>
      <c r="E24" s="0" t="n">
        <f aca="false">-E6*E23/100</f>
        <v>-3.220828487352</v>
      </c>
      <c r="F24" s="0" t="n">
        <f aca="false">-F6*F23/100</f>
        <v>-3.60732790583424</v>
      </c>
      <c r="G24" s="0" t="n">
        <f aca="false">-G6*G23/100</f>
        <v>-3.96806069641767</v>
      </c>
      <c r="H24" s="0" t="n">
        <f aca="false">-H6*H23/100</f>
        <v>-4.28550555213108</v>
      </c>
      <c r="I24" s="0" t="n">
        <f aca="false">-I6*I23/100</f>
        <v>-4.58549094078025</v>
      </c>
      <c r="J24" s="0" t="n">
        <f aca="false">-J6*J23/100</f>
        <v>-4.86062039722707</v>
      </c>
      <c r="K24" s="0" t="n">
        <f aca="false">-K6*K23/100</f>
        <v>-5.10365141708842</v>
      </c>
      <c r="L24" s="0" t="n">
        <f aca="false">-L6*L23/100</f>
        <v>-5.30779747377196</v>
      </c>
    </row>
    <row r="26" customFormat="false" ht="15" hidden="false" customHeight="false" outlineLevel="0" collapsed="false">
      <c r="A26" s="2" t="s">
        <v>125</v>
      </c>
    </row>
    <row r="27" customFormat="false" ht="15" hidden="false" customHeight="false" outlineLevel="0" collapsed="false">
      <c r="A27" s="0" t="s">
        <v>103</v>
      </c>
      <c r="B27" s="4" t="n">
        <f aca="false">Assumptions!$B$34</f>
        <v>10.5</v>
      </c>
    </row>
    <row r="28" customFormat="false" ht="15" hidden="false" customHeight="false" outlineLevel="0" collapsed="false">
      <c r="A28" s="0" t="s">
        <v>104</v>
      </c>
      <c r="B28" s="4" t="n">
        <f aca="false">Assumptions!$B$35</f>
        <v>3</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1132.55794403399</v>
      </c>
    </row>
    <row r="31" customFormat="false" ht="15" hidden="false" customHeight="false" outlineLevel="0" collapsed="false">
      <c r="A31" s="0" t="s">
        <v>127</v>
      </c>
      <c r="B31" s="0" t="n">
        <f aca="false">L19</f>
        <v>291.202101095664</v>
      </c>
    </row>
    <row r="32" customFormat="false" ht="15" hidden="false" customHeight="false" outlineLevel="0" collapsed="false">
      <c r="A32" s="0" t="s">
        <v>128</v>
      </c>
      <c r="B32" s="0" t="n">
        <f aca="false">IF(B27&gt;B28,B31*(1+B28/100)/((B27-B28)/100),B31*B29)</f>
        <v>3999.17552171379</v>
      </c>
    </row>
    <row r="33" customFormat="false" ht="15" hidden="false" customHeight="false" outlineLevel="0" collapsed="false">
      <c r="A33" s="0" t="s">
        <v>129</v>
      </c>
      <c r="B33" s="0" t="n">
        <f aca="false">B31*B29</f>
        <v>4368.03151643496</v>
      </c>
    </row>
    <row r="34" customFormat="false" ht="15" hidden="false" customHeight="false" outlineLevel="0" collapsed="false">
      <c r="A34" s="0" t="s">
        <v>130</v>
      </c>
      <c r="B34" s="0" t="n">
        <f aca="false">MAX(0,MIN(B32,B33))</f>
        <v>3999.17552171379</v>
      </c>
    </row>
    <row r="35" customFormat="false" ht="15" hidden="false" customHeight="false" outlineLevel="0" collapsed="false">
      <c r="A35" s="0" t="s">
        <v>131</v>
      </c>
      <c r="B35" s="0" t="n">
        <f aca="false">B34/(1+B27/100)^L4</f>
        <v>1473.49167093218</v>
      </c>
    </row>
    <row r="36" customFormat="false" ht="15" hidden="false" customHeight="false" outlineLevel="0" collapsed="false">
      <c r="A36" s="0" t="s">
        <v>132</v>
      </c>
      <c r="B36" s="0" t="n">
        <f aca="false">B30+B35</f>
        <v>2606.04961496617</v>
      </c>
    </row>
    <row r="37" customFormat="false" ht="15" hidden="false" customHeight="false" outlineLevel="0" collapsed="false">
      <c r="A37" s="0" t="s">
        <v>133</v>
      </c>
      <c r="B37" s="0" t="n">
        <f aca="false">B36+Assumptions!$B$5-Assumptions!$B$4</f>
        <v>2873.77961496617</v>
      </c>
    </row>
    <row r="38" customFormat="false" ht="15" hidden="false" customHeight="false" outlineLevel="0" collapsed="false">
      <c r="A38" s="0" t="s">
        <v>134</v>
      </c>
      <c r="B38" s="0" t="n">
        <f aca="false">B37/Assumptions!$B$3*Assumptions!$B$10</f>
        <v>12.9185101616984</v>
      </c>
    </row>
    <row r="39" customFormat="false" ht="15" hidden="false" customHeight="false" outlineLevel="0" collapsed="false">
      <c r="A39" s="0" t="s">
        <v>135</v>
      </c>
      <c r="B39" s="4" t="n">
        <f aca="false">B38/Assumptions!$B$2-1</f>
        <v>0.185184418504438</v>
      </c>
    </row>
    <row r="41" customFormat="false" ht="15" hidden="false" customHeight="false" outlineLevel="0" collapsed="false">
      <c r="A41" s="0" t="s">
        <v>136</v>
      </c>
      <c r="B41" s="0" t="n">
        <f aca="false">SUMPRODUCT(-C10:L10/(1+$B$27/100)^C4:L4)</f>
        <v>252.133819457389</v>
      </c>
    </row>
    <row r="42" customFormat="false" ht="15" hidden="false" customHeight="false" outlineLevel="0" collapsed="false">
      <c r="A42" s="0" t="s">
        <v>137</v>
      </c>
      <c r="B42" s="0" t="n">
        <f aca="false">IF(B27&gt;B28,-L10*(1+B28/100)/((B27-B28)/100),-L10*20)/(1+B27/100)^L4</f>
        <v>241.718579819783</v>
      </c>
    </row>
    <row r="43" customFormat="false" ht="15" hidden="false" customHeight="false" outlineLevel="0" collapsed="false">
      <c r="A43" s="0" t="s">
        <v>138</v>
      </c>
      <c r="B43" s="0" t="n">
        <f aca="false">(B37+B41+B42)/Assumptions!$B$3*Assumptions!$B$10</f>
        <v>15.1385263401193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2499.48470107112</v>
      </c>
    </row>
    <row r="47" customFormat="false" ht="15" hidden="false" customHeight="false" outlineLevel="0" collapsed="false">
      <c r="A47" s="0" t="s">
        <v>140</v>
      </c>
      <c r="B47" s="0" t="n">
        <f aca="false">(SUMPRODUCT(C19:L19/(1+B45/100)^C4:L4)+B46/(1+B45/100)^L4+Assumptions!$B$5-Assumptions!$B$4)/Assumptions!$B$3*Assumptions!$B$10</f>
        <v>8.06593260756051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22</v>
      </c>
      <c r="D5" s="4" t="n">
        <f aca="false">Assumptions!D41</f>
        <v>21</v>
      </c>
      <c r="E5" s="4" t="n">
        <f aca="false">Assumptions!E41</f>
        <v>18</v>
      </c>
      <c r="F5" s="4" t="n">
        <f aca="false">Assumptions!F41</f>
        <v>15</v>
      </c>
      <c r="G5" s="4" t="n">
        <f aca="false">Assumptions!G41</f>
        <v>13</v>
      </c>
      <c r="H5" s="4" t="n">
        <f aca="false">Assumptions!H41</f>
        <v>11</v>
      </c>
      <c r="I5" s="4" t="n">
        <f aca="false">Assumptions!I41</f>
        <v>9</v>
      </c>
      <c r="J5" s="4" t="n">
        <f aca="false">Assumptions!J41</f>
        <v>7</v>
      </c>
      <c r="K5" s="4" t="n">
        <f aca="false">Assumptions!K41</f>
        <v>5</v>
      </c>
      <c r="L5" s="4" t="n">
        <f aca="false">Assumptions!L41</f>
        <v>4</v>
      </c>
    </row>
    <row r="6" customFormat="false" ht="15" hidden="false" customHeight="false" outlineLevel="0" collapsed="false">
      <c r="A6" s="0" t="s">
        <v>38</v>
      </c>
      <c r="B6" s="3" t="n">
        <v>2046.717</v>
      </c>
      <c r="C6" s="0" t="n">
        <f aca="false">B6*(1+C5/100)</f>
        <v>2496.99474</v>
      </c>
      <c r="D6" s="0" t="n">
        <f aca="false">C6*(1+D5/100)</f>
        <v>3021.3636354</v>
      </c>
      <c r="E6" s="0" t="n">
        <f aca="false">D6*(1+E5/100)</f>
        <v>3565.209089772</v>
      </c>
      <c r="F6" s="0" t="n">
        <f aca="false">E6*(1+F5/100)</f>
        <v>4099.9904532378</v>
      </c>
      <c r="G6" s="0" t="n">
        <f aca="false">F6*(1+G5/100)</f>
        <v>4632.98921215871</v>
      </c>
      <c r="H6" s="0" t="n">
        <f aca="false">G6*(1+H5/100)</f>
        <v>5142.61802549617</v>
      </c>
      <c r="I6" s="0" t="n">
        <f aca="false">H6*(1+I5/100)</f>
        <v>5605.45364779083</v>
      </c>
      <c r="J6" s="0" t="n">
        <f aca="false">I6*(1+J5/100)</f>
        <v>5997.83540313619</v>
      </c>
      <c r="K6" s="0" t="n">
        <f aca="false">J6*(1+K5/100)</f>
        <v>6297.727173293</v>
      </c>
      <c r="L6" s="0" t="n">
        <f aca="false">K6*(1+L5/100)</f>
        <v>6549.63626022472</v>
      </c>
    </row>
    <row r="7" customFormat="false" ht="15" hidden="false" customHeight="false" outlineLevel="0" collapsed="false">
      <c r="A7" s="0" t="s">
        <v>97</v>
      </c>
      <c r="C7" s="4" t="n">
        <f aca="false">Assumptions!C42</f>
        <v>8.8</v>
      </c>
      <c r="D7" s="4" t="n">
        <f aca="false">Assumptions!D42</f>
        <v>9.6</v>
      </c>
      <c r="E7" s="4" t="n">
        <f aca="false">Assumptions!E42</f>
        <v>10.4</v>
      </c>
      <c r="F7" s="4" t="n">
        <f aca="false">Assumptions!F42</f>
        <v>11.2</v>
      </c>
      <c r="G7" s="4" t="n">
        <f aca="false">Assumptions!G42</f>
        <v>11.8</v>
      </c>
      <c r="H7" s="4" t="n">
        <f aca="false">Assumptions!H42</f>
        <v>12.3</v>
      </c>
      <c r="I7" s="4" t="n">
        <f aca="false">Assumptions!I42</f>
        <v>12.6</v>
      </c>
      <c r="J7" s="4" t="n">
        <f aca="false">Assumptions!J42</f>
        <v>12.8</v>
      </c>
      <c r="K7" s="4" t="n">
        <f aca="false">Assumptions!K42</f>
        <v>13</v>
      </c>
      <c r="L7" s="4" t="n">
        <f aca="false">Assumptions!L42</f>
        <v>13</v>
      </c>
    </row>
    <row r="8" customFormat="false" ht="15" hidden="false" customHeight="false" outlineLevel="0" collapsed="false">
      <c r="A8" s="0" t="s">
        <v>44</v>
      </c>
      <c r="C8" s="0" t="n">
        <f aca="false">C6*C7/100</f>
        <v>219.73553712</v>
      </c>
      <c r="D8" s="0" t="n">
        <f aca="false">D6*D7/100</f>
        <v>290.0509089984</v>
      </c>
      <c r="E8" s="0" t="n">
        <f aca="false">E6*E7/100</f>
        <v>370.781745336288</v>
      </c>
      <c r="F8" s="0" t="n">
        <f aca="false">F6*F7/100</f>
        <v>459.198930762634</v>
      </c>
      <c r="G8" s="0" t="n">
        <f aca="false">G6*G7/100</f>
        <v>546.692727034728</v>
      </c>
      <c r="H8" s="0" t="n">
        <f aca="false">H6*H7/100</f>
        <v>632.542017136029</v>
      </c>
      <c r="I8" s="0" t="n">
        <f aca="false">I6*I7/100</f>
        <v>706.287159621644</v>
      </c>
      <c r="J8" s="0" t="n">
        <f aca="false">J6*J7/100</f>
        <v>767.722931601432</v>
      </c>
      <c r="K8" s="0" t="n">
        <f aca="false">K6*K7/100</f>
        <v>818.704532528089</v>
      </c>
      <c r="L8" s="0" t="n">
        <f aca="false">L6*L7/100</f>
        <v>851.452713829213</v>
      </c>
    </row>
    <row r="9" customFormat="false" ht="15" hidden="false" customHeight="false" outlineLevel="0" collapsed="false">
      <c r="A9" s="0" t="s">
        <v>98</v>
      </c>
      <c r="C9" s="4" t="n">
        <f aca="false">Assumptions!C43</f>
        <v>1.4</v>
      </c>
      <c r="D9" s="4" t="n">
        <f aca="false">Assumptions!D43</f>
        <v>1.4</v>
      </c>
      <c r="E9" s="4" t="n">
        <f aca="false">Assumptions!E43</f>
        <v>1.3</v>
      </c>
      <c r="F9" s="4" t="n">
        <f aca="false">Assumptions!F43</f>
        <v>1.2</v>
      </c>
      <c r="G9" s="4" t="n">
        <f aca="false">Assumptions!G43</f>
        <v>1.1</v>
      </c>
      <c r="H9" s="4" t="n">
        <f aca="false">Assumptions!H43</f>
        <v>1</v>
      </c>
      <c r="I9" s="4" t="n">
        <f aca="false">Assumptions!I43</f>
        <v>1</v>
      </c>
      <c r="J9" s="4" t="n">
        <f aca="false">Assumptions!J43</f>
        <v>0.9</v>
      </c>
      <c r="K9" s="4" t="n">
        <f aca="false">Assumptions!K43</f>
        <v>0.9</v>
      </c>
      <c r="L9" s="4" t="n">
        <f aca="false">Assumptions!L43</f>
        <v>0.9</v>
      </c>
    </row>
    <row r="10" customFormat="false" ht="15" hidden="false" customHeight="false" outlineLevel="0" collapsed="false">
      <c r="A10" s="0" t="s">
        <v>113</v>
      </c>
      <c r="C10" s="0" t="n">
        <f aca="false">-C6*C9/100</f>
        <v>-34.95792636</v>
      </c>
      <c r="D10" s="0" t="n">
        <f aca="false">-D6*D9/100</f>
        <v>-42.2990908956</v>
      </c>
      <c r="E10" s="0" t="n">
        <f aca="false">-E6*E9/100</f>
        <v>-46.347718167036</v>
      </c>
      <c r="F10" s="0" t="n">
        <f aca="false">-F6*F9/100</f>
        <v>-49.1998854388536</v>
      </c>
      <c r="G10" s="0" t="n">
        <f aca="false">-G6*G9/100</f>
        <v>-50.9628813337459</v>
      </c>
      <c r="H10" s="0" t="n">
        <f aca="false">-H6*H9/100</f>
        <v>-51.4261802549617</v>
      </c>
      <c r="I10" s="0" t="n">
        <f aca="false">-I6*I9/100</f>
        <v>-56.0545364779083</v>
      </c>
      <c r="J10" s="0" t="n">
        <f aca="false">-J6*J9/100</f>
        <v>-53.9805186282257</v>
      </c>
      <c r="K10" s="0" t="n">
        <f aca="false">-K6*K9/100</f>
        <v>-56.679544559637</v>
      </c>
      <c r="L10" s="0" t="n">
        <f aca="false">-L6*L9/100</f>
        <v>-58.9467263420224</v>
      </c>
    </row>
    <row r="11" customFormat="false" ht="15" hidden="false" customHeight="false" outlineLevel="0" collapsed="false">
      <c r="A11" s="0" t="s">
        <v>114</v>
      </c>
      <c r="C11" s="0" t="n">
        <f aca="false">C8+C10+C24</f>
        <v>182.28061602</v>
      </c>
      <c r="D11" s="0" t="n">
        <f aca="false">D8+D10+D24</f>
        <v>244.7304544674</v>
      </c>
      <c r="E11" s="0" t="n">
        <f aca="false">E8+E10+E24</f>
        <v>320.86881807948</v>
      </c>
      <c r="F11" s="0" t="n">
        <f aca="false">F8+F10+F24</f>
        <v>405.899054870542</v>
      </c>
      <c r="G11" s="0" t="n">
        <f aca="false">G8+G10+G24</f>
        <v>491.096856488824</v>
      </c>
      <c r="H11" s="0" t="n">
        <f aca="false">H8+H10+H24</f>
        <v>575.973218855571</v>
      </c>
      <c r="I11" s="0" t="n">
        <f aca="false">I8+I10+I24</f>
        <v>644.627169495945</v>
      </c>
      <c r="J11" s="0" t="n">
        <f aca="false">J8+J10+J24</f>
        <v>707.74457757007</v>
      </c>
      <c r="K11" s="0" t="n">
        <f aca="false">K8+K10+K24</f>
        <v>755.72726079516</v>
      </c>
      <c r="L11" s="0" t="n">
        <f aca="false">L8+L10+L24</f>
        <v>785.956351226966</v>
      </c>
    </row>
    <row r="12" customFormat="false" ht="15" hidden="false" customHeight="false" outlineLevel="0" collapsed="false">
      <c r="A12" s="0" t="s">
        <v>115</v>
      </c>
      <c r="C12" s="4" t="n">
        <f aca="false">-C6*Assumptions!C45/100</f>
        <v>-79.90383168</v>
      </c>
      <c r="D12" s="4" t="n">
        <f aca="false">-D6*Assumptions!D45/100</f>
        <v>-93.6622726974</v>
      </c>
      <c r="E12" s="4" t="n">
        <f aca="false">-E6*Assumptions!E45/100</f>
        <v>-106.95627269316</v>
      </c>
      <c r="F12" s="4" t="n">
        <f aca="false">-F6*Assumptions!F45/100</f>
        <v>-118.899723143896</v>
      </c>
      <c r="G12" s="4" t="n">
        <f aca="false">-G6*Assumptions!G45/100</f>
        <v>-129.723697940444</v>
      </c>
      <c r="H12" s="4" t="n">
        <f aca="false">-H6*Assumptions!H45/100</f>
        <v>-143.993304713893</v>
      </c>
      <c r="I12" s="4" t="n">
        <f aca="false">-I6*Assumptions!I45/100</f>
        <v>-156.952702138143</v>
      </c>
      <c r="J12" s="4" t="n">
        <f aca="false">-J6*Assumptions!J45/100</f>
        <v>-167.939391287813</v>
      </c>
      <c r="K12" s="4" t="n">
        <f aca="false">-K6*Assumptions!K45/100</f>
        <v>-176.336360852204</v>
      </c>
      <c r="L12" s="4" t="n">
        <f aca="false">-L6*Assumptions!L45/100</f>
        <v>-183.389815286292</v>
      </c>
    </row>
    <row r="13" customFormat="false" ht="15" hidden="false" customHeight="false" outlineLevel="0" collapsed="false">
      <c r="A13" s="0" t="s">
        <v>116</v>
      </c>
      <c r="C13" s="0" t="n">
        <f aca="false">C11+C12</f>
        <v>102.37678434</v>
      </c>
      <c r="D13" s="0" t="n">
        <f aca="false">D11+D12</f>
        <v>151.06818177</v>
      </c>
      <c r="E13" s="0" t="n">
        <f aca="false">E11+E12</f>
        <v>213.91254538632</v>
      </c>
      <c r="F13" s="0" t="n">
        <f aca="false">F11+F12</f>
        <v>286.999331726646</v>
      </c>
      <c r="G13" s="0" t="n">
        <f aca="false">G11+G12</f>
        <v>361.37315854838</v>
      </c>
      <c r="H13" s="0" t="n">
        <f aca="false">H11+H12</f>
        <v>431.979914141678</v>
      </c>
      <c r="I13" s="0" t="n">
        <f aca="false">I11+I12</f>
        <v>487.674467357802</v>
      </c>
      <c r="J13" s="0" t="n">
        <f aca="false">J11+J12</f>
        <v>539.805186282257</v>
      </c>
      <c r="K13" s="0" t="n">
        <f aca="false">K11+K12</f>
        <v>579.390899942956</v>
      </c>
      <c r="L13" s="0" t="n">
        <f aca="false">L11+L12</f>
        <v>602.566535940674</v>
      </c>
    </row>
    <row r="14" customFormat="false" ht="15" hidden="false" customHeight="false" outlineLevel="0" collapsed="false">
      <c r="A14" s="0" t="s">
        <v>102</v>
      </c>
      <c r="C14" s="4" t="n">
        <f aca="false">Assumptions!C47</f>
        <v>14</v>
      </c>
      <c r="D14" s="4" t="n">
        <f aca="false">Assumptions!D47</f>
        <v>15</v>
      </c>
      <c r="E14" s="4" t="n">
        <f aca="false">Assumptions!E47</f>
        <v>16</v>
      </c>
      <c r="F14" s="4" t="n">
        <f aca="false">Assumptions!F47</f>
        <v>17</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117</v>
      </c>
      <c r="C15" s="0" t="n">
        <f aca="false">C13-MAX(0,C13)*C14/100</f>
        <v>88.0440345324</v>
      </c>
      <c r="D15" s="0" t="n">
        <f aca="false">D13-MAX(0,D13)*D14/100</f>
        <v>128.4079545045</v>
      </c>
      <c r="E15" s="0" t="n">
        <f aca="false">E13-MAX(0,E13)*E14/100</f>
        <v>179.686538124509</v>
      </c>
      <c r="F15" s="0" t="n">
        <f aca="false">F13-MAX(0,F13)*F14/100</f>
        <v>238.209445333116</v>
      </c>
      <c r="G15" s="0" t="n">
        <f aca="false">G13-MAX(0,G13)*G14/100</f>
        <v>296.325990009671</v>
      </c>
      <c r="H15" s="0" t="n">
        <f aca="false">H13-MAX(0,H13)*H14/100</f>
        <v>354.223529596176</v>
      </c>
      <c r="I15" s="0" t="n">
        <f aca="false">I13-MAX(0,I13)*I14/100</f>
        <v>399.893063233398</v>
      </c>
      <c r="J15" s="0" t="n">
        <f aca="false">J13-MAX(0,J13)*J14/100</f>
        <v>442.640252751451</v>
      </c>
      <c r="K15" s="0" t="n">
        <f aca="false">K13-MAX(0,K13)*K14/100</f>
        <v>475.100537953224</v>
      </c>
      <c r="L15" s="0" t="n">
        <f aca="false">L13-MAX(0,L13)*L14/100</f>
        <v>494.104559471353</v>
      </c>
    </row>
    <row r="16" customFormat="false" ht="15" hidden="false" customHeight="false" outlineLevel="0" collapsed="false">
      <c r="A16" s="0" t="s">
        <v>118</v>
      </c>
      <c r="C16" s="0" t="n">
        <f aca="false">-C12</f>
        <v>79.90383168</v>
      </c>
      <c r="D16" s="0" t="n">
        <f aca="false">-D12</f>
        <v>93.6622726974</v>
      </c>
      <c r="E16" s="0" t="n">
        <f aca="false">-E12</f>
        <v>106.95627269316</v>
      </c>
      <c r="F16" s="0" t="n">
        <f aca="false">-F12</f>
        <v>118.899723143896</v>
      </c>
      <c r="G16" s="0" t="n">
        <f aca="false">-G12</f>
        <v>129.723697940444</v>
      </c>
      <c r="H16" s="0" t="n">
        <f aca="false">-H12</f>
        <v>143.993304713893</v>
      </c>
      <c r="I16" s="0" t="n">
        <f aca="false">-I12</f>
        <v>156.952702138143</v>
      </c>
      <c r="J16" s="0" t="n">
        <f aca="false">-J12</f>
        <v>167.939391287813</v>
      </c>
      <c r="K16" s="0" t="n">
        <f aca="false">-K12</f>
        <v>176.336360852204</v>
      </c>
      <c r="L16" s="0" t="n">
        <f aca="false">-L12</f>
        <v>183.389815286292</v>
      </c>
    </row>
    <row r="17" customFormat="false" ht="15" hidden="false" customHeight="false" outlineLevel="0" collapsed="false">
      <c r="A17" s="0" t="s">
        <v>119</v>
      </c>
      <c r="C17" s="4" t="n">
        <f aca="false">-C6*Assumptions!C46/100</f>
        <v>-84.89782116</v>
      </c>
      <c r="D17" s="4" t="n">
        <f aca="false">-D6*Assumptions!D46/100</f>
        <v>-99.7049999682</v>
      </c>
      <c r="E17" s="4" t="n">
        <f aca="false">-E6*Assumptions!E46/100</f>
        <v>-114.086690872704</v>
      </c>
      <c r="F17" s="4" t="n">
        <f aca="false">-F6*Assumptions!F46/100</f>
        <v>-127.099704050372</v>
      </c>
      <c r="G17" s="4" t="n">
        <f aca="false">-G6*Assumptions!G46/100</f>
        <v>-138.989676364761</v>
      </c>
      <c r="H17" s="4" t="n">
        <f aca="false">-H6*Assumptions!H46/100</f>
        <v>-154.278540764885</v>
      </c>
      <c r="I17" s="4" t="n">
        <f aca="false">-I6*Assumptions!I46/100</f>
        <v>-168.163609433725</v>
      </c>
      <c r="J17" s="4" t="n">
        <f aca="false">-J6*Assumptions!J46/100</f>
        <v>-179.935062094086</v>
      </c>
      <c r="K17" s="4" t="n">
        <f aca="false">-K6*Assumptions!K46/100</f>
        <v>-188.93181519879</v>
      </c>
      <c r="L17" s="4" t="n">
        <f aca="false">-L6*Assumptions!L46/100</f>
        <v>-196.489087806741</v>
      </c>
    </row>
    <row r="18" customFormat="false" ht="15" hidden="false" customHeight="false" outlineLevel="0" collapsed="false">
      <c r="A18" s="0" t="s">
        <v>120</v>
      </c>
      <c r="C18" s="4" t="n">
        <f aca="false">(C6-B6)*Assumptions!$B$51/100</f>
        <v>22.513887</v>
      </c>
      <c r="D18" s="4" t="n">
        <f aca="false">(D6-C6)*Assumptions!$B$51/100</f>
        <v>26.21844477</v>
      </c>
      <c r="E18" s="4" t="n">
        <f aca="false">(E6-D6)*Assumptions!$B$51/100</f>
        <v>27.1922727186</v>
      </c>
      <c r="F18" s="4" t="n">
        <f aca="false">(F6-E6)*Assumptions!$B$51/100</f>
        <v>26.73906817329</v>
      </c>
      <c r="G18" s="4" t="n">
        <f aca="false">(G6-F6)*Assumptions!$B$51/100</f>
        <v>26.6499379460457</v>
      </c>
      <c r="H18" s="4" t="n">
        <f aca="false">(H6-G6)*Assumptions!$B$51/100</f>
        <v>25.481440666873</v>
      </c>
      <c r="I18" s="4" t="n">
        <f aca="false">(I6-H6)*Assumptions!$B$51/100</f>
        <v>23.1417811147328</v>
      </c>
      <c r="J18" s="4" t="n">
        <f aca="false">(J6-I6)*Assumptions!$B$51/100</f>
        <v>19.6190877672679</v>
      </c>
      <c r="K18" s="4" t="n">
        <f aca="false">(K6-J6)*Assumptions!$B$51/100</f>
        <v>14.9945885078405</v>
      </c>
      <c r="L18" s="4" t="n">
        <f aca="false">(L6-K6)*Assumptions!$B$51/100</f>
        <v>12.595454346586</v>
      </c>
    </row>
    <row r="19" customFormat="false" ht="15" hidden="false" customHeight="false" outlineLevel="0" collapsed="false">
      <c r="A19" s="0" t="s">
        <v>121</v>
      </c>
      <c r="C19" s="0" t="n">
        <f aca="false">C15+C16+C17+C18</f>
        <v>105.5639320524</v>
      </c>
      <c r="D19" s="0" t="n">
        <f aca="false">D15+D16+D17+D18</f>
        <v>148.5836720037</v>
      </c>
      <c r="E19" s="0" t="n">
        <f aca="false">E15+E16+E17+E18</f>
        <v>199.748392663565</v>
      </c>
      <c r="F19" s="0" t="n">
        <f aca="false">F15+F16+F17+F18</f>
        <v>256.748532599931</v>
      </c>
      <c r="G19" s="0" t="n">
        <f aca="false">G15+G16+G17+G18</f>
        <v>313.7099495314</v>
      </c>
      <c r="H19" s="0" t="n">
        <f aca="false">H15+H16+H17+H18</f>
        <v>369.419734212057</v>
      </c>
      <c r="I19" s="0" t="n">
        <f aca="false">I15+I16+I17+I18</f>
        <v>411.823937052549</v>
      </c>
      <c r="J19" s="0" t="n">
        <f aca="false">J15+J16+J17+J18</f>
        <v>450.263669712446</v>
      </c>
      <c r="K19" s="0" t="n">
        <f aca="false">K15+K16+K17+K18</f>
        <v>477.499672114478</v>
      </c>
      <c r="L19" s="0" t="n">
        <f aca="false">L15+L16+L17+L18</f>
        <v>493.600741297489</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95.5329701831674</v>
      </c>
      <c r="D21" s="0" t="n">
        <f aca="false">D19*D20</f>
        <v>121.6876575039</v>
      </c>
      <c r="E21" s="0" t="n">
        <f aca="false">E19*E20</f>
        <v>148.045925485655</v>
      </c>
      <c r="F21" s="0" t="n">
        <f aca="false">F19*F20</f>
        <v>172.210194822859</v>
      </c>
      <c r="G21" s="0" t="n">
        <f aca="false">G19*G20</f>
        <v>190.421903770763</v>
      </c>
      <c r="H21" s="0" t="n">
        <f aca="false">H19*H20</f>
        <v>202.93007850757</v>
      </c>
      <c r="I21" s="0" t="n">
        <f aca="false">I19*I20</f>
        <v>204.727243966087</v>
      </c>
      <c r="J21" s="0" t="n">
        <f aca="false">J19*J20</f>
        <v>202.566993535842</v>
      </c>
      <c r="K21" s="0" t="n">
        <f aca="false">K19*K20</f>
        <v>194.407303063903</v>
      </c>
      <c r="L21" s="0" t="n">
        <f aca="false">L19*L20</f>
        <v>181.866631539123</v>
      </c>
    </row>
    <row r="23" customFormat="false" ht="15" hidden="false" customHeight="false" outlineLevel="0" collapsed="false">
      <c r="A23" s="0" t="s">
        <v>99</v>
      </c>
      <c r="C23" s="4" t="n">
        <f aca="false">Assumptions!C44</f>
        <v>0.1</v>
      </c>
      <c r="D23" s="4" t="n">
        <f aca="false">Assumptions!D44</f>
        <v>0.1</v>
      </c>
      <c r="E23" s="4" t="n">
        <f aca="false">Assumptions!E44</f>
        <v>0.1</v>
      </c>
      <c r="F23" s="4" t="n">
        <f aca="false">Assumptions!F44</f>
        <v>0.1</v>
      </c>
      <c r="G23" s="4" t="n">
        <f aca="false">Assumptions!G44</f>
        <v>0.1</v>
      </c>
      <c r="H23" s="4" t="n">
        <f aca="false">Assumptions!H44</f>
        <v>0.1</v>
      </c>
      <c r="I23" s="4" t="n">
        <f aca="false">Assumptions!I44</f>
        <v>0.1</v>
      </c>
      <c r="J23" s="4" t="n">
        <f aca="false">Assumptions!J44</f>
        <v>0.1</v>
      </c>
      <c r="K23" s="4" t="n">
        <f aca="false">Assumptions!K44</f>
        <v>0.1</v>
      </c>
      <c r="L23" s="4" t="n">
        <f aca="false">Assumptions!L44</f>
        <v>0.1</v>
      </c>
    </row>
    <row r="24" customFormat="false" ht="15" hidden="false" customHeight="false" outlineLevel="0" collapsed="false">
      <c r="A24" s="0" t="s">
        <v>124</v>
      </c>
      <c r="C24" s="0" t="n">
        <f aca="false">-C6*C23/100</f>
        <v>-2.49699474</v>
      </c>
      <c r="D24" s="0" t="n">
        <f aca="false">-D6*D23/100</f>
        <v>-3.0213636354</v>
      </c>
      <c r="E24" s="0" t="n">
        <f aca="false">-E6*E23/100</f>
        <v>-3.565209089772</v>
      </c>
      <c r="F24" s="0" t="n">
        <f aca="false">-F6*F23/100</f>
        <v>-4.0999904532378</v>
      </c>
      <c r="G24" s="0" t="n">
        <f aca="false">-G6*G23/100</f>
        <v>-4.63298921215871</v>
      </c>
      <c r="H24" s="0" t="n">
        <f aca="false">-H6*H23/100</f>
        <v>-5.14261802549617</v>
      </c>
      <c r="I24" s="0" t="n">
        <f aca="false">-I6*I23/100</f>
        <v>-5.60545364779083</v>
      </c>
      <c r="J24" s="0" t="n">
        <f aca="false">-J6*J23/100</f>
        <v>-5.99783540313619</v>
      </c>
      <c r="K24" s="0" t="n">
        <f aca="false">-K6*K23/100</f>
        <v>-6.297727173293</v>
      </c>
      <c r="L24" s="0" t="n">
        <f aca="false">-L6*L23/100</f>
        <v>-6.54963626022472</v>
      </c>
    </row>
    <row r="26" customFormat="false" ht="15" hidden="false" customHeight="false" outlineLevel="0" collapsed="false">
      <c r="A26" s="2" t="s">
        <v>125</v>
      </c>
    </row>
    <row r="27" customFormat="false" ht="15" hidden="false" customHeight="false" outlineLevel="0" collapsed="false">
      <c r="A27" s="0" t="s">
        <v>103</v>
      </c>
      <c r="B27" s="4" t="n">
        <f aca="false">Assumptions!$B$48</f>
        <v>10.5</v>
      </c>
    </row>
    <row r="28" customFormat="false" ht="15" hidden="false" customHeight="false" outlineLevel="0" collapsed="false">
      <c r="A28" s="0" t="s">
        <v>104</v>
      </c>
      <c r="B28" s="4" t="n">
        <f aca="false">Assumptions!$B$49</f>
        <v>3.5</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1714.39690237887</v>
      </c>
    </row>
    <row r="31" customFormat="false" ht="15" hidden="false" customHeight="false" outlineLevel="0" collapsed="false">
      <c r="A31" s="0" t="s">
        <v>127</v>
      </c>
      <c r="B31" s="0" t="n">
        <f aca="false">L19</f>
        <v>493.600741297489</v>
      </c>
    </row>
    <row r="32" customFormat="false" ht="15" hidden="false" customHeight="false" outlineLevel="0" collapsed="false">
      <c r="A32" s="0" t="s">
        <v>128</v>
      </c>
      <c r="B32" s="0" t="n">
        <f aca="false">IF(B27&gt;B28,B31*(1+B28/100)/((B27-B28)/100),B31*B29)</f>
        <v>7298.23953204145</v>
      </c>
    </row>
    <row r="33" customFormat="false" ht="15" hidden="false" customHeight="false" outlineLevel="0" collapsed="false">
      <c r="A33" s="0" t="s">
        <v>129</v>
      </c>
      <c r="B33" s="0" t="n">
        <f aca="false">B31*B29</f>
        <v>7404.01111946234</v>
      </c>
    </row>
    <row r="34" customFormat="false" ht="15" hidden="false" customHeight="false" outlineLevel="0" collapsed="false">
      <c r="A34" s="0" t="s">
        <v>130</v>
      </c>
      <c r="B34" s="0" t="n">
        <f aca="false">MAX(0,MIN(B32,B33))</f>
        <v>7298.23953204145</v>
      </c>
    </row>
    <row r="35" customFormat="false" ht="15" hidden="false" customHeight="false" outlineLevel="0" collapsed="false">
      <c r="A35" s="0" t="s">
        <v>131</v>
      </c>
      <c r="B35" s="0" t="n">
        <f aca="false">B34/(1+B27/100)^L4</f>
        <v>2689.02805204275</v>
      </c>
    </row>
    <row r="36" customFormat="false" ht="15" hidden="false" customHeight="false" outlineLevel="0" collapsed="false">
      <c r="A36" s="0" t="s">
        <v>132</v>
      </c>
      <c r="B36" s="0" t="n">
        <f aca="false">B30+B35</f>
        <v>4403.42495442162</v>
      </c>
    </row>
    <row r="37" customFormat="false" ht="15" hidden="false" customHeight="false" outlineLevel="0" collapsed="false">
      <c r="A37" s="0" t="s">
        <v>133</v>
      </c>
      <c r="B37" s="0" t="n">
        <f aca="false">B36+Assumptions!$B$5-Assumptions!$B$4</f>
        <v>4671.15495442162</v>
      </c>
    </row>
    <row r="38" customFormat="false" ht="15" hidden="false" customHeight="false" outlineLevel="0" collapsed="false">
      <c r="A38" s="0" t="s">
        <v>134</v>
      </c>
      <c r="B38" s="0" t="n">
        <f aca="false">B37/Assumptions!$B$3*Assumptions!$B$10</f>
        <v>20.9982569405461</v>
      </c>
    </row>
    <row r="39" customFormat="false" ht="15" hidden="false" customHeight="false" outlineLevel="0" collapsed="false">
      <c r="A39" s="0" t="s">
        <v>135</v>
      </c>
      <c r="B39" s="4" t="n">
        <f aca="false">B38/Assumptions!$B$2-1</f>
        <v>0.92644559087579</v>
      </c>
    </row>
    <row r="41" customFormat="false" ht="15" hidden="false" customHeight="false" outlineLevel="0" collapsed="false">
      <c r="A41" s="0" t="s">
        <v>136</v>
      </c>
      <c r="B41" s="0" t="n">
        <f aca="false">SUMPRODUCT(-C10:L10/(1+$B$27/100)^C4:L4)</f>
        <v>289.759803000769</v>
      </c>
    </row>
    <row r="42" customFormat="false" ht="15" hidden="false" customHeight="false" outlineLevel="0" collapsed="false">
      <c r="A42" s="0" t="s">
        <v>137</v>
      </c>
      <c r="B42" s="0" t="n">
        <f aca="false">IF(B27&gt;B28,-L10*(1+B28/100)/((B27-B28)/100),-L10*20)/(1+B27/100)^L4</f>
        <v>321.128773617974</v>
      </c>
    </row>
    <row r="43" customFormat="false" ht="15" hidden="false" customHeight="false" outlineLevel="0" collapsed="false">
      <c r="A43" s="0" t="s">
        <v>138</v>
      </c>
      <c r="B43" s="0" t="n">
        <f aca="false">(B37+B41+B42)/Assumptions!$B$3*Assumptions!$B$10</f>
        <v>23.7443861995942</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4442.4066716774</v>
      </c>
    </row>
    <row r="47" customFormat="false" ht="15" hidden="false" customHeight="false" outlineLevel="0" collapsed="false">
      <c r="A47" s="0" t="s">
        <v>140</v>
      </c>
      <c r="B47" s="0" t="n">
        <f aca="false">(SUMPRODUCT(C19:L19/(1+B45/100)^C4:L4)+B46/(1+B45/100)^L4+Assumptions!$B$5-Assumptions!$B$4)/Assumptions!$B$3*Assumptions!$B$10</f>
        <v>12.2431474225135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4.95659756372964</v>
      </c>
      <c r="C4" s="0" t="n">
        <f aca="false">B4/Assumptions!$B$2-1</f>
        <v>-0.545266278556914</v>
      </c>
      <c r="D4" s="4" t="n">
        <f aca="false">Assumptions!$B$24</f>
        <v>0.25</v>
      </c>
      <c r="E4" s="4" t="n">
        <f aca="false">DCF_Bear!$B$43</f>
        <v>6.64894792387292</v>
      </c>
      <c r="F4" s="4" t="n">
        <f aca="false">DCF_Bear!$B$47</f>
        <v>3.5936609135873</v>
      </c>
    </row>
    <row r="5" customFormat="false" ht="15" hidden="false" customHeight="false" outlineLevel="0" collapsed="false">
      <c r="A5" s="0" t="s">
        <v>149</v>
      </c>
      <c r="B5" s="4" t="n">
        <f aca="false">DCF_Base!$B$38</f>
        <v>12.9185101616984</v>
      </c>
      <c r="C5" s="0" t="n">
        <f aca="false">B5/Assumptions!$B$2-1</f>
        <v>0.185184418504438</v>
      </c>
      <c r="D5" s="4" t="n">
        <f aca="false">Assumptions!$B$38</f>
        <v>0.5</v>
      </c>
      <c r="E5" s="4" t="n">
        <f aca="false">DCF_Base!$B$43</f>
        <v>15.1385263401193</v>
      </c>
      <c r="F5" s="4" t="n">
        <f aca="false">DCF_Base!$B$47</f>
        <v>8.06593260756051</v>
      </c>
    </row>
    <row r="6" customFormat="false" ht="15" hidden="false" customHeight="false" outlineLevel="0" collapsed="false">
      <c r="A6" s="0" t="s">
        <v>150</v>
      </c>
      <c r="B6" s="4" t="n">
        <f aca="false">DCF_Bull!$B$38</f>
        <v>20.9982569405461</v>
      </c>
      <c r="C6" s="0" t="n">
        <f aca="false">B6/Assumptions!$B$2-1</f>
        <v>0.92644559087579</v>
      </c>
      <c r="D6" s="4" t="n">
        <f aca="false">Assumptions!$B$52</f>
        <v>0.25</v>
      </c>
      <c r="E6" s="4" t="n">
        <f aca="false">DCF_Bull!$B$43</f>
        <v>23.7443861995942</v>
      </c>
      <c r="F6" s="4" t="n">
        <f aca="false">DCF_Bull!$B$47</f>
        <v>12.2431474225135</v>
      </c>
    </row>
    <row r="8" customFormat="false" ht="15" hidden="false" customHeight="false" outlineLevel="0" collapsed="false">
      <c r="A8" s="0" t="s">
        <v>151</v>
      </c>
      <c r="B8" s="0" t="n">
        <f aca="false">SUMPRODUCT(B4:B6,D4:D6)</f>
        <v>12.9479687069181</v>
      </c>
    </row>
    <row r="9" customFormat="false" ht="15" hidden="false" customHeight="false" outlineLevel="0" collapsed="false">
      <c r="A9" s="0" t="s">
        <v>152</v>
      </c>
      <c r="B9" s="0" t="n">
        <f aca="false">SUMPRODUCT(E4:E6,D4:D6)</f>
        <v>15.1675967009265</v>
      </c>
    </row>
    <row r="10" customFormat="false" ht="15" hidden="false" customHeight="false" outlineLevel="0" collapsed="false">
      <c r="A10" s="0" t="s">
        <v>153</v>
      </c>
      <c r="B10" s="0" t="n">
        <f aca="false">1-Assumptions!$B$2/B8</f>
        <v>0.158169111562951</v>
      </c>
    </row>
    <row r="11" customFormat="false" ht="15" hidden="false" customHeight="false" outlineLevel="0" collapsed="false">
      <c r="A11" s="0" t="s">
        <v>154</v>
      </c>
      <c r="B11" s="0" t="n">
        <f aca="false">IF(ABS(B9-B8)&gt;0.01*ABS(B8),(Assumptions!$B$2-B8)/(B9-B8)*100,"n/a")</f>
        <v>-92.2663037430782</v>
      </c>
    </row>
    <row r="12" customFormat="false" ht="15" hidden="false" customHeight="false" outlineLevel="0" collapsed="false">
      <c r="A12" s="0" t="s">
        <v>155</v>
      </c>
      <c r="B12" s="0" t="n">
        <f aca="false">SUMPRODUCT(F4:F6,D4:D6)</f>
        <v>7.99216838780546</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15.0029282259774</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13.8538582999568</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12.9185101616984</v>
      </c>
      <c r="C17" s="3" t="n">
        <v>10.5</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12.1021792342098</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10.7469911938985</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8.06593260756051</v>
      </c>
      <c r="C20" s="3" t="n">
        <v>15</v>
      </c>
    </row>
    <row r="22" customFormat="false" ht="15" hidden="false" customHeight="false" outlineLevel="0" collapsed="false">
      <c r="A22" s="2" t="s">
        <v>164</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15.5416394244494</v>
      </c>
      <c r="C24" s="0" t="n">
        <f aca="false">(SUMPRODUCT(DCF_Base!$C$19:$L$19/(1+$A$24/100)^DCF_Base!$C$4:$L$4)+MAX(0,MIN(IF($A$24&gt;$C$23,DCF_Base!$L$19*(1+$C$23/100)/(($A$24-$C$23)/100),DCF_Base!$L$19*DCF_Base!$B$29),DCF_Base!$L$19*DCF_Base!$B$29))/(1+$A$24/100)^DCF_Base!$L$4+Assumptions!$B$5-Assumptions!$B$4)/Assumptions!$B$3*Assumptions!$B$10</f>
        <v>15.5416394244494</v>
      </c>
      <c r="D24" s="0" t="n">
        <f aca="false">(SUMPRODUCT(DCF_Base!$C$19:$L$19/(1+$A$24/100)^DCF_Base!$C$4:$L$4)+MAX(0,MIN(IF($A$24&gt;$D$23,DCF_Base!$L$19*(1+$D$23/100)/(($A$24-$D$23)/100),DCF_Base!$L$19*DCF_Base!$B$29),DCF_Base!$L$19*DCF_Base!$B$29))/(1+$A$24/100)^DCF_Base!$L$4+Assumptions!$B$5-Assumptions!$B$4)/Assumptions!$B$3*Assumptions!$B$10</f>
        <v>15.5416394244494</v>
      </c>
      <c r="E24" s="0" t="n">
        <f aca="false">(SUMPRODUCT(DCF_Base!$C$19:$L$19/(1+$A$24/100)^DCF_Base!$C$4:$L$4)+MAX(0,MIN(IF($A$24&gt;$E$23,DCF_Base!$L$19*(1+$E$23/100)/(($A$24-$E$23)/100),DCF_Base!$L$19*DCF_Base!$B$29),DCF_Base!$L$19*DCF_Base!$B$29))/(1+$A$24/100)^DCF_Base!$L$4+Assumptions!$B$5-Assumptions!$B$4)/Assumptions!$B$3*Assumptions!$B$10</f>
        <v>15.5416394244494</v>
      </c>
      <c r="F24" s="0" t="n">
        <f aca="false">(SUMPRODUCT(DCF_Base!$C$19:$L$19/(1+$A$24/100)^DCF_Base!$C$4:$L$4)+MAX(0,MIN(IF($A$24&gt;$F$23,DCF_Base!$L$19*(1+$F$23/100)/(($A$24-$F$23)/100),DCF_Base!$L$19*DCF_Base!$B$29),DCF_Base!$L$19*DCF_Base!$B$29))/(1+$A$24/100)^DCF_Base!$L$4+Assumptions!$B$5-Assumptions!$B$4)/Assumptions!$B$3*Assumptions!$B$10</f>
        <v>15.5416394244494</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13.7493173985067</v>
      </c>
      <c r="C25" s="0" t="n">
        <f aca="false">(SUMPRODUCT(DCF_Base!$C$19:$L$19/(1+$A$25/100)^DCF_Base!$C$4:$L$4)+MAX(0,MIN(IF($A$25&gt;$C$23,DCF_Base!$L$19*(1+$C$23/100)/(($A$25-$C$23)/100),DCF_Base!$L$19*DCF_Base!$B$29),DCF_Base!$L$19*DCF_Base!$B$29))/(1+$A$25/100)^DCF_Base!$L$4+Assumptions!$B$5-Assumptions!$B$4)/Assumptions!$B$3*Assumptions!$B$10</f>
        <v>14.3001721551108</v>
      </c>
      <c r="D25" s="0" t="n">
        <f aca="false">(SUMPRODUCT(DCF_Base!$C$19:$L$19/(1+$A$25/100)^DCF_Base!$C$4:$L$4)+MAX(0,MIN(IF($A$25&gt;$D$23,DCF_Base!$L$19*(1+$D$23/100)/(($A$25-$D$23)/100),DCF_Base!$L$19*DCF_Base!$B$29),DCF_Base!$L$19*DCF_Base!$B$29))/(1+$A$25/100)^DCF_Base!$L$4+Assumptions!$B$5-Assumptions!$B$4)/Assumptions!$B$3*Assumptions!$B$10</f>
        <v>14.4888210443588</v>
      </c>
      <c r="E25" s="0" t="n">
        <f aca="false">(SUMPRODUCT(DCF_Base!$C$19:$L$19/(1+$A$25/100)^DCF_Base!$C$4:$L$4)+MAX(0,MIN(IF($A$25&gt;$E$23,DCF_Base!$L$19*(1+$E$23/100)/(($A$25-$E$23)/100),DCF_Base!$L$19*DCF_Base!$B$29),DCF_Base!$L$19*DCF_Base!$B$29))/(1+$A$25/100)^DCF_Base!$L$4+Assumptions!$B$5-Assumptions!$B$4)/Assumptions!$B$3*Assumptions!$B$10</f>
        <v>14.4888210443588</v>
      </c>
      <c r="F25" s="0" t="n">
        <f aca="false">(SUMPRODUCT(DCF_Base!$C$19:$L$19/(1+$A$25/100)^DCF_Base!$C$4:$L$4)+MAX(0,MIN(IF($A$25&gt;$F$23,DCF_Base!$L$19*(1+$F$23/100)/(($A$25-$F$23)/100),DCF_Base!$L$19*DCF_Base!$B$29),DCF_Base!$L$19*DCF_Base!$B$29))/(1+$A$25/100)^DCF_Base!$L$4+Assumptions!$B$5-Assumptions!$B$4)/Assumptions!$B$3*Assumptions!$B$10</f>
        <v>14.4888210443588</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12.0824976362364</v>
      </c>
      <c r="C26" s="0" t="n">
        <f aca="false">(SUMPRODUCT(DCF_Base!$C$19:$L$19/(1+$A$26/100)^DCF_Base!$C$4:$L$4)+MAX(0,MIN(IF($A$26&gt;$C$23,DCF_Base!$L$19*(1+$C$23/100)/(($A$26-$C$23)/100),DCF_Base!$L$19*DCF_Base!$B$29),DCF_Base!$L$19*DCF_Base!$B$29))/(1+$A$26/100)^DCF_Base!$L$4+Assumptions!$B$5-Assumptions!$B$4)/Assumptions!$B$3*Assumptions!$B$10</f>
        <v>12.4743785075467</v>
      </c>
      <c r="D26" s="0" t="n">
        <f aca="false">(SUMPRODUCT(DCF_Base!$C$19:$L$19/(1+$A$26/100)^DCF_Base!$C$4:$L$4)+MAX(0,MIN(IF($A$26&gt;$D$23,DCF_Base!$L$19*(1+$D$23/100)/(($A$26-$D$23)/100),DCF_Base!$L$19*DCF_Base!$B$29),DCF_Base!$L$19*DCF_Base!$B$29))/(1+$A$26/100)^DCF_Base!$L$4+Assumptions!$B$5-Assumptions!$B$4)/Assumptions!$B$3*Assumptions!$B$10</f>
        <v>12.9185101616984</v>
      </c>
      <c r="E26" s="0" t="n">
        <f aca="false">(SUMPRODUCT(DCF_Base!$C$19:$L$19/(1+$A$26/100)^DCF_Base!$C$4:$L$4)+MAX(0,MIN(IF($A$26&gt;$E$23,DCF_Base!$L$19*(1+$E$23/100)/(($A$26-$E$23)/100),DCF_Base!$L$19*DCF_Base!$B$29),DCF_Base!$L$19*DCF_Base!$B$29))/(1+$A$26/100)^DCF_Base!$L$4+Assumptions!$B$5-Assumptions!$B$4)/Assumptions!$B$3*Assumptions!$B$10</f>
        <v>13.4260891950146</v>
      </c>
      <c r="F26" s="0" t="n">
        <f aca="false">(SUMPRODUCT(DCF_Base!$C$19:$L$19/(1+$A$26/100)^DCF_Base!$C$4:$L$4)+MAX(0,MIN(IF($A$26&gt;$F$23,DCF_Base!$L$19*(1+$F$23/100)/(($A$26-$F$23)/100),DCF_Base!$L$19*DCF_Base!$B$29),DCF_Base!$L$19*DCF_Base!$B$29))/(1+$A$26/100)^DCF_Base!$L$4+Assumptions!$B$5-Assumptions!$B$4)/Assumptions!$B$3*Assumptions!$B$10</f>
        <v>13.5294423918437</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10.7751929404976</v>
      </c>
      <c r="C27" s="0" t="n">
        <f aca="false">(SUMPRODUCT(DCF_Base!$C$19:$L$19/(1+$A$27/100)^DCF_Base!$C$4:$L$4)+MAX(0,MIN(IF($A$27&gt;$C$23,DCF_Base!$L$19*(1+$C$23/100)/(($A$27-$C$23)/100),DCF_Base!$L$19*DCF_Base!$B$29),DCF_Base!$L$19*DCF_Base!$B$29))/(1+$A$27/100)^DCF_Base!$L$4+Assumptions!$B$5-Assumptions!$B$4)/Assumptions!$B$3*Assumptions!$B$10</f>
        <v>11.0625908194911</v>
      </c>
      <c r="D27" s="0" t="n">
        <f aca="false">(SUMPRODUCT(DCF_Base!$C$19:$L$19/(1+$A$27/100)^DCF_Base!$C$4:$L$4)+MAX(0,MIN(IF($A$27&gt;$D$23,DCF_Base!$L$19*(1+$D$23/100)/(($A$27-$D$23)/100),DCF_Base!$L$19*DCF_Base!$B$29),DCF_Base!$L$19*DCF_Base!$B$29))/(1+$A$27/100)^DCF_Base!$L$4+Assumptions!$B$5-Assumptions!$B$4)/Assumptions!$B$3*Assumptions!$B$10</f>
        <v>11.3838002136604</v>
      </c>
      <c r="E27" s="0" t="n">
        <f aca="false">(SUMPRODUCT(DCF_Base!$C$19:$L$19/(1+$A$27/100)^DCF_Base!$C$4:$L$4)+MAX(0,MIN(IF($A$27&gt;$E$23,DCF_Base!$L$19*(1+$E$23/100)/(($A$27-$E$23)/100),DCF_Base!$L$19*DCF_Base!$B$29),DCF_Base!$L$19*DCF_Base!$B$29))/(1+$A$27/100)^DCF_Base!$L$4+Assumptions!$B$5-Assumptions!$B$4)/Assumptions!$B$3*Assumptions!$B$10</f>
        <v>11.7451607821009</v>
      </c>
      <c r="F27" s="0" t="n">
        <f aca="false">(SUMPRODUCT(DCF_Base!$C$19:$L$19/(1+$A$27/100)^DCF_Base!$C$4:$L$4)+MAX(0,MIN(IF($A$27&gt;$F$23,DCF_Base!$L$19*(1+$F$23/100)/(($A$27-$F$23)/100),DCF_Base!$L$19*DCF_Base!$B$29),DCF_Base!$L$19*DCF_Base!$B$29))/(1+$A$27/100)^DCF_Base!$L$4+Assumptions!$B$5-Assumptions!$B$4)/Assumptions!$B$3*Assumptions!$B$10</f>
        <v>12.1547027596668</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9.72418086550941</v>
      </c>
      <c r="C28" s="0" t="n">
        <f aca="false">(SUMPRODUCT(DCF_Base!$C$19:$L$19/(1+$A$28/100)^DCF_Base!$C$4:$L$4)+MAX(0,MIN(IF($A$28&gt;$C$23,DCF_Base!$L$19*(1+$C$23/100)/(($A$28-$C$23)/100),DCF_Base!$L$19*DCF_Base!$B$29),DCF_Base!$L$19*DCF_Base!$B$29))/(1+$A$28/100)^DCF_Base!$L$4+Assumptions!$B$5-Assumptions!$B$4)/Assumptions!$B$3*Assumptions!$B$10</f>
        <v>9.94013497795284</v>
      </c>
      <c r="D28" s="0" t="n">
        <f aca="false">(SUMPRODUCT(DCF_Base!$C$19:$L$19/(1+$A$28/100)^DCF_Base!$C$4:$L$4)+MAX(0,MIN(IF($A$28&gt;$D$23,DCF_Base!$L$19*(1+$D$23/100)/(($A$28-$D$23)/100),DCF_Base!$L$19*DCF_Base!$B$29),DCF_Base!$L$19*DCF_Base!$B$29))/(1+$A$28/100)^DCF_Base!$L$4+Assumptions!$B$5-Assumptions!$B$4)/Assumptions!$B$3*Assumptions!$B$10</f>
        <v>10.1788211022324</v>
      </c>
      <c r="E28" s="0" t="n">
        <f aca="false">(SUMPRODUCT(DCF_Base!$C$19:$L$19/(1+$A$28/100)^DCF_Base!$C$4:$L$4)+MAX(0,MIN(IF($A$28&gt;$E$23,DCF_Base!$L$19*(1+$E$23/100)/(($A$28-$E$23)/100),DCF_Base!$L$19*DCF_Base!$B$29),DCF_Base!$L$19*DCF_Base!$B$29))/(1+$A$28/100)^DCF_Base!$L$4+Assumptions!$B$5-Assumptions!$B$4)/Assumptions!$B$3*Assumptions!$B$10</f>
        <v>10.4440279069875</v>
      </c>
      <c r="F28" s="0" t="n">
        <f aca="false">(SUMPRODUCT(DCF_Base!$C$19:$L$19/(1+$A$28/100)^DCF_Base!$C$4:$L$4)+MAX(0,MIN(IF($A$28&gt;$F$23,DCF_Base!$L$19*(1+$F$23/100)/(($A$28-$F$23)/100),DCF_Base!$L$19*DCF_Base!$B$29),DCF_Base!$L$19*DCF_Base!$B$29))/(1+$A$28/100)^DCF_Base!$L$4+Assumptions!$B$5-Assumptions!$B$4)/Assumptions!$B$3*Assumptions!$B$10</f>
        <v>10.7404355123021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2026-10-16T21:17:03Z</dcterms:created>
  <dc:creator>openpyxl</dc:creator>
  <dc:description/>
  <dc:language>en-NZ</dc:language>
  <cp:lastModifiedBy/>
  <dcterms:modified xsi:type="dcterms:W3CDTF">2026-10-16T21:17:03Z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