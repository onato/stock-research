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WACC Build" sheetId="2" r:id="rId2"/>
    <sheet name="Sensitivity" sheetId="3" r:id="rId3"/>
    <sheet name="Historical" sheetId="4" r:id="rId4"/>
    <sheet name="FCF Quality" sheetId="5" r:id="rId5"/>
    <sheet name="Model_Info" sheetId="6" r:id="rId6"/>
  </sheets>
  <calcPr calcId="124519" fullCalcOnLoad="1"/>
</workbook>
</file>

<file path=xl/sharedStrings.xml><?xml version="1.0" encoding="utf-8"?>
<sst xmlns="http://schemas.openxmlformats.org/spreadsheetml/2006/main" count="187" uniqueCount="169">
  <si>
    <t>FCG.NZ DCF Valuation Model (Fonterra Co-op shares, via Fund units)</t>
  </si>
  <si>
    <t>Gray cells are INPUTS - adjust to see valuation change. Entity basis: 1,609.191m co-operative shares (NOT 107.4m Fund units).</t>
  </si>
  <si>
    <t>Mid-cycle continuing-operations (post-Mainland divestment) earnings/FCF build. See Model_Info and FCF Quality sheets.</t>
  </si>
  <si>
    <t>KEY INPUTS</t>
  </si>
  <si>
    <t>Current Unit Price (NZD)</t>
  </si>
  <si>
    <t>Co-operative Shares Outstanding (M)</t>
  </si>
  <si>
    <t>Net Debt, post-transaction est. FY26 FY-end (M)</t>
  </si>
  <si>
    <t>Base Year (FY1) Revenue, continuing ops (M)</t>
  </si>
  <si>
    <t>WACC (stacked structural premiums, see WACC tab)</t>
  </si>
  <si>
    <t>Terminal Growth Rate</t>
  </si>
  <si>
    <t>Terminal Cap Multiple (x FCF)</t>
  </si>
  <si>
    <t>GROWTH &amp; MARGIN ASSUMPTIONS (BASE CASE)</t>
  </si>
  <si>
    <t>FY2027E</t>
  </si>
  <si>
    <t>FY2028E</t>
  </si>
  <si>
    <t>FY2029E</t>
  </si>
  <si>
    <t>FY2030E</t>
  </si>
  <si>
    <t>FY2031E</t>
  </si>
  <si>
    <t>Revenue Growth %</t>
  </si>
  <si>
    <t>EBIT Margin %</t>
  </si>
  <si>
    <t>D&amp;A % of Revenue</t>
  </si>
  <si>
    <t>Capex % of Revenue</t>
  </si>
  <si>
    <t>Net Finance Cost (M)</t>
  </si>
  <si>
    <t>Cash Tax Rate %</t>
  </si>
  <si>
    <t>NCI %</t>
  </si>
  <si>
    <t>WC Capture % of Revenue Change</t>
  </si>
  <si>
    <t>PROJECTIONS (BASE CASE)</t>
  </si>
  <si>
    <t>Revenue</t>
  </si>
  <si>
    <t>EBIT</t>
  </si>
  <si>
    <t>D&amp;A</t>
  </si>
  <si>
    <t>Adj EBITDA (EBIT+D&amp;A)</t>
  </si>
  <si>
    <t>PBT (EBIT - Net Finance Cost)</t>
  </si>
  <si>
    <t>NPAT before NCI</t>
  </si>
  <si>
    <t>NPAT (after NCI)</t>
  </si>
  <si>
    <t>EPS ($)</t>
  </si>
  <si>
    <t>Capex</t>
  </si>
  <si>
    <t>Working Capital Use (+ = cash use)</t>
  </si>
  <si>
    <t>Owner FCF (NPAT + D&amp;A - Capex - WC use)</t>
  </si>
  <si>
    <t>Owner FCF Margin %</t>
  </si>
  <si>
    <t>Discount Factor</t>
  </si>
  <si>
    <t>PV of FCF</t>
  </si>
  <si>
    <t>VALUATION</t>
  </si>
  <si>
    <t>Sum of PV of FCF</t>
  </si>
  <si>
    <t>Terminal FCF (Year 5 x (1+g))</t>
  </si>
  <si>
    <t>Terminal Value - Gordon Growth</t>
  </si>
  <si>
    <t>Terminal Value - Cap (multiple x Yr5 FCF)</t>
  </si>
  <si>
    <t>Terminal Value (LOWER of the two)</t>
  </si>
  <si>
    <t>PV of Terminal Value</t>
  </si>
  <si>
    <t>Enterprise Value</t>
  </si>
  <si>
    <t>Less: Net Debt</t>
  </si>
  <si>
    <t>Equity Value</t>
  </si>
  <si>
    <t>INTRINSIC VALUE / UNIT</t>
  </si>
  <si>
    <t>Terminal Value % of Enterprise Value</t>
  </si>
  <si>
    <t>Implied Exit Multiple (TV / Yr5 FCF)</t>
  </si>
  <si>
    <t>ENTRY PRICE (15% IRR Target)</t>
  </si>
  <si>
    <t>PV of Yrs 1-5 FCF @15%</t>
  </si>
  <si>
    <t>PV of Terminal Value @15%</t>
  </si>
  <si>
    <t>Entry Price (15% CAGR)</t>
  </si>
  <si>
    <t>Upside to Intrinsic Value</t>
  </si>
  <si>
    <t>Upside to Entry Price (discount required)</t>
  </si>
  <si>
    <t>IMPORTANT: SBC is verified NIL (Alignment Rights LTI is cash-settled, exec-only, immaterial).</t>
  </si>
  <si>
    <t>Net debt is an ESTIMATE bridging the stale H1-2026 balance sheet through the Apr-2026 Mainland proceeds/capital return - see net_debt_bridge in the JSON and Model_Info tab.</t>
  </si>
  <si>
    <t>WACC Stack - Structural Premiums</t>
  </si>
  <si>
    <t>Component</t>
  </si>
  <si>
    <t>%</t>
  </si>
  <si>
    <t>Rationale</t>
  </si>
  <si>
    <t>NZ base WACC</t>
  </si>
  <si>
    <t>Risk-free + equity risk premium base for a mature NZ large-cap</t>
  </si>
  <si>
    <t>+ Cyclicality premium</t>
  </si>
  <si>
    <t>Two loss-adjacent years in nine (FY2018 EBIT margin 1.3%, FY2019 -0.05%); EBIT margin range 9yr low -0.05% to high 7.1%, a &gt;7pp swing</t>
  </si>
  <si>
    <t>+ Governance premium (no vote)</t>
  </si>
  <si>
    <t>Fund unit holders have NO vote on Fonterra strategy/board; Farmgate Milk Price (largest cost) is set by farmer-shareholders who are the primary beneficiaries of a HIGH price, directly suppressing unit holder earnings -- a permanent, unfixable structural conflict</t>
  </si>
  <si>
    <t>+ Fund structural risk premium</t>
  </si>
  <si>
    <t>Fund capped at 107,410,984 units, DRP suspended, live proposal to cut the Fund cap to 10% and restrict trading to a farmer-only market; Fund farmer-ownership fell ~50% to ~30% in two years -- real risk of forced exit/wind-up at an unfavourable price</t>
  </si>
  <si>
    <t>+ Concentration premium (China/climate)</t>
  </si>
  <si>
    <t>China import demand structurally declining (rising domestic self-sufficiency); NZ agricultural emissions/methane policy is a live regulatory overhang on the milk supply base</t>
  </si>
  <si>
    <t>BASE WACC TOTAL</t>
  </si>
  <si>
    <t>Bull WACC (risks less binding)</t>
  </si>
  <si>
    <t>Bear WACC (risks fully binding)</t>
  </si>
  <si>
    <t>Sensitivity Analysis - Base Case Intrinsic Value</t>
  </si>
  <si>
    <t>Intrinsic Value by WACC &amp; Terminal Growth (NZD/unit)</t>
  </si>
  <si>
    <t>WACC \ Term G</t>
  </si>
  <si>
    <t>Note: matches JSON sensitivity.matrix values (computed independently in Python); cell formulas</t>
  </si>
  <si>
    <t>reference the DCF Model tab live so changing WACC/growth assumptions there updates this table.</t>
  </si>
  <si>
    <t>Historical Growth Rates (TOTAL GROUP basis incl. divested Mainland)</t>
  </si>
  <si>
    <t>NOT used directly to drive the DCF - see historical_growth.growth_divergence_warning in JSON</t>
  </si>
  <si>
    <t>Metric</t>
  </si>
  <si>
    <t>3-Year CAGR</t>
  </si>
  <si>
    <t>5-Year CAGR</t>
  </si>
  <si>
    <t>8-Year CAGR</t>
  </si>
  <si>
    <t>EPS</t>
  </si>
  <si>
    <t>n/m</t>
  </si>
  <si>
    <t>Equity (Book Value)</t>
  </si>
  <si>
    <t>FCF</t>
  </si>
  <si>
    <t>Selected Growth Driver:</t>
  </si>
  <si>
    <t>Source:</t>
  </si>
  <si>
    <t>through_cycle_revenue_cagr_not_equity_or_eps</t>
  </si>
  <si>
    <t>Historical Trading Multiples (FY-end, 31-Jul close)</t>
  </si>
  <si>
    <t>Yahoo price series basis: capital-return-adjusted throughout (no $2 step-down observed around Apr-2026)</t>
  </si>
  <si>
    <t>FY</t>
  </si>
  <si>
    <t>July Price</t>
  </si>
  <si>
    <t>Market Cap (M)</t>
  </si>
  <si>
    <t>P/E</t>
  </si>
  <si>
    <t>P/B</t>
  </si>
  <si>
    <t>EV/EBITDA</t>
  </si>
  <si>
    <t>P/Sales</t>
  </si>
  <si>
    <t>FY2017</t>
  </si>
  <si>
    <t>FY2018</t>
  </si>
  <si>
    <t>loss_year_excluded</t>
  </si>
  <si>
    <t>FY2019</t>
  </si>
  <si>
    <t>FY2020</t>
  </si>
  <si>
    <t>FY2021</t>
  </si>
  <si>
    <t>FY2022</t>
  </si>
  <si>
    <t>FY2023</t>
  </si>
  <si>
    <t>FY2024</t>
  </si>
  <si>
    <t>FY2025</t>
  </si>
  <si>
    <t>Averages</t>
  </si>
  <si>
    <t>P/E avg (ex-loss) 4.62x</t>
  </si>
  <si>
    <t>P/E recent 4yr 3.7x</t>
  </si>
  <si>
    <t>EV/EBITDA 9yr avg 6.55x</t>
  </si>
  <si>
    <t>EV/EBITDA recent 4yr 3.27x</t>
  </si>
  <si>
    <t>P/B avg 0.534x</t>
  </si>
  <si>
    <t>P/Sales avg 0.178x</t>
  </si>
  <si>
    <t>FCF Quality - Reported vs Owner FCF Reconciliation</t>
  </si>
  <si>
    <t>FY figures only (half-years are structurally negative - peak working capital, spring milk payments)</t>
  </si>
  <si>
    <t>FY (Total Group basis)</t>
  </si>
  <si>
    <t>Reported FCF (company definition, $M)</t>
  </si>
  <si>
    <t>Less: SBC incl. equity-award taxes ($M)</t>
  </si>
  <si>
    <t>Less: Interest income ($M)</t>
  </si>
  <si>
    <t>Owner FCF ($M) - identical, SBC &amp; interest income NIL</t>
  </si>
  <si>
    <t>Reported FCF Margin %</t>
  </si>
  <si>
    <t>SBC Source / Note</t>
  </si>
  <si>
    <t>Verified via FY2025 Annual Report remuneration disclosures: Fonterra's only long-term incentive is the 'Alignment Rights' plan (introduced FY23), which is CASH-SETTLED against the value of notional Co-op Units/Farm Units held by a small group of senior executives (CEO + Fonterra Management Team). It is not an equity-settled, dilutive stock-based compensation scheme -- there is no share issuance and no P&amp;L SBC add-back in the cash flow statement. SBC is genuinely immaterial/nil for this co-operative and is treated as such; no adjustment to FCF or share count is required.</t>
  </si>
  <si>
    <t>Memo: FY2025 was a near-record $10.16/kgMS milk price cycle-peak year - reported FCF/margin</t>
  </si>
  <si>
    <t>is NOT representative of a mid-cycle year and is NOT used directly as the DCF base year.</t>
  </si>
  <si>
    <t>Memo: FY2022 reported FCF was NEGATIVE (-$359M) despite positive NI - illustrates working capital</t>
  </si>
  <si>
    <t>volatility (milk payment timing) even in profitable years.</t>
  </si>
  <si>
    <t>Model Provenance &amp; Methodology Notes</t>
  </si>
  <si>
    <t>Built by</t>
  </si>
  <si>
    <t>Claude (DCF valuation agent), Stocks Research pipeline</t>
  </si>
  <si>
    <t>Valuation date</t>
  </si>
  <si>
    <t>2026-08-10</t>
  </si>
  <si>
    <t>Current price basis</t>
  </si>
  <si>
    <t>NZ$4.25, Yahoo Finance FCG.NZ live quote verified 10-Aug-2026</t>
  </si>
  <si>
    <t>Entity basis</t>
  </si>
  <si>
    <t>1,609.191m Fonterra Co-operative Group shares (H1-2026 count). Fund units (107.410984m) are NOT the share count - each unit tracks ONE co-op share 1:1 economically.</t>
  </si>
  <si>
    <t>Data vintage</t>
  </si>
  <si>
    <t>FY2025 Annual Report (year ended 31-Jul-2025), H1-2026 Interim Report (six months ended 31-Jan-2026, released ~11-Mar-2026), Q3 FY26 business update (28-May-2026), FY2026/27 milk price update (12-Jul-2026)</t>
  </si>
  <si>
    <t>Key filing used for capital-return mechanics</t>
  </si>
  <si>
    <t>research/FCG.NZ/Extracted/FCG.NZ_HalfYear_H1-2026_Group.txt (Mainland sale $4.22bn, capital return ~$3.20bn/~$2.00 per share, 40cps interim distribution, $3.9bn total cash out 14-Apr-2026, adjusted net debt reconciliation)</t>
  </si>
  <si>
    <t>Methodology - entity rebasing</t>
  </si>
  <si>
    <t>Post-31-Mar-2026 Mainland/Consumer divestment to Lactalis, Fonterra is a focused B2B Ingredients + Foodservice exporter. Valuation uses CONTINUING-operations earnings only (FY2025 continuing PAT $1,004m vs total $1,079m; FY2024 continuing restated PAT $1,047m vs total $1,128m).</t>
  </si>
  <si>
    <t>Methodology - mid-cycle earnings</t>
  </si>
  <si>
    <t>Base case EBIT margin (5.3-5.6%) is a THROUGH-CYCLE estimate, not FY2023-25 (cycle peak, $10.16/kgMS record milk price) nor FY2018-19 (crisis trough). Cross-checked against H1-2026 continuing EPS $0.42 and FY2026 guidance 60-70c (explicitly treated as a cycle-strong year, not mid-cycle).</t>
  </si>
  <si>
    <t>Methodology - net debt bridge</t>
  </si>
  <si>
    <t>H1-2026 balance sheet (31-Jan-2026) predates BOTH the Mainland proceeds (landed 31-Mar-2026) and the $3.9bn capital return/distribution (paid 14-Apr-2026), and is also at the seasonal peak-debt point of the year (spring milk payments). Net debt used in the DCF ($2,300m) de-seasonalizes and bridges forward to an estimated FY2026 FY-end (31-Jul-2026) position. See net_debt_bridge block in the JSON for the full arithmetic.</t>
  </si>
  <si>
    <t>Methodology - WACC</t>
  </si>
  <si>
    <t>Stacked structural premiums on a 7.5% NZ base: +1.5% cyclicality, +2.0% governance (no unit-holder vote), +2.0% Fund structural risk (cap/DRP suspension/wind-up proposal), +1.25% concentration (China/climate) = 14.25% base WACC. See WACC Build tab.</t>
  </si>
  <si>
    <t>Methodology - terminal value</t>
  </si>
  <si>
    <t>LOWER of Gordon growth (1.5-2.5% terminal growth) and a 13-14x FCF exit-multiple cap (well below the generic 20x default, reflecting FCGs persistently low historical trading multiples).</t>
  </si>
  <si>
    <t>Methodology - SBC</t>
  </si>
  <si>
    <t>Verified NIL / immaterial. Fonterra's only LTI (Alignment Rights, introduced FY23) is CASH-SETTLED to a small group of senior executives against notional Co-op/Farm Unit values - no equity issuance, no dilution, no P&amp;L SBC add-back. No FCF or share-count adjustment applied.</t>
  </si>
  <si>
    <t>Price series caveat</t>
  </si>
  <si>
    <t>Yahoo Finance serves the FCG.NZ 10-year price history on a CAPITAL-RETURN-ADJUSTED basis throughout (confirmed: no ~$2 step-down visible around the 14-Apr-2026 ex-date; Feb-2026 daily closes already sit at ~$4.00-4.20, not the ~$8 pre-return level). The historical multiples table therefore compares consistently-adjusted prices.</t>
  </si>
  <si>
    <t>What to refresh after next earnings/announcement</t>
  </si>
  <si>
    <t>FY2026 Annual Report (year ended 31-Jul-2026, due ~Sept 2026): (1) actual FY2026 FY-end adjusted net debt - replace the $2,300m bridge estimate with the disclosed figure; (2) actual continuing-ops FY2026 revenue/EBIT/NPAT - recalibrate the mid-cycle base if FY2026 lands materially outside the 60-70cps guided range; (3) confirm whether the Fund cap-cut/wind-up proposal has progressed - this could materially change the fund_structural_premium; (4) new CEO appointment (Hurrell departs ~Sept-2026) - leadership transition risk should be revisited.</t>
  </si>
  <si>
    <t>Cell colour conventions</t>
  </si>
  <si>
    <t>GRAY cells = editable inputs. WHITE cells with borders = formulas (do not hand-edit, will break the model). GREEN cells = headline outputs (Intrinsic Value / Entry Price). Italic gray text = notes/caveats. Italic red text = warnings.</t>
  </si>
  <si>
    <t>Staleness warning</t>
  </si>
  <si>
    <t>All figures in this model reflect data as of the valuation date above and WILL go stale. Re-verify current price, net debt bridge assumptions and mid-cycle earnings base before relying on this model after any subsequent Fonterra results announcement.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</si>
</sst>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0%"/>
    <numFmt numFmtId="166" formatCode="&quot;$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D6303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0" fontId="4" fillId="3" borderId="2" xfId="0" applyFont="1" applyFill="1" applyBorder="1"/>
    <xf numFmtId="164" fontId="0" fillId="0" borderId="2" xfId="0" applyNumberFormat="1" applyBorder="1"/>
    <xf numFmtId="166" fontId="0" fillId="0" borderId="2" xfId="0" applyNumberFormat="1" applyBorder="1"/>
    <xf numFmtId="165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0" fontId="6" fillId="0" borderId="0" xfId="0" applyFont="1" applyAlignment="1">
      <alignment wrapText="1"/>
    </xf>
    <xf numFmtId="165" fontId="4" fillId="3" borderId="0" xfId="0" applyNumberFormat="1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8"/>
  <sheetViews>
    <sheetView tabSelected="1" workbookViewId="0"/>
  </sheetViews>
  <sheetFormatPr defaultRowHeight="15"/>
  <cols>
    <col min="1" max="1" width="30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3" spans="1:6">
      <c r="A3" s="2" t="s">
        <v>2</v>
      </c>
    </row>
    <row r="5" spans="1:6">
      <c r="A5" s="3" t="s">
        <v>3</v>
      </c>
    </row>
    <row r="6" spans="1:6">
      <c r="A6" t="s">
        <v>4</v>
      </c>
      <c r="B6" s="4">
        <v>4.25</v>
      </c>
    </row>
    <row r="7" spans="1:6">
      <c r="A7" t="s">
        <v>5</v>
      </c>
      <c r="B7" s="4">
        <v>1609.191</v>
      </c>
    </row>
    <row r="8" spans="1:6">
      <c r="A8" t="s">
        <v>6</v>
      </c>
      <c r="B8" s="4">
        <v>2300</v>
      </c>
    </row>
    <row r="9" spans="1:6">
      <c r="A9" t="s">
        <v>7</v>
      </c>
      <c r="B9" s="4">
        <v>22267</v>
      </c>
    </row>
    <row r="11" spans="1:6">
      <c r="A11" t="s">
        <v>8</v>
      </c>
      <c r="B11" s="5">
        <v>0.1425</v>
      </c>
    </row>
    <row r="12" spans="1:6">
      <c r="A12" t="s">
        <v>9</v>
      </c>
      <c r="B12" s="5">
        <v>0.02</v>
      </c>
    </row>
    <row r="13" spans="1:6">
      <c r="A13" t="s">
        <v>10</v>
      </c>
      <c r="B13" s="4">
        <v>13</v>
      </c>
    </row>
    <row r="15" spans="1:6">
      <c r="A15" s="3" t="s">
        <v>11</v>
      </c>
    </row>
    <row r="16" spans="1:6">
      <c r="B16" s="6" t="s">
        <v>12</v>
      </c>
      <c r="C16" s="6" t="s">
        <v>13</v>
      </c>
      <c r="D16" s="6" t="s">
        <v>14</v>
      </c>
      <c r="E16" s="6" t="s">
        <v>15</v>
      </c>
      <c r="F16" s="6" t="s">
        <v>16</v>
      </c>
    </row>
    <row r="17" spans="1:6">
      <c r="A17" t="s">
        <v>17</v>
      </c>
      <c r="B17" s="5">
        <v>0.03</v>
      </c>
      <c r="C17" s="5">
        <v>0.028</v>
      </c>
      <c r="D17" s="5">
        <v>0.026</v>
      </c>
      <c r="E17" s="5">
        <v>0.024</v>
      </c>
      <c r="F17" s="5">
        <v>0.022</v>
      </c>
    </row>
    <row r="18" spans="1:6">
      <c r="A18" t="s">
        <v>18</v>
      </c>
      <c r="B18" s="5">
        <v>0.053</v>
      </c>
      <c r="C18" s="5">
        <v>0.05400000000000001</v>
      </c>
      <c r="D18" s="5">
        <v>0.055</v>
      </c>
      <c r="E18" s="5">
        <v>0.0555</v>
      </c>
      <c r="F18" s="5">
        <v>0.05599999999999999</v>
      </c>
    </row>
    <row r="19" spans="1:6">
      <c r="A19" t="s">
        <v>19</v>
      </c>
      <c r="B19" s="5">
        <v>0.023</v>
      </c>
      <c r="C19" s="5">
        <v>0.023</v>
      </c>
      <c r="D19" s="5">
        <v>0.023</v>
      </c>
      <c r="E19" s="5">
        <v>0.023</v>
      </c>
      <c r="F19" s="5">
        <v>0.023</v>
      </c>
    </row>
    <row r="20" spans="1:6">
      <c r="A20" t="s">
        <v>20</v>
      </c>
      <c r="B20" s="5">
        <v>0.028</v>
      </c>
      <c r="C20" s="5">
        <v>0.027</v>
      </c>
      <c r="D20" s="5">
        <v>0.026</v>
      </c>
      <c r="E20" s="5">
        <v>0.025</v>
      </c>
      <c r="F20" s="5">
        <v>0.024</v>
      </c>
    </row>
    <row r="21" spans="1:6">
      <c r="A21" t="s">
        <v>21</v>
      </c>
      <c r="B21" s="4">
        <v>140</v>
      </c>
      <c r="C21" s="4">
        <v>138</v>
      </c>
      <c r="D21" s="4">
        <v>136</v>
      </c>
      <c r="E21" s="4">
        <v>134</v>
      </c>
      <c r="F21" s="4">
        <v>132</v>
      </c>
    </row>
    <row r="22" spans="1:6">
      <c r="A22" t="s">
        <v>22</v>
      </c>
      <c r="B22" s="5">
        <v>0.27</v>
      </c>
      <c r="C22" s="5">
        <v>0.27</v>
      </c>
      <c r="D22" s="5">
        <v>0.27</v>
      </c>
      <c r="E22" s="5">
        <v>0.27</v>
      </c>
      <c r="F22" s="5">
        <v>0.27</v>
      </c>
    </row>
    <row r="23" spans="1:6">
      <c r="A23" t="s">
        <v>23</v>
      </c>
      <c r="B23" s="5">
        <v>0.04</v>
      </c>
      <c r="C23" s="5">
        <v>0.04</v>
      </c>
      <c r="D23" s="5">
        <v>0.04</v>
      </c>
      <c r="E23" s="5">
        <v>0.04</v>
      </c>
      <c r="F23" s="5">
        <v>0.04</v>
      </c>
    </row>
    <row r="24" spans="1:6">
      <c r="A24" t="s">
        <v>24</v>
      </c>
      <c r="B24" s="5">
        <v>0.2</v>
      </c>
      <c r="C24" s="5">
        <v>0.2</v>
      </c>
      <c r="D24" s="5">
        <v>0.2</v>
      </c>
      <c r="E24" s="5">
        <v>0.2</v>
      </c>
      <c r="F24" s="5">
        <v>0.2</v>
      </c>
    </row>
    <row r="26" spans="1:6">
      <c r="A26" s="3" t="s">
        <v>25</v>
      </c>
    </row>
    <row r="27" spans="1:6">
      <c r="B27" s="6" t="s">
        <v>12</v>
      </c>
      <c r="C27" s="6" t="s">
        <v>13</v>
      </c>
      <c r="D27" s="6" t="s">
        <v>14</v>
      </c>
      <c r="E27" s="6" t="s">
        <v>15</v>
      </c>
      <c r="F27" s="6" t="s">
        <v>16</v>
      </c>
    </row>
    <row r="28" spans="1:6">
      <c r="A28" t="s">
        <v>26</v>
      </c>
      <c r="B28" s="7">
        <f>$B$9*(1+B17)</f>
        <v>0</v>
      </c>
      <c r="C28" s="7">
        <f>B28*(1+C17)</f>
        <v>0</v>
      </c>
      <c r="D28" s="7">
        <f>C28*(1+D17)</f>
        <v>0</v>
      </c>
      <c r="E28" s="7">
        <f>D28*(1+E17)</f>
        <v>0</v>
      </c>
      <c r="F28" s="7">
        <f>E28*(1+F17)</f>
        <v>0</v>
      </c>
    </row>
    <row r="29" spans="1:6">
      <c r="A29" t="s">
        <v>27</v>
      </c>
      <c r="B29" s="7">
        <f>B28*B18</f>
        <v>0</v>
      </c>
      <c r="C29" s="7">
        <f>C28*C18</f>
        <v>0</v>
      </c>
      <c r="D29" s="7">
        <f>D28*D18</f>
        <v>0</v>
      </c>
      <c r="E29" s="7">
        <f>E28*E18</f>
        <v>0</v>
      </c>
      <c r="F29" s="7">
        <f>F28*F18</f>
        <v>0</v>
      </c>
    </row>
    <row r="30" spans="1:6">
      <c r="A30" t="s">
        <v>28</v>
      </c>
      <c r="B30" s="7">
        <f>B28*$B$19</f>
        <v>0</v>
      </c>
      <c r="C30" s="7">
        <f>C28*$B$19</f>
        <v>0</v>
      </c>
      <c r="D30" s="7">
        <f>D28*$B$19</f>
        <v>0</v>
      </c>
      <c r="E30" s="7">
        <f>E28*$B$19</f>
        <v>0</v>
      </c>
      <c r="F30" s="7">
        <f>F28*$B$19</f>
        <v>0</v>
      </c>
    </row>
    <row r="31" spans="1:6">
      <c r="A31" t="s">
        <v>29</v>
      </c>
      <c r="B31" s="7">
        <f>B29+B30</f>
        <v>0</v>
      </c>
      <c r="C31" s="7">
        <f>C29+C30</f>
        <v>0</v>
      </c>
      <c r="D31" s="7">
        <f>D29+D30</f>
        <v>0</v>
      </c>
      <c r="E31" s="7">
        <f>E29+E30</f>
        <v>0</v>
      </c>
      <c r="F31" s="7">
        <f>F29+F30</f>
        <v>0</v>
      </c>
    </row>
    <row r="32" spans="1:6">
      <c r="A32" t="s">
        <v>30</v>
      </c>
      <c r="B32" s="7">
        <f>B29-B21</f>
        <v>0</v>
      </c>
      <c r="C32" s="7">
        <f>C29-C21</f>
        <v>0</v>
      </c>
      <c r="D32" s="7">
        <f>D29-D21</f>
        <v>0</v>
      </c>
      <c r="E32" s="7">
        <f>E29-E21</f>
        <v>0</v>
      </c>
      <c r="F32" s="7">
        <f>F29-F21</f>
        <v>0</v>
      </c>
    </row>
    <row r="33" spans="1:6">
      <c r="A33" t="s">
        <v>31</v>
      </c>
      <c r="B33" s="7">
        <f>B32*(1-B22)</f>
        <v>0</v>
      </c>
      <c r="C33" s="7">
        <f>C32*(1-C22)</f>
        <v>0</v>
      </c>
      <c r="D33" s="7">
        <f>D32*(1-D22)</f>
        <v>0</v>
      </c>
      <c r="E33" s="7">
        <f>E32*(1-E22)</f>
        <v>0</v>
      </c>
      <c r="F33" s="7">
        <f>F32*(1-F22)</f>
        <v>0</v>
      </c>
    </row>
    <row r="34" spans="1:6">
      <c r="A34" t="s">
        <v>32</v>
      </c>
      <c r="B34" s="7">
        <f>B33*(1-B23)</f>
        <v>0</v>
      </c>
      <c r="C34" s="7">
        <f>C33*(1-C23)</f>
        <v>0</v>
      </c>
      <c r="D34" s="7">
        <f>D33*(1-D23)</f>
        <v>0</v>
      </c>
      <c r="E34" s="7">
        <f>E33*(1-E23)</f>
        <v>0</v>
      </c>
      <c r="F34" s="7">
        <f>F33*(1-F23)</f>
        <v>0</v>
      </c>
    </row>
    <row r="35" spans="1:6">
      <c r="A35" t="s">
        <v>33</v>
      </c>
      <c r="B35" s="8">
        <f>B34/$B$7</f>
        <v>0</v>
      </c>
      <c r="C35" s="8">
        <f>C34/$B$7</f>
        <v>0</v>
      </c>
      <c r="D35" s="8">
        <f>D34/$B$7</f>
        <v>0</v>
      </c>
      <c r="E35" s="8">
        <f>E34/$B$7</f>
        <v>0</v>
      </c>
      <c r="F35" s="8">
        <f>F34/$B$7</f>
        <v>0</v>
      </c>
    </row>
    <row r="36" spans="1:6">
      <c r="A36" t="s">
        <v>34</v>
      </c>
      <c r="B36" s="7">
        <f>B28*B20</f>
        <v>0</v>
      </c>
      <c r="C36" s="7">
        <f>C28*C20</f>
        <v>0</v>
      </c>
      <c r="D36" s="7">
        <f>D28*D20</f>
        <v>0</v>
      </c>
      <c r="E36" s="7">
        <f>E28*E20</f>
        <v>0</v>
      </c>
      <c r="F36" s="7">
        <f>F28*F20</f>
        <v>0</v>
      </c>
    </row>
    <row r="37" spans="1:6">
      <c r="A37" t="s">
        <v>35</v>
      </c>
      <c r="B37" s="7">
        <f>$B$24*(B28-$B$9)</f>
        <v>0</v>
      </c>
      <c r="C37" s="7">
        <f>C24*(C28-B28)</f>
        <v>0</v>
      </c>
      <c r="D37" s="7">
        <f>D24*(D28-C28)</f>
        <v>0</v>
      </c>
      <c r="E37" s="7">
        <f>E24*(E28-D28)</f>
        <v>0</v>
      </c>
      <c r="F37" s="7">
        <f>F24*(F28-E28)</f>
        <v>0</v>
      </c>
    </row>
    <row r="38" spans="1:6">
      <c r="A38" t="s">
        <v>36</v>
      </c>
      <c r="B38" s="7">
        <f>B34+B30-B36-B37</f>
        <v>0</v>
      </c>
      <c r="C38" s="7">
        <f>C34+C30-C36-C37</f>
        <v>0</v>
      </c>
      <c r="D38" s="7">
        <f>D34+D30-D36-D37</f>
        <v>0</v>
      </c>
      <c r="E38" s="7">
        <f>E34+E30-E36-E37</f>
        <v>0</v>
      </c>
      <c r="F38" s="7">
        <f>F34+F30-F36-F37</f>
        <v>0</v>
      </c>
    </row>
    <row r="39" spans="1:6">
      <c r="A39" t="s">
        <v>37</v>
      </c>
      <c r="B39" s="9">
        <f>B38/B28</f>
        <v>0</v>
      </c>
      <c r="C39" s="9">
        <f>C38/C28</f>
        <v>0</v>
      </c>
      <c r="D39" s="9">
        <f>D38/D28</f>
        <v>0</v>
      </c>
      <c r="E39" s="9">
        <f>E38/E28</f>
        <v>0</v>
      </c>
      <c r="F39" s="9">
        <f>F38/F28</f>
        <v>0</v>
      </c>
    </row>
    <row r="40" spans="1:6">
      <c r="A40" t="s">
        <v>38</v>
      </c>
      <c r="B40" s="7">
        <f>1/(1+$B$11)^1</f>
        <v>0</v>
      </c>
      <c r="C40" s="7">
        <f>1/(1+$B$11)^2</f>
        <v>0</v>
      </c>
      <c r="D40" s="7">
        <f>1/(1+$B$11)^3</f>
        <v>0</v>
      </c>
      <c r="E40" s="7">
        <f>1/(1+$B$11)^4</f>
        <v>0</v>
      </c>
      <c r="F40" s="7">
        <f>1/(1+$B$11)^5</f>
        <v>0</v>
      </c>
    </row>
    <row r="41" spans="1:6">
      <c r="A41" t="s">
        <v>39</v>
      </c>
      <c r="B41" s="7">
        <f>B38*B40</f>
        <v>0</v>
      </c>
      <c r="C41" s="7">
        <f>C38*C40</f>
        <v>0</v>
      </c>
      <c r="D41" s="7">
        <f>D38*D40</f>
        <v>0</v>
      </c>
      <c r="E41" s="7">
        <f>E38*E40</f>
        <v>0</v>
      </c>
      <c r="F41" s="7">
        <f>F38*F40</f>
        <v>0</v>
      </c>
    </row>
    <row r="43" spans="1:6">
      <c r="A43" s="3" t="s">
        <v>40</v>
      </c>
    </row>
    <row r="44" spans="1:6">
      <c r="A44" t="s">
        <v>41</v>
      </c>
      <c r="B44" s="7">
        <f>SUM(B41:F41)</f>
        <v>0</v>
      </c>
    </row>
    <row r="45" spans="1:6">
      <c r="A45" t="s">
        <v>42</v>
      </c>
      <c r="B45" s="7">
        <f>F38*(1+$B$12)</f>
        <v>0</v>
      </c>
    </row>
    <row r="46" spans="1:6">
      <c r="A46" t="s">
        <v>43</v>
      </c>
      <c r="B46" s="7">
        <f>B45/($B$11-$B$12)</f>
        <v>0</v>
      </c>
    </row>
    <row r="47" spans="1:6">
      <c r="A47" t="s">
        <v>44</v>
      </c>
      <c r="B47" s="7">
        <f>F38*$B$13</f>
        <v>0</v>
      </c>
    </row>
    <row r="48" spans="1:6">
      <c r="A48" t="s">
        <v>45</v>
      </c>
      <c r="B48" s="7">
        <f>MIN(B46,B47)</f>
        <v>0</v>
      </c>
    </row>
    <row r="49" spans="1:2">
      <c r="A49" t="s">
        <v>46</v>
      </c>
      <c r="B49" s="7">
        <f>B48*F40</f>
        <v>0</v>
      </c>
    </row>
    <row r="50" spans="1:2">
      <c r="A50" t="s">
        <v>47</v>
      </c>
      <c r="B50" s="7">
        <f>B44+B49</f>
        <v>0</v>
      </c>
    </row>
    <row r="51" spans="1:2">
      <c r="A51" t="s">
        <v>48</v>
      </c>
      <c r="B51" s="7">
        <f>B8</f>
        <v>0</v>
      </c>
    </row>
    <row r="52" spans="1:2">
      <c r="A52" t="s">
        <v>49</v>
      </c>
      <c r="B52" s="7">
        <f>B50-B51</f>
        <v>0</v>
      </c>
    </row>
    <row r="53" spans="1:2">
      <c r="A53" s="10" t="s">
        <v>50</v>
      </c>
      <c r="B53" s="11">
        <f>B52/$B$7</f>
        <v>0</v>
      </c>
    </row>
    <row r="55" spans="1:2">
      <c r="A55" t="s">
        <v>51</v>
      </c>
      <c r="B55" s="9">
        <f>B49/B50</f>
        <v>0</v>
      </c>
    </row>
    <row r="56" spans="1:2">
      <c r="A56" t="s">
        <v>52</v>
      </c>
      <c r="B56" s="7">
        <f>B48/F38</f>
        <v>0</v>
      </c>
    </row>
    <row r="58" spans="1:2">
      <c r="A58" s="3" t="s">
        <v>53</v>
      </c>
    </row>
    <row r="59" spans="1:2">
      <c r="A59" t="s">
        <v>54</v>
      </c>
      <c r="B59" s="7">
        <f>NPV(0.15,B38:F38)</f>
        <v>0</v>
      </c>
    </row>
    <row r="60" spans="1:2">
      <c r="A60" t="s">
        <v>55</v>
      </c>
      <c r="B60" s="7">
        <f>B48/(1.15^5)</f>
        <v>0</v>
      </c>
    </row>
    <row r="61" spans="1:2">
      <c r="A61" t="s">
        <v>48</v>
      </c>
      <c r="B61" s="7">
        <f>B8</f>
        <v>0</v>
      </c>
    </row>
    <row r="62" spans="1:2">
      <c r="A62" t="s">
        <v>56</v>
      </c>
      <c r="B62" s="11">
        <f>(B59+B60-B61)/$B$7</f>
        <v>0</v>
      </c>
    </row>
    <row r="64" spans="1:2">
      <c r="A64" t="s">
        <v>57</v>
      </c>
      <c r="B64" s="9">
        <f>(B53-B6)/B6</f>
        <v>0</v>
      </c>
    </row>
    <row r="65" spans="1:2">
      <c r="A65" t="s">
        <v>58</v>
      </c>
      <c r="B65" s="9">
        <f>(B6-B62)/B6</f>
        <v>0</v>
      </c>
    </row>
    <row r="67" spans="1:2">
      <c r="A67" s="12" t="s">
        <v>59</v>
      </c>
    </row>
    <row r="68" spans="1:2">
      <c r="A68" s="12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cols>
    <col min="1" max="1" width="40.7109375" customWidth="1"/>
    <col min="2" max="2" width="14.7109375" customWidth="1"/>
    <col min="3" max="3" width="70.7109375" customWidth="1"/>
  </cols>
  <sheetData>
    <row r="1" spans="1:3">
      <c r="A1" s="1" t="s">
        <v>61</v>
      </c>
    </row>
    <row r="4" spans="1:3">
      <c r="A4" s="6" t="s">
        <v>62</v>
      </c>
      <c r="B4" s="6" t="s">
        <v>63</v>
      </c>
      <c r="C4" s="6" t="s">
        <v>64</v>
      </c>
    </row>
    <row r="5" spans="1:3">
      <c r="A5" t="s">
        <v>65</v>
      </c>
      <c r="B5" s="9">
        <v>0.075</v>
      </c>
      <c r="C5" s="2" t="s">
        <v>66</v>
      </c>
    </row>
    <row r="6" spans="1:3">
      <c r="A6" t="s">
        <v>67</v>
      </c>
      <c r="B6" s="9">
        <v>0.015</v>
      </c>
      <c r="C6" s="2" t="s">
        <v>68</v>
      </c>
    </row>
    <row r="7" spans="1:3">
      <c r="A7" t="s">
        <v>69</v>
      </c>
      <c r="B7" s="9">
        <v>0.02</v>
      </c>
      <c r="C7" s="2" t="s">
        <v>70</v>
      </c>
    </row>
    <row r="8" spans="1:3">
      <c r="A8" t="s">
        <v>71</v>
      </c>
      <c r="B8" s="9">
        <v>0.02</v>
      </c>
      <c r="C8" s="2" t="s">
        <v>72</v>
      </c>
    </row>
    <row r="9" spans="1:3">
      <c r="A9" t="s">
        <v>73</v>
      </c>
      <c r="B9" s="9">
        <v>0.0125</v>
      </c>
      <c r="C9" s="2" t="s">
        <v>74</v>
      </c>
    </row>
    <row r="10" spans="1:3">
      <c r="A10" s="10" t="s">
        <v>75</v>
      </c>
      <c r="B10" s="9">
        <f>SUM(B5:B9)</f>
        <v>0</v>
      </c>
    </row>
    <row r="12" spans="1:3">
      <c r="A12" s="10" t="s">
        <v>76</v>
      </c>
      <c r="B12" s="9">
        <v>0.1275</v>
      </c>
    </row>
    <row r="13" spans="1:3">
      <c r="A13" s="10" t="s">
        <v>77</v>
      </c>
      <c r="B13" s="9">
        <v>0.1625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78</v>
      </c>
    </row>
    <row r="2" spans="1:6">
      <c r="A2" t="s">
        <v>79</v>
      </c>
    </row>
    <row r="4" spans="1:6">
      <c r="A4" s="6" t="s">
        <v>80</v>
      </c>
      <c r="B4" s="13">
        <v>0.01</v>
      </c>
      <c r="C4" s="13">
        <v>0.015</v>
      </c>
      <c r="D4" s="13">
        <v>0.02</v>
      </c>
      <c r="E4" s="13">
        <v>0.025</v>
      </c>
      <c r="F4" s="13">
        <v>0.03</v>
      </c>
    </row>
    <row r="5" spans="1:6">
      <c r="A5" s="13">
        <v>0.1225</v>
      </c>
      <c r="B5" s="8">
        <f>(NPV(0.1225,'DCF Model'!$B$38:$F$38)+MIN('DCF Model'!$F$38*(1+0.01)/(0.1225-0.01),'DCF Model'!$F$38*13)/(1+0.1225)^5-'DCF Model'!$B$8)/'DCF Model'!$B$7</f>
        <v>0</v>
      </c>
      <c r="C5" s="8">
        <f>(NPV(0.1225,'DCF Model'!$B$38:$F$38)+MIN('DCF Model'!$F$38*(1+0.015)/(0.1225-0.015),'DCF Model'!$F$38*13)/(1+0.1225)^5-'DCF Model'!$B$8)/'DCF Model'!$B$7</f>
        <v>0</v>
      </c>
      <c r="D5" s="8">
        <f>(NPV(0.1225,'DCF Model'!$B$38:$F$38)+MIN('DCF Model'!$F$38*(1+0.02)/(0.1225-0.02),'DCF Model'!$F$38*13)/(1+0.1225)^5-'DCF Model'!$B$8)/'DCF Model'!$B$7</f>
        <v>0</v>
      </c>
      <c r="E5" s="8">
        <f>(NPV(0.1225,'DCF Model'!$B$38:$F$38)+MIN('DCF Model'!$F$38*(1+0.025)/(0.1225-0.025),'DCF Model'!$F$38*13)/(1+0.1225)^5-'DCF Model'!$B$8)/'DCF Model'!$B$7</f>
        <v>0</v>
      </c>
      <c r="F5" s="8">
        <f>(NPV(0.1225,'DCF Model'!$B$38:$F$38)+MIN('DCF Model'!$F$38*(1+0.03)/(0.1225-0.03),'DCF Model'!$F$38*13)/(1+0.1225)^5-'DCF Model'!$B$8)/'DCF Model'!$B$7</f>
        <v>0</v>
      </c>
    </row>
    <row r="6" spans="1:6">
      <c r="A6" s="13">
        <v>0.1325</v>
      </c>
      <c r="B6" s="8">
        <f>(NPV(0.1325,'DCF Model'!$B$38:$F$38)+MIN('DCF Model'!$F$38*(1+0.01)/(0.1325-0.01),'DCF Model'!$F$38*13)/(1+0.1325)^5-'DCF Model'!$B$8)/'DCF Model'!$B$7</f>
        <v>0</v>
      </c>
      <c r="C6" s="8">
        <f>(NPV(0.1325,'DCF Model'!$B$38:$F$38)+MIN('DCF Model'!$F$38*(1+0.015)/(0.1325-0.015),'DCF Model'!$F$38*13)/(1+0.1325)^5-'DCF Model'!$B$8)/'DCF Model'!$B$7</f>
        <v>0</v>
      </c>
      <c r="D6" s="8">
        <f>(NPV(0.1325,'DCF Model'!$B$38:$F$38)+MIN('DCF Model'!$F$38*(1+0.02)/(0.1325-0.02),'DCF Model'!$F$38*13)/(1+0.1325)^5-'DCF Model'!$B$8)/'DCF Model'!$B$7</f>
        <v>0</v>
      </c>
      <c r="E6" s="8">
        <f>(NPV(0.1325,'DCF Model'!$B$38:$F$38)+MIN('DCF Model'!$F$38*(1+0.025)/(0.1325-0.025),'DCF Model'!$F$38*13)/(1+0.1325)^5-'DCF Model'!$B$8)/'DCF Model'!$B$7</f>
        <v>0</v>
      </c>
      <c r="F6" s="8">
        <f>(NPV(0.1325,'DCF Model'!$B$38:$F$38)+MIN('DCF Model'!$F$38*(1+0.03)/(0.1325-0.03),'DCF Model'!$F$38*13)/(1+0.1325)^5-'DCF Model'!$B$8)/'DCF Model'!$B$7</f>
        <v>0</v>
      </c>
    </row>
    <row r="7" spans="1:6">
      <c r="A7" s="13">
        <v>0.1425</v>
      </c>
      <c r="B7" s="8">
        <f>(NPV(0.1425,'DCF Model'!$B$38:$F$38)+MIN('DCF Model'!$F$38*(1+0.01)/(0.1425-0.01),'DCF Model'!$F$38*13)/(1+0.1425)^5-'DCF Model'!$B$8)/'DCF Model'!$B$7</f>
        <v>0</v>
      </c>
      <c r="C7" s="8">
        <f>(NPV(0.1425,'DCF Model'!$B$38:$F$38)+MIN('DCF Model'!$F$38*(1+0.015)/(0.1425-0.015),'DCF Model'!$F$38*13)/(1+0.1425)^5-'DCF Model'!$B$8)/'DCF Model'!$B$7</f>
        <v>0</v>
      </c>
      <c r="D7" s="8">
        <f>(NPV(0.1425,'DCF Model'!$B$38:$F$38)+MIN('DCF Model'!$F$38*(1+0.02)/(0.1425-0.02),'DCF Model'!$F$38*13)/(1+0.1425)^5-'DCF Model'!$B$8)/'DCF Model'!$B$7</f>
        <v>0</v>
      </c>
      <c r="E7" s="8">
        <f>(NPV(0.1425,'DCF Model'!$B$38:$F$38)+MIN('DCF Model'!$F$38*(1+0.025)/(0.1425-0.025),'DCF Model'!$F$38*13)/(1+0.1425)^5-'DCF Model'!$B$8)/'DCF Model'!$B$7</f>
        <v>0</v>
      </c>
      <c r="F7" s="8">
        <f>(NPV(0.1425,'DCF Model'!$B$38:$F$38)+MIN('DCF Model'!$F$38*(1+0.03)/(0.1425-0.03),'DCF Model'!$F$38*13)/(1+0.1425)^5-'DCF Model'!$B$8)/'DCF Model'!$B$7</f>
        <v>0</v>
      </c>
    </row>
    <row r="8" spans="1:6">
      <c r="A8" s="13">
        <v>0.1525</v>
      </c>
      <c r="B8" s="8">
        <f>(NPV(0.1525,'DCF Model'!$B$38:$F$38)+MIN('DCF Model'!$F$38*(1+0.01)/(0.1525-0.01),'DCF Model'!$F$38*13)/(1+0.1525)^5-'DCF Model'!$B$8)/'DCF Model'!$B$7</f>
        <v>0</v>
      </c>
      <c r="C8" s="8">
        <f>(NPV(0.1525,'DCF Model'!$B$38:$F$38)+MIN('DCF Model'!$F$38*(1+0.015)/(0.1525-0.015),'DCF Model'!$F$38*13)/(1+0.1525)^5-'DCF Model'!$B$8)/'DCF Model'!$B$7</f>
        <v>0</v>
      </c>
      <c r="D8" s="8">
        <f>(NPV(0.1525,'DCF Model'!$B$38:$F$38)+MIN('DCF Model'!$F$38*(1+0.02)/(0.1525-0.02),'DCF Model'!$F$38*13)/(1+0.1525)^5-'DCF Model'!$B$8)/'DCF Model'!$B$7</f>
        <v>0</v>
      </c>
      <c r="E8" s="8">
        <f>(NPV(0.1525,'DCF Model'!$B$38:$F$38)+MIN('DCF Model'!$F$38*(1+0.025)/(0.1525-0.025),'DCF Model'!$F$38*13)/(1+0.1525)^5-'DCF Model'!$B$8)/'DCF Model'!$B$7</f>
        <v>0</v>
      </c>
      <c r="F8" s="8">
        <f>(NPV(0.1525,'DCF Model'!$B$38:$F$38)+MIN('DCF Model'!$F$38*(1+0.03)/(0.1525-0.03),'DCF Model'!$F$38*13)/(1+0.1525)^5-'DCF Model'!$B$8)/'DCF Model'!$B$7</f>
        <v>0</v>
      </c>
    </row>
    <row r="9" spans="1:6">
      <c r="A9" s="13">
        <v>0.1625</v>
      </c>
      <c r="B9" s="8">
        <f>(NPV(0.1625,'DCF Model'!$B$38:$F$38)+MIN('DCF Model'!$F$38*(1+0.01)/(0.1625-0.01),'DCF Model'!$F$38*13)/(1+0.1625)^5-'DCF Model'!$B$8)/'DCF Model'!$B$7</f>
        <v>0</v>
      </c>
      <c r="C9" s="8">
        <f>(NPV(0.1625,'DCF Model'!$B$38:$F$38)+MIN('DCF Model'!$F$38*(1+0.015)/(0.1625-0.015),'DCF Model'!$F$38*13)/(1+0.1625)^5-'DCF Model'!$B$8)/'DCF Model'!$B$7</f>
        <v>0</v>
      </c>
      <c r="D9" s="8">
        <f>(NPV(0.1625,'DCF Model'!$B$38:$F$38)+MIN('DCF Model'!$F$38*(1+0.02)/(0.1625-0.02),'DCF Model'!$F$38*13)/(1+0.1625)^5-'DCF Model'!$B$8)/'DCF Model'!$B$7</f>
        <v>0</v>
      </c>
      <c r="E9" s="8">
        <f>(NPV(0.1625,'DCF Model'!$B$38:$F$38)+MIN('DCF Model'!$F$38*(1+0.025)/(0.1625-0.025),'DCF Model'!$F$38*13)/(1+0.1625)^5-'DCF Model'!$B$8)/'DCF Model'!$B$7</f>
        <v>0</v>
      </c>
      <c r="F9" s="8">
        <f>(NPV(0.1625,'DCF Model'!$B$38:$F$38)+MIN('DCF Model'!$F$38*(1+0.03)/(0.1625-0.03),'DCF Model'!$F$38*13)/(1+0.1625)^5-'DCF Model'!$B$8)/'DCF Model'!$B$7</f>
        <v>0</v>
      </c>
    </row>
    <row r="11" spans="1:6">
      <c r="A11" s="2" t="s">
        <v>81</v>
      </c>
    </row>
    <row r="12" spans="1:6">
      <c r="A12" s="2" t="s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9"/>
  <sheetViews>
    <sheetView workbookViewId="0"/>
  </sheetViews>
  <sheetFormatPr defaultRowHeight="15"/>
  <cols>
    <col min="1" max="1" width="22.7109375" customWidth="1"/>
    <col min="2" max="3" width="15.7109375" customWidth="1"/>
  </cols>
  <sheetData>
    <row r="1" spans="1:4">
      <c r="A1" s="1" t="s">
        <v>83</v>
      </c>
    </row>
    <row r="2" spans="1:4">
      <c r="A2" s="12" t="s">
        <v>84</v>
      </c>
    </row>
    <row r="4" spans="1:4">
      <c r="A4" s="6" t="s">
        <v>85</v>
      </c>
      <c r="B4" s="6" t="s">
        <v>86</v>
      </c>
      <c r="C4" s="6" t="s">
        <v>87</v>
      </c>
      <c r="D4" s="6" t="s">
        <v>88</v>
      </c>
    </row>
    <row r="5" spans="1:4">
      <c r="A5" t="s">
        <v>26</v>
      </c>
      <c r="B5" s="9">
        <v>0.0165</v>
      </c>
      <c r="C5" s="9">
        <v>0.0352</v>
      </c>
      <c r="D5" s="9">
        <v>0.0287</v>
      </c>
    </row>
    <row r="6" spans="1:4">
      <c r="A6" t="s">
        <v>89</v>
      </c>
      <c r="B6" t="s">
        <v>90</v>
      </c>
      <c r="C6" s="9">
        <v>0.0861</v>
      </c>
      <c r="D6" s="9">
        <v>0.0442</v>
      </c>
    </row>
    <row r="7" spans="1:4">
      <c r="A7" t="s">
        <v>91</v>
      </c>
      <c r="B7" s="9">
        <v>0.06480000000000001</v>
      </c>
      <c r="C7" s="9">
        <v>0.0446</v>
      </c>
      <c r="D7" s="9">
        <v>0.0177</v>
      </c>
    </row>
    <row r="8" spans="1:4">
      <c r="A8" t="s">
        <v>92</v>
      </c>
      <c r="B8" t="s">
        <v>90</v>
      </c>
      <c r="C8" s="9">
        <v>0.0298</v>
      </c>
      <c r="D8" s="9">
        <v>0.1011</v>
      </c>
    </row>
    <row r="10" spans="1:4">
      <c r="A10" s="10" t="s">
        <v>93</v>
      </c>
      <c r="B10" s="9">
        <v>0.025</v>
      </c>
    </row>
    <row r="11" spans="1:4">
      <c r="A11" t="s">
        <v>94</v>
      </c>
      <c r="B11" t="s">
        <v>95</v>
      </c>
    </row>
    <row r="14" spans="1:4">
      <c r="A14" s="3" t="s">
        <v>96</v>
      </c>
    </row>
    <row r="15" spans="1:4">
      <c r="A15" s="2" t="s">
        <v>97</v>
      </c>
    </row>
    <row r="17" spans="1:7">
      <c r="A17" s="6" t="s">
        <v>98</v>
      </c>
      <c r="B17" s="6" t="s">
        <v>99</v>
      </c>
      <c r="C17" s="6" t="s">
        <v>100</v>
      </c>
      <c r="D17" s="6" t="s">
        <v>101</v>
      </c>
      <c r="E17" s="6" t="s">
        <v>102</v>
      </c>
      <c r="F17" s="6" t="s">
        <v>103</v>
      </c>
      <c r="G17" s="6" t="s">
        <v>104</v>
      </c>
    </row>
    <row r="18" spans="1:7">
      <c r="A18" t="s">
        <v>105</v>
      </c>
      <c r="B18" s="8">
        <v>3.45</v>
      </c>
      <c r="C18" s="7">
        <v>5536</v>
      </c>
      <c r="D18">
        <v>7.43</v>
      </c>
      <c r="E18" s="7">
        <v>0.764</v>
      </c>
      <c r="F18" s="7">
        <v>6.93</v>
      </c>
      <c r="G18" s="7">
        <v>0.288</v>
      </c>
    </row>
    <row r="19" spans="1:7">
      <c r="A19" t="s">
        <v>106</v>
      </c>
      <c r="B19" s="8">
        <v>2.794</v>
      </c>
      <c r="C19" s="7">
        <v>4498</v>
      </c>
      <c r="D19" t="s">
        <v>107</v>
      </c>
      <c r="E19" s="7">
        <v>0.709</v>
      </c>
      <c r="F19" s="7">
        <v>13.39</v>
      </c>
      <c r="G19" s="7">
        <v>0.22</v>
      </c>
    </row>
    <row r="20" spans="1:7">
      <c r="A20" t="s">
        <v>108</v>
      </c>
      <c r="B20" s="8">
        <v>1.85</v>
      </c>
      <c r="C20" s="7">
        <v>2982</v>
      </c>
      <c r="D20" t="s">
        <v>107</v>
      </c>
      <c r="E20" s="7">
        <v>0.507</v>
      </c>
      <c r="F20" s="7">
        <v>16.28</v>
      </c>
      <c r="G20" s="7">
        <v>0.148</v>
      </c>
    </row>
    <row r="21" spans="1:7">
      <c r="A21" t="s">
        <v>109</v>
      </c>
      <c r="B21" s="8">
        <v>2.222</v>
      </c>
      <c r="C21" s="7">
        <v>3582</v>
      </c>
      <c r="D21">
        <v>5.44</v>
      </c>
      <c r="E21" s="7">
        <v>0.534</v>
      </c>
      <c r="F21" s="7">
        <v>4.98</v>
      </c>
      <c r="G21" s="7">
        <v>0.177</v>
      </c>
    </row>
    <row r="22" spans="1:7">
      <c r="A22" t="s">
        <v>110</v>
      </c>
      <c r="B22" s="8">
        <v>1.739</v>
      </c>
      <c r="C22" s="7">
        <v>2805</v>
      </c>
      <c r="D22">
        <v>4.68</v>
      </c>
      <c r="E22" s="7">
        <v>0.408</v>
      </c>
      <c r="F22" s="7">
        <v>4.3</v>
      </c>
      <c r="G22" s="7">
        <v>0.136</v>
      </c>
    </row>
    <row r="23" spans="1:7">
      <c r="A23" t="s">
        <v>111</v>
      </c>
      <c r="B23" s="8">
        <v>1.417</v>
      </c>
      <c r="C23" s="7">
        <v>2286</v>
      </c>
      <c r="D23">
        <v>3.92</v>
      </c>
      <c r="E23" s="7">
        <v>0.331</v>
      </c>
      <c r="F23" s="7">
        <v>4.5</v>
      </c>
      <c r="G23" s="7">
        <v>0.1</v>
      </c>
    </row>
    <row r="24" spans="1:7">
      <c r="A24" t="s">
        <v>112</v>
      </c>
      <c r="B24" s="8">
        <v>1.647</v>
      </c>
      <c r="C24" s="7">
        <v>2653</v>
      </c>
      <c r="D24">
        <v>1.68</v>
      </c>
      <c r="E24" s="7">
        <v>0.333</v>
      </c>
      <c r="F24" s="7">
        <v>1.66</v>
      </c>
      <c r="G24" s="7">
        <v>0.108</v>
      </c>
    </row>
    <row r="25" spans="1:7">
      <c r="A25" t="s">
        <v>113</v>
      </c>
      <c r="B25" s="8">
        <v>2.367</v>
      </c>
      <c r="C25" s="7">
        <v>3804</v>
      </c>
      <c r="D25">
        <v>3.37</v>
      </c>
      <c r="E25" s="7">
        <v>0.465</v>
      </c>
      <c r="F25" s="7">
        <v>3.09</v>
      </c>
      <c r="G25" s="7">
        <v>0.167</v>
      </c>
    </row>
    <row r="26" spans="1:7">
      <c r="A26" t="s">
        <v>114</v>
      </c>
      <c r="B26" s="8">
        <v>3.907</v>
      </c>
      <c r="C26" s="7">
        <v>6278</v>
      </c>
      <c r="D26">
        <v>5.82</v>
      </c>
      <c r="E26" s="7">
        <v>0.753</v>
      </c>
      <c r="F26" s="7">
        <v>3.85</v>
      </c>
      <c r="G26" s="7">
        <v>0.26</v>
      </c>
    </row>
    <row r="28" spans="1:7">
      <c r="A28" s="10" t="s">
        <v>115</v>
      </c>
      <c r="D28" s="2" t="s">
        <v>116</v>
      </c>
      <c r="E28" s="2" t="s">
        <v>120</v>
      </c>
      <c r="F28" s="2" t="s">
        <v>118</v>
      </c>
      <c r="G28" s="2" t="s">
        <v>121</v>
      </c>
    </row>
    <row r="29" spans="1:7">
      <c r="D29" s="2" t="s">
        <v>117</v>
      </c>
      <c r="F29" s="2" t="s">
        <v>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8"/>
  <sheetViews>
    <sheetView workbookViewId="0"/>
  </sheetViews>
  <sheetFormatPr defaultRowHeight="15"/>
  <cols>
    <col min="1" max="1" width="45.7109375" customWidth="1"/>
    <col min="2" max="10" width="12.7109375" customWidth="1"/>
  </cols>
  <sheetData>
    <row r="1" spans="1:10">
      <c r="A1" s="1" t="s">
        <v>122</v>
      </c>
    </row>
    <row r="2" spans="1:10">
      <c r="A2" s="2" t="s">
        <v>123</v>
      </c>
    </row>
    <row r="5" spans="1:10">
      <c r="A5" s="6" t="s">
        <v>124</v>
      </c>
      <c r="B5" s="6" t="s">
        <v>105</v>
      </c>
      <c r="C5" s="6" t="s">
        <v>106</v>
      </c>
      <c r="D5" s="6" t="s">
        <v>108</v>
      </c>
      <c r="E5" s="6" t="s">
        <v>109</v>
      </c>
      <c r="F5" s="6" t="s">
        <v>110</v>
      </c>
      <c r="G5" s="6" t="s">
        <v>111</v>
      </c>
      <c r="H5" s="6" t="s">
        <v>112</v>
      </c>
      <c r="I5" s="6" t="s">
        <v>113</v>
      </c>
      <c r="J5" s="6" t="s">
        <v>114</v>
      </c>
    </row>
    <row r="6" spans="1:10">
      <c r="A6" t="s">
        <v>125</v>
      </c>
      <c r="B6" s="7">
        <v>583</v>
      </c>
      <c r="C6" s="7">
        <v>543</v>
      </c>
      <c r="D6" s="7">
        <v>500</v>
      </c>
      <c r="E6" s="7">
        <v>1088</v>
      </c>
      <c r="F6" s="7">
        <v>673</v>
      </c>
      <c r="G6" s="7">
        <v>-359</v>
      </c>
      <c r="H6" s="7">
        <v>2512</v>
      </c>
      <c r="I6" s="7">
        <v>1663</v>
      </c>
      <c r="J6" s="7">
        <v>1260</v>
      </c>
    </row>
    <row r="7" spans="1:10">
      <c r="A7" t="s">
        <v>126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</row>
    <row r="8" spans="1:10">
      <c r="A8" t="s">
        <v>127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</row>
    <row r="9" spans="1:10">
      <c r="A9" t="s">
        <v>128</v>
      </c>
      <c r="B9" s="7">
        <f>B6-B7-B8</f>
        <v>0</v>
      </c>
      <c r="C9" s="7">
        <f>C6-C7-C8</f>
        <v>0</v>
      </c>
      <c r="D9" s="7">
        <f>D6-D7-D8</f>
        <v>0</v>
      </c>
      <c r="E9" s="7">
        <f>E6-E7-E8</f>
        <v>0</v>
      </c>
      <c r="F9" s="7">
        <f>F6-F7-F8</f>
        <v>0</v>
      </c>
      <c r="G9" s="7">
        <f>G6-G7-G8</f>
        <v>0</v>
      </c>
      <c r="H9" s="7">
        <f>H6-H7-H8</f>
        <v>0</v>
      </c>
      <c r="I9" s="7">
        <f>I6-I7-I8</f>
        <v>0</v>
      </c>
      <c r="J9" s="7">
        <f>J6-J7-J8</f>
        <v>0</v>
      </c>
    </row>
    <row r="10" spans="1:10">
      <c r="A10" t="s">
        <v>129</v>
      </c>
      <c r="B10" s="9">
        <v>0.03031405990016639</v>
      </c>
      <c r="C10" s="9">
        <v>0.02656815735394853</v>
      </c>
      <c r="D10" s="9">
        <v>0.02485830764641543</v>
      </c>
      <c r="E10" s="9">
        <v>0.0536436248890642</v>
      </c>
      <c r="F10" s="9">
        <v>0.03272550449793338</v>
      </c>
      <c r="G10" s="9">
        <v>-0.01564065699472836</v>
      </c>
      <c r="H10" s="9">
        <v>0.1021969080553295</v>
      </c>
      <c r="I10" s="9">
        <v>0.07286828498816932</v>
      </c>
      <c r="J10" s="9">
        <v>0.05225830533781262</v>
      </c>
    </row>
    <row r="12" spans="1:10">
      <c r="A12" s="10" t="s">
        <v>130</v>
      </c>
    </row>
    <row r="13" spans="1:10">
      <c r="A13" s="2" t="s">
        <v>131</v>
      </c>
    </row>
    <row r="15" spans="1:10">
      <c r="A15" s="12" t="s">
        <v>132</v>
      </c>
    </row>
    <row r="16" spans="1:10">
      <c r="A16" s="12" t="s">
        <v>133</v>
      </c>
    </row>
    <row r="17" spans="1:1">
      <c r="A17" s="12" t="s">
        <v>134</v>
      </c>
    </row>
    <row r="18" spans="1:1">
      <c r="A18" s="12" t="s">
        <v>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1" t="s">
        <v>136</v>
      </c>
    </row>
    <row r="4" spans="1:2" ht="30" customHeight="1">
      <c r="A4" s="10" t="s">
        <v>137</v>
      </c>
      <c r="B4" s="14" t="s">
        <v>138</v>
      </c>
    </row>
    <row r="5" spans="1:2" ht="30" customHeight="1">
      <c r="A5" s="10" t="s">
        <v>139</v>
      </c>
      <c r="B5" s="14" t="s">
        <v>140</v>
      </c>
    </row>
    <row r="6" spans="1:2" ht="30" customHeight="1">
      <c r="A6" s="10" t="s">
        <v>141</v>
      </c>
      <c r="B6" s="14" t="s">
        <v>142</v>
      </c>
    </row>
    <row r="7" spans="1:2" ht="30" customHeight="1">
      <c r="A7" s="10" t="s">
        <v>143</v>
      </c>
      <c r="B7" s="14" t="s">
        <v>144</v>
      </c>
    </row>
    <row r="8" spans="1:2" ht="30" customHeight="1">
      <c r="A8" s="10" t="s">
        <v>145</v>
      </c>
      <c r="B8" s="14" t="s">
        <v>146</v>
      </c>
    </row>
    <row r="9" spans="1:2" ht="30" customHeight="1">
      <c r="A9" s="10" t="s">
        <v>147</v>
      </c>
      <c r="B9" s="14" t="s">
        <v>148</v>
      </c>
    </row>
    <row r="10" spans="1:2" ht="30" customHeight="1">
      <c r="A10" s="10" t="s">
        <v>149</v>
      </c>
      <c r="B10" s="14" t="s">
        <v>150</v>
      </c>
    </row>
    <row r="11" spans="1:2" ht="30" customHeight="1">
      <c r="A11" s="10" t="s">
        <v>151</v>
      </c>
      <c r="B11" s="14" t="s">
        <v>152</v>
      </c>
    </row>
    <row r="12" spans="1:2" ht="30" customHeight="1">
      <c r="A12" s="10" t="s">
        <v>153</v>
      </c>
      <c r="B12" s="14" t="s">
        <v>154</v>
      </c>
    </row>
    <row r="13" spans="1:2" ht="30" customHeight="1">
      <c r="A13" s="10" t="s">
        <v>155</v>
      </c>
      <c r="B13" s="14" t="s">
        <v>156</v>
      </c>
    </row>
    <row r="14" spans="1:2" ht="30" customHeight="1">
      <c r="A14" s="10" t="s">
        <v>157</v>
      </c>
      <c r="B14" s="14" t="s">
        <v>158</v>
      </c>
    </row>
    <row r="15" spans="1:2" ht="30" customHeight="1">
      <c r="A15" s="10" t="s">
        <v>159</v>
      </c>
      <c r="B15" s="14" t="s">
        <v>160</v>
      </c>
    </row>
    <row r="16" spans="1:2" ht="30" customHeight="1">
      <c r="A16" s="10" t="s">
        <v>161</v>
      </c>
      <c r="B16" s="14" t="s">
        <v>162</v>
      </c>
    </row>
    <row r="17" spans="1:2" ht="30" customHeight="1">
      <c r="A17" s="10" t="s">
        <v>163</v>
      </c>
      <c r="B17" s="14" t="s">
        <v>164</v>
      </c>
    </row>
    <row r="18" spans="1:2" ht="30" customHeight="1">
      <c r="A18" s="10" t="s">
        <v>165</v>
      </c>
      <c r="B18" s="14" t="s">
        <v>166</v>
      </c>
    </row>
    <row r="19" spans="1:2" ht="30" customHeight="1">
      <c r="A19" s="10" t="s">
        <v>167</v>
      </c>
      <c r="B19" s="14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DCF Model</vt:lpstr>
      <vt:lpstr>WACC Build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2026-08-10T09:13:23Z</dcterms:created>
  <dcterms:modified xsi:type="dcterms:W3CDTF">2026-08-10T09:13:23Z</dcterms:modified>
</cp:coreProperties>
</file>