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<sst xmlns="http://schemas.openxmlformats.org/spreadsheetml/2006/main" count="390" uniqueCount="193">
  <si>
    <t xml:space="preserve">Ticker</t>
  </si>
  <si>
    <t xml:space="preserve">FCG.NZ</t>
  </si>
  <si>
    <t xml:space="preserve">Company</t>
  </si>
  <si>
    <t xml:space="preserve">Fonterra Co-operative Group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</si>
  <si>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</si>
  <si>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</si>
  <si>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</si>
  <si>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</si>
  <si>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2026-09-25T04:32:31Z (Yahoo regularMarketTime, NZX session)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</si>
  <si>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</si>
  <si>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</si>
  <si>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</si>
  <si>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</si>
  <si>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</si>
  <si>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</si>
  <si>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</si>
  <si>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</si>
  <si>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</si>
  <si>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</si>
  <si>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</si>
  <si>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</si>
  <si>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2026-09-25T13:40:28Z</t>
  </si>
  <si>
    <t xml:space="preserve">Drivers file</t>
  </si>
  <si>
    <t xml:space="preserve">FCG.NZ_Drivers.json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</si>
  <si>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</si>
  <si>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</si>
  <si>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</si>
  <si>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FCG.NZ is valued per Fonterra co-operative share on continuing (post-Mainland) operations only: an unlevered, mid-cycle owner-FCF DCF over 10 years with the adjusted net debt at 31-Jul-2026 deducted once. The Mainland proceeds and the $3.2bn capital return are already inside that balance sheet. The value is dominated by two judgments: the mid-cycle EBIT margin (6.3% base) and the 2% restricted-market premium in an 11% WACC. The FY27-29 capex programme holds near-term owner FCF well below earnings, so P/E comparisons flatter the stock relative to cash returns.
why_not_growth_dcf: Fonterra is a cyclical commodity processor, not a compounder: NZ milk collections are structurally capped, revenue growth is essentially milk-price inflation, and margins swing with the Global Dairy Trade cycle. The base therefore mean-reverts margins rather than extrapolating FY26-27.
key_risks_to_valuation: Mid-cycle margin: each 0.5pp of steady-state EBIT margin is worth roughly $0.65-0.70 per share (about 100m/yr of after-tax FCF capitalised at 11% less 2% growth); Capex returns: ~$4.3bn over FY27-29 is modelled to hold margins, not lift them; if it earns nothing the base is too high, if it earns the cost of capital the bull's mix story applies; Restricted-market illiquidity premium (2%): removing it takes WACC to ~9% and lifts value materially; it is a judgment about the farmer-only market, not about the business; Milk price and GDT volatility: FY27 guidance spans 65-85c on only two months of the season; Price reference: the NZX print for FCG is a thin farmer-only market and diverges widely from FSF.NZ; upside/downside against it is less informative than for a liquid security
unchanged_judgments: Deliberately left alone: entity framing (FCG vs FSF), probability weights 30/50/20, base growth Y2-Y5 (2.8/2.6/2.4/2.2), bear growth Y2-Y5, terminal growth (2.0 / 2.5 / 1.5), terminal caps (13 / 14 / 13), the 2.0% restricted-market illiquidity premium, lease treatment (A), SBC nil. Evidence that would move them: a board decision on the Fund cap or a farmer-only Fund market (illiquidity premium and entity framing); a structural change in NZ milk supply from methane pricing (growth); a sustained GDT regime shift (terminal growth).</t>
  </si>
  <si>
    <t xml:space="preserve">Data sources</t>
  </si>
  <si>
    <t xml:space="preserve">price: Yahoo Finance chart API at inputs.price_as_of; 52-week range 3.833-5.00
financials: FY2026 Annual Report (31-Jul-2026, NZX announcement 480426, released 24-Sep-2026) for balance sheet, adjusted net debt, cash flow, D&amp;A, NCI and share count; FY26 results presentation for underlying (pro forma continuing) P&amp;L, capex guidance and working-capital commentary; Metrics.csv for FY2017-H1-2026 history
qualitative: FCG.NZ_Analysis.json (2026-09-26) and the FY26 results release: FY27 EPS guidance 65-85c, 2026/27 Farmgate Milk Price $9.50/kgMS ($8.50-10.50), capital invested $1.3-1.6bn/yr FY27-FY29</t>
  </si>
  <si>
    <t xml:space="preserve">Scenario narrative: bear</t>
  </si>
  <si>
    <t xml:space="preserve">GDT weakness from surging US/EU milk supply and China's rising self-sufficiency produce an FY18/19-style trough (EBIT 3% in FY28) just as ~$3bn of new capacity is commissioned under a new CEO; NZ methane pricing starts to shrink the milk pool. Margins settle at 4.5% EBIT, revenue grows ~1-1.5%, terminal growth 1.5%.</t>
  </si>
  <si>
    <t xml:space="preserve">Scenario narrative: base</t>
  </si>
  <si>
    <t xml:space="preserve">Fonterra runs as a focused B2B processor. FY27 lands on the 65-85c guidance midpoint (EBIT ~7.4%), then margins mean-revert to a 6.3% EBIT mid-cycle, above pre-divestment history because the loss-making Consumer, China farms and Beingmate assets are gone, and below FY26-27. Revenue follows milk-price inflation on capped NZ volumes (~2-2.8%/yr). The FY27-29 capex programme (~$1.45bn/yr) holds FCF to ~$0.2-0.4bn a year and earns only enough to defend margins.</t>
  </si>
  <si>
    <t xml:space="preserve">Scenario narrative: bull</t>
  </si>
  <si>
    <t xml:space="preserve">Protein and Foodservice mix shift works: the South Island protein network and Studholme move milk out of commodity powders into advanced proteins, Foodservice (11.2% EBIT in FY26) keeps compounding in Greater China and Southeast Asia, and the ERP roll-out lowers cost per kgMS. EBIT holds ~7.5-7.8% through the cycle with 3-4% revenue growth; 2.5% terminal growth, 14x cap.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</si>
  <si>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</si>
  <si>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</si>
  <si>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</si>
  <si>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</si>
  <si>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2026-08-10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</si>
  <si>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</si>
  <si>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</si>
  <si>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</si>
  <si>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</si>
  <si>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</si>
  <si>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</si>
  <si>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Prior was a hand-built 5-year EBIT-margin model with per-scenario WACC (12.75 / 11.25 / 14.75), net finance costs deducted inside the flows AND net debt deducted in the bridge, and a 2,300 ESTIMATED net debt. Price refreshed to 5.00 on 2026-08-12 without a rebuild.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</si>
  <si>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</si>
  <si>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</si>
  <si>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</si>
  <si>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</si>
  <si>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</si>
  <si>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</si>
  <si>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</si>
  <si>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(2026-08-10, hand-built 5-yr model)</t>
  </si>
  <si>
    <t xml:space="preserve">Methodology: prior drivers re-run through make build-dcf -- net finance costs no longer deducted in the flows while net debt is also deducted (interest double-count removed), NCI 4% folded into cash tax, working capital as a use on revenue change</t>
  </si>
  <si>
    <t xml:space="preserve">Methodology: one 11.0% WACC for all scenarios replaces 12.75/11.25/14.75 (cyclicality, concentration and governance premiums removed; risk now charged once, in the bear flows and 30% weight; 2.0% restricted-market premium kept)</t>
  </si>
  <si>
    <t xml:space="preserve">Anchor refresh: FY26 actual underlying revenue 25,240 as FY0 (vs 22,267 blended base), adjusted net debt 1,653 at 31-Jul-2026 (vs 2,300 estimate), equity bridge -185 (Mainland receivable +160, WC timing -345), shares 1,606.6m (ex-treasury)</t>
  </si>
  <si>
    <t xml:space="preserve">Methodology: horizon 5 -&gt; 10 years (prior paths extended at their last value)</t>
  </si>
  <si>
    <t xml:space="preserve">Driver changes from FY26 results/FY27 guidance: capex to $1.3-1.6bn/yr FY27-29 then 3.3% (was 2.8-&gt;2.4%), D&amp;A 2.1-&gt;2.6%, cash tax+NCI 31.5% (was ~29.9%), mid-cycle EBIT raised 5.6-&gt;6.3% base (bull ~7.5%, bear 4.5%), FY27 at guidance midpoint, WC use 20-&gt;15%</t>
  </si>
  <si>
    <t xml:space="preserve">Price move since the prior build (no effect on IV; upside changes only -- see prior_version.price_then and current_price)</t>
  </si>
  <si>
    <t xml:space="preserve">2026-09-26 re-run after FY2026 core_metrics ingestion: Drivers already anchored on FY26 annual report actuals (25,240 pro-forma continuing revenue, 1,653 adjusted net debt, 1,606.584m shares); no driver or anchor changed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</si>
  <si>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</si>
  <si>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</si>
  <si>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</si>
  <si>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</si>
  <si>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</si>
  <si>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</si>
  <si>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</si>
  <si>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</si>
  <si>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</si>
  <si>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</si>
  <si>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</si>
  <si>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</si>
  <si>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</si>
  <si>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</si>
  <si>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</si>
  <si>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</si>
  <si>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</si>
  <si>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</si>
  <si>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</si>
  <si>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</si>
  <si>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</si>
  <si>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</si>
  <si>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</si>
  <si>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</si>
  <si>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</si>
  <si>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</si>
  <si>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</si>
  <si>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</si>
  <si>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</si>
  <si>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CapitalReturn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</si>
  <si>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</si>
  <si>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</si>
  <si>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</si>
  <si>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</si>
  <si>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</si>
  <si>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</si>
  <si>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</si>
  <si>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</si>
  <si>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</si>
  <si>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</si>
  <si>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</si>
  <si>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</si>
  <si>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</si>
  <si>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</si>
  <si>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</si>
  <si>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</si>
  <si>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</si>
  <si>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</si>
  <si>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</si>
  <si>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</si>
  <si>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</si>
  <si>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</si>
  <si>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</si>
  <si>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</si>
  <si>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</si>
  <si>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</si>
  <si>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</si>
  <si>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</si>
  <si>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</si>
  <si>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</si>
  <si>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</si>
  <si>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</si>
  <si>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</si>
  <si>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</si>
  <si>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</si>
  <si>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</si>
  <si>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</si>
  <si>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</si>
  <si>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</si>
  <si>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</si>
  <si>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</si>
  <si>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</si>
  <si>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</si>
  <si>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</si>
  <si>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</si>
  <si>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</si>
  <si>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FCG.NZ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</si>
  <si>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</si>
  <si>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</si>
  <si>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</si>
  <si>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</si>
  <si>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</si>
  <si>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</si>
  <si>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</si>
  <si>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</si>
  <si>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</si>
  <si>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</si>
  <si>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</si>
  <si>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</si>
  <si>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</si>
  <si>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</si>
  <si>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</si>
  <si>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</si>
  <si>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</si>
  <si>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</si>
  <si>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</si>
  <si>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</si>
  <si>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</si>
  <si>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</si>
  <si>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</si>
  <si>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</si>
  <si>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</si>
  <si>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</si>
  <si>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</si>
  <si>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</si>
  <si>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</si>
  <si>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</si>
  <si>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FCG.NZ owner-FCF component DCF: base case (millions, NZD)</t>
  </si>
  <si>
    <t xml:space="preserve">FCG.NZ owner-FCF component DCF: bull case (millions, NZD)</t>
  </si>
  <si>
    <t xml:space="preserve">FCG.NZ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</si>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</sst>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46.2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4.25</v>
      </c>
    </row>
    <row r="4" customFormat="false" ht="15" hidden="false" customHeight="false" outlineLevel="0" collapsed="false">
      <c r="A4" s="0" t="s">
        <v>42</v>
      </c>
      <c r="B4" s="0" t="n">
        <v>0.475</v>
      </c>
    </row>
    <row r="5" customFormat="false" ht="15" hidden="false" customHeight="false" outlineLevel="0" collapsed="false">
      <c r="A5" s="0" t="s">
        <v>43</v>
      </c>
      <c r="B5" s="0" t="n">
        <v>2.421</v>
      </c>
    </row>
    <row r="6" customFormat="false" ht="15" hidden="false" customHeight="false" outlineLevel="0" collapsed="false">
      <c r="A6" s="0" t="s">
        <v>44</v>
      </c>
      <c r="B6" s="0" t="n">
        <v>4.749</v>
      </c>
    </row>
    <row r="7" customFormat="false" ht="15" hidden="false" customHeight="false" outlineLevel="0" collapsed="false">
      <c r="A7" s="0" t="s">
        <v>45</v>
      </c>
      <c r="B7" s="0" t="n">
        <v>2.303</v>
      </c>
    </row>
    <row r="8" customFormat="false" ht="15" hidden="false" customHeight="false" outlineLevel="0" collapsed="false">
      <c r="A8" s="0" t="s">
        <v>46</v>
      </c>
      <c r="B8" s="0" t="s">
        <v>47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4.98</v>
      </c>
    </row>
    <row r="11" customFormat="false" ht="15" hidden="false" customHeight="false" outlineLevel="0" collapsed="false">
      <c r="A11" s="0" t="s">
        <v>50</v>
      </c>
      <c r="B11" s="0" t="n">
        <v>1.81</v>
      </c>
    </row>
    <row r="12" customFormat="false" ht="15" hidden="false" customHeight="false" outlineLevel="0" collapsed="false">
      <c r="A12" s="0" t="s">
        <v>51</v>
      </c>
      <c r="B12" s="0" t="n">
        <v>3.86</v>
      </c>
    </row>
    <row r="13" customFormat="false" ht="15" hidden="false" customHeight="false" outlineLevel="0" collapsed="false">
      <c r="A13" s="0" t="s">
        <v>52</v>
      </c>
      <c r="B13" s="0" t="n">
        <v>5.53</v>
      </c>
    </row>
    <row r="14" customFormat="false" ht="15" hidden="false" customHeight="false" outlineLevel="0" collapsed="false">
      <c r="A14" s="0" t="s">
        <v>53</v>
      </c>
      <c r="B14" s="0" t="n">
        <v>3.58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2.303</v>
      </c>
    </row>
    <row r="18" customFormat="false" ht="15" hidden="false" customHeight="false" outlineLevel="0" collapsed="false">
      <c r="A18" s="0" t="s">
        <v>56</v>
      </c>
      <c r="B18" s="0" t="n">
        <v>0.487</v>
      </c>
    </row>
    <row r="19" customFormat="false" ht="15" hidden="false" customHeight="false" outlineLevel="0" collapsed="false">
      <c r="A19" s="0" t="s">
        <v>57</v>
      </c>
      <c r="B19" s="0" t="n">
        <v>0.78</v>
      </c>
    </row>
    <row r="20" customFormat="false" ht="15" hidden="false" customHeight="false" outlineLevel="0" collapsed="false">
      <c r="A20" s="0" t="s">
        <v>58</v>
      </c>
      <c r="B20" s="0" t="n">
        <v>0.97</v>
      </c>
    </row>
    <row r="21" customFormat="false" ht="15" hidden="false" customHeight="false" outlineLevel="0" collapsed="false">
      <c r="A21" s="0" t="s">
        <v>59</v>
      </c>
      <c r="B21" s="0" t="n">
        <v>0.04</v>
      </c>
    </row>
    <row r="22" customFormat="false" ht="15" hidden="false" customHeight="false" outlineLevel="0" collapsed="false">
      <c r="A22" s="0" t="s">
        <v>60</v>
      </c>
      <c r="B22" s="0" t="n">
        <v>-1</v>
      </c>
    </row>
    <row r="23" customFormat="false" ht="15" hidden="false" customHeight="false" outlineLevel="0" collapsed="false">
      <c r="A23" s="0" t="s">
        <v>61</v>
      </c>
      <c r="B23" s="0" t="n">
        <v>0</v>
      </c>
    </row>
    <row r="24" customFormat="false" ht="15" hidden="false" customHeight="false" outlineLevel="0" collapsed="false">
      <c r="A24" s="0" t="s">
        <v>62</v>
      </c>
      <c r="B24" s="0" t="n">
        <v>0</v>
      </c>
    </row>
    <row r="25" customFormat="false" ht="15" hidden="false" customHeight="false" outlineLevel="0" collapsed="false">
      <c r="A25" s="0" t="s">
        <v>63</v>
      </c>
      <c r="B25" s="0" t="n">
        <v>3.58</v>
      </c>
      <c r="C25" s="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16</v>
      </c>
      <c r="AB1" s="2" t="s">
        <v>91</v>
      </c>
      <c r="AC1" s="2" t="s">
        <v>92</v>
      </c>
    </row>
    <row r="2" customFormat="false" ht="15" hidden="false" customHeight="false" outlineLevel="0" collapsed="false">
      <c r="A2" s="0" t="s">
        <v>93</v>
      </c>
      <c r="B2" s="0" t="n">
        <v>19232</v>
      </c>
      <c r="C2" s="0" t="n">
        <v>15968</v>
      </c>
      <c r="D2" s="0" t="n">
        <v>3264</v>
      </c>
      <c r="E2" s="0" t="n">
        <v>17</v>
      </c>
      <c r="F2" s="0" t="n">
        <v>1120</v>
      </c>
      <c r="G2" s="0" t="n">
        <v>5.8</v>
      </c>
      <c r="H2" s="0" t="n">
        <v>1646</v>
      </c>
      <c r="I2" s="0" t="n">
        <v>745</v>
      </c>
      <c r="J2" s="0" t="n">
        <v>3.9</v>
      </c>
      <c r="K2" s="0" t="n">
        <v>0.46</v>
      </c>
      <c r="L2" s="0" t="n">
        <v>1376</v>
      </c>
      <c r="M2" s="0" t="n">
        <v>793</v>
      </c>
      <c r="N2" s="0" t="n">
        <v>583</v>
      </c>
      <c r="O2" s="0" t="n">
        <v>7248</v>
      </c>
      <c r="P2" s="0" t="n">
        <v>17842</v>
      </c>
      <c r="Q2" s="0" t="n">
        <v>10594</v>
      </c>
      <c r="R2" s="0" t="n">
        <v>6263</v>
      </c>
      <c r="S2" s="0" t="n">
        <v>393</v>
      </c>
      <c r="T2" s="0" t="n">
        <v>1604.744</v>
      </c>
      <c r="U2" s="0" t="n">
        <v>0</v>
      </c>
      <c r="AA2" s="0" t="s">
        <v>17</v>
      </c>
      <c r="AB2" s="0" t="s">
        <v>14</v>
      </c>
      <c r="AC2" s="0" t="n">
        <v>0</v>
      </c>
    </row>
    <row r="3" customFormat="false" ht="15" hidden="false" customHeight="false" outlineLevel="0" collapsed="false">
      <c r="A3" s="0" t="s">
        <v>94</v>
      </c>
      <c r="B3" s="0" t="n">
        <v>20438</v>
      </c>
      <c r="C3" s="0" t="n">
        <v>17279</v>
      </c>
      <c r="D3" s="0" t="n">
        <v>3159</v>
      </c>
      <c r="E3" s="0" t="n">
        <v>15.5</v>
      </c>
      <c r="F3" s="0" t="n">
        <v>262</v>
      </c>
      <c r="G3" s="0" t="n">
        <v>1.3</v>
      </c>
      <c r="H3" s="0" t="n">
        <v>806</v>
      </c>
      <c r="I3" s="0" t="n">
        <v>-196</v>
      </c>
      <c r="J3" s="0" t="n">
        <v>-1</v>
      </c>
      <c r="K3" s="0" t="n">
        <v>-0.14</v>
      </c>
      <c r="L3" s="0" t="n">
        <v>1548</v>
      </c>
      <c r="M3" s="0" t="n">
        <v>1005</v>
      </c>
      <c r="N3" s="0" t="n">
        <v>543</v>
      </c>
      <c r="O3" s="0" t="n">
        <v>6349</v>
      </c>
      <c r="P3" s="0" t="n">
        <v>18015</v>
      </c>
      <c r="Q3" s="0" t="n">
        <v>11666</v>
      </c>
      <c r="R3" s="0" t="n">
        <v>6738</v>
      </c>
      <c r="S3" s="0" t="n">
        <v>446</v>
      </c>
      <c r="T3" s="0" t="n">
        <v>1610.005</v>
      </c>
      <c r="U3" s="0" t="n">
        <v>0</v>
      </c>
      <c r="AA3" s="0" t="s">
        <v>17</v>
      </c>
      <c r="AB3" s="0" t="s">
        <v>14</v>
      </c>
      <c r="AC3" s="0" t="n">
        <v>0</v>
      </c>
    </row>
    <row r="4" customFormat="false" ht="15" hidden="false" customHeight="false" outlineLevel="0" collapsed="false">
      <c r="A4" s="0" t="s">
        <v>95</v>
      </c>
      <c r="B4" s="0" t="n">
        <v>20114</v>
      </c>
      <c r="C4" s="0" t="n">
        <v>17334</v>
      </c>
      <c r="D4" s="0" t="n">
        <v>2780</v>
      </c>
      <c r="E4" s="0" t="n">
        <v>13.8</v>
      </c>
      <c r="F4" s="0" t="n">
        <v>-10</v>
      </c>
      <c r="G4" s="0" t="n">
        <v>0</v>
      </c>
      <c r="H4" s="0" t="n">
        <v>551</v>
      </c>
      <c r="I4" s="0" t="n">
        <v>-605</v>
      </c>
      <c r="J4" s="0" t="n">
        <v>-3</v>
      </c>
      <c r="K4" s="0" t="n">
        <v>-0.35</v>
      </c>
      <c r="L4" s="0" t="n">
        <v>1123</v>
      </c>
      <c r="M4" s="0" t="n">
        <v>623</v>
      </c>
      <c r="N4" s="0" t="n">
        <v>500</v>
      </c>
      <c r="O4" s="0" t="n">
        <v>5881</v>
      </c>
      <c r="P4" s="0" t="n">
        <v>17074</v>
      </c>
      <c r="Q4" s="0" t="n">
        <v>11193</v>
      </c>
      <c r="R4" s="0" t="n">
        <v>6536</v>
      </c>
      <c r="S4" s="0" t="n">
        <v>550</v>
      </c>
      <c r="T4" s="0" t="n">
        <v>1611.98</v>
      </c>
      <c r="U4" s="0" t="n">
        <v>0</v>
      </c>
      <c r="AA4" s="0" t="s">
        <v>17</v>
      </c>
      <c r="AB4" s="0" t="s">
        <v>14</v>
      </c>
      <c r="AC4" s="0" t="n">
        <v>0</v>
      </c>
    </row>
    <row r="5" customFormat="false" ht="15" hidden="false" customHeight="false" outlineLevel="0" collapsed="false">
      <c r="A5" s="0" t="s">
        <v>96</v>
      </c>
      <c r="B5" s="0" t="n">
        <v>20282</v>
      </c>
      <c r="C5" s="0" t="n">
        <v>17220</v>
      </c>
      <c r="D5" s="0" t="n">
        <v>3062</v>
      </c>
      <c r="E5" s="0" t="n">
        <v>15.1</v>
      </c>
      <c r="F5" s="0" t="n">
        <v>1282</v>
      </c>
      <c r="G5" s="0" t="n">
        <v>6.3</v>
      </c>
      <c r="H5" s="0" t="n">
        <v>1774</v>
      </c>
      <c r="I5" s="0" t="n">
        <v>659</v>
      </c>
      <c r="J5" s="0" t="n">
        <v>3.2</v>
      </c>
      <c r="K5" s="0" t="n">
        <v>0.43</v>
      </c>
      <c r="L5" s="0" t="n">
        <v>1492</v>
      </c>
      <c r="M5" s="0" t="n">
        <v>404</v>
      </c>
      <c r="N5" s="0" t="n">
        <v>1088</v>
      </c>
      <c r="O5" s="0" t="n">
        <v>6703</v>
      </c>
      <c r="P5" s="0" t="n">
        <v>17916</v>
      </c>
      <c r="Q5" s="0" t="n">
        <v>11213</v>
      </c>
      <c r="R5" s="0" t="n">
        <v>6041</v>
      </c>
      <c r="S5" s="0" t="n">
        <v>788</v>
      </c>
      <c r="T5" s="0" t="n">
        <v>1612.076</v>
      </c>
      <c r="U5" s="0" t="n">
        <v>0</v>
      </c>
      <c r="AA5" s="0" t="s">
        <v>17</v>
      </c>
      <c r="AB5" s="0" t="s">
        <v>14</v>
      </c>
      <c r="AC5" s="0" t="n">
        <v>0</v>
      </c>
    </row>
    <row r="6" customFormat="false" ht="15" hidden="false" customHeight="false" outlineLevel="0" collapsed="false">
      <c r="A6" s="0" t="s">
        <v>97</v>
      </c>
      <c r="B6" s="0" t="n">
        <v>20565</v>
      </c>
      <c r="C6" s="0" t="n">
        <v>17581</v>
      </c>
      <c r="D6" s="0" t="n">
        <v>2984</v>
      </c>
      <c r="E6" s="0" t="n">
        <v>14.5</v>
      </c>
      <c r="F6" s="0" t="n">
        <v>887</v>
      </c>
      <c r="G6" s="0" t="n">
        <v>4.3</v>
      </c>
      <c r="H6" s="0" t="n">
        <v>1601</v>
      </c>
      <c r="I6" s="0" t="n">
        <v>599</v>
      </c>
      <c r="J6" s="0" t="n">
        <v>2.9</v>
      </c>
      <c r="K6" s="0" t="n">
        <v>0.36</v>
      </c>
      <c r="L6" s="0" t="n">
        <v>1194</v>
      </c>
      <c r="M6" s="0" t="n">
        <v>521</v>
      </c>
      <c r="N6" s="0" t="n">
        <v>673</v>
      </c>
      <c r="O6" s="0" t="n">
        <v>6869</v>
      </c>
      <c r="P6" s="0" t="n">
        <v>17341</v>
      </c>
      <c r="Q6" s="0" t="n">
        <v>10472</v>
      </c>
      <c r="R6" s="0" t="n">
        <v>5072</v>
      </c>
      <c r="S6" s="0" t="n">
        <v>985</v>
      </c>
      <c r="T6" s="0" t="n">
        <v>1613.105</v>
      </c>
      <c r="U6" s="0" t="n">
        <v>0</v>
      </c>
      <c r="AA6" s="0" t="s">
        <v>17</v>
      </c>
      <c r="AB6" s="0" t="s">
        <v>14</v>
      </c>
      <c r="AC6" s="0" t="n">
        <v>0</v>
      </c>
    </row>
    <row r="7" customFormat="false" ht="15" hidden="false" customHeight="false" outlineLevel="0" collapsed="false">
      <c r="A7" s="0" t="s">
        <v>98</v>
      </c>
      <c r="B7" s="0" t="n">
        <v>22953</v>
      </c>
      <c r="C7" s="0" t="n">
        <v>19737</v>
      </c>
      <c r="D7" s="0" t="n">
        <v>3216</v>
      </c>
      <c r="E7" s="0" t="n">
        <v>14</v>
      </c>
      <c r="F7" s="0" t="n">
        <v>1024</v>
      </c>
      <c r="G7" s="0" t="n">
        <v>4.5</v>
      </c>
      <c r="H7" s="0" t="n">
        <v>1611</v>
      </c>
      <c r="I7" s="0" t="n">
        <v>583</v>
      </c>
      <c r="J7" s="0" t="n">
        <v>2.5</v>
      </c>
      <c r="K7" s="0" t="n">
        <v>0.36</v>
      </c>
      <c r="L7" s="0" t="n">
        <v>193</v>
      </c>
      <c r="M7" s="0" t="n">
        <v>552</v>
      </c>
      <c r="N7" s="0" t="n">
        <v>-359</v>
      </c>
      <c r="O7" s="0" t="n">
        <v>6906</v>
      </c>
      <c r="P7" s="0" t="n">
        <v>18781</v>
      </c>
      <c r="Q7" s="0" t="n">
        <v>11875</v>
      </c>
      <c r="R7" s="0" t="n">
        <v>5256</v>
      </c>
      <c r="S7" s="0" t="n">
        <v>288</v>
      </c>
      <c r="T7" s="0" t="n">
        <v>1613.353</v>
      </c>
      <c r="U7" s="0" t="n">
        <v>0</v>
      </c>
      <c r="AA7" s="0" t="s">
        <v>17</v>
      </c>
      <c r="AB7" s="0" t="s">
        <v>14</v>
      </c>
      <c r="AC7" s="0" t="n">
        <v>0</v>
      </c>
    </row>
    <row r="8" customFormat="false" ht="15" hidden="false" customHeight="false" outlineLevel="0" collapsed="false">
      <c r="A8" s="0" t="s">
        <v>99</v>
      </c>
      <c r="B8" s="0" t="n">
        <v>24580</v>
      </c>
      <c r="C8" s="0" t="n">
        <v>20399</v>
      </c>
      <c r="D8" s="0" t="n">
        <v>4181</v>
      </c>
      <c r="E8" s="0" t="n">
        <v>17</v>
      </c>
      <c r="F8" s="0" t="n">
        <v>1755</v>
      </c>
      <c r="G8" s="0" t="n">
        <v>7.1</v>
      </c>
      <c r="H8" s="0" t="n">
        <v>2880</v>
      </c>
      <c r="I8" s="0" t="n">
        <v>1577</v>
      </c>
      <c r="J8" s="0" t="n">
        <v>6.4</v>
      </c>
      <c r="K8" s="0" t="n">
        <v>0.95</v>
      </c>
      <c r="L8" s="0" t="n">
        <v>3518</v>
      </c>
      <c r="M8" s="0" t="n">
        <v>670</v>
      </c>
      <c r="N8" s="0" t="n">
        <v>2848</v>
      </c>
      <c r="O8" s="0" t="n">
        <v>7968</v>
      </c>
      <c r="P8" s="0" t="n">
        <v>18601</v>
      </c>
      <c r="Q8" s="0" t="n">
        <v>10633</v>
      </c>
      <c r="R8" s="0" t="n">
        <v>3941</v>
      </c>
      <c r="S8" s="0" t="n">
        <v>1822</v>
      </c>
      <c r="T8" s="0" t="n">
        <v>1610.507</v>
      </c>
      <c r="U8" s="0" t="n">
        <v>1</v>
      </c>
      <c r="AA8" s="0" t="s">
        <v>17</v>
      </c>
      <c r="AB8" s="0" t="s">
        <v>14</v>
      </c>
      <c r="AC8" s="0" t="n">
        <v>0</v>
      </c>
    </row>
    <row r="9" customFormat="false" ht="15" hidden="false" customHeight="false" outlineLevel="0" collapsed="false">
      <c r="A9" s="0" t="s">
        <v>100</v>
      </c>
      <c r="B9" s="0" t="n">
        <v>22822</v>
      </c>
      <c r="C9" s="0" t="n">
        <v>19000</v>
      </c>
      <c r="D9" s="0" t="n">
        <v>3822</v>
      </c>
      <c r="E9" s="0" t="n">
        <v>16.7</v>
      </c>
      <c r="F9" s="0" t="n">
        <v>1560</v>
      </c>
      <c r="G9" s="0" t="n">
        <v>6.8</v>
      </c>
      <c r="H9" s="0" t="n">
        <v>2154</v>
      </c>
      <c r="I9" s="0" t="n">
        <v>1128</v>
      </c>
      <c r="J9" s="0" t="n">
        <v>4.9</v>
      </c>
      <c r="K9" s="0" t="n">
        <v>0.67</v>
      </c>
      <c r="L9" s="0" t="n">
        <v>2313</v>
      </c>
      <c r="M9" s="0" t="n">
        <v>650</v>
      </c>
      <c r="N9" s="0" t="n">
        <v>1663</v>
      </c>
      <c r="O9" s="0" t="n">
        <v>8175</v>
      </c>
      <c r="P9" s="0" t="n">
        <v>16679</v>
      </c>
      <c r="Q9" s="0" t="n">
        <v>8504</v>
      </c>
      <c r="R9" s="0" t="n">
        <v>3388</v>
      </c>
      <c r="S9" s="0" t="n">
        <v>540</v>
      </c>
      <c r="T9" s="0" t="n">
        <v>1606.934</v>
      </c>
      <c r="U9" s="0" t="n">
        <v>1</v>
      </c>
      <c r="AA9" s="0" t="s">
        <v>17</v>
      </c>
      <c r="AB9" s="0" t="s">
        <v>14</v>
      </c>
      <c r="AC9" s="0" t="n">
        <v>804</v>
      </c>
    </row>
    <row r="10" customFormat="false" ht="15" hidden="false" customHeight="false" outlineLevel="0" collapsed="false">
      <c r="A10" s="0" t="s">
        <v>101</v>
      </c>
      <c r="B10" s="0" t="n">
        <v>24111</v>
      </c>
      <c r="C10" s="0" t="n">
        <v>20826</v>
      </c>
      <c r="D10" s="0" t="n">
        <v>3285</v>
      </c>
      <c r="E10" s="0" t="n">
        <v>13.6</v>
      </c>
      <c r="F10" s="0" t="n">
        <v>1560</v>
      </c>
      <c r="G10" s="0" t="n">
        <v>6.5</v>
      </c>
      <c r="H10" s="0" t="n">
        <v>2367</v>
      </c>
      <c r="I10" s="0" t="n">
        <v>1079</v>
      </c>
      <c r="J10" s="0" t="n">
        <v>4.5</v>
      </c>
      <c r="K10" s="0" t="n">
        <v>0.65</v>
      </c>
      <c r="L10" s="0" t="n">
        <v>1960</v>
      </c>
      <c r="M10" s="0" t="n">
        <v>700</v>
      </c>
      <c r="N10" s="0" t="n">
        <v>1260</v>
      </c>
      <c r="O10" s="0" t="n">
        <v>8338</v>
      </c>
      <c r="P10" s="0" t="n">
        <v>17526</v>
      </c>
      <c r="Q10" s="0" t="n">
        <v>9188</v>
      </c>
      <c r="R10" s="0" t="n">
        <v>3138</v>
      </c>
      <c r="S10" s="0" t="n">
        <v>309</v>
      </c>
      <c r="T10" s="0" t="n">
        <v>1606.895</v>
      </c>
      <c r="U10" s="0" t="n">
        <v>3</v>
      </c>
      <c r="AA10" s="0" t="s">
        <v>17</v>
      </c>
      <c r="AB10" s="0" t="s">
        <v>14</v>
      </c>
      <c r="AC10" s="0" t="n">
        <v>0</v>
      </c>
    </row>
    <row r="11" customFormat="false" ht="15" hidden="false" customHeight="false" outlineLevel="0" collapsed="false">
      <c r="A11" s="0" t="s">
        <v>102</v>
      </c>
      <c r="B11" s="0" t="n">
        <v>25398</v>
      </c>
      <c r="C11" s="0" t="n">
        <v>21619</v>
      </c>
      <c r="D11" s="0" t="n">
        <v>3779</v>
      </c>
      <c r="E11" s="0" t="n">
        <v>14.9</v>
      </c>
      <c r="F11" s="0" t="n">
        <v>1998</v>
      </c>
      <c r="G11" s="0" t="n">
        <v>7.9</v>
      </c>
      <c r="H11" s="0" t="n">
        <v>3949</v>
      </c>
      <c r="I11" s="0" t="n">
        <v>2608</v>
      </c>
      <c r="J11" s="0" t="n">
        <v>10.3</v>
      </c>
      <c r="K11" s="0" t="n">
        <v>1.6</v>
      </c>
      <c r="L11" s="0" t="n">
        <v>2651</v>
      </c>
      <c r="M11" s="0" t="n">
        <v>1021</v>
      </c>
      <c r="N11" s="0" t="n">
        <v>1630</v>
      </c>
      <c r="O11" s="0" t="n">
        <v>6266</v>
      </c>
      <c r="P11" s="0" t="n">
        <v>15112</v>
      </c>
      <c r="Q11" s="0" t="n">
        <v>8846</v>
      </c>
      <c r="R11" s="0" t="n">
        <v>2847</v>
      </c>
      <c r="S11" s="0" t="n">
        <v>947</v>
      </c>
      <c r="T11" s="0" t="n">
        <v>1606.584</v>
      </c>
      <c r="U11" s="0" t="n">
        <v>11</v>
      </c>
      <c r="V11" s="0" t="n">
        <v>0.73</v>
      </c>
      <c r="W11" s="0" t="n">
        <v>2772</v>
      </c>
      <c r="X11" s="0" t="n">
        <v>25398</v>
      </c>
      <c r="Z11" s="0" t="n">
        <v>1840</v>
      </c>
      <c r="AA11" s="0" t="s">
        <v>17</v>
      </c>
      <c r="AB11" s="0" t="s">
        <v>14</v>
      </c>
      <c r="AC11" s="0" t="n">
        <v>3213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103</v>
      </c>
      <c r="B1" s="2" t="s">
        <v>37</v>
      </c>
    </row>
    <row r="2" customFormat="false" ht="15" hidden="false" customHeight="false" outlineLevel="0" collapsed="false">
      <c r="A2" s="0" t="s">
        <v>104</v>
      </c>
      <c r="B2" s="3" t="n">
        <v>4.98</v>
      </c>
    </row>
    <row r="3" customFormat="false" ht="15" hidden="false" customHeight="false" outlineLevel="0" collapsed="false">
      <c r="A3" s="0" t="s">
        <v>105</v>
      </c>
      <c r="B3" s="3" t="n">
        <v>1606.584</v>
      </c>
    </row>
    <row r="4" customFormat="false" ht="15" hidden="false" customHeight="false" outlineLevel="0" collapsed="false">
      <c r="A4" s="0" t="s">
        <v>106</v>
      </c>
      <c r="B4" s="3" t="n">
        <v>1653</v>
      </c>
    </row>
    <row r="5" customFormat="false" ht="15" hidden="false" customHeight="false" outlineLevel="0" collapsed="false">
      <c r="A5" s="0" t="s">
        <v>107</v>
      </c>
      <c r="B5" s="3" t="n">
        <v>-185</v>
      </c>
    </row>
    <row r="6" customFormat="false" ht="15" hidden="false" customHeight="false" outlineLevel="0" collapsed="false">
      <c r="A6" s="0" t="s">
        <v>108</v>
      </c>
      <c r="B6" s="3" t="n">
        <v>15</v>
      </c>
    </row>
    <row r="7" customFormat="false" ht="15" hidden="false" customHeight="false" outlineLevel="0" collapsed="false">
      <c r="A7" s="0" t="s">
        <v>109</v>
      </c>
      <c r="B7" s="3" t="n">
        <v>25240</v>
      </c>
    </row>
    <row r="8" customFormat="false" ht="15" hidden="false" customHeight="false" outlineLevel="0" collapsed="false">
      <c r="A8" s="0" t="s">
        <v>110</v>
      </c>
      <c r="B8" s="3" t="s">
        <v>102</v>
      </c>
    </row>
    <row r="9" customFormat="false" ht="15" hidden="false" customHeight="false" outlineLevel="0" collapsed="false">
      <c r="A9" s="0" t="s">
        <v>111</v>
      </c>
      <c r="B9" s="3" t="s">
        <v>112</v>
      </c>
    </row>
    <row r="10" customFormat="false" ht="15" hidden="false" customHeight="false" outlineLevel="0" collapsed="false">
      <c r="A10" s="0" t="s">
        <v>113</v>
      </c>
      <c r="B10" s="3" t="n">
        <v>1</v>
      </c>
    </row>
    <row r="12" customFormat="false" ht="15" hidden="false" customHeight="false" outlineLevel="0" collapsed="false">
      <c r="A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124</v>
      </c>
    </row>
    <row r="13" customFormat="false" ht="15" hidden="false" customHeight="false" outlineLevel="0" collapsed="false">
      <c r="A13" s="0" t="s">
        <v>125</v>
      </c>
      <c r="C13" s="3" t="n">
        <v>-1</v>
      </c>
      <c r="D13" s="3" t="n">
        <v>-1</v>
      </c>
      <c r="E13" s="3" t="n">
        <v>0.5</v>
      </c>
      <c r="F13" s="3" t="n">
        <v>1</v>
      </c>
      <c r="G13" s="3" t="n">
        <v>1.2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126</v>
      </c>
      <c r="C14" s="3" t="n">
        <v>8.7</v>
      </c>
      <c r="D14" s="3" t="n">
        <v>5.2</v>
      </c>
      <c r="E14" s="3" t="n">
        <v>5.85</v>
      </c>
      <c r="F14" s="3" t="n">
        <v>6.4</v>
      </c>
      <c r="G14" s="3" t="n">
        <v>7</v>
      </c>
      <c r="H14" s="3" t="n">
        <v>7</v>
      </c>
      <c r="I14" s="3" t="n">
        <v>7</v>
      </c>
      <c r="J14" s="3" t="n">
        <v>7</v>
      </c>
      <c r="K14" s="3" t="n">
        <v>7</v>
      </c>
      <c r="L14" s="3" t="n">
        <v>7</v>
      </c>
    </row>
    <row r="15" customFormat="false" ht="15" hidden="false" customHeight="false" outlineLevel="0" collapsed="false">
      <c r="A15" s="0" t="s">
        <v>127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128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129</v>
      </c>
      <c r="C17" s="3" t="n">
        <v>2.1</v>
      </c>
      <c r="D17" s="3" t="n">
        <v>2.2</v>
      </c>
      <c r="E17" s="3" t="n">
        <v>2.35</v>
      </c>
      <c r="F17" s="3" t="n">
        <v>2.4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130</v>
      </c>
      <c r="C18" s="3" t="n">
        <v>5.5</v>
      </c>
      <c r="D18" s="3" t="n">
        <v>4.8</v>
      </c>
      <c r="E18" s="3" t="n">
        <v>4.3</v>
      </c>
      <c r="F18" s="3" t="n">
        <v>3.2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131</v>
      </c>
      <c r="C19" s="3" t="n">
        <v>31.5</v>
      </c>
      <c r="D19" s="3" t="n">
        <v>31.5</v>
      </c>
      <c r="E19" s="3" t="n">
        <v>31.5</v>
      </c>
      <c r="F19" s="3" t="n">
        <v>31.5</v>
      </c>
      <c r="G19" s="3" t="n">
        <v>31.5</v>
      </c>
      <c r="H19" s="3" t="n">
        <v>31.5</v>
      </c>
      <c r="I19" s="3" t="n">
        <v>31.5</v>
      </c>
      <c r="J19" s="3" t="n">
        <v>31.5</v>
      </c>
      <c r="K19" s="3" t="n">
        <v>31.5</v>
      </c>
      <c r="L19" s="3" t="n">
        <v>31.5</v>
      </c>
    </row>
    <row r="20" customFormat="false" ht="15" hidden="false" customHeight="false" outlineLevel="0" collapsed="false">
      <c r="A20" s="0" t="s">
        <v>132</v>
      </c>
      <c r="B20" s="3" t="n">
        <v>11</v>
      </c>
    </row>
    <row r="21" customFormat="false" ht="15" hidden="false" customHeight="false" outlineLevel="0" collapsed="false">
      <c r="A21" s="0" t="s">
        <v>133</v>
      </c>
      <c r="B21" s="3" t="n">
        <v>1.5</v>
      </c>
    </row>
    <row r="22" customFormat="false" ht="15" hidden="false" customHeight="false" outlineLevel="0" collapsed="false">
      <c r="A22" s="0" t="s">
        <v>134</v>
      </c>
      <c r="B22" s="3" t="n">
        <v>13</v>
      </c>
    </row>
    <row r="23" customFormat="false" ht="15" hidden="false" customHeight="false" outlineLevel="0" collapsed="false">
      <c r="A23" s="0" t="s">
        <v>135</v>
      </c>
      <c r="B23" s="3" t="n">
        <v>-15</v>
      </c>
    </row>
    <row r="24" customFormat="false" ht="15" hidden="false" customHeight="false" outlineLevel="0" collapsed="false">
      <c r="A24" s="0" t="s">
        <v>136</v>
      </c>
      <c r="B24" s="3" t="n">
        <v>0.3</v>
      </c>
    </row>
    <row r="26" customFormat="false" ht="15" hidden="false" customHeight="false" outlineLevel="0" collapsed="false">
      <c r="A26" s="2" t="s">
        <v>137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119</v>
      </c>
      <c r="H26" s="2" t="s">
        <v>120</v>
      </c>
      <c r="I26" s="2" t="s">
        <v>121</v>
      </c>
      <c r="J26" s="2" t="s">
        <v>122</v>
      </c>
      <c r="K26" s="2" t="s">
        <v>123</v>
      </c>
      <c r="L26" s="2" t="s">
        <v>124</v>
      </c>
    </row>
    <row r="27" customFormat="false" ht="15" hidden="false" customHeight="false" outlineLevel="0" collapsed="false">
      <c r="A27" s="0" t="s">
        <v>125</v>
      </c>
      <c r="C27" s="3" t="n">
        <v>0.5</v>
      </c>
      <c r="D27" s="3" t="n">
        <v>2.8</v>
      </c>
      <c r="E27" s="3" t="n">
        <v>2.6</v>
      </c>
      <c r="F27" s="3" t="n">
        <v>2.4</v>
      </c>
      <c r="G27" s="3" t="n">
        <v>2.2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126</v>
      </c>
      <c r="C28" s="3" t="n">
        <v>9.5</v>
      </c>
      <c r="D28" s="3" t="n">
        <v>9.2</v>
      </c>
      <c r="E28" s="3" t="n">
        <v>9.05</v>
      </c>
      <c r="F28" s="3" t="n">
        <v>9</v>
      </c>
      <c r="G28" s="3" t="n">
        <v>8.9</v>
      </c>
      <c r="H28" s="3" t="n">
        <v>8.9</v>
      </c>
      <c r="I28" s="3" t="n">
        <v>8.9</v>
      </c>
      <c r="J28" s="3" t="n">
        <v>8.9</v>
      </c>
      <c r="K28" s="3" t="n">
        <v>8.9</v>
      </c>
      <c r="L28" s="3" t="n">
        <v>8.9</v>
      </c>
    </row>
    <row r="29" customFormat="false" ht="15" hidden="false" customHeight="false" outlineLevel="0" collapsed="false">
      <c r="A29" s="0" t="s">
        <v>127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128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129</v>
      </c>
      <c r="C31" s="3" t="n">
        <v>2.1</v>
      </c>
      <c r="D31" s="3" t="n">
        <v>2.2</v>
      </c>
      <c r="E31" s="3" t="n">
        <v>2.35</v>
      </c>
      <c r="F31" s="3" t="n">
        <v>2.5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130</v>
      </c>
      <c r="C32" s="3" t="n">
        <v>5.7</v>
      </c>
      <c r="D32" s="3" t="n">
        <v>5.6</v>
      </c>
      <c r="E32" s="3" t="n">
        <v>5.4</v>
      </c>
      <c r="F32" s="3" t="n">
        <v>3.8</v>
      </c>
      <c r="G32" s="3" t="n">
        <v>3.4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131</v>
      </c>
      <c r="C33" s="3" t="n">
        <v>31.5</v>
      </c>
      <c r="D33" s="3" t="n">
        <v>31.5</v>
      </c>
      <c r="E33" s="3" t="n">
        <v>31.5</v>
      </c>
      <c r="F33" s="3" t="n">
        <v>31.5</v>
      </c>
      <c r="G33" s="3" t="n">
        <v>31.5</v>
      </c>
      <c r="H33" s="3" t="n">
        <v>31.5</v>
      </c>
      <c r="I33" s="3" t="n">
        <v>31.5</v>
      </c>
      <c r="J33" s="3" t="n">
        <v>31.5</v>
      </c>
      <c r="K33" s="3" t="n">
        <v>31.5</v>
      </c>
      <c r="L33" s="3" t="n">
        <v>31.5</v>
      </c>
    </row>
    <row r="34" customFormat="false" ht="15" hidden="false" customHeight="false" outlineLevel="0" collapsed="false">
      <c r="A34" s="0" t="s">
        <v>132</v>
      </c>
      <c r="B34" s="3" t="n">
        <v>11</v>
      </c>
    </row>
    <row r="35" customFormat="false" ht="15" hidden="false" customHeight="false" outlineLevel="0" collapsed="false">
      <c r="A35" s="0" t="s">
        <v>133</v>
      </c>
      <c r="B35" s="3" t="n">
        <v>2</v>
      </c>
    </row>
    <row r="36" customFormat="false" ht="15" hidden="false" customHeight="false" outlineLevel="0" collapsed="false">
      <c r="A36" s="0" t="s">
        <v>134</v>
      </c>
      <c r="B36" s="3" t="n">
        <v>13</v>
      </c>
    </row>
    <row r="37" customFormat="false" ht="15" hidden="false" customHeight="false" outlineLevel="0" collapsed="false">
      <c r="A37" s="0" t="s">
        <v>135</v>
      </c>
      <c r="B37" s="3" t="n">
        <v>-15</v>
      </c>
    </row>
    <row r="38" customFormat="false" ht="15" hidden="false" customHeight="false" outlineLevel="0" collapsed="false">
      <c r="A38" s="0" t="s">
        <v>136</v>
      </c>
      <c r="B38" s="3" t="n">
        <v>0.5</v>
      </c>
    </row>
    <row r="40" customFormat="false" ht="15" hidden="false" customHeight="false" outlineLevel="0" collapsed="false">
      <c r="A40" s="2" t="s">
        <v>138</v>
      </c>
      <c r="C40" s="2" t="s">
        <v>115</v>
      </c>
      <c r="D40" s="2" t="s">
        <v>116</v>
      </c>
      <c r="E40" s="2" t="s">
        <v>117</v>
      </c>
      <c r="F40" s="2" t="s">
        <v>118</v>
      </c>
      <c r="G40" s="2" t="s">
        <v>119</v>
      </c>
      <c r="H40" s="2" t="s">
        <v>120</v>
      </c>
      <c r="I40" s="2" t="s">
        <v>121</v>
      </c>
      <c r="J40" s="2" t="s">
        <v>122</v>
      </c>
      <c r="K40" s="2" t="s">
        <v>123</v>
      </c>
      <c r="L40" s="2" t="s">
        <v>124</v>
      </c>
    </row>
    <row r="41" customFormat="false" ht="15" hidden="false" customHeight="false" outlineLevel="0" collapsed="false">
      <c r="A41" s="0" t="s">
        <v>125</v>
      </c>
      <c r="C41" s="3" t="n">
        <v>1.5</v>
      </c>
      <c r="D41" s="3" t="n">
        <v>4</v>
      </c>
      <c r="E41" s="3" t="n">
        <v>3.8</v>
      </c>
      <c r="F41" s="3" t="n">
        <v>3.5</v>
      </c>
      <c r="G41" s="3" t="n">
        <v>3.2</v>
      </c>
      <c r="H41" s="3" t="n">
        <v>3</v>
      </c>
      <c r="I41" s="3" t="n">
        <v>2.8</v>
      </c>
      <c r="J41" s="3" t="n">
        <v>2.6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126</v>
      </c>
      <c r="C42" s="3" t="n">
        <v>9.9</v>
      </c>
      <c r="D42" s="3" t="n">
        <v>10</v>
      </c>
      <c r="E42" s="3" t="n">
        <v>10.05</v>
      </c>
      <c r="F42" s="3" t="n">
        <v>10.1</v>
      </c>
      <c r="G42" s="3" t="n">
        <v>10.1</v>
      </c>
      <c r="H42" s="3" t="n">
        <v>10.1</v>
      </c>
      <c r="I42" s="3" t="n">
        <v>10.1</v>
      </c>
      <c r="J42" s="3" t="n">
        <v>10.1</v>
      </c>
      <c r="K42" s="3" t="n">
        <v>10.1</v>
      </c>
      <c r="L42" s="3" t="n">
        <v>10.1</v>
      </c>
    </row>
    <row r="43" customFormat="false" ht="15" hidden="false" customHeight="false" outlineLevel="0" collapsed="false">
      <c r="A43" s="0" t="s">
        <v>127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128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129</v>
      </c>
      <c r="C45" s="3" t="n">
        <v>2.1</v>
      </c>
      <c r="D45" s="3" t="n">
        <v>2.2</v>
      </c>
      <c r="E45" s="3" t="n">
        <v>2.35</v>
      </c>
      <c r="F45" s="3" t="n">
        <v>2.5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130</v>
      </c>
      <c r="C46" s="3" t="n">
        <v>5.7</v>
      </c>
      <c r="D46" s="3" t="n">
        <v>5.6</v>
      </c>
      <c r="E46" s="3" t="n">
        <v>5.4</v>
      </c>
      <c r="F46" s="3" t="n">
        <v>3.9</v>
      </c>
      <c r="G46" s="3" t="n">
        <v>3.5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131</v>
      </c>
      <c r="C47" s="3" t="n">
        <v>31.5</v>
      </c>
      <c r="D47" s="3" t="n">
        <v>31.5</v>
      </c>
      <c r="E47" s="3" t="n">
        <v>31.5</v>
      </c>
      <c r="F47" s="3" t="n">
        <v>31.5</v>
      </c>
      <c r="G47" s="3" t="n">
        <v>31.5</v>
      </c>
      <c r="H47" s="3" t="n">
        <v>31.5</v>
      </c>
      <c r="I47" s="3" t="n">
        <v>31.5</v>
      </c>
      <c r="J47" s="3" t="n">
        <v>31.5</v>
      </c>
      <c r="K47" s="3" t="n">
        <v>31.5</v>
      </c>
      <c r="L47" s="3" t="n">
        <v>31.5</v>
      </c>
    </row>
    <row r="48" customFormat="false" ht="15" hidden="false" customHeight="false" outlineLevel="0" collapsed="false">
      <c r="A48" s="0" t="s">
        <v>132</v>
      </c>
      <c r="B48" s="3" t="n">
        <v>11</v>
      </c>
    </row>
    <row r="49" customFormat="false" ht="15" hidden="false" customHeight="false" outlineLevel="0" collapsed="false">
      <c r="A49" s="0" t="s">
        <v>133</v>
      </c>
      <c r="B49" s="3" t="n">
        <v>2.5</v>
      </c>
    </row>
    <row r="50" customFormat="false" ht="15" hidden="false" customHeight="false" outlineLevel="0" collapsed="false">
      <c r="A50" s="0" t="s">
        <v>134</v>
      </c>
      <c r="B50" s="3" t="n">
        <v>14</v>
      </c>
    </row>
    <row r="51" customFormat="false" ht="15" hidden="false" customHeight="false" outlineLevel="0" collapsed="false">
      <c r="A51" s="0" t="s">
        <v>135</v>
      </c>
      <c r="B51" s="3" t="n">
        <v>-15</v>
      </c>
    </row>
    <row r="52" customFormat="false" ht="15" hidden="false" customHeight="false" outlineLevel="0" collapsed="false">
      <c r="A52" s="0" t="s">
        <v>136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Assumptions!C13</f>
        <v>-1</v>
      </c>
      <c r="D5" s="4" t="n">
        <f aca="false">Assumptions!D13</f>
        <v>-1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1.2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66</v>
      </c>
      <c r="B6" s="3" t="n">
        <v>25240</v>
      </c>
      <c r="C6" s="0" t="n">
        <f aca="false">B6*(1+C5/100)</f>
        <v>24987.6</v>
      </c>
      <c r="D6" s="0" t="n">
        <f aca="false">C6*(1+D5/100)</f>
        <v>24737.724</v>
      </c>
      <c r="E6" s="0" t="n">
        <f aca="false">D6*(1+E5/100)</f>
        <v>24861.41262</v>
      </c>
      <c r="F6" s="0" t="n">
        <f aca="false">E6*(1+F5/100)</f>
        <v>25110.0267462</v>
      </c>
      <c r="G6" s="0" t="n">
        <f aca="false">F6*(1+G5/100)</f>
        <v>25411.3470671544</v>
      </c>
      <c r="H6" s="0" t="n">
        <f aca="false">G6*(1+H5/100)</f>
        <v>25792.5172731617</v>
      </c>
      <c r="I6" s="0" t="n">
        <f aca="false">H6*(1+I5/100)</f>
        <v>26179.4050322591</v>
      </c>
      <c r="J6" s="0" t="n">
        <f aca="false">I6*(1+J5/100)</f>
        <v>26572.096107743</v>
      </c>
      <c r="K6" s="0" t="n">
        <f aca="false">J6*(1+K5/100)</f>
        <v>26970.6775493592</v>
      </c>
      <c r="L6" s="0" t="n">
        <f aca="false">K6*(1+L5/100)</f>
        <v>27375.2377125995</v>
      </c>
    </row>
    <row r="7" customFormat="false" ht="15" hidden="false" customHeight="false" outlineLevel="0" collapsed="false">
      <c r="A7" s="0" t="s">
        <v>126</v>
      </c>
      <c r="C7" s="4" t="n">
        <f aca="false">Assumptions!C14</f>
        <v>8.7</v>
      </c>
      <c r="D7" s="4" t="n">
        <f aca="false">Assumptions!D14</f>
        <v>5.2</v>
      </c>
      <c r="E7" s="4" t="n">
        <f aca="false">Assumptions!E14</f>
        <v>5.85</v>
      </c>
      <c r="F7" s="4" t="n">
        <f aca="false">Assumptions!F14</f>
        <v>6.4</v>
      </c>
      <c r="G7" s="4" t="n">
        <f aca="false">Assumptions!G14</f>
        <v>7</v>
      </c>
      <c r="H7" s="4" t="n">
        <f aca="false">Assumptions!H14</f>
        <v>7</v>
      </c>
      <c r="I7" s="4" t="n">
        <f aca="false">Assumptions!I14</f>
        <v>7</v>
      </c>
      <c r="J7" s="4" t="n">
        <f aca="false">Assumptions!J14</f>
        <v>7</v>
      </c>
      <c r="K7" s="4" t="n">
        <f aca="false">Assumptions!K14</f>
        <v>7</v>
      </c>
      <c r="L7" s="4" t="n">
        <f aca="false">Assumptions!L14</f>
        <v>7</v>
      </c>
    </row>
    <row r="8" customFormat="false" ht="15" hidden="false" customHeight="false" outlineLevel="0" collapsed="false">
      <c r="A8" s="0" t="s">
        <v>72</v>
      </c>
      <c r="C8" s="0" t="n">
        <f aca="false">C6*C7/100</f>
        <v>2173.9212</v>
      </c>
      <c r="D8" s="0" t="n">
        <f aca="false">D6*D7/100</f>
        <v>1286.361648</v>
      </c>
      <c r="E8" s="0" t="n">
        <f aca="false">E6*E7/100</f>
        <v>1454.39263827</v>
      </c>
      <c r="F8" s="0" t="n">
        <f aca="false">F6*F7/100</f>
        <v>1607.0417117568</v>
      </c>
      <c r="G8" s="0" t="n">
        <f aca="false">G6*G7/100</f>
        <v>1778.79429470081</v>
      </c>
      <c r="H8" s="0" t="n">
        <f aca="false">H6*H7/100</f>
        <v>1805.47620912132</v>
      </c>
      <c r="I8" s="0" t="n">
        <f aca="false">I6*I7/100</f>
        <v>1832.55835225814</v>
      </c>
      <c r="J8" s="0" t="n">
        <f aca="false">J6*J7/100</f>
        <v>1860.04672754201</v>
      </c>
      <c r="K8" s="0" t="n">
        <f aca="false">K6*K7/100</f>
        <v>1887.94742845514</v>
      </c>
      <c r="L8" s="0" t="n">
        <f aca="false">L6*L7/100</f>
        <v>1916.26663988197</v>
      </c>
    </row>
    <row r="9" customFormat="false" ht="15" hidden="false" customHeight="false" outlineLevel="0" collapsed="false">
      <c r="A9" s="0" t="s">
        <v>127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2173.9212</v>
      </c>
      <c r="D11" s="0" t="n">
        <f aca="false">D8+D10+D24</f>
        <v>1286.361648</v>
      </c>
      <c r="E11" s="0" t="n">
        <f aca="false">E8+E10+E24</f>
        <v>1454.39263827</v>
      </c>
      <c r="F11" s="0" t="n">
        <f aca="false">F8+F10+F24</f>
        <v>1607.0417117568</v>
      </c>
      <c r="G11" s="0" t="n">
        <f aca="false">G8+G10+G24</f>
        <v>1778.79429470081</v>
      </c>
      <c r="H11" s="0" t="n">
        <f aca="false">H8+H10+H24</f>
        <v>1805.47620912132</v>
      </c>
      <c r="I11" s="0" t="n">
        <f aca="false">I8+I10+I24</f>
        <v>1832.55835225814</v>
      </c>
      <c r="J11" s="0" t="n">
        <f aca="false">J8+J10+J24</f>
        <v>1860.04672754201</v>
      </c>
      <c r="K11" s="0" t="n">
        <f aca="false">K8+K10+K24</f>
        <v>1887.94742845514</v>
      </c>
      <c r="L11" s="0" t="n">
        <f aca="false">L8+L10+L24</f>
        <v>1916.26663988197</v>
      </c>
    </row>
    <row r="12" customFormat="false" ht="15" hidden="false" customHeight="false" outlineLevel="0" collapsed="false">
      <c r="A12" s="0" t="s">
        <v>144</v>
      </c>
      <c r="C12" s="4" t="n">
        <f aca="false">-C6*Assumptions!C17/100</f>
        <v>-524.7396</v>
      </c>
      <c r="D12" s="4" t="n">
        <f aca="false">-D6*Assumptions!D17/100</f>
        <v>-544.229928</v>
      </c>
      <c r="E12" s="4" t="n">
        <f aca="false">-E6*Assumptions!E17/100</f>
        <v>-584.24319657</v>
      </c>
      <c r="F12" s="4" t="n">
        <f aca="false">-F6*Assumptions!F17/100</f>
        <v>-602.6406419088</v>
      </c>
      <c r="G12" s="4" t="n">
        <f aca="false">-G6*Assumptions!G17/100</f>
        <v>-635.28367667886</v>
      </c>
      <c r="H12" s="4" t="n">
        <f aca="false">-H6*Assumptions!H17/100</f>
        <v>-644.812931829043</v>
      </c>
      <c r="I12" s="4" t="n">
        <f aca="false">-I6*Assumptions!I17/100</f>
        <v>-654.485125806478</v>
      </c>
      <c r="J12" s="4" t="n">
        <f aca="false">-J6*Assumptions!J17/100</f>
        <v>-664.302402693576</v>
      </c>
      <c r="K12" s="4" t="n">
        <f aca="false">-K6*Assumptions!K17/100</f>
        <v>-674.266938733979</v>
      </c>
      <c r="L12" s="4" t="n">
        <f aca="false">-L6*Assumptions!L17/100</f>
        <v>-684.380942814989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1649.1816</v>
      </c>
      <c r="D13" s="0" t="n">
        <f aca="false">D11+D12</f>
        <v>742.13172</v>
      </c>
      <c r="E13" s="0" t="n">
        <f aca="false">E11+E12</f>
        <v>870.1494417</v>
      </c>
      <c r="F13" s="0" t="n">
        <f aca="false">F11+F12</f>
        <v>1004.401069848</v>
      </c>
      <c r="G13" s="0" t="n">
        <f aca="false">G11+G12</f>
        <v>1143.51061802195</v>
      </c>
      <c r="H13" s="0" t="n">
        <f aca="false">H11+H12</f>
        <v>1160.66327729228</v>
      </c>
      <c r="I13" s="0" t="n">
        <f aca="false">I11+I12</f>
        <v>1178.07322645166</v>
      </c>
      <c r="J13" s="0" t="n">
        <f aca="false">J11+J12</f>
        <v>1195.74432484844</v>
      </c>
      <c r="K13" s="0" t="n">
        <f aca="false">K11+K12</f>
        <v>1213.68048972116</v>
      </c>
      <c r="L13" s="0" t="n">
        <f aca="false">L11+L12</f>
        <v>1231.88569706698</v>
      </c>
    </row>
    <row r="14" customFormat="false" ht="15" hidden="false" customHeight="false" outlineLevel="0" collapsed="false">
      <c r="A14" s="0" t="s">
        <v>131</v>
      </c>
      <c r="C14" s="4" t="n">
        <f aca="false">Assumptions!C19</f>
        <v>31.5</v>
      </c>
      <c r="D14" s="4" t="n">
        <f aca="false">Assumptions!D19</f>
        <v>31.5</v>
      </c>
      <c r="E14" s="4" t="n">
        <f aca="false">Assumptions!E19</f>
        <v>31.5</v>
      </c>
      <c r="F14" s="4" t="n">
        <f aca="false">Assumptions!F19</f>
        <v>31.5</v>
      </c>
      <c r="G14" s="4" t="n">
        <f aca="false">Assumptions!G19</f>
        <v>31.5</v>
      </c>
      <c r="H14" s="4" t="n">
        <f aca="false">Assumptions!H19</f>
        <v>31.5</v>
      </c>
      <c r="I14" s="4" t="n">
        <f aca="false">Assumptions!I19</f>
        <v>31.5</v>
      </c>
      <c r="J14" s="4" t="n">
        <f aca="false">Assumptions!J19</f>
        <v>31.5</v>
      </c>
      <c r="K14" s="4" t="n">
        <f aca="false">Assumptions!K19</f>
        <v>31.5</v>
      </c>
      <c r="L14" s="4" t="n">
        <f aca="false">Assumptions!L19</f>
        <v>31.5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1129.689396</v>
      </c>
      <c r="D15" s="0" t="n">
        <f aca="false">D13-MAX(0,D13)*D14/100</f>
        <v>508.3602282</v>
      </c>
      <c r="E15" s="0" t="n">
        <f aca="false">E13-MAX(0,E13)*E14/100</f>
        <v>596.0523675645</v>
      </c>
      <c r="F15" s="0" t="n">
        <f aca="false">F13-MAX(0,F13)*F14/100</f>
        <v>688.01473284588</v>
      </c>
      <c r="G15" s="0" t="n">
        <f aca="false">G13-MAX(0,G13)*G14/100</f>
        <v>783.304773345035</v>
      </c>
      <c r="H15" s="0" t="n">
        <f aca="false">H13-MAX(0,H13)*H14/100</f>
        <v>795.05434494521</v>
      </c>
      <c r="I15" s="0" t="n">
        <f aca="false">I13-MAX(0,I13)*I14/100</f>
        <v>806.980160119388</v>
      </c>
      <c r="J15" s="0" t="n">
        <f aca="false">J13-MAX(0,J13)*J14/100</f>
        <v>819.084862521179</v>
      </c>
      <c r="K15" s="0" t="n">
        <f aca="false">K13-MAX(0,K13)*K14/100</f>
        <v>831.371135458996</v>
      </c>
      <c r="L15" s="0" t="n">
        <f aca="false">L13-MAX(0,L13)*L14/100</f>
        <v>843.841702490881</v>
      </c>
    </row>
    <row r="16" customFormat="false" ht="15" hidden="false" customHeight="false" outlineLevel="0" collapsed="false">
      <c r="A16" s="0" t="s">
        <v>147</v>
      </c>
      <c r="C16" s="0" t="n">
        <f aca="false">-C12</f>
        <v>524.7396</v>
      </c>
      <c r="D16" s="0" t="n">
        <f aca="false">-D12</f>
        <v>544.229928</v>
      </c>
      <c r="E16" s="0" t="n">
        <f aca="false">-E12</f>
        <v>584.24319657</v>
      </c>
      <c r="F16" s="0" t="n">
        <f aca="false">-F12</f>
        <v>602.6406419088</v>
      </c>
      <c r="G16" s="0" t="n">
        <f aca="false">-G12</f>
        <v>635.28367667886</v>
      </c>
      <c r="H16" s="0" t="n">
        <f aca="false">-H12</f>
        <v>644.812931829043</v>
      </c>
      <c r="I16" s="0" t="n">
        <f aca="false">-I12</f>
        <v>654.485125806478</v>
      </c>
      <c r="J16" s="0" t="n">
        <f aca="false">-J12</f>
        <v>664.302402693576</v>
      </c>
      <c r="K16" s="0" t="n">
        <f aca="false">-K12</f>
        <v>674.266938733979</v>
      </c>
      <c r="L16" s="0" t="n">
        <f aca="false">-L12</f>
        <v>684.380942814989</v>
      </c>
    </row>
    <row r="17" customFormat="false" ht="15" hidden="false" customHeight="false" outlineLevel="0" collapsed="false">
      <c r="A17" s="0" t="s">
        <v>148</v>
      </c>
      <c r="C17" s="4" t="n">
        <f aca="false">-C6*Assumptions!C18/100</f>
        <v>-1374.318</v>
      </c>
      <c r="D17" s="4" t="n">
        <f aca="false">-D6*Assumptions!D18/100</f>
        <v>-1187.410752</v>
      </c>
      <c r="E17" s="4" t="n">
        <f aca="false">-E6*Assumptions!E18/100</f>
        <v>-1069.04074266</v>
      </c>
      <c r="F17" s="4" t="n">
        <f aca="false">-F6*Assumptions!F18/100</f>
        <v>-803.5208558784</v>
      </c>
      <c r="G17" s="4" t="n">
        <f aca="false">-G6*Assumptions!G18/100</f>
        <v>-762.340412014632</v>
      </c>
      <c r="H17" s="4" t="n">
        <f aca="false">-H6*Assumptions!H18/100</f>
        <v>-773.775518194851</v>
      </c>
      <c r="I17" s="4" t="n">
        <f aca="false">-I6*Assumptions!I18/100</f>
        <v>-785.382150967774</v>
      </c>
      <c r="J17" s="4" t="n">
        <f aca="false">-J6*Assumptions!J18/100</f>
        <v>-797.162883232291</v>
      </c>
      <c r="K17" s="4" t="n">
        <f aca="false">-K6*Assumptions!K18/100</f>
        <v>-809.120326480775</v>
      </c>
      <c r="L17" s="4" t="n">
        <f aca="false">-L6*Assumptions!L18/100</f>
        <v>-821.257131377986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(C6-B6)*Assumptions!$B$23/100</f>
        <v>37.8600000000002</v>
      </c>
      <c r="D18" s="4" t="n">
        <f aca="false">(D6-C6)*Assumptions!$B$23/100</f>
        <v>37.4814</v>
      </c>
      <c r="E18" s="4" t="n">
        <f aca="false">(E6-D6)*Assumptions!$B$23/100</f>
        <v>-18.5532929999996</v>
      </c>
      <c r="F18" s="4" t="n">
        <f aca="false">(F6-E6)*Assumptions!$B$23/100</f>
        <v>-37.2921189300003</v>
      </c>
      <c r="G18" s="4" t="n">
        <f aca="false">(G6-F6)*Assumptions!$B$23/100</f>
        <v>-45.1980481431601</v>
      </c>
      <c r="H18" s="4" t="n">
        <f aca="false">(H6-G6)*Assumptions!$B$23/100</f>
        <v>-57.1755309010972</v>
      </c>
      <c r="I18" s="4" t="n">
        <f aca="false">(I6-H6)*Assumptions!$B$23/100</f>
        <v>-58.0331638646134</v>
      </c>
      <c r="J18" s="4" t="n">
        <f aca="false">(J6-I6)*Assumptions!$B$23/100</f>
        <v>-58.9036613225824</v>
      </c>
      <c r="K18" s="4" t="n">
        <f aca="false">(K6-J6)*Assumptions!$B$23/100</f>
        <v>-59.7872162424212</v>
      </c>
      <c r="L18" s="4" t="n">
        <f aca="false">(L6-K6)*Assumptions!$B$23/100</f>
        <v>-60.6840244860578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317.970996</v>
      </c>
      <c r="D19" s="0" t="n">
        <f aca="false">D15+D16+D17+D18</f>
        <v>-97.3391958000001</v>
      </c>
      <c r="E19" s="0" t="n">
        <f aca="false">E15+E16+E17+E18</f>
        <v>92.7015284745004</v>
      </c>
      <c r="F19" s="0" t="n">
        <f aca="false">F15+F16+F17+F18</f>
        <v>449.84239994628</v>
      </c>
      <c r="G19" s="0" t="n">
        <f aca="false">G15+G16+G17+G18</f>
        <v>611.049989866102</v>
      </c>
      <c r="H19" s="0" t="n">
        <f aca="false">H15+H16+H17+H18</f>
        <v>608.916227678304</v>
      </c>
      <c r="I19" s="0" t="n">
        <f aca="false">I15+I16+I17+I18</f>
        <v>618.049971093479</v>
      </c>
      <c r="J19" s="0" t="n">
        <f aca="false">J15+J16+J17+J18</f>
        <v>627.320720659881</v>
      </c>
      <c r="K19" s="0" t="n">
        <f aca="false">K15+K16+K17+K18</f>
        <v>636.730531469779</v>
      </c>
      <c r="L19" s="0" t="n">
        <f aca="false">L15+L16+L17+L18</f>
        <v>646.281489441825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286.460356756757</v>
      </c>
      <c r="D21" s="0" t="n">
        <f aca="false">D19*D20</f>
        <v>-79.0026749452155</v>
      </c>
      <c r="E21" s="0" t="n">
        <f aca="false">E19*E20</f>
        <v>67.7825586539793</v>
      </c>
      <c r="F21" s="0" t="n">
        <f aca="false">F19*F20</f>
        <v>296.325122328338</v>
      </c>
      <c r="G21" s="0" t="n">
        <f aca="false">G19*G20</f>
        <v>362.628427996207</v>
      </c>
      <c r="H21" s="0" t="n">
        <f aca="false">H19*H20</f>
        <v>325.551481073961</v>
      </c>
      <c r="I21" s="0" t="n">
        <f aca="false">I19*I20</f>
        <v>297.688966927992</v>
      </c>
      <c r="J21" s="0" t="n">
        <f aca="false">J19*J20</f>
        <v>272.211082371092</v>
      </c>
      <c r="K21" s="0" t="n">
        <f aca="false">K19*K20</f>
        <v>248.913737483476</v>
      </c>
      <c r="L21" s="0" t="n">
        <f aca="false">L19*L20</f>
        <v>227.610309500655</v>
      </c>
    </row>
    <row r="23" customFormat="false" ht="15" hidden="false" customHeight="false" outlineLevel="0" collapsed="false">
      <c r="A23" s="0" t="s">
        <v>128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133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134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2306.16936814724</v>
      </c>
    </row>
    <row r="31" customFormat="false" ht="15" hidden="false" customHeight="false" outlineLevel="0" collapsed="false">
      <c r="A31" s="0" t="s">
        <v>156</v>
      </c>
      <c r="B31" s="0" t="n">
        <f aca="false">L19</f>
        <v>646.281489441825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6905.0074924574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8401.65936274373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6905.0074924574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2431.8364646649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4738.00583281214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2900.00583281214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1.80507575876029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-0.637534988200746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1.80507575876029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4859.07934654409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0.765199038225837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170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Assumptions!C27</f>
        <v>0.5</v>
      </c>
      <c r="D5" s="4" t="n">
        <f aca="false">Assumptions!D27</f>
        <v>2.8</v>
      </c>
      <c r="E5" s="4" t="n">
        <f aca="false">Assumptions!E27</f>
        <v>2.6</v>
      </c>
      <c r="F5" s="4" t="n">
        <f aca="false">Assumptions!F27</f>
        <v>2.4</v>
      </c>
      <c r="G5" s="4" t="n">
        <f aca="false">Assumptions!G27</f>
        <v>2.2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66</v>
      </c>
      <c r="B6" s="3" t="n">
        <v>25240</v>
      </c>
      <c r="C6" s="0" t="n">
        <f aca="false">B6*(1+C5/100)</f>
        <v>25366.2</v>
      </c>
      <c r="D6" s="0" t="n">
        <f aca="false">C6*(1+D5/100)</f>
        <v>26076.4536</v>
      </c>
      <c r="E6" s="0" t="n">
        <f aca="false">D6*(1+E5/100)</f>
        <v>26754.4413936</v>
      </c>
      <c r="F6" s="0" t="n">
        <f aca="false">E6*(1+F5/100)</f>
        <v>27396.5479870464</v>
      </c>
      <c r="G6" s="0" t="n">
        <f aca="false">F6*(1+G5/100)</f>
        <v>27999.2720427614</v>
      </c>
      <c r="H6" s="0" t="n">
        <f aca="false">G6*(1+H5/100)</f>
        <v>28559.2574836167</v>
      </c>
      <c r="I6" s="0" t="n">
        <f aca="false">H6*(1+I5/100)</f>
        <v>29130.442633289</v>
      </c>
      <c r="J6" s="0" t="n">
        <f aca="false">I6*(1+J5/100)</f>
        <v>29713.0514859548</v>
      </c>
      <c r="K6" s="0" t="n">
        <f aca="false">J6*(1+K5/100)</f>
        <v>30307.3125156739</v>
      </c>
      <c r="L6" s="0" t="n">
        <f aca="false">K6*(1+L5/100)</f>
        <v>30913.4587659873</v>
      </c>
    </row>
    <row r="7" customFormat="false" ht="15" hidden="false" customHeight="false" outlineLevel="0" collapsed="false">
      <c r="A7" s="0" t="s">
        <v>126</v>
      </c>
      <c r="C7" s="4" t="n">
        <f aca="false">Assumptions!C28</f>
        <v>9.5</v>
      </c>
      <c r="D7" s="4" t="n">
        <f aca="false">Assumptions!D28</f>
        <v>9.2</v>
      </c>
      <c r="E7" s="4" t="n">
        <f aca="false">Assumptions!E28</f>
        <v>9.05</v>
      </c>
      <c r="F7" s="4" t="n">
        <f aca="false">Assumptions!F28</f>
        <v>9</v>
      </c>
      <c r="G7" s="4" t="n">
        <f aca="false">Assumptions!G28</f>
        <v>8.9</v>
      </c>
      <c r="H7" s="4" t="n">
        <f aca="false">Assumptions!H28</f>
        <v>8.9</v>
      </c>
      <c r="I7" s="4" t="n">
        <f aca="false">Assumptions!I28</f>
        <v>8.9</v>
      </c>
      <c r="J7" s="4" t="n">
        <f aca="false">Assumptions!J28</f>
        <v>8.9</v>
      </c>
      <c r="K7" s="4" t="n">
        <f aca="false">Assumptions!K28</f>
        <v>8.9</v>
      </c>
      <c r="L7" s="4" t="n">
        <f aca="false">Assumptions!L28</f>
        <v>8.9</v>
      </c>
    </row>
    <row r="8" customFormat="false" ht="15" hidden="false" customHeight="false" outlineLevel="0" collapsed="false">
      <c r="A8" s="0" t="s">
        <v>72</v>
      </c>
      <c r="C8" s="0" t="n">
        <f aca="false">C6*C7/100</f>
        <v>2409.789</v>
      </c>
      <c r="D8" s="0" t="n">
        <f aca="false">D6*D7/100</f>
        <v>2399.0337312</v>
      </c>
      <c r="E8" s="0" t="n">
        <f aca="false">E6*E7/100</f>
        <v>2421.2769461208</v>
      </c>
      <c r="F8" s="0" t="n">
        <f aca="false">F6*F7/100</f>
        <v>2465.68931883418</v>
      </c>
      <c r="G8" s="0" t="n">
        <f aca="false">G6*G7/100</f>
        <v>2491.93521180577</v>
      </c>
      <c r="H8" s="0" t="n">
        <f aca="false">H6*H7/100</f>
        <v>2541.77391604188</v>
      </c>
      <c r="I8" s="0" t="n">
        <f aca="false">I6*I7/100</f>
        <v>2592.60939436272</v>
      </c>
      <c r="J8" s="0" t="n">
        <f aca="false">J6*J7/100</f>
        <v>2644.46158224997</v>
      </c>
      <c r="K8" s="0" t="n">
        <f aca="false">K6*K7/100</f>
        <v>2697.35081389497</v>
      </c>
      <c r="L8" s="0" t="n">
        <f aca="false">L6*L7/100</f>
        <v>2751.29783017287</v>
      </c>
    </row>
    <row r="9" customFormat="false" ht="15" hidden="false" customHeight="false" outlineLevel="0" collapsed="false">
      <c r="A9" s="0" t="s">
        <v>127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2409.789</v>
      </c>
      <c r="D11" s="0" t="n">
        <f aca="false">D8+D10+D24</f>
        <v>2399.0337312</v>
      </c>
      <c r="E11" s="0" t="n">
        <f aca="false">E8+E10+E24</f>
        <v>2421.2769461208</v>
      </c>
      <c r="F11" s="0" t="n">
        <f aca="false">F8+F10+F24</f>
        <v>2465.68931883418</v>
      </c>
      <c r="G11" s="0" t="n">
        <f aca="false">G8+G10+G24</f>
        <v>2491.93521180577</v>
      </c>
      <c r="H11" s="0" t="n">
        <f aca="false">H8+H10+H24</f>
        <v>2541.77391604188</v>
      </c>
      <c r="I11" s="0" t="n">
        <f aca="false">I8+I10+I24</f>
        <v>2592.60939436272</v>
      </c>
      <c r="J11" s="0" t="n">
        <f aca="false">J8+J10+J24</f>
        <v>2644.46158224997</v>
      </c>
      <c r="K11" s="0" t="n">
        <f aca="false">K8+K10+K24</f>
        <v>2697.35081389497</v>
      </c>
      <c r="L11" s="0" t="n">
        <f aca="false">L8+L10+L24</f>
        <v>2751.29783017287</v>
      </c>
    </row>
    <row r="12" customFormat="false" ht="15" hidden="false" customHeight="false" outlineLevel="0" collapsed="false">
      <c r="A12" s="0" t="s">
        <v>144</v>
      </c>
      <c r="C12" s="4" t="n">
        <f aca="false">-C6*Assumptions!C31/100</f>
        <v>-532.6902</v>
      </c>
      <c r="D12" s="4" t="n">
        <f aca="false">-D6*Assumptions!D31/100</f>
        <v>-573.6819792</v>
      </c>
      <c r="E12" s="4" t="n">
        <f aca="false">-E6*Assumptions!E31/100</f>
        <v>-628.7293727496</v>
      </c>
      <c r="F12" s="4" t="n">
        <f aca="false">-F6*Assumptions!F31/100</f>
        <v>-684.91369967616</v>
      </c>
      <c r="G12" s="4" t="n">
        <f aca="false">-G6*Assumptions!G31/100</f>
        <v>-727.981073111797</v>
      </c>
      <c r="H12" s="4" t="n">
        <f aca="false">-H6*Assumptions!H31/100</f>
        <v>-742.540694574033</v>
      </c>
      <c r="I12" s="4" t="n">
        <f aca="false">-I6*Assumptions!I31/100</f>
        <v>-757.391508465514</v>
      </c>
      <c r="J12" s="4" t="n">
        <f aca="false">-J6*Assumptions!J31/100</f>
        <v>-772.539338634824</v>
      </c>
      <c r="K12" s="4" t="n">
        <f aca="false">-K6*Assumptions!K31/100</f>
        <v>-787.99012540752</v>
      </c>
      <c r="L12" s="4" t="n">
        <f aca="false">-L6*Assumptions!L31/100</f>
        <v>-803.749927915671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1877.0988</v>
      </c>
      <c r="D13" s="0" t="n">
        <f aca="false">D11+D12</f>
        <v>1825.351752</v>
      </c>
      <c r="E13" s="0" t="n">
        <f aca="false">E11+E12</f>
        <v>1792.5475733712</v>
      </c>
      <c r="F13" s="0" t="n">
        <f aca="false">F11+F12</f>
        <v>1780.77561915802</v>
      </c>
      <c r="G13" s="0" t="n">
        <f aca="false">G11+G12</f>
        <v>1763.95413869397</v>
      </c>
      <c r="H13" s="0" t="n">
        <f aca="false">H11+H12</f>
        <v>1799.23322146785</v>
      </c>
      <c r="I13" s="0" t="n">
        <f aca="false">I11+I12</f>
        <v>1835.21788589721</v>
      </c>
      <c r="J13" s="0" t="n">
        <f aca="false">J11+J12</f>
        <v>1871.92224361515</v>
      </c>
      <c r="K13" s="0" t="n">
        <f aca="false">K11+K12</f>
        <v>1909.36068848745</v>
      </c>
      <c r="L13" s="0" t="n">
        <f aca="false">L11+L12</f>
        <v>1947.5479022572</v>
      </c>
    </row>
    <row r="14" customFormat="false" ht="15" hidden="false" customHeight="false" outlineLevel="0" collapsed="false">
      <c r="A14" s="0" t="s">
        <v>131</v>
      </c>
      <c r="C14" s="4" t="n">
        <f aca="false">Assumptions!C33</f>
        <v>31.5</v>
      </c>
      <c r="D14" s="4" t="n">
        <f aca="false">Assumptions!D33</f>
        <v>31.5</v>
      </c>
      <c r="E14" s="4" t="n">
        <f aca="false">Assumptions!E33</f>
        <v>31.5</v>
      </c>
      <c r="F14" s="4" t="n">
        <f aca="false">Assumptions!F33</f>
        <v>31.5</v>
      </c>
      <c r="G14" s="4" t="n">
        <f aca="false">Assumptions!G33</f>
        <v>31.5</v>
      </c>
      <c r="H14" s="4" t="n">
        <f aca="false">Assumptions!H33</f>
        <v>31.5</v>
      </c>
      <c r="I14" s="4" t="n">
        <f aca="false">Assumptions!I33</f>
        <v>31.5</v>
      </c>
      <c r="J14" s="4" t="n">
        <f aca="false">Assumptions!J33</f>
        <v>31.5</v>
      </c>
      <c r="K14" s="4" t="n">
        <f aca="false">Assumptions!K33</f>
        <v>31.5</v>
      </c>
      <c r="L14" s="4" t="n">
        <f aca="false">Assumptions!L33</f>
        <v>31.5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1285.812678</v>
      </c>
      <c r="D15" s="0" t="n">
        <f aca="false">D13-MAX(0,D13)*D14/100</f>
        <v>1250.36595012</v>
      </c>
      <c r="E15" s="0" t="n">
        <f aca="false">E13-MAX(0,E13)*E14/100</f>
        <v>1227.89508775927</v>
      </c>
      <c r="F15" s="0" t="n">
        <f aca="false">F13-MAX(0,F13)*F14/100</f>
        <v>1219.83129912324</v>
      </c>
      <c r="G15" s="0" t="n">
        <f aca="false">G13-MAX(0,G13)*G14/100</f>
        <v>1208.30858500537</v>
      </c>
      <c r="H15" s="0" t="n">
        <f aca="false">H13-MAX(0,H13)*H14/100</f>
        <v>1232.47475670548</v>
      </c>
      <c r="I15" s="0" t="n">
        <f aca="false">I13-MAX(0,I13)*I14/100</f>
        <v>1257.12425183959</v>
      </c>
      <c r="J15" s="0" t="n">
        <f aca="false">J13-MAX(0,J13)*J14/100</f>
        <v>1282.26673687638</v>
      </c>
      <c r="K15" s="0" t="n">
        <f aca="false">K13-MAX(0,K13)*K14/100</f>
        <v>1307.91207161391</v>
      </c>
      <c r="L15" s="0" t="n">
        <f aca="false">L13-MAX(0,L13)*L14/100</f>
        <v>1334.07031304618</v>
      </c>
    </row>
    <row r="16" customFormat="false" ht="15" hidden="false" customHeight="false" outlineLevel="0" collapsed="false">
      <c r="A16" s="0" t="s">
        <v>147</v>
      </c>
      <c r="C16" s="0" t="n">
        <f aca="false">-C12</f>
        <v>532.6902</v>
      </c>
      <c r="D16" s="0" t="n">
        <f aca="false">-D12</f>
        <v>573.6819792</v>
      </c>
      <c r="E16" s="0" t="n">
        <f aca="false">-E12</f>
        <v>628.7293727496</v>
      </c>
      <c r="F16" s="0" t="n">
        <f aca="false">-F12</f>
        <v>684.91369967616</v>
      </c>
      <c r="G16" s="0" t="n">
        <f aca="false">-G12</f>
        <v>727.981073111797</v>
      </c>
      <c r="H16" s="0" t="n">
        <f aca="false">-H12</f>
        <v>742.540694574033</v>
      </c>
      <c r="I16" s="0" t="n">
        <f aca="false">-I12</f>
        <v>757.391508465514</v>
      </c>
      <c r="J16" s="0" t="n">
        <f aca="false">-J12</f>
        <v>772.539338634824</v>
      </c>
      <c r="K16" s="0" t="n">
        <f aca="false">-K12</f>
        <v>787.99012540752</v>
      </c>
      <c r="L16" s="0" t="n">
        <f aca="false">-L12</f>
        <v>803.749927915671</v>
      </c>
    </row>
    <row r="17" customFormat="false" ht="15" hidden="false" customHeight="false" outlineLevel="0" collapsed="false">
      <c r="A17" s="0" t="s">
        <v>148</v>
      </c>
      <c r="C17" s="4" t="n">
        <f aca="false">-C6*Assumptions!C32/100</f>
        <v>-1445.8734</v>
      </c>
      <c r="D17" s="4" t="n">
        <f aca="false">-D6*Assumptions!D32/100</f>
        <v>-1460.2814016</v>
      </c>
      <c r="E17" s="4" t="n">
        <f aca="false">-E6*Assumptions!E32/100</f>
        <v>-1444.7398352544</v>
      </c>
      <c r="F17" s="4" t="n">
        <f aca="false">-F6*Assumptions!F32/100</f>
        <v>-1041.06882350776</v>
      </c>
      <c r="G17" s="4" t="n">
        <f aca="false">-G6*Assumptions!G32/100</f>
        <v>-951.975249453888</v>
      </c>
      <c r="H17" s="4" t="n">
        <f aca="false">-H6*Assumptions!H32/100</f>
        <v>-942.455496959349</v>
      </c>
      <c r="I17" s="4" t="n">
        <f aca="false">-I6*Assumptions!I32/100</f>
        <v>-961.304606898536</v>
      </c>
      <c r="J17" s="4" t="n">
        <f aca="false">-J6*Assumptions!J32/100</f>
        <v>-980.530699036507</v>
      </c>
      <c r="K17" s="4" t="n">
        <f aca="false">-K6*Assumptions!K32/100</f>
        <v>-1000.14131301724</v>
      </c>
      <c r="L17" s="4" t="n">
        <f aca="false">-L6*Assumptions!L32/100</f>
        <v>-1020.14413927758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(C6-B6)*Assumptions!$B$37/100</f>
        <v>-18.9299999999996</v>
      </c>
      <c r="D18" s="4" t="n">
        <f aca="false">(D6-C6)*Assumptions!$B$37/100</f>
        <v>-106.53804</v>
      </c>
      <c r="E18" s="4" t="n">
        <f aca="false">(E6-D6)*Assumptions!$B$37/100</f>
        <v>-101.69816904</v>
      </c>
      <c r="F18" s="4" t="n">
        <f aca="false">(F6-E6)*Assumptions!$B$37/100</f>
        <v>-96.3159890169603</v>
      </c>
      <c r="G18" s="4" t="n">
        <f aca="false">(G6-F6)*Assumptions!$B$37/100</f>
        <v>-90.4086083572533</v>
      </c>
      <c r="H18" s="4" t="n">
        <f aca="false">(H6-G6)*Assumptions!$B$37/100</f>
        <v>-83.9978161282841</v>
      </c>
      <c r="I18" s="4" t="n">
        <f aca="false">(I6-H6)*Assumptions!$B$37/100</f>
        <v>-85.6777724508498</v>
      </c>
      <c r="J18" s="4" t="n">
        <f aca="false">(J6-I6)*Assumptions!$B$37/100</f>
        <v>-87.3913278998671</v>
      </c>
      <c r="K18" s="4" t="n">
        <f aca="false">(K6-J6)*Assumptions!$B$37/100</f>
        <v>-89.1391544578642</v>
      </c>
      <c r="L18" s="4" t="n">
        <f aca="false">(L6-K6)*Assumptions!$B$37/100</f>
        <v>-90.9219375470218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353.699478</v>
      </c>
      <c r="D19" s="0" t="n">
        <f aca="false">D15+D16+D17+D18</f>
        <v>257.22848772</v>
      </c>
      <c r="E19" s="0" t="n">
        <f aca="false">E15+E16+E17+E18</f>
        <v>310.186456214472</v>
      </c>
      <c r="F19" s="0" t="n">
        <f aca="false">F15+F16+F17+F18</f>
        <v>767.360186274677</v>
      </c>
      <c r="G19" s="0" t="n">
        <f aca="false">G15+G16+G17+G18</f>
        <v>893.905800306025</v>
      </c>
      <c r="H19" s="0" t="n">
        <f aca="false">H15+H16+H17+H18</f>
        <v>948.562138191876</v>
      </c>
      <c r="I19" s="0" t="n">
        <f aca="false">I15+I16+I17+I18</f>
        <v>967.533380955713</v>
      </c>
      <c r="J19" s="0" t="n">
        <f aca="false">J15+J16+J17+J18</f>
        <v>986.884048574828</v>
      </c>
      <c r="K19" s="0" t="n">
        <f aca="false">K15+K16+K17+K18</f>
        <v>1006.62172954632</v>
      </c>
      <c r="L19" s="0" t="n">
        <f aca="false">L15+L16+L17+L18</f>
        <v>1026.75416413725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318.648178378379</v>
      </c>
      <c r="D21" s="0" t="n">
        <f aca="false">D19*D20</f>
        <v>208.772411102995</v>
      </c>
      <c r="E21" s="0" t="n">
        <f aca="false">E19*E20</f>
        <v>226.805663380306</v>
      </c>
      <c r="F21" s="0" t="n">
        <f aca="false">F19*F20</f>
        <v>505.483923024807</v>
      </c>
      <c r="G21" s="0" t="n">
        <f aca="false">G19*G20</f>
        <v>530.489584350859</v>
      </c>
      <c r="H21" s="0" t="n">
        <f aca="false">H19*H20</f>
        <v>507.140054645076</v>
      </c>
      <c r="I21" s="0" t="n">
        <f aca="false">I19*I20</f>
        <v>466.020590754935</v>
      </c>
      <c r="J21" s="0" t="n">
        <f aca="false">J19*J20</f>
        <v>428.235137450481</v>
      </c>
      <c r="K21" s="0" t="n">
        <f aca="false">K19*K20</f>
        <v>393.51336954909</v>
      </c>
      <c r="L21" s="0" t="n">
        <f aca="false">L19*L20</f>
        <v>361.606880126191</v>
      </c>
    </row>
    <row r="23" customFormat="false" ht="15" hidden="false" customHeight="false" outlineLevel="0" collapsed="false">
      <c r="A23" s="0" t="s">
        <v>128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133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134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3946.71579276312</v>
      </c>
    </row>
    <row r="31" customFormat="false" ht="15" hidden="false" customHeight="false" outlineLevel="0" collapsed="false">
      <c r="A31" s="0" t="s">
        <v>156</v>
      </c>
      <c r="B31" s="0" t="n">
        <f aca="false">L19</f>
        <v>1026.75416413725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11636.5471935555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13347.8041337843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11636.5471935555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4098.21130809683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8044.92710085995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6206.92710085995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3.86343141775341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-0.224210558684053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3.86343141775341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8056.07113399997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2.10316082015547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171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Assumptions!C41</f>
        <v>1.5</v>
      </c>
      <c r="D5" s="4" t="n">
        <f aca="false">Assumptions!D41</f>
        <v>4</v>
      </c>
      <c r="E5" s="4" t="n">
        <f aca="false">Assumptions!E41</f>
        <v>3.8</v>
      </c>
      <c r="F5" s="4" t="n">
        <f aca="false">Assumptions!F41</f>
        <v>3.5</v>
      </c>
      <c r="G5" s="4" t="n">
        <f aca="false">Assumptions!G41</f>
        <v>3.2</v>
      </c>
      <c r="H5" s="4" t="n">
        <f aca="false">Assumptions!H41</f>
        <v>3</v>
      </c>
      <c r="I5" s="4" t="n">
        <f aca="false">Assumptions!I41</f>
        <v>2.8</v>
      </c>
      <c r="J5" s="4" t="n">
        <f aca="false">Assumptions!J41</f>
        <v>2.6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66</v>
      </c>
      <c r="B6" s="3" t="n">
        <v>25240</v>
      </c>
      <c r="C6" s="0" t="n">
        <f aca="false">B6*(1+C5/100)</f>
        <v>25618.6</v>
      </c>
      <c r="D6" s="0" t="n">
        <f aca="false">C6*(1+D5/100)</f>
        <v>26643.344</v>
      </c>
      <c r="E6" s="0" t="n">
        <f aca="false">D6*(1+E5/100)</f>
        <v>27655.791072</v>
      </c>
      <c r="F6" s="0" t="n">
        <f aca="false">E6*(1+F5/100)</f>
        <v>28623.74375952</v>
      </c>
      <c r="G6" s="0" t="n">
        <f aca="false">F6*(1+G5/100)</f>
        <v>29539.7035598246</v>
      </c>
      <c r="H6" s="0" t="n">
        <f aca="false">G6*(1+H5/100)</f>
        <v>30425.8946666194</v>
      </c>
      <c r="I6" s="0" t="n">
        <f aca="false">H6*(1+I5/100)</f>
        <v>31277.8197172847</v>
      </c>
      <c r="J6" s="0" t="n">
        <f aca="false">I6*(1+J5/100)</f>
        <v>32091.0430299341</v>
      </c>
      <c r="K6" s="0" t="n">
        <f aca="false">J6*(1+K5/100)</f>
        <v>32893.3191056825</v>
      </c>
      <c r="L6" s="0" t="n">
        <f aca="false">K6*(1+L5/100)</f>
        <v>33715.6520833245</v>
      </c>
    </row>
    <row r="7" customFormat="false" ht="15" hidden="false" customHeight="false" outlineLevel="0" collapsed="false">
      <c r="A7" s="0" t="s">
        <v>126</v>
      </c>
      <c r="C7" s="4" t="n">
        <f aca="false">Assumptions!C42</f>
        <v>9.9</v>
      </c>
      <c r="D7" s="4" t="n">
        <f aca="false">Assumptions!D42</f>
        <v>10</v>
      </c>
      <c r="E7" s="4" t="n">
        <f aca="false">Assumptions!E42</f>
        <v>10.05</v>
      </c>
      <c r="F7" s="4" t="n">
        <f aca="false">Assumptions!F42</f>
        <v>10.1</v>
      </c>
      <c r="G7" s="4" t="n">
        <f aca="false">Assumptions!G42</f>
        <v>10.1</v>
      </c>
      <c r="H7" s="4" t="n">
        <f aca="false">Assumptions!H42</f>
        <v>10.1</v>
      </c>
      <c r="I7" s="4" t="n">
        <f aca="false">Assumptions!I42</f>
        <v>10.1</v>
      </c>
      <c r="J7" s="4" t="n">
        <f aca="false">Assumptions!J42</f>
        <v>10.1</v>
      </c>
      <c r="K7" s="4" t="n">
        <f aca="false">Assumptions!K42</f>
        <v>10.1</v>
      </c>
      <c r="L7" s="4" t="n">
        <f aca="false">Assumptions!L42</f>
        <v>10.1</v>
      </c>
    </row>
    <row r="8" customFormat="false" ht="15" hidden="false" customHeight="false" outlineLevel="0" collapsed="false">
      <c r="A8" s="0" t="s">
        <v>72</v>
      </c>
      <c r="C8" s="0" t="n">
        <f aca="false">C6*C7/100</f>
        <v>2536.2414</v>
      </c>
      <c r="D8" s="0" t="n">
        <f aca="false">D6*D7/100</f>
        <v>2664.3344</v>
      </c>
      <c r="E8" s="0" t="n">
        <f aca="false">E6*E7/100</f>
        <v>2779.407002736</v>
      </c>
      <c r="F8" s="0" t="n">
        <f aca="false">F6*F7/100</f>
        <v>2890.99811971152</v>
      </c>
      <c r="G8" s="0" t="n">
        <f aca="false">G6*G7/100</f>
        <v>2983.51005954229</v>
      </c>
      <c r="H8" s="0" t="n">
        <f aca="false">H6*H7/100</f>
        <v>3073.01536132856</v>
      </c>
      <c r="I8" s="0" t="n">
        <f aca="false">I6*I7/100</f>
        <v>3159.05979144576</v>
      </c>
      <c r="J8" s="0" t="n">
        <f aca="false">J6*J7/100</f>
        <v>3241.19534602335</v>
      </c>
      <c r="K8" s="0" t="n">
        <f aca="false">K6*K7/100</f>
        <v>3322.22522967393</v>
      </c>
      <c r="L8" s="0" t="n">
        <f aca="false">L6*L7/100</f>
        <v>3405.28086041578</v>
      </c>
    </row>
    <row r="9" customFormat="false" ht="15" hidden="false" customHeight="false" outlineLevel="0" collapsed="false">
      <c r="A9" s="0" t="s">
        <v>127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2536.2414</v>
      </c>
      <c r="D11" s="0" t="n">
        <f aca="false">D8+D10+D24</f>
        <v>2664.3344</v>
      </c>
      <c r="E11" s="0" t="n">
        <f aca="false">E8+E10+E24</f>
        <v>2779.407002736</v>
      </c>
      <c r="F11" s="0" t="n">
        <f aca="false">F8+F10+F24</f>
        <v>2890.99811971152</v>
      </c>
      <c r="G11" s="0" t="n">
        <f aca="false">G8+G10+G24</f>
        <v>2983.51005954229</v>
      </c>
      <c r="H11" s="0" t="n">
        <f aca="false">H8+H10+H24</f>
        <v>3073.01536132856</v>
      </c>
      <c r="I11" s="0" t="n">
        <f aca="false">I8+I10+I24</f>
        <v>3159.05979144576</v>
      </c>
      <c r="J11" s="0" t="n">
        <f aca="false">J8+J10+J24</f>
        <v>3241.19534602335</v>
      </c>
      <c r="K11" s="0" t="n">
        <f aca="false">K8+K10+K24</f>
        <v>3322.22522967393</v>
      </c>
      <c r="L11" s="0" t="n">
        <f aca="false">L8+L10+L24</f>
        <v>3405.28086041578</v>
      </c>
    </row>
    <row r="12" customFormat="false" ht="15" hidden="false" customHeight="false" outlineLevel="0" collapsed="false">
      <c r="A12" s="0" t="s">
        <v>144</v>
      </c>
      <c r="C12" s="4" t="n">
        <f aca="false">-C6*Assumptions!C45/100</f>
        <v>-537.9906</v>
      </c>
      <c r="D12" s="4" t="n">
        <f aca="false">-D6*Assumptions!D45/100</f>
        <v>-586.153568</v>
      </c>
      <c r="E12" s="4" t="n">
        <f aca="false">-E6*Assumptions!E45/100</f>
        <v>-649.911090192</v>
      </c>
      <c r="F12" s="4" t="n">
        <f aca="false">-F6*Assumptions!F45/100</f>
        <v>-715.593593988</v>
      </c>
      <c r="G12" s="4" t="n">
        <f aca="false">-G6*Assumptions!G45/100</f>
        <v>-768.032292555441</v>
      </c>
      <c r="H12" s="4" t="n">
        <f aca="false">-H6*Assumptions!H45/100</f>
        <v>-791.073261332104</v>
      </c>
      <c r="I12" s="4" t="n">
        <f aca="false">-I6*Assumptions!I45/100</f>
        <v>-813.223312649403</v>
      </c>
      <c r="J12" s="4" t="n">
        <f aca="false">-J6*Assumptions!J45/100</f>
        <v>-834.367118778287</v>
      </c>
      <c r="K12" s="4" t="n">
        <f aca="false">-K6*Assumptions!K45/100</f>
        <v>-855.226296747745</v>
      </c>
      <c r="L12" s="4" t="n">
        <f aca="false">-L6*Assumptions!L45/100</f>
        <v>-876.606954166438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1998.2508</v>
      </c>
      <c r="D13" s="0" t="n">
        <f aca="false">D11+D12</f>
        <v>2078.180832</v>
      </c>
      <c r="E13" s="0" t="n">
        <f aca="false">E11+E12</f>
        <v>2129.495912544</v>
      </c>
      <c r="F13" s="0" t="n">
        <f aca="false">F11+F12</f>
        <v>2175.40452572352</v>
      </c>
      <c r="G13" s="0" t="n">
        <f aca="false">G11+G12</f>
        <v>2215.47776698685</v>
      </c>
      <c r="H13" s="0" t="n">
        <f aca="false">H11+H12</f>
        <v>2281.94209999645</v>
      </c>
      <c r="I13" s="0" t="n">
        <f aca="false">I11+I12</f>
        <v>2345.83647879635</v>
      </c>
      <c r="J13" s="0" t="n">
        <f aca="false">J11+J12</f>
        <v>2406.82822724506</v>
      </c>
      <c r="K13" s="0" t="n">
        <f aca="false">K11+K12</f>
        <v>2466.99893292619</v>
      </c>
      <c r="L13" s="0" t="n">
        <f aca="false">L11+L12</f>
        <v>2528.67390624934</v>
      </c>
    </row>
    <row r="14" customFormat="false" ht="15" hidden="false" customHeight="false" outlineLevel="0" collapsed="false">
      <c r="A14" s="0" t="s">
        <v>131</v>
      </c>
      <c r="C14" s="4" t="n">
        <f aca="false">Assumptions!C47</f>
        <v>31.5</v>
      </c>
      <c r="D14" s="4" t="n">
        <f aca="false">Assumptions!D47</f>
        <v>31.5</v>
      </c>
      <c r="E14" s="4" t="n">
        <f aca="false">Assumptions!E47</f>
        <v>31.5</v>
      </c>
      <c r="F14" s="4" t="n">
        <f aca="false">Assumptions!F47</f>
        <v>31.5</v>
      </c>
      <c r="G14" s="4" t="n">
        <f aca="false">Assumptions!G47</f>
        <v>31.5</v>
      </c>
      <c r="H14" s="4" t="n">
        <f aca="false">Assumptions!H47</f>
        <v>31.5</v>
      </c>
      <c r="I14" s="4" t="n">
        <f aca="false">Assumptions!I47</f>
        <v>31.5</v>
      </c>
      <c r="J14" s="4" t="n">
        <f aca="false">Assumptions!J47</f>
        <v>31.5</v>
      </c>
      <c r="K14" s="4" t="n">
        <f aca="false">Assumptions!K47</f>
        <v>31.5</v>
      </c>
      <c r="L14" s="4" t="n">
        <f aca="false">Assumptions!L47</f>
        <v>31.5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1368.801798</v>
      </c>
      <c r="D15" s="0" t="n">
        <f aca="false">D13-MAX(0,D13)*D14/100</f>
        <v>1423.55386992</v>
      </c>
      <c r="E15" s="0" t="n">
        <f aca="false">E13-MAX(0,E13)*E14/100</f>
        <v>1458.70470009264</v>
      </c>
      <c r="F15" s="0" t="n">
        <f aca="false">F13-MAX(0,F13)*F14/100</f>
        <v>1490.15210012061</v>
      </c>
      <c r="G15" s="0" t="n">
        <f aca="false">G13-MAX(0,G13)*G14/100</f>
        <v>1517.60227038599</v>
      </c>
      <c r="H15" s="0" t="n">
        <f aca="false">H13-MAX(0,H13)*H14/100</f>
        <v>1563.13033849757</v>
      </c>
      <c r="I15" s="0" t="n">
        <f aca="false">I13-MAX(0,I13)*I14/100</f>
        <v>1606.8979879755</v>
      </c>
      <c r="J15" s="0" t="n">
        <f aca="false">J13-MAX(0,J13)*J14/100</f>
        <v>1648.67733566287</v>
      </c>
      <c r="K15" s="0" t="n">
        <f aca="false">K13-MAX(0,K13)*K14/100</f>
        <v>1689.89426905444</v>
      </c>
      <c r="L15" s="0" t="n">
        <f aca="false">L13-MAX(0,L13)*L14/100</f>
        <v>1732.1416257808</v>
      </c>
    </row>
    <row r="16" customFormat="false" ht="15" hidden="false" customHeight="false" outlineLevel="0" collapsed="false">
      <c r="A16" s="0" t="s">
        <v>147</v>
      </c>
      <c r="C16" s="0" t="n">
        <f aca="false">-C12</f>
        <v>537.9906</v>
      </c>
      <c r="D16" s="0" t="n">
        <f aca="false">-D12</f>
        <v>586.153568</v>
      </c>
      <c r="E16" s="0" t="n">
        <f aca="false">-E12</f>
        <v>649.911090192</v>
      </c>
      <c r="F16" s="0" t="n">
        <f aca="false">-F12</f>
        <v>715.593593988</v>
      </c>
      <c r="G16" s="0" t="n">
        <f aca="false">-G12</f>
        <v>768.032292555441</v>
      </c>
      <c r="H16" s="0" t="n">
        <f aca="false">-H12</f>
        <v>791.073261332104</v>
      </c>
      <c r="I16" s="0" t="n">
        <f aca="false">-I12</f>
        <v>813.223312649403</v>
      </c>
      <c r="J16" s="0" t="n">
        <f aca="false">-J12</f>
        <v>834.367118778287</v>
      </c>
      <c r="K16" s="0" t="n">
        <f aca="false">-K12</f>
        <v>855.226296747745</v>
      </c>
      <c r="L16" s="0" t="n">
        <f aca="false">-L12</f>
        <v>876.606954166438</v>
      </c>
    </row>
    <row r="17" customFormat="false" ht="15" hidden="false" customHeight="false" outlineLevel="0" collapsed="false">
      <c r="A17" s="0" t="s">
        <v>148</v>
      </c>
      <c r="C17" s="4" t="n">
        <f aca="false">-C6*Assumptions!C46/100</f>
        <v>-1460.2602</v>
      </c>
      <c r="D17" s="4" t="n">
        <f aca="false">-D6*Assumptions!D46/100</f>
        <v>-1492.027264</v>
      </c>
      <c r="E17" s="4" t="n">
        <f aca="false">-E6*Assumptions!E46/100</f>
        <v>-1493.412717888</v>
      </c>
      <c r="F17" s="4" t="n">
        <f aca="false">-F6*Assumptions!F46/100</f>
        <v>-1116.32600662128</v>
      </c>
      <c r="G17" s="4" t="n">
        <f aca="false">-G6*Assumptions!G46/100</f>
        <v>-1033.88962459386</v>
      </c>
      <c r="H17" s="4" t="n">
        <f aca="false">-H6*Assumptions!H46/100</f>
        <v>-1034.48041866506</v>
      </c>
      <c r="I17" s="4" t="n">
        <f aca="false">-I6*Assumptions!I46/100</f>
        <v>-1063.44587038768</v>
      </c>
      <c r="J17" s="4" t="n">
        <f aca="false">-J6*Assumptions!J46/100</f>
        <v>-1091.09546301776</v>
      </c>
      <c r="K17" s="4" t="n">
        <f aca="false">-K6*Assumptions!K46/100</f>
        <v>-1118.3728495932</v>
      </c>
      <c r="L17" s="4" t="n">
        <f aca="false">-L6*Assumptions!L46/100</f>
        <v>-1146.33217083303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(C6-B6)*Assumptions!$B$51/100</f>
        <v>-56.7899999999998</v>
      </c>
      <c r="D18" s="4" t="n">
        <f aca="false">(D6-C6)*Assumptions!$B$51/100</f>
        <v>-153.7116</v>
      </c>
      <c r="E18" s="4" t="n">
        <f aca="false">(E6-D6)*Assumptions!$B$51/100</f>
        <v>-151.8670608</v>
      </c>
      <c r="F18" s="4" t="n">
        <f aca="false">(F6-E6)*Assumptions!$B$51/100</f>
        <v>-145.192903128</v>
      </c>
      <c r="G18" s="4" t="n">
        <f aca="false">(G6-F6)*Assumptions!$B$51/100</f>
        <v>-137.393970045696</v>
      </c>
      <c r="H18" s="4" t="n">
        <f aca="false">(H6-G6)*Assumptions!$B$51/100</f>
        <v>-132.928666019211</v>
      </c>
      <c r="I18" s="4" t="n">
        <f aca="false">(I6-H6)*Assumptions!$B$51/100</f>
        <v>-127.788757599802</v>
      </c>
      <c r="J18" s="4" t="n">
        <f aca="false">(J6-I6)*Assumptions!$B$51/100</f>
        <v>-121.98349689741</v>
      </c>
      <c r="K18" s="4" t="n">
        <f aca="false">(K6-J6)*Assumptions!$B$51/100</f>
        <v>-120.341411362252</v>
      </c>
      <c r="L18" s="4" t="n">
        <f aca="false">(L6-K6)*Assumptions!$B$51/100</f>
        <v>-123.349946646309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389.742198</v>
      </c>
      <c r="D19" s="0" t="n">
        <f aca="false">D15+D16+D17+D18</f>
        <v>363.96857392</v>
      </c>
      <c r="E19" s="0" t="n">
        <f aca="false">E15+E16+E17+E18</f>
        <v>463.33601159664</v>
      </c>
      <c r="F19" s="0" t="n">
        <f aca="false">F15+F16+F17+F18</f>
        <v>944.226784359331</v>
      </c>
      <c r="G19" s="0" t="n">
        <f aca="false">G15+G16+G17+G18</f>
        <v>1114.35096830187</v>
      </c>
      <c r="H19" s="0" t="n">
        <f aca="false">H15+H16+H17+H18</f>
        <v>1186.7945151454</v>
      </c>
      <c r="I19" s="0" t="n">
        <f aca="false">I15+I16+I17+I18</f>
        <v>1228.88667263742</v>
      </c>
      <c r="J19" s="0" t="n">
        <f aca="false">J15+J16+J17+J18</f>
        <v>1269.96549452598</v>
      </c>
      <c r="K19" s="0" t="n">
        <f aca="false">K15+K16+K17+K18</f>
        <v>1306.40630484673</v>
      </c>
      <c r="L19" s="0" t="n">
        <f aca="false">L15+L16+L17+L18</f>
        <v>1339.06646246789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351.119097297298</v>
      </c>
      <c r="D21" s="0" t="n">
        <f aca="false">D19*D20</f>
        <v>295.405059589319</v>
      </c>
      <c r="E21" s="0" t="n">
        <f aca="false">E19*E20</f>
        <v>338.787298325821</v>
      </c>
      <c r="F21" s="0" t="n">
        <f aca="false">F19*F20</f>
        <v>621.991429474823</v>
      </c>
      <c r="G21" s="0" t="n">
        <f aca="false">G19*G20</f>
        <v>661.313062062087</v>
      </c>
      <c r="H21" s="0" t="n">
        <f aca="false">H19*H20</f>
        <v>634.508811842931</v>
      </c>
      <c r="I21" s="0" t="n">
        <f aca="false">I19*I20</f>
        <v>591.903601907428</v>
      </c>
      <c r="J21" s="0" t="n">
        <f aca="false">J19*J20</f>
        <v>551.071677459043</v>
      </c>
      <c r="K21" s="0" t="n">
        <f aca="false">K19*K20</f>
        <v>510.706586129535</v>
      </c>
      <c r="L21" s="0" t="n">
        <f aca="false">L19*L20</f>
        <v>471.598424128624</v>
      </c>
    </row>
    <row r="23" customFormat="false" ht="15" hidden="false" customHeight="false" outlineLevel="0" collapsed="false">
      <c r="A23" s="0" t="s">
        <v>128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133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134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5028.40504821691</v>
      </c>
    </row>
    <row r="31" customFormat="false" ht="15" hidden="false" customHeight="false" outlineLevel="0" collapsed="false">
      <c r="A31" s="0" t="s">
        <v>156</v>
      </c>
      <c r="B31" s="0" t="n">
        <f aca="false">L19</f>
        <v>1339.06646246789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16147.566165054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18746.9304745505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16147.566165054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5686.92217331576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10715.3272215327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8877.32722153267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5.52559170359761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0.109556566987473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5.52559170359761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10980.3449922367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3.10062727061645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2" t="s">
        <v>173</v>
      </c>
      <c r="B3" s="2" t="s">
        <v>174</v>
      </c>
      <c r="C3" s="2" t="s">
        <v>164</v>
      </c>
      <c r="D3" s="2" t="s">
        <v>175</v>
      </c>
      <c r="E3" s="2" t="s">
        <v>167</v>
      </c>
      <c r="F3" s="2" t="s">
        <v>176</v>
      </c>
    </row>
    <row r="4" customFormat="false" ht="15" hidden="false" customHeight="false" outlineLevel="0" collapsed="false">
      <c r="A4" s="0" t="s">
        <v>177</v>
      </c>
      <c r="B4" s="4" t="n">
        <f aca="false">DCF_Bear!$B$38</f>
        <v>1.80507575876029</v>
      </c>
      <c r="C4" s="0" t="n">
        <f aca="false">B4/Assumptions!$B$2-1</f>
        <v>-0.637534988200746</v>
      </c>
      <c r="D4" s="4" t="n">
        <f aca="false">Assumptions!$B$24</f>
        <v>0.3</v>
      </c>
      <c r="E4" s="4" t="n">
        <f aca="false">DCF_Bear!$B$43</f>
        <v>1.80507575876029</v>
      </c>
      <c r="F4" s="4" t="n">
        <f aca="false">DCF_Bear!$B$47</f>
        <v>0.765199038225837</v>
      </c>
    </row>
    <row r="5" customFormat="false" ht="15" hidden="false" customHeight="false" outlineLevel="0" collapsed="false">
      <c r="A5" s="0" t="s">
        <v>178</v>
      </c>
      <c r="B5" s="4" t="n">
        <f aca="false">DCF_Base!$B$38</f>
        <v>3.86343141775341</v>
      </c>
      <c r="C5" s="0" t="n">
        <f aca="false">B5/Assumptions!$B$2-1</f>
        <v>-0.224210558684053</v>
      </c>
      <c r="D5" s="4" t="n">
        <f aca="false">Assumptions!$B$38</f>
        <v>0.5</v>
      </c>
      <c r="E5" s="4" t="n">
        <f aca="false">DCF_Base!$B$43</f>
        <v>3.86343141775341</v>
      </c>
      <c r="F5" s="4" t="n">
        <f aca="false">DCF_Base!$B$47</f>
        <v>2.10316082015547</v>
      </c>
    </row>
    <row r="6" customFormat="false" ht="15" hidden="false" customHeight="false" outlineLevel="0" collapsed="false">
      <c r="A6" s="0" t="s">
        <v>179</v>
      </c>
      <c r="B6" s="4" t="n">
        <f aca="false">DCF_Bull!$B$38</f>
        <v>5.52559170359761</v>
      </c>
      <c r="C6" s="0" t="n">
        <f aca="false">B6/Assumptions!$B$2-1</f>
        <v>0.109556566987473</v>
      </c>
      <c r="D6" s="4" t="n">
        <f aca="false">Assumptions!$B$52</f>
        <v>0.2</v>
      </c>
      <c r="E6" s="4" t="n">
        <f aca="false">DCF_Bull!$B$43</f>
        <v>5.52559170359761</v>
      </c>
      <c r="F6" s="4" t="n">
        <f aca="false">DCF_Bull!$B$47</f>
        <v>3.10062727061645</v>
      </c>
    </row>
    <row r="8" customFormat="false" ht="15" hidden="false" customHeight="false" outlineLevel="0" collapsed="false">
      <c r="A8" s="0" t="s">
        <v>180</v>
      </c>
      <c r="B8" s="0" t="n">
        <f aca="false">SUMPRODUCT(B4:B6,D4:D6)</f>
        <v>3.57835677722432</v>
      </c>
    </row>
    <row r="9" customFormat="false" ht="15" hidden="false" customHeight="false" outlineLevel="0" collapsed="false">
      <c r="A9" s="0" t="s">
        <v>181</v>
      </c>
      <c r="B9" s="0" t="n">
        <f aca="false">SUMPRODUCT(E4:E6,D4:D6)</f>
        <v>3.57835677722432</v>
      </c>
    </row>
    <row r="10" customFormat="false" ht="15" hidden="false" customHeight="false" outlineLevel="0" collapsed="false">
      <c r="A10" s="0" t="s">
        <v>182</v>
      </c>
      <c r="B10" s="0" t="n">
        <f aca="false">1-Assumptions!$B$2/B8</f>
        <v>-0.391700244004993</v>
      </c>
    </row>
    <row r="11" customFormat="false" ht="15" hidden="false" customHeight="false" outlineLevel="0" collapsed="false">
      <c r="A11" s="0" t="s">
        <v>183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184</v>
      </c>
      <c r="B12" s="0" t="n">
        <f aca="false">SUMPRODUCT(F4:F6,D4:D6)</f>
        <v>1.90126557566878</v>
      </c>
    </row>
    <row r="14" customFormat="false" ht="15" hidden="false" customHeight="false" outlineLevel="0" collapsed="false">
      <c r="A14" s="2" t="s">
        <v>185</v>
      </c>
      <c r="C14" s="0" t="s">
        <v>186</v>
      </c>
    </row>
    <row r="15" customFormat="false" ht="15" hidden="false" customHeight="false" outlineLevel="0" collapsed="false">
      <c r="A15" s="0" t="s">
        <v>187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5.09946215505773</v>
      </c>
      <c r="C15" s="3" t="n">
        <v>9</v>
      </c>
    </row>
    <row r="16" customFormat="false" ht="15" hidden="false" customHeight="false" outlineLevel="0" collapsed="false">
      <c r="A16" s="0" t="s">
        <v>188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4.58775975007332</v>
      </c>
      <c r="C16" s="3" t="n">
        <v>10</v>
      </c>
    </row>
    <row r="17" customFormat="false" ht="15" hidden="false" customHeight="false" outlineLevel="0" collapsed="false">
      <c r="A17" s="0" t="s">
        <v>189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3.86343141775341</v>
      </c>
      <c r="C17" s="3" t="n">
        <v>11</v>
      </c>
    </row>
    <row r="18" customFormat="false" ht="15" hidden="false" customHeight="false" outlineLevel="0" collapsed="false">
      <c r="A18" s="0" t="s">
        <v>190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3.28706274770141</v>
      </c>
      <c r="C18" s="3" t="n">
        <v>12</v>
      </c>
    </row>
    <row r="19" customFormat="false" ht="15" hidden="false" customHeight="false" outlineLevel="0" collapsed="false">
      <c r="A19" s="0" t="s">
        <v>191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2.10316082015547</v>
      </c>
      <c r="C19" s="3" t="n">
        <v>15</v>
      </c>
    </row>
    <row r="21" customFormat="false" ht="15" hidden="false" customHeight="false" outlineLevel="0" collapsed="false">
      <c r="A21" s="2" t="s">
        <v>192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4.99822747289435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5.09946215505773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5.09946215505773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5.09946215505773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5.09946215505773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4.21131922327111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4.38846770647215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4.58775975007332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4.64935910900459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4.64935910900459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3.58583508987868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3.71732808729303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3.86343141775341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4.02672337532679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4.21042682759683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3.07755111263682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3.17731855790568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3.28706274770141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3.40835895747565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3.54313252389147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2.65699673267367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2.73407784301098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2.81816632701532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2.91026323806769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3.0115698402253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2026-09-25T13:40:28Z</dcterms:created>
  <dc:creator>openpyxl</dc:creator>
  <dc:description/>
  <dc:language>en-NZ</dc:language>
  <cp:lastModifiedBy/>
  <dcterms:modified xsi:type="dcterms:W3CDTF">2026-09-25T13:40:28Z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