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<sst xmlns="http://schemas.openxmlformats.org/spreadsheetml/2006/main" count="339" uniqueCount="159">
  <si>
    <t xml:space="preserve">Ticker</t>
  </si>
  <si>
    <t xml:space="preserve">3677.HK</t>
  </si>
  <si>
    <t xml:space="preserve">Company</t>
  </si>
  <si>
    <t xml:space="preserve">Jiangsu Zenergy Battery Technologies Group Co., Ltd.</t>
  </si>
  <si>
    <t xml:space="preserve">Valuation date</t>
  </si>
  <si>
    <t xml:space="preserve">2026-10-23</t>
  </si>
  <si>
    <t xml:space="preserve">Current price</t>
  </si>
  <si>
    <t xml:space="preserve">Price as of</t>
  </si>
  <si>
    <t xml:space="preserve">2026-10-22T08:08:34Z (HKEX regular close; fifth consecutive down day, sitting on the 52-week low of 3.445 against a 52-week high of 10.43)</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</si>
  <si>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</si>
  <si>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</si>
  <si>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</si>
  <si>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</si>
  <si>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</si>
  <si>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</si>
  <si>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</si>
  <si>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</si>
  <si>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</si>
  <si>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</si>
  <si>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</si>
  <si>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</si>
  <si>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</si>
  <si>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2026-10-22T11:20:39Z</t>
  </si>
  <si>
    <t xml:space="preserve">Drivers file</t>
  </si>
  <si>
    <t xml:space="preserve">3677.HK_Drivers.json</t>
  </si>
  <si>
    <t xml:space="preserve">Convention</t>
  </si>
  <si>
    <t xml:space="preserve">Percents stored as percents; formulas divide by 100. Blue = input, green = link, black = formula.</t>
  </si>
  <si>
    <t xml:space="preserve">Methodology</t>
  </si>
  <si>
    <t xml:space="preserve">summary: A thin-margin, capital-intensive Chinese battery maker that has just turned profitable, is doubling capacity on borrowed money, and sits 5th-7th behind two price-setters. Value comes from three things, in order of certainty: the STAES HEV joint venture (carried at ~9x earnings, roughly RMB1.3/share before debt), a core battery business whose owner FCF is negative until FY2029, and growth optionality in ESS, sodium-ion and aviation cells that is real but small. The house DCF charges SBC (immaterial here), strips JV and interest income into the bridge, treats leases as debt, ramps cash tax from ~nil to 15-18%, charges working capital on growth, caps the terminal at 12-15x FCF for a cyclical, and discounts in CNY at 10%. Scenario spread is very wide (bear near the JV-only floor, bull ~2x price) because the business has essentially no steady-state history to anchor to.
key_risks_to_valuation: Margin: every 1pp of terminal core EBITDA margin is worth roughly RMB0.25/share (~HK$0.30); H1 2026's 12.5% is the anchor and the industry has not finished cutting prices.; Capex and funding: FY2026-27 capex of ~RMB8bn is debt-funded; a discounted equity raise (A-share or H-share placement) would transfer value from existing holders and is not modelled.; Utilisation of 70.5 -&gt; 120 GWh capacity against +7% Chinese NEV growth; under-utilisation lifts D&amp;A % and crushes a 4-8% EBIT margin.; Cash tax: the model assumes recognised losses are consumed by FY2029 and the HNTE 15% rate (valid to 2027) is renewed; both are assumptions, not disclosures.; JV at carrying value: RMB2.9bn of the RMB3.3bn is acquisition goodwill; an impairment or a Toyota HEV volume decline would hit the bridge directly.; Receivables: RMB632m of impairment already provided; emerging-OEM customers have failed before (WM Motor).; FX and currency of valuation: a 5% CNY/HKD move shifts every HKD figure 5%; the rate is dated 2026-10-22 and refresh_price.py does not update it.; Discounting convention: FY2026 is 80% elapsed but discounted a full year; adjusting for that would add ~8% to EV.</t>
  </si>
  <si>
    <t xml:space="preserve">Data sources</t>
  </si>
  <si>
    <t xml:space="preserve">price: Yahoo Finance chart API at inputs.price_as_of; 52-week range 3.445-10.43 HKD; IPO at HK$8.27 (April 2025)
fx: Yahoo Finance CNYHKD=X, see inputs.fx_note
financials: research/3677.HK/Reports/3677.HK_Metrics.csv (core_metrics, FY2023-FY2025 annual, H1 2024-H1 2026 interim); 3677.HK_Annual_FY2025.txt (cash flow statement lines 3808-3899, tax note 5797-5838, commitments 7200-7208); 3677.HK_HalfYear_H1-2026.txt (balance sheet 1762-1854, cash flow 1928-2017, JV note 2321-2332, commitments 2462-2472, share count 1350)
qualitative: research/3677.HK/Reports/3677.HK_Analysis.json (2026-10-23)</t>
  </si>
  <si>
    <t xml:space="preserve">Scenario narrative: bear</t>
  </si>
  <si>
    <t xml:space="preserve">The H1 2026 gross-margin fall to 12.5% is the industry's overcapacity arriving at the mid-tier: CATL and BYD price to fill 1,000+ GWh, OEMs dual-source, and Zenergy's new 70.5 GWh runs at 60-70% utilisation. Core EBITDA settles at 10.5-12% with D&amp;A at 8% of revenue, EBIT margin ~3-5%, growth stalls at 3% from FY2029 and the 50 GWh ESS project is shelved. Cash tax rises to 20% when the HNTE certificate lapses in 2027. Negative FCF through FY2028 on RMB7.4bn of borrowings forces either a discounted equity raise or a halt to growth capex; the model assumes the halt. The DCF equity is then little more than the STAES stake plus a low-single-digit-multiple on a thin cash flow. A receivables event at a stressed emerging-OEM customer (WM Motor precedent; RMB632m of impairment already provided) would push this case lower still.</t>
  </si>
  <si>
    <t xml:space="preserve">Scenario narrative: base</t>
  </si>
  <si>
    <t xml:space="preserve">Zenergy holds its 5th-7th place in China by installed capacity, fills most of the 2026-27 capacity doubling, and the ESS and sodium-ion lines grow from 5% of revenue to a meaningful minority. Core EBITDA margin recovers from H1 2026's 12.5% to 15% by FY2032 as the new Changshu lines absorb fixed cost; EBIT margin reaches ~8%, the ceiling for a mid-tier cell maker without CATL's purchasing scale. Free cash flow is negative through FY2028 (cumulative ~RMB5.4bn burn, funded by the RMB4.8bn cash pile and borrowings), turns positive in FY2029 and reaches ~RMB1.6bn (6% of revenue) by FY2035. The STAES HEV joint venture keeps paying ~RMB300-350m/yr of dividends and is carried at book. The axes that decide this case are (1) whether gross margin stabilises above 12% while CATL/BYD keep pricing for share, (2) utilisation of the 70.5 -&gt; 120 GWh capacity against a Chinese NEV market growing single digits, and (3) whether the FY2026-27 capex is the last big wave or the first of several.</t>
  </si>
  <si>
    <t xml:space="preserve">Scenario narrative: bull</t>
  </si>
  <si>
    <t xml:space="preserve">The ESS 'second growth curve' delivers: 314Ah/588Ah cells win AIDC and long-duration storage projects, sodium-ion exports to EU/US data centres scale, and the aviation/robotics certifications become real revenue, so the 120 GWh FY2027 capacity fills at the 5th-ranked share. Mix lifts core EBITDA to 17%, the A-share ChiNext listing funds the 50 GWh ESS project without a discounted raise, and the HNTE 15% rate is renewed through the horizon. Year-10 revenue RMB35bn with ~RMB2.9bn of owner FCF; terminal capped at 15x. This case needs three independent things to go right at once (ESS scale, margin recovery, A-share funding), which is why its weight is below the house default.</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</si>
  <si>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</si>
  <si>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</si>
  <si>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</si>
  <si>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</si>
  <si>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</si>
  <si>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</si>
  <si>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</si>
  <si>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</si>
  <si>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</si>
  <si>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</si>
  <si>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</si>
  <si>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</si>
  <si>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</si>
  <si>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</si>
  <si>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</si>
  <si>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</si>
  <si>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</si>
  <si>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</si>
  <si>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</si>
  <si>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</si>
  <si>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</si>
  <si>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</si>
  <si>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</si>
  <si>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</si>
  <si>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</si>
  <si>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</si>
  <si>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</si>
  <si>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ShareOfJVProfit</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</si>
  <si>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</si>
  <si>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</si>
  <si>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</si>
  <si>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</si>
  <si>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</si>
  <si>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</si>
  <si>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</si>
  <si>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</si>
  <si>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</si>
  <si>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</si>
  <si>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</si>
  <si>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</si>
  <si>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</si>
  <si>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</si>
  <si>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</si>
  <si>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</si>
  <si>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</si>
  <si>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</si>
  <si>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</si>
  <si>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</si>
  <si>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</si>
  <si>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</si>
  <si>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</si>
  <si>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</si>
  <si>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</si>
  <si>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</si>
  <si>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</si>
  <si>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</si>
  <si>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</si>
  <si>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</si>
  <si>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</si>
  <si>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</si>
  <si>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</si>
  <si>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</si>
  <si>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</si>
  <si>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</si>
  <si>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</si>
  <si>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</si>
  <si>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</si>
  <si>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</si>
  <si>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3677.HK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</si>
  <si>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</si>
  <si>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</si>
  <si>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</si>
  <si>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</si>
  <si>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</si>
  <si>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</si>
  <si>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</si>
  <si>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</si>
  <si>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</si>
  <si>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</si>
  <si>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</si>
  <si>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</si>
  <si>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</si>
  <si>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</si>
  <si>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</si>
  <si>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</si>
  <si>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</si>
  <si>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</si>
  <si>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</si>
  <si>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</si>
  <si>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</si>
  <si>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</si>
  <si>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</si>
  <si>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</si>
  <si>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</si>
  <si>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</si>
  <si>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</si>
  <si>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</si>
  <si>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</si>
  <si>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</si>
  <si>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3677.HK owner-FCF component DCF: base case (millions, CNY)</t>
  </si>
  <si>
    <t xml:space="preserve">3677.HK owner-FCF component DCF: bull case (millions, CNY)</t>
  </si>
  <si>
    <t xml:space="preserve">3677.HK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</si>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</sst>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3.47</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46.2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row>
    <row r="2" customFormat="false" ht="15" hidden="false" customHeight="false" outlineLevel="0" collapsed="false">
      <c r="A2" s="0" t="s">
        <v>65</v>
      </c>
      <c r="B2" s="0" t="n">
        <v>4161.67</v>
      </c>
      <c r="D2" s="0" t="n">
        <v>208.489</v>
      </c>
      <c r="E2" s="0" t="n">
        <v>5</v>
      </c>
      <c r="I2" s="0" t="n">
        <v>-589.867</v>
      </c>
      <c r="J2" s="0" t="n">
        <v>-14.2</v>
      </c>
      <c r="O2" s="0" t="n">
        <v>4747.23</v>
      </c>
      <c r="P2" s="0" t="n">
        <v>14130.8</v>
      </c>
      <c r="Q2" s="0" t="n">
        <v>9383.55</v>
      </c>
      <c r="S2" s="0" t="n">
        <v>2034.279</v>
      </c>
      <c r="AA2" s="0" t="s">
        <v>18</v>
      </c>
      <c r="AB2" s="0" t="s">
        <v>14</v>
      </c>
    </row>
    <row r="3" customFormat="false" ht="15" hidden="false" customHeight="false" outlineLevel="0" collapsed="false">
      <c r="A3" s="0" t="s">
        <v>66</v>
      </c>
      <c r="B3" s="0" t="n">
        <v>5130.317</v>
      </c>
      <c r="C3" s="0" t="n">
        <v>4381.873</v>
      </c>
      <c r="D3" s="0" t="n">
        <v>748.444</v>
      </c>
      <c r="E3" s="0" t="n">
        <v>14.6</v>
      </c>
      <c r="F3" s="0" t="n">
        <v>211.628</v>
      </c>
      <c r="G3" s="0" t="n">
        <v>4.1</v>
      </c>
      <c r="H3" s="0" t="n">
        <v>820.57</v>
      </c>
      <c r="I3" s="0" t="n">
        <v>91.014</v>
      </c>
      <c r="J3" s="0" t="n">
        <v>1.8</v>
      </c>
      <c r="K3" s="0" t="n">
        <v>0.04</v>
      </c>
      <c r="L3" s="0" t="n">
        <v>-361.142</v>
      </c>
      <c r="M3" s="0" t="n">
        <v>625.127</v>
      </c>
      <c r="N3" s="0" t="n">
        <v>-986.269</v>
      </c>
      <c r="O3" s="0" t="n">
        <v>5897.122</v>
      </c>
      <c r="P3" s="0" t="n">
        <v>15594.231</v>
      </c>
      <c r="Q3" s="0" t="n">
        <v>9697.109</v>
      </c>
      <c r="R3" s="0" t="n">
        <v>4014.484</v>
      </c>
      <c r="S3" s="0" t="n">
        <v>2199.072</v>
      </c>
      <c r="T3" s="0" t="n">
        <v>2313.019</v>
      </c>
      <c r="U3" s="0" t="n">
        <v>58.875</v>
      </c>
      <c r="V3" s="0" t="n">
        <v>0</v>
      </c>
      <c r="AA3" s="0" t="s">
        <v>18</v>
      </c>
      <c r="AB3" s="0" t="s">
        <v>14</v>
      </c>
      <c r="AC3" s="0" t="n">
        <v>302.496</v>
      </c>
    </row>
    <row r="4" customFormat="false" ht="15" hidden="false" customHeight="false" outlineLevel="0" collapsed="false">
      <c r="A4" s="0" t="s">
        <v>67</v>
      </c>
      <c r="B4" s="0" t="n">
        <v>8100.969</v>
      </c>
      <c r="C4" s="0" t="n">
        <v>6609.559</v>
      </c>
      <c r="D4" s="0" t="n">
        <v>1491.41</v>
      </c>
      <c r="E4" s="0" t="n">
        <v>18.4</v>
      </c>
      <c r="F4" s="0" t="n">
        <v>737.074</v>
      </c>
      <c r="G4" s="0" t="n">
        <v>9.1</v>
      </c>
      <c r="H4" s="0" t="n">
        <v>1496.186</v>
      </c>
      <c r="I4" s="0" t="n">
        <v>808.55</v>
      </c>
      <c r="J4" s="0" t="n">
        <v>10</v>
      </c>
      <c r="K4" s="0" t="n">
        <v>0.33</v>
      </c>
      <c r="L4" s="0" t="n">
        <v>1437.045</v>
      </c>
      <c r="M4" s="0" t="n">
        <v>2600.884</v>
      </c>
      <c r="N4" s="0" t="n">
        <v>-1163.839</v>
      </c>
      <c r="O4" s="0" t="n">
        <v>8091.771</v>
      </c>
      <c r="P4" s="0" t="n">
        <v>21155.596</v>
      </c>
      <c r="Q4" s="0" t="n">
        <v>13063.825</v>
      </c>
      <c r="R4" s="0" t="n">
        <v>5693.786</v>
      </c>
      <c r="S4" s="0" t="n">
        <v>4182.585</v>
      </c>
      <c r="T4" s="0" t="n">
        <v>2482.429</v>
      </c>
      <c r="U4" s="0" t="n">
        <v>31.675</v>
      </c>
      <c r="V4" s="0" t="n">
        <v>0</v>
      </c>
      <c r="AA4" s="0" t="s">
        <v>18</v>
      </c>
      <c r="AB4" s="0" t="s">
        <v>14</v>
      </c>
      <c r="AC4" s="0" t="n">
        <v>359.892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68</v>
      </c>
      <c r="B1" s="2" t="s">
        <v>69</v>
      </c>
    </row>
    <row r="2" customFormat="false" ht="15" hidden="false" customHeight="false" outlineLevel="0" collapsed="false">
      <c r="A2" s="0" t="s">
        <v>70</v>
      </c>
      <c r="B2" s="3" t="n">
        <v>3.47</v>
      </c>
    </row>
    <row r="3" customFormat="false" ht="15" hidden="false" customHeight="false" outlineLevel="0" collapsed="false">
      <c r="A3" s="0" t="s">
        <v>71</v>
      </c>
      <c r="B3" s="3" t="n">
        <v>2554.421</v>
      </c>
    </row>
    <row r="4" customFormat="false" ht="15" hidden="false" customHeight="false" outlineLevel="0" collapsed="false">
      <c r="A4" s="0" t="s">
        <v>72</v>
      </c>
      <c r="B4" s="3" t="n">
        <v>2715.5</v>
      </c>
    </row>
    <row r="5" customFormat="false" ht="15" hidden="false" customHeight="false" outlineLevel="0" collapsed="false">
      <c r="A5" s="0" t="s">
        <v>73</v>
      </c>
      <c r="B5" s="3" t="n">
        <v>3396.298</v>
      </c>
    </row>
    <row r="6" customFormat="false" ht="15" hidden="false" customHeight="false" outlineLevel="0" collapsed="false">
      <c r="A6" s="0" t="s">
        <v>74</v>
      </c>
      <c r="B6" s="3" t="n">
        <v>15</v>
      </c>
    </row>
    <row r="7" customFormat="false" ht="15" hidden="false" customHeight="false" outlineLevel="0" collapsed="false">
      <c r="A7" s="0" t="s">
        <v>75</v>
      </c>
      <c r="B7" s="3" t="n">
        <v>8100.969</v>
      </c>
    </row>
    <row r="8" customFormat="false" ht="15" hidden="false" customHeight="false" outlineLevel="0" collapsed="false">
      <c r="A8" s="0" t="s">
        <v>76</v>
      </c>
      <c r="B8" s="3" t="s">
        <v>67</v>
      </c>
    </row>
    <row r="9" customFormat="false" ht="15" hidden="false" customHeight="false" outlineLevel="0" collapsed="false">
      <c r="A9" s="0" t="s">
        <v>77</v>
      </c>
      <c r="B9" s="3" t="s">
        <v>78</v>
      </c>
    </row>
    <row r="10" customFormat="false" ht="15" hidden="false" customHeight="false" outlineLevel="0" collapsed="false">
      <c r="A10" s="0" t="s">
        <v>79</v>
      </c>
      <c r="B10" s="3" t="n">
        <v>1.1743</v>
      </c>
    </row>
    <row r="12" customFormat="false" ht="15" hidden="false" customHeight="false" outlineLevel="0" collapsed="false">
      <c r="A12" s="2" t="s">
        <v>80</v>
      </c>
      <c r="C12" s="2" t="s">
        <v>81</v>
      </c>
      <c r="D12" s="2" t="s">
        <v>82</v>
      </c>
      <c r="E12" s="2" t="s">
        <v>83</v>
      </c>
      <c r="F12" s="2" t="s">
        <v>84</v>
      </c>
      <c r="G12" s="2" t="s">
        <v>85</v>
      </c>
      <c r="H12" s="2" t="s">
        <v>86</v>
      </c>
      <c r="I12" s="2" t="s">
        <v>87</v>
      </c>
      <c r="J12" s="2" t="s">
        <v>88</v>
      </c>
      <c r="K12" s="2" t="s">
        <v>89</v>
      </c>
      <c r="L12" s="2" t="s">
        <v>90</v>
      </c>
    </row>
    <row r="13" customFormat="false" ht="15" hidden="false" customHeight="false" outlineLevel="0" collapsed="false">
      <c r="A13" s="0" t="s">
        <v>91</v>
      </c>
      <c r="C13" s="3" t="n">
        <v>50</v>
      </c>
      <c r="D13" s="3" t="n">
        <v>10</v>
      </c>
      <c r="E13" s="3" t="n">
        <v>5</v>
      </c>
      <c r="F13" s="3" t="n">
        <v>3</v>
      </c>
      <c r="G13" s="3" t="n">
        <v>3</v>
      </c>
      <c r="H13" s="3" t="n">
        <v>3</v>
      </c>
      <c r="I13" s="3" t="n">
        <v>2.5</v>
      </c>
      <c r="J13" s="3" t="n">
        <v>2.5</v>
      </c>
      <c r="K13" s="3" t="n">
        <v>2.5</v>
      </c>
      <c r="L13" s="3" t="n">
        <v>2.5</v>
      </c>
    </row>
    <row r="14" customFormat="false" ht="15" hidden="false" customHeight="false" outlineLevel="0" collapsed="false">
      <c r="A14" s="0" t="s">
        <v>92</v>
      </c>
      <c r="C14" s="3" t="n">
        <v>11</v>
      </c>
      <c r="D14" s="3" t="n">
        <v>10.5</v>
      </c>
      <c r="E14" s="3" t="n">
        <v>10.5</v>
      </c>
      <c r="F14" s="3" t="n">
        <v>11</v>
      </c>
      <c r="G14" s="3" t="n">
        <v>11.5</v>
      </c>
      <c r="H14" s="3" t="n">
        <v>11.5</v>
      </c>
      <c r="I14" s="3" t="n">
        <v>12</v>
      </c>
      <c r="J14" s="3" t="n">
        <v>12</v>
      </c>
      <c r="K14" s="3" t="n">
        <v>12</v>
      </c>
      <c r="L14" s="3" t="n">
        <v>12</v>
      </c>
    </row>
    <row r="15" customFormat="false" ht="15" hidden="false" customHeight="false" outlineLevel="0" collapsed="false">
      <c r="A15" s="0" t="s">
        <v>93</v>
      </c>
      <c r="C15" s="3" t="n">
        <v>0.3</v>
      </c>
      <c r="D15" s="3" t="n">
        <v>0.28</v>
      </c>
      <c r="E15" s="3" t="n">
        <v>0.26</v>
      </c>
      <c r="F15" s="3" t="n">
        <v>0.24</v>
      </c>
      <c r="G15" s="3" t="n">
        <v>0.23</v>
      </c>
      <c r="H15" s="3" t="n">
        <v>0.22</v>
      </c>
      <c r="I15" s="3" t="n">
        <v>0.21</v>
      </c>
      <c r="J15" s="3" t="n">
        <v>0.2</v>
      </c>
      <c r="K15" s="3" t="n">
        <v>0.2</v>
      </c>
      <c r="L15" s="3" t="n">
        <v>0.2</v>
      </c>
    </row>
    <row r="16" customFormat="false" ht="15" hidden="false" customHeight="false" outlineLevel="0" collapsed="false">
      <c r="A16" s="0" t="s">
        <v>94</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95</v>
      </c>
      <c r="C17" s="3" t="n">
        <v>7.5</v>
      </c>
      <c r="D17" s="3" t="n">
        <v>8</v>
      </c>
      <c r="E17" s="3" t="n">
        <v>8</v>
      </c>
      <c r="F17" s="3" t="n">
        <v>8</v>
      </c>
      <c r="G17" s="3" t="n">
        <v>7.5</v>
      </c>
      <c r="H17" s="3" t="n">
        <v>7.5</v>
      </c>
      <c r="I17" s="3" t="n">
        <v>7</v>
      </c>
      <c r="J17" s="3" t="n">
        <v>7</v>
      </c>
      <c r="K17" s="3" t="n">
        <v>7</v>
      </c>
      <c r="L17" s="3" t="n">
        <v>7</v>
      </c>
    </row>
    <row r="18" customFormat="false" ht="15" hidden="false" customHeight="false" outlineLevel="0" collapsed="false">
      <c r="A18" s="0" t="s">
        <v>96</v>
      </c>
      <c r="C18" s="3" t="n">
        <v>33</v>
      </c>
      <c r="D18" s="3" t="n">
        <v>15</v>
      </c>
      <c r="E18" s="3" t="n">
        <v>10</v>
      </c>
      <c r="F18" s="3" t="n">
        <v>8</v>
      </c>
      <c r="G18" s="3" t="n">
        <v>7.5</v>
      </c>
      <c r="H18" s="3" t="n">
        <v>7</v>
      </c>
      <c r="I18" s="3" t="n">
        <v>7</v>
      </c>
      <c r="J18" s="3" t="n">
        <v>7</v>
      </c>
      <c r="K18" s="3" t="n">
        <v>7</v>
      </c>
      <c r="L18" s="3" t="n">
        <v>7</v>
      </c>
    </row>
    <row r="19" customFormat="false" ht="15" hidden="false" customHeight="false" outlineLevel="0" collapsed="false">
      <c r="A19" s="0" t="s">
        <v>97</v>
      </c>
      <c r="C19" s="3" t="n">
        <v>2</v>
      </c>
      <c r="D19" s="3" t="n">
        <v>5</v>
      </c>
      <c r="E19" s="3" t="n">
        <v>10</v>
      </c>
      <c r="F19" s="3" t="n">
        <v>15</v>
      </c>
      <c r="G19" s="3" t="n">
        <v>15</v>
      </c>
      <c r="H19" s="3" t="n">
        <v>20</v>
      </c>
      <c r="I19" s="3" t="n">
        <v>20</v>
      </c>
      <c r="J19" s="3" t="n">
        <v>20</v>
      </c>
      <c r="K19" s="3" t="n">
        <v>20</v>
      </c>
      <c r="L19" s="3" t="n">
        <v>20</v>
      </c>
    </row>
    <row r="20" customFormat="false" ht="15" hidden="false" customHeight="false" outlineLevel="0" collapsed="false">
      <c r="A20" s="0" t="s">
        <v>98</v>
      </c>
      <c r="B20" s="3" t="n">
        <v>10</v>
      </c>
    </row>
    <row r="21" customFormat="false" ht="15" hidden="false" customHeight="false" outlineLevel="0" collapsed="false">
      <c r="A21" s="0" t="s">
        <v>99</v>
      </c>
      <c r="B21" s="3" t="n">
        <v>2.5</v>
      </c>
    </row>
    <row r="22" customFormat="false" ht="15" hidden="false" customHeight="false" outlineLevel="0" collapsed="false">
      <c r="A22" s="0" t="s">
        <v>100</v>
      </c>
      <c r="B22" s="3" t="n">
        <v>12</v>
      </c>
    </row>
    <row r="23" customFormat="false" ht="15" hidden="false" customHeight="false" outlineLevel="0" collapsed="false">
      <c r="A23" s="0" t="s">
        <v>101</v>
      </c>
      <c r="B23" s="3" t="n">
        <v>-8</v>
      </c>
    </row>
    <row r="24" customFormat="false" ht="15" hidden="false" customHeight="false" outlineLevel="0" collapsed="false">
      <c r="A24" s="0" t="s">
        <v>102</v>
      </c>
      <c r="B24" s="3" t="n">
        <v>0.3</v>
      </c>
    </row>
    <row r="26" customFormat="false" ht="15" hidden="false" customHeight="false" outlineLevel="0" collapsed="false">
      <c r="A26" s="2" t="s">
        <v>103</v>
      </c>
      <c r="C26" s="2" t="s">
        <v>81</v>
      </c>
      <c r="D26" s="2" t="s">
        <v>82</v>
      </c>
      <c r="E26" s="2" t="s">
        <v>83</v>
      </c>
      <c r="F26" s="2" t="s">
        <v>84</v>
      </c>
      <c r="G26" s="2" t="s">
        <v>85</v>
      </c>
      <c r="H26" s="2" t="s">
        <v>86</v>
      </c>
      <c r="I26" s="2" t="s">
        <v>87</v>
      </c>
      <c r="J26" s="2" t="s">
        <v>88</v>
      </c>
      <c r="K26" s="2" t="s">
        <v>89</v>
      </c>
      <c r="L26" s="2" t="s">
        <v>90</v>
      </c>
    </row>
    <row r="27" customFormat="false" ht="15" hidden="false" customHeight="false" outlineLevel="0" collapsed="false">
      <c r="A27" s="0" t="s">
        <v>91</v>
      </c>
      <c r="C27" s="3" t="n">
        <v>55</v>
      </c>
      <c r="D27" s="3" t="n">
        <v>25</v>
      </c>
      <c r="E27" s="3" t="n">
        <v>15</v>
      </c>
      <c r="F27" s="3" t="n">
        <v>10</v>
      </c>
      <c r="G27" s="3" t="n">
        <v>8</v>
      </c>
      <c r="H27" s="3" t="n">
        <v>6</v>
      </c>
      <c r="I27" s="3" t="n">
        <v>5</v>
      </c>
      <c r="J27" s="3" t="n">
        <v>4</v>
      </c>
      <c r="K27" s="3" t="n">
        <v>3</v>
      </c>
      <c r="L27" s="3" t="n">
        <v>3</v>
      </c>
    </row>
    <row r="28" customFormat="false" ht="15" hidden="false" customHeight="false" outlineLevel="0" collapsed="false">
      <c r="A28" s="0" t="s">
        <v>92</v>
      </c>
      <c r="C28" s="3" t="n">
        <v>12.5</v>
      </c>
      <c r="D28" s="3" t="n">
        <v>13</v>
      </c>
      <c r="E28" s="3" t="n">
        <v>13.5</v>
      </c>
      <c r="F28" s="3" t="n">
        <v>14</v>
      </c>
      <c r="G28" s="3" t="n">
        <v>14.5</v>
      </c>
      <c r="H28" s="3" t="n">
        <v>14.5</v>
      </c>
      <c r="I28" s="3" t="n">
        <v>15</v>
      </c>
      <c r="J28" s="3" t="n">
        <v>15</v>
      </c>
      <c r="K28" s="3" t="n">
        <v>15</v>
      </c>
      <c r="L28" s="3" t="n">
        <v>15</v>
      </c>
    </row>
    <row r="29" customFormat="false" ht="15" hidden="false" customHeight="false" outlineLevel="0" collapsed="false">
      <c r="A29" s="0" t="s">
        <v>93</v>
      </c>
      <c r="C29" s="3" t="n">
        <v>0.3</v>
      </c>
      <c r="D29" s="3" t="n">
        <v>0.28</v>
      </c>
      <c r="E29" s="3" t="n">
        <v>0.26</v>
      </c>
      <c r="F29" s="3" t="n">
        <v>0.24</v>
      </c>
      <c r="G29" s="3" t="n">
        <v>0.23</v>
      </c>
      <c r="H29" s="3" t="n">
        <v>0.22</v>
      </c>
      <c r="I29" s="3" t="n">
        <v>0.21</v>
      </c>
      <c r="J29" s="3" t="n">
        <v>0.2</v>
      </c>
      <c r="K29" s="3" t="n">
        <v>0.2</v>
      </c>
      <c r="L29" s="3" t="n">
        <v>0.2</v>
      </c>
    </row>
    <row r="30" customFormat="false" ht="15" hidden="false" customHeight="false" outlineLevel="0" collapsed="false">
      <c r="A30" s="0" t="s">
        <v>94</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95</v>
      </c>
      <c r="C31" s="3" t="n">
        <v>7.5</v>
      </c>
      <c r="D31" s="3" t="n">
        <v>7.5</v>
      </c>
      <c r="E31" s="3" t="n">
        <v>7</v>
      </c>
      <c r="F31" s="3" t="n">
        <v>7</v>
      </c>
      <c r="G31" s="3" t="n">
        <v>7</v>
      </c>
      <c r="H31" s="3" t="n">
        <v>6.8</v>
      </c>
      <c r="I31" s="3" t="n">
        <v>6.5</v>
      </c>
      <c r="J31" s="3" t="n">
        <v>6.5</v>
      </c>
      <c r="K31" s="3" t="n">
        <v>6.5</v>
      </c>
      <c r="L31" s="3" t="n">
        <v>6.5</v>
      </c>
    </row>
    <row r="32" customFormat="false" ht="15" hidden="false" customHeight="false" outlineLevel="0" collapsed="false">
      <c r="A32" s="0" t="s">
        <v>96</v>
      </c>
      <c r="C32" s="3" t="n">
        <v>32</v>
      </c>
      <c r="D32" s="3" t="n">
        <v>25</v>
      </c>
      <c r="E32" s="3" t="n">
        <v>15</v>
      </c>
      <c r="F32" s="3" t="n">
        <v>11</v>
      </c>
      <c r="G32" s="3" t="n">
        <v>9</v>
      </c>
      <c r="H32" s="3" t="n">
        <v>8</v>
      </c>
      <c r="I32" s="3" t="n">
        <v>7.5</v>
      </c>
      <c r="J32" s="3" t="n">
        <v>7</v>
      </c>
      <c r="K32" s="3" t="n">
        <v>7</v>
      </c>
      <c r="L32" s="3" t="n">
        <v>7</v>
      </c>
    </row>
    <row r="33" customFormat="false" ht="15" hidden="false" customHeight="false" outlineLevel="0" collapsed="false">
      <c r="A33" s="0" t="s">
        <v>97</v>
      </c>
      <c r="C33" s="3" t="n">
        <v>2</v>
      </c>
      <c r="D33" s="3" t="n">
        <v>5</v>
      </c>
      <c r="E33" s="3" t="n">
        <v>10</v>
      </c>
      <c r="F33" s="3" t="n">
        <v>15</v>
      </c>
      <c r="G33" s="3" t="n">
        <v>15</v>
      </c>
      <c r="H33" s="3" t="n">
        <v>15</v>
      </c>
      <c r="I33" s="3" t="n">
        <v>16</v>
      </c>
      <c r="J33" s="3" t="n">
        <v>17</v>
      </c>
      <c r="K33" s="3" t="n">
        <v>18</v>
      </c>
      <c r="L33" s="3" t="n">
        <v>18</v>
      </c>
    </row>
    <row r="34" customFormat="false" ht="15" hidden="false" customHeight="false" outlineLevel="0" collapsed="false">
      <c r="A34" s="0" t="s">
        <v>98</v>
      </c>
      <c r="B34" s="3" t="n">
        <v>10</v>
      </c>
    </row>
    <row r="35" customFormat="false" ht="15" hidden="false" customHeight="false" outlineLevel="0" collapsed="false">
      <c r="A35" s="0" t="s">
        <v>99</v>
      </c>
      <c r="B35" s="3" t="n">
        <v>2.5</v>
      </c>
    </row>
    <row r="36" customFormat="false" ht="15" hidden="false" customHeight="false" outlineLevel="0" collapsed="false">
      <c r="A36" s="0" t="s">
        <v>100</v>
      </c>
      <c r="B36" s="3" t="n">
        <v>13</v>
      </c>
    </row>
    <row r="37" customFormat="false" ht="15" hidden="false" customHeight="false" outlineLevel="0" collapsed="false">
      <c r="A37" s="0" t="s">
        <v>101</v>
      </c>
      <c r="B37" s="3" t="n">
        <v>-5</v>
      </c>
    </row>
    <row r="38" customFormat="false" ht="15" hidden="false" customHeight="false" outlineLevel="0" collapsed="false">
      <c r="A38" s="0" t="s">
        <v>102</v>
      </c>
      <c r="B38" s="3" t="n">
        <v>0.5</v>
      </c>
    </row>
    <row r="40" customFormat="false" ht="15" hidden="false" customHeight="false" outlineLevel="0" collapsed="false">
      <c r="A40" s="2" t="s">
        <v>104</v>
      </c>
      <c r="C40" s="2" t="s">
        <v>81</v>
      </c>
      <c r="D40" s="2" t="s">
        <v>82</v>
      </c>
      <c r="E40" s="2" t="s">
        <v>83</v>
      </c>
      <c r="F40" s="2" t="s">
        <v>84</v>
      </c>
      <c r="G40" s="2" t="s">
        <v>85</v>
      </c>
      <c r="H40" s="2" t="s">
        <v>86</v>
      </c>
      <c r="I40" s="2" t="s">
        <v>87</v>
      </c>
      <c r="J40" s="2" t="s">
        <v>88</v>
      </c>
      <c r="K40" s="2" t="s">
        <v>89</v>
      </c>
      <c r="L40" s="2" t="s">
        <v>90</v>
      </c>
    </row>
    <row r="41" customFormat="false" ht="15" hidden="false" customHeight="false" outlineLevel="0" collapsed="false">
      <c r="A41" s="0" t="s">
        <v>91</v>
      </c>
      <c r="C41" s="3" t="n">
        <v>62</v>
      </c>
      <c r="D41" s="3" t="n">
        <v>35</v>
      </c>
      <c r="E41" s="3" t="n">
        <v>22</v>
      </c>
      <c r="F41" s="3" t="n">
        <v>15</v>
      </c>
      <c r="G41" s="3" t="n">
        <v>10</v>
      </c>
      <c r="H41" s="3" t="n">
        <v>8</v>
      </c>
      <c r="I41" s="3" t="n">
        <v>6</v>
      </c>
      <c r="J41" s="3" t="n">
        <v>5</v>
      </c>
      <c r="K41" s="3" t="n">
        <v>4</v>
      </c>
      <c r="L41" s="3" t="n">
        <v>3</v>
      </c>
    </row>
    <row r="42" customFormat="false" ht="15" hidden="false" customHeight="false" outlineLevel="0" collapsed="false">
      <c r="A42" s="0" t="s">
        <v>92</v>
      </c>
      <c r="C42" s="3" t="n">
        <v>13</v>
      </c>
      <c r="D42" s="3" t="n">
        <v>14</v>
      </c>
      <c r="E42" s="3" t="n">
        <v>15</v>
      </c>
      <c r="F42" s="3" t="n">
        <v>16</v>
      </c>
      <c r="G42" s="3" t="n">
        <v>16.5</v>
      </c>
      <c r="H42" s="3" t="n">
        <v>17</v>
      </c>
      <c r="I42" s="3" t="n">
        <v>17</v>
      </c>
      <c r="J42" s="3" t="n">
        <v>17</v>
      </c>
      <c r="K42" s="3" t="n">
        <v>17</v>
      </c>
      <c r="L42" s="3" t="n">
        <v>17</v>
      </c>
    </row>
    <row r="43" customFormat="false" ht="15" hidden="false" customHeight="false" outlineLevel="0" collapsed="false">
      <c r="A43" s="0" t="s">
        <v>93</v>
      </c>
      <c r="C43" s="3" t="n">
        <v>0.3</v>
      </c>
      <c r="D43" s="3" t="n">
        <v>0.28</v>
      </c>
      <c r="E43" s="3" t="n">
        <v>0.26</v>
      </c>
      <c r="F43" s="3" t="n">
        <v>0.24</v>
      </c>
      <c r="G43" s="3" t="n">
        <v>0.23</v>
      </c>
      <c r="H43" s="3" t="n">
        <v>0.22</v>
      </c>
      <c r="I43" s="3" t="n">
        <v>0.21</v>
      </c>
      <c r="J43" s="3" t="n">
        <v>0.2</v>
      </c>
      <c r="K43" s="3" t="n">
        <v>0.2</v>
      </c>
      <c r="L43" s="3" t="n">
        <v>0.2</v>
      </c>
    </row>
    <row r="44" customFormat="false" ht="15" hidden="false" customHeight="false" outlineLevel="0" collapsed="false">
      <c r="A44" s="0" t="s">
        <v>94</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95</v>
      </c>
      <c r="C45" s="3" t="n">
        <v>7.5</v>
      </c>
      <c r="D45" s="3" t="n">
        <v>7</v>
      </c>
      <c r="E45" s="3" t="n">
        <v>6.5</v>
      </c>
      <c r="F45" s="3" t="n">
        <v>6.5</v>
      </c>
      <c r="G45" s="3" t="n">
        <v>6.5</v>
      </c>
      <c r="H45" s="3" t="n">
        <v>6.3</v>
      </c>
      <c r="I45" s="3" t="n">
        <v>6</v>
      </c>
      <c r="J45" s="3" t="n">
        <v>6</v>
      </c>
      <c r="K45" s="3" t="n">
        <v>6</v>
      </c>
      <c r="L45" s="3" t="n">
        <v>6</v>
      </c>
    </row>
    <row r="46" customFormat="false" ht="15" hidden="false" customHeight="false" outlineLevel="0" collapsed="false">
      <c r="A46" s="0" t="s">
        <v>96</v>
      </c>
      <c r="C46" s="3" t="n">
        <v>33</v>
      </c>
      <c r="D46" s="3" t="n">
        <v>28</v>
      </c>
      <c r="E46" s="3" t="n">
        <v>18</v>
      </c>
      <c r="F46" s="3" t="n">
        <v>12</v>
      </c>
      <c r="G46" s="3" t="n">
        <v>10</v>
      </c>
      <c r="H46" s="3" t="n">
        <v>8.5</v>
      </c>
      <c r="I46" s="3" t="n">
        <v>7.5</v>
      </c>
      <c r="J46" s="3" t="n">
        <v>7</v>
      </c>
      <c r="K46" s="3" t="n">
        <v>7</v>
      </c>
      <c r="L46" s="3" t="n">
        <v>7</v>
      </c>
    </row>
    <row r="47" customFormat="false" ht="15" hidden="false" customHeight="false" outlineLevel="0" collapsed="false">
      <c r="A47" s="0" t="s">
        <v>97</v>
      </c>
      <c r="C47" s="3" t="n">
        <v>2</v>
      </c>
      <c r="D47" s="3" t="n">
        <v>5</v>
      </c>
      <c r="E47" s="3" t="n">
        <v>10</v>
      </c>
      <c r="F47" s="3" t="n">
        <v>15</v>
      </c>
      <c r="G47" s="3" t="n">
        <v>15</v>
      </c>
      <c r="H47" s="3" t="n">
        <v>15</v>
      </c>
      <c r="I47" s="3" t="n">
        <v>15</v>
      </c>
      <c r="J47" s="3" t="n">
        <v>15</v>
      </c>
      <c r="K47" s="3" t="n">
        <v>15</v>
      </c>
      <c r="L47" s="3" t="n">
        <v>15</v>
      </c>
    </row>
    <row r="48" customFormat="false" ht="15" hidden="false" customHeight="false" outlineLevel="0" collapsed="false">
      <c r="A48" s="0" t="s">
        <v>98</v>
      </c>
      <c r="B48" s="3" t="n">
        <v>10</v>
      </c>
    </row>
    <row r="49" customFormat="false" ht="15" hidden="false" customHeight="false" outlineLevel="0" collapsed="false">
      <c r="A49" s="0" t="s">
        <v>99</v>
      </c>
      <c r="B49" s="3" t="n">
        <v>2.5</v>
      </c>
    </row>
    <row r="50" customFormat="false" ht="15" hidden="false" customHeight="false" outlineLevel="0" collapsed="false">
      <c r="A50" s="0" t="s">
        <v>100</v>
      </c>
      <c r="B50" s="3" t="n">
        <v>15</v>
      </c>
    </row>
    <row r="51" customFormat="false" ht="15" hidden="false" customHeight="false" outlineLevel="0" collapsed="false">
      <c r="A51" s="0" t="s">
        <v>101</v>
      </c>
      <c r="B51" s="3" t="n">
        <v>-3</v>
      </c>
    </row>
    <row r="52" customFormat="false" ht="15" hidden="false" customHeight="false" outlineLevel="0" collapsed="false">
      <c r="A52" s="0" t="s">
        <v>102</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105</v>
      </c>
    </row>
    <row r="3" customFormat="false" ht="15" hidden="false" customHeight="false" outlineLevel="0" collapsed="false">
      <c r="A3" s="0" t="s">
        <v>106</v>
      </c>
      <c r="B3" s="0" t="s">
        <v>67</v>
      </c>
      <c r="C3" s="2" t="s">
        <v>81</v>
      </c>
      <c r="D3" s="2" t="s">
        <v>82</v>
      </c>
      <c r="E3" s="2" t="s">
        <v>83</v>
      </c>
      <c r="F3" s="2" t="s">
        <v>84</v>
      </c>
      <c r="G3" s="2" t="s">
        <v>85</v>
      </c>
      <c r="H3" s="2" t="s">
        <v>86</v>
      </c>
      <c r="I3" s="2" t="s">
        <v>87</v>
      </c>
      <c r="J3" s="2" t="s">
        <v>88</v>
      </c>
      <c r="K3" s="2" t="s">
        <v>89</v>
      </c>
      <c r="L3" s="2" t="s">
        <v>90</v>
      </c>
    </row>
    <row r="4" customFormat="false" ht="15" hidden="false" customHeight="false" outlineLevel="0" collapsed="false">
      <c r="A4" s="0" t="s">
        <v>107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91</v>
      </c>
      <c r="C5" s="4" t="n">
        <f aca="false">Assumptions!C13</f>
        <v>50</v>
      </c>
      <c r="D5" s="4" t="n">
        <f aca="false">Assumptions!D13</f>
        <v>10</v>
      </c>
      <c r="E5" s="4" t="n">
        <f aca="false">Assumptions!E13</f>
        <v>5</v>
      </c>
      <c r="F5" s="4" t="n">
        <f aca="false">Assumptions!F13</f>
        <v>3</v>
      </c>
      <c r="G5" s="4" t="n">
        <f aca="false">Assumptions!G13</f>
        <v>3</v>
      </c>
      <c r="H5" s="4" t="n">
        <f aca="false">Assumptions!H13</f>
        <v>3</v>
      </c>
      <c r="I5" s="4" t="n">
        <f aca="false">Assumptions!I13</f>
        <v>2.5</v>
      </c>
      <c r="J5" s="4" t="n">
        <f aca="false">Assumptions!J13</f>
        <v>2.5</v>
      </c>
      <c r="K5" s="4" t="n">
        <f aca="false">Assumptions!K13</f>
        <v>2.5</v>
      </c>
      <c r="L5" s="4" t="n">
        <f aca="false">Assumptions!L13</f>
        <v>2.5</v>
      </c>
    </row>
    <row r="6" customFormat="false" ht="15" hidden="false" customHeight="false" outlineLevel="0" collapsed="false">
      <c r="A6" s="0" t="s">
        <v>38</v>
      </c>
      <c r="B6" s="3" t="n">
        <v>8100.969</v>
      </c>
      <c r="C6" s="0" t="n">
        <f aca="false">B6*(1+C5/100)</f>
        <v>12151.4535</v>
      </c>
      <c r="D6" s="0" t="n">
        <f aca="false">C6*(1+D5/100)</f>
        <v>13366.59885</v>
      </c>
      <c r="E6" s="0" t="n">
        <f aca="false">D6*(1+E5/100)</f>
        <v>14034.9287925</v>
      </c>
      <c r="F6" s="0" t="n">
        <f aca="false">E6*(1+F5/100)</f>
        <v>14455.976656275</v>
      </c>
      <c r="G6" s="0" t="n">
        <f aca="false">F6*(1+G5/100)</f>
        <v>14889.6559559633</v>
      </c>
      <c r="H6" s="0" t="n">
        <f aca="false">G6*(1+H5/100)</f>
        <v>15336.3456346422</v>
      </c>
      <c r="I6" s="0" t="n">
        <f aca="false">H6*(1+I5/100)</f>
        <v>15719.7542755082</v>
      </c>
      <c r="J6" s="0" t="n">
        <f aca="false">I6*(1+J5/100)</f>
        <v>16112.7481323959</v>
      </c>
      <c r="K6" s="0" t="n">
        <f aca="false">J6*(1+K5/100)</f>
        <v>16515.5668357058</v>
      </c>
      <c r="L6" s="0" t="n">
        <f aca="false">K6*(1+L5/100)</f>
        <v>16928.4560065984</v>
      </c>
    </row>
    <row r="7" customFormat="false" ht="15" hidden="false" customHeight="false" outlineLevel="0" collapsed="false">
      <c r="A7" s="0" t="s">
        <v>92</v>
      </c>
      <c r="C7" s="4" t="n">
        <f aca="false">Assumptions!C14</f>
        <v>11</v>
      </c>
      <c r="D7" s="4" t="n">
        <f aca="false">Assumptions!D14</f>
        <v>10.5</v>
      </c>
      <c r="E7" s="4" t="n">
        <f aca="false">Assumptions!E14</f>
        <v>10.5</v>
      </c>
      <c r="F7" s="4" t="n">
        <f aca="false">Assumptions!F14</f>
        <v>11</v>
      </c>
      <c r="G7" s="4" t="n">
        <f aca="false">Assumptions!G14</f>
        <v>11.5</v>
      </c>
      <c r="H7" s="4" t="n">
        <f aca="false">Assumptions!H14</f>
        <v>11.5</v>
      </c>
      <c r="I7" s="4" t="n">
        <f aca="false">Assumptions!I14</f>
        <v>12</v>
      </c>
      <c r="J7" s="4" t="n">
        <f aca="false">Assumptions!J14</f>
        <v>12</v>
      </c>
      <c r="K7" s="4" t="n">
        <f aca="false">Assumptions!K14</f>
        <v>12</v>
      </c>
      <c r="L7" s="4" t="n">
        <f aca="false">Assumptions!L14</f>
        <v>12</v>
      </c>
    </row>
    <row r="8" customFormat="false" ht="15" hidden="false" customHeight="false" outlineLevel="0" collapsed="false">
      <c r="A8" s="0" t="s">
        <v>44</v>
      </c>
      <c r="C8" s="0" t="n">
        <f aca="false">C6*C7/100</f>
        <v>1336.659885</v>
      </c>
      <c r="D8" s="0" t="n">
        <f aca="false">D6*D7/100</f>
        <v>1403.49287925</v>
      </c>
      <c r="E8" s="0" t="n">
        <f aca="false">E6*E7/100</f>
        <v>1473.6675232125</v>
      </c>
      <c r="F8" s="0" t="n">
        <f aca="false">F6*F7/100</f>
        <v>1590.15743219025</v>
      </c>
      <c r="G8" s="0" t="n">
        <f aca="false">G6*G7/100</f>
        <v>1712.31043493577</v>
      </c>
      <c r="H8" s="0" t="n">
        <f aca="false">H6*H7/100</f>
        <v>1763.67974798385</v>
      </c>
      <c r="I8" s="0" t="n">
        <f aca="false">I6*I7/100</f>
        <v>1886.37051306098</v>
      </c>
      <c r="J8" s="0" t="n">
        <f aca="false">J6*J7/100</f>
        <v>1933.52977588751</v>
      </c>
      <c r="K8" s="0" t="n">
        <f aca="false">K6*K7/100</f>
        <v>1981.8680202847</v>
      </c>
      <c r="L8" s="0" t="n">
        <f aca="false">L6*L7/100</f>
        <v>2031.41472079181</v>
      </c>
    </row>
    <row r="9" customFormat="false" ht="15" hidden="false" customHeight="false" outlineLevel="0" collapsed="false">
      <c r="A9" s="0" t="s">
        <v>93</v>
      </c>
      <c r="C9" s="4" t="n">
        <f aca="false">Assumptions!C15</f>
        <v>0.3</v>
      </c>
      <c r="D9" s="4" t="n">
        <f aca="false">Assumptions!D15</f>
        <v>0.28</v>
      </c>
      <c r="E9" s="4" t="n">
        <f aca="false">Assumptions!E15</f>
        <v>0.26</v>
      </c>
      <c r="F9" s="4" t="n">
        <f aca="false">Assumptions!F15</f>
        <v>0.24</v>
      </c>
      <c r="G9" s="4" t="n">
        <f aca="false">Assumptions!G15</f>
        <v>0.23</v>
      </c>
      <c r="H9" s="4" t="n">
        <f aca="false">Assumptions!H15</f>
        <v>0.22</v>
      </c>
      <c r="I9" s="4" t="n">
        <f aca="false">Assumptions!I15</f>
        <v>0.21</v>
      </c>
      <c r="J9" s="4" t="n">
        <f aca="false">Assumptions!J15</f>
        <v>0.2</v>
      </c>
      <c r="K9" s="4" t="n">
        <f aca="false">Assumptions!K15</f>
        <v>0.2</v>
      </c>
      <c r="L9" s="4" t="n">
        <f aca="false">Assumptions!L15</f>
        <v>0.2</v>
      </c>
    </row>
    <row r="10" customFormat="false" ht="15" hidden="false" customHeight="false" outlineLevel="0" collapsed="false">
      <c r="A10" s="0" t="s">
        <v>108</v>
      </c>
      <c r="C10" s="0" t="n">
        <f aca="false">-C6*C9/100</f>
        <v>-36.4543605</v>
      </c>
      <c r="D10" s="0" t="n">
        <f aca="false">-D6*D9/100</f>
        <v>-37.42647678</v>
      </c>
      <c r="E10" s="0" t="n">
        <f aca="false">-E6*E9/100</f>
        <v>-36.4908148605</v>
      </c>
      <c r="F10" s="0" t="n">
        <f aca="false">-F6*F9/100</f>
        <v>-34.69434397506</v>
      </c>
      <c r="G10" s="0" t="n">
        <f aca="false">-G6*G9/100</f>
        <v>-34.2462086987155</v>
      </c>
      <c r="H10" s="0" t="n">
        <f aca="false">-H6*H9/100</f>
        <v>-33.7399603962127</v>
      </c>
      <c r="I10" s="0" t="n">
        <f aca="false">-I6*I9/100</f>
        <v>-33.0114839785672</v>
      </c>
      <c r="J10" s="0" t="n">
        <f aca="false">-J6*J9/100</f>
        <v>-32.2254962647918</v>
      </c>
      <c r="K10" s="0" t="n">
        <f aca="false">-K6*K9/100</f>
        <v>-33.0311336714116</v>
      </c>
      <c r="L10" s="0" t="n">
        <f aca="false">-L6*L9/100</f>
        <v>-33.8569120131969</v>
      </c>
    </row>
    <row r="11" customFormat="false" ht="15" hidden="false" customHeight="false" outlineLevel="0" collapsed="false">
      <c r="A11" s="0" t="s">
        <v>109</v>
      </c>
      <c r="C11" s="0" t="n">
        <f aca="false">C8+C10+C24</f>
        <v>1300.2055245</v>
      </c>
      <c r="D11" s="0" t="n">
        <f aca="false">D8+D10+D24</f>
        <v>1366.06640247</v>
      </c>
      <c r="E11" s="0" t="n">
        <f aca="false">E8+E10+E24</f>
        <v>1437.176708352</v>
      </c>
      <c r="F11" s="0" t="n">
        <f aca="false">F8+F10+F24</f>
        <v>1555.46308821519</v>
      </c>
      <c r="G11" s="0" t="n">
        <f aca="false">G8+G10+G24</f>
        <v>1678.06422623706</v>
      </c>
      <c r="H11" s="0" t="n">
        <f aca="false">H8+H10+H24</f>
        <v>1729.93978758763</v>
      </c>
      <c r="I11" s="0" t="n">
        <f aca="false">I8+I10+I24</f>
        <v>1853.35902908242</v>
      </c>
      <c r="J11" s="0" t="n">
        <f aca="false">J8+J10+J24</f>
        <v>1901.30427962272</v>
      </c>
      <c r="K11" s="0" t="n">
        <f aca="false">K8+K10+K24</f>
        <v>1948.83688661328</v>
      </c>
      <c r="L11" s="0" t="n">
        <f aca="false">L8+L10+L24</f>
        <v>1997.55780877862</v>
      </c>
    </row>
    <row r="12" customFormat="false" ht="15" hidden="false" customHeight="false" outlineLevel="0" collapsed="false">
      <c r="A12" s="0" t="s">
        <v>110</v>
      </c>
      <c r="C12" s="4" t="n">
        <f aca="false">-C6*Assumptions!C17/100</f>
        <v>-911.3590125</v>
      </c>
      <c r="D12" s="4" t="n">
        <f aca="false">-D6*Assumptions!D17/100</f>
        <v>-1069.327908</v>
      </c>
      <c r="E12" s="4" t="n">
        <f aca="false">-E6*Assumptions!E17/100</f>
        <v>-1122.7943034</v>
      </c>
      <c r="F12" s="4" t="n">
        <f aca="false">-F6*Assumptions!F17/100</f>
        <v>-1156.478132502</v>
      </c>
      <c r="G12" s="4" t="n">
        <f aca="false">-G6*Assumptions!G17/100</f>
        <v>-1116.72419669724</v>
      </c>
      <c r="H12" s="4" t="n">
        <f aca="false">-H6*Assumptions!H17/100</f>
        <v>-1150.22592259816</v>
      </c>
      <c r="I12" s="4" t="n">
        <f aca="false">-I6*Assumptions!I17/100</f>
        <v>-1100.38279928557</v>
      </c>
      <c r="J12" s="4" t="n">
        <f aca="false">-J6*Assumptions!J17/100</f>
        <v>-1127.89236926771</v>
      </c>
      <c r="K12" s="4" t="n">
        <f aca="false">-K6*Assumptions!K17/100</f>
        <v>-1156.08967849941</v>
      </c>
      <c r="L12" s="4" t="n">
        <f aca="false">-L6*Assumptions!L17/100</f>
        <v>-1184.99192046189</v>
      </c>
    </row>
    <row r="13" customFormat="false" ht="15" hidden="false" customHeight="false" outlineLevel="0" collapsed="false">
      <c r="A13" s="0" t="s">
        <v>111</v>
      </c>
      <c r="C13" s="0" t="n">
        <f aca="false">C11+C12</f>
        <v>388.846512</v>
      </c>
      <c r="D13" s="0" t="n">
        <f aca="false">D11+D12</f>
        <v>296.73849447</v>
      </c>
      <c r="E13" s="0" t="n">
        <f aca="false">E11+E12</f>
        <v>314.382404952</v>
      </c>
      <c r="F13" s="0" t="n">
        <f aca="false">F11+F12</f>
        <v>398.98495571319</v>
      </c>
      <c r="G13" s="0" t="n">
        <f aca="false">G11+G12</f>
        <v>561.340029539814</v>
      </c>
      <c r="H13" s="0" t="n">
        <f aca="false">H11+H12</f>
        <v>579.713864989473</v>
      </c>
      <c r="I13" s="0" t="n">
        <f aca="false">I11+I12</f>
        <v>752.976229796843</v>
      </c>
      <c r="J13" s="0" t="n">
        <f aca="false">J11+J12</f>
        <v>773.411910355003</v>
      </c>
      <c r="K13" s="0" t="n">
        <f aca="false">K11+K12</f>
        <v>792.747208113879</v>
      </c>
      <c r="L13" s="0" t="n">
        <f aca="false">L11+L12</f>
        <v>812.565888316725</v>
      </c>
    </row>
    <row r="14" customFormat="false" ht="15" hidden="false" customHeight="false" outlineLevel="0" collapsed="false">
      <c r="A14" s="0" t="s">
        <v>97</v>
      </c>
      <c r="C14" s="4" t="n">
        <f aca="false">Assumptions!C19</f>
        <v>2</v>
      </c>
      <c r="D14" s="4" t="n">
        <f aca="false">Assumptions!D19</f>
        <v>5</v>
      </c>
      <c r="E14" s="4" t="n">
        <f aca="false">Assumptions!E19</f>
        <v>10</v>
      </c>
      <c r="F14" s="4" t="n">
        <f aca="false">Assumptions!F19</f>
        <v>15</v>
      </c>
      <c r="G14" s="4" t="n">
        <f aca="false">Assumptions!G19</f>
        <v>15</v>
      </c>
      <c r="H14" s="4" t="n">
        <f aca="false">Assumptions!H19</f>
        <v>20</v>
      </c>
      <c r="I14" s="4" t="n">
        <f aca="false">Assumptions!I19</f>
        <v>20</v>
      </c>
      <c r="J14" s="4" t="n">
        <f aca="false">Assumptions!J19</f>
        <v>20</v>
      </c>
      <c r="K14" s="4" t="n">
        <f aca="false">Assumptions!K19</f>
        <v>20</v>
      </c>
      <c r="L14" s="4" t="n">
        <f aca="false">Assumptions!L19</f>
        <v>20</v>
      </c>
    </row>
    <row r="15" customFormat="false" ht="15" hidden="false" customHeight="false" outlineLevel="0" collapsed="false">
      <c r="A15" s="0" t="s">
        <v>112</v>
      </c>
      <c r="C15" s="0" t="n">
        <f aca="false">C13-MAX(0,C13)*C14/100</f>
        <v>381.06958176</v>
      </c>
      <c r="D15" s="0" t="n">
        <f aca="false">D13-MAX(0,D13)*D14/100</f>
        <v>281.9015697465</v>
      </c>
      <c r="E15" s="0" t="n">
        <f aca="false">E13-MAX(0,E13)*E14/100</f>
        <v>282.9441644568</v>
      </c>
      <c r="F15" s="0" t="n">
        <f aca="false">F13-MAX(0,F13)*F14/100</f>
        <v>339.137212356212</v>
      </c>
      <c r="G15" s="0" t="n">
        <f aca="false">G13-MAX(0,G13)*G14/100</f>
        <v>477.139025108842</v>
      </c>
      <c r="H15" s="0" t="n">
        <f aca="false">H13-MAX(0,H13)*H14/100</f>
        <v>463.771091991579</v>
      </c>
      <c r="I15" s="0" t="n">
        <f aca="false">I13-MAX(0,I13)*I14/100</f>
        <v>602.380983837474</v>
      </c>
      <c r="J15" s="0" t="n">
        <f aca="false">J13-MAX(0,J13)*J14/100</f>
        <v>618.729528284003</v>
      </c>
      <c r="K15" s="0" t="n">
        <f aca="false">K13-MAX(0,K13)*K14/100</f>
        <v>634.197766491103</v>
      </c>
      <c r="L15" s="0" t="n">
        <f aca="false">L13-MAX(0,L13)*L14/100</f>
        <v>650.05271065338</v>
      </c>
    </row>
    <row r="16" customFormat="false" ht="15" hidden="false" customHeight="false" outlineLevel="0" collapsed="false">
      <c r="A16" s="0" t="s">
        <v>113</v>
      </c>
      <c r="C16" s="0" t="n">
        <f aca="false">-C12</f>
        <v>911.3590125</v>
      </c>
      <c r="D16" s="0" t="n">
        <f aca="false">-D12</f>
        <v>1069.327908</v>
      </c>
      <c r="E16" s="0" t="n">
        <f aca="false">-E12</f>
        <v>1122.7943034</v>
      </c>
      <c r="F16" s="0" t="n">
        <f aca="false">-F12</f>
        <v>1156.478132502</v>
      </c>
      <c r="G16" s="0" t="n">
        <f aca="false">-G12</f>
        <v>1116.72419669724</v>
      </c>
      <c r="H16" s="0" t="n">
        <f aca="false">-H12</f>
        <v>1150.22592259816</v>
      </c>
      <c r="I16" s="0" t="n">
        <f aca="false">-I12</f>
        <v>1100.38279928557</v>
      </c>
      <c r="J16" s="0" t="n">
        <f aca="false">-J12</f>
        <v>1127.89236926771</v>
      </c>
      <c r="K16" s="0" t="n">
        <f aca="false">-K12</f>
        <v>1156.08967849941</v>
      </c>
      <c r="L16" s="0" t="n">
        <f aca="false">-L12</f>
        <v>1184.99192046189</v>
      </c>
    </row>
    <row r="17" customFormat="false" ht="15" hidden="false" customHeight="false" outlineLevel="0" collapsed="false">
      <c r="A17" s="0" t="s">
        <v>114</v>
      </c>
      <c r="C17" s="4" t="n">
        <f aca="false">-C6*Assumptions!C18/100</f>
        <v>-4009.979655</v>
      </c>
      <c r="D17" s="4" t="n">
        <f aca="false">-D6*Assumptions!D18/100</f>
        <v>-2004.9898275</v>
      </c>
      <c r="E17" s="4" t="n">
        <f aca="false">-E6*Assumptions!E18/100</f>
        <v>-1403.49287925</v>
      </c>
      <c r="F17" s="4" t="n">
        <f aca="false">-F6*Assumptions!F18/100</f>
        <v>-1156.478132502</v>
      </c>
      <c r="G17" s="4" t="n">
        <f aca="false">-G6*Assumptions!G18/100</f>
        <v>-1116.72419669724</v>
      </c>
      <c r="H17" s="4" t="n">
        <f aca="false">-H6*Assumptions!H18/100</f>
        <v>-1073.54419442495</v>
      </c>
      <c r="I17" s="4" t="n">
        <f aca="false">-I6*Assumptions!I18/100</f>
        <v>-1100.38279928557</v>
      </c>
      <c r="J17" s="4" t="n">
        <f aca="false">-J6*Assumptions!J18/100</f>
        <v>-1127.89236926771</v>
      </c>
      <c r="K17" s="4" t="n">
        <f aca="false">-K6*Assumptions!K18/100</f>
        <v>-1156.08967849941</v>
      </c>
      <c r="L17" s="4" t="n">
        <f aca="false">-L6*Assumptions!L18/100</f>
        <v>-1184.99192046189</v>
      </c>
    </row>
    <row r="18" customFormat="false" ht="15" hidden="false" customHeight="false" outlineLevel="0" collapsed="false">
      <c r="A18" s="0" t="s">
        <v>115</v>
      </c>
      <c r="C18" s="4" t="n">
        <f aca="false">(C6-B6)*Assumptions!$B$23/100</f>
        <v>-324.03876</v>
      </c>
      <c r="D18" s="4" t="n">
        <f aca="false">(D6-C6)*Assumptions!$B$23/100</f>
        <v>-97.2116280000001</v>
      </c>
      <c r="E18" s="4" t="n">
        <f aca="false">(E6-D6)*Assumptions!$B$23/100</f>
        <v>-53.4663954</v>
      </c>
      <c r="F18" s="4" t="n">
        <f aca="false">(F6-E6)*Assumptions!$B$23/100</f>
        <v>-33.683829102</v>
      </c>
      <c r="G18" s="4" t="n">
        <f aca="false">(G6-F6)*Assumptions!$B$23/100</f>
        <v>-34.69434397506</v>
      </c>
      <c r="H18" s="4" t="n">
        <f aca="false">(H6-G6)*Assumptions!$B$23/100</f>
        <v>-35.7351742943119</v>
      </c>
      <c r="I18" s="4" t="n">
        <f aca="false">(I6-H6)*Assumptions!$B$23/100</f>
        <v>-30.6726912692843</v>
      </c>
      <c r="J18" s="4" t="n">
        <f aca="false">(J6-I6)*Assumptions!$B$23/100</f>
        <v>-31.4395085510163</v>
      </c>
      <c r="K18" s="4" t="n">
        <f aca="false">(K6-J6)*Assumptions!$B$23/100</f>
        <v>-32.2254962647916</v>
      </c>
      <c r="L18" s="4" t="n">
        <f aca="false">(L6-K6)*Assumptions!$B$23/100</f>
        <v>-33.0311336714114</v>
      </c>
    </row>
    <row r="19" customFormat="false" ht="15" hidden="false" customHeight="false" outlineLevel="0" collapsed="false">
      <c r="A19" s="0" t="s">
        <v>116</v>
      </c>
      <c r="C19" s="0" t="n">
        <f aca="false">C15+C16+C17+C18</f>
        <v>-3041.58982074</v>
      </c>
      <c r="D19" s="0" t="n">
        <f aca="false">D15+D16+D17+D18</f>
        <v>-750.9719777535</v>
      </c>
      <c r="E19" s="0" t="n">
        <f aca="false">E15+E16+E17+E18</f>
        <v>-51.2208067932002</v>
      </c>
      <c r="F19" s="0" t="n">
        <f aca="false">F15+F16+F17+F18</f>
        <v>305.453383254212</v>
      </c>
      <c r="G19" s="0" t="n">
        <f aca="false">G15+G16+G17+G18</f>
        <v>442.444681133782</v>
      </c>
      <c r="H19" s="0" t="n">
        <f aca="false">H15+H16+H17+H18</f>
        <v>504.717645870478</v>
      </c>
      <c r="I19" s="0" t="n">
        <f aca="false">I15+I16+I17+I18</f>
        <v>571.70829256819</v>
      </c>
      <c r="J19" s="0" t="n">
        <f aca="false">J15+J16+J17+J18</f>
        <v>587.290019732986</v>
      </c>
      <c r="K19" s="0" t="n">
        <f aca="false">K15+K16+K17+K18</f>
        <v>601.972270226311</v>
      </c>
      <c r="L19" s="0" t="n">
        <f aca="false">L15+L16+L17+L18</f>
        <v>617.021576981969</v>
      </c>
    </row>
    <row r="20" customFormat="false" ht="15" hidden="false" customHeight="false" outlineLevel="0" collapsed="false">
      <c r="A20" s="0" t="s">
        <v>117</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118</v>
      </c>
      <c r="C21" s="0" t="n">
        <f aca="false">C19*C20</f>
        <v>-2765.08165521818</v>
      </c>
      <c r="D21" s="0" t="n">
        <f aca="false">D19*D20</f>
        <v>-620.637998143388</v>
      </c>
      <c r="E21" s="0" t="n">
        <f aca="false">E19*E20</f>
        <v>-38.4829502578514</v>
      </c>
      <c r="F21" s="0" t="n">
        <f aca="false">F19*F20</f>
        <v>208.62877074941</v>
      </c>
      <c r="G21" s="0" t="n">
        <f aca="false">G19*G20</f>
        <v>274.723336790074</v>
      </c>
      <c r="H21" s="0" t="n">
        <f aca="false">H19*H20</f>
        <v>284.899953131999</v>
      </c>
      <c r="I21" s="0" t="n">
        <f aca="false">I19*I20</f>
        <v>293.376751591183</v>
      </c>
      <c r="J21" s="0" t="n">
        <f aca="false">J19*J20</f>
        <v>273.975128528958</v>
      </c>
      <c r="K21" s="0" t="n">
        <f aca="false">K19*K20</f>
        <v>255.295006129256</v>
      </c>
      <c r="L21" s="0" t="n">
        <f aca="false">L19*L20</f>
        <v>237.888528438625</v>
      </c>
    </row>
    <row r="23" customFormat="false" ht="15" hidden="false" customHeight="false" outlineLevel="0" collapsed="false">
      <c r="A23" s="0" t="s">
        <v>94</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119</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120</v>
      </c>
    </row>
    <row r="27" customFormat="false" ht="15" hidden="false" customHeight="false" outlineLevel="0" collapsed="false">
      <c r="A27" s="0" t="s">
        <v>98</v>
      </c>
      <c r="B27" s="4" t="n">
        <f aca="false">Assumptions!$B$20</f>
        <v>10</v>
      </c>
    </row>
    <row r="28" customFormat="false" ht="15" hidden="false" customHeight="false" outlineLevel="0" collapsed="false">
      <c r="A28" s="0" t="s">
        <v>99</v>
      </c>
      <c r="B28" s="4" t="n">
        <f aca="false">Assumptions!$B$21</f>
        <v>2.5</v>
      </c>
    </row>
    <row r="29" customFormat="false" ht="15" hidden="false" customHeight="false" outlineLevel="0" collapsed="false">
      <c r="A29" s="0" t="s">
        <v>100</v>
      </c>
      <c r="B29" s="4" t="n">
        <f aca="false">Assumptions!$B$22</f>
        <v>12</v>
      </c>
    </row>
    <row r="30" customFormat="false" ht="15" hidden="false" customHeight="false" outlineLevel="0" collapsed="false">
      <c r="A30" s="0" t="s">
        <v>121</v>
      </c>
      <c r="B30" s="0" t="n">
        <f aca="false">SUM(C21:L21)</f>
        <v>-1595.41512825992</v>
      </c>
    </row>
    <row r="31" customFormat="false" ht="15" hidden="false" customHeight="false" outlineLevel="0" collapsed="false">
      <c r="A31" s="0" t="s">
        <v>122</v>
      </c>
      <c r="B31" s="0" t="n">
        <f aca="false">L19</f>
        <v>617.021576981969</v>
      </c>
    </row>
    <row r="32" customFormat="false" ht="15" hidden="false" customHeight="false" outlineLevel="0" collapsed="false">
      <c r="A32" s="0" t="s">
        <v>123</v>
      </c>
      <c r="B32" s="0" t="n">
        <f aca="false">IF(B27&gt;B28,B31*(1+B28/100)/((B27-B28)/100),B31*B29)</f>
        <v>8432.62821875357</v>
      </c>
    </row>
    <row r="33" customFormat="false" ht="15" hidden="false" customHeight="false" outlineLevel="0" collapsed="false">
      <c r="A33" s="0" t="s">
        <v>124</v>
      </c>
      <c r="B33" s="0" t="n">
        <f aca="false">B31*B29</f>
        <v>7404.25892378363</v>
      </c>
    </row>
    <row r="34" customFormat="false" ht="15" hidden="false" customHeight="false" outlineLevel="0" collapsed="false">
      <c r="A34" s="0" t="s">
        <v>125</v>
      </c>
      <c r="B34" s="0" t="n">
        <f aca="false">MAX(0,MIN(B32,B33))</f>
        <v>7404.25892378363</v>
      </c>
    </row>
    <row r="35" customFormat="false" ht="15" hidden="false" customHeight="false" outlineLevel="0" collapsed="false">
      <c r="A35" s="0" t="s">
        <v>126</v>
      </c>
      <c r="B35" s="0" t="n">
        <f aca="false">B34/(1+B27/100)^L4</f>
        <v>2854.6623412635</v>
      </c>
    </row>
    <row r="36" customFormat="false" ht="15" hidden="false" customHeight="false" outlineLevel="0" collapsed="false">
      <c r="A36" s="0" t="s">
        <v>127</v>
      </c>
      <c r="B36" s="0" t="n">
        <f aca="false">B30+B35</f>
        <v>1259.24721300359</v>
      </c>
    </row>
    <row r="37" customFormat="false" ht="15" hidden="false" customHeight="false" outlineLevel="0" collapsed="false">
      <c r="A37" s="0" t="s">
        <v>128</v>
      </c>
      <c r="B37" s="0" t="n">
        <f aca="false">B36+Assumptions!$B$5-Assumptions!$B$4</f>
        <v>1940.04521300358</v>
      </c>
    </row>
    <row r="38" customFormat="false" ht="15" hidden="false" customHeight="false" outlineLevel="0" collapsed="false">
      <c r="A38" s="0" t="s">
        <v>129</v>
      </c>
      <c r="B38" s="0" t="n">
        <f aca="false">B37/Assumptions!$B$3*Assumptions!$B$10</f>
        <v>0.891863593992576</v>
      </c>
    </row>
    <row r="39" customFormat="false" ht="15" hidden="false" customHeight="false" outlineLevel="0" collapsed="false">
      <c r="A39" s="0" t="s">
        <v>130</v>
      </c>
      <c r="B39" s="4" t="n">
        <f aca="false">B38/Assumptions!$B$2-1</f>
        <v>-0.742978791356606</v>
      </c>
    </row>
    <row r="41" customFormat="false" ht="15" hidden="false" customHeight="false" outlineLevel="0" collapsed="false">
      <c r="A41" s="0" t="s">
        <v>131</v>
      </c>
      <c r="B41" s="0" t="n">
        <f aca="false">SUMPRODUCT(-C10:L10/(1+$B$27/100)^C4:L4)</f>
        <v>214.52889578066</v>
      </c>
    </row>
    <row r="42" customFormat="false" ht="15" hidden="false" customHeight="false" outlineLevel="0" collapsed="false">
      <c r="A42" s="0" t="s">
        <v>132</v>
      </c>
      <c r="B42" s="0" t="n">
        <f aca="false">IF(B27&gt;B28,-L10*(1+B28/100)/((B27-B28)/100),-L10*20)/(1+B27/100)^L4</f>
        <v>178.39517144242</v>
      </c>
    </row>
    <row r="43" customFormat="false" ht="15" hidden="false" customHeight="false" outlineLevel="0" collapsed="false">
      <c r="A43" s="0" t="s">
        <v>133</v>
      </c>
      <c r="B43" s="0" t="n">
        <f aca="false">(B37+B41+B42)/Assumptions!$B$3*Assumptions!$B$10</f>
        <v>1.07249581246403</v>
      </c>
    </row>
    <row r="45" customFormat="false" ht="15" hidden="false" customHeight="false" outlineLevel="0" collapsed="false">
      <c r="A45" s="0" t="s">
        <v>74</v>
      </c>
      <c r="B45" s="4" t="n">
        <f aca="false">Assumptions!$B$6</f>
        <v>15</v>
      </c>
    </row>
    <row r="46" customFormat="false" ht="15" hidden="false" customHeight="false" outlineLevel="0" collapsed="false">
      <c r="A46" s="0" t="s">
        <v>134</v>
      </c>
      <c r="B46" s="0" t="n">
        <f aca="false">MAX(0,MIN(IF(B45&gt;B28,B31*(1+B28/100)/((B45-B28)/100),B31*B29),B31*B29))</f>
        <v>5059.57693125214</v>
      </c>
    </row>
    <row r="47" customFormat="false" ht="15" hidden="false" customHeight="false" outlineLevel="0" collapsed="false">
      <c r="A47" s="0" t="s">
        <v>135</v>
      </c>
      <c r="B47" s="0" t="n">
        <f aca="false">(SUMPRODUCT(C19:L19/(1+B45/100)^C4:L4)+B46/(1+B45/100)^L4+Assumptions!$B$5-Assumptions!$B$4)/Assumptions!$B$3*Assumptions!$B$10</f>
        <v>0.0130721615625777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136</v>
      </c>
    </row>
    <row r="3" customFormat="false" ht="15" hidden="false" customHeight="false" outlineLevel="0" collapsed="false">
      <c r="A3" s="0" t="s">
        <v>106</v>
      </c>
      <c r="B3" s="0" t="s">
        <v>67</v>
      </c>
      <c r="C3" s="2" t="s">
        <v>81</v>
      </c>
      <c r="D3" s="2" t="s">
        <v>82</v>
      </c>
      <c r="E3" s="2" t="s">
        <v>83</v>
      </c>
      <c r="F3" s="2" t="s">
        <v>84</v>
      </c>
      <c r="G3" s="2" t="s">
        <v>85</v>
      </c>
      <c r="H3" s="2" t="s">
        <v>86</v>
      </c>
      <c r="I3" s="2" t="s">
        <v>87</v>
      </c>
      <c r="J3" s="2" t="s">
        <v>88</v>
      </c>
      <c r="K3" s="2" t="s">
        <v>89</v>
      </c>
      <c r="L3" s="2" t="s">
        <v>90</v>
      </c>
    </row>
    <row r="4" customFormat="false" ht="15" hidden="false" customHeight="false" outlineLevel="0" collapsed="false">
      <c r="A4" s="0" t="s">
        <v>107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91</v>
      </c>
      <c r="C5" s="4" t="n">
        <f aca="false">Assumptions!C27</f>
        <v>55</v>
      </c>
      <c r="D5" s="4" t="n">
        <f aca="false">Assumptions!D27</f>
        <v>25</v>
      </c>
      <c r="E5" s="4" t="n">
        <f aca="false">Assumptions!E27</f>
        <v>15</v>
      </c>
      <c r="F5" s="4" t="n">
        <f aca="false">Assumptions!F27</f>
        <v>10</v>
      </c>
      <c r="G5" s="4" t="n">
        <f aca="false">Assumptions!G27</f>
        <v>8</v>
      </c>
      <c r="H5" s="4" t="n">
        <f aca="false">Assumptions!H27</f>
        <v>6</v>
      </c>
      <c r="I5" s="4" t="n">
        <f aca="false">Assumptions!I27</f>
        <v>5</v>
      </c>
      <c r="J5" s="4" t="n">
        <f aca="false">Assumptions!J27</f>
        <v>4</v>
      </c>
      <c r="K5" s="4" t="n">
        <f aca="false">Assumptions!K27</f>
        <v>3</v>
      </c>
      <c r="L5" s="4" t="n">
        <f aca="false">Assumptions!L27</f>
        <v>3</v>
      </c>
    </row>
    <row r="6" customFormat="false" ht="15" hidden="false" customHeight="false" outlineLevel="0" collapsed="false">
      <c r="A6" s="0" t="s">
        <v>38</v>
      </c>
      <c r="B6" s="3" t="n">
        <v>8100.969</v>
      </c>
      <c r="C6" s="0" t="n">
        <f aca="false">B6*(1+C5/100)</f>
        <v>12556.50195</v>
      </c>
      <c r="D6" s="0" t="n">
        <f aca="false">C6*(1+D5/100)</f>
        <v>15695.6274375</v>
      </c>
      <c r="E6" s="0" t="n">
        <f aca="false">D6*(1+E5/100)</f>
        <v>18049.971553125</v>
      </c>
      <c r="F6" s="0" t="n">
        <f aca="false">E6*(1+F5/100)</f>
        <v>19854.9687084375</v>
      </c>
      <c r="G6" s="0" t="n">
        <f aca="false">F6*(1+G5/100)</f>
        <v>21443.3662051125</v>
      </c>
      <c r="H6" s="0" t="n">
        <f aca="false">G6*(1+H5/100)</f>
        <v>22729.9681774193</v>
      </c>
      <c r="I6" s="0" t="n">
        <f aca="false">H6*(1+I5/100)</f>
        <v>23866.4665862902</v>
      </c>
      <c r="J6" s="0" t="n">
        <f aca="false">I6*(1+J5/100)</f>
        <v>24821.1252497418</v>
      </c>
      <c r="K6" s="0" t="n">
        <f aca="false">J6*(1+K5/100)</f>
        <v>25565.7590072341</v>
      </c>
      <c r="L6" s="0" t="n">
        <f aca="false">K6*(1+L5/100)</f>
        <v>26332.7317774511</v>
      </c>
    </row>
    <row r="7" customFormat="false" ht="15" hidden="false" customHeight="false" outlineLevel="0" collapsed="false">
      <c r="A7" s="0" t="s">
        <v>92</v>
      </c>
      <c r="C7" s="4" t="n">
        <f aca="false">Assumptions!C28</f>
        <v>12.5</v>
      </c>
      <c r="D7" s="4" t="n">
        <f aca="false">Assumptions!D28</f>
        <v>13</v>
      </c>
      <c r="E7" s="4" t="n">
        <f aca="false">Assumptions!E28</f>
        <v>13.5</v>
      </c>
      <c r="F7" s="4" t="n">
        <f aca="false">Assumptions!F28</f>
        <v>14</v>
      </c>
      <c r="G7" s="4" t="n">
        <f aca="false">Assumptions!G28</f>
        <v>14.5</v>
      </c>
      <c r="H7" s="4" t="n">
        <f aca="false">Assumptions!H28</f>
        <v>14.5</v>
      </c>
      <c r="I7" s="4" t="n">
        <f aca="false">Assumptions!I28</f>
        <v>15</v>
      </c>
      <c r="J7" s="4" t="n">
        <f aca="false">Assumptions!J28</f>
        <v>15</v>
      </c>
      <c r="K7" s="4" t="n">
        <f aca="false">Assumptions!K28</f>
        <v>15</v>
      </c>
      <c r="L7" s="4" t="n">
        <f aca="false">Assumptions!L28</f>
        <v>15</v>
      </c>
    </row>
    <row r="8" customFormat="false" ht="15" hidden="false" customHeight="false" outlineLevel="0" collapsed="false">
      <c r="A8" s="0" t="s">
        <v>44</v>
      </c>
      <c r="C8" s="0" t="n">
        <f aca="false">C6*C7/100</f>
        <v>1569.56274375</v>
      </c>
      <c r="D8" s="0" t="n">
        <f aca="false">D6*D7/100</f>
        <v>2040.431566875</v>
      </c>
      <c r="E8" s="0" t="n">
        <f aca="false">E6*E7/100</f>
        <v>2436.74615967187</v>
      </c>
      <c r="F8" s="0" t="n">
        <f aca="false">F6*F7/100</f>
        <v>2779.69561918125</v>
      </c>
      <c r="G8" s="0" t="n">
        <f aca="false">G6*G7/100</f>
        <v>3109.28809974131</v>
      </c>
      <c r="H8" s="0" t="n">
        <f aca="false">H6*H7/100</f>
        <v>3295.84538572579</v>
      </c>
      <c r="I8" s="0" t="n">
        <f aca="false">I6*I7/100</f>
        <v>3579.96998794353</v>
      </c>
      <c r="J8" s="0" t="n">
        <f aca="false">J6*J7/100</f>
        <v>3723.16878746127</v>
      </c>
      <c r="K8" s="0" t="n">
        <f aca="false">K6*K7/100</f>
        <v>3834.86385108511</v>
      </c>
      <c r="L8" s="0" t="n">
        <f aca="false">L6*L7/100</f>
        <v>3949.90976661767</v>
      </c>
    </row>
    <row r="9" customFormat="false" ht="15" hidden="false" customHeight="false" outlineLevel="0" collapsed="false">
      <c r="A9" s="0" t="s">
        <v>93</v>
      </c>
      <c r="C9" s="4" t="n">
        <f aca="false">Assumptions!C29</f>
        <v>0.3</v>
      </c>
      <c r="D9" s="4" t="n">
        <f aca="false">Assumptions!D29</f>
        <v>0.28</v>
      </c>
      <c r="E9" s="4" t="n">
        <f aca="false">Assumptions!E29</f>
        <v>0.26</v>
      </c>
      <c r="F9" s="4" t="n">
        <f aca="false">Assumptions!F29</f>
        <v>0.24</v>
      </c>
      <c r="G9" s="4" t="n">
        <f aca="false">Assumptions!G29</f>
        <v>0.23</v>
      </c>
      <c r="H9" s="4" t="n">
        <f aca="false">Assumptions!H29</f>
        <v>0.22</v>
      </c>
      <c r="I9" s="4" t="n">
        <f aca="false">Assumptions!I29</f>
        <v>0.21</v>
      </c>
      <c r="J9" s="4" t="n">
        <f aca="false">Assumptions!J29</f>
        <v>0.2</v>
      </c>
      <c r="K9" s="4" t="n">
        <f aca="false">Assumptions!K29</f>
        <v>0.2</v>
      </c>
      <c r="L9" s="4" t="n">
        <f aca="false">Assumptions!L29</f>
        <v>0.2</v>
      </c>
    </row>
    <row r="10" customFormat="false" ht="15" hidden="false" customHeight="false" outlineLevel="0" collapsed="false">
      <c r="A10" s="0" t="s">
        <v>108</v>
      </c>
      <c r="C10" s="0" t="n">
        <f aca="false">-C6*C9/100</f>
        <v>-37.66950585</v>
      </c>
      <c r="D10" s="0" t="n">
        <f aca="false">-D6*D9/100</f>
        <v>-43.947756825</v>
      </c>
      <c r="E10" s="0" t="n">
        <f aca="false">-E6*E9/100</f>
        <v>-46.929926038125</v>
      </c>
      <c r="F10" s="0" t="n">
        <f aca="false">-F6*F9/100</f>
        <v>-47.65192490025</v>
      </c>
      <c r="G10" s="0" t="n">
        <f aca="false">-G6*G9/100</f>
        <v>-49.3197422717588</v>
      </c>
      <c r="H10" s="0" t="n">
        <f aca="false">-H6*H9/100</f>
        <v>-50.0059299903224</v>
      </c>
      <c r="I10" s="0" t="n">
        <f aca="false">-I6*I9/100</f>
        <v>-50.1195798312095</v>
      </c>
      <c r="J10" s="0" t="n">
        <f aca="false">-J6*J9/100</f>
        <v>-49.6422504994837</v>
      </c>
      <c r="K10" s="0" t="n">
        <f aca="false">-K6*K9/100</f>
        <v>-51.1315180144682</v>
      </c>
      <c r="L10" s="0" t="n">
        <f aca="false">-L6*L9/100</f>
        <v>-52.6654635549022</v>
      </c>
    </row>
    <row r="11" customFormat="false" ht="15" hidden="false" customHeight="false" outlineLevel="0" collapsed="false">
      <c r="A11" s="0" t="s">
        <v>109</v>
      </c>
      <c r="C11" s="0" t="n">
        <f aca="false">C8+C10+C24</f>
        <v>1531.8932379</v>
      </c>
      <c r="D11" s="0" t="n">
        <f aca="false">D8+D10+D24</f>
        <v>1996.48381005</v>
      </c>
      <c r="E11" s="0" t="n">
        <f aca="false">E8+E10+E24</f>
        <v>2389.81623363375</v>
      </c>
      <c r="F11" s="0" t="n">
        <f aca="false">F8+F10+F24</f>
        <v>2732.043694281</v>
      </c>
      <c r="G11" s="0" t="n">
        <f aca="false">G8+G10+G24</f>
        <v>3059.96835746955</v>
      </c>
      <c r="H11" s="0" t="n">
        <f aca="false">H8+H10+H24</f>
        <v>3245.83945573547</v>
      </c>
      <c r="I11" s="0" t="n">
        <f aca="false">I8+I10+I24</f>
        <v>3529.85040811232</v>
      </c>
      <c r="J11" s="0" t="n">
        <f aca="false">J8+J10+J24</f>
        <v>3673.52653696179</v>
      </c>
      <c r="K11" s="0" t="n">
        <f aca="false">K8+K10+K24</f>
        <v>3783.73233307064</v>
      </c>
      <c r="L11" s="0" t="n">
        <f aca="false">L8+L10+L24</f>
        <v>3897.24430306276</v>
      </c>
    </row>
    <row r="12" customFormat="false" ht="15" hidden="false" customHeight="false" outlineLevel="0" collapsed="false">
      <c r="A12" s="0" t="s">
        <v>110</v>
      </c>
      <c r="C12" s="4" t="n">
        <f aca="false">-C6*Assumptions!C31/100</f>
        <v>-941.73764625</v>
      </c>
      <c r="D12" s="4" t="n">
        <f aca="false">-D6*Assumptions!D31/100</f>
        <v>-1177.1720578125</v>
      </c>
      <c r="E12" s="4" t="n">
        <f aca="false">-E6*Assumptions!E31/100</f>
        <v>-1263.49800871875</v>
      </c>
      <c r="F12" s="4" t="n">
        <f aca="false">-F6*Assumptions!F31/100</f>
        <v>-1389.84780959062</v>
      </c>
      <c r="G12" s="4" t="n">
        <f aca="false">-G6*Assumptions!G31/100</f>
        <v>-1501.03563435788</v>
      </c>
      <c r="H12" s="4" t="n">
        <f aca="false">-H6*Assumptions!H31/100</f>
        <v>-1545.63783606451</v>
      </c>
      <c r="I12" s="4" t="n">
        <f aca="false">-I6*Assumptions!I31/100</f>
        <v>-1551.32032810886</v>
      </c>
      <c r="J12" s="4" t="n">
        <f aca="false">-J6*Assumptions!J31/100</f>
        <v>-1613.37314123322</v>
      </c>
      <c r="K12" s="4" t="n">
        <f aca="false">-K6*Assumptions!K31/100</f>
        <v>-1661.77433547022</v>
      </c>
      <c r="L12" s="4" t="n">
        <f aca="false">-L6*Assumptions!L31/100</f>
        <v>-1711.62756553432</v>
      </c>
    </row>
    <row r="13" customFormat="false" ht="15" hidden="false" customHeight="false" outlineLevel="0" collapsed="false">
      <c r="A13" s="0" t="s">
        <v>111</v>
      </c>
      <c r="C13" s="0" t="n">
        <f aca="false">C11+C12</f>
        <v>590.15559165</v>
      </c>
      <c r="D13" s="0" t="n">
        <f aca="false">D11+D12</f>
        <v>819.3117522375</v>
      </c>
      <c r="E13" s="0" t="n">
        <f aca="false">E11+E12</f>
        <v>1126.318224915</v>
      </c>
      <c r="F13" s="0" t="n">
        <f aca="false">F11+F12</f>
        <v>1342.19588469038</v>
      </c>
      <c r="G13" s="0" t="n">
        <f aca="false">G11+G12</f>
        <v>1558.93272311168</v>
      </c>
      <c r="H13" s="0" t="n">
        <f aca="false">H11+H12</f>
        <v>1700.20161967096</v>
      </c>
      <c r="I13" s="0" t="n">
        <f aca="false">I11+I12</f>
        <v>1978.53008000346</v>
      </c>
      <c r="J13" s="0" t="n">
        <f aca="false">J11+J12</f>
        <v>2060.15339572857</v>
      </c>
      <c r="K13" s="0" t="n">
        <f aca="false">K11+K12</f>
        <v>2121.95799760043</v>
      </c>
      <c r="L13" s="0" t="n">
        <f aca="false">L11+L12</f>
        <v>2185.61673752844</v>
      </c>
    </row>
    <row r="14" customFormat="false" ht="15" hidden="false" customHeight="false" outlineLevel="0" collapsed="false">
      <c r="A14" s="0" t="s">
        <v>97</v>
      </c>
      <c r="C14" s="4" t="n">
        <f aca="false">Assumptions!C33</f>
        <v>2</v>
      </c>
      <c r="D14" s="4" t="n">
        <f aca="false">Assumptions!D33</f>
        <v>5</v>
      </c>
      <c r="E14" s="4" t="n">
        <f aca="false">Assumptions!E33</f>
        <v>10</v>
      </c>
      <c r="F14" s="4" t="n">
        <f aca="false">Assumptions!F33</f>
        <v>15</v>
      </c>
      <c r="G14" s="4" t="n">
        <f aca="false">Assumptions!G33</f>
        <v>15</v>
      </c>
      <c r="H14" s="4" t="n">
        <f aca="false">Assumptions!H33</f>
        <v>15</v>
      </c>
      <c r="I14" s="4" t="n">
        <f aca="false">Assumptions!I33</f>
        <v>16</v>
      </c>
      <c r="J14" s="4" t="n">
        <f aca="false">Assumptions!J33</f>
        <v>17</v>
      </c>
      <c r="K14" s="4" t="n">
        <f aca="false">Assumptions!K33</f>
        <v>18</v>
      </c>
      <c r="L14" s="4" t="n">
        <f aca="false">Assumptions!L33</f>
        <v>18</v>
      </c>
    </row>
    <row r="15" customFormat="false" ht="15" hidden="false" customHeight="false" outlineLevel="0" collapsed="false">
      <c r="A15" s="0" t="s">
        <v>112</v>
      </c>
      <c r="C15" s="0" t="n">
        <f aca="false">C13-MAX(0,C13)*C14/100</f>
        <v>578.352479817</v>
      </c>
      <c r="D15" s="0" t="n">
        <f aca="false">D13-MAX(0,D13)*D14/100</f>
        <v>778.346164625625</v>
      </c>
      <c r="E15" s="0" t="n">
        <f aca="false">E13-MAX(0,E13)*E14/100</f>
        <v>1013.6864024235</v>
      </c>
      <c r="F15" s="0" t="n">
        <f aca="false">F13-MAX(0,F13)*F14/100</f>
        <v>1140.86650198682</v>
      </c>
      <c r="G15" s="0" t="n">
        <f aca="false">G13-MAX(0,G13)*G14/100</f>
        <v>1325.09281464493</v>
      </c>
      <c r="H15" s="0" t="n">
        <f aca="false">H13-MAX(0,H13)*H14/100</f>
        <v>1445.17137672032</v>
      </c>
      <c r="I15" s="0" t="n">
        <f aca="false">I13-MAX(0,I13)*I14/100</f>
        <v>1661.96526720291</v>
      </c>
      <c r="J15" s="0" t="n">
        <f aca="false">J13-MAX(0,J13)*J14/100</f>
        <v>1709.92731845471</v>
      </c>
      <c r="K15" s="0" t="n">
        <f aca="false">K13-MAX(0,K13)*K14/100</f>
        <v>1740.00555803235</v>
      </c>
      <c r="L15" s="0" t="n">
        <f aca="false">L13-MAX(0,L13)*L14/100</f>
        <v>1792.20572477332</v>
      </c>
    </row>
    <row r="16" customFormat="false" ht="15" hidden="false" customHeight="false" outlineLevel="0" collapsed="false">
      <c r="A16" s="0" t="s">
        <v>113</v>
      </c>
      <c r="C16" s="0" t="n">
        <f aca="false">-C12</f>
        <v>941.73764625</v>
      </c>
      <c r="D16" s="0" t="n">
        <f aca="false">-D12</f>
        <v>1177.1720578125</v>
      </c>
      <c r="E16" s="0" t="n">
        <f aca="false">-E12</f>
        <v>1263.49800871875</v>
      </c>
      <c r="F16" s="0" t="n">
        <f aca="false">-F12</f>
        <v>1389.84780959062</v>
      </c>
      <c r="G16" s="0" t="n">
        <f aca="false">-G12</f>
        <v>1501.03563435788</v>
      </c>
      <c r="H16" s="0" t="n">
        <f aca="false">-H12</f>
        <v>1545.63783606451</v>
      </c>
      <c r="I16" s="0" t="n">
        <f aca="false">-I12</f>
        <v>1551.32032810886</v>
      </c>
      <c r="J16" s="0" t="n">
        <f aca="false">-J12</f>
        <v>1613.37314123322</v>
      </c>
      <c r="K16" s="0" t="n">
        <f aca="false">-K12</f>
        <v>1661.77433547022</v>
      </c>
      <c r="L16" s="0" t="n">
        <f aca="false">-L12</f>
        <v>1711.62756553432</v>
      </c>
    </row>
    <row r="17" customFormat="false" ht="15" hidden="false" customHeight="false" outlineLevel="0" collapsed="false">
      <c r="A17" s="0" t="s">
        <v>114</v>
      </c>
      <c r="C17" s="4" t="n">
        <f aca="false">-C6*Assumptions!C32/100</f>
        <v>-4018.080624</v>
      </c>
      <c r="D17" s="4" t="n">
        <f aca="false">-D6*Assumptions!D32/100</f>
        <v>-3923.906859375</v>
      </c>
      <c r="E17" s="4" t="n">
        <f aca="false">-E6*Assumptions!E32/100</f>
        <v>-2707.49573296875</v>
      </c>
      <c r="F17" s="4" t="n">
        <f aca="false">-F6*Assumptions!F32/100</f>
        <v>-2184.04655792812</v>
      </c>
      <c r="G17" s="4" t="n">
        <f aca="false">-G6*Assumptions!G32/100</f>
        <v>-1929.90295846012</v>
      </c>
      <c r="H17" s="4" t="n">
        <f aca="false">-H6*Assumptions!H32/100</f>
        <v>-1818.39745419354</v>
      </c>
      <c r="I17" s="4" t="n">
        <f aca="false">-I6*Assumptions!I32/100</f>
        <v>-1789.98499397177</v>
      </c>
      <c r="J17" s="4" t="n">
        <f aca="false">-J6*Assumptions!J32/100</f>
        <v>-1737.47876748193</v>
      </c>
      <c r="K17" s="4" t="n">
        <f aca="false">-K6*Assumptions!K32/100</f>
        <v>-1789.60313050639</v>
      </c>
      <c r="L17" s="4" t="n">
        <f aca="false">-L6*Assumptions!L32/100</f>
        <v>-1843.29122442158</v>
      </c>
    </row>
    <row r="18" customFormat="false" ht="15" hidden="false" customHeight="false" outlineLevel="0" collapsed="false">
      <c r="A18" s="0" t="s">
        <v>115</v>
      </c>
      <c r="C18" s="4" t="n">
        <f aca="false">(C6-B6)*Assumptions!$B$37/100</f>
        <v>-222.7766475</v>
      </c>
      <c r="D18" s="4" t="n">
        <f aca="false">(D6-C6)*Assumptions!$B$37/100</f>
        <v>-156.956274375</v>
      </c>
      <c r="E18" s="4" t="n">
        <f aca="false">(E6-D6)*Assumptions!$B$37/100</f>
        <v>-117.71720578125</v>
      </c>
      <c r="F18" s="4" t="n">
        <f aca="false">(F6-E6)*Assumptions!$B$37/100</f>
        <v>-90.249857765625</v>
      </c>
      <c r="G18" s="4" t="n">
        <f aca="false">(G6-F6)*Assumptions!$B$37/100</f>
        <v>-79.4198748337501</v>
      </c>
      <c r="H18" s="4" t="n">
        <f aca="false">(H6-G6)*Assumptions!$B$37/100</f>
        <v>-64.3300986153376</v>
      </c>
      <c r="I18" s="4" t="n">
        <f aca="false">(I6-H6)*Assumptions!$B$37/100</f>
        <v>-56.8249204435482</v>
      </c>
      <c r="J18" s="4" t="n">
        <f aca="false">(J6-I6)*Assumptions!$B$37/100</f>
        <v>-47.7329331725805</v>
      </c>
      <c r="K18" s="4" t="n">
        <f aca="false">(K6-J6)*Assumptions!$B$37/100</f>
        <v>-37.2316878746127</v>
      </c>
      <c r="L18" s="4" t="n">
        <f aca="false">(L6-K6)*Assumptions!$B$37/100</f>
        <v>-38.3486385108512</v>
      </c>
    </row>
    <row r="19" customFormat="false" ht="15" hidden="false" customHeight="false" outlineLevel="0" collapsed="false">
      <c r="A19" s="0" t="s">
        <v>116</v>
      </c>
      <c r="C19" s="0" t="n">
        <f aca="false">C15+C16+C17+C18</f>
        <v>-2720.767145433</v>
      </c>
      <c r="D19" s="0" t="n">
        <f aca="false">D15+D16+D17+D18</f>
        <v>-2125.34491131188</v>
      </c>
      <c r="E19" s="0" t="n">
        <f aca="false">E15+E16+E17+E18</f>
        <v>-548.02852760775</v>
      </c>
      <c r="F19" s="0" t="n">
        <f aca="false">F15+F16+F17+F18</f>
        <v>256.417895883694</v>
      </c>
      <c r="G19" s="0" t="n">
        <f aca="false">G15+G16+G17+G18</f>
        <v>816.805615708927</v>
      </c>
      <c r="H19" s="0" t="n">
        <f aca="false">H15+H16+H17+H18</f>
        <v>1108.08165997595</v>
      </c>
      <c r="I19" s="0" t="n">
        <f aca="false">I15+I16+I17+I18</f>
        <v>1366.47568089645</v>
      </c>
      <c r="J19" s="0" t="n">
        <f aca="false">J15+J16+J17+J18</f>
        <v>1538.08875903342</v>
      </c>
      <c r="K19" s="0" t="n">
        <f aca="false">K15+K16+K17+K18</f>
        <v>1574.94507512157</v>
      </c>
      <c r="L19" s="0" t="n">
        <f aca="false">L15+L16+L17+L18</f>
        <v>1622.19342737522</v>
      </c>
    </row>
    <row r="20" customFormat="false" ht="15" hidden="false" customHeight="false" outlineLevel="0" collapsed="false">
      <c r="A20" s="0" t="s">
        <v>117</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118</v>
      </c>
      <c r="C21" s="0" t="n">
        <f aca="false">C19*C20</f>
        <v>-2473.42467766636</v>
      </c>
      <c r="D21" s="0" t="n">
        <f aca="false">D19*D20</f>
        <v>-1756.48339777841</v>
      </c>
      <c r="E21" s="0" t="n">
        <f aca="false">E19*E20</f>
        <v>-411.741944108001</v>
      </c>
      <c r="F21" s="0" t="n">
        <f aca="false">F19*F20</f>
        <v>175.136873084963</v>
      </c>
      <c r="G21" s="0" t="n">
        <f aca="false">G19*G20</f>
        <v>507.172023588134</v>
      </c>
      <c r="H21" s="0" t="n">
        <f aca="false">H19*H20</f>
        <v>625.483209427136</v>
      </c>
      <c r="I21" s="0" t="n">
        <f aca="false">I19*I20</f>
        <v>701.218089016848</v>
      </c>
      <c r="J21" s="0" t="n">
        <f aca="false">J19*J20</f>
        <v>717.529757506722</v>
      </c>
      <c r="K21" s="0" t="n">
        <f aca="false">K19*K20</f>
        <v>667.930455426531</v>
      </c>
      <c r="L21" s="0" t="n">
        <f aca="false">L19*L20</f>
        <v>625.425790081206</v>
      </c>
    </row>
    <row r="23" customFormat="false" ht="15" hidden="false" customHeight="false" outlineLevel="0" collapsed="false">
      <c r="A23" s="0" t="s">
        <v>94</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119</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120</v>
      </c>
    </row>
    <row r="27" customFormat="false" ht="15" hidden="false" customHeight="false" outlineLevel="0" collapsed="false">
      <c r="A27" s="0" t="s">
        <v>98</v>
      </c>
      <c r="B27" s="4" t="n">
        <f aca="false">Assumptions!$B$34</f>
        <v>10</v>
      </c>
    </row>
    <row r="28" customFormat="false" ht="15" hidden="false" customHeight="false" outlineLevel="0" collapsed="false">
      <c r="A28" s="0" t="s">
        <v>99</v>
      </c>
      <c r="B28" s="4" t="n">
        <f aca="false">Assumptions!$B$35</f>
        <v>2.5</v>
      </c>
    </row>
    <row r="29" customFormat="false" ht="15" hidden="false" customHeight="false" outlineLevel="0" collapsed="false">
      <c r="A29" s="0" t="s">
        <v>100</v>
      </c>
      <c r="B29" s="4" t="n">
        <f aca="false">Assumptions!$B$36</f>
        <v>13</v>
      </c>
    </row>
    <row r="30" customFormat="false" ht="15" hidden="false" customHeight="false" outlineLevel="0" collapsed="false">
      <c r="A30" s="0" t="s">
        <v>121</v>
      </c>
      <c r="B30" s="0" t="n">
        <f aca="false">SUM(C21:L21)</f>
        <v>-621.753821421233</v>
      </c>
    </row>
    <row r="31" customFormat="false" ht="15" hidden="false" customHeight="false" outlineLevel="0" collapsed="false">
      <c r="A31" s="0" t="s">
        <v>122</v>
      </c>
      <c r="B31" s="0" t="n">
        <f aca="false">L19</f>
        <v>1622.19342737522</v>
      </c>
    </row>
    <row r="32" customFormat="false" ht="15" hidden="false" customHeight="false" outlineLevel="0" collapsed="false">
      <c r="A32" s="0" t="s">
        <v>123</v>
      </c>
      <c r="B32" s="0" t="n">
        <f aca="false">IF(B27&gt;B28,B31*(1+B28/100)/((B27-B28)/100),B31*B29)</f>
        <v>22169.9768407946</v>
      </c>
    </row>
    <row r="33" customFormat="false" ht="15" hidden="false" customHeight="false" outlineLevel="0" collapsed="false">
      <c r="A33" s="0" t="s">
        <v>124</v>
      </c>
      <c r="B33" s="0" t="n">
        <f aca="false">B31*B29</f>
        <v>21088.5145558778</v>
      </c>
    </row>
    <row r="34" customFormat="false" ht="15" hidden="false" customHeight="false" outlineLevel="0" collapsed="false">
      <c r="A34" s="0" t="s">
        <v>125</v>
      </c>
      <c r="B34" s="0" t="n">
        <f aca="false">MAX(0,MIN(B32,B33))</f>
        <v>21088.5145558778</v>
      </c>
    </row>
    <row r="35" customFormat="false" ht="15" hidden="false" customHeight="false" outlineLevel="0" collapsed="false">
      <c r="A35" s="0" t="s">
        <v>126</v>
      </c>
      <c r="B35" s="0" t="n">
        <f aca="false">B34/(1+B27/100)^L4</f>
        <v>8130.53527105568</v>
      </c>
    </row>
    <row r="36" customFormat="false" ht="15" hidden="false" customHeight="false" outlineLevel="0" collapsed="false">
      <c r="A36" s="0" t="s">
        <v>127</v>
      </c>
      <c r="B36" s="0" t="n">
        <f aca="false">B30+B35</f>
        <v>7508.78144963445</v>
      </c>
    </row>
    <row r="37" customFormat="false" ht="15" hidden="false" customHeight="false" outlineLevel="0" collapsed="false">
      <c r="A37" s="0" t="s">
        <v>128</v>
      </c>
      <c r="B37" s="0" t="n">
        <f aca="false">B36+Assumptions!$B$5-Assumptions!$B$4</f>
        <v>8189.57944963445</v>
      </c>
    </row>
    <row r="38" customFormat="false" ht="15" hidden="false" customHeight="false" outlineLevel="0" collapsed="false">
      <c r="A38" s="0" t="s">
        <v>129</v>
      </c>
      <c r="B38" s="0" t="n">
        <f aca="false">B37/Assumptions!$B$3*Assumptions!$B$10</f>
        <v>3.76485440250676</v>
      </c>
    </row>
    <row r="39" customFormat="false" ht="15" hidden="false" customHeight="false" outlineLevel="0" collapsed="false">
      <c r="A39" s="0" t="s">
        <v>130</v>
      </c>
      <c r="B39" s="4" t="n">
        <f aca="false">B38/Assumptions!$B$2-1</f>
        <v>0.0849724502901335</v>
      </c>
    </row>
    <row r="41" customFormat="false" ht="15" hidden="false" customHeight="false" outlineLevel="0" collapsed="false">
      <c r="A41" s="0" t="s">
        <v>131</v>
      </c>
      <c r="B41" s="0" t="n">
        <f aca="false">SUMPRODUCT(-C10:L10/(1+$B$27/100)^C4:L4)</f>
        <v>288.089559447577</v>
      </c>
    </row>
    <row r="42" customFormat="false" ht="15" hidden="false" customHeight="false" outlineLevel="0" collapsed="false">
      <c r="A42" s="0" t="s">
        <v>132</v>
      </c>
      <c r="B42" s="0" t="n">
        <f aca="false">IF(B27&gt;B28,-L10*(1+B28/100)/((B27-B28)/100),-L10*20)/(1+B27/100)^L4</f>
        <v>277.499152796604</v>
      </c>
    </row>
    <row r="43" customFormat="false" ht="15" hidden="false" customHeight="false" outlineLevel="0" collapsed="false">
      <c r="A43" s="0" t="s">
        <v>133</v>
      </c>
      <c r="B43" s="0" t="n">
        <f aca="false">(B37+B41+B42)/Assumptions!$B$3*Assumptions!$B$10</f>
        <v>4.02486276635452</v>
      </c>
    </row>
    <row r="45" customFormat="false" ht="15" hidden="false" customHeight="false" outlineLevel="0" collapsed="false">
      <c r="A45" s="0" t="s">
        <v>74</v>
      </c>
      <c r="B45" s="4" t="n">
        <f aca="false">Assumptions!$B$6</f>
        <v>15</v>
      </c>
    </row>
    <row r="46" customFormat="false" ht="15" hidden="false" customHeight="false" outlineLevel="0" collapsed="false">
      <c r="A46" s="0" t="s">
        <v>134</v>
      </c>
      <c r="B46" s="0" t="n">
        <f aca="false">MAX(0,MIN(IF(B45&gt;B28,B31*(1+B28/100)/((B45-B28)/100),B31*B29),B31*B29))</f>
        <v>13301.9861044768</v>
      </c>
    </row>
    <row r="47" customFormat="false" ht="15" hidden="false" customHeight="false" outlineLevel="0" collapsed="false">
      <c r="A47" s="0" t="s">
        <v>135</v>
      </c>
      <c r="B47" s="0" t="n">
        <f aca="false">(SUMPRODUCT(C19:L19/(1+B45/100)^C4:L4)+B46/(1+B45/100)^L4+Assumptions!$B$5-Assumptions!$B$4)/Assumptions!$B$3*Assumptions!$B$10</f>
        <v>1.16422629299757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137</v>
      </c>
    </row>
    <row r="3" customFormat="false" ht="15" hidden="false" customHeight="false" outlineLevel="0" collapsed="false">
      <c r="A3" s="0" t="s">
        <v>106</v>
      </c>
      <c r="B3" s="0" t="s">
        <v>67</v>
      </c>
      <c r="C3" s="2" t="s">
        <v>81</v>
      </c>
      <c r="D3" s="2" t="s">
        <v>82</v>
      </c>
      <c r="E3" s="2" t="s">
        <v>83</v>
      </c>
      <c r="F3" s="2" t="s">
        <v>84</v>
      </c>
      <c r="G3" s="2" t="s">
        <v>85</v>
      </c>
      <c r="H3" s="2" t="s">
        <v>86</v>
      </c>
      <c r="I3" s="2" t="s">
        <v>87</v>
      </c>
      <c r="J3" s="2" t="s">
        <v>88</v>
      </c>
      <c r="K3" s="2" t="s">
        <v>89</v>
      </c>
      <c r="L3" s="2" t="s">
        <v>90</v>
      </c>
    </row>
    <row r="4" customFormat="false" ht="15" hidden="false" customHeight="false" outlineLevel="0" collapsed="false">
      <c r="A4" s="0" t="s">
        <v>107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91</v>
      </c>
      <c r="C5" s="4" t="n">
        <f aca="false">Assumptions!C41</f>
        <v>62</v>
      </c>
      <c r="D5" s="4" t="n">
        <f aca="false">Assumptions!D41</f>
        <v>35</v>
      </c>
      <c r="E5" s="4" t="n">
        <f aca="false">Assumptions!E41</f>
        <v>22</v>
      </c>
      <c r="F5" s="4" t="n">
        <f aca="false">Assumptions!F41</f>
        <v>15</v>
      </c>
      <c r="G5" s="4" t="n">
        <f aca="false">Assumptions!G41</f>
        <v>10</v>
      </c>
      <c r="H5" s="4" t="n">
        <f aca="false">Assumptions!H41</f>
        <v>8</v>
      </c>
      <c r="I5" s="4" t="n">
        <f aca="false">Assumptions!I41</f>
        <v>6</v>
      </c>
      <c r="J5" s="4" t="n">
        <f aca="false">Assumptions!J41</f>
        <v>5</v>
      </c>
      <c r="K5" s="4" t="n">
        <f aca="false">Assumptions!K41</f>
        <v>4</v>
      </c>
      <c r="L5" s="4" t="n">
        <f aca="false">Assumptions!L41</f>
        <v>3</v>
      </c>
    </row>
    <row r="6" customFormat="false" ht="15" hidden="false" customHeight="false" outlineLevel="0" collapsed="false">
      <c r="A6" s="0" t="s">
        <v>38</v>
      </c>
      <c r="B6" s="3" t="n">
        <v>8100.969</v>
      </c>
      <c r="C6" s="0" t="n">
        <f aca="false">B6*(1+C5/100)</f>
        <v>13123.56978</v>
      </c>
      <c r="D6" s="0" t="n">
        <f aca="false">C6*(1+D5/100)</f>
        <v>17716.819203</v>
      </c>
      <c r="E6" s="0" t="n">
        <f aca="false">D6*(1+E5/100)</f>
        <v>21614.51942766</v>
      </c>
      <c r="F6" s="0" t="n">
        <f aca="false">E6*(1+F5/100)</f>
        <v>24856.697341809</v>
      </c>
      <c r="G6" s="0" t="n">
        <f aca="false">F6*(1+G5/100)</f>
        <v>27342.3670759899</v>
      </c>
      <c r="H6" s="0" t="n">
        <f aca="false">G6*(1+H5/100)</f>
        <v>29529.7564420691</v>
      </c>
      <c r="I6" s="0" t="n">
        <f aca="false">H6*(1+I5/100)</f>
        <v>31301.5418285932</v>
      </c>
      <c r="J6" s="0" t="n">
        <f aca="false">I6*(1+J5/100)</f>
        <v>32866.6189200229</v>
      </c>
      <c r="K6" s="0" t="n">
        <f aca="false">J6*(1+K5/100)</f>
        <v>34181.2836768238</v>
      </c>
      <c r="L6" s="0" t="n">
        <f aca="false">K6*(1+L5/100)</f>
        <v>35206.7221871285</v>
      </c>
    </row>
    <row r="7" customFormat="false" ht="15" hidden="false" customHeight="false" outlineLevel="0" collapsed="false">
      <c r="A7" s="0" t="s">
        <v>92</v>
      </c>
      <c r="C7" s="4" t="n">
        <f aca="false">Assumptions!C42</f>
        <v>13</v>
      </c>
      <c r="D7" s="4" t="n">
        <f aca="false">Assumptions!D42</f>
        <v>14</v>
      </c>
      <c r="E7" s="4" t="n">
        <f aca="false">Assumptions!E42</f>
        <v>15</v>
      </c>
      <c r="F7" s="4" t="n">
        <f aca="false">Assumptions!F42</f>
        <v>16</v>
      </c>
      <c r="G7" s="4" t="n">
        <f aca="false">Assumptions!G42</f>
        <v>16.5</v>
      </c>
      <c r="H7" s="4" t="n">
        <f aca="false">Assumptions!H42</f>
        <v>17</v>
      </c>
      <c r="I7" s="4" t="n">
        <f aca="false">Assumptions!I42</f>
        <v>17</v>
      </c>
      <c r="J7" s="4" t="n">
        <f aca="false">Assumptions!J42</f>
        <v>17</v>
      </c>
      <c r="K7" s="4" t="n">
        <f aca="false">Assumptions!K42</f>
        <v>17</v>
      </c>
      <c r="L7" s="4" t="n">
        <f aca="false">Assumptions!L42</f>
        <v>17</v>
      </c>
    </row>
    <row r="8" customFormat="false" ht="15" hidden="false" customHeight="false" outlineLevel="0" collapsed="false">
      <c r="A8" s="0" t="s">
        <v>44</v>
      </c>
      <c r="C8" s="0" t="n">
        <f aca="false">C6*C7/100</f>
        <v>1706.0640714</v>
      </c>
      <c r="D8" s="0" t="n">
        <f aca="false">D6*D7/100</f>
        <v>2480.35468842</v>
      </c>
      <c r="E8" s="0" t="n">
        <f aca="false">E6*E7/100</f>
        <v>3242.177914149</v>
      </c>
      <c r="F8" s="0" t="n">
        <f aca="false">F6*F7/100</f>
        <v>3977.07157468944</v>
      </c>
      <c r="G8" s="0" t="n">
        <f aca="false">G6*G7/100</f>
        <v>4511.49056753833</v>
      </c>
      <c r="H8" s="0" t="n">
        <f aca="false">H6*H7/100</f>
        <v>5020.05859515175</v>
      </c>
      <c r="I8" s="0" t="n">
        <f aca="false">I6*I7/100</f>
        <v>5321.26211086085</v>
      </c>
      <c r="J8" s="0" t="n">
        <f aca="false">J6*J7/100</f>
        <v>5587.32521640389</v>
      </c>
      <c r="K8" s="0" t="n">
        <f aca="false">K6*K7/100</f>
        <v>5810.81822506005</v>
      </c>
      <c r="L8" s="0" t="n">
        <f aca="false">L6*L7/100</f>
        <v>5985.14277181185</v>
      </c>
    </row>
    <row r="9" customFormat="false" ht="15" hidden="false" customHeight="false" outlineLevel="0" collapsed="false">
      <c r="A9" s="0" t="s">
        <v>93</v>
      </c>
      <c r="C9" s="4" t="n">
        <f aca="false">Assumptions!C43</f>
        <v>0.3</v>
      </c>
      <c r="D9" s="4" t="n">
        <f aca="false">Assumptions!D43</f>
        <v>0.28</v>
      </c>
      <c r="E9" s="4" t="n">
        <f aca="false">Assumptions!E43</f>
        <v>0.26</v>
      </c>
      <c r="F9" s="4" t="n">
        <f aca="false">Assumptions!F43</f>
        <v>0.24</v>
      </c>
      <c r="G9" s="4" t="n">
        <f aca="false">Assumptions!G43</f>
        <v>0.23</v>
      </c>
      <c r="H9" s="4" t="n">
        <f aca="false">Assumptions!H43</f>
        <v>0.22</v>
      </c>
      <c r="I9" s="4" t="n">
        <f aca="false">Assumptions!I43</f>
        <v>0.21</v>
      </c>
      <c r="J9" s="4" t="n">
        <f aca="false">Assumptions!J43</f>
        <v>0.2</v>
      </c>
      <c r="K9" s="4" t="n">
        <f aca="false">Assumptions!K43</f>
        <v>0.2</v>
      </c>
      <c r="L9" s="4" t="n">
        <f aca="false">Assumptions!L43</f>
        <v>0.2</v>
      </c>
    </row>
    <row r="10" customFormat="false" ht="15" hidden="false" customHeight="false" outlineLevel="0" collapsed="false">
      <c r="A10" s="0" t="s">
        <v>108</v>
      </c>
      <c r="C10" s="0" t="n">
        <f aca="false">-C6*C9/100</f>
        <v>-39.37070934</v>
      </c>
      <c r="D10" s="0" t="n">
        <f aca="false">-D6*D9/100</f>
        <v>-49.6070937684</v>
      </c>
      <c r="E10" s="0" t="n">
        <f aca="false">-E6*E9/100</f>
        <v>-56.197750511916</v>
      </c>
      <c r="F10" s="0" t="n">
        <f aca="false">-F6*F9/100</f>
        <v>-59.6560736203416</v>
      </c>
      <c r="G10" s="0" t="n">
        <f aca="false">-G6*G9/100</f>
        <v>-62.8874442747768</v>
      </c>
      <c r="H10" s="0" t="n">
        <f aca="false">-H6*H9/100</f>
        <v>-64.965464172552</v>
      </c>
      <c r="I10" s="0" t="n">
        <f aca="false">-I6*I9/100</f>
        <v>-65.7332378400458</v>
      </c>
      <c r="J10" s="0" t="n">
        <f aca="false">-J6*J9/100</f>
        <v>-65.7332378400458</v>
      </c>
      <c r="K10" s="0" t="n">
        <f aca="false">-K6*K9/100</f>
        <v>-68.3625673536477</v>
      </c>
      <c r="L10" s="0" t="n">
        <f aca="false">-L6*L9/100</f>
        <v>-70.4134443742571</v>
      </c>
    </row>
    <row r="11" customFormat="false" ht="15" hidden="false" customHeight="false" outlineLevel="0" collapsed="false">
      <c r="A11" s="0" t="s">
        <v>109</v>
      </c>
      <c r="C11" s="0" t="n">
        <f aca="false">C8+C10+C24</f>
        <v>1666.69336206</v>
      </c>
      <c r="D11" s="0" t="n">
        <f aca="false">D8+D10+D24</f>
        <v>2430.7475946516</v>
      </c>
      <c r="E11" s="0" t="n">
        <f aca="false">E8+E10+E24</f>
        <v>3185.98016363708</v>
      </c>
      <c r="F11" s="0" t="n">
        <f aca="false">F8+F10+F24</f>
        <v>3917.4155010691</v>
      </c>
      <c r="G11" s="0" t="n">
        <f aca="false">G8+G10+G24</f>
        <v>4448.60312326356</v>
      </c>
      <c r="H11" s="0" t="n">
        <f aca="false">H8+H10+H24</f>
        <v>4955.09313097919</v>
      </c>
      <c r="I11" s="0" t="n">
        <f aca="false">I8+I10+I24</f>
        <v>5255.52887302081</v>
      </c>
      <c r="J11" s="0" t="n">
        <f aca="false">J8+J10+J24</f>
        <v>5521.59197856385</v>
      </c>
      <c r="K11" s="0" t="n">
        <f aca="false">K8+K10+K24</f>
        <v>5742.4556577064</v>
      </c>
      <c r="L11" s="0" t="n">
        <f aca="false">L8+L10+L24</f>
        <v>5914.72932743759</v>
      </c>
    </row>
    <row r="12" customFormat="false" ht="15" hidden="false" customHeight="false" outlineLevel="0" collapsed="false">
      <c r="A12" s="0" t="s">
        <v>110</v>
      </c>
      <c r="C12" s="4" t="n">
        <f aca="false">-C6*Assumptions!C45/100</f>
        <v>-984.2677335</v>
      </c>
      <c r="D12" s="4" t="n">
        <f aca="false">-D6*Assumptions!D45/100</f>
        <v>-1240.17734421</v>
      </c>
      <c r="E12" s="4" t="n">
        <f aca="false">-E6*Assumptions!E45/100</f>
        <v>-1404.9437627979</v>
      </c>
      <c r="F12" s="4" t="n">
        <f aca="false">-F6*Assumptions!F45/100</f>
        <v>-1615.68532721759</v>
      </c>
      <c r="G12" s="4" t="n">
        <f aca="false">-G6*Assumptions!G45/100</f>
        <v>-1777.25385993934</v>
      </c>
      <c r="H12" s="4" t="n">
        <f aca="false">-H6*Assumptions!H45/100</f>
        <v>-1860.37465585035</v>
      </c>
      <c r="I12" s="4" t="n">
        <f aca="false">-I6*Assumptions!I45/100</f>
        <v>-1878.09250971559</v>
      </c>
      <c r="J12" s="4" t="n">
        <f aca="false">-J6*Assumptions!J45/100</f>
        <v>-1971.99713520137</v>
      </c>
      <c r="K12" s="4" t="n">
        <f aca="false">-K6*Assumptions!K45/100</f>
        <v>-2050.87702060943</v>
      </c>
      <c r="L12" s="4" t="n">
        <f aca="false">-L6*Assumptions!L45/100</f>
        <v>-2112.40333122771</v>
      </c>
    </row>
    <row r="13" customFormat="false" ht="15" hidden="false" customHeight="false" outlineLevel="0" collapsed="false">
      <c r="A13" s="0" t="s">
        <v>111</v>
      </c>
      <c r="C13" s="0" t="n">
        <f aca="false">C11+C12</f>
        <v>682.42562856</v>
      </c>
      <c r="D13" s="0" t="n">
        <f aca="false">D11+D12</f>
        <v>1190.5702504416</v>
      </c>
      <c r="E13" s="0" t="n">
        <f aca="false">E11+E12</f>
        <v>1781.03640083918</v>
      </c>
      <c r="F13" s="0" t="n">
        <f aca="false">F11+F12</f>
        <v>2301.73017385151</v>
      </c>
      <c r="G13" s="0" t="n">
        <f aca="false">G11+G12</f>
        <v>2671.34926332421</v>
      </c>
      <c r="H13" s="0" t="n">
        <f aca="false">H11+H12</f>
        <v>3094.71847512884</v>
      </c>
      <c r="I13" s="0" t="n">
        <f aca="false">I11+I12</f>
        <v>3377.43636330521</v>
      </c>
      <c r="J13" s="0" t="n">
        <f aca="false">J11+J12</f>
        <v>3549.59484336247</v>
      </c>
      <c r="K13" s="0" t="n">
        <f aca="false">K11+K12</f>
        <v>3691.57863709697</v>
      </c>
      <c r="L13" s="0" t="n">
        <f aca="false">L11+L12</f>
        <v>3802.32599620988</v>
      </c>
    </row>
    <row r="14" customFormat="false" ht="15" hidden="false" customHeight="false" outlineLevel="0" collapsed="false">
      <c r="A14" s="0" t="s">
        <v>97</v>
      </c>
      <c r="C14" s="4" t="n">
        <f aca="false">Assumptions!C47</f>
        <v>2</v>
      </c>
      <c r="D14" s="4" t="n">
        <f aca="false">Assumptions!D47</f>
        <v>5</v>
      </c>
      <c r="E14" s="4" t="n">
        <f aca="false">Assumptions!E47</f>
        <v>10</v>
      </c>
      <c r="F14" s="4" t="n">
        <f aca="false">Assumptions!F47</f>
        <v>15</v>
      </c>
      <c r="G14" s="4" t="n">
        <f aca="false">Assumptions!G47</f>
        <v>15</v>
      </c>
      <c r="H14" s="4" t="n">
        <f aca="false">Assumptions!H47</f>
        <v>15</v>
      </c>
      <c r="I14" s="4" t="n">
        <f aca="false">Assumptions!I47</f>
        <v>15</v>
      </c>
      <c r="J14" s="4" t="n">
        <f aca="false">Assumptions!J47</f>
        <v>15</v>
      </c>
      <c r="K14" s="4" t="n">
        <f aca="false">Assumptions!K47</f>
        <v>15</v>
      </c>
      <c r="L14" s="4" t="n">
        <f aca="false">Assumptions!L47</f>
        <v>15</v>
      </c>
    </row>
    <row r="15" customFormat="false" ht="15" hidden="false" customHeight="false" outlineLevel="0" collapsed="false">
      <c r="A15" s="0" t="s">
        <v>112</v>
      </c>
      <c r="C15" s="0" t="n">
        <f aca="false">C13-MAX(0,C13)*C14/100</f>
        <v>668.7771159888</v>
      </c>
      <c r="D15" s="0" t="n">
        <f aca="false">D13-MAX(0,D13)*D14/100</f>
        <v>1131.04173791952</v>
      </c>
      <c r="E15" s="0" t="n">
        <f aca="false">E13-MAX(0,E13)*E14/100</f>
        <v>1602.93276075527</v>
      </c>
      <c r="F15" s="0" t="n">
        <f aca="false">F13-MAX(0,F13)*F14/100</f>
        <v>1956.47064777379</v>
      </c>
      <c r="G15" s="0" t="n">
        <f aca="false">G13-MAX(0,G13)*G14/100</f>
        <v>2270.64687382558</v>
      </c>
      <c r="H15" s="0" t="n">
        <f aca="false">H13-MAX(0,H13)*H14/100</f>
        <v>2630.51070385951</v>
      </c>
      <c r="I15" s="0" t="n">
        <f aca="false">I13-MAX(0,I13)*I14/100</f>
        <v>2870.82090880943</v>
      </c>
      <c r="J15" s="0" t="n">
        <f aca="false">J13-MAX(0,J13)*J14/100</f>
        <v>3017.1556168581</v>
      </c>
      <c r="K15" s="0" t="n">
        <f aca="false">K13-MAX(0,K13)*K14/100</f>
        <v>3137.84184153243</v>
      </c>
      <c r="L15" s="0" t="n">
        <f aca="false">L13-MAX(0,L13)*L14/100</f>
        <v>3231.9770967784</v>
      </c>
    </row>
    <row r="16" customFormat="false" ht="15" hidden="false" customHeight="false" outlineLevel="0" collapsed="false">
      <c r="A16" s="0" t="s">
        <v>113</v>
      </c>
      <c r="C16" s="0" t="n">
        <f aca="false">-C12</f>
        <v>984.2677335</v>
      </c>
      <c r="D16" s="0" t="n">
        <f aca="false">-D12</f>
        <v>1240.17734421</v>
      </c>
      <c r="E16" s="0" t="n">
        <f aca="false">-E12</f>
        <v>1404.9437627979</v>
      </c>
      <c r="F16" s="0" t="n">
        <f aca="false">-F12</f>
        <v>1615.68532721759</v>
      </c>
      <c r="G16" s="0" t="n">
        <f aca="false">-G12</f>
        <v>1777.25385993934</v>
      </c>
      <c r="H16" s="0" t="n">
        <f aca="false">-H12</f>
        <v>1860.37465585035</v>
      </c>
      <c r="I16" s="0" t="n">
        <f aca="false">-I12</f>
        <v>1878.09250971559</v>
      </c>
      <c r="J16" s="0" t="n">
        <f aca="false">-J12</f>
        <v>1971.99713520137</v>
      </c>
      <c r="K16" s="0" t="n">
        <f aca="false">-K12</f>
        <v>2050.87702060943</v>
      </c>
      <c r="L16" s="0" t="n">
        <f aca="false">-L12</f>
        <v>2112.40333122771</v>
      </c>
    </row>
    <row r="17" customFormat="false" ht="15" hidden="false" customHeight="false" outlineLevel="0" collapsed="false">
      <c r="A17" s="0" t="s">
        <v>114</v>
      </c>
      <c r="C17" s="4" t="n">
        <f aca="false">-C6*Assumptions!C46/100</f>
        <v>-4330.7780274</v>
      </c>
      <c r="D17" s="4" t="n">
        <f aca="false">-D6*Assumptions!D46/100</f>
        <v>-4960.70937684</v>
      </c>
      <c r="E17" s="4" t="n">
        <f aca="false">-E6*Assumptions!E46/100</f>
        <v>-3890.6134969788</v>
      </c>
      <c r="F17" s="4" t="n">
        <f aca="false">-F6*Assumptions!F46/100</f>
        <v>-2982.80368101708</v>
      </c>
      <c r="G17" s="4" t="n">
        <f aca="false">-G6*Assumptions!G46/100</f>
        <v>-2734.23670759899</v>
      </c>
      <c r="H17" s="4" t="n">
        <f aca="false">-H6*Assumptions!H46/100</f>
        <v>-2510.02929757587</v>
      </c>
      <c r="I17" s="4" t="n">
        <f aca="false">-I6*Assumptions!I46/100</f>
        <v>-2347.61563714449</v>
      </c>
      <c r="J17" s="4" t="n">
        <f aca="false">-J6*Assumptions!J46/100</f>
        <v>-2300.6633244016</v>
      </c>
      <c r="K17" s="4" t="n">
        <f aca="false">-K6*Assumptions!K46/100</f>
        <v>-2392.68985737767</v>
      </c>
      <c r="L17" s="4" t="n">
        <f aca="false">-L6*Assumptions!L46/100</f>
        <v>-2464.470553099</v>
      </c>
    </row>
    <row r="18" customFormat="false" ht="15" hidden="false" customHeight="false" outlineLevel="0" collapsed="false">
      <c r="A18" s="0" t="s">
        <v>115</v>
      </c>
      <c r="C18" s="4" t="n">
        <f aca="false">(C6-B6)*Assumptions!$B$51/100</f>
        <v>-150.6780234</v>
      </c>
      <c r="D18" s="4" t="n">
        <f aca="false">(D6-C6)*Assumptions!$B$51/100</f>
        <v>-137.79748269</v>
      </c>
      <c r="E18" s="4" t="n">
        <f aca="false">(E6-D6)*Assumptions!$B$51/100</f>
        <v>-116.9310067398</v>
      </c>
      <c r="F18" s="4" t="n">
        <f aca="false">(F6-E6)*Assumptions!$B$51/100</f>
        <v>-97.2653374244699</v>
      </c>
      <c r="G18" s="4" t="n">
        <f aca="false">(G6-F6)*Assumptions!$B$51/100</f>
        <v>-74.570092025427</v>
      </c>
      <c r="H18" s="4" t="n">
        <f aca="false">(H6-G6)*Assumptions!$B$51/100</f>
        <v>-65.6216809823758</v>
      </c>
      <c r="I18" s="4" t="n">
        <f aca="false">(I6-H6)*Assumptions!$B$51/100</f>
        <v>-53.1535615957245</v>
      </c>
      <c r="J18" s="4" t="n">
        <f aca="false">(J6-I6)*Assumptions!$B$51/100</f>
        <v>-46.9523127428899</v>
      </c>
      <c r="K18" s="4" t="n">
        <f aca="false">(K6-J6)*Assumptions!$B$51/100</f>
        <v>-39.4399427040274</v>
      </c>
      <c r="L18" s="4" t="n">
        <f aca="false">(L6-K6)*Assumptions!$B$51/100</f>
        <v>-30.7631553091415</v>
      </c>
    </row>
    <row r="19" customFormat="false" ht="15" hidden="false" customHeight="false" outlineLevel="0" collapsed="false">
      <c r="A19" s="0" t="s">
        <v>116</v>
      </c>
      <c r="C19" s="0" t="n">
        <f aca="false">C15+C16+C17+C18</f>
        <v>-2828.4112013112</v>
      </c>
      <c r="D19" s="0" t="n">
        <f aca="false">D15+D16+D17+D18</f>
        <v>-2727.28777740048</v>
      </c>
      <c r="E19" s="0" t="n">
        <f aca="false">E15+E16+E17+E18</f>
        <v>-999.667980165434</v>
      </c>
      <c r="F19" s="0" t="n">
        <f aca="false">F15+F16+F17+F18</f>
        <v>492.086956549821</v>
      </c>
      <c r="G19" s="0" t="n">
        <f aca="false">G15+G16+G17+G18</f>
        <v>1239.09393414051</v>
      </c>
      <c r="H19" s="0" t="n">
        <f aca="false">H15+H16+H17+H18</f>
        <v>1915.23438115162</v>
      </c>
      <c r="I19" s="0" t="n">
        <f aca="false">I15+I16+I17+I18</f>
        <v>2348.14421978481</v>
      </c>
      <c r="J19" s="0" t="n">
        <f aca="false">J15+J16+J17+J18</f>
        <v>2641.53711491498</v>
      </c>
      <c r="K19" s="0" t="n">
        <f aca="false">K15+K16+K17+K18</f>
        <v>2756.58906206016</v>
      </c>
      <c r="L19" s="0" t="n">
        <f aca="false">L15+L16+L17+L18</f>
        <v>2849.14671959797</v>
      </c>
    </row>
    <row r="20" customFormat="false" ht="15" hidden="false" customHeight="false" outlineLevel="0" collapsed="false">
      <c r="A20" s="0" t="s">
        <v>117</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118</v>
      </c>
      <c r="C21" s="0" t="n">
        <f aca="false">C19*C20</f>
        <v>-2571.28291028291</v>
      </c>
      <c r="D21" s="0" t="n">
        <f aca="false">D19*D20</f>
        <v>-2253.95684082684</v>
      </c>
      <c r="E21" s="0" t="n">
        <f aca="false">E19*E20</f>
        <v>-751.065349485676</v>
      </c>
      <c r="F21" s="0" t="n">
        <f aca="false">F19*F20</f>
        <v>336.102012533175</v>
      </c>
      <c r="G21" s="0" t="n">
        <f aca="false">G19*G20</f>
        <v>769.379844981097</v>
      </c>
      <c r="H21" s="0" t="n">
        <f aca="false">H19*H20</f>
        <v>1081.09987810277</v>
      </c>
      <c r="I21" s="0" t="n">
        <f aca="false">I19*I20</f>
        <v>1204.96926915908</v>
      </c>
      <c r="J21" s="0" t="n">
        <f aca="false">J19*J20</f>
        <v>1232.29655920577</v>
      </c>
      <c r="K21" s="0" t="n">
        <f aca="false">K19*K20</f>
        <v>1169.06285605136</v>
      </c>
      <c r="L21" s="0" t="n">
        <f aca="false">L19*L20</f>
        <v>1098.46939834116</v>
      </c>
    </row>
    <row r="23" customFormat="false" ht="15" hidden="false" customHeight="false" outlineLevel="0" collapsed="false">
      <c r="A23" s="0" t="s">
        <v>94</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119</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120</v>
      </c>
    </row>
    <row r="27" customFormat="false" ht="15" hidden="false" customHeight="false" outlineLevel="0" collapsed="false">
      <c r="A27" s="0" t="s">
        <v>98</v>
      </c>
      <c r="B27" s="4" t="n">
        <f aca="false">Assumptions!$B$48</f>
        <v>10</v>
      </c>
    </row>
    <row r="28" customFormat="false" ht="15" hidden="false" customHeight="false" outlineLevel="0" collapsed="false">
      <c r="A28" s="0" t="s">
        <v>99</v>
      </c>
      <c r="B28" s="4" t="n">
        <f aca="false">Assumptions!$B$49</f>
        <v>2.5</v>
      </c>
    </row>
    <row r="29" customFormat="false" ht="15" hidden="false" customHeight="false" outlineLevel="0" collapsed="false">
      <c r="A29" s="0" t="s">
        <v>100</v>
      </c>
      <c r="B29" s="4" t="n">
        <f aca="false">Assumptions!$B$50</f>
        <v>15</v>
      </c>
    </row>
    <row r="30" customFormat="false" ht="15" hidden="false" customHeight="false" outlineLevel="0" collapsed="false">
      <c r="A30" s="0" t="s">
        <v>121</v>
      </c>
      <c r="B30" s="0" t="n">
        <f aca="false">SUM(C21:L21)</f>
        <v>1315.07471777898</v>
      </c>
    </row>
    <row r="31" customFormat="false" ht="15" hidden="false" customHeight="false" outlineLevel="0" collapsed="false">
      <c r="A31" s="0" t="s">
        <v>122</v>
      </c>
      <c r="B31" s="0" t="n">
        <f aca="false">L19</f>
        <v>2849.14671959797</v>
      </c>
    </row>
    <row r="32" customFormat="false" ht="15" hidden="false" customHeight="false" outlineLevel="0" collapsed="false">
      <c r="A32" s="0" t="s">
        <v>123</v>
      </c>
      <c r="B32" s="0" t="n">
        <f aca="false">IF(B27&gt;B28,B31*(1+B28/100)/((B27-B28)/100),B31*B29)</f>
        <v>38938.3385011723</v>
      </c>
    </row>
    <row r="33" customFormat="false" ht="15" hidden="false" customHeight="false" outlineLevel="0" collapsed="false">
      <c r="A33" s="0" t="s">
        <v>124</v>
      </c>
      <c r="B33" s="0" t="n">
        <f aca="false">B31*B29</f>
        <v>42737.2007939696</v>
      </c>
    </row>
    <row r="34" customFormat="false" ht="15" hidden="false" customHeight="false" outlineLevel="0" collapsed="false">
      <c r="A34" s="0" t="s">
        <v>125</v>
      </c>
      <c r="B34" s="0" t="n">
        <f aca="false">MAX(0,MIN(B32,B33))</f>
        <v>38938.3385011723</v>
      </c>
    </row>
    <row r="35" customFormat="false" ht="15" hidden="false" customHeight="false" outlineLevel="0" collapsed="false">
      <c r="A35" s="0" t="s">
        <v>126</v>
      </c>
      <c r="B35" s="0" t="n">
        <f aca="false">B34/(1+B27/100)^L4</f>
        <v>15012.4151106625</v>
      </c>
    </row>
    <row r="36" customFormat="false" ht="15" hidden="false" customHeight="false" outlineLevel="0" collapsed="false">
      <c r="A36" s="0" t="s">
        <v>127</v>
      </c>
      <c r="B36" s="0" t="n">
        <f aca="false">B30+B35</f>
        <v>16327.4898284415</v>
      </c>
    </row>
    <row r="37" customFormat="false" ht="15" hidden="false" customHeight="false" outlineLevel="0" collapsed="false">
      <c r="A37" s="0" t="s">
        <v>128</v>
      </c>
      <c r="B37" s="0" t="n">
        <f aca="false">B36+Assumptions!$B$5-Assumptions!$B$4</f>
        <v>17008.2878284415</v>
      </c>
    </row>
    <row r="38" customFormat="false" ht="15" hidden="false" customHeight="false" outlineLevel="0" collapsed="false">
      <c r="A38" s="0" t="s">
        <v>129</v>
      </c>
      <c r="B38" s="0" t="n">
        <f aca="false">B37/Assumptions!$B$3*Assumptions!$B$10</f>
        <v>7.81892741914464</v>
      </c>
    </row>
    <row r="39" customFormat="false" ht="15" hidden="false" customHeight="false" outlineLevel="0" collapsed="false">
      <c r="A39" s="0" t="s">
        <v>130</v>
      </c>
      <c r="B39" s="4" t="n">
        <f aca="false">B38/Assumptions!$B$2-1</f>
        <v>1.25329320436445</v>
      </c>
    </row>
    <row r="41" customFormat="false" ht="15" hidden="false" customHeight="false" outlineLevel="0" collapsed="false">
      <c r="A41" s="0" t="s">
        <v>131</v>
      </c>
      <c r="B41" s="0" t="n">
        <f aca="false">SUMPRODUCT(-C10:L10/(1+$B$27/100)^C4:L4)</f>
        <v>356.013138974525</v>
      </c>
    </row>
    <row r="42" customFormat="false" ht="15" hidden="false" customHeight="false" outlineLevel="0" collapsed="false">
      <c r="A42" s="0" t="s">
        <v>132</v>
      </c>
      <c r="B42" s="0" t="n">
        <f aca="false">IF(B27&gt;B28,-L10*(1+B28/100)/((B27-B28)/100),-L10*20)/(1+B27/100)^L4</f>
        <v>371.014889842897</v>
      </c>
    </row>
    <row r="43" customFormat="false" ht="15" hidden="false" customHeight="false" outlineLevel="0" collapsed="false">
      <c r="A43" s="0" t="s">
        <v>133</v>
      </c>
      <c r="B43" s="0" t="n">
        <f aca="false">(B37+B41+B42)/Assumptions!$B$3*Assumptions!$B$10</f>
        <v>8.15315150133011</v>
      </c>
    </row>
    <row r="45" customFormat="false" ht="15" hidden="false" customHeight="false" outlineLevel="0" collapsed="false">
      <c r="A45" s="0" t="s">
        <v>74</v>
      </c>
      <c r="B45" s="4" t="n">
        <f aca="false">Assumptions!$B$6</f>
        <v>15</v>
      </c>
    </row>
    <row r="46" customFormat="false" ht="15" hidden="false" customHeight="false" outlineLevel="0" collapsed="false">
      <c r="A46" s="0" t="s">
        <v>134</v>
      </c>
      <c r="B46" s="0" t="n">
        <f aca="false">MAX(0,MIN(IF(B45&gt;B28,B31*(1+B28/100)/((B45-B28)/100),B31*B29),B31*B29))</f>
        <v>23363.0031007034</v>
      </c>
    </row>
    <row r="47" customFormat="false" ht="15" hidden="false" customHeight="false" outlineLevel="0" collapsed="false">
      <c r="A47" s="0" t="s">
        <v>135</v>
      </c>
      <c r="B47" s="0" t="n">
        <f aca="false">(SUMPRODUCT(C19:L19/(1+B45/100)^C4:L4)+B46/(1+B45/100)^L4+Assumptions!$B$5-Assumptions!$B$4)/Assumptions!$B$3*Assumptions!$B$10</f>
        <v>2.86691381242438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138</v>
      </c>
    </row>
    <row r="3" customFormat="false" ht="15" hidden="false" customHeight="false" outlineLevel="0" collapsed="false">
      <c r="A3" s="2" t="s">
        <v>139</v>
      </c>
      <c r="B3" s="2" t="s">
        <v>140</v>
      </c>
      <c r="C3" s="2" t="s">
        <v>130</v>
      </c>
      <c r="D3" s="2" t="s">
        <v>141</v>
      </c>
      <c r="E3" s="2" t="s">
        <v>133</v>
      </c>
      <c r="F3" s="2" t="s">
        <v>142</v>
      </c>
    </row>
    <row r="4" customFormat="false" ht="15" hidden="false" customHeight="false" outlineLevel="0" collapsed="false">
      <c r="A4" s="0" t="s">
        <v>143</v>
      </c>
      <c r="B4" s="4" t="n">
        <f aca="false">DCF_Bear!$B$38</f>
        <v>0.891863593992576</v>
      </c>
      <c r="C4" s="0" t="n">
        <f aca="false">B4/Assumptions!$B$2-1</f>
        <v>-0.742978791356606</v>
      </c>
      <c r="D4" s="4" t="n">
        <f aca="false">Assumptions!$B$24</f>
        <v>0.3</v>
      </c>
      <c r="E4" s="4" t="n">
        <f aca="false">DCF_Bear!$B$43</f>
        <v>1.07249581246403</v>
      </c>
      <c r="F4" s="4" t="n">
        <f aca="false">DCF_Bear!$B$47</f>
        <v>0.0130721615625777</v>
      </c>
    </row>
    <row r="5" customFormat="false" ht="15" hidden="false" customHeight="false" outlineLevel="0" collapsed="false">
      <c r="A5" s="0" t="s">
        <v>144</v>
      </c>
      <c r="B5" s="4" t="n">
        <f aca="false">DCF_Base!$B$38</f>
        <v>3.76485440250676</v>
      </c>
      <c r="C5" s="0" t="n">
        <f aca="false">B5/Assumptions!$B$2-1</f>
        <v>0.0849724502901335</v>
      </c>
      <c r="D5" s="4" t="n">
        <f aca="false">Assumptions!$B$38</f>
        <v>0.5</v>
      </c>
      <c r="E5" s="4" t="n">
        <f aca="false">DCF_Base!$B$43</f>
        <v>4.02486276635452</v>
      </c>
      <c r="F5" s="4" t="n">
        <f aca="false">DCF_Base!$B$47</f>
        <v>1.16422629299757</v>
      </c>
    </row>
    <row r="6" customFormat="false" ht="15" hidden="false" customHeight="false" outlineLevel="0" collapsed="false">
      <c r="A6" s="0" t="s">
        <v>145</v>
      </c>
      <c r="B6" s="4" t="n">
        <f aca="false">DCF_Bull!$B$38</f>
        <v>7.81892741914464</v>
      </c>
      <c r="C6" s="0" t="n">
        <f aca="false">B6/Assumptions!$B$2-1</f>
        <v>1.25329320436445</v>
      </c>
      <c r="D6" s="4" t="n">
        <f aca="false">Assumptions!$B$52</f>
        <v>0.2</v>
      </c>
      <c r="E6" s="4" t="n">
        <f aca="false">DCF_Bull!$B$43</f>
        <v>8.15315150133011</v>
      </c>
      <c r="F6" s="4" t="n">
        <f aca="false">DCF_Bull!$B$47</f>
        <v>2.86691381242438</v>
      </c>
    </row>
    <row r="8" customFormat="false" ht="15" hidden="false" customHeight="false" outlineLevel="0" collapsed="false">
      <c r="A8" s="0" t="s">
        <v>146</v>
      </c>
      <c r="B8" s="0" t="n">
        <f aca="false">SUMPRODUCT(B4:B6,D4:D6)</f>
        <v>3.71377176328008</v>
      </c>
    </row>
    <row r="9" customFormat="false" ht="15" hidden="false" customHeight="false" outlineLevel="0" collapsed="false">
      <c r="A9" s="0" t="s">
        <v>147</v>
      </c>
      <c r="B9" s="0" t="n">
        <f aca="false">SUMPRODUCT(E4:E6,D4:D6)</f>
        <v>3.96481042718249</v>
      </c>
    </row>
    <row r="10" customFormat="false" ht="15" hidden="false" customHeight="false" outlineLevel="0" collapsed="false">
      <c r="A10" s="0" t="s">
        <v>148</v>
      </c>
      <c r="B10" s="0" t="n">
        <f aca="false">1-Assumptions!$B$2/B8</f>
        <v>0.0656399420369275</v>
      </c>
    </row>
    <row r="11" customFormat="false" ht="15" hidden="false" customHeight="false" outlineLevel="0" collapsed="false">
      <c r="A11" s="0" t="s">
        <v>149</v>
      </c>
      <c r="B11" s="0" t="n">
        <f aca="false">IF(ABS(B9-B8)&gt;0.01*ABS(B8),(Assumptions!$B$2-B8)/(B9-B8)*100,"n/a")</f>
        <v>-97.1052663723749</v>
      </c>
    </row>
    <row r="12" customFormat="false" ht="15" hidden="false" customHeight="false" outlineLevel="0" collapsed="false">
      <c r="A12" s="0" t="s">
        <v>150</v>
      </c>
      <c r="B12" s="0" t="n">
        <f aca="false">SUMPRODUCT(F4:F6,D4:D6)</f>
        <v>1.15941755745243</v>
      </c>
    </row>
    <row r="14" customFormat="false" ht="15" hidden="false" customHeight="false" outlineLevel="0" collapsed="false">
      <c r="A14" s="2" t="s">
        <v>151</v>
      </c>
      <c r="C14" s="0" t="s">
        <v>152</v>
      </c>
    </row>
    <row r="15" customFormat="false" ht="15" hidden="false" customHeight="false" outlineLevel="0" collapsed="false">
      <c r="A15" s="0" t="s">
        <v>153</v>
      </c>
      <c r="B15" s="0" t="n">
        <f aca="false">(SUMPRODUCT(DCF_Base!$C$19:$L$19/(1+$C$15/100)^DCF_Base!$C$4:$L$4)+MAX(0,MIN(IF($C$15&gt;DCF_Base!$B$28,DCF_Base!$L$19*(1+DCF_Base!$B$28/100)/(($C$15-DCF_Base!$B$28)/100),DCF_Base!$L$19*DCF_Base!$B$29),DCF_Base!$L$19*DCF_Base!$B$29))/(1+$C$15/100)^DCF_Base!$L$4+Assumptions!$B$5-Assumptions!$B$4)/Assumptions!$B$3*Assumptions!$B$10</f>
        <v>4.22186281897573</v>
      </c>
      <c r="C15" s="3" t="n">
        <v>9</v>
      </c>
    </row>
    <row r="16" customFormat="false" ht="15" hidden="false" customHeight="false" outlineLevel="0" collapsed="false">
      <c r="A16" s="0" t="s">
        <v>154</v>
      </c>
      <c r="B16" s="0" t="n">
        <f aca="false">(SUMPRODUCT(DCF_Base!$C$19:$L$19/(1+$C$16/100)^DCF_Base!$C$4:$L$4)+MAX(0,MIN(IF($C$16&gt;DCF_Base!$B$28,DCF_Base!$L$19*(1+DCF_Base!$B$28/100)/(($C$16-DCF_Base!$B$28)/100),DCF_Base!$L$19*DCF_Base!$B$29),DCF_Base!$L$19*DCF_Base!$B$29))/(1+$C$16/100)^DCF_Base!$L$4+Assumptions!$B$5-Assumptions!$B$4)/Assumptions!$B$3*Assumptions!$B$10</f>
        <v>3.76485440250676</v>
      </c>
      <c r="C16" s="3" t="n">
        <v>10</v>
      </c>
    </row>
    <row r="17" customFormat="false" ht="15" hidden="false" customHeight="false" outlineLevel="0" collapsed="false">
      <c r="A17" s="0" t="s">
        <v>155</v>
      </c>
      <c r="B17" s="0" t="n">
        <f aca="false">(SUMPRODUCT(DCF_Base!$C$19:$L$19/(1+$C$17/100)^DCF_Base!$C$4:$L$4)+MAX(0,MIN(IF($C$17&gt;DCF_Base!$B$28,DCF_Base!$L$19*(1+DCF_Base!$B$28/100)/(($C$17-DCF_Base!$B$28)/100),DCF_Base!$L$19*DCF_Base!$B$29),DCF_Base!$L$19*DCF_Base!$B$29))/(1+$C$17/100)^DCF_Base!$L$4+Assumptions!$B$5-Assumptions!$B$4)/Assumptions!$B$3*Assumptions!$B$10</f>
        <v>3.10396541294016</v>
      </c>
      <c r="C17" s="3" t="n">
        <v>11</v>
      </c>
    </row>
    <row r="18" customFormat="false" ht="15" hidden="false" customHeight="false" outlineLevel="0" collapsed="false">
      <c r="A18" s="0" t="s">
        <v>156</v>
      </c>
      <c r="B18" s="0" t="n">
        <f aca="false">(SUMPRODUCT(DCF_Base!$C$19:$L$19/(1+$C$18/100)^DCF_Base!$C$4:$L$4)+MAX(0,MIN(IF($C$18&gt;DCF_Base!$B$28,DCF_Base!$L$19*(1+DCF_Base!$B$28/100)/(($C$18-DCF_Base!$B$28)/100),DCF_Base!$L$19*DCF_Base!$B$29),DCF_Base!$L$19*DCF_Base!$B$29))/(1+$C$18/100)^DCF_Base!$L$4+Assumptions!$B$5-Assumptions!$B$4)/Assumptions!$B$3*Assumptions!$B$10</f>
        <v>2.44563868074049</v>
      </c>
      <c r="C18" s="3" t="n">
        <v>12</v>
      </c>
    </row>
    <row r="19" customFormat="false" ht="15" hidden="false" customHeight="false" outlineLevel="0" collapsed="false">
      <c r="A19" s="0" t="s">
        <v>157</v>
      </c>
      <c r="B19" s="0" t="n">
        <f aca="false">(SUMPRODUCT(DCF_Base!$C$19:$L$19/(1+$C$19/100)^DCF_Base!$C$4:$L$4)+MAX(0,MIN(IF($C$19&gt;DCF_Base!$B$28,DCF_Base!$L$19*(1+DCF_Base!$B$28/100)/(($C$19-DCF_Base!$B$28)/100),DCF_Base!$L$19*DCF_Base!$B$29),DCF_Base!$L$19*DCF_Base!$B$29))/(1+$C$19/100)^DCF_Base!$L$4+Assumptions!$B$5-Assumptions!$B$4)/Assumptions!$B$3*Assumptions!$B$10</f>
        <v>1.16422629299757</v>
      </c>
      <c r="C19" s="3" t="n">
        <v>15</v>
      </c>
    </row>
    <row r="21" customFormat="false" ht="15" hidden="false" customHeight="false" outlineLevel="0" collapsed="false">
      <c r="A21" s="2" t="s">
        <v>158</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8</v>
      </c>
      <c r="B23" s="0" t="n">
        <f aca="false">(SUMPRODUCT(DCF_Base!$C$19:$L$19/(1+$A$23/100)^DCF_Base!$C$4:$L$4)+MAX(0,MIN(IF($A$23&gt;$B$22,DCF_Base!$L$19*(1+$B$22/100)/(($A$23-$B$22)/100),DCF_Base!$L$19*DCF_Base!$B$29),DCF_Base!$L$19*DCF_Base!$B$29))/(1+$A$23/100)^DCF_Base!$L$4+Assumptions!$B$5-Assumptions!$B$4)/Assumptions!$B$3*Assumptions!$B$10</f>
        <v>4.7270738692776</v>
      </c>
      <c r="C23" s="0" t="n">
        <f aca="false">(SUMPRODUCT(DCF_Base!$C$19:$L$19/(1+$A$23/100)^DCF_Base!$C$4:$L$4)+MAX(0,MIN(IF($A$23&gt;$C$22,DCF_Base!$L$19*(1+$C$22/100)/(($A$23-$C$22)/100),DCF_Base!$L$19*DCF_Base!$B$29),DCF_Base!$L$19*DCF_Base!$B$29))/(1+$A$23/100)^DCF_Base!$L$4+Assumptions!$B$5-Assumptions!$B$4)/Assumptions!$B$3*Assumptions!$B$10</f>
        <v>4.7270738692776</v>
      </c>
      <c r="D23" s="0" t="n">
        <f aca="false">(SUMPRODUCT(DCF_Base!$C$19:$L$19/(1+$A$23/100)^DCF_Base!$C$4:$L$4)+MAX(0,MIN(IF($A$23&gt;$D$22,DCF_Base!$L$19*(1+$D$22/100)/(($A$23-$D$22)/100),DCF_Base!$L$19*DCF_Base!$B$29),DCF_Base!$L$19*DCF_Base!$B$29))/(1+$A$23/100)^DCF_Base!$L$4+Assumptions!$B$5-Assumptions!$B$4)/Assumptions!$B$3*Assumptions!$B$10</f>
        <v>4.7270738692776</v>
      </c>
      <c r="E23" s="0" t="n">
        <f aca="false">(SUMPRODUCT(DCF_Base!$C$19:$L$19/(1+$A$23/100)^DCF_Base!$C$4:$L$4)+MAX(0,MIN(IF($A$23&gt;$E$22,DCF_Base!$L$19*(1+$E$22/100)/(($A$23-$E$22)/100),DCF_Base!$L$19*DCF_Base!$B$29),DCF_Base!$L$19*DCF_Base!$B$29))/(1+$A$23/100)^DCF_Base!$L$4+Assumptions!$B$5-Assumptions!$B$4)/Assumptions!$B$3*Assumptions!$B$10</f>
        <v>4.7270738692776</v>
      </c>
      <c r="F23" s="0" t="n">
        <f aca="false">(SUMPRODUCT(DCF_Base!$C$19:$L$19/(1+$A$23/100)^DCF_Base!$C$4:$L$4)+MAX(0,MIN(IF($A$23&gt;$F$22,DCF_Base!$L$19*(1+$F$22/100)/(($A$23-$F$22)/100),DCF_Base!$L$19*DCF_Base!$B$29),DCF_Base!$L$19*DCF_Base!$B$29))/(1+$A$23/100)^DCF_Base!$L$4+Assumptions!$B$5-Assumptions!$B$4)/Assumptions!$B$3*Assumptions!$B$10</f>
        <v>4.7270738692776</v>
      </c>
    </row>
    <row r="24" customFormat="false" ht="15" hidden="false" customHeight="false" outlineLevel="0" collapsed="false">
      <c r="A24" s="3" t="n">
        <v>9</v>
      </c>
      <c r="B24" s="0" t="n">
        <f aca="false">(SUMPRODUCT(DCF_Base!$C$19:$L$19/(1+$A$24/100)^DCF_Base!$C$4:$L$4)+MAX(0,MIN(IF($A$24&gt;$B$22,DCF_Base!$L$19*(1+$B$22/100)/(($A$24-$B$22)/100),DCF_Base!$L$19*DCF_Base!$B$29),DCF_Base!$L$19*DCF_Base!$B$29))/(1+$A$24/100)^DCF_Base!$L$4+Assumptions!$B$5-Assumptions!$B$4)/Assumptions!$B$3*Assumptions!$B$10</f>
        <v>4.22186281897573</v>
      </c>
      <c r="C24" s="0" t="n">
        <f aca="false">(SUMPRODUCT(DCF_Base!$C$19:$L$19/(1+$A$24/100)^DCF_Base!$C$4:$L$4)+MAX(0,MIN(IF($A$24&gt;$C$22,DCF_Base!$L$19*(1+$C$22/100)/(($A$24-$C$22)/100),DCF_Base!$L$19*DCF_Base!$B$29),DCF_Base!$L$19*DCF_Base!$B$29))/(1+$A$24/100)^DCF_Base!$L$4+Assumptions!$B$5-Assumptions!$B$4)/Assumptions!$B$3*Assumptions!$B$10</f>
        <v>4.22186281897573</v>
      </c>
      <c r="D24" s="0" t="n">
        <f aca="false">(SUMPRODUCT(DCF_Base!$C$19:$L$19/(1+$A$24/100)^DCF_Base!$C$4:$L$4)+MAX(0,MIN(IF($A$24&gt;$D$22,DCF_Base!$L$19*(1+$D$22/100)/(($A$24-$D$22)/100),DCF_Base!$L$19*DCF_Base!$B$29),DCF_Base!$L$19*DCF_Base!$B$29))/(1+$A$24/100)^DCF_Base!$L$4+Assumptions!$B$5-Assumptions!$B$4)/Assumptions!$B$3*Assumptions!$B$10</f>
        <v>4.22186281897573</v>
      </c>
      <c r="E24" s="0" t="n">
        <f aca="false">(SUMPRODUCT(DCF_Base!$C$19:$L$19/(1+$A$24/100)^DCF_Base!$C$4:$L$4)+MAX(0,MIN(IF($A$24&gt;$E$22,DCF_Base!$L$19*(1+$E$22/100)/(($A$24-$E$22)/100),DCF_Base!$L$19*DCF_Base!$B$29),DCF_Base!$L$19*DCF_Base!$B$29))/(1+$A$24/100)^DCF_Base!$L$4+Assumptions!$B$5-Assumptions!$B$4)/Assumptions!$B$3*Assumptions!$B$10</f>
        <v>4.22186281897573</v>
      </c>
      <c r="F24" s="0" t="n">
        <f aca="false">(SUMPRODUCT(DCF_Base!$C$19:$L$19/(1+$A$24/100)^DCF_Base!$C$4:$L$4)+MAX(0,MIN(IF($A$24&gt;$F$22,DCF_Base!$L$19*(1+$F$22/100)/(($A$24-$F$22)/100),DCF_Base!$L$19*DCF_Base!$B$29),DCF_Base!$L$19*DCF_Base!$B$29))/(1+$A$24/100)^DCF_Base!$L$4+Assumptions!$B$5-Assumptions!$B$4)/Assumptions!$B$3*Assumptions!$B$10</f>
        <v>4.22186281897573</v>
      </c>
    </row>
    <row r="25" customFormat="false" ht="15" hidden="false" customHeight="false" outlineLevel="0" collapsed="false">
      <c r="A25" s="3" t="n">
        <v>10</v>
      </c>
      <c r="B25" s="0" t="n">
        <f aca="false">(SUMPRODUCT(DCF_Base!$C$19:$L$19/(1+$A$25/100)^DCF_Base!$C$4:$L$4)+MAX(0,MIN(IF($A$25&gt;$B$22,DCF_Base!$L$19*(1+$B$22/100)/(($A$25-$B$22)/100),DCF_Base!$L$19*DCF_Base!$B$29),DCF_Base!$L$19*DCF_Base!$B$29))/(1+$A$25/100)^DCF_Base!$L$4+Assumptions!$B$5-Assumptions!$B$4)/Assumptions!$B$3*Assumptions!$B$10</f>
        <v>3.4604254491408</v>
      </c>
      <c r="C25" s="0" t="n">
        <f aca="false">(SUMPRODUCT(DCF_Base!$C$19:$L$19/(1+$A$25/100)^DCF_Base!$C$4:$L$4)+MAX(0,MIN(IF($A$25&gt;$C$22,DCF_Base!$L$19*(1+$C$22/100)/(($A$25-$C$22)/100),DCF_Base!$L$19*DCF_Base!$B$29),DCF_Base!$L$19*DCF_Base!$B$29))/(1+$A$25/100)^DCF_Base!$L$4+Assumptions!$B$5-Assumptions!$B$4)/Assumptions!$B$3*Assumptions!$B$10</f>
        <v>3.69297534407313</v>
      </c>
      <c r="D25" s="0" t="n">
        <f aca="false">(SUMPRODUCT(DCF_Base!$C$19:$L$19/(1+$A$25/100)^DCF_Base!$C$4:$L$4)+MAX(0,MIN(IF($A$25&gt;$D$22,DCF_Base!$L$19*(1+$D$22/100)/(($A$25-$D$22)/100),DCF_Base!$L$19*DCF_Base!$B$29),DCF_Base!$L$19*DCF_Base!$B$29))/(1+$A$25/100)^DCF_Base!$L$4+Assumptions!$B$5-Assumptions!$B$4)/Assumptions!$B$3*Assumptions!$B$10</f>
        <v>3.76485440250676</v>
      </c>
      <c r="E25" s="0" t="n">
        <f aca="false">(SUMPRODUCT(DCF_Base!$C$19:$L$19/(1+$A$25/100)^DCF_Base!$C$4:$L$4)+MAX(0,MIN(IF($A$25&gt;$E$22,DCF_Base!$L$19*(1+$E$22/100)/(($A$25-$E$22)/100),DCF_Base!$L$19*DCF_Base!$B$29),DCF_Base!$L$19*DCF_Base!$B$29))/(1+$A$25/100)^DCF_Base!$L$4+Assumptions!$B$5-Assumptions!$B$4)/Assumptions!$B$3*Assumptions!$B$10</f>
        <v>3.76485440250676</v>
      </c>
      <c r="F25" s="0" t="n">
        <f aca="false">(SUMPRODUCT(DCF_Base!$C$19:$L$19/(1+$A$25/100)^DCF_Base!$C$4:$L$4)+MAX(0,MIN(IF($A$25&gt;$F$22,DCF_Base!$L$19*(1+$F$22/100)/(($A$25-$F$22)/100),DCF_Base!$L$19*DCF_Base!$B$29),DCF_Base!$L$19*DCF_Base!$B$29))/(1+$A$25/100)^DCF_Base!$L$4+Assumptions!$B$5-Assumptions!$B$4)/Assumptions!$B$3*Assumptions!$B$10</f>
        <v>3.76485440250676</v>
      </c>
    </row>
    <row r="26" customFormat="false" ht="15" hidden="false" customHeight="false" outlineLevel="0" collapsed="false">
      <c r="A26" s="3" t="n">
        <v>11</v>
      </c>
      <c r="B26" s="0" t="n">
        <f aca="false">(SUMPRODUCT(DCF_Base!$C$19:$L$19/(1+$A$26/100)^DCF_Base!$C$4:$L$4)+MAX(0,MIN(IF($A$26&gt;$B$22,DCF_Base!$L$19*(1+$B$22/100)/(($A$26-$B$22)/100),DCF_Base!$L$19*DCF_Base!$B$29),DCF_Base!$L$19*DCF_Base!$B$29))/(1+$A$26/100)^DCF_Base!$L$4+Assumptions!$B$5-Assumptions!$B$4)/Assumptions!$B$3*Assumptions!$B$10</f>
        <v>2.74293824685421</v>
      </c>
      <c r="C26" s="0" t="n">
        <f aca="false">(SUMPRODUCT(DCF_Base!$C$19:$L$19/(1+$A$26/100)^DCF_Base!$C$4:$L$4)+MAX(0,MIN(IF($A$26&gt;$C$22,DCF_Base!$L$19*(1+$C$22/100)/(($A$26-$C$22)/100),DCF_Base!$L$19*DCF_Base!$B$29),DCF_Base!$L$19*DCF_Base!$B$29))/(1+$A$26/100)^DCF_Base!$L$4+Assumptions!$B$5-Assumptions!$B$4)/Assumptions!$B$3*Assumptions!$B$10</f>
        <v>2.91342329750591</v>
      </c>
      <c r="D26" s="0" t="n">
        <f aca="false">(SUMPRODUCT(DCF_Base!$C$19:$L$19/(1+$A$26/100)^DCF_Base!$C$4:$L$4)+MAX(0,MIN(IF($A$26&gt;$D$22,DCF_Base!$L$19*(1+$D$22/100)/(($A$26-$D$22)/100),DCF_Base!$L$19*DCF_Base!$B$29),DCF_Base!$L$19*DCF_Base!$B$29))/(1+$A$26/100)^DCF_Base!$L$4+Assumptions!$B$5-Assumptions!$B$4)/Assumptions!$B$3*Assumptions!$B$10</f>
        <v>3.10396541294016</v>
      </c>
      <c r="E26" s="0" t="n">
        <f aca="false">(SUMPRODUCT(DCF_Base!$C$19:$L$19/(1+$A$26/100)^DCF_Base!$C$4:$L$4)+MAX(0,MIN(IF($A$26&gt;$E$22,DCF_Base!$L$19*(1+$E$22/100)/(($A$26-$E$22)/100),DCF_Base!$L$19*DCF_Base!$B$29),DCF_Base!$L$19*DCF_Base!$B$29))/(1+$A$26/100)^DCF_Base!$L$4+Assumptions!$B$5-Assumptions!$B$4)/Assumptions!$B$3*Assumptions!$B$10</f>
        <v>3.3183252928037</v>
      </c>
      <c r="F26" s="0" t="n">
        <f aca="false">(SUMPRODUCT(DCF_Base!$C$19:$L$19/(1+$A$26/100)^DCF_Base!$C$4:$L$4)+MAX(0,MIN(IF($A$26&gt;$F$22,DCF_Base!$L$19*(1+$F$22/100)/(($A$26-$F$22)/100),DCF_Base!$L$19*DCF_Base!$B$29),DCF_Base!$L$19*DCF_Base!$B$29))/(1+$A$26/100)^DCF_Base!$L$4+Assumptions!$B$5-Assumptions!$B$4)/Assumptions!$B$3*Assumptions!$B$10</f>
        <v>3.35115518431433</v>
      </c>
    </row>
    <row r="27" customFormat="false" ht="15" hidden="false" customHeight="false" outlineLevel="0" collapsed="false">
      <c r="A27" s="3" t="n">
        <v>12</v>
      </c>
      <c r="B27" s="0" t="n">
        <f aca="false">(SUMPRODUCT(DCF_Base!$C$19:$L$19/(1+$A$27/100)^DCF_Base!$C$4:$L$4)+MAX(0,MIN(IF($A$27&gt;$B$22,DCF_Base!$L$19*(1+$B$22/100)/(($A$27-$B$22)/100),DCF_Base!$L$19*DCF_Base!$B$29),DCF_Base!$L$19*DCF_Base!$B$29))/(1+$A$27/100)^DCF_Base!$L$4+Assumptions!$B$5-Assumptions!$B$4)/Assumptions!$B$3*Assumptions!$B$10</f>
        <v>2.17604226497668</v>
      </c>
      <c r="C27" s="0" t="n">
        <f aca="false">(SUMPRODUCT(DCF_Base!$C$19:$L$19/(1+$A$27/100)^DCF_Base!$C$4:$L$4)+MAX(0,MIN(IF($A$27&gt;$C$22,DCF_Base!$L$19*(1+$C$22/100)/(($A$27-$C$22)/100),DCF_Base!$L$19*DCF_Base!$B$29),DCF_Base!$L$19*DCF_Base!$B$29))/(1+$A$27/100)^DCF_Base!$L$4+Assumptions!$B$5-Assumptions!$B$4)/Assumptions!$B$3*Assumptions!$B$10</f>
        <v>2.30410056246449</v>
      </c>
      <c r="D27" s="0" t="n">
        <f aca="false">(SUMPRODUCT(DCF_Base!$C$19:$L$19/(1+$A$27/100)^DCF_Base!$C$4:$L$4)+MAX(0,MIN(IF($A$27&gt;$D$22,DCF_Base!$L$19*(1+$D$22/100)/(($A$27-$D$22)/100),DCF_Base!$L$19*DCF_Base!$B$29),DCF_Base!$L$19*DCF_Base!$B$29))/(1+$A$27/100)^DCF_Base!$L$4+Assumptions!$B$5-Assumptions!$B$4)/Assumptions!$B$3*Assumptions!$B$10</f>
        <v>2.44563868074049</v>
      </c>
      <c r="E27" s="0" t="n">
        <f aca="false">(SUMPRODUCT(DCF_Base!$C$19:$L$19/(1+$A$27/100)^DCF_Base!$C$4:$L$4)+MAX(0,MIN(IF($A$27&gt;$E$22,DCF_Base!$L$19*(1+$E$22/100)/(($A$27-$E$22)/100),DCF_Base!$L$19*DCF_Base!$B$29),DCF_Base!$L$19*DCF_Base!$B$29))/(1+$A$27/100)^DCF_Base!$L$4+Assumptions!$B$5-Assumptions!$B$4)/Assumptions!$B$3*Assumptions!$B$10</f>
        <v>2.60290325660272</v>
      </c>
      <c r="F27" s="0" t="n">
        <f aca="false">(SUMPRODUCT(DCF_Base!$C$19:$L$19/(1+$A$27/100)^DCF_Base!$C$4:$L$4)+MAX(0,MIN(IF($A$27&gt;$F$22,DCF_Base!$L$19*(1+$F$22/100)/(($A$27-$F$22)/100),DCF_Base!$L$19*DCF_Base!$B$29),DCF_Base!$L$19*DCF_Base!$B$29))/(1+$A$27/100)^DCF_Base!$L$4+Assumptions!$B$5-Assumptions!$B$4)/Assumptions!$B$3*Assumptions!$B$10</f>
        <v>2.77866954727227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2026-10-22T11:20:39Z</dcterms:created>
  <dc:creator>openpyxl</dc:creator>
  <dc:description/>
  <dc:language>en-NZ</dc:language>
  <cp:lastModifiedBy/>
  <dcterms:modified xsi:type="dcterms:W3CDTF">2026-10-22T11:20:39Z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