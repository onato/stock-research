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<sst xmlns="http://schemas.openxmlformats.org/spreadsheetml/2006/main" count="367" uniqueCount="168">
  <si>
    <t xml:space="preserve">Ticker</t>
  </si>
  <si>
    <t xml:space="preserve">MFG.AX</t>
  </si>
  <si>
    <t xml:space="preserve">Company</t>
  </si>
  <si>
    <t xml:space="preserve">Magellan Financial Group (renaming to Barrenjoey Group Limited, ASX: BJY, subject to 22 Oct 2026 AGM)</t>
  </si>
  <si>
    <t xml:space="preserve">Valuation date</t>
  </si>
  <si>
    <t xml:space="preserve">2026-09-23</t>
  </si>
  <si>
    <t xml:space="preserve">Current price</t>
  </si>
  <si>
    <t xml:space="preserve">Price as of</t>
  </si>
  <si>
    <t xml:space="preserve">2026-09-23T06:10:04Z (ASX regular close; Yahoo chart API)</t>
  </si>
  <si>
    <t xml:space="preserve">Balance sheet date</t>
  </si>
  <si>
    <t xml:space="preserve">2026-06-30</t>
  </si>
  <si>
    <t xml:space="preserve">Model</t>
  </si>
  <si>
    <t xml:space="preserve">Operating profit after tax (FCFE) capitalisation at cost of equity (engine route)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</si>
  <si>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</si>
  <si>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</si>
  <si>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</si>
  <si>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</si>
  <si>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</si>
  <si>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</si>
  <si>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</si>
  <si>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</si>
  <si>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2026-09-23T09:10:42Z</t>
  </si>
  <si>
    <t xml:space="preserve">Drivers file</t>
  </si>
  <si>
    <t xml:space="preserve">MFG.AX_Drivers.json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</si>
  <si>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</si>
  <si>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</si>
  <si>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</si>
  <si>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This is not a valuation of the company the historical financials describe. Magellan's core_metrics from FY15 to FY26 record the rise and collapse of a single-founder active manager: FUM peaked at $113.9bn in FY21, halved after Hamish Douglass left in 2022, and settled at $36.7bn by FY26 on a fee rate that has fallen from 62bps to 52bps; revenue fell 23% a year for five years and the flagship Global Equities funds were handed to Vinva in FY26. Peak FY21/22 earnings are not a mid-cycle anchor, and FY26 standalone is not the forward base either. On 1 July 2026 - after the FY26 balance date - MFG completed the merger with Barrenjoey, so from FY27 the reporting entity is Barrenjoey Group (~$778m pro forma revenue, three segments, ~$41bn AUM), with two-thirds of revenue transactional and cyclical rather than fee-based. The model therefore starts from FY26 PRO FORMA combined operating profit after tax ($215m), steps down to ~$175m in FY27 per management's -$33m / -11.2cps guidance plus share-plan amortisation and NZ costs, and capitalises that flow at an 11% AUD cost of equity with net debt held at zero and the balance-sheet capital treated as operating/regulatory rather than surplus. The house value is deliberately conservative on that last point (~$1.2-1.3/share of latent value if the cash proves surplus). Weighted value sits a little below the current price: the market is paying ~14x FY27 earnings for a diversified platform that has yet to prove it, and the 30% bear weight reflects that the recurring half of the business is still shrinking.
key_risks_to_valuation: Continued Investment Management outflows: $3.3bn net outflow in FY26, Global Equities AUM $13.5bn -&gt; $3.1bn; every $1bn of AUM at ~50bps is ~$5m of revenue at near-100% incremental margin; Barrenjoey earnings cyclicality: Corporate Finance and Financial Markets revenue (ECM/DCM, M&amp;A, trading) is market-cycle dependent and unproven through a downturn; FY26 was a strong year; Merger integration and talent retention: consolidating an asset manager and an investment bank, first consolidated accounts in FY27, deferred-compensation step-ups; FY27 guided headwinds (-$33m after tax) could prove larger if repricing triggers further redemptions or de-risking income falls faster; Pro forma base ($778m revenue / $215m operating profit) is management's figure from the results presentation, not yet an audited consolidated year; first consolidated FY27 accounts are the evidence that would move the base; Cash and seed capital (~$483m) treated as non-surplus; if the group returns it, value is higher - and if Barrenjoey's markets business consumes more capital than expected, dividends could sit at the low end of the 60-90% range</t>
  </si>
  <si>
    <t xml:space="preserve">Data sources</t>
  </si>
  <si>
    <t xml:space="preserve">price: Yahoo Finance chart API at inputs.price_as_of; 52-week range 7.96-11.55
financials: MFG.AX_Metrics.csv / core_metrics and kpis (FY15-FY26 annual and half-year); FY26 Annual Report (30 June 2026): segment note p.48, capital management and fund investments p.12, EPS note, Directors' Report on the Barrenjoey merger and Consideration Shares; pro forma combined FY26 revenue and operating profit per the FY26 results presentation / MFG Investor Report as summarised in MFG.AX_Analysis.json
qualitative: MFG.AX_Analysis.json (2026-09-23): business model, FY27 guidance items, bull/bear cases, recent developments</t>
  </si>
  <si>
    <t xml:space="preserve">Scenario narrative: bear</t>
  </si>
  <si>
    <t xml:space="preserve">The 2022-26 outflow pattern continues: Global Equities and infrastructure strategies keep trailing benchmark, advisers keep redeeming, the base fee slips toward 45bps and IM revenue falls ~20% again in FY27 and keeps shrinking; a weaker Australian ECM/M&amp;A year leaves Barrenjoey flat, so group revenue falls 6% in FY27 and barely grows thereafter. Integration frictions and talent retention (deferred-comp step-ups) keep the pre-SBC margin at 33-34% and share-plan cost at 4-4.5% of revenue. Operating profit after tax settles near $150m (~52cps), the 60-90% payout policy is used at the low end, and the terminal multiple compresses to 10x. Not a solvency case - no debt, ~$1.06bn shareholders' funds - but a value trap in which the merger dilutes rather than diversifies.</t>
  </si>
  <si>
    <t xml:space="preserve">Scenario narrative: base</t>
  </si>
  <si>
    <t xml:space="preserve">FY27 is the guided transition year: operating profit after tax falls from the $215m pro forma to ~$175m (~60cps) as the heritage Global Equities funds are repriced and handed to Vinva, the seed book is de-risked into cash, legacy Barrenjoey share plans amortise and Barrenjoey NZ is set up. From FY28 Barrenjoey's Corporate Finance and Financial Markets businesses (now ~80% of revenue) grow 7-8% a year on a normal ECM/M&amp;A cycle and the $7m cost saving plus integration synergies lift the pre-SBC margin about 1pp, while the Investment Management fee base keeps shrinking 3-4% a year (net outflows continue, base fee drifts lower, no performance fees). Group revenue compounds ~3.5% and operating profit after tax reaches ~$240m by FY36. Terminal value capped at 12x, roughly where Australian fund managers and investment banks trade through a cycle.</t>
  </si>
  <si>
    <t xml:space="preserve">Scenario narrative: bull</t>
  </si>
  <si>
    <t xml:space="preserve">Vinva's systematic strategies (AUM $1.7bn -&gt; $7.6bn in FY26) and Airlie's Long/Short launch stabilise Investment Management AUM within two years; Barrenjoey compounds mid-teens off a strong ECM/M&amp;A cycle, the NZ (Craigs) and US fixed-income build-outs pay off, and the merged platform earns operating leverage - the pre-SBC margin rebuilds to 40% (still below FY26 pro forma) and share-plan amortisation fades to 3% as legacy plans roll off. The market re-rates a diversified financial-services group (14x terminal cap) rather than a broken active manager. This needs several independent things to go right (flows, cycle, integration, talent retention), which is why it carries the lowest weight.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</si>
  <si>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</si>
  <si>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</si>
  <si>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</si>
  <si>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</si>
  <si>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</si>
  <si>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</si>
  <si>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</si>
  <si>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</si>
  <si>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</si>
  <si>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</si>
  <si>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</si>
  <si>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</si>
  <si>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</si>
  <si>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</si>
  <si>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</si>
  <si>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</si>
  <si>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</si>
  <si>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</si>
  <si>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</si>
  <si>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</si>
  <si>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</si>
  <si>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</si>
  <si>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</si>
  <si>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</si>
  <si>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</si>
  <si>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</si>
  <si>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</si>
  <si>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AUM</t>
  </si>
  <si>
    <t xml:space="preserve">OperatingProfit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</si>
  <si>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</si>
  <si>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</si>
  <si>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</si>
  <si>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</si>
  <si>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</si>
  <si>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</si>
  <si>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</si>
  <si>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</si>
  <si>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</si>
  <si>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</si>
  <si>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</si>
  <si>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</si>
  <si>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</si>
  <si>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</si>
  <si>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</si>
  <si>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</si>
  <si>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</si>
  <si>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</si>
  <si>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</si>
  <si>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</si>
  <si>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</si>
  <si>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</si>
  <si>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</si>
  <si>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</si>
  <si>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</si>
  <si>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</si>
  <si>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</si>
  <si>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</si>
  <si>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</si>
  <si>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</si>
  <si>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</si>
  <si>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</si>
  <si>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</si>
  <si>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</si>
  <si>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</si>
  <si>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</si>
  <si>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</si>
  <si>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</si>
  <si>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</si>
  <si>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</si>
  <si>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</si>
  <si>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</si>
  <si>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</si>
  <si>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</si>
  <si>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</si>
  <si>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</si>
  <si>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</si>
  <si>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</si>
  <si>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</si>
  <si>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MFG.AX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</si>
  <si>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</si>
  <si>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</si>
  <si>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</si>
  <si>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</si>
  <si>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</si>
  <si>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</si>
  <si>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</si>
  <si>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</si>
  <si>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</si>
  <si>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</si>
  <si>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</si>
  <si>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</si>
  <si>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</si>
  <si>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</si>
  <si>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</si>
  <si>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</si>
  <si>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</si>
  <si>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</si>
  <si>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</si>
  <si>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</si>
  <si>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</si>
  <si>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</si>
  <si>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</si>
  <si>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</si>
  <si>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</si>
  <si>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</si>
  <si>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</si>
  <si>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</si>
  <si>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</si>
  <si>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</si>
  <si>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MFG.AX owner-FCF component DCF: base case (millions, AUD)</t>
  </si>
  <si>
    <t xml:space="preserve">MFG.AX owner-FCF component DCF: bull case (millions, AUD)</t>
  </si>
  <si>
    <t xml:space="preserve">MFG.AX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</si>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</sst>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8.34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284.912</v>
      </c>
      <c r="I2" s="0" t="n">
        <v>174.295</v>
      </c>
      <c r="J2" s="0" t="n">
        <v>61.2</v>
      </c>
      <c r="K2" s="0" t="n">
        <v>1.018</v>
      </c>
      <c r="L2" s="0" t="n">
        <v>137.299</v>
      </c>
      <c r="O2" s="0" t="n">
        <v>303.443</v>
      </c>
      <c r="P2" s="0" t="n">
        <v>346.678</v>
      </c>
      <c r="Q2" s="0" t="n">
        <v>43.235</v>
      </c>
      <c r="R2" s="0" t="n">
        <v>0</v>
      </c>
      <c r="S2" s="0" t="n">
        <v>93.934</v>
      </c>
      <c r="AA2" s="0" t="s">
        <v>17</v>
      </c>
      <c r="AB2" s="0" t="s">
        <v>14</v>
      </c>
      <c r="AC2" s="0" t="n">
        <v>36381</v>
      </c>
    </row>
    <row r="3" customFormat="false" ht="15" hidden="false" customHeight="false" outlineLevel="0" collapsed="false">
      <c r="A3" s="0" t="s">
        <v>66</v>
      </c>
      <c r="B3" s="0" t="n">
        <v>333.805</v>
      </c>
      <c r="I3" s="0" t="n">
        <v>198.357</v>
      </c>
      <c r="J3" s="0" t="n">
        <v>59.4</v>
      </c>
      <c r="K3" s="0" t="n">
        <v>1.155</v>
      </c>
      <c r="L3" s="0" t="n">
        <v>181.545</v>
      </c>
      <c r="O3" s="0" t="n">
        <v>355.369</v>
      </c>
      <c r="P3" s="0" t="n">
        <v>392.379</v>
      </c>
      <c r="Q3" s="0" t="n">
        <v>37.01</v>
      </c>
      <c r="R3" s="0" t="n">
        <v>0</v>
      </c>
      <c r="S3" s="0" t="n">
        <v>120.362</v>
      </c>
      <c r="T3" s="0" t="n">
        <v>171.716</v>
      </c>
      <c r="U3" s="0" t="n">
        <v>0.23</v>
      </c>
      <c r="AA3" s="0" t="s">
        <v>17</v>
      </c>
      <c r="AB3" s="0" t="s">
        <v>14</v>
      </c>
      <c r="AC3" s="0" t="n">
        <v>40495</v>
      </c>
    </row>
    <row r="4" customFormat="false" ht="15" hidden="false" customHeight="false" outlineLevel="0" collapsed="false">
      <c r="A4" s="0" t="s">
        <v>67</v>
      </c>
      <c r="B4" s="0" t="n">
        <v>338.268</v>
      </c>
      <c r="I4" s="0" t="n">
        <v>196.225</v>
      </c>
      <c r="J4" s="0" t="n">
        <v>58</v>
      </c>
      <c r="K4" s="0" t="n">
        <v>1.141</v>
      </c>
      <c r="L4" s="0" t="n">
        <v>164.691</v>
      </c>
      <c r="M4" s="0" t="n">
        <v>0.368</v>
      </c>
      <c r="N4" s="0" t="n">
        <v>164.323</v>
      </c>
      <c r="O4" s="0" t="n">
        <v>447.611</v>
      </c>
      <c r="P4" s="0" t="n">
        <v>493.981</v>
      </c>
      <c r="Q4" s="0" t="n">
        <v>46.37</v>
      </c>
      <c r="R4" s="0" t="n">
        <v>0</v>
      </c>
      <c r="S4" s="0" t="n">
        <v>146.243</v>
      </c>
      <c r="T4" s="0" t="n">
        <v>171.954</v>
      </c>
      <c r="U4" s="0" t="n">
        <v>0.283</v>
      </c>
      <c r="AA4" s="0" t="s">
        <v>17</v>
      </c>
      <c r="AB4" s="0" t="s">
        <v>14</v>
      </c>
      <c r="AC4" s="0" t="n">
        <v>50597</v>
      </c>
    </row>
    <row r="5" customFormat="false" ht="15" hidden="false" customHeight="false" outlineLevel="0" collapsed="false">
      <c r="A5" s="0" t="s">
        <v>68</v>
      </c>
      <c r="B5" s="0" t="n">
        <v>452.598</v>
      </c>
      <c r="I5" s="0" t="n">
        <v>211.791</v>
      </c>
      <c r="J5" s="0" t="n">
        <v>46.8</v>
      </c>
      <c r="K5" s="0" t="n">
        <v>1.22</v>
      </c>
      <c r="L5" s="0" t="n">
        <v>170.333</v>
      </c>
      <c r="M5" s="0" t="n">
        <v>0.139</v>
      </c>
      <c r="N5" s="0" t="n">
        <v>170.194</v>
      </c>
      <c r="O5" s="0" t="n">
        <v>620.433</v>
      </c>
      <c r="P5" s="0" t="n">
        <v>674.943</v>
      </c>
      <c r="Q5" s="0" t="n">
        <v>54.51</v>
      </c>
      <c r="R5" s="0" t="n">
        <v>0</v>
      </c>
      <c r="S5" s="0" t="n">
        <v>169.095</v>
      </c>
      <c r="T5" s="0" t="n">
        <v>173.553</v>
      </c>
      <c r="AA5" s="0" t="s">
        <v>17</v>
      </c>
      <c r="AB5" s="0" t="s">
        <v>14</v>
      </c>
      <c r="AC5" s="0" t="n">
        <v>69509</v>
      </c>
    </row>
    <row r="6" customFormat="false" ht="15" hidden="false" customHeight="false" outlineLevel="0" collapsed="false">
      <c r="A6" s="0" t="s">
        <v>69</v>
      </c>
      <c r="B6" s="0" t="n">
        <v>617.387</v>
      </c>
      <c r="I6" s="0" t="n">
        <v>376.947</v>
      </c>
      <c r="J6" s="0" t="n">
        <v>61.1</v>
      </c>
      <c r="K6" s="0" t="n">
        <v>2.131</v>
      </c>
      <c r="L6" s="0" t="n">
        <v>314.791</v>
      </c>
      <c r="M6" s="0" t="n">
        <v>0.372</v>
      </c>
      <c r="N6" s="0" t="n">
        <v>314.419</v>
      </c>
      <c r="O6" s="0" t="n">
        <v>734.022</v>
      </c>
      <c r="P6" s="0" t="n">
        <v>800.291</v>
      </c>
      <c r="Q6" s="0" t="n">
        <v>66.269</v>
      </c>
      <c r="R6" s="0" t="n">
        <v>0</v>
      </c>
      <c r="S6" s="0" t="n">
        <v>198.188</v>
      </c>
      <c r="T6" s="0" t="n">
        <v>176.865</v>
      </c>
      <c r="AA6" s="0" t="s">
        <v>17</v>
      </c>
      <c r="AB6" s="0" t="s">
        <v>14</v>
      </c>
      <c r="AC6" s="0" t="n">
        <v>86718</v>
      </c>
    </row>
    <row r="7" customFormat="false" ht="15" hidden="false" customHeight="false" outlineLevel="0" collapsed="false">
      <c r="A7" s="0" t="s">
        <v>70</v>
      </c>
      <c r="B7" s="0" t="n">
        <v>693.952</v>
      </c>
      <c r="I7" s="0" t="n">
        <v>396.214</v>
      </c>
      <c r="J7" s="0" t="n">
        <v>57.1</v>
      </c>
      <c r="K7" s="0" t="n">
        <v>2.183</v>
      </c>
      <c r="L7" s="0" t="n">
        <v>398.033</v>
      </c>
      <c r="M7" s="0" t="n">
        <v>0.263</v>
      </c>
      <c r="N7" s="0" t="n">
        <v>397.77</v>
      </c>
      <c r="O7" s="0" t="n">
        <v>1045.927</v>
      </c>
      <c r="P7" s="0" t="n">
        <v>1123.873</v>
      </c>
      <c r="Q7" s="0" t="n">
        <v>77.946</v>
      </c>
      <c r="R7" s="0" t="n">
        <v>0</v>
      </c>
      <c r="S7" s="0" t="n">
        <v>437.513</v>
      </c>
      <c r="T7" s="0" t="n">
        <v>181.521</v>
      </c>
      <c r="AA7" s="0" t="s">
        <v>17</v>
      </c>
      <c r="AB7" s="0" t="s">
        <v>14</v>
      </c>
      <c r="AC7" s="0" t="n">
        <v>97184</v>
      </c>
    </row>
    <row r="8" customFormat="false" ht="15" hidden="false" customHeight="false" outlineLevel="0" collapsed="false">
      <c r="A8" s="0" t="s">
        <v>71</v>
      </c>
      <c r="B8" s="0" t="n">
        <v>715.012</v>
      </c>
      <c r="I8" s="0" t="n">
        <v>265.156</v>
      </c>
      <c r="J8" s="0" t="n">
        <v>37.1</v>
      </c>
      <c r="K8" s="0" t="n">
        <v>1.446</v>
      </c>
      <c r="L8" s="0" t="n">
        <v>401.331</v>
      </c>
      <c r="M8" s="0" t="n">
        <v>0.272</v>
      </c>
      <c r="N8" s="0" t="n">
        <v>401.059</v>
      </c>
      <c r="O8" s="0" t="n">
        <v>989.434</v>
      </c>
      <c r="P8" s="0" t="n">
        <v>1216.166</v>
      </c>
      <c r="Q8" s="0" t="n">
        <v>226.732</v>
      </c>
      <c r="R8" s="0" t="n">
        <v>0</v>
      </c>
      <c r="S8" s="0" t="n">
        <v>211.577</v>
      </c>
      <c r="T8" s="0" t="n">
        <v>183.379</v>
      </c>
      <c r="U8" s="0" t="n">
        <v>0</v>
      </c>
      <c r="AA8" s="0" t="s">
        <v>17</v>
      </c>
      <c r="AB8" s="0" t="s">
        <v>14</v>
      </c>
      <c r="AC8" s="0" t="n">
        <v>113902</v>
      </c>
    </row>
    <row r="9" customFormat="false" ht="15" hidden="false" customHeight="false" outlineLevel="0" collapsed="false">
      <c r="A9" s="0" t="s">
        <v>72</v>
      </c>
      <c r="B9" s="0" t="n">
        <v>553.53</v>
      </c>
      <c r="I9" s="0" t="n">
        <v>383.011</v>
      </c>
      <c r="J9" s="0" t="n">
        <v>69.2</v>
      </c>
      <c r="K9" s="0" t="n">
        <v>2.069</v>
      </c>
      <c r="L9" s="0" t="n">
        <v>434.626</v>
      </c>
      <c r="M9" s="0" t="n">
        <v>0.261</v>
      </c>
      <c r="N9" s="0" t="n">
        <v>434.365</v>
      </c>
      <c r="O9" s="0" t="n">
        <v>1026.76</v>
      </c>
      <c r="P9" s="0" t="n">
        <v>1241.401</v>
      </c>
      <c r="Q9" s="0" t="n">
        <v>214.641</v>
      </c>
      <c r="R9" s="0" t="n">
        <v>0</v>
      </c>
      <c r="S9" s="0" t="n">
        <v>419.922</v>
      </c>
      <c r="T9" s="0" t="n">
        <v>185.125</v>
      </c>
      <c r="U9" s="0" t="n">
        <v>1.283</v>
      </c>
      <c r="AA9" s="0" t="s">
        <v>17</v>
      </c>
      <c r="AB9" s="0" t="s">
        <v>14</v>
      </c>
      <c r="AC9" s="0" t="n">
        <v>61291</v>
      </c>
    </row>
    <row r="10" customFormat="false" ht="15" hidden="false" customHeight="false" outlineLevel="0" collapsed="false">
      <c r="A10" s="0" t="s">
        <v>73</v>
      </c>
      <c r="B10" s="0" t="n">
        <v>431.65</v>
      </c>
      <c r="I10" s="0" t="n">
        <v>182.655</v>
      </c>
      <c r="J10" s="0" t="n">
        <v>42.3</v>
      </c>
      <c r="K10" s="0" t="n">
        <v>1</v>
      </c>
      <c r="L10" s="0" t="n">
        <v>186.581</v>
      </c>
      <c r="M10" s="0" t="n">
        <v>0.112</v>
      </c>
      <c r="N10" s="0" t="n">
        <v>186.469</v>
      </c>
      <c r="O10" s="0" t="n">
        <v>962.502</v>
      </c>
      <c r="P10" s="0" t="n">
        <v>1198.974</v>
      </c>
      <c r="Q10" s="0" t="n">
        <v>236.472</v>
      </c>
      <c r="R10" s="0" t="n">
        <v>0</v>
      </c>
      <c r="S10" s="0" t="n">
        <v>373.445</v>
      </c>
      <c r="T10" s="0" t="n">
        <v>182.569</v>
      </c>
      <c r="U10" s="0" t="n">
        <v>3.846</v>
      </c>
      <c r="AA10" s="0" t="s">
        <v>17</v>
      </c>
      <c r="AB10" s="0" t="s">
        <v>14</v>
      </c>
      <c r="AC10" s="0" t="n">
        <v>39693</v>
      </c>
    </row>
    <row r="11" customFormat="false" ht="15" hidden="false" customHeight="false" outlineLevel="0" collapsed="false">
      <c r="A11" s="0" t="s">
        <v>74</v>
      </c>
      <c r="B11" s="0" t="n">
        <v>378.626</v>
      </c>
      <c r="I11" s="0" t="n">
        <v>238.759</v>
      </c>
      <c r="J11" s="0" t="n">
        <v>63.1</v>
      </c>
      <c r="K11" s="0" t="n">
        <v>1.318</v>
      </c>
      <c r="L11" s="0" t="n">
        <v>47.384</v>
      </c>
      <c r="M11" s="0" t="n">
        <v>0.458</v>
      </c>
      <c r="N11" s="0" t="n">
        <v>46.926</v>
      </c>
      <c r="O11" s="0" t="n">
        <v>1019.529</v>
      </c>
      <c r="P11" s="0" t="n">
        <v>1089.244</v>
      </c>
      <c r="Q11" s="0" t="n">
        <v>69.715</v>
      </c>
      <c r="R11" s="0" t="n">
        <v>0</v>
      </c>
      <c r="S11" s="0" t="n">
        <v>322.567</v>
      </c>
      <c r="T11" s="0" t="n">
        <v>181.088</v>
      </c>
      <c r="U11" s="0" t="n">
        <v>3.332</v>
      </c>
      <c r="AA11" s="0" t="s">
        <v>17</v>
      </c>
      <c r="AB11" s="0" t="s">
        <v>14</v>
      </c>
      <c r="AC11" s="0" t="n">
        <v>36630</v>
      </c>
      <c r="AD11" s="0" t="n">
        <v>151.496</v>
      </c>
    </row>
    <row r="12" customFormat="false" ht="15" hidden="false" customHeight="false" outlineLevel="0" collapsed="false">
      <c r="A12" s="0" t="s">
        <v>75</v>
      </c>
      <c r="B12" s="0" t="n">
        <v>318.948</v>
      </c>
      <c r="I12" s="0" t="n">
        <v>165.022</v>
      </c>
      <c r="J12" s="0" t="n">
        <v>51.7</v>
      </c>
      <c r="K12" s="0" t="n">
        <v>0.927</v>
      </c>
      <c r="L12" s="0" t="n">
        <v>153.396</v>
      </c>
      <c r="M12" s="0" t="n">
        <v>0.324</v>
      </c>
      <c r="N12" s="0" t="n">
        <v>153.072</v>
      </c>
      <c r="O12" s="0" t="n">
        <v>1003.254</v>
      </c>
      <c r="P12" s="0" t="n">
        <v>1093.756</v>
      </c>
      <c r="Q12" s="0" t="n">
        <v>90.502</v>
      </c>
      <c r="R12" s="0" t="n">
        <v>0</v>
      </c>
      <c r="S12" s="0" t="n">
        <v>168.529</v>
      </c>
      <c r="T12" s="0" t="n">
        <v>177.998</v>
      </c>
      <c r="U12" s="0" t="n">
        <v>4.393</v>
      </c>
      <c r="AA12" s="0" t="s">
        <v>17</v>
      </c>
      <c r="AB12" s="0" t="s">
        <v>14</v>
      </c>
      <c r="AD12" s="0" t="n">
        <v>159.71</v>
      </c>
    </row>
    <row r="13" customFormat="false" ht="15" hidden="false" customHeight="false" outlineLevel="0" collapsed="false">
      <c r="A13" s="0" t="s">
        <v>76</v>
      </c>
      <c r="B13" s="0" t="n">
        <v>195.561</v>
      </c>
      <c r="I13" s="0" t="n">
        <v>87.918</v>
      </c>
      <c r="J13" s="0" t="n">
        <v>45</v>
      </c>
      <c r="K13" s="0" t="n">
        <v>0.5</v>
      </c>
      <c r="L13" s="0" t="n">
        <v>127.977</v>
      </c>
      <c r="M13" s="0" t="n">
        <v>0.198</v>
      </c>
      <c r="N13" s="0" t="n">
        <v>127.779</v>
      </c>
      <c r="O13" s="0" t="n">
        <v>1057.133</v>
      </c>
      <c r="P13" s="0" t="n">
        <v>1138.522</v>
      </c>
      <c r="Q13" s="0" t="n">
        <v>81.389</v>
      </c>
      <c r="R13" s="0" t="n">
        <v>0</v>
      </c>
      <c r="S13" s="0" t="n">
        <v>347.851</v>
      </c>
      <c r="T13" s="0" t="n">
        <v>175.707</v>
      </c>
      <c r="U13" s="0" t="n">
        <v>5.325</v>
      </c>
      <c r="AA13" s="0" t="s">
        <v>17</v>
      </c>
      <c r="AB13" s="0" t="s">
        <v>14</v>
      </c>
      <c r="AD13" s="0" t="n">
        <v>144.862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8.34</v>
      </c>
    </row>
    <row r="3" customFormat="false" ht="15" hidden="false" customHeight="false" outlineLevel="0" collapsed="false">
      <c r="A3" s="0" t="s">
        <v>80</v>
      </c>
      <c r="B3" s="3" t="n">
        <v>293.2</v>
      </c>
    </row>
    <row r="4" customFormat="false" ht="15" hidden="false" customHeight="false" outlineLevel="0" collapsed="false">
      <c r="A4" s="0" t="s">
        <v>81</v>
      </c>
      <c r="B4" s="3" t="n">
        <v>0</v>
      </c>
    </row>
    <row r="5" customFormat="false" ht="15" hidden="false" customHeight="false" outlineLevel="0" collapsed="false">
      <c r="A5" s="0" t="s">
        <v>82</v>
      </c>
      <c r="B5" s="3" t="n">
        <v>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778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-6</v>
      </c>
      <c r="D13" s="3" t="n">
        <v>0</v>
      </c>
      <c r="E13" s="3" t="n">
        <v>1</v>
      </c>
      <c r="F13" s="3" t="n">
        <v>1.5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34</v>
      </c>
      <c r="D14" s="3" t="n">
        <v>33.5</v>
      </c>
      <c r="E14" s="3" t="n">
        <v>33</v>
      </c>
      <c r="F14" s="3" t="n">
        <v>33</v>
      </c>
      <c r="G14" s="3" t="n">
        <v>33</v>
      </c>
      <c r="H14" s="3" t="n">
        <v>33</v>
      </c>
      <c r="I14" s="3" t="n">
        <v>33</v>
      </c>
      <c r="J14" s="3" t="n">
        <v>33</v>
      </c>
      <c r="K14" s="3" t="n">
        <v>33</v>
      </c>
      <c r="L14" s="3" t="n">
        <v>33</v>
      </c>
    </row>
    <row r="15" customFormat="false" ht="15" hidden="false" customHeight="false" outlineLevel="0" collapsed="false">
      <c r="A15" s="0" t="s">
        <v>102</v>
      </c>
      <c r="C15" s="3" t="n">
        <v>4.5</v>
      </c>
      <c r="D15" s="3" t="n">
        <v>4.5</v>
      </c>
      <c r="E15" s="3" t="n">
        <v>4.3</v>
      </c>
      <c r="F15" s="3" t="n">
        <v>4.2</v>
      </c>
      <c r="G15" s="3" t="n">
        <v>4</v>
      </c>
      <c r="H15" s="3" t="n">
        <v>4</v>
      </c>
      <c r="I15" s="3" t="n">
        <v>4</v>
      </c>
      <c r="J15" s="3" t="n">
        <v>4</v>
      </c>
      <c r="K15" s="3" t="n">
        <v>4</v>
      </c>
      <c r="L15" s="3" t="n">
        <v>4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105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106</v>
      </c>
      <c r="C19" s="3" t="n">
        <v>29</v>
      </c>
      <c r="D19" s="3" t="n">
        <v>29.5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107</v>
      </c>
      <c r="B20" s="3" t="n">
        <v>11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10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-2</v>
      </c>
      <c r="D27" s="3" t="n">
        <v>4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36.2</v>
      </c>
      <c r="D28" s="3" t="n">
        <v>36.5</v>
      </c>
      <c r="E28" s="3" t="n">
        <v>36.8</v>
      </c>
      <c r="F28" s="3" t="n">
        <v>37</v>
      </c>
      <c r="G28" s="3" t="n">
        <v>37</v>
      </c>
      <c r="H28" s="3" t="n">
        <v>37</v>
      </c>
      <c r="I28" s="3" t="n">
        <v>37</v>
      </c>
      <c r="J28" s="3" t="n">
        <v>37</v>
      </c>
      <c r="K28" s="3" t="n">
        <v>37</v>
      </c>
      <c r="L28" s="3" t="n">
        <v>37</v>
      </c>
    </row>
    <row r="29" customFormat="false" ht="15" hidden="false" customHeight="false" outlineLevel="0" collapsed="false">
      <c r="A29" s="0" t="s">
        <v>102</v>
      </c>
      <c r="C29" s="3" t="n">
        <v>4.3</v>
      </c>
      <c r="D29" s="3" t="n">
        <v>4.2</v>
      </c>
      <c r="E29" s="3" t="n">
        <v>4</v>
      </c>
      <c r="F29" s="3" t="n">
        <v>3.8</v>
      </c>
      <c r="G29" s="3" t="n">
        <v>3.6</v>
      </c>
      <c r="H29" s="3" t="n">
        <v>3.5</v>
      </c>
      <c r="I29" s="3" t="n">
        <v>3.5</v>
      </c>
      <c r="J29" s="3" t="n">
        <v>3.5</v>
      </c>
      <c r="K29" s="3" t="n">
        <v>3.5</v>
      </c>
      <c r="L29" s="3" t="n">
        <v>3.5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105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106</v>
      </c>
      <c r="C33" s="3" t="n">
        <v>28</v>
      </c>
      <c r="D33" s="3" t="n">
        <v>28.5</v>
      </c>
      <c r="E33" s="3" t="n">
        <v>29</v>
      </c>
      <c r="F33" s="3" t="n">
        <v>29</v>
      </c>
      <c r="G33" s="3" t="n">
        <v>29.5</v>
      </c>
      <c r="H33" s="3" t="n">
        <v>29.5</v>
      </c>
      <c r="I33" s="3" t="n">
        <v>29.5</v>
      </c>
      <c r="J33" s="3" t="n">
        <v>29.5</v>
      </c>
      <c r="K33" s="3" t="n">
        <v>29.5</v>
      </c>
      <c r="L33" s="3" t="n">
        <v>29.5</v>
      </c>
    </row>
    <row r="34" customFormat="false" ht="15" hidden="false" customHeight="false" outlineLevel="0" collapsed="false">
      <c r="A34" s="0" t="s">
        <v>107</v>
      </c>
      <c r="B34" s="3" t="n">
        <v>11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12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3</v>
      </c>
      <c r="D41" s="3" t="n">
        <v>8</v>
      </c>
      <c r="E41" s="3" t="n">
        <v>7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101</v>
      </c>
      <c r="C42" s="3" t="n">
        <v>37</v>
      </c>
      <c r="D42" s="3" t="n">
        <v>38</v>
      </c>
      <c r="E42" s="3" t="n">
        <v>38.5</v>
      </c>
      <c r="F42" s="3" t="n">
        <v>39</v>
      </c>
      <c r="G42" s="3" t="n">
        <v>39.5</v>
      </c>
      <c r="H42" s="3" t="n">
        <v>40</v>
      </c>
      <c r="I42" s="3" t="n">
        <v>40</v>
      </c>
      <c r="J42" s="3" t="n">
        <v>40</v>
      </c>
      <c r="K42" s="3" t="n">
        <v>40</v>
      </c>
      <c r="L42" s="3" t="n">
        <v>40</v>
      </c>
    </row>
    <row r="43" customFormat="false" ht="15" hidden="false" customHeight="false" outlineLevel="0" collapsed="false">
      <c r="A43" s="0" t="s">
        <v>102</v>
      </c>
      <c r="C43" s="3" t="n">
        <v>4.2</v>
      </c>
      <c r="D43" s="3" t="n">
        <v>4</v>
      </c>
      <c r="E43" s="3" t="n">
        <v>3.8</v>
      </c>
      <c r="F43" s="3" t="n">
        <v>3.5</v>
      </c>
      <c r="G43" s="3" t="n">
        <v>3.3</v>
      </c>
      <c r="H43" s="3" t="n">
        <v>3</v>
      </c>
      <c r="I43" s="3" t="n">
        <v>3</v>
      </c>
      <c r="J43" s="3" t="n">
        <v>3</v>
      </c>
      <c r="K43" s="3" t="n">
        <v>3</v>
      </c>
      <c r="L43" s="3" t="n">
        <v>3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105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106</v>
      </c>
      <c r="C47" s="3" t="n">
        <v>28</v>
      </c>
      <c r="D47" s="3" t="n">
        <v>28.5</v>
      </c>
      <c r="E47" s="3" t="n">
        <v>29</v>
      </c>
      <c r="F47" s="3" t="n">
        <v>29</v>
      </c>
      <c r="G47" s="3" t="n">
        <v>29</v>
      </c>
      <c r="H47" s="3" t="n">
        <v>29</v>
      </c>
      <c r="I47" s="3" t="n">
        <v>29</v>
      </c>
      <c r="J47" s="3" t="n">
        <v>29</v>
      </c>
      <c r="K47" s="3" t="n">
        <v>29</v>
      </c>
      <c r="L47" s="3" t="n">
        <v>29</v>
      </c>
    </row>
    <row r="48" customFormat="false" ht="15" hidden="false" customHeight="false" outlineLevel="0" collapsed="false">
      <c r="A48" s="0" t="s">
        <v>107</v>
      </c>
      <c r="B48" s="3" t="n">
        <v>11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14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-6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778</v>
      </c>
      <c r="C6" s="0" t="n">
        <f aca="false">B6*(1+C5/100)</f>
        <v>731.32</v>
      </c>
      <c r="D6" s="0" t="n">
        <f aca="false">C6*(1+D5/100)</f>
        <v>731.32</v>
      </c>
      <c r="E6" s="0" t="n">
        <f aca="false">D6*(1+E5/100)</f>
        <v>738.6332</v>
      </c>
      <c r="F6" s="0" t="n">
        <f aca="false">E6*(1+F5/100)</f>
        <v>749.712698</v>
      </c>
      <c r="G6" s="0" t="n">
        <f aca="false">F6*(1+G5/100)</f>
        <v>764.70695196</v>
      </c>
      <c r="H6" s="0" t="n">
        <f aca="false">G6*(1+H5/100)</f>
        <v>780.0010909992</v>
      </c>
      <c r="I6" s="0" t="n">
        <f aca="false">H6*(1+I5/100)</f>
        <v>795.601112819184</v>
      </c>
      <c r="J6" s="0" t="n">
        <f aca="false">I6*(1+J5/100)</f>
        <v>811.513135075568</v>
      </c>
      <c r="K6" s="0" t="n">
        <f aca="false">J6*(1+K5/100)</f>
        <v>827.743397777079</v>
      </c>
      <c r="L6" s="0" t="n">
        <f aca="false">K6*(1+L5/100)</f>
        <v>844.298265732621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34</v>
      </c>
      <c r="D7" s="4" t="n">
        <f aca="false">Assumptions!D14</f>
        <v>33.5</v>
      </c>
      <c r="E7" s="4" t="n">
        <f aca="false">Assumptions!E14</f>
        <v>33</v>
      </c>
      <c r="F7" s="4" t="n">
        <f aca="false">Assumptions!F14</f>
        <v>33</v>
      </c>
      <c r="G7" s="4" t="n">
        <f aca="false">Assumptions!G14</f>
        <v>33</v>
      </c>
      <c r="H7" s="4" t="n">
        <f aca="false">Assumptions!H14</f>
        <v>33</v>
      </c>
      <c r="I7" s="4" t="n">
        <f aca="false">Assumptions!I14</f>
        <v>33</v>
      </c>
      <c r="J7" s="4" t="n">
        <f aca="false">Assumptions!J14</f>
        <v>33</v>
      </c>
      <c r="K7" s="4" t="n">
        <f aca="false">Assumptions!K14</f>
        <v>33</v>
      </c>
      <c r="L7" s="4" t="n">
        <f aca="false">Assumptions!L14</f>
        <v>33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248.6488</v>
      </c>
      <c r="D8" s="0" t="n">
        <f aca="false">D6*D7/100</f>
        <v>244.9922</v>
      </c>
      <c r="E8" s="0" t="n">
        <f aca="false">E6*E7/100</f>
        <v>243.748956</v>
      </c>
      <c r="F8" s="0" t="n">
        <f aca="false">F6*F7/100</f>
        <v>247.40519034</v>
      </c>
      <c r="G8" s="0" t="n">
        <f aca="false">G6*G7/100</f>
        <v>252.3532941468</v>
      </c>
      <c r="H8" s="0" t="n">
        <f aca="false">H6*H7/100</f>
        <v>257.400360029736</v>
      </c>
      <c r="I8" s="0" t="n">
        <f aca="false">I6*I7/100</f>
        <v>262.548367230331</v>
      </c>
      <c r="J8" s="0" t="n">
        <f aca="false">J6*J7/100</f>
        <v>267.799334574937</v>
      </c>
      <c r="K8" s="0" t="n">
        <f aca="false">K6*K7/100</f>
        <v>273.155321266436</v>
      </c>
      <c r="L8" s="0" t="n">
        <f aca="false">L6*L7/100</f>
        <v>278.618427691765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4.5</v>
      </c>
      <c r="D9" s="4" t="n">
        <f aca="false">Assumptions!D15</f>
        <v>4.5</v>
      </c>
      <c r="E9" s="4" t="n">
        <f aca="false">Assumptions!E15</f>
        <v>4.3</v>
      </c>
      <c r="F9" s="4" t="n">
        <f aca="false">Assumptions!F15</f>
        <v>4.2</v>
      </c>
      <c r="G9" s="4" t="n">
        <f aca="false">Assumptions!G15</f>
        <v>4</v>
      </c>
      <c r="H9" s="4" t="n">
        <f aca="false">Assumptions!H15</f>
        <v>4</v>
      </c>
      <c r="I9" s="4" t="n">
        <f aca="false">Assumptions!I15</f>
        <v>4</v>
      </c>
      <c r="J9" s="4" t="n">
        <f aca="false">Assumptions!J15</f>
        <v>4</v>
      </c>
      <c r="K9" s="4" t="n">
        <f aca="false">Assumptions!K15</f>
        <v>4</v>
      </c>
      <c r="L9" s="4" t="n">
        <f aca="false">Assumptions!L15</f>
        <v>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-32.9094</v>
      </c>
      <c r="D10" s="0" t="n">
        <f aca="false">-D6*D9/100</f>
        <v>-32.9094</v>
      </c>
      <c r="E10" s="0" t="n">
        <f aca="false">-E6*E9/100</f>
        <v>-31.7612276</v>
      </c>
      <c r="F10" s="0" t="n">
        <f aca="false">-F6*F9/100</f>
        <v>-31.487933316</v>
      </c>
      <c r="G10" s="0" t="n">
        <f aca="false">-G6*G9/100</f>
        <v>-30.5882780784</v>
      </c>
      <c r="H10" s="0" t="n">
        <f aca="false">-H6*H9/100</f>
        <v>-31.200043639968</v>
      </c>
      <c r="I10" s="0" t="n">
        <f aca="false">-I6*I9/100</f>
        <v>-31.8240445127674</v>
      </c>
      <c r="J10" s="0" t="n">
        <f aca="false">-J6*J9/100</f>
        <v>-32.4605254030227</v>
      </c>
      <c r="K10" s="0" t="n">
        <f aca="false">-K6*K9/100</f>
        <v>-33.1097359110832</v>
      </c>
      <c r="L10" s="0" t="n">
        <f aca="false">-L6*L9/100</f>
        <v>-33.7719306293048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215.7394</v>
      </c>
      <c r="D11" s="0" t="n">
        <f aca="false">D8+D10+D24</f>
        <v>212.0828</v>
      </c>
      <c r="E11" s="0" t="n">
        <f aca="false">E8+E10+E24</f>
        <v>211.9877284</v>
      </c>
      <c r="F11" s="0" t="n">
        <f aca="false">F8+F10+F24</f>
        <v>215.917257024</v>
      </c>
      <c r="G11" s="0" t="n">
        <f aca="false">G8+G10+G24</f>
        <v>221.7650160684</v>
      </c>
      <c r="H11" s="0" t="n">
        <f aca="false">H8+H10+H24</f>
        <v>226.200316389768</v>
      </c>
      <c r="I11" s="0" t="n">
        <f aca="false">I8+I10+I24</f>
        <v>230.724322717563</v>
      </c>
      <c r="J11" s="0" t="n">
        <f aca="false">J8+J10+J24</f>
        <v>235.338809171915</v>
      </c>
      <c r="K11" s="0" t="n">
        <f aca="false">K8+K10+K24</f>
        <v>240.045585355353</v>
      </c>
      <c r="L11" s="0" t="n">
        <f aca="false">L8+L10+L24</f>
        <v>244.84649706246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215.7394</v>
      </c>
      <c r="D13" s="0" t="n">
        <f aca="false">D11+D12</f>
        <v>212.0828</v>
      </c>
      <c r="E13" s="0" t="n">
        <f aca="false">E11+E12</f>
        <v>211.9877284</v>
      </c>
      <c r="F13" s="0" t="n">
        <f aca="false">F11+F12</f>
        <v>215.917257024</v>
      </c>
      <c r="G13" s="0" t="n">
        <f aca="false">G11+G12</f>
        <v>221.7650160684</v>
      </c>
      <c r="H13" s="0" t="n">
        <f aca="false">H11+H12</f>
        <v>226.200316389768</v>
      </c>
      <c r="I13" s="0" t="n">
        <f aca="false">I11+I12</f>
        <v>230.724322717563</v>
      </c>
      <c r="J13" s="0" t="n">
        <f aca="false">J11+J12</f>
        <v>235.338809171915</v>
      </c>
      <c r="K13" s="0" t="n">
        <f aca="false">K11+K12</f>
        <v>240.045585355353</v>
      </c>
      <c r="L13" s="0" t="n">
        <f aca="false">L11+L12</f>
        <v>244.84649706246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29</v>
      </c>
      <c r="D14" s="4" t="n">
        <f aca="false">Assumptions!D19</f>
        <v>29.5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153.174974</v>
      </c>
      <c r="D15" s="0" t="n">
        <f aca="false">D13-MAX(0,D13)*D14/100</f>
        <v>149.518374</v>
      </c>
      <c r="E15" s="0" t="n">
        <f aca="false">E13-MAX(0,E13)*E14/100</f>
        <v>148.39140988</v>
      </c>
      <c r="F15" s="0" t="n">
        <f aca="false">F13-MAX(0,F13)*F14/100</f>
        <v>151.1420799168</v>
      </c>
      <c r="G15" s="0" t="n">
        <f aca="false">G13-MAX(0,G13)*G14/100</f>
        <v>155.23551124788</v>
      </c>
      <c r="H15" s="0" t="n">
        <f aca="false">H13-MAX(0,H13)*H14/100</f>
        <v>158.340221472838</v>
      </c>
      <c r="I15" s="0" t="n">
        <f aca="false">I13-MAX(0,I13)*I14/100</f>
        <v>161.507025902294</v>
      </c>
      <c r="J15" s="0" t="n">
        <f aca="false">J13-MAX(0,J13)*J14/100</f>
        <v>164.73716642034</v>
      </c>
      <c r="K15" s="0" t="n">
        <f aca="false">K13-MAX(0,K13)*K14/100</f>
        <v>168.031909748747</v>
      </c>
      <c r="L15" s="0" t="n">
        <f aca="false">L13-MAX(0,L13)*L14/100</f>
        <v>171.392547943722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153.174974</v>
      </c>
      <c r="D19" s="0" t="n">
        <f aca="false">D15+D16+D17+D18</f>
        <v>149.518374</v>
      </c>
      <c r="E19" s="0" t="n">
        <f aca="false">E15+E16+E17+E18</f>
        <v>148.39140988</v>
      </c>
      <c r="F19" s="0" t="n">
        <f aca="false">F15+F16+F17+F18</f>
        <v>151.1420799168</v>
      </c>
      <c r="G19" s="0" t="n">
        <f aca="false">G15+G16+G17+G18</f>
        <v>155.23551124788</v>
      </c>
      <c r="H19" s="0" t="n">
        <f aca="false">H15+H16+H17+H18</f>
        <v>158.340221472838</v>
      </c>
      <c r="I19" s="0" t="n">
        <f aca="false">I15+I16+I17+I18</f>
        <v>161.507025902294</v>
      </c>
      <c r="J19" s="0" t="n">
        <f aca="false">J15+J16+J17+J18</f>
        <v>164.73716642034</v>
      </c>
      <c r="K19" s="0" t="n">
        <f aca="false">K15+K16+K17+K18</f>
        <v>168.031909748747</v>
      </c>
      <c r="L19" s="0" t="n">
        <f aca="false">L15+L16+L17+L18</f>
        <v>171.392547943722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137.995472072072</v>
      </c>
      <c r="D21" s="0" t="n">
        <f aca="false">D19*D20</f>
        <v>121.352466520575</v>
      </c>
      <c r="E21" s="0" t="n">
        <f aca="false">E19*E20</f>
        <v>108.502519963353</v>
      </c>
      <c r="F21" s="0" t="n">
        <f aca="false">F19*F20</f>
        <v>99.5619695378951</v>
      </c>
      <c r="G21" s="0" t="n">
        <f aca="false">G19*G20</f>
        <v>92.1247203119037</v>
      </c>
      <c r="H21" s="0" t="n">
        <f aca="false">H19*H20</f>
        <v>84.6551483947223</v>
      </c>
      <c r="I21" s="0" t="n">
        <f aca="false">I19*I20</f>
        <v>77.7912174437989</v>
      </c>
      <c r="J21" s="0" t="n">
        <f aca="false">J19*J20</f>
        <v>71.4838214348422</v>
      </c>
      <c r="K21" s="0" t="n">
        <f aca="false">K19*K20</f>
        <v>65.6878359130982</v>
      </c>
      <c r="L21" s="0" t="n">
        <f aca="false">L19*L20</f>
        <v>60.3617951633876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919.516966755647</v>
      </c>
    </row>
    <row r="31" customFormat="false" ht="15" hidden="false" customHeight="false" outlineLevel="0" collapsed="false">
      <c r="A31" s="0" t="s">
        <v>131</v>
      </c>
      <c r="B31" s="0" t="n">
        <f aca="false">L19</f>
        <v>171.392547943722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1942.44887669552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1713.92547943722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1713.92547943722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603.617951633876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1523.13491838952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1523.13491838952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5.19486670664912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-0.377114303759098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189.408366440381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134.798097573411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6.3006186302978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1344.77229925074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3.79597657566234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-2</v>
      </c>
      <c r="D5" s="4" t="n">
        <f aca="false">Assumptions!D27</f>
        <v>4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778</v>
      </c>
      <c r="C6" s="0" t="n">
        <f aca="false">B6*(1+C5/100)</f>
        <v>762.44</v>
      </c>
      <c r="D6" s="0" t="n">
        <f aca="false">C6*(1+D5/100)</f>
        <v>792.9376</v>
      </c>
      <c r="E6" s="0" t="n">
        <f aca="false">D6*(1+E5/100)</f>
        <v>828.619792</v>
      </c>
      <c r="F6" s="0" t="n">
        <f aca="false">E6*(1+F5/100)</f>
        <v>861.76458368</v>
      </c>
      <c r="G6" s="0" t="n">
        <f aca="false">F6*(1+G5/100)</f>
        <v>891.9263441088</v>
      </c>
      <c r="H6" s="0" t="n">
        <f aca="false">G6*(1+H5/100)</f>
        <v>918.684134432064</v>
      </c>
      <c r="I6" s="0" t="n">
        <f aca="false">H6*(1+I5/100)</f>
        <v>946.244658465026</v>
      </c>
      <c r="J6" s="0" t="n">
        <f aca="false">I6*(1+J5/100)</f>
        <v>969.900774926651</v>
      </c>
      <c r="K6" s="0" t="n">
        <f aca="false">J6*(1+K5/100)</f>
        <v>994.148294299817</v>
      </c>
      <c r="L6" s="0" t="n">
        <f aca="false">K6*(1+L5/100)</f>
        <v>1019.00200165731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36.2</v>
      </c>
      <c r="D7" s="4" t="n">
        <f aca="false">Assumptions!D28</f>
        <v>36.5</v>
      </c>
      <c r="E7" s="4" t="n">
        <f aca="false">Assumptions!E28</f>
        <v>36.8</v>
      </c>
      <c r="F7" s="4" t="n">
        <f aca="false">Assumptions!F28</f>
        <v>37</v>
      </c>
      <c r="G7" s="4" t="n">
        <f aca="false">Assumptions!G28</f>
        <v>37</v>
      </c>
      <c r="H7" s="4" t="n">
        <f aca="false">Assumptions!H28</f>
        <v>37</v>
      </c>
      <c r="I7" s="4" t="n">
        <f aca="false">Assumptions!I28</f>
        <v>37</v>
      </c>
      <c r="J7" s="4" t="n">
        <f aca="false">Assumptions!J28</f>
        <v>37</v>
      </c>
      <c r="K7" s="4" t="n">
        <f aca="false">Assumptions!K28</f>
        <v>37</v>
      </c>
      <c r="L7" s="4" t="n">
        <f aca="false">Assumptions!L28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276.00328</v>
      </c>
      <c r="D8" s="0" t="n">
        <f aca="false">D6*D7/100</f>
        <v>289.422224</v>
      </c>
      <c r="E8" s="0" t="n">
        <f aca="false">E6*E7/100</f>
        <v>304.932083456</v>
      </c>
      <c r="F8" s="0" t="n">
        <f aca="false">F6*F7/100</f>
        <v>318.8528959616</v>
      </c>
      <c r="G8" s="0" t="n">
        <f aca="false">G6*G7/100</f>
        <v>330.012747320256</v>
      </c>
      <c r="H8" s="0" t="n">
        <f aca="false">H6*H7/100</f>
        <v>339.913129739864</v>
      </c>
      <c r="I8" s="0" t="n">
        <f aca="false">I6*I7/100</f>
        <v>350.11052363206</v>
      </c>
      <c r="J8" s="0" t="n">
        <f aca="false">J6*J7/100</f>
        <v>358.863286722861</v>
      </c>
      <c r="K8" s="0" t="n">
        <f aca="false">K6*K7/100</f>
        <v>367.834868890932</v>
      </c>
      <c r="L8" s="0" t="n">
        <f aca="false">L6*L7/100</f>
        <v>377.030740613206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4.3</v>
      </c>
      <c r="D9" s="4" t="n">
        <f aca="false">Assumptions!D29</f>
        <v>4.2</v>
      </c>
      <c r="E9" s="4" t="n">
        <f aca="false">Assumptions!E29</f>
        <v>4</v>
      </c>
      <c r="F9" s="4" t="n">
        <f aca="false">Assumptions!F29</f>
        <v>3.8</v>
      </c>
      <c r="G9" s="4" t="n">
        <f aca="false">Assumptions!G29</f>
        <v>3.6</v>
      </c>
      <c r="H9" s="4" t="n">
        <f aca="false">Assumptions!H29</f>
        <v>3.5</v>
      </c>
      <c r="I9" s="4" t="n">
        <f aca="false">Assumptions!I29</f>
        <v>3.5</v>
      </c>
      <c r="J9" s="4" t="n">
        <f aca="false">Assumptions!J29</f>
        <v>3.5</v>
      </c>
      <c r="K9" s="4" t="n">
        <f aca="false">Assumptions!K29</f>
        <v>3.5</v>
      </c>
      <c r="L9" s="4" t="n">
        <f aca="false">Assumptions!L29</f>
        <v>3.5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-32.78492</v>
      </c>
      <c r="D10" s="0" t="n">
        <f aca="false">-D6*D9/100</f>
        <v>-33.3033792</v>
      </c>
      <c r="E10" s="0" t="n">
        <f aca="false">-E6*E9/100</f>
        <v>-33.14479168</v>
      </c>
      <c r="F10" s="0" t="n">
        <f aca="false">-F6*F9/100</f>
        <v>-32.74705417984</v>
      </c>
      <c r="G10" s="0" t="n">
        <f aca="false">-G6*G9/100</f>
        <v>-32.1093483879168</v>
      </c>
      <c r="H10" s="0" t="n">
        <f aca="false">-H6*H9/100</f>
        <v>-32.1539447051222</v>
      </c>
      <c r="I10" s="0" t="n">
        <f aca="false">-I6*I9/100</f>
        <v>-33.1185630462759</v>
      </c>
      <c r="J10" s="0" t="n">
        <f aca="false">-J6*J9/100</f>
        <v>-33.9465271224328</v>
      </c>
      <c r="K10" s="0" t="n">
        <f aca="false">-K6*K9/100</f>
        <v>-34.7951903004936</v>
      </c>
      <c r="L10" s="0" t="n">
        <f aca="false">-L6*L9/100</f>
        <v>-35.6650700580059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243.21836</v>
      </c>
      <c r="D11" s="0" t="n">
        <f aca="false">D8+D10+D24</f>
        <v>256.1188448</v>
      </c>
      <c r="E11" s="0" t="n">
        <f aca="false">E8+E10+E24</f>
        <v>271.787291776</v>
      </c>
      <c r="F11" s="0" t="n">
        <f aca="false">F8+F10+F24</f>
        <v>286.10584178176</v>
      </c>
      <c r="G11" s="0" t="n">
        <f aca="false">G8+G10+G24</f>
        <v>297.903398932339</v>
      </c>
      <c r="H11" s="0" t="n">
        <f aca="false">H8+H10+H24</f>
        <v>307.759185034741</v>
      </c>
      <c r="I11" s="0" t="n">
        <f aca="false">I8+I10+I24</f>
        <v>316.991960585784</v>
      </c>
      <c r="J11" s="0" t="n">
        <f aca="false">J8+J10+J24</f>
        <v>324.916759600428</v>
      </c>
      <c r="K11" s="0" t="n">
        <f aca="false">K8+K10+K24</f>
        <v>333.039678590439</v>
      </c>
      <c r="L11" s="0" t="n">
        <f aca="false">L8+L10+L24</f>
        <v>341.3656705552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243.21836</v>
      </c>
      <c r="D13" s="0" t="n">
        <f aca="false">D11+D12</f>
        <v>256.1188448</v>
      </c>
      <c r="E13" s="0" t="n">
        <f aca="false">E11+E12</f>
        <v>271.787291776</v>
      </c>
      <c r="F13" s="0" t="n">
        <f aca="false">F11+F12</f>
        <v>286.10584178176</v>
      </c>
      <c r="G13" s="0" t="n">
        <f aca="false">G11+G12</f>
        <v>297.903398932339</v>
      </c>
      <c r="H13" s="0" t="n">
        <f aca="false">H11+H12</f>
        <v>307.759185034741</v>
      </c>
      <c r="I13" s="0" t="n">
        <f aca="false">I11+I12</f>
        <v>316.991960585784</v>
      </c>
      <c r="J13" s="0" t="n">
        <f aca="false">J11+J12</f>
        <v>324.916759600428</v>
      </c>
      <c r="K13" s="0" t="n">
        <f aca="false">K11+K12</f>
        <v>333.039678590439</v>
      </c>
      <c r="L13" s="0" t="n">
        <f aca="false">L11+L12</f>
        <v>341.3656705552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28</v>
      </c>
      <c r="D14" s="4" t="n">
        <f aca="false">Assumptions!D33</f>
        <v>28.5</v>
      </c>
      <c r="E14" s="4" t="n">
        <f aca="false">Assumptions!E33</f>
        <v>29</v>
      </c>
      <c r="F14" s="4" t="n">
        <f aca="false">Assumptions!F33</f>
        <v>29</v>
      </c>
      <c r="G14" s="4" t="n">
        <f aca="false">Assumptions!G33</f>
        <v>29.5</v>
      </c>
      <c r="H14" s="4" t="n">
        <f aca="false">Assumptions!H33</f>
        <v>29.5</v>
      </c>
      <c r="I14" s="4" t="n">
        <f aca="false">Assumptions!I33</f>
        <v>29.5</v>
      </c>
      <c r="J14" s="4" t="n">
        <f aca="false">Assumptions!J33</f>
        <v>29.5</v>
      </c>
      <c r="K14" s="4" t="n">
        <f aca="false">Assumptions!K33</f>
        <v>29.5</v>
      </c>
      <c r="L14" s="4" t="n">
        <f aca="false">Assumptions!L33</f>
        <v>29.5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175.1172192</v>
      </c>
      <c r="D15" s="0" t="n">
        <f aca="false">D13-MAX(0,D13)*D14/100</f>
        <v>183.124974032</v>
      </c>
      <c r="E15" s="0" t="n">
        <f aca="false">E13-MAX(0,E13)*E14/100</f>
        <v>192.96897716096</v>
      </c>
      <c r="F15" s="0" t="n">
        <f aca="false">F13-MAX(0,F13)*F14/100</f>
        <v>203.13514766505</v>
      </c>
      <c r="G15" s="0" t="n">
        <f aca="false">G13-MAX(0,G13)*G14/100</f>
        <v>210.021896247299</v>
      </c>
      <c r="H15" s="0" t="n">
        <f aca="false">H13-MAX(0,H13)*H14/100</f>
        <v>216.970225449493</v>
      </c>
      <c r="I15" s="0" t="n">
        <f aca="false">I13-MAX(0,I13)*I14/100</f>
        <v>223.479332212977</v>
      </c>
      <c r="J15" s="0" t="n">
        <f aca="false">J13-MAX(0,J13)*J14/100</f>
        <v>229.066315518302</v>
      </c>
      <c r="K15" s="0" t="n">
        <f aca="false">K13-MAX(0,K13)*K14/100</f>
        <v>234.792973406259</v>
      </c>
      <c r="L15" s="0" t="n">
        <f aca="false">L13-MAX(0,L13)*L14/100</f>
        <v>240.662797741416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175.1172192</v>
      </c>
      <c r="D19" s="0" t="n">
        <f aca="false">D15+D16+D17+D18</f>
        <v>183.124974032</v>
      </c>
      <c r="E19" s="0" t="n">
        <f aca="false">E15+E16+E17+E18</f>
        <v>192.96897716096</v>
      </c>
      <c r="F19" s="0" t="n">
        <f aca="false">F15+F16+F17+F18</f>
        <v>203.13514766505</v>
      </c>
      <c r="G19" s="0" t="n">
        <f aca="false">G15+G16+G17+G18</f>
        <v>210.021896247299</v>
      </c>
      <c r="H19" s="0" t="n">
        <f aca="false">H15+H16+H17+H18</f>
        <v>216.970225449493</v>
      </c>
      <c r="I19" s="0" t="n">
        <f aca="false">I15+I16+I17+I18</f>
        <v>223.479332212977</v>
      </c>
      <c r="J19" s="0" t="n">
        <f aca="false">J15+J16+J17+J18</f>
        <v>229.066315518302</v>
      </c>
      <c r="K19" s="0" t="n">
        <f aca="false">K15+K16+K17+K18</f>
        <v>234.792973406259</v>
      </c>
      <c r="L19" s="0" t="n">
        <f aca="false">L15+L16+L17+L18</f>
        <v>240.662797741416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157.763260540541</v>
      </c>
      <c r="D21" s="0" t="n">
        <f aca="false">D19*D20</f>
        <v>148.628337011606</v>
      </c>
      <c r="E21" s="0" t="n">
        <f aca="false">E19*E20</f>
        <v>141.097252958554</v>
      </c>
      <c r="F21" s="0" t="n">
        <f aca="false">F19*F20</f>
        <v>133.811413704487</v>
      </c>
      <c r="G21" s="0" t="n">
        <f aca="false">G19*G20</f>
        <v>124.637773249336</v>
      </c>
      <c r="H21" s="0" t="n">
        <f aca="false">H19*H20</f>
        <v>116.00114274069</v>
      </c>
      <c r="I21" s="0" t="n">
        <f aca="false">I19*I20</f>
        <v>107.640700020641</v>
      </c>
      <c r="J21" s="0" t="n">
        <f aca="false">J19*J20</f>
        <v>99.3979437127537</v>
      </c>
      <c r="K21" s="0" t="n">
        <f aca="false">K19*K20</f>
        <v>91.7863894644797</v>
      </c>
      <c r="L21" s="0" t="n">
        <f aca="false">L19*L20</f>
        <v>84.7577019829655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1205.52191538605</v>
      </c>
    </row>
    <row r="31" customFormat="false" ht="15" hidden="false" customHeight="false" outlineLevel="0" collapsed="false">
      <c r="A31" s="0" t="s">
        <v>131</v>
      </c>
      <c r="B31" s="0" t="n">
        <f aca="false">L19</f>
        <v>240.662797741416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2902.11020805825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2887.95357289699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2887.95357289699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1017.09242379559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2222.61433918164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2222.61433918164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7.58054003813656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-0.091062345547175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195.46368380965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151.467073077112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8.76379637131106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1973.43494147961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5.13273711853426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3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778</v>
      </c>
      <c r="C6" s="0" t="n">
        <f aca="false">B6*(1+C5/100)</f>
        <v>801.34</v>
      </c>
      <c r="D6" s="0" t="n">
        <f aca="false">C6*(1+D5/100)</f>
        <v>865.4472</v>
      </c>
      <c r="E6" s="0" t="n">
        <f aca="false">D6*(1+E5/100)</f>
        <v>926.028504</v>
      </c>
      <c r="F6" s="0" t="n">
        <f aca="false">E6*(1+F5/100)</f>
        <v>981.59021424</v>
      </c>
      <c r="G6" s="0" t="n">
        <f aca="false">F6*(1+G5/100)</f>
        <v>1030.669724952</v>
      </c>
      <c r="H6" s="0" t="n">
        <f aca="false">G6*(1+H5/100)</f>
        <v>1071.89651395008</v>
      </c>
      <c r="I6" s="0" t="n">
        <f aca="false">H6*(1+I5/100)</f>
        <v>1109.41289193833</v>
      </c>
      <c r="J6" s="0" t="n">
        <f aca="false">I6*(1+J5/100)</f>
        <v>1142.69527869648</v>
      </c>
      <c r="K6" s="0" t="n">
        <f aca="false">J6*(1+K5/100)</f>
        <v>1176.97613705738</v>
      </c>
      <c r="L6" s="0" t="n">
        <f aca="false">K6*(1+L5/100)</f>
        <v>1206.40054048381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37</v>
      </c>
      <c r="D7" s="4" t="n">
        <f aca="false">Assumptions!D42</f>
        <v>38</v>
      </c>
      <c r="E7" s="4" t="n">
        <f aca="false">Assumptions!E42</f>
        <v>38.5</v>
      </c>
      <c r="F7" s="4" t="n">
        <f aca="false">Assumptions!F42</f>
        <v>39</v>
      </c>
      <c r="G7" s="4" t="n">
        <f aca="false">Assumptions!G42</f>
        <v>39.5</v>
      </c>
      <c r="H7" s="4" t="n">
        <f aca="false">Assumptions!H42</f>
        <v>40</v>
      </c>
      <c r="I7" s="4" t="n">
        <f aca="false">Assumptions!I42</f>
        <v>40</v>
      </c>
      <c r="J7" s="4" t="n">
        <f aca="false">Assumptions!J42</f>
        <v>40</v>
      </c>
      <c r="K7" s="4" t="n">
        <f aca="false">Assumptions!K42</f>
        <v>40</v>
      </c>
      <c r="L7" s="4" t="n">
        <f aca="false">Assumptions!L42</f>
        <v>40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296.4958</v>
      </c>
      <c r="D8" s="0" t="n">
        <f aca="false">D6*D7/100</f>
        <v>328.869936</v>
      </c>
      <c r="E8" s="0" t="n">
        <f aca="false">E6*E7/100</f>
        <v>356.52097404</v>
      </c>
      <c r="F8" s="0" t="n">
        <f aca="false">F6*F7/100</f>
        <v>382.8201835536</v>
      </c>
      <c r="G8" s="0" t="n">
        <f aca="false">G6*G7/100</f>
        <v>407.11454135604</v>
      </c>
      <c r="H8" s="0" t="n">
        <f aca="false">H6*H7/100</f>
        <v>428.758605580032</v>
      </c>
      <c r="I8" s="0" t="n">
        <f aca="false">I6*I7/100</f>
        <v>443.765156775333</v>
      </c>
      <c r="J8" s="0" t="n">
        <f aca="false">J6*J7/100</f>
        <v>457.078111478593</v>
      </c>
      <c r="K8" s="0" t="n">
        <f aca="false">K6*K7/100</f>
        <v>470.790454822951</v>
      </c>
      <c r="L8" s="0" t="n">
        <f aca="false">L6*L7/100</f>
        <v>482.560216193525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4.2</v>
      </c>
      <c r="D9" s="4" t="n">
        <f aca="false">Assumptions!D43</f>
        <v>4</v>
      </c>
      <c r="E9" s="4" t="n">
        <f aca="false">Assumptions!E43</f>
        <v>3.8</v>
      </c>
      <c r="F9" s="4" t="n">
        <f aca="false">Assumptions!F43</f>
        <v>3.5</v>
      </c>
      <c r="G9" s="4" t="n">
        <f aca="false">Assumptions!G43</f>
        <v>3.3</v>
      </c>
      <c r="H9" s="4" t="n">
        <f aca="false">Assumptions!H43</f>
        <v>3</v>
      </c>
      <c r="I9" s="4" t="n">
        <f aca="false">Assumptions!I43</f>
        <v>3</v>
      </c>
      <c r="J9" s="4" t="n">
        <f aca="false">Assumptions!J43</f>
        <v>3</v>
      </c>
      <c r="K9" s="4" t="n">
        <f aca="false">Assumptions!K43</f>
        <v>3</v>
      </c>
      <c r="L9" s="4" t="n">
        <f aca="false">Assumptions!L43</f>
        <v>3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-33.65628</v>
      </c>
      <c r="D10" s="0" t="n">
        <f aca="false">-D6*D9/100</f>
        <v>-34.617888</v>
      </c>
      <c r="E10" s="0" t="n">
        <f aca="false">-E6*E9/100</f>
        <v>-35.189083152</v>
      </c>
      <c r="F10" s="0" t="n">
        <f aca="false">-F6*F9/100</f>
        <v>-34.3556574984</v>
      </c>
      <c r="G10" s="0" t="n">
        <f aca="false">-G6*G9/100</f>
        <v>-34.012100923416</v>
      </c>
      <c r="H10" s="0" t="n">
        <f aca="false">-H6*H9/100</f>
        <v>-32.1568954185024</v>
      </c>
      <c r="I10" s="0" t="n">
        <f aca="false">-I6*I9/100</f>
        <v>-33.28238675815</v>
      </c>
      <c r="J10" s="0" t="n">
        <f aca="false">-J6*J9/100</f>
        <v>-34.2808583608945</v>
      </c>
      <c r="K10" s="0" t="n">
        <f aca="false">-K6*K9/100</f>
        <v>-35.3092841117213</v>
      </c>
      <c r="L10" s="0" t="n">
        <f aca="false">-L6*L9/100</f>
        <v>-36.1920162145144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262.83952</v>
      </c>
      <c r="D11" s="0" t="n">
        <f aca="false">D8+D10+D24</f>
        <v>294.252048</v>
      </c>
      <c r="E11" s="0" t="n">
        <f aca="false">E8+E10+E24</f>
        <v>321.331890888</v>
      </c>
      <c r="F11" s="0" t="n">
        <f aca="false">F8+F10+F24</f>
        <v>348.4645260552</v>
      </c>
      <c r="G11" s="0" t="n">
        <f aca="false">G8+G10+G24</f>
        <v>373.102440432624</v>
      </c>
      <c r="H11" s="0" t="n">
        <f aca="false">H8+H10+H24</f>
        <v>396.60171016153</v>
      </c>
      <c r="I11" s="0" t="n">
        <f aca="false">I8+I10+I24</f>
        <v>410.482770017183</v>
      </c>
      <c r="J11" s="0" t="n">
        <f aca="false">J8+J10+J24</f>
        <v>422.797253117699</v>
      </c>
      <c r="K11" s="0" t="n">
        <f aca="false">K8+K10+K24</f>
        <v>435.48117071123</v>
      </c>
      <c r="L11" s="0" t="n">
        <f aca="false">L8+L10+L24</f>
        <v>446.36819997901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262.83952</v>
      </c>
      <c r="D13" s="0" t="n">
        <f aca="false">D11+D12</f>
        <v>294.252048</v>
      </c>
      <c r="E13" s="0" t="n">
        <f aca="false">E11+E12</f>
        <v>321.331890888</v>
      </c>
      <c r="F13" s="0" t="n">
        <f aca="false">F11+F12</f>
        <v>348.4645260552</v>
      </c>
      <c r="G13" s="0" t="n">
        <f aca="false">G11+G12</f>
        <v>373.102440432624</v>
      </c>
      <c r="H13" s="0" t="n">
        <f aca="false">H11+H12</f>
        <v>396.60171016153</v>
      </c>
      <c r="I13" s="0" t="n">
        <f aca="false">I11+I12</f>
        <v>410.482770017183</v>
      </c>
      <c r="J13" s="0" t="n">
        <f aca="false">J11+J12</f>
        <v>422.797253117699</v>
      </c>
      <c r="K13" s="0" t="n">
        <f aca="false">K11+K12</f>
        <v>435.48117071123</v>
      </c>
      <c r="L13" s="0" t="n">
        <f aca="false">L11+L12</f>
        <v>446.36819997901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28</v>
      </c>
      <c r="D14" s="4" t="n">
        <f aca="false">Assumptions!D47</f>
        <v>28.5</v>
      </c>
      <c r="E14" s="4" t="n">
        <f aca="false">Assumptions!E47</f>
        <v>29</v>
      </c>
      <c r="F14" s="4" t="n">
        <f aca="false">Assumptions!F47</f>
        <v>29</v>
      </c>
      <c r="G14" s="4" t="n">
        <f aca="false">Assumptions!G47</f>
        <v>29</v>
      </c>
      <c r="H14" s="4" t="n">
        <f aca="false">Assumptions!H47</f>
        <v>29</v>
      </c>
      <c r="I14" s="4" t="n">
        <f aca="false">Assumptions!I47</f>
        <v>29</v>
      </c>
      <c r="J14" s="4" t="n">
        <f aca="false">Assumptions!J47</f>
        <v>29</v>
      </c>
      <c r="K14" s="4" t="n">
        <f aca="false">Assumptions!K47</f>
        <v>29</v>
      </c>
      <c r="L14" s="4" t="n">
        <f aca="false">Assumptions!L47</f>
        <v>29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189.2444544</v>
      </c>
      <c r="D15" s="0" t="n">
        <f aca="false">D13-MAX(0,D13)*D14/100</f>
        <v>210.39021432</v>
      </c>
      <c r="E15" s="0" t="n">
        <f aca="false">E13-MAX(0,E13)*E14/100</f>
        <v>228.14564253048</v>
      </c>
      <c r="F15" s="0" t="n">
        <f aca="false">F13-MAX(0,F13)*F14/100</f>
        <v>247.409813499192</v>
      </c>
      <c r="G15" s="0" t="n">
        <f aca="false">G13-MAX(0,G13)*G14/100</f>
        <v>264.902732707163</v>
      </c>
      <c r="H15" s="0" t="n">
        <f aca="false">H13-MAX(0,H13)*H14/100</f>
        <v>281.587214214686</v>
      </c>
      <c r="I15" s="0" t="n">
        <f aca="false">I13-MAX(0,I13)*I14/100</f>
        <v>291.4427667122</v>
      </c>
      <c r="J15" s="0" t="n">
        <f aca="false">J13-MAX(0,J13)*J14/100</f>
        <v>300.186049713566</v>
      </c>
      <c r="K15" s="0" t="n">
        <f aca="false">K13-MAX(0,K13)*K14/100</f>
        <v>309.191631204973</v>
      </c>
      <c r="L15" s="0" t="n">
        <f aca="false">L13-MAX(0,L13)*L14/100</f>
        <v>316.921421985097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189.2444544</v>
      </c>
      <c r="D19" s="0" t="n">
        <f aca="false">D15+D16+D17+D18</f>
        <v>210.39021432</v>
      </c>
      <c r="E19" s="0" t="n">
        <f aca="false">E15+E16+E17+E18</f>
        <v>228.14564253048</v>
      </c>
      <c r="F19" s="0" t="n">
        <f aca="false">F15+F16+F17+F18</f>
        <v>247.409813499192</v>
      </c>
      <c r="G19" s="0" t="n">
        <f aca="false">G15+G16+G17+G18</f>
        <v>264.902732707163</v>
      </c>
      <c r="H19" s="0" t="n">
        <f aca="false">H15+H16+H17+H18</f>
        <v>281.587214214686</v>
      </c>
      <c r="I19" s="0" t="n">
        <f aca="false">I15+I16+I17+I18</f>
        <v>291.4427667122</v>
      </c>
      <c r="J19" s="0" t="n">
        <f aca="false">J15+J16+J17+J18</f>
        <v>300.186049713566</v>
      </c>
      <c r="K19" s="0" t="n">
        <f aca="false">K15+K16+K17+K18</f>
        <v>309.191631204973</v>
      </c>
      <c r="L19" s="0" t="n">
        <f aca="false">L15+L16+L17+L18</f>
        <v>316.921421985097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170.49049945946</v>
      </c>
      <c r="D21" s="0" t="n">
        <f aca="false">D19*D20</f>
        <v>170.757417677137</v>
      </c>
      <c r="E21" s="0" t="n">
        <f aca="false">E19*E20</f>
        <v>166.818127499654</v>
      </c>
      <c r="F21" s="0" t="n">
        <f aca="false">F19*F20</f>
        <v>162.976507459356</v>
      </c>
      <c r="G21" s="0" t="n">
        <f aca="false">G19*G20</f>
        <v>157.206878531407</v>
      </c>
      <c r="H21" s="0" t="n">
        <f aca="false">H19*H20</f>
        <v>150.548023639653</v>
      </c>
      <c r="I21" s="0" t="n">
        <f aca="false">I19*I20</f>
        <v>140.375859880217</v>
      </c>
      <c r="J21" s="0" t="n">
        <f aca="false">J19*J20</f>
        <v>130.258680789751</v>
      </c>
      <c r="K21" s="0" t="n">
        <f aca="false">K19*K20</f>
        <v>120.870667759859</v>
      </c>
      <c r="L21" s="0" t="n">
        <f aca="false">L19*L20</f>
        <v>111.614805814284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1481.91746851078</v>
      </c>
    </row>
    <row r="31" customFormat="false" ht="15" hidden="false" customHeight="false" outlineLevel="0" collapsed="false">
      <c r="A31" s="0" t="s">
        <v>131</v>
      </c>
      <c r="B31" s="0" t="n">
        <f aca="false">L19</f>
        <v>316.921421985097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4080.36330805813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4436.89990779136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4080.36330805813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1437.04062485891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2918.95809336969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2918.95809336969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9.955518735913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0.193707282483573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201.611287891466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164.108179466187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11.2028566191246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2720.24220537209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6.53097302323653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5.19486670664912</v>
      </c>
      <c r="C4" s="0" t="n">
        <f aca="false">B4/Assumptions!$B$2-1</f>
        <v>-0.377114303759098</v>
      </c>
      <c r="D4" s="4" t="n">
        <f aca="false">Assumptions!$B$24</f>
        <v>0.3</v>
      </c>
      <c r="E4" s="4" t="n">
        <f aca="false">DCF_Bear!$B$43</f>
        <v>6.3006186302978</v>
      </c>
      <c r="F4" s="4" t="n">
        <f aca="false">DCF_Bear!$B$47</f>
        <v>3.79597657566234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7.58054003813656</v>
      </c>
      <c r="C5" s="0" t="n">
        <f aca="false">B5/Assumptions!$B$2-1</f>
        <v>-0.091062345547175</v>
      </c>
      <c r="D5" s="4" t="n">
        <f aca="false">Assumptions!$B$38</f>
        <v>0.5</v>
      </c>
      <c r="E5" s="4" t="n">
        <f aca="false">DCF_Base!$B$43</f>
        <v>8.76379637131106</v>
      </c>
      <c r="F5" s="4" t="n">
        <f aca="false">DCF_Base!$B$47</f>
        <v>5.13273711853426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9.955518735913</v>
      </c>
      <c r="C6" s="0" t="n">
        <f aca="false">B6/Assumptions!$B$2-1</f>
        <v>0.193707282483573</v>
      </c>
      <c r="D6" s="4" t="n">
        <f aca="false">Assumptions!$B$52</f>
        <v>0.2</v>
      </c>
      <c r="E6" s="4" t="n">
        <f aca="false">DCF_Bull!$B$43</f>
        <v>11.2028566191246</v>
      </c>
      <c r="F6" s="4" t="n">
        <f aca="false">DCF_Bull!$B$47</f>
        <v>6.53097302323653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7.33983377824562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8.5126550985698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-0.136265513902884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85.278652802622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5.01135613661314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8.66457810766847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8.09849785514094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7.58054003813656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6.78612012314352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5.13273711853426</v>
      </c>
      <c r="C19" s="3" t="n">
        <v>15</v>
      </c>
    </row>
    <row r="21" customFormat="false" ht="15" hidden="false" customHeight="false" outlineLevel="0" collapsed="false">
      <c r="A21" s="2" t="s">
        <v>167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8.66457810766847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8.66457810766847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8.66457810766847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8.66457810766847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8.66457810766847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8.07988259017735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8.09849785514094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8.09849785514094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8.09849785514094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8.09849785514094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7.2001741033383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7.38782129783878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7.58054003813656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7.58054003813656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7.58054003813656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6.48938436319225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6.6303338491691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6.78612012314352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6.9592159831151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7.10603836434099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5.90336409308661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6.01136278184676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6.12964706001263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6.2597597659951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6.4035685462915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2026-09-23T09:10:42Z</dcterms:created>
  <dc:creator>openpyxl</dc:creator>
  <dc:description/>
  <dc:language>en-NZ</dc:language>
  <cp:lastModifiedBy/>
  <dcterms:modified xsi:type="dcterms:W3CDTF">2026-09-23T09:10:42Z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