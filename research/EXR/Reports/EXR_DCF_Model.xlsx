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<sst xmlns="http://schemas.openxmlformats.org/spreadsheetml/2006/main" count="387" uniqueCount="174">
  <si>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</si>
  <si>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EXR</t>
  </si>
  <si>
    <t xml:space="preserve">Company</t>
  </si>
  <si>
    <t xml:space="preserve">Extra Space Storage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</si>
  <si>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</si>
  <si>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</si>
  <si>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</si>
  <si>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</si>
  <si>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2026-09-25T20:00:02Z regular close (Friday; valuation written before Monday 2026-09-28 open)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</si>
  <si>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</si>
  <si>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</si>
  <si>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</si>
  <si>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</si>
  <si>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</si>
  <si>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</si>
  <si>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</si>
  <si>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</si>
  <si>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</si>
  <si>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</si>
  <si>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</si>
  <si>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</si>
  <si>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2026-09-28T07:59:18Z</t>
  </si>
  <si>
    <t xml:space="preserve">Drivers file</t>
  </si>
  <si>
    <t xml:space="preserve">EXR_Drivers.json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</si>
  <si>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</si>
  <si>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</si>
  <si>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</si>
  <si>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Extra Space is valued on the cash the equity actually receives: Core FFO less an assumed recurring-capex charge (AFFO), capitalised at a cost of equity, with no separate deduction for the US$13.6bn of debt because the flow is already after US$590m+/yr of interest. GAAP earnings, book value and the CSV free-cash-flow line are all ignored as measures of value -- the first two because real-estate depreciation and merger accounting make them meaningless, the last because it nets acquisitions and development. The three scenarios differ mainly on where same-store revenue growth settles as new supply falls, how much of the operating recovery the refinancing of Life-Storage-era debt absorbs, and the cost of equity; the terminal exit is capped at 15-18x AFFO so that no scenario relies on the sector re-rating above where it trades today (16x FFO). At the Friday close the shares sit close to the probability-weighted value: a fairly-priced, high-quality compounder yielding 4.9% rather than a bargain.
key_risks_to_valuation: Discount-rate risk dominates: each 100bp on the cost of equity moves the base value by roughly 15-20%; a 10-year Treasury sustainably above 5% pushes the stock toward the bear value.; Refinancing drag: ~US$3.5bn/yr of debt reprices at 4.9-5.5% against Life-Storage-era coupons; the margin path assumes operating leverage offsets it and the bear case assumes it does not.; The recurring-capex bridge (3.0% of revenue) is an analyst assumption because EXR does not disclose AFFO or maintenance capex; each 1pt of revenue is ~US$0.15/share of AFFO and ~US$2.50-3.00/share of value.; Supply and competition: the base case leans on industry deliveries falling to ~2.4% of stock; a renewed development wave in the Sunbelt or aggressive promotional pricing by the enlarged Public Storage would push same-store revenue back to flat.; Demand cyclicality: move-ins track housing turnover and small-business formation; a recession would hit occupancy (94.2% at Jun-26) and new-customer rates simultaneously.; Bridge-loan book (~US$1.5bn, ~US$150m/yr of interest income inside Core FFO) carries credit risk to private storage operators; a default cycle would cut Core FFO and force consolidation of impaired collateral.; Leadership transition: new CFO (Jan-2026) and new CEO (Jan-2027) during the post-merger integration period.; Regulatory: state/municipal rent-regulation or tenant-notice rules for storage, and state insurance oversight of the tenant-reinsurance subsidiary (US$294-296m net income guided for 2026).</t>
  </si>
  <si>
    <t xml:space="preserve">Data sources</t>
  </si>
  <si>
    <t xml:space="preserve">price: Yahoo Finance chart API (query1.finance.yahoo.com v8 chart, regularMarketPrice/regularMarketTime) at inputs.price_as_of; 52-week range 125.71-158.88.
financials: SEC EDGAR: Q2 2026 Form 10-Q (accession 0001289490-26-000053, filed 2026-07-31) for the balance sheet, debt note, interest expense, share tables and cash flow; Q2 2026 earnings release (8-K 0001289490-26-000048, Exhibit 99.1, 2026-07-28) for Core FFO, the FFO-basis diluted share count, debt metrics and FY2026 guidance; Q4 2025 release (8-K 0001289490-26-000007) for FY2025/FY2024 Core FFO; Q4 2023 and Q4 2021 releases (8-Ks 0001628280-24-007229, 0001628280-22-003522) for the Core FFO per share history; FY2025 Form 10-K (0001289490-26-000011) for FFO, interest expense and capex lines; SEC XBRL companyfacts (CIK 1289490) and research/EXR/Reports/EXR_Metrics.csv for the revenue, net income, equity and share history.
qualitative: research/EXR/Reports/EXR_Analysis.json (2026-09-28): business model, competitive position (PSA/NSA merger), supply outlook, guidance narrative, management succession.</t>
  </si>
  <si>
    <t xml:space="preserve">Scenario narrative: bear</t>
  </si>
  <si>
    <t xml:space="preserve">Higher-for-longer rates reprice US$13.9bn of debt at 5%+, a soft housing and labour market keeps move-ins weak, and PSA/NSA and CubeSmart compete on rate in oversupplied Sunbelt markets, so same-store revenue is flat and the Core FFO margin compresses ~3pts to ~50.5%. Core FFO per share is stuck near US$8 for years, the dividend is only just covered by AFFO, and the shares de-rate to ~13-14x AFFO at a 9.5% cost of equity.</t>
  </si>
  <si>
    <t xml:space="preserve">Scenario narrative: base</t>
  </si>
  <si>
    <t xml:space="preserve">Self-storage's 2023-2025 rate reset is over and the sector grinds higher on falling new supply: same-store revenue +2-3.5% through FY2029, external growth of ~1%/yr from the acquisition pipeline that the management and bridge-lending platforms feed, and a Core FFO margin held near 53% as debt repricing is roughly offset by operating leverage. Core FFO per share moves from US$8.21 (FY2025) to ~US$8.37 (FY2026, upper half of guidance) and compounds ~3.5% a year thereafter; the US$6.48 dividend is ~84% covered by AFFO and grows once the payout normalises. Capitalised at an 8.5% cost of equity with 2.5% terminal growth (17x AFFO exit).</t>
  </si>
  <si>
    <t xml:space="preserve">Scenario narrative: bull</t>
  </si>
  <si>
    <t xml:space="preserve">The supply drought (deliveries ~2% of stock for several years), a housing-turnover recovery as mortgage rates ease, and a lower interest bill produce +4.5-5% revenue growth in FY2027-FY2029 with the Core FFO margin back at the FY2024 peak of ~55%. Scale (4,300+ stores, the largest data set in the sector) lets EXR out-price peers and buy US$500m+/yr of stores from refinancing-stressed private owners. Discounted at 8.0% with the exit capped at 18x AFFO.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</si>
  <si>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</si>
  <si>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</si>
  <si>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</si>
  <si>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</si>
  <si>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</si>
  <si>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</si>
  <si>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</si>
  <si>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</si>
  <si>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</si>
  <si>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</si>
  <si>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</si>
  <si>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</si>
  <si>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</si>
  <si>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</si>
  <si>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</si>
  <si>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</si>
  <si>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</si>
  <si>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</si>
  <si>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</si>
  <si>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</si>
  <si>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</si>
  <si>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</si>
  <si>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</si>
  <si>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</si>
  <si>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</si>
  <si>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</si>
  <si>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</si>
  <si>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</si>
  <si>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</si>
  <si>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</si>
  <si>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</si>
  <si>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</si>
  <si>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</si>
  <si>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</si>
  <si>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</si>
  <si>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</si>
  <si>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</si>
  <si>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</si>
  <si>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</si>
  <si>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</si>
  <si>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</si>
  <si>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</si>
  <si>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</si>
  <si>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</si>
  <si>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</si>
  <si>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</si>
  <si>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</si>
  <si>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</si>
  <si>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</si>
  <si>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</si>
  <si>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</si>
  <si>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</si>
  <si>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</si>
  <si>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</si>
  <si>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</si>
  <si>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</si>
  <si>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</si>
  <si>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</si>
  <si>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</si>
  <si>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</si>
  <si>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</si>
  <si>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</si>
  <si>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</si>
  <si>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</si>
  <si>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</si>
  <si>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</si>
  <si>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</si>
  <si>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</si>
  <si>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</si>
  <si>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</si>
  <si>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</si>
  <si>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</si>
  <si>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</si>
  <si>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</si>
  <si>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</si>
  <si>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</si>
  <si>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</si>
  <si>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</si>
  <si>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</si>
  <si>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</si>
  <si>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</si>
  <si>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</si>
  <si>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</si>
  <si>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EXR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</si>
  <si>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</si>
  <si>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</si>
  <si>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</si>
  <si>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</si>
  <si>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</si>
  <si>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</si>
  <si>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</si>
  <si>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</si>
  <si>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</si>
  <si>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</si>
  <si>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</si>
  <si>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</si>
  <si>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</si>
  <si>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</si>
  <si>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</si>
  <si>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</si>
  <si>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</si>
  <si>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</si>
  <si>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</si>
  <si>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</si>
  <si>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</si>
  <si>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</si>
  <si>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</si>
  <si>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</si>
  <si>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</si>
  <si>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</si>
  <si>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</si>
  <si>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</si>
  <si>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</si>
  <si>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</si>
  <si>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EXR owner-FCF component DCF: base case (millions, USD)</t>
  </si>
  <si>
    <t xml:space="preserve">EXR owner-FCF component DCF: bull case (millions, USD)</t>
  </si>
  <si>
    <t xml:space="preserve">EXR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</si>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</sst>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133.35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704.678</v>
      </c>
      <c r="S2" s="0" t="n">
        <v>17.377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272.731</v>
      </c>
      <c r="C3" s="0" t="n">
        <v>84.522</v>
      </c>
      <c r="F3" s="0" t="n">
        <v>92.462</v>
      </c>
      <c r="G3" s="0" t="n">
        <v>33.90227000231</v>
      </c>
      <c r="H3" s="0" t="n">
        <v>142.028</v>
      </c>
      <c r="I3" s="0" t="n">
        <v>43.349</v>
      </c>
      <c r="J3" s="0" t="n">
        <v>15.8944161096465</v>
      </c>
      <c r="K3" s="0" t="n">
        <v>0.46</v>
      </c>
      <c r="L3" s="0" t="n">
        <v>98.391</v>
      </c>
      <c r="O3" s="0" t="n">
        <v>946.793</v>
      </c>
      <c r="S3" s="0" t="n">
        <v>63.972</v>
      </c>
      <c r="T3" s="0" t="n">
        <v>82.352988</v>
      </c>
      <c r="U3" s="0" t="n">
        <v>3.5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280.146</v>
      </c>
      <c r="C4" s="0" t="n">
        <v>88.935</v>
      </c>
      <c r="F4" s="0" t="n">
        <v>71.887</v>
      </c>
      <c r="G4" s="0" t="n">
        <v>25.6605484283195</v>
      </c>
      <c r="H4" s="0" t="n">
        <v>124.29</v>
      </c>
      <c r="I4" s="0" t="n">
        <v>39.093</v>
      </c>
      <c r="J4" s="0" t="n">
        <v>13.9545094343664</v>
      </c>
      <c r="K4" s="0" t="n">
        <v>0.37</v>
      </c>
      <c r="L4" s="0" t="n">
        <v>81.165</v>
      </c>
      <c r="O4" s="0" t="n">
        <v>946.219</v>
      </c>
      <c r="P4" s="0" t="n">
        <v>2407.556</v>
      </c>
      <c r="Q4" s="0" t="n">
        <v>1461.337</v>
      </c>
      <c r="S4" s="0" t="n">
        <v>131.95</v>
      </c>
      <c r="T4" s="0" t="n">
        <v>91.082834</v>
      </c>
      <c r="U4" s="0" t="n">
        <v>3.809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281.497</v>
      </c>
      <c r="C5" s="0" t="n">
        <v>86.165</v>
      </c>
      <c r="F5" s="0" t="n">
        <v>90.815</v>
      </c>
      <c r="G5" s="0" t="n">
        <v>32.2614450598053</v>
      </c>
      <c r="H5" s="0" t="n">
        <v>141.164</v>
      </c>
      <c r="I5" s="0" t="n">
        <v>33.374</v>
      </c>
      <c r="J5" s="0" t="n">
        <v>11.8558989971474</v>
      </c>
      <c r="K5" s="0" t="n">
        <v>0.3</v>
      </c>
      <c r="L5" s="0" t="n">
        <v>104.815</v>
      </c>
      <c r="O5" s="0" t="n">
        <v>939.071</v>
      </c>
      <c r="P5" s="0" t="n">
        <v>2249.82</v>
      </c>
      <c r="Q5" s="0" t="n">
        <v>1310.749</v>
      </c>
      <c r="S5" s="0" t="n">
        <v>46.75</v>
      </c>
      <c r="T5" s="0" t="n">
        <v>92.050453</v>
      </c>
      <c r="U5" s="0" t="n">
        <v>4.58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329.83</v>
      </c>
      <c r="C6" s="0" t="n">
        <v>95.481</v>
      </c>
      <c r="F6" s="0" t="n">
        <v>115.476</v>
      </c>
      <c r="G6" s="0" t="n">
        <v>35.0107631203954</v>
      </c>
      <c r="H6" s="0" t="n">
        <v>173.49</v>
      </c>
      <c r="I6" s="0" t="n">
        <v>58.423</v>
      </c>
      <c r="J6" s="0" t="n">
        <v>17.7130643058545</v>
      </c>
      <c r="K6" s="0" t="n">
        <v>0.55</v>
      </c>
      <c r="O6" s="0" t="n">
        <v>1073.761</v>
      </c>
      <c r="P6" s="0" t="n">
        <v>2517.524</v>
      </c>
      <c r="Q6" s="0" t="n">
        <v>1443.763</v>
      </c>
      <c r="S6" s="0" t="n">
        <v>26.484</v>
      </c>
      <c r="T6" s="0" t="n">
        <v>93.633573</v>
      </c>
      <c r="U6" s="0" t="n">
        <v>5.757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409.396</v>
      </c>
      <c r="C7" s="0" t="n">
        <v>114.028</v>
      </c>
      <c r="F7" s="0" t="n">
        <v>157.241</v>
      </c>
      <c r="G7" s="0" t="n">
        <v>38.4080450224233</v>
      </c>
      <c r="H7" s="0" t="n">
        <v>231.694</v>
      </c>
      <c r="I7" s="0" t="n">
        <v>127.689</v>
      </c>
      <c r="J7" s="0" t="n">
        <v>31.1896061515012</v>
      </c>
      <c r="K7" s="0" t="n">
        <v>1.15</v>
      </c>
      <c r="O7" s="0" t="n">
        <v>1545.331</v>
      </c>
      <c r="P7" s="0" t="n">
        <v>3223.477</v>
      </c>
      <c r="Q7" s="0" t="n">
        <v>1678.146</v>
      </c>
      <c r="S7" s="0" t="n">
        <v>30.785</v>
      </c>
      <c r="T7" s="0" t="n">
        <v>110.737205</v>
      </c>
      <c r="U7" s="0" t="n">
        <v>4.356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520.613</v>
      </c>
      <c r="C8" s="0" t="n">
        <v>140.012</v>
      </c>
      <c r="F8" s="0" t="n">
        <v>213.483</v>
      </c>
      <c r="G8" s="0" t="n">
        <v>41.0060832134426</v>
      </c>
      <c r="H8" s="0" t="n">
        <v>308.715</v>
      </c>
      <c r="I8" s="0" t="n">
        <v>185.556</v>
      </c>
      <c r="J8" s="0" t="n">
        <v>35.6418299197292</v>
      </c>
      <c r="K8" s="0" t="n">
        <v>1.54</v>
      </c>
      <c r="O8" s="0" t="n">
        <v>1931.895</v>
      </c>
      <c r="P8" s="0" t="n">
        <v>3977.14</v>
      </c>
      <c r="Q8" s="0" t="n">
        <v>2045.245</v>
      </c>
      <c r="S8" s="0" t="n">
        <v>126.723</v>
      </c>
      <c r="T8" s="0" t="n">
        <v>115.755527</v>
      </c>
      <c r="U8" s="0" t="n">
        <v>4.819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647.155</v>
      </c>
      <c r="C9" s="0" t="n">
        <v>172.416</v>
      </c>
      <c r="F9" s="0" t="n">
        <v>278.468</v>
      </c>
      <c r="G9" s="0" t="n">
        <v>43.0295678778654</v>
      </c>
      <c r="H9" s="0" t="n">
        <v>393.544</v>
      </c>
      <c r="I9" s="0" t="n">
        <v>195.896</v>
      </c>
      <c r="J9" s="0" t="n">
        <v>30.2703370908051</v>
      </c>
      <c r="K9" s="0" t="n">
        <v>1.54</v>
      </c>
      <c r="L9" s="0" t="n">
        <v>337.581</v>
      </c>
      <c r="O9" s="0" t="n">
        <v>1911.983</v>
      </c>
      <c r="P9" s="0" t="n">
        <v>4381.987</v>
      </c>
      <c r="Q9" s="0" t="n">
        <v>2470.004</v>
      </c>
      <c r="S9" s="0" t="n">
        <v>47.663</v>
      </c>
      <c r="T9" s="0" t="n">
        <v>121.435267</v>
      </c>
      <c r="U9" s="0" t="n">
        <v>4.984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782.27</v>
      </c>
      <c r="C10" s="0" t="n">
        <v>203.965</v>
      </c>
      <c r="F10" s="0" t="n">
        <v>294.656</v>
      </c>
      <c r="G10" s="0" t="n">
        <v>37.6667902386644</v>
      </c>
      <c r="H10" s="0" t="n">
        <v>428.113</v>
      </c>
      <c r="I10" s="0" t="n">
        <v>209.536</v>
      </c>
      <c r="J10" s="0" t="n">
        <v>26.7856366727601</v>
      </c>
      <c r="K10" s="0" t="n">
        <v>1.58</v>
      </c>
      <c r="L10" s="0" t="n">
        <v>367.329</v>
      </c>
      <c r="O10" s="0" t="n">
        <v>2372.604</v>
      </c>
      <c r="P10" s="0" t="n">
        <v>6071.407</v>
      </c>
      <c r="Q10" s="0" t="n">
        <v>3698.803</v>
      </c>
      <c r="S10" s="0" t="n">
        <v>75.799</v>
      </c>
      <c r="T10" s="0" t="n">
        <v>126.918869</v>
      </c>
      <c r="U10" s="0" t="n">
        <v>6.055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991.875</v>
      </c>
      <c r="C11" s="0" t="n">
        <v>250.005</v>
      </c>
      <c r="F11" s="0" t="n">
        <v>458.303</v>
      </c>
      <c r="G11" s="0" t="n">
        <v>46.2057214870826</v>
      </c>
      <c r="H11" s="0" t="n">
        <v>640.863</v>
      </c>
      <c r="I11" s="0" t="n">
        <v>397.089</v>
      </c>
      <c r="J11" s="0" t="n">
        <v>40.0341776937618</v>
      </c>
      <c r="K11" s="0" t="n">
        <v>2.92</v>
      </c>
      <c r="L11" s="0" t="n">
        <v>539.263</v>
      </c>
      <c r="O11" s="0" t="n">
        <v>2596.166</v>
      </c>
      <c r="P11" s="0" t="n">
        <v>7091.446</v>
      </c>
      <c r="Q11" s="0" t="n">
        <v>4495.28</v>
      </c>
      <c r="S11" s="0" t="n">
        <v>43.858</v>
      </c>
      <c r="T11" s="0" t="n">
        <v>125.948076</v>
      </c>
      <c r="U11" s="0" t="n">
        <v>8.045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1105.009</v>
      </c>
      <c r="C12" s="0" t="n">
        <v>271.974</v>
      </c>
      <c r="F12" s="0" t="n">
        <v>654.394</v>
      </c>
      <c r="G12" s="0" t="n">
        <v>59.2206941300931</v>
      </c>
      <c r="H12" s="0" t="n">
        <v>847.69</v>
      </c>
      <c r="I12" s="0" t="n">
        <v>514.222</v>
      </c>
      <c r="J12" s="0" t="n">
        <v>46.5355485792423</v>
      </c>
      <c r="K12" s="0" t="n">
        <v>3.79</v>
      </c>
      <c r="L12" s="0" t="n">
        <v>597.375</v>
      </c>
      <c r="O12" s="0" t="n">
        <v>2723.807</v>
      </c>
      <c r="P12" s="0" t="n">
        <v>7460.953</v>
      </c>
      <c r="Q12" s="0" t="n">
        <v>4737.146</v>
      </c>
      <c r="R12" s="0" t="n">
        <v>604.276</v>
      </c>
      <c r="S12" s="0" t="n">
        <v>55.683</v>
      </c>
      <c r="T12" s="0" t="n">
        <v>134.155771</v>
      </c>
      <c r="U12" s="0" t="n">
        <v>9.561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1196.604</v>
      </c>
      <c r="C13" s="0" t="n">
        <v>291.695</v>
      </c>
      <c r="F13" s="0" t="n">
        <v>619.703</v>
      </c>
      <c r="G13" s="0" t="n">
        <v>51.7884780595753</v>
      </c>
      <c r="H13" s="0" t="n">
        <v>828.753</v>
      </c>
      <c r="I13" s="0" t="n">
        <v>447.08</v>
      </c>
      <c r="J13" s="0" t="n">
        <v>37.3624022650768</v>
      </c>
      <c r="K13" s="0" t="n">
        <v>3.29</v>
      </c>
      <c r="L13" s="0" t="n">
        <v>677.795</v>
      </c>
      <c r="O13" s="0" t="n">
        <v>2785.422</v>
      </c>
      <c r="P13" s="0" t="n">
        <v>7847.978</v>
      </c>
      <c r="Q13" s="0" t="n">
        <v>5062.556</v>
      </c>
      <c r="S13" s="0" t="n">
        <v>57.496</v>
      </c>
      <c r="T13" s="0" t="n">
        <v>133.159033</v>
      </c>
      <c r="U13" s="0" t="n">
        <v>11.176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1308.454</v>
      </c>
      <c r="C14" s="0" t="n">
        <v>336.05</v>
      </c>
      <c r="F14" s="0" t="n">
        <v>634.958</v>
      </c>
      <c r="G14" s="0" t="n">
        <v>48.5273460129282</v>
      </c>
      <c r="H14" s="0" t="n">
        <v>854.815</v>
      </c>
      <c r="I14" s="0" t="n">
        <v>451.123</v>
      </c>
      <c r="J14" s="0" t="n">
        <v>34.4775590123917</v>
      </c>
      <c r="K14" s="0" t="n">
        <v>3.27</v>
      </c>
      <c r="L14" s="0" t="n">
        <v>707.686</v>
      </c>
      <c r="O14" s="0" t="n">
        <v>2921.694</v>
      </c>
      <c r="P14" s="0" t="n">
        <v>8532.377</v>
      </c>
      <c r="Q14" s="0" t="n">
        <v>5610.683</v>
      </c>
      <c r="S14" s="0" t="n">
        <v>65.746</v>
      </c>
      <c r="T14" s="0" t="n">
        <v>136.433769</v>
      </c>
      <c r="U14" s="0" t="n">
        <v>13.051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1356.212</v>
      </c>
      <c r="C15" s="0" t="n">
        <v>360.615</v>
      </c>
      <c r="F15" s="0" t="n">
        <v>666.14</v>
      </c>
      <c r="G15" s="0" t="n">
        <v>49.1176895647583</v>
      </c>
      <c r="I15" s="0" t="n">
        <v>517.582</v>
      </c>
      <c r="J15" s="0" t="n">
        <v>38.1637974004064</v>
      </c>
      <c r="K15" s="0" t="n">
        <v>3.71</v>
      </c>
      <c r="L15" s="0" t="n">
        <v>771.232</v>
      </c>
      <c r="O15" s="0" t="n">
        <v>2936.124</v>
      </c>
      <c r="P15" s="0" t="n">
        <v>9395.848</v>
      </c>
      <c r="Q15" s="0" t="n">
        <v>6459.724</v>
      </c>
      <c r="S15" s="0" t="n">
        <v>109.124</v>
      </c>
      <c r="T15" s="0" t="n">
        <v>131.357961</v>
      </c>
      <c r="U15" s="0" t="n">
        <v>16.281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1577.362</v>
      </c>
      <c r="C16" s="0" t="n">
        <v>368.608</v>
      </c>
      <c r="F16" s="0" t="n">
        <v>975.953</v>
      </c>
      <c r="G16" s="0" t="n">
        <v>61.872480762184</v>
      </c>
      <c r="H16" s="0" t="n">
        <v>1217.832</v>
      </c>
      <c r="I16" s="0" t="n">
        <v>877.758</v>
      </c>
      <c r="J16" s="0" t="n">
        <v>55.6472135121805</v>
      </c>
      <c r="K16" s="0" t="n">
        <v>6.2</v>
      </c>
      <c r="L16" s="0" t="n">
        <v>952.436</v>
      </c>
      <c r="O16" s="0" t="n">
        <v>3785.976</v>
      </c>
      <c r="P16" s="0" t="n">
        <v>10474.477</v>
      </c>
      <c r="Q16" s="0" t="n">
        <v>6688.501</v>
      </c>
      <c r="S16" s="0" t="n">
        <v>71.126</v>
      </c>
      <c r="T16" s="0" t="n">
        <v>140.016028</v>
      </c>
      <c r="U16" s="0" t="n">
        <v>17.303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1924.17</v>
      </c>
      <c r="C17" s="0" t="n">
        <v>435.342</v>
      </c>
      <c r="F17" s="0" t="n">
        <v>1050.402</v>
      </c>
      <c r="G17" s="0" t="n">
        <v>54.5898751149846</v>
      </c>
      <c r="H17" s="0" t="n">
        <v>1338.718</v>
      </c>
      <c r="I17" s="0" t="n">
        <v>921.156</v>
      </c>
      <c r="J17" s="0" t="n">
        <v>47.8729010430471</v>
      </c>
      <c r="K17" s="0" t="n">
        <v>6.41</v>
      </c>
      <c r="L17" s="0" t="n">
        <v>1238.139</v>
      </c>
      <c r="M17" s="0" t="n">
        <v>1193.261</v>
      </c>
      <c r="N17" s="0" t="n">
        <v>44.8779999999999</v>
      </c>
      <c r="O17" s="0" t="n">
        <v>4078.274</v>
      </c>
      <c r="P17" s="0" t="n">
        <v>12167.458</v>
      </c>
      <c r="Q17" s="0" t="n">
        <v>8089.184</v>
      </c>
      <c r="S17" s="0" t="n">
        <v>92.868</v>
      </c>
      <c r="T17" s="0" t="n">
        <v>141.681388</v>
      </c>
      <c r="U17" s="0" t="n">
        <v>21.386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2560.244</v>
      </c>
      <c r="C18" s="0" t="n">
        <v>612.036</v>
      </c>
      <c r="F18" s="0" t="n">
        <v>1170.141</v>
      </c>
      <c r="G18" s="0" t="n">
        <v>45.7042766236343</v>
      </c>
      <c r="H18" s="0" t="n">
        <v>1676.194</v>
      </c>
      <c r="I18" s="0" t="n">
        <v>850.453</v>
      </c>
      <c r="J18" s="0" t="n">
        <v>33.2176542548288</v>
      </c>
      <c r="K18" s="0" t="n">
        <v>4.74</v>
      </c>
      <c r="L18" s="0" t="n">
        <v>1402.474</v>
      </c>
      <c r="M18" s="0" t="n">
        <v>135.577</v>
      </c>
      <c r="N18" s="0" t="n">
        <v>1266.897</v>
      </c>
      <c r="O18" s="0" t="n">
        <v>15413.949</v>
      </c>
      <c r="P18" s="0" t="n">
        <v>27456.262</v>
      </c>
      <c r="Q18" s="0" t="n">
        <v>12042.313</v>
      </c>
      <c r="S18" s="0" t="n">
        <v>99.062</v>
      </c>
      <c r="T18" s="0" t="n">
        <v>211.278803</v>
      </c>
      <c r="U18" s="0" t="n">
        <v>26.484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3256.902</v>
      </c>
      <c r="C19" s="0" t="n">
        <v>831.566</v>
      </c>
      <c r="F19" s="0" t="n">
        <v>1323.36</v>
      </c>
      <c r="G19" s="0" t="n">
        <v>40.6324783490569</v>
      </c>
      <c r="H19" s="0" t="n">
        <v>2106.383</v>
      </c>
      <c r="I19" s="0" t="n">
        <v>900.232</v>
      </c>
      <c r="J19" s="0" t="n">
        <v>27.6407457147928</v>
      </c>
      <c r="K19" s="0" t="n">
        <v>4.03</v>
      </c>
      <c r="L19" s="0" t="n">
        <v>1887.43</v>
      </c>
      <c r="M19" s="0" t="n">
        <v>479.059</v>
      </c>
      <c r="N19" s="0" t="n">
        <v>1408.371</v>
      </c>
      <c r="O19" s="0" t="n">
        <v>14859.362</v>
      </c>
      <c r="P19" s="0" t="n">
        <v>28847.926</v>
      </c>
      <c r="Q19" s="0" t="n">
        <v>13988.564</v>
      </c>
      <c r="S19" s="0" t="n">
        <v>138.222</v>
      </c>
      <c r="T19" s="0" t="n">
        <v>211.99551</v>
      </c>
      <c r="U19" s="0" t="n">
        <v>28.991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3377.542</v>
      </c>
      <c r="C20" s="0" t="n">
        <v>918.148</v>
      </c>
      <c r="F20" s="0" t="n">
        <v>1412.691</v>
      </c>
      <c r="G20" s="0" t="n">
        <v>41.8260083812429</v>
      </c>
      <c r="H20" s="0" t="n">
        <v>2127.868</v>
      </c>
      <c r="I20" s="0" t="n">
        <v>1022.538</v>
      </c>
      <c r="J20" s="0" t="n">
        <v>30.2746198270814</v>
      </c>
      <c r="K20" s="0" t="n">
        <v>4.59</v>
      </c>
      <c r="L20" s="0" t="n">
        <v>1850.193</v>
      </c>
      <c r="M20" s="0" t="n">
        <v>561.723</v>
      </c>
      <c r="N20" s="0" t="n">
        <v>1288.47</v>
      </c>
      <c r="O20" s="0" t="n">
        <v>14324.036</v>
      </c>
      <c r="P20" s="0" t="n">
        <v>29264.046</v>
      </c>
      <c r="Q20" s="0" t="n">
        <v>14940.01</v>
      </c>
      <c r="S20" s="0" t="n">
        <v>138.92</v>
      </c>
      <c r="T20" s="0" t="n">
        <v>211.850521</v>
      </c>
      <c r="U20" s="0" t="n">
        <v>35.537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133.35</v>
      </c>
    </row>
    <row r="3" customFormat="false" ht="15" hidden="false" customHeight="false" outlineLevel="0" collapsed="false">
      <c r="A3" s="0" t="s">
        <v>85</v>
      </c>
      <c r="B3" s="3" t="n">
        <v>221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-47.827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3377.542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3</v>
      </c>
      <c r="D13" s="3" t="n">
        <v>1.5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52.5</v>
      </c>
      <c r="D14" s="3" t="n">
        <v>51.5</v>
      </c>
      <c r="E14" s="3" t="n">
        <v>50.8</v>
      </c>
      <c r="F14" s="3" t="n">
        <v>50.5</v>
      </c>
      <c r="G14" s="3" t="n">
        <v>50.5</v>
      </c>
      <c r="H14" s="3" t="n">
        <v>50.5</v>
      </c>
      <c r="I14" s="3" t="n">
        <v>50.5</v>
      </c>
      <c r="J14" s="3" t="n">
        <v>50.5</v>
      </c>
      <c r="K14" s="3" t="n">
        <v>50.5</v>
      </c>
      <c r="L14" s="3" t="n">
        <v>50.5</v>
      </c>
    </row>
    <row r="15" customFormat="false" ht="15" hidden="false" customHeight="false" outlineLevel="0" collapsed="false">
      <c r="A15" s="0" t="s">
        <v>107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110</v>
      </c>
      <c r="C18" s="3" t="n">
        <v>3.5</v>
      </c>
      <c r="D18" s="3" t="n">
        <v>3.5</v>
      </c>
      <c r="E18" s="3" t="n">
        <v>3.5</v>
      </c>
      <c r="F18" s="3" t="n">
        <v>3.5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111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112</v>
      </c>
      <c r="B20" s="3" t="n">
        <v>9.5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3.7</v>
      </c>
      <c r="D27" s="3" t="n">
        <v>3.8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52.8</v>
      </c>
      <c r="D28" s="3" t="n">
        <v>52.7</v>
      </c>
      <c r="E28" s="3" t="n">
        <v>52.8</v>
      </c>
      <c r="F28" s="3" t="n">
        <v>53</v>
      </c>
      <c r="G28" s="3" t="n">
        <v>53.2</v>
      </c>
      <c r="H28" s="3" t="n">
        <v>53.3</v>
      </c>
      <c r="I28" s="3" t="n">
        <v>53.4</v>
      </c>
      <c r="J28" s="3" t="n">
        <v>53.5</v>
      </c>
      <c r="K28" s="3" t="n">
        <v>53.5</v>
      </c>
      <c r="L28" s="3" t="n">
        <v>53.5</v>
      </c>
    </row>
    <row r="29" customFormat="false" ht="15" hidden="false" customHeight="false" outlineLevel="0" collapsed="false">
      <c r="A29" s="0" t="s">
        <v>107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110</v>
      </c>
      <c r="C32" s="3" t="n">
        <v>3</v>
      </c>
      <c r="D32" s="3" t="n">
        <v>3</v>
      </c>
      <c r="E32" s="3" t="n">
        <v>3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111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4.5</v>
      </c>
      <c r="D41" s="3" t="n">
        <v>5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53.2</v>
      </c>
      <c r="D42" s="3" t="n">
        <v>53.6</v>
      </c>
      <c r="E42" s="3" t="n">
        <v>54.2</v>
      </c>
      <c r="F42" s="3" t="n">
        <v>54.8</v>
      </c>
      <c r="G42" s="3" t="n">
        <v>55.2</v>
      </c>
      <c r="H42" s="3" t="n">
        <v>55.5</v>
      </c>
      <c r="I42" s="3" t="n">
        <v>55.5</v>
      </c>
      <c r="J42" s="3" t="n">
        <v>55.5</v>
      </c>
      <c r="K42" s="3" t="n">
        <v>55.5</v>
      </c>
      <c r="L42" s="3" t="n">
        <v>55.5</v>
      </c>
    </row>
    <row r="43" customFormat="false" ht="15" hidden="false" customHeight="false" outlineLevel="0" collapsed="false">
      <c r="A43" s="0" t="s">
        <v>107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110</v>
      </c>
      <c r="C46" s="3" t="n">
        <v>2.5</v>
      </c>
      <c r="D46" s="3" t="n">
        <v>2.5</v>
      </c>
      <c r="E46" s="3" t="n">
        <v>2.5</v>
      </c>
      <c r="F46" s="3" t="n">
        <v>2.5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111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18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3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3377.542</v>
      </c>
      <c r="C6" s="0" t="n">
        <f aca="false">B6*(1+C5/100)</f>
        <v>3478.86826</v>
      </c>
      <c r="D6" s="0" t="n">
        <f aca="false">C6*(1+D5/100)</f>
        <v>3531.0512839</v>
      </c>
      <c r="E6" s="0" t="n">
        <f aca="false">D6*(1+E5/100)</f>
        <v>3584.0170531585</v>
      </c>
      <c r="F6" s="0" t="n">
        <f aca="false">E6*(1+F5/100)</f>
        <v>3655.69739422167</v>
      </c>
      <c r="G6" s="0" t="n">
        <f aca="false">F6*(1+G5/100)</f>
        <v>3728.8113421061</v>
      </c>
      <c r="H6" s="0" t="n">
        <f aca="false">G6*(1+H5/100)</f>
        <v>3803.38756894823</v>
      </c>
      <c r="I6" s="0" t="n">
        <f aca="false">H6*(1+I5/100)</f>
        <v>3879.45532032719</v>
      </c>
      <c r="J6" s="0" t="n">
        <f aca="false">I6*(1+J5/100)</f>
        <v>3957.04442673373</v>
      </c>
      <c r="K6" s="0" t="n">
        <f aca="false">J6*(1+K5/100)</f>
        <v>4036.18531526841</v>
      </c>
      <c r="L6" s="0" t="n">
        <f aca="false">K6*(1+L5/100)</f>
        <v>4116.90902157378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52.5</v>
      </c>
      <c r="D7" s="4" t="n">
        <f aca="false">Assumptions!D14</f>
        <v>51.5</v>
      </c>
      <c r="E7" s="4" t="n">
        <f aca="false">Assumptions!E14</f>
        <v>50.8</v>
      </c>
      <c r="F7" s="4" t="n">
        <f aca="false">Assumptions!F14</f>
        <v>50.5</v>
      </c>
      <c r="G7" s="4" t="n">
        <f aca="false">Assumptions!G14</f>
        <v>50.5</v>
      </c>
      <c r="H7" s="4" t="n">
        <f aca="false">Assumptions!H14</f>
        <v>50.5</v>
      </c>
      <c r="I7" s="4" t="n">
        <f aca="false">Assumptions!I14</f>
        <v>50.5</v>
      </c>
      <c r="J7" s="4" t="n">
        <f aca="false">Assumptions!J14</f>
        <v>50.5</v>
      </c>
      <c r="K7" s="4" t="n">
        <f aca="false">Assumptions!K14</f>
        <v>50.5</v>
      </c>
      <c r="L7" s="4" t="n">
        <f aca="false">Assumptions!L14</f>
        <v>50.5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1826.4058365</v>
      </c>
      <c r="D8" s="0" t="n">
        <f aca="false">D6*D7/100</f>
        <v>1818.4914112085</v>
      </c>
      <c r="E8" s="0" t="n">
        <f aca="false">E6*E7/100</f>
        <v>1820.68066300452</v>
      </c>
      <c r="F8" s="0" t="n">
        <f aca="false">F6*F7/100</f>
        <v>1846.12718408194</v>
      </c>
      <c r="G8" s="0" t="n">
        <f aca="false">G6*G7/100</f>
        <v>1883.04972776358</v>
      </c>
      <c r="H8" s="0" t="n">
        <f aca="false">H6*H7/100</f>
        <v>1920.71072231885</v>
      </c>
      <c r="I8" s="0" t="n">
        <f aca="false">I6*I7/100</f>
        <v>1959.12493676523</v>
      </c>
      <c r="J8" s="0" t="n">
        <f aca="false">J6*J7/100</f>
        <v>1998.30743550054</v>
      </c>
      <c r="K8" s="0" t="n">
        <f aca="false">K6*K7/100</f>
        <v>2038.27358421055</v>
      </c>
      <c r="L8" s="0" t="n">
        <f aca="false">L6*L7/100</f>
        <v>2079.03905589476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1826.4058365</v>
      </c>
      <c r="D11" s="0" t="n">
        <f aca="false">D8+D10+D24</f>
        <v>1818.4914112085</v>
      </c>
      <c r="E11" s="0" t="n">
        <f aca="false">E8+E10+E24</f>
        <v>1820.68066300452</v>
      </c>
      <c r="F11" s="0" t="n">
        <f aca="false">F8+F10+F24</f>
        <v>1846.12718408194</v>
      </c>
      <c r="G11" s="0" t="n">
        <f aca="false">G8+G10+G24</f>
        <v>1883.04972776358</v>
      </c>
      <c r="H11" s="0" t="n">
        <f aca="false">H8+H10+H24</f>
        <v>1920.71072231885</v>
      </c>
      <c r="I11" s="0" t="n">
        <f aca="false">I8+I10+I24</f>
        <v>1959.12493676523</v>
      </c>
      <c r="J11" s="0" t="n">
        <f aca="false">J8+J10+J24</f>
        <v>1998.30743550054</v>
      </c>
      <c r="K11" s="0" t="n">
        <f aca="false">K8+K10+K24</f>
        <v>2038.27358421055</v>
      </c>
      <c r="L11" s="0" t="n">
        <f aca="false">L8+L10+L24</f>
        <v>2079.03905589476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1826.4058365</v>
      </c>
      <c r="D13" s="0" t="n">
        <f aca="false">D11+D12</f>
        <v>1818.4914112085</v>
      </c>
      <c r="E13" s="0" t="n">
        <f aca="false">E11+E12</f>
        <v>1820.68066300452</v>
      </c>
      <c r="F13" s="0" t="n">
        <f aca="false">F11+F12</f>
        <v>1846.12718408194</v>
      </c>
      <c r="G13" s="0" t="n">
        <f aca="false">G11+G12</f>
        <v>1883.04972776358</v>
      </c>
      <c r="H13" s="0" t="n">
        <f aca="false">H11+H12</f>
        <v>1920.71072231885</v>
      </c>
      <c r="I13" s="0" t="n">
        <f aca="false">I11+I12</f>
        <v>1959.12493676523</v>
      </c>
      <c r="J13" s="0" t="n">
        <f aca="false">J11+J12</f>
        <v>1998.30743550054</v>
      </c>
      <c r="K13" s="0" t="n">
        <f aca="false">K11+K12</f>
        <v>2038.27358421055</v>
      </c>
      <c r="L13" s="0" t="n">
        <f aca="false">L11+L12</f>
        <v>2079.03905589476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1826.4058365</v>
      </c>
      <c r="D15" s="0" t="n">
        <f aca="false">D13-MAX(0,D13)*D14/100</f>
        <v>1818.4914112085</v>
      </c>
      <c r="E15" s="0" t="n">
        <f aca="false">E13-MAX(0,E13)*E14/100</f>
        <v>1820.68066300452</v>
      </c>
      <c r="F15" s="0" t="n">
        <f aca="false">F13-MAX(0,F13)*F14/100</f>
        <v>1846.12718408194</v>
      </c>
      <c r="G15" s="0" t="n">
        <f aca="false">G13-MAX(0,G13)*G14/100</f>
        <v>1883.04972776358</v>
      </c>
      <c r="H15" s="0" t="n">
        <f aca="false">H13-MAX(0,H13)*H14/100</f>
        <v>1920.71072231885</v>
      </c>
      <c r="I15" s="0" t="n">
        <f aca="false">I13-MAX(0,I13)*I14/100</f>
        <v>1959.12493676523</v>
      </c>
      <c r="J15" s="0" t="n">
        <f aca="false">J13-MAX(0,J13)*J14/100</f>
        <v>1998.30743550054</v>
      </c>
      <c r="K15" s="0" t="n">
        <f aca="false">K13-MAX(0,K13)*K14/100</f>
        <v>2038.27358421055</v>
      </c>
      <c r="L15" s="0" t="n">
        <f aca="false">L13-MAX(0,L13)*L14/100</f>
        <v>2079.03905589476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-121.7603891</v>
      </c>
      <c r="D17" s="4" t="n">
        <f aca="false">-D6*Assumptions!D18/100</f>
        <v>-123.5867949365</v>
      </c>
      <c r="E17" s="4" t="n">
        <f aca="false">-E6*Assumptions!E18/100</f>
        <v>-125.440596860547</v>
      </c>
      <c r="F17" s="4" t="n">
        <f aca="false">-F6*Assumptions!F18/100</f>
        <v>-127.949408797758</v>
      </c>
      <c r="G17" s="4" t="n">
        <f aca="false">-G6*Assumptions!G18/100</f>
        <v>-130.508396973714</v>
      </c>
      <c r="H17" s="4" t="n">
        <f aca="false">-H6*Assumptions!H18/100</f>
        <v>-133.118564913188</v>
      </c>
      <c r="I17" s="4" t="n">
        <f aca="false">-I6*Assumptions!I18/100</f>
        <v>-135.780936211452</v>
      </c>
      <c r="J17" s="4" t="n">
        <f aca="false">-J6*Assumptions!J18/100</f>
        <v>-138.496554935681</v>
      </c>
      <c r="K17" s="4" t="n">
        <f aca="false">-K6*Assumptions!K18/100</f>
        <v>-141.266486034394</v>
      </c>
      <c r="L17" s="4" t="n">
        <f aca="false">-L6*Assumptions!L18/100</f>
        <v>-144.091815755082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1704.6454474</v>
      </c>
      <c r="D19" s="0" t="n">
        <f aca="false">D15+D16+D17+D18</f>
        <v>1694.904616272</v>
      </c>
      <c r="E19" s="0" t="n">
        <f aca="false">E15+E16+E17+E18</f>
        <v>1695.24006614397</v>
      </c>
      <c r="F19" s="0" t="n">
        <f aca="false">F15+F16+F17+F18</f>
        <v>1718.17777528418</v>
      </c>
      <c r="G19" s="0" t="n">
        <f aca="false">G15+G16+G17+G18</f>
        <v>1752.54133078987</v>
      </c>
      <c r="H19" s="0" t="n">
        <f aca="false">H15+H16+H17+H18</f>
        <v>1787.59215740567</v>
      </c>
      <c r="I19" s="0" t="n">
        <f aca="false">I15+I16+I17+I18</f>
        <v>1823.34400055378</v>
      </c>
      <c r="J19" s="0" t="n">
        <f aca="false">J15+J16+J17+J18</f>
        <v>1859.81088056485</v>
      </c>
      <c r="K19" s="0" t="n">
        <f aca="false">K15+K16+K17+K18</f>
        <v>1897.00709817615</v>
      </c>
      <c r="L19" s="0" t="n">
        <f aca="false">L15+L16+L17+L18</f>
        <v>1934.94724013968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1556.75383324201</v>
      </c>
      <c r="D21" s="0" t="n">
        <f aca="false">D19*D20</f>
        <v>1413.5690384037</v>
      </c>
      <c r="E21" s="0" t="n">
        <f aca="false">E19*E20</f>
        <v>1291.18612536611</v>
      </c>
      <c r="F21" s="0" t="n">
        <f aca="false">F19*F20</f>
        <v>1195.12029212259</v>
      </c>
      <c r="G21" s="0" t="n">
        <f aca="false">G19*G20</f>
        <v>1113.26273786761</v>
      </c>
      <c r="H21" s="0" t="n">
        <f aca="false">H19*H20</f>
        <v>1037.01186541093</v>
      </c>
      <c r="I21" s="0" t="n">
        <f aca="false">I19*I20</f>
        <v>965.983655451276</v>
      </c>
      <c r="J21" s="0" t="n">
        <f aca="false">J19*J20</f>
        <v>899.820391379271</v>
      </c>
      <c r="K21" s="0" t="n">
        <f aca="false">K19*K20</f>
        <v>838.188857723157</v>
      </c>
      <c r="L21" s="0" t="n">
        <f aca="false">L19*L20</f>
        <v>780.778661988694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11091.6754589553</v>
      </c>
    </row>
    <row r="31" customFormat="false" ht="15" hidden="false" customHeight="false" outlineLevel="0" collapsed="false">
      <c r="A31" s="0" t="s">
        <v>136</v>
      </c>
      <c r="B31" s="0" t="n">
        <f aca="false">L19</f>
        <v>1934.94724013968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26315.2824658996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29024.2086020951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26315.2824658996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10618.5898030462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21710.2652620016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21662.4382620016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98.0200826334913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-0.264941262590991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98.0200826334913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15181.8937303267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56.6558447963844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3.7</v>
      </c>
      <c r="D5" s="4" t="n">
        <f aca="false">Assumptions!D27</f>
        <v>3.8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3377.542</v>
      </c>
      <c r="C6" s="0" t="n">
        <f aca="false">B6*(1+C5/100)</f>
        <v>3502.511054</v>
      </c>
      <c r="D6" s="0" t="n">
        <f aca="false">C6*(1+D5/100)</f>
        <v>3635.606474052</v>
      </c>
      <c r="E6" s="0" t="n">
        <f aca="false">D6*(1+E5/100)</f>
        <v>3781.03073301408</v>
      </c>
      <c r="F6" s="0" t="n">
        <f aca="false">E6*(1+F5/100)</f>
        <v>3932.27196233464</v>
      </c>
      <c r="G6" s="0" t="n">
        <f aca="false">F6*(1+G5/100)</f>
        <v>4069.90148101636</v>
      </c>
      <c r="H6" s="0" t="n">
        <f aca="false">G6*(1+H5/100)</f>
        <v>4212.34803285193</v>
      </c>
      <c r="I6" s="0" t="n">
        <f aca="false">H6*(1+I5/100)</f>
        <v>4338.71847383749</v>
      </c>
      <c r="J6" s="0" t="n">
        <f aca="false">I6*(1+J5/100)</f>
        <v>4468.88002805261</v>
      </c>
      <c r="K6" s="0" t="n">
        <f aca="false">J6*(1+K5/100)</f>
        <v>4580.60202875393</v>
      </c>
      <c r="L6" s="0" t="n">
        <f aca="false">K6*(1+L5/100)</f>
        <v>4695.11707947277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52.8</v>
      </c>
      <c r="D7" s="4" t="n">
        <f aca="false">Assumptions!D28</f>
        <v>52.7</v>
      </c>
      <c r="E7" s="4" t="n">
        <f aca="false">Assumptions!E28</f>
        <v>52.8</v>
      </c>
      <c r="F7" s="4" t="n">
        <f aca="false">Assumptions!F28</f>
        <v>53</v>
      </c>
      <c r="G7" s="4" t="n">
        <f aca="false">Assumptions!G28</f>
        <v>53.2</v>
      </c>
      <c r="H7" s="4" t="n">
        <f aca="false">Assumptions!H28</f>
        <v>53.3</v>
      </c>
      <c r="I7" s="4" t="n">
        <f aca="false">Assumptions!I28</f>
        <v>53.4</v>
      </c>
      <c r="J7" s="4" t="n">
        <f aca="false">Assumptions!J28</f>
        <v>53.5</v>
      </c>
      <c r="K7" s="4" t="n">
        <f aca="false">Assumptions!K28</f>
        <v>53.5</v>
      </c>
      <c r="L7" s="4" t="n">
        <f aca="false">Assumptions!L28</f>
        <v>53.5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1849.325836512</v>
      </c>
      <c r="D8" s="0" t="n">
        <f aca="false">D6*D7/100</f>
        <v>1915.9646118254</v>
      </c>
      <c r="E8" s="0" t="n">
        <f aca="false">E6*E7/100</f>
        <v>1996.38422703143</v>
      </c>
      <c r="F8" s="0" t="n">
        <f aca="false">F6*F7/100</f>
        <v>2084.10414003736</v>
      </c>
      <c r="G8" s="0" t="n">
        <f aca="false">G6*G7/100</f>
        <v>2165.1875879007</v>
      </c>
      <c r="H8" s="0" t="n">
        <f aca="false">H6*H7/100</f>
        <v>2245.18150151008</v>
      </c>
      <c r="I8" s="0" t="n">
        <f aca="false">I6*I7/100</f>
        <v>2316.87566502922</v>
      </c>
      <c r="J8" s="0" t="n">
        <f aca="false">J6*J7/100</f>
        <v>2390.85081500815</v>
      </c>
      <c r="K8" s="0" t="n">
        <f aca="false">K6*K7/100</f>
        <v>2450.62208538335</v>
      </c>
      <c r="L8" s="0" t="n">
        <f aca="false">L6*L7/100</f>
        <v>2511.88763751793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1849.325836512</v>
      </c>
      <c r="D11" s="0" t="n">
        <f aca="false">D8+D10+D24</f>
        <v>1915.9646118254</v>
      </c>
      <c r="E11" s="0" t="n">
        <f aca="false">E8+E10+E24</f>
        <v>1996.38422703143</v>
      </c>
      <c r="F11" s="0" t="n">
        <f aca="false">F8+F10+F24</f>
        <v>2084.10414003736</v>
      </c>
      <c r="G11" s="0" t="n">
        <f aca="false">G8+G10+G24</f>
        <v>2165.1875879007</v>
      </c>
      <c r="H11" s="0" t="n">
        <f aca="false">H8+H10+H24</f>
        <v>2245.18150151008</v>
      </c>
      <c r="I11" s="0" t="n">
        <f aca="false">I8+I10+I24</f>
        <v>2316.87566502922</v>
      </c>
      <c r="J11" s="0" t="n">
        <f aca="false">J8+J10+J24</f>
        <v>2390.85081500815</v>
      </c>
      <c r="K11" s="0" t="n">
        <f aca="false">K8+K10+K24</f>
        <v>2450.62208538335</v>
      </c>
      <c r="L11" s="0" t="n">
        <f aca="false">L8+L10+L24</f>
        <v>2511.88763751793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1849.325836512</v>
      </c>
      <c r="D13" s="0" t="n">
        <f aca="false">D11+D12</f>
        <v>1915.9646118254</v>
      </c>
      <c r="E13" s="0" t="n">
        <f aca="false">E11+E12</f>
        <v>1996.38422703143</v>
      </c>
      <c r="F13" s="0" t="n">
        <f aca="false">F11+F12</f>
        <v>2084.10414003736</v>
      </c>
      <c r="G13" s="0" t="n">
        <f aca="false">G11+G12</f>
        <v>2165.1875879007</v>
      </c>
      <c r="H13" s="0" t="n">
        <f aca="false">H11+H12</f>
        <v>2245.18150151008</v>
      </c>
      <c r="I13" s="0" t="n">
        <f aca="false">I11+I12</f>
        <v>2316.87566502922</v>
      </c>
      <c r="J13" s="0" t="n">
        <f aca="false">J11+J12</f>
        <v>2390.85081500815</v>
      </c>
      <c r="K13" s="0" t="n">
        <f aca="false">K11+K12</f>
        <v>2450.62208538335</v>
      </c>
      <c r="L13" s="0" t="n">
        <f aca="false">L11+L12</f>
        <v>2511.88763751793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1849.325836512</v>
      </c>
      <c r="D15" s="0" t="n">
        <f aca="false">D13-MAX(0,D13)*D14/100</f>
        <v>1915.9646118254</v>
      </c>
      <c r="E15" s="0" t="n">
        <f aca="false">E13-MAX(0,E13)*E14/100</f>
        <v>1996.38422703143</v>
      </c>
      <c r="F15" s="0" t="n">
        <f aca="false">F13-MAX(0,F13)*F14/100</f>
        <v>2084.10414003736</v>
      </c>
      <c r="G15" s="0" t="n">
        <f aca="false">G13-MAX(0,G13)*G14/100</f>
        <v>2165.1875879007</v>
      </c>
      <c r="H15" s="0" t="n">
        <f aca="false">H13-MAX(0,H13)*H14/100</f>
        <v>2245.18150151008</v>
      </c>
      <c r="I15" s="0" t="n">
        <f aca="false">I13-MAX(0,I13)*I14/100</f>
        <v>2316.87566502922</v>
      </c>
      <c r="J15" s="0" t="n">
        <f aca="false">J13-MAX(0,J13)*J14/100</f>
        <v>2390.85081500815</v>
      </c>
      <c r="K15" s="0" t="n">
        <f aca="false">K13-MAX(0,K13)*K14/100</f>
        <v>2450.62208538335</v>
      </c>
      <c r="L15" s="0" t="n">
        <f aca="false">L13-MAX(0,L13)*L14/100</f>
        <v>2511.88763751793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-105.07533162</v>
      </c>
      <c r="D17" s="4" t="n">
        <f aca="false">-D6*Assumptions!D32/100</f>
        <v>-109.06819422156</v>
      </c>
      <c r="E17" s="4" t="n">
        <f aca="false">-E6*Assumptions!E32/100</f>
        <v>-113.430921990422</v>
      </c>
      <c r="F17" s="4" t="n">
        <f aca="false">-F6*Assumptions!F32/100</f>
        <v>-117.968158870039</v>
      </c>
      <c r="G17" s="4" t="n">
        <f aca="false">-G6*Assumptions!G32/100</f>
        <v>-122.097044430491</v>
      </c>
      <c r="H17" s="4" t="n">
        <f aca="false">-H6*Assumptions!H32/100</f>
        <v>-126.370440985558</v>
      </c>
      <c r="I17" s="4" t="n">
        <f aca="false">-I6*Assumptions!I32/100</f>
        <v>-130.161554215125</v>
      </c>
      <c r="J17" s="4" t="n">
        <f aca="false">-J6*Assumptions!J32/100</f>
        <v>-134.066400841578</v>
      </c>
      <c r="K17" s="4" t="n">
        <f aca="false">-K6*Assumptions!K32/100</f>
        <v>-137.418060862618</v>
      </c>
      <c r="L17" s="4" t="n">
        <f aca="false">-L6*Assumptions!L32/100</f>
        <v>-140.853512384183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1744.250504892</v>
      </c>
      <c r="D19" s="0" t="n">
        <f aca="false">D15+D16+D17+D18</f>
        <v>1806.89641760384</v>
      </c>
      <c r="E19" s="0" t="n">
        <f aca="false">E15+E16+E17+E18</f>
        <v>1882.95330504101</v>
      </c>
      <c r="F19" s="0" t="n">
        <f aca="false">F15+F16+F17+F18</f>
        <v>1966.13598116732</v>
      </c>
      <c r="G19" s="0" t="n">
        <f aca="false">G15+G16+G17+G18</f>
        <v>2043.09054347021</v>
      </c>
      <c r="H19" s="0" t="n">
        <f aca="false">H15+H16+H17+H18</f>
        <v>2118.81106052452</v>
      </c>
      <c r="I19" s="0" t="n">
        <f aca="false">I15+I16+I17+I18</f>
        <v>2186.71411081409</v>
      </c>
      <c r="J19" s="0" t="n">
        <f aca="false">J15+J16+J17+J18</f>
        <v>2256.78441416657</v>
      </c>
      <c r="K19" s="0" t="n">
        <f aca="false">K15+K16+K17+K18</f>
        <v>2313.20402452073</v>
      </c>
      <c r="L19" s="0" t="n">
        <f aca="false">L15+L16+L17+L18</f>
        <v>2371.03412513375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1607.60415197419</v>
      </c>
      <c r="D21" s="0" t="n">
        <f aca="false">D19*D20</f>
        <v>1534.87771462876</v>
      </c>
      <c r="E21" s="0" t="n">
        <f aca="false">E19*E20</f>
        <v>1474.17939148352</v>
      </c>
      <c r="F21" s="0" t="n">
        <f aca="false">F19*F20</f>
        <v>1418.71316338428</v>
      </c>
      <c r="G21" s="0" t="n">
        <f aca="false">G19*G20</f>
        <v>1358.74801529875</v>
      </c>
      <c r="H21" s="0" t="n">
        <f aca="false">H19*H20</f>
        <v>1298.71483743295</v>
      </c>
      <c r="I21" s="0" t="n">
        <f aca="false">I19*I20</f>
        <v>1235.33242280546</v>
      </c>
      <c r="J21" s="0" t="n">
        <f aca="false">J19*J20</f>
        <v>1175.03869454001</v>
      </c>
      <c r="K21" s="0" t="n">
        <f aca="false">K19*K20</f>
        <v>1110.05959622443</v>
      </c>
      <c r="L21" s="0" t="n">
        <f aca="false">L19*L20</f>
        <v>1048.67381210142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13261.9417998738</v>
      </c>
    </row>
    <row r="31" customFormat="false" ht="15" hidden="false" customHeight="false" outlineLevel="0" collapsed="false">
      <c r="A31" s="0" t="s">
        <v>136</v>
      </c>
      <c r="B31" s="0" t="n">
        <f aca="false">L19</f>
        <v>2371.03412513375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40505.1663043682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42678.6142524075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40505.1663043682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17914.844290066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31176.7860899397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31128.9590899397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140.855018506515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0.0562806037233947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140.855018506515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19442.4798260968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66.6902175209335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4.5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3377.542</v>
      </c>
      <c r="C6" s="0" t="n">
        <f aca="false">B6*(1+C5/100)</f>
        <v>3529.53139</v>
      </c>
      <c r="D6" s="0" t="n">
        <f aca="false">C6*(1+D5/100)</f>
        <v>3706.0079595</v>
      </c>
      <c r="E6" s="0" t="n">
        <f aca="false">D6*(1+E5/100)</f>
        <v>3891.308357475</v>
      </c>
      <c r="F6" s="0" t="n">
        <f aca="false">E6*(1+F5/100)</f>
        <v>4085.87377534875</v>
      </c>
      <c r="G6" s="0" t="n">
        <f aca="false">F6*(1+G5/100)</f>
        <v>4269.73809523944</v>
      </c>
      <c r="H6" s="0" t="n">
        <f aca="false">G6*(1+H5/100)</f>
        <v>4440.52761904902</v>
      </c>
      <c r="I6" s="0" t="n">
        <f aca="false">H6*(1+I5/100)</f>
        <v>4595.94608571574</v>
      </c>
      <c r="J6" s="0" t="n">
        <f aca="false">I6*(1+J5/100)</f>
        <v>4733.82446828721</v>
      </c>
      <c r="K6" s="0" t="n">
        <f aca="false">J6*(1+K5/100)</f>
        <v>4875.83920233583</v>
      </c>
      <c r="L6" s="0" t="n">
        <f aca="false">K6*(1+L5/100)</f>
        <v>5022.1143784059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53.2</v>
      </c>
      <c r="D7" s="4" t="n">
        <f aca="false">Assumptions!D42</f>
        <v>53.6</v>
      </c>
      <c r="E7" s="4" t="n">
        <f aca="false">Assumptions!E42</f>
        <v>54.2</v>
      </c>
      <c r="F7" s="4" t="n">
        <f aca="false">Assumptions!F42</f>
        <v>54.8</v>
      </c>
      <c r="G7" s="4" t="n">
        <f aca="false">Assumptions!G42</f>
        <v>55.2</v>
      </c>
      <c r="H7" s="4" t="n">
        <f aca="false">Assumptions!H42</f>
        <v>55.5</v>
      </c>
      <c r="I7" s="4" t="n">
        <f aca="false">Assumptions!I42</f>
        <v>55.5</v>
      </c>
      <c r="J7" s="4" t="n">
        <f aca="false">Assumptions!J42</f>
        <v>55.5</v>
      </c>
      <c r="K7" s="4" t="n">
        <f aca="false">Assumptions!K42</f>
        <v>55.5</v>
      </c>
      <c r="L7" s="4" t="n">
        <f aca="false">Assumptions!L42</f>
        <v>55.5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1877.71069948</v>
      </c>
      <c r="D8" s="0" t="n">
        <f aca="false">D6*D7/100</f>
        <v>1986.420266292</v>
      </c>
      <c r="E8" s="0" t="n">
        <f aca="false">E6*E7/100</f>
        <v>2109.08912975145</v>
      </c>
      <c r="F8" s="0" t="n">
        <f aca="false">F6*F7/100</f>
        <v>2239.05882889112</v>
      </c>
      <c r="G8" s="0" t="n">
        <f aca="false">G6*G7/100</f>
        <v>2356.89542857217</v>
      </c>
      <c r="H8" s="0" t="n">
        <f aca="false">H6*H7/100</f>
        <v>2464.49282857221</v>
      </c>
      <c r="I8" s="0" t="n">
        <f aca="false">I6*I7/100</f>
        <v>2550.75007757223</v>
      </c>
      <c r="J8" s="0" t="n">
        <f aca="false">J6*J7/100</f>
        <v>2627.2725798994</v>
      </c>
      <c r="K8" s="0" t="n">
        <f aca="false">K6*K7/100</f>
        <v>2706.09075729638</v>
      </c>
      <c r="L8" s="0" t="n">
        <f aca="false">L6*L7/100</f>
        <v>2787.27348001527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1877.71069948</v>
      </c>
      <c r="D11" s="0" t="n">
        <f aca="false">D8+D10+D24</f>
        <v>1986.420266292</v>
      </c>
      <c r="E11" s="0" t="n">
        <f aca="false">E8+E10+E24</f>
        <v>2109.08912975145</v>
      </c>
      <c r="F11" s="0" t="n">
        <f aca="false">F8+F10+F24</f>
        <v>2239.05882889112</v>
      </c>
      <c r="G11" s="0" t="n">
        <f aca="false">G8+G10+G24</f>
        <v>2356.89542857217</v>
      </c>
      <c r="H11" s="0" t="n">
        <f aca="false">H8+H10+H24</f>
        <v>2464.49282857221</v>
      </c>
      <c r="I11" s="0" t="n">
        <f aca="false">I8+I10+I24</f>
        <v>2550.75007757223</v>
      </c>
      <c r="J11" s="0" t="n">
        <f aca="false">J8+J10+J24</f>
        <v>2627.2725798994</v>
      </c>
      <c r="K11" s="0" t="n">
        <f aca="false">K8+K10+K24</f>
        <v>2706.09075729638</v>
      </c>
      <c r="L11" s="0" t="n">
        <f aca="false">L8+L10+L24</f>
        <v>2787.27348001527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1877.71069948</v>
      </c>
      <c r="D13" s="0" t="n">
        <f aca="false">D11+D12</f>
        <v>1986.420266292</v>
      </c>
      <c r="E13" s="0" t="n">
        <f aca="false">E11+E12</f>
        <v>2109.08912975145</v>
      </c>
      <c r="F13" s="0" t="n">
        <f aca="false">F11+F12</f>
        <v>2239.05882889112</v>
      </c>
      <c r="G13" s="0" t="n">
        <f aca="false">G11+G12</f>
        <v>2356.89542857217</v>
      </c>
      <c r="H13" s="0" t="n">
        <f aca="false">H11+H12</f>
        <v>2464.49282857221</v>
      </c>
      <c r="I13" s="0" t="n">
        <f aca="false">I11+I12</f>
        <v>2550.75007757223</v>
      </c>
      <c r="J13" s="0" t="n">
        <f aca="false">J11+J12</f>
        <v>2627.2725798994</v>
      </c>
      <c r="K13" s="0" t="n">
        <f aca="false">K11+K12</f>
        <v>2706.09075729638</v>
      </c>
      <c r="L13" s="0" t="n">
        <f aca="false">L11+L12</f>
        <v>2787.27348001527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1877.71069948</v>
      </c>
      <c r="D15" s="0" t="n">
        <f aca="false">D13-MAX(0,D13)*D14/100</f>
        <v>1986.420266292</v>
      </c>
      <c r="E15" s="0" t="n">
        <f aca="false">E13-MAX(0,E13)*E14/100</f>
        <v>2109.08912975145</v>
      </c>
      <c r="F15" s="0" t="n">
        <f aca="false">F13-MAX(0,F13)*F14/100</f>
        <v>2239.05882889112</v>
      </c>
      <c r="G15" s="0" t="n">
        <f aca="false">G13-MAX(0,G13)*G14/100</f>
        <v>2356.89542857217</v>
      </c>
      <c r="H15" s="0" t="n">
        <f aca="false">H13-MAX(0,H13)*H14/100</f>
        <v>2464.49282857221</v>
      </c>
      <c r="I15" s="0" t="n">
        <f aca="false">I13-MAX(0,I13)*I14/100</f>
        <v>2550.75007757223</v>
      </c>
      <c r="J15" s="0" t="n">
        <f aca="false">J13-MAX(0,J13)*J14/100</f>
        <v>2627.2725798994</v>
      </c>
      <c r="K15" s="0" t="n">
        <f aca="false">K13-MAX(0,K13)*K14/100</f>
        <v>2706.09075729638</v>
      </c>
      <c r="L15" s="0" t="n">
        <f aca="false">L13-MAX(0,L13)*L14/100</f>
        <v>2787.27348001527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-88.23828475</v>
      </c>
      <c r="D17" s="4" t="n">
        <f aca="false">-D6*Assumptions!D46/100</f>
        <v>-92.6501989875</v>
      </c>
      <c r="E17" s="4" t="n">
        <f aca="false">-E6*Assumptions!E46/100</f>
        <v>-97.282708936875</v>
      </c>
      <c r="F17" s="4" t="n">
        <f aca="false">-F6*Assumptions!F46/100</f>
        <v>-102.146844383719</v>
      </c>
      <c r="G17" s="4" t="n">
        <f aca="false">-G6*Assumptions!G46/100</f>
        <v>-106.743452380986</v>
      </c>
      <c r="H17" s="4" t="n">
        <f aca="false">-H6*Assumptions!H46/100</f>
        <v>-111.013190476226</v>
      </c>
      <c r="I17" s="4" t="n">
        <f aca="false">-I6*Assumptions!I46/100</f>
        <v>-114.898652142893</v>
      </c>
      <c r="J17" s="4" t="n">
        <f aca="false">-J6*Assumptions!J46/100</f>
        <v>-118.34561170718</v>
      </c>
      <c r="K17" s="4" t="n">
        <f aca="false">-K6*Assumptions!K46/100</f>
        <v>-121.895980058396</v>
      </c>
      <c r="L17" s="4" t="n">
        <f aca="false">-L6*Assumptions!L46/100</f>
        <v>-125.552859460147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1789.47241473</v>
      </c>
      <c r="D19" s="0" t="n">
        <f aca="false">D15+D16+D17+D18</f>
        <v>1893.7700673045</v>
      </c>
      <c r="E19" s="0" t="n">
        <f aca="false">E15+E16+E17+E18</f>
        <v>2011.80642081458</v>
      </c>
      <c r="F19" s="0" t="n">
        <f aca="false">F15+F16+F17+F18</f>
        <v>2136.9119845074</v>
      </c>
      <c r="G19" s="0" t="n">
        <f aca="false">G15+G16+G17+G18</f>
        <v>2250.15197619119</v>
      </c>
      <c r="H19" s="0" t="n">
        <f aca="false">H15+H16+H17+H18</f>
        <v>2353.47963809598</v>
      </c>
      <c r="I19" s="0" t="n">
        <f aca="false">I15+I16+I17+I18</f>
        <v>2435.85142542934</v>
      </c>
      <c r="J19" s="0" t="n">
        <f aca="false">J15+J16+J17+J18</f>
        <v>2508.92696819222</v>
      </c>
      <c r="K19" s="0" t="n">
        <f aca="false">K15+K16+K17+K18</f>
        <v>2584.19477723799</v>
      </c>
      <c r="L19" s="0" t="n">
        <f aca="false">L15+L16+L17+L18</f>
        <v>2661.72062055513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1656.91890252778</v>
      </c>
      <c r="D21" s="0" t="n">
        <f aca="false">D19*D20</f>
        <v>1623.60259542567</v>
      </c>
      <c r="E21" s="0" t="n">
        <f aca="false">E19*E20</f>
        <v>1597.036799534</v>
      </c>
      <c r="F21" s="0" t="n">
        <f aca="false">F19*F20</f>
        <v>1570.69410141145</v>
      </c>
      <c r="G21" s="0" t="n">
        <f aca="false">G19*G20</f>
        <v>1531.41562576802</v>
      </c>
      <c r="H21" s="0" t="n">
        <f aca="false">H19*H20</f>
        <v>1483.09138541593</v>
      </c>
      <c r="I21" s="0" t="n">
        <f aca="false">I19*I20</f>
        <v>1421.2959110236</v>
      </c>
      <c r="J21" s="0" t="n">
        <f aca="false">J19*J20</f>
        <v>1355.49517440214</v>
      </c>
      <c r="K21" s="0" t="n">
        <f aca="false">K19*K20</f>
        <v>1292.74076817981</v>
      </c>
      <c r="L21" s="0" t="n">
        <f aca="false">L19*L20</f>
        <v>1232.89165854186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14765.1829222302</v>
      </c>
    </row>
    <row r="31" customFormat="false" ht="15" hidden="false" customHeight="false" outlineLevel="0" collapsed="false">
      <c r="A31" s="0" t="s">
        <v>136</v>
      </c>
      <c r="B31" s="0" t="n">
        <f aca="false">L19</f>
        <v>2661.72062055513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54831.4447834356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47910.9711699923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47910.9711699923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22192.0498537535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36957.2327759837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36909.4057759837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167.01088586418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0.252425090844992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167.01088586418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22846.4353264315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74.1931777569387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98.0200826334913</v>
      </c>
      <c r="C4" s="0" t="n">
        <f aca="false">B4/Assumptions!$B$2-1</f>
        <v>-0.264941262590991</v>
      </c>
      <c r="D4" s="4" t="n">
        <f aca="false">Assumptions!$B$24</f>
        <v>0.25</v>
      </c>
      <c r="E4" s="4" t="n">
        <f aca="false">DCF_Bear!$B$43</f>
        <v>98.0200826334913</v>
      </c>
      <c r="F4" s="4" t="n">
        <f aca="false">DCF_Bear!$B$47</f>
        <v>56.6558447963844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140.855018506515</v>
      </c>
      <c r="C5" s="0" t="n">
        <f aca="false">B5/Assumptions!$B$2-1</f>
        <v>0.0562806037233947</v>
      </c>
      <c r="D5" s="4" t="n">
        <f aca="false">Assumptions!$B$38</f>
        <v>0.5</v>
      </c>
      <c r="E5" s="4" t="n">
        <f aca="false">DCF_Base!$B$43</f>
        <v>140.855018506515</v>
      </c>
      <c r="F5" s="4" t="n">
        <f aca="false">DCF_Base!$B$47</f>
        <v>66.6902175209335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167.01088586418</v>
      </c>
      <c r="C6" s="0" t="n">
        <f aca="false">B6/Assumptions!$B$2-1</f>
        <v>0.252425090844992</v>
      </c>
      <c r="D6" s="4" t="n">
        <f aca="false">Assumptions!$B$52</f>
        <v>0.25</v>
      </c>
      <c r="E6" s="4" t="n">
        <f aca="false">DCF_Bull!$B$43</f>
        <v>167.01088586418</v>
      </c>
      <c r="F6" s="4" t="n">
        <f aca="false">DCF_Bull!$B$47</f>
        <v>74.1931777569387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136.685251377675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136.685251377675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0.0244009601918166</v>
      </c>
    </row>
    <row r="11" customFormat="false" ht="15" hidden="false" customHeight="false" outlineLevel="0" collapsed="false">
      <c r="A11" s="0" t="s">
        <v>163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66.0573643987975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140.855018506515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129.866194161354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112.292540951695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98.8633221399502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88.2692633840985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66.6902175209335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168.75914989725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168.75914989725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168.75914989725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168.75914989725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168.75914989725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150.786370178771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156.425641557744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156.425641557744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156.425641557744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156.425641557744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128.596765046807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134.254420489749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140.855018506515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145.204721347056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145.204721347056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111.985189100754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115.935553987159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120.450256714479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125.659529092156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131.737013532779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99.0903508156506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101.945268546933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105.157050994627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108.797071102012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112.957094081881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2026-09-28T07:59:18Z</dcterms:created>
  <dc:creator>openpyxl</dc:creator>
  <dc:description/>
  <dc:language>en-NZ</dc:language>
  <cp:lastModifiedBy/>
  <dcterms:modified xsi:type="dcterms:W3CDTF">2026-09-28T07:59:18Z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