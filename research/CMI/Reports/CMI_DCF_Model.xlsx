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<sst xmlns="http://schemas.openxmlformats.org/spreadsheetml/2006/main" count="389" uniqueCount="174">
  <si>
    <t xml:space="preserve">Ticker</t>
  </si>
  <si>
    <t xml:space="preserve">CMI</t>
  </si>
  <si>
    <t xml:space="preserve">Company</t>
  </si>
  <si>
    <t xml:space="preserve">Cummins Inc.</t>
  </si>
  <si>
    <t xml:space="preserve">Valuation date</t>
  </si>
  <si>
    <t xml:space="preserve">2026-09-26</t>
  </si>
  <si>
    <t xml:space="preserve">Current price</t>
  </si>
  <si>
    <t xml:space="preserve">Price as of</t>
  </si>
  <si>
    <t xml:space="preserve">2026-09-25T20:00:02Z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</si>
  <si>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</si>
  <si>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</si>
  <si>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</si>
  <si>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</si>
  <si>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</si>
  <si>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</si>
  <si>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</si>
  <si>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</si>
  <si>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</si>
  <si>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</si>
  <si>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</si>
  <si>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</si>
  <si>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2026-09-26T00:54:09Z</t>
  </si>
  <si>
    <t xml:space="preserve">Drivers file</t>
  </si>
  <si>
    <t xml:space="preserve">CMI_Drivers.json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</si>
  <si>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</si>
  <si>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</si>
  <si>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</si>
  <si>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Cyclical industrial valued on unlevered owner FCF built from components, with the truck cycle (pre-buy then air pocket) explicit in every scenario and mid-cycle terminal margins capped at 12-15x terminal FCF. Risk is charged in the flows and scenario weights, not stacked in the discount rate. SBC is immaterial (~0.3% of revenue), so the house/street band is narrow.
key_risks_to_valuation: Hyperscaler/AI data-center capex slowdown hitting the highest-margin segment (Power Systems); EPA 2027 NOx rule delay/reversal removing the pre-buy; North American freight/construction downturn and Section 232 tariffs; OEM engine in-sourcing (PACCAR) and customer concentration; Retained JV earnings (China/India) not converting to cash; NCI valued at a multiple, not book; Warranty exposure on new HELM/X10 platforms (accrual 2.8bn)</t>
  </si>
  <si>
    <t xml:space="preserve">Data sources</t>
  </si>
  <si>
    <t xml:space="preserve">price: Yahoo Finance chart API at inputs.price_as_of; 52-week range 400.72-737.76
financials: research/CMI/Reports/CMI_Metrics.csv (from SEC XBRL); SEC companyfacts API (CIK 26172) for NCI, marketable securities, JV equity income, cash taxes, diluted shares, buybacks through the Q2 2026 10-Q
qualitative: research/CMI/Reports/CMI_Analysis.json (2026-09-26): FY2026 guidance raised to +10-13% revenue and 18.0-18.5% EBITDA; 2030 targets 45-50bn revenue and &gt;20% EBITDA</t>
  </si>
  <si>
    <t xml:space="preserve">Scenario narrative: bear</t>
  </si>
  <si>
    <t xml:space="preserve">Hyperscaler capex digests after 2027 and Power Systems backlog normalises, just as the EPA-2027 NOx rule is delayed or diluted -- no pre-buy, and a freight recession plus Section 232 tariffs push FY2028 NA truck and construction volumes down ~10% with operating deleverage to ~14.5% EBITDA. PACCAR/OEM in-sourcing erodes engine share; margins recover only to ~16%, roughly the pre-data-center mid-cycle.</t>
  </si>
  <si>
    <t xml:space="preserve">Scenario narrative: base</t>
  </si>
  <si>
    <t xml:space="preserve">Power Systems keeps compounding on hyperscale/AI standby and prime power (generators, natural-gas gensets, BESS) while Distribution/aftermarket grows with the installed base. North American heavy-duty truck gets a modest EPA-2027 pre-buy in FY2027 and pays for it with a FY2028 air pocket; China on/off-highway recovers slowly. Accelera losses shrink after the electrolyzer exit. Revenue lands at ~44bn by 2030 (just short of the 45-50bn target) and EBITDA settles at a mid-cycle ~19% (company basis), not the &gt;20% management targets.</t>
  </si>
  <si>
    <t xml:space="preserve">Scenario narrative: bull</t>
  </si>
  <si>
    <t xml:space="preserve">Data-center power demand stays structural through the decade and the large-engine capacity expansion fills; the EPA-2027 rule holds and triggers a full pre-buy, with HELM/X10 content gains; the post-pre-buy dip is shallow because Power Systems and aftermarket carry the mix. Cummins hits the top of its raised 2030 targets (~49bn revenue, &gt;20% EBITDA) and buybacks continue.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</si>
  <si>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</si>
  <si>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</si>
  <si>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</si>
  <si>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</si>
  <si>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</si>
  <si>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</si>
  <si>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</si>
  <si>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</si>
  <si>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</si>
  <si>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</si>
  <si>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</si>
  <si>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</si>
  <si>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</si>
  <si>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</si>
  <si>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</si>
  <si>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</si>
  <si>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</si>
  <si>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</si>
  <si>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</si>
  <si>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</si>
  <si>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</si>
  <si>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</si>
  <si>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</si>
  <si>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</si>
  <si>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</si>
  <si>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</si>
  <si>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</si>
  <si>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</si>
  <si>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</si>
  <si>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</si>
  <si>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</si>
  <si>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</si>
  <si>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</si>
  <si>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</si>
  <si>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</si>
  <si>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</si>
  <si>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</si>
  <si>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</si>
  <si>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</si>
  <si>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</si>
  <si>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</si>
  <si>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</si>
  <si>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</si>
  <si>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</si>
  <si>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</si>
  <si>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</si>
  <si>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</si>
  <si>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</si>
  <si>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</si>
  <si>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</si>
  <si>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</si>
  <si>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</si>
  <si>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</si>
  <si>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</si>
  <si>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</si>
  <si>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</si>
  <si>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</si>
  <si>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</si>
  <si>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</si>
  <si>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</si>
  <si>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</si>
  <si>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</si>
  <si>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</si>
  <si>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</si>
  <si>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</si>
  <si>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</si>
  <si>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</si>
  <si>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</si>
  <si>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</si>
  <si>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</si>
  <si>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</si>
  <si>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</si>
  <si>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</si>
  <si>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</si>
  <si>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</si>
  <si>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</si>
  <si>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</si>
  <si>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</si>
  <si>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</si>
  <si>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</si>
  <si>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</si>
  <si>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</si>
  <si>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</si>
  <si>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</si>
  <si>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CMI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</si>
  <si>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</si>
  <si>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</si>
  <si>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</si>
  <si>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</si>
  <si>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</si>
  <si>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</si>
  <si>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</si>
  <si>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</si>
  <si>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</si>
  <si>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</si>
  <si>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</si>
  <si>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</si>
  <si>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</si>
  <si>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</si>
  <si>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</si>
  <si>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</si>
  <si>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</si>
  <si>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</si>
  <si>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</si>
  <si>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</si>
  <si>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</si>
  <si>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</si>
  <si>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</si>
  <si>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</si>
  <si>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</si>
  <si>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</si>
  <si>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</si>
  <si>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</si>
  <si>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</si>
  <si>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</si>
  <si>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CMI owner-FCF component DCF: base case (millions, USD)</t>
  </si>
  <si>
    <t xml:space="preserve">CMI owner-FCF component DCF: bull case (millions, USD)</t>
  </si>
  <si>
    <t xml:space="preserve">CMI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</si>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</sst>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525.06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3056</v>
      </c>
      <c r="S2" s="0" t="n">
        <v>840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13048</v>
      </c>
      <c r="C3" s="0" t="n">
        <v>10492</v>
      </c>
      <c r="D3" s="0" t="n">
        <v>2556</v>
      </c>
      <c r="E3" s="0" t="n">
        <v>19.5892090741876</v>
      </c>
      <c r="F3" s="0" t="n">
        <v>1158</v>
      </c>
      <c r="G3" s="0" t="n">
        <v>8.8749233599019</v>
      </c>
      <c r="H3" s="0" t="n">
        <v>1448</v>
      </c>
      <c r="I3" s="0" t="n">
        <v>788</v>
      </c>
      <c r="J3" s="0" t="n">
        <v>6.03923973022685</v>
      </c>
      <c r="K3" s="0" t="n">
        <v>3.72</v>
      </c>
      <c r="L3" s="0" t="n">
        <v>810</v>
      </c>
      <c r="M3" s="0" t="n">
        <v>353</v>
      </c>
      <c r="N3" s="0" t="n">
        <v>457</v>
      </c>
      <c r="O3" s="0" t="n">
        <v>3702</v>
      </c>
      <c r="S3" s="0" t="n">
        <v>577</v>
      </c>
      <c r="U3" s="0" t="n">
        <v>28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14342</v>
      </c>
      <c r="C4" s="0" t="n">
        <v>11402</v>
      </c>
      <c r="D4" s="0" t="n">
        <v>2940</v>
      </c>
      <c r="E4" s="0" t="n">
        <v>20.4992330218937</v>
      </c>
      <c r="F4" s="0" t="n">
        <v>1272</v>
      </c>
      <c r="G4" s="0" t="n">
        <v>8.86905591967648</v>
      </c>
      <c r="H4" s="0" t="n">
        <v>1586</v>
      </c>
      <c r="I4" s="0" t="n">
        <v>818</v>
      </c>
      <c r="J4" s="0" t="n">
        <v>5.7035280992888</v>
      </c>
      <c r="K4" s="0" t="n">
        <v>3.87</v>
      </c>
      <c r="L4" s="0" t="n">
        <v>987</v>
      </c>
      <c r="M4" s="0" t="n">
        <v>543</v>
      </c>
      <c r="N4" s="0" t="n">
        <v>444</v>
      </c>
      <c r="O4" s="0" t="n">
        <v>3480</v>
      </c>
      <c r="P4" s="0" t="n">
        <v>8519</v>
      </c>
      <c r="Q4" s="0" t="n">
        <v>5039</v>
      </c>
      <c r="R4" s="0" t="n">
        <v>698</v>
      </c>
      <c r="S4" s="0" t="n">
        <v>426</v>
      </c>
      <c r="T4" s="0" t="n">
        <v>196.530548</v>
      </c>
      <c r="U4" s="0" t="n">
        <v>28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10800</v>
      </c>
      <c r="C5" s="0" t="n">
        <v>8631</v>
      </c>
      <c r="D5" s="0" t="n">
        <v>2169</v>
      </c>
      <c r="E5" s="0" t="n">
        <v>20.0833333333333</v>
      </c>
      <c r="F5" s="0" t="n">
        <v>682</v>
      </c>
      <c r="G5" s="0" t="n">
        <v>6.31481481481482</v>
      </c>
      <c r="H5" s="0" t="n">
        <v>1008</v>
      </c>
      <c r="I5" s="0" t="n">
        <v>484</v>
      </c>
      <c r="J5" s="0" t="n">
        <v>4.48148148148148</v>
      </c>
      <c r="K5" s="0" t="n">
        <v>2.17</v>
      </c>
      <c r="L5" s="0" t="n">
        <v>1137</v>
      </c>
      <c r="M5" s="0" t="n">
        <v>310</v>
      </c>
      <c r="N5" s="0" t="n">
        <v>827</v>
      </c>
      <c r="O5" s="0" t="n">
        <v>4020</v>
      </c>
      <c r="P5" s="0" t="n">
        <v>8816</v>
      </c>
      <c r="Q5" s="0" t="n">
        <v>4796</v>
      </c>
      <c r="R5" s="0" t="n">
        <v>607</v>
      </c>
      <c r="S5" s="0" t="n">
        <v>930</v>
      </c>
      <c r="T5" s="0" t="n">
        <v>197.695124</v>
      </c>
      <c r="U5" s="0" t="n">
        <v>20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13226</v>
      </c>
      <c r="C6" s="0" t="n">
        <v>10058</v>
      </c>
      <c r="D6" s="0" t="n">
        <v>3168</v>
      </c>
      <c r="E6" s="0" t="n">
        <v>23.9528202026312</v>
      </c>
      <c r="F6" s="0" t="n">
        <v>1602</v>
      </c>
      <c r="G6" s="0" t="n">
        <v>12.1125056706487</v>
      </c>
      <c r="H6" s="0" t="n">
        <v>1922</v>
      </c>
      <c r="I6" s="0" t="n">
        <v>1140</v>
      </c>
      <c r="J6" s="0" t="n">
        <v>8.61938605776501</v>
      </c>
      <c r="K6" s="0" t="n">
        <v>5.29</v>
      </c>
      <c r="L6" s="0" t="n">
        <v>1006</v>
      </c>
      <c r="M6" s="0" t="n">
        <v>364</v>
      </c>
      <c r="N6" s="0" t="n">
        <v>642</v>
      </c>
      <c r="O6" s="0" t="n">
        <v>4996</v>
      </c>
      <c r="P6" s="0" t="n">
        <v>10402</v>
      </c>
      <c r="Q6" s="0" t="n">
        <v>5406</v>
      </c>
      <c r="R6" s="0" t="n">
        <v>657</v>
      </c>
      <c r="S6" s="0" t="n">
        <v>1023</v>
      </c>
      <c r="T6" s="0" t="n">
        <v>197.148407</v>
      </c>
      <c r="U6" s="0" t="n">
        <v>22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18048</v>
      </c>
      <c r="C7" s="0" t="n">
        <v>13459</v>
      </c>
      <c r="D7" s="0" t="n">
        <v>4589</v>
      </c>
      <c r="E7" s="0" t="n">
        <v>25.426640070922</v>
      </c>
      <c r="F7" s="0" t="n">
        <v>2681</v>
      </c>
      <c r="G7" s="0" t="n">
        <v>14.8548315602837</v>
      </c>
      <c r="H7" s="0" t="n">
        <v>3006</v>
      </c>
      <c r="I7" s="0" t="n">
        <v>1946</v>
      </c>
      <c r="J7" s="0" t="n">
        <v>10.7823581560284</v>
      </c>
      <c r="K7" s="0" t="n">
        <v>9.58</v>
      </c>
      <c r="M7" s="0" t="n">
        <v>622</v>
      </c>
      <c r="O7" s="0" t="n">
        <v>5831</v>
      </c>
      <c r="P7" s="0" t="n">
        <v>11668</v>
      </c>
      <c r="Q7" s="0" t="n">
        <v>5837</v>
      </c>
      <c r="R7" s="0" t="n">
        <v>755</v>
      </c>
      <c r="S7" s="0" t="n">
        <v>1484</v>
      </c>
      <c r="T7" s="0" t="n">
        <v>193.597878</v>
      </c>
      <c r="U7" s="0" t="n">
        <v>42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17334</v>
      </c>
      <c r="C8" s="0" t="n">
        <v>12918</v>
      </c>
      <c r="D8" s="0" t="n">
        <v>4416</v>
      </c>
      <c r="E8" s="0" t="n">
        <v>25.4759432329526</v>
      </c>
      <c r="F8" s="0" t="n">
        <v>2254</v>
      </c>
      <c r="G8" s="0" t="n">
        <v>13.0033460251529</v>
      </c>
      <c r="H8" s="0" t="n">
        <v>2615</v>
      </c>
      <c r="I8" s="0" t="n">
        <v>1738</v>
      </c>
      <c r="J8" s="0" t="n">
        <v>10.0265374408677</v>
      </c>
      <c r="K8" s="0" t="n">
        <v>8.69</v>
      </c>
      <c r="M8" s="0" t="n">
        <v>690</v>
      </c>
      <c r="O8" s="0" t="n">
        <v>6974</v>
      </c>
      <c r="P8" s="0" t="n">
        <v>12548</v>
      </c>
      <c r="Q8" s="0" t="n">
        <v>5574</v>
      </c>
      <c r="R8" s="0" t="n">
        <v>759</v>
      </c>
      <c r="S8" s="0" t="n">
        <v>1369</v>
      </c>
      <c r="T8" s="0" t="n">
        <v>189.668704</v>
      </c>
      <c r="U8" s="0" t="n">
        <v>36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17301</v>
      </c>
      <c r="C9" s="0" t="n">
        <v>13021</v>
      </c>
      <c r="D9" s="0" t="n">
        <v>4280</v>
      </c>
      <c r="E9" s="0" t="n">
        <v>24.7384544245997</v>
      </c>
      <c r="F9" s="0" t="n">
        <v>2101</v>
      </c>
      <c r="G9" s="0" t="n">
        <v>12.1438067163748</v>
      </c>
      <c r="H9" s="0" t="n">
        <v>2508</v>
      </c>
      <c r="I9" s="0" t="n">
        <v>1588</v>
      </c>
      <c r="J9" s="0" t="n">
        <v>9.17866019305243</v>
      </c>
      <c r="K9" s="0" t="n">
        <v>7.93</v>
      </c>
      <c r="M9" s="0" t="n">
        <v>676</v>
      </c>
      <c r="O9" s="0" t="n">
        <v>7870</v>
      </c>
      <c r="P9" s="0" t="n">
        <v>14728</v>
      </c>
      <c r="Q9" s="0" t="n">
        <v>6858</v>
      </c>
      <c r="R9" s="0" t="n">
        <v>1723</v>
      </c>
      <c r="S9" s="0" t="n">
        <v>2699</v>
      </c>
      <c r="T9" s="0" t="n">
        <v>187.417841</v>
      </c>
      <c r="U9" s="0" t="n">
        <v>37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19221</v>
      </c>
      <c r="C10" s="0" t="n">
        <v>14360</v>
      </c>
      <c r="D10" s="0" t="n">
        <v>4861</v>
      </c>
      <c r="E10" s="0" t="n">
        <v>25.2900473440508</v>
      </c>
      <c r="F10" s="0" t="n">
        <v>2365</v>
      </c>
      <c r="G10" s="0" t="n">
        <v>12.3042505592841</v>
      </c>
      <c r="H10" s="0" t="n">
        <v>2820</v>
      </c>
      <c r="I10" s="0" t="n">
        <v>1736</v>
      </c>
      <c r="J10" s="0" t="n">
        <v>9.03178814837938</v>
      </c>
      <c r="K10" s="0" t="n">
        <v>9.04</v>
      </c>
      <c r="L10" s="0" t="n">
        <v>2266</v>
      </c>
      <c r="M10" s="0" t="n">
        <v>743</v>
      </c>
      <c r="N10" s="0" t="n">
        <v>1523</v>
      </c>
      <c r="O10" s="0" t="n">
        <v>8093</v>
      </c>
      <c r="P10" s="0" t="n">
        <v>15764</v>
      </c>
      <c r="Q10" s="0" t="n">
        <v>7671</v>
      </c>
      <c r="R10" s="0" t="n">
        <v>1600</v>
      </c>
      <c r="S10" s="0" t="n">
        <v>2301</v>
      </c>
      <c r="T10" s="0" t="n">
        <v>183.079295</v>
      </c>
      <c r="U10" s="0" t="n">
        <v>36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19110</v>
      </c>
      <c r="C11" s="0" t="n">
        <v>14163</v>
      </c>
      <c r="D11" s="0" t="n">
        <v>4947</v>
      </c>
      <c r="E11" s="0" t="n">
        <v>25.8869701726845</v>
      </c>
      <c r="F11" s="0" t="n">
        <v>2057</v>
      </c>
      <c r="G11" s="0" t="n">
        <v>10.7639979068551</v>
      </c>
      <c r="H11" s="0" t="n">
        <v>2571</v>
      </c>
      <c r="I11" s="0" t="n">
        <v>1470</v>
      </c>
      <c r="J11" s="0" t="n">
        <v>7.69230769230769</v>
      </c>
      <c r="K11" s="0" t="n">
        <v>7.86</v>
      </c>
      <c r="L11" s="0" t="n">
        <v>2065</v>
      </c>
      <c r="M11" s="0" t="n">
        <v>744</v>
      </c>
      <c r="N11" s="0" t="n">
        <v>1321</v>
      </c>
      <c r="O11" s="0" t="n">
        <v>7750</v>
      </c>
      <c r="P11" s="0" t="n">
        <v>15134</v>
      </c>
      <c r="Q11" s="0" t="n">
        <v>7384</v>
      </c>
      <c r="R11" s="0" t="n">
        <v>1615</v>
      </c>
      <c r="S11" s="0" t="n">
        <v>1711</v>
      </c>
      <c r="T11" s="0" t="n">
        <v>178.406828</v>
      </c>
      <c r="U11" s="0" t="n">
        <v>24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17509</v>
      </c>
      <c r="C12" s="0" t="n">
        <v>13051</v>
      </c>
      <c r="D12" s="0" t="n">
        <v>4458</v>
      </c>
      <c r="E12" s="0" t="n">
        <v>25.4611913872865</v>
      </c>
      <c r="F12" s="0" t="n">
        <v>1880</v>
      </c>
      <c r="G12" s="0" t="n">
        <v>10.7373350848135</v>
      </c>
      <c r="H12" s="0" t="n">
        <v>2410</v>
      </c>
      <c r="I12" s="0" t="n">
        <v>1456</v>
      </c>
      <c r="J12" s="0" t="n">
        <v>8.31572334228111</v>
      </c>
      <c r="K12" s="0" t="n">
        <v>8.25</v>
      </c>
      <c r="L12" s="0" t="n">
        <v>1939</v>
      </c>
      <c r="M12" s="0" t="n">
        <v>531</v>
      </c>
      <c r="N12" s="0" t="n">
        <v>1408</v>
      </c>
      <c r="O12" s="0" t="n">
        <v>7174</v>
      </c>
      <c r="P12" s="0" t="n">
        <v>15011</v>
      </c>
      <c r="Q12" s="0" t="n">
        <v>7837</v>
      </c>
      <c r="R12" s="0" t="n">
        <v>1603</v>
      </c>
      <c r="S12" s="0" t="n">
        <v>1120</v>
      </c>
      <c r="T12" s="0" t="n">
        <v>169.336616</v>
      </c>
      <c r="U12" s="0" t="n">
        <v>32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20428</v>
      </c>
      <c r="C13" s="0" t="n">
        <v>15328</v>
      </c>
      <c r="D13" s="0" t="n">
        <v>5100</v>
      </c>
      <c r="E13" s="0" t="n">
        <v>24.9657333072254</v>
      </c>
      <c r="F13" s="0" t="n">
        <v>2334</v>
      </c>
      <c r="G13" s="0" t="n">
        <v>11.4254944194243</v>
      </c>
      <c r="H13" s="0" t="n">
        <v>2917</v>
      </c>
      <c r="I13" s="0" t="n">
        <v>994</v>
      </c>
      <c r="J13" s="0" t="n">
        <v>4.86587037399648</v>
      </c>
      <c r="K13" s="0" t="n">
        <v>5.99</v>
      </c>
      <c r="L13" s="0" t="n">
        <v>2277</v>
      </c>
      <c r="M13" s="0" t="n">
        <v>506</v>
      </c>
      <c r="N13" s="0" t="n">
        <v>1771</v>
      </c>
      <c r="O13" s="0" t="n">
        <v>8164</v>
      </c>
      <c r="P13" s="0" t="n">
        <v>18075</v>
      </c>
      <c r="Q13" s="0" t="n">
        <v>9911</v>
      </c>
      <c r="R13" s="0" t="n">
        <v>1651</v>
      </c>
      <c r="S13" s="0" t="n">
        <v>1369</v>
      </c>
      <c r="T13" s="0" t="n">
        <v>167.3</v>
      </c>
      <c r="U13" s="0" t="n">
        <v>41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23771</v>
      </c>
      <c r="C14" s="0" t="n">
        <v>18034</v>
      </c>
      <c r="D14" s="0" t="n">
        <v>5737</v>
      </c>
      <c r="E14" s="0" t="n">
        <v>24.1344495393547</v>
      </c>
      <c r="F14" s="0" t="n">
        <v>2786</v>
      </c>
      <c r="G14" s="0" t="n">
        <v>11.7201632240966</v>
      </c>
      <c r="H14" s="0" t="n">
        <v>3397</v>
      </c>
      <c r="I14" s="0" t="n">
        <v>2187</v>
      </c>
      <c r="J14" s="0" t="n">
        <v>9.20028606284969</v>
      </c>
      <c r="K14" s="0" t="n">
        <v>13.2</v>
      </c>
      <c r="L14" s="0" t="n">
        <v>2378</v>
      </c>
      <c r="M14" s="0" t="n">
        <v>709</v>
      </c>
      <c r="N14" s="0" t="n">
        <v>1669</v>
      </c>
      <c r="O14" s="0" t="n">
        <v>8259</v>
      </c>
      <c r="P14" s="0" t="n">
        <v>19062</v>
      </c>
      <c r="Q14" s="0" t="n">
        <v>10803</v>
      </c>
      <c r="R14" s="0" t="n">
        <v>1642</v>
      </c>
      <c r="S14" s="0" t="n">
        <v>1303</v>
      </c>
      <c r="T14" s="0" t="n">
        <v>162.8</v>
      </c>
      <c r="U14" s="0" t="n">
        <v>53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23571</v>
      </c>
      <c r="C15" s="0" t="n">
        <v>17591</v>
      </c>
      <c r="D15" s="0" t="n">
        <v>5980</v>
      </c>
      <c r="E15" s="0" t="n">
        <v>25.3701582453014</v>
      </c>
      <c r="F15" s="0" t="n">
        <v>2700</v>
      </c>
      <c r="G15" s="0" t="n">
        <v>11.454753722795</v>
      </c>
      <c r="H15" s="0" t="n">
        <v>3372</v>
      </c>
      <c r="I15" s="0" t="n">
        <v>2268</v>
      </c>
      <c r="J15" s="0" t="n">
        <v>9.62199312714777</v>
      </c>
      <c r="K15" s="0" t="n">
        <v>14.54</v>
      </c>
      <c r="L15" s="0" t="n">
        <v>3181</v>
      </c>
      <c r="M15" s="0" t="n">
        <v>700</v>
      </c>
      <c r="N15" s="0" t="n">
        <v>2481</v>
      </c>
      <c r="O15" s="0" t="n">
        <v>8407</v>
      </c>
      <c r="P15" s="0" t="n">
        <v>19737</v>
      </c>
      <c r="Q15" s="0" t="n">
        <v>11272</v>
      </c>
      <c r="R15" s="0" t="n">
        <v>1607</v>
      </c>
      <c r="S15" s="0" t="n">
        <v>1129</v>
      </c>
      <c r="T15" s="0" t="n">
        <v>156.1</v>
      </c>
      <c r="U15" s="0" t="n">
        <v>49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19811</v>
      </c>
      <c r="C16" s="0" t="n">
        <v>14917</v>
      </c>
      <c r="D16" s="0" t="n">
        <v>4894</v>
      </c>
      <c r="E16" s="0" t="n">
        <v>24.7034475796275</v>
      </c>
      <c r="F16" s="0" t="n">
        <v>2269</v>
      </c>
      <c r="G16" s="0" t="n">
        <v>11.4532330523447</v>
      </c>
      <c r="H16" s="0" t="n">
        <v>2942</v>
      </c>
      <c r="I16" s="0" t="n">
        <v>1811</v>
      </c>
      <c r="J16" s="0" t="n">
        <v>9.14138609863207</v>
      </c>
      <c r="K16" s="0" t="n">
        <v>12.07</v>
      </c>
      <c r="L16" s="0" t="n">
        <v>2722</v>
      </c>
      <c r="M16" s="0" t="n">
        <v>528</v>
      </c>
      <c r="N16" s="0" t="n">
        <v>2194</v>
      </c>
      <c r="O16" s="0" t="n">
        <v>8707</v>
      </c>
      <c r="P16" s="0" t="n">
        <v>22624</v>
      </c>
      <c r="Q16" s="0" t="n">
        <v>13635</v>
      </c>
      <c r="R16" s="0" t="n">
        <v>3672</v>
      </c>
      <c r="S16" s="0" t="n">
        <v>3401</v>
      </c>
      <c r="T16" s="0" t="n">
        <v>149</v>
      </c>
      <c r="U16" s="0" t="n">
        <v>30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24021</v>
      </c>
      <c r="C17" s="0" t="n">
        <v>18326</v>
      </c>
      <c r="D17" s="0" t="n">
        <v>5695</v>
      </c>
      <c r="E17" s="0" t="n">
        <v>23.7084217975938</v>
      </c>
      <c r="F17" s="0" t="n">
        <v>2706</v>
      </c>
      <c r="G17" s="0" t="n">
        <v>11.2651429998751</v>
      </c>
      <c r="H17" s="0" t="n">
        <v>3368</v>
      </c>
      <c r="I17" s="0" t="n">
        <v>2164</v>
      </c>
      <c r="J17" s="0" t="n">
        <v>9.00878398068357</v>
      </c>
      <c r="K17" s="0" t="n">
        <v>14.74</v>
      </c>
      <c r="L17" s="0" t="n">
        <v>2256</v>
      </c>
      <c r="M17" s="0" t="n">
        <v>734</v>
      </c>
      <c r="N17" s="0" t="n">
        <v>1522</v>
      </c>
      <c r="O17" s="0" t="n">
        <v>9035</v>
      </c>
      <c r="P17" s="0" t="n">
        <v>23710</v>
      </c>
      <c r="Q17" s="0" t="n">
        <v>14309</v>
      </c>
      <c r="R17" s="0" t="n">
        <v>3638</v>
      </c>
      <c r="S17" s="0" t="n">
        <v>2592</v>
      </c>
      <c r="T17" s="0" t="n">
        <v>145.9</v>
      </c>
      <c r="U17" s="0" t="n">
        <v>36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28074</v>
      </c>
      <c r="C18" s="0" t="n">
        <v>21355</v>
      </c>
      <c r="D18" s="0" t="n">
        <v>6719</v>
      </c>
      <c r="E18" s="0" t="n">
        <v>23.9331766046876</v>
      </c>
      <c r="F18" s="0" t="n">
        <v>2929</v>
      </c>
      <c r="G18" s="0" t="n">
        <v>10.4331409845409</v>
      </c>
      <c r="H18" s="0" t="n">
        <v>3713</v>
      </c>
      <c r="I18" s="0" t="n">
        <v>2183</v>
      </c>
      <c r="J18" s="0" t="n">
        <v>7.77587803661751</v>
      </c>
      <c r="K18" s="0" t="n">
        <v>15.2</v>
      </c>
      <c r="L18" s="0" t="n">
        <v>1962</v>
      </c>
      <c r="M18" s="0" t="n">
        <v>916</v>
      </c>
      <c r="N18" s="0" t="n">
        <v>1046</v>
      </c>
      <c r="O18" s="0" t="n">
        <v>9967</v>
      </c>
      <c r="P18" s="0" t="n">
        <v>30299</v>
      </c>
      <c r="Q18" s="0" t="n">
        <v>20074</v>
      </c>
      <c r="R18" s="0" t="n">
        <v>5071</v>
      </c>
      <c r="S18" s="0" t="n">
        <v>2101</v>
      </c>
      <c r="T18" s="0" t="n">
        <v>142.3</v>
      </c>
      <c r="U18" s="0" t="n">
        <v>33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34065</v>
      </c>
      <c r="C19" s="0" t="n">
        <v>25816</v>
      </c>
      <c r="D19" s="0" t="n">
        <v>8249</v>
      </c>
      <c r="E19" s="0" t="n">
        <v>24.2154704241891</v>
      </c>
      <c r="F19" s="0" t="n">
        <v>1761</v>
      </c>
      <c r="G19" s="0" t="n">
        <v>5.16952884191986</v>
      </c>
      <c r="H19" s="0" t="n">
        <v>2785</v>
      </c>
      <c r="I19" s="0" t="n">
        <v>840</v>
      </c>
      <c r="J19" s="0" t="n">
        <v>2.46587406428886</v>
      </c>
      <c r="K19" s="0" t="n">
        <v>5.19</v>
      </c>
      <c r="L19" s="0" t="n">
        <v>3966</v>
      </c>
      <c r="M19" s="0" t="n">
        <v>1213</v>
      </c>
      <c r="N19" s="0" t="n">
        <v>2753</v>
      </c>
      <c r="O19" s="0" t="n">
        <v>9904</v>
      </c>
      <c r="P19" s="0" t="n">
        <v>32005</v>
      </c>
      <c r="Q19" s="0" t="n">
        <v>22101</v>
      </c>
      <c r="R19" s="0" t="n">
        <v>4920</v>
      </c>
      <c r="S19" s="0" t="n">
        <v>2179</v>
      </c>
      <c r="T19" s="0" t="n">
        <v>142.7</v>
      </c>
      <c r="U19" s="0" t="n">
        <v>79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34102</v>
      </c>
      <c r="C20" s="0" t="n">
        <v>25663</v>
      </c>
      <c r="D20" s="0" t="n">
        <v>8439</v>
      </c>
      <c r="E20" s="0" t="n">
        <v>24.7463491877309</v>
      </c>
      <c r="F20" s="0" t="n">
        <v>3750</v>
      </c>
      <c r="G20" s="0" t="n">
        <v>10.9964224972142</v>
      </c>
      <c r="H20" s="0" t="n">
        <v>4815</v>
      </c>
      <c r="I20" s="0" t="n">
        <v>4068</v>
      </c>
      <c r="J20" s="0" t="n">
        <v>11.928919124978</v>
      </c>
      <c r="K20" s="0" t="n">
        <v>28.55</v>
      </c>
      <c r="L20" s="0" t="n">
        <v>1487</v>
      </c>
      <c r="M20" s="0" t="n">
        <v>1208</v>
      </c>
      <c r="N20" s="0" t="n">
        <v>279</v>
      </c>
      <c r="O20" s="0" t="n">
        <v>11308</v>
      </c>
      <c r="P20" s="0" t="n">
        <v>31540</v>
      </c>
      <c r="Q20" s="0" t="n">
        <v>20232</v>
      </c>
      <c r="R20" s="0" t="n">
        <v>5444</v>
      </c>
      <c r="S20" s="0" t="n">
        <v>1671</v>
      </c>
      <c r="T20" s="0" t="n">
        <v>139.1</v>
      </c>
      <c r="U20" s="0" t="n">
        <v>100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33670</v>
      </c>
      <c r="C21" s="0" t="n">
        <v>25154</v>
      </c>
      <c r="D21" s="0" t="n">
        <v>8516</v>
      </c>
      <c r="E21" s="0" t="n">
        <v>25.2925452925453</v>
      </c>
      <c r="F21" s="0" t="n">
        <v>4025</v>
      </c>
      <c r="G21" s="0" t="n">
        <v>11.954261954262</v>
      </c>
      <c r="H21" s="0" t="n">
        <v>5130</v>
      </c>
      <c r="I21" s="0" t="n">
        <v>2957</v>
      </c>
      <c r="J21" s="0" t="n">
        <v>8.78229878229878</v>
      </c>
      <c r="K21" s="0" t="n">
        <v>20.62</v>
      </c>
      <c r="L21" s="0" t="n">
        <v>3621</v>
      </c>
      <c r="M21" s="0" t="n">
        <v>1235</v>
      </c>
      <c r="N21" s="0" t="n">
        <v>2386</v>
      </c>
      <c r="O21" s="0" t="n">
        <v>13408</v>
      </c>
      <c r="P21" s="0" t="n">
        <v>33992</v>
      </c>
      <c r="Q21" s="0" t="n">
        <v>20584</v>
      </c>
      <c r="R21" s="0" t="n">
        <v>6886</v>
      </c>
      <c r="S21" s="0" t="n">
        <v>2845</v>
      </c>
      <c r="T21" s="0" t="n">
        <v>138.7</v>
      </c>
      <c r="U21" s="0" t="n">
        <v>93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525.06</v>
      </c>
    </row>
    <row r="3" customFormat="false" ht="15" hidden="false" customHeight="false" outlineLevel="0" collapsed="false">
      <c r="A3" s="0" t="s">
        <v>86</v>
      </c>
      <c r="B3" s="3" t="n">
        <v>138.5</v>
      </c>
    </row>
    <row r="4" customFormat="false" ht="15" hidden="false" customHeight="false" outlineLevel="0" collapsed="false">
      <c r="A4" s="0" t="s">
        <v>87</v>
      </c>
      <c r="B4" s="3" t="n">
        <v>2964</v>
      </c>
    </row>
    <row r="5" customFormat="false" ht="15" hidden="false" customHeight="false" outlineLevel="0" collapsed="false">
      <c r="A5" s="0" t="s">
        <v>88</v>
      </c>
      <c r="B5" s="3" t="n">
        <v>-2280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33670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10</v>
      </c>
      <c r="D13" s="3" t="n">
        <v>1</v>
      </c>
      <c r="E13" s="3" t="n">
        <v>-10</v>
      </c>
      <c r="F13" s="3" t="n">
        <v>4</v>
      </c>
      <c r="G13" s="3" t="n">
        <v>5</v>
      </c>
      <c r="H13" s="3" t="n">
        <v>4</v>
      </c>
      <c r="I13" s="3" t="n">
        <v>3.5</v>
      </c>
      <c r="J13" s="3" t="n">
        <v>3</v>
      </c>
      <c r="K13" s="3" t="n">
        <v>2.5</v>
      </c>
      <c r="L13" s="3" t="n">
        <v>2</v>
      </c>
    </row>
    <row r="14" customFormat="false" ht="15" hidden="false" customHeight="false" outlineLevel="0" collapsed="false">
      <c r="A14" s="0" t="s">
        <v>107</v>
      </c>
      <c r="C14" s="3" t="n">
        <v>17.8</v>
      </c>
      <c r="D14" s="3" t="n">
        <v>17</v>
      </c>
      <c r="E14" s="3" t="n">
        <v>14.5</v>
      </c>
      <c r="F14" s="3" t="n">
        <v>15.5</v>
      </c>
      <c r="G14" s="3" t="n">
        <v>16</v>
      </c>
      <c r="H14" s="3" t="n">
        <v>16</v>
      </c>
      <c r="I14" s="3" t="n">
        <v>16</v>
      </c>
      <c r="J14" s="3" t="n">
        <v>16</v>
      </c>
      <c r="K14" s="3" t="n">
        <v>16</v>
      </c>
      <c r="L14" s="3" t="n">
        <v>16</v>
      </c>
    </row>
    <row r="15" customFormat="false" ht="15" hidden="false" customHeight="false" outlineLevel="0" collapsed="false">
      <c r="A15" s="0" t="s">
        <v>108</v>
      </c>
      <c r="C15" s="3" t="n">
        <v>0.28</v>
      </c>
      <c r="D15" s="3" t="n">
        <v>0.28</v>
      </c>
      <c r="E15" s="3" t="n">
        <v>0.28</v>
      </c>
      <c r="F15" s="3" t="n">
        <v>0.28</v>
      </c>
      <c r="G15" s="3" t="n">
        <v>0.28</v>
      </c>
      <c r="H15" s="3" t="n">
        <v>0.28</v>
      </c>
      <c r="I15" s="3" t="n">
        <v>0.28</v>
      </c>
      <c r="J15" s="3" t="n">
        <v>0.28</v>
      </c>
      <c r="K15" s="3" t="n">
        <v>0.28</v>
      </c>
      <c r="L15" s="3" t="n">
        <v>0.28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3.2</v>
      </c>
      <c r="D17" s="3" t="n">
        <v>3.3</v>
      </c>
      <c r="E17" s="3" t="n">
        <v>3.5</v>
      </c>
      <c r="F17" s="3" t="n">
        <v>3.5</v>
      </c>
      <c r="G17" s="3" t="n">
        <v>3.5</v>
      </c>
      <c r="H17" s="3" t="n">
        <v>3.5</v>
      </c>
      <c r="I17" s="3" t="n">
        <v>3.5</v>
      </c>
      <c r="J17" s="3" t="n">
        <v>3.5</v>
      </c>
      <c r="K17" s="3" t="n">
        <v>3.5</v>
      </c>
      <c r="L17" s="3" t="n">
        <v>3.5</v>
      </c>
    </row>
    <row r="18" customFormat="false" ht="15" hidden="false" customHeight="false" outlineLevel="0" collapsed="false">
      <c r="A18" s="0" t="s">
        <v>111</v>
      </c>
      <c r="C18" s="3" t="n">
        <v>3.7</v>
      </c>
      <c r="D18" s="3" t="n">
        <v>3.6</v>
      </c>
      <c r="E18" s="3" t="n">
        <v>3.3</v>
      </c>
      <c r="F18" s="3" t="n">
        <v>3.4</v>
      </c>
      <c r="G18" s="3" t="n">
        <v>3.4</v>
      </c>
      <c r="H18" s="3" t="n">
        <v>3.4</v>
      </c>
      <c r="I18" s="3" t="n">
        <v>3.4</v>
      </c>
      <c r="J18" s="3" t="n">
        <v>3.4</v>
      </c>
      <c r="K18" s="3" t="n">
        <v>3.4</v>
      </c>
      <c r="L18" s="3" t="n">
        <v>3.4</v>
      </c>
    </row>
    <row r="19" customFormat="false" ht="15" hidden="false" customHeight="false" outlineLevel="0" collapsed="false">
      <c r="A19" s="0" t="s">
        <v>112</v>
      </c>
      <c r="C19" s="3" t="n">
        <v>23</v>
      </c>
      <c r="D19" s="3" t="n">
        <v>23</v>
      </c>
      <c r="E19" s="3" t="n">
        <v>23</v>
      </c>
      <c r="F19" s="3" t="n">
        <v>23</v>
      </c>
      <c r="G19" s="3" t="n">
        <v>23</v>
      </c>
      <c r="H19" s="3" t="n">
        <v>23</v>
      </c>
      <c r="I19" s="3" t="n">
        <v>23</v>
      </c>
      <c r="J19" s="3" t="n">
        <v>23</v>
      </c>
      <c r="K19" s="3" t="n">
        <v>23</v>
      </c>
      <c r="L19" s="3" t="n">
        <v>23</v>
      </c>
    </row>
    <row r="20" customFormat="false" ht="15" hidden="false" customHeight="false" outlineLevel="0" collapsed="false">
      <c r="A20" s="0" t="s">
        <v>113</v>
      </c>
      <c r="B20" s="3" t="n">
        <v>9</v>
      </c>
    </row>
    <row r="21" customFormat="false" ht="15" hidden="false" customHeight="false" outlineLevel="0" collapsed="false">
      <c r="A21" s="0" t="s">
        <v>114</v>
      </c>
      <c r="B21" s="3" t="n">
        <v>2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-15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11.5</v>
      </c>
      <c r="D27" s="3" t="n">
        <v>7</v>
      </c>
      <c r="E27" s="3" t="n">
        <v>-3</v>
      </c>
      <c r="F27" s="3" t="n">
        <v>6</v>
      </c>
      <c r="G27" s="3" t="n">
        <v>6</v>
      </c>
      <c r="H27" s="3" t="n">
        <v>5</v>
      </c>
      <c r="I27" s="3" t="n">
        <v>4.5</v>
      </c>
      <c r="J27" s="3" t="n">
        <v>4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107</v>
      </c>
      <c r="C28" s="3" t="n">
        <v>18.1</v>
      </c>
      <c r="D28" s="3" t="n">
        <v>18.6</v>
      </c>
      <c r="E28" s="3" t="n">
        <v>17.3</v>
      </c>
      <c r="F28" s="3" t="n">
        <v>18.2</v>
      </c>
      <c r="G28" s="3" t="n">
        <v>18.7</v>
      </c>
      <c r="H28" s="3" t="n">
        <v>18.8</v>
      </c>
      <c r="I28" s="3" t="n">
        <v>18.8</v>
      </c>
      <c r="J28" s="3" t="n">
        <v>18.8</v>
      </c>
      <c r="K28" s="3" t="n">
        <v>18.8</v>
      </c>
      <c r="L28" s="3" t="n">
        <v>18.8</v>
      </c>
    </row>
    <row r="29" customFormat="false" ht="15" hidden="false" customHeight="false" outlineLevel="0" collapsed="false">
      <c r="A29" s="0" t="s">
        <v>108</v>
      </c>
      <c r="C29" s="3" t="n">
        <v>0.28</v>
      </c>
      <c r="D29" s="3" t="n">
        <v>0.28</v>
      </c>
      <c r="E29" s="3" t="n">
        <v>0.28</v>
      </c>
      <c r="F29" s="3" t="n">
        <v>0.28</v>
      </c>
      <c r="G29" s="3" t="n">
        <v>0.28</v>
      </c>
      <c r="H29" s="3" t="n">
        <v>0.28</v>
      </c>
      <c r="I29" s="3" t="n">
        <v>0.28</v>
      </c>
      <c r="J29" s="3" t="n">
        <v>0.28</v>
      </c>
      <c r="K29" s="3" t="n">
        <v>0.28</v>
      </c>
      <c r="L29" s="3" t="n">
        <v>0.28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3.2</v>
      </c>
      <c r="D31" s="3" t="n">
        <v>3.3</v>
      </c>
      <c r="E31" s="3" t="n">
        <v>3.4</v>
      </c>
      <c r="F31" s="3" t="n">
        <v>3.4</v>
      </c>
      <c r="G31" s="3" t="n">
        <v>3.4</v>
      </c>
      <c r="H31" s="3" t="n">
        <v>3.4</v>
      </c>
      <c r="I31" s="3" t="n">
        <v>3.4</v>
      </c>
      <c r="J31" s="3" t="n">
        <v>3.4</v>
      </c>
      <c r="K31" s="3" t="n">
        <v>3.4</v>
      </c>
      <c r="L31" s="3" t="n">
        <v>3.4</v>
      </c>
    </row>
    <row r="32" customFormat="false" ht="15" hidden="false" customHeight="false" outlineLevel="0" collapsed="false">
      <c r="A32" s="0" t="s">
        <v>111</v>
      </c>
      <c r="C32" s="3" t="n">
        <v>3.8</v>
      </c>
      <c r="D32" s="3" t="n">
        <v>4</v>
      </c>
      <c r="E32" s="3" t="n">
        <v>4</v>
      </c>
      <c r="F32" s="3" t="n">
        <v>3.8</v>
      </c>
      <c r="G32" s="3" t="n">
        <v>3.7</v>
      </c>
      <c r="H32" s="3" t="n">
        <v>3.6</v>
      </c>
      <c r="I32" s="3" t="n">
        <v>3.6</v>
      </c>
      <c r="J32" s="3" t="n">
        <v>3.6</v>
      </c>
      <c r="K32" s="3" t="n">
        <v>3.6</v>
      </c>
      <c r="L32" s="3" t="n">
        <v>3.6</v>
      </c>
    </row>
    <row r="33" customFormat="false" ht="15" hidden="false" customHeight="false" outlineLevel="0" collapsed="false">
      <c r="A33" s="0" t="s">
        <v>112</v>
      </c>
      <c r="C33" s="3" t="n">
        <v>23</v>
      </c>
      <c r="D33" s="3" t="n">
        <v>23</v>
      </c>
      <c r="E33" s="3" t="n">
        <v>23</v>
      </c>
      <c r="F33" s="3" t="n">
        <v>23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113</v>
      </c>
      <c r="B34" s="3" t="n">
        <v>9</v>
      </c>
    </row>
    <row r="35" customFormat="false" ht="15" hidden="false" customHeight="false" outlineLevel="0" collapsed="false">
      <c r="A35" s="0" t="s">
        <v>114</v>
      </c>
      <c r="B35" s="3" t="n">
        <v>2.5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-15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13</v>
      </c>
      <c r="D41" s="3" t="n">
        <v>10</v>
      </c>
      <c r="E41" s="3" t="n">
        <v>0</v>
      </c>
      <c r="F41" s="3" t="n">
        <v>8</v>
      </c>
      <c r="G41" s="3" t="n">
        <v>8</v>
      </c>
      <c r="H41" s="3" t="n">
        <v>6</v>
      </c>
      <c r="I41" s="3" t="n">
        <v>5</v>
      </c>
      <c r="J41" s="3" t="n">
        <v>4.5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107</v>
      </c>
      <c r="C42" s="3" t="n">
        <v>18.4</v>
      </c>
      <c r="D42" s="3" t="n">
        <v>19.3</v>
      </c>
      <c r="E42" s="3" t="n">
        <v>18.6</v>
      </c>
      <c r="F42" s="3" t="n">
        <v>19.6</v>
      </c>
      <c r="G42" s="3" t="n">
        <v>20.3</v>
      </c>
      <c r="H42" s="3" t="n">
        <v>20.5</v>
      </c>
      <c r="I42" s="3" t="n">
        <v>20.5</v>
      </c>
      <c r="J42" s="3" t="n">
        <v>20.5</v>
      </c>
      <c r="K42" s="3" t="n">
        <v>20.5</v>
      </c>
      <c r="L42" s="3" t="n">
        <v>20.5</v>
      </c>
    </row>
    <row r="43" customFormat="false" ht="15" hidden="false" customHeight="false" outlineLevel="0" collapsed="false">
      <c r="A43" s="0" t="s">
        <v>108</v>
      </c>
      <c r="C43" s="3" t="n">
        <v>0.28</v>
      </c>
      <c r="D43" s="3" t="n">
        <v>0.28</v>
      </c>
      <c r="E43" s="3" t="n">
        <v>0.28</v>
      </c>
      <c r="F43" s="3" t="n">
        <v>0.28</v>
      </c>
      <c r="G43" s="3" t="n">
        <v>0.28</v>
      </c>
      <c r="H43" s="3" t="n">
        <v>0.28</v>
      </c>
      <c r="I43" s="3" t="n">
        <v>0.28</v>
      </c>
      <c r="J43" s="3" t="n">
        <v>0.28</v>
      </c>
      <c r="K43" s="3" t="n">
        <v>0.28</v>
      </c>
      <c r="L43" s="3" t="n">
        <v>0.28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3.2</v>
      </c>
      <c r="D45" s="3" t="n">
        <v>3.3</v>
      </c>
      <c r="E45" s="3" t="n">
        <v>3.4</v>
      </c>
      <c r="F45" s="3" t="n">
        <v>3.4</v>
      </c>
      <c r="G45" s="3" t="n">
        <v>3.4</v>
      </c>
      <c r="H45" s="3" t="n">
        <v>3.4</v>
      </c>
      <c r="I45" s="3" t="n">
        <v>3.4</v>
      </c>
      <c r="J45" s="3" t="n">
        <v>3.4</v>
      </c>
      <c r="K45" s="3" t="n">
        <v>3.4</v>
      </c>
      <c r="L45" s="3" t="n">
        <v>3.4</v>
      </c>
    </row>
    <row r="46" customFormat="false" ht="15" hidden="false" customHeight="false" outlineLevel="0" collapsed="false">
      <c r="A46" s="0" t="s">
        <v>111</v>
      </c>
      <c r="C46" s="3" t="n">
        <v>3.9</v>
      </c>
      <c r="D46" s="3" t="n">
        <v>4.2</v>
      </c>
      <c r="E46" s="3" t="n">
        <v>4.2</v>
      </c>
      <c r="F46" s="3" t="n">
        <v>4</v>
      </c>
      <c r="G46" s="3" t="n">
        <v>3.8</v>
      </c>
      <c r="H46" s="3" t="n">
        <v>3.7</v>
      </c>
      <c r="I46" s="3" t="n">
        <v>3.7</v>
      </c>
      <c r="J46" s="3" t="n">
        <v>3.7</v>
      </c>
      <c r="K46" s="3" t="n">
        <v>3.7</v>
      </c>
      <c r="L46" s="3" t="n">
        <v>3.7</v>
      </c>
    </row>
    <row r="47" customFormat="false" ht="15" hidden="false" customHeight="false" outlineLevel="0" collapsed="false">
      <c r="A47" s="0" t="s">
        <v>112</v>
      </c>
      <c r="C47" s="3" t="n">
        <v>23</v>
      </c>
      <c r="D47" s="3" t="n">
        <v>23</v>
      </c>
      <c r="E47" s="3" t="n">
        <v>23</v>
      </c>
      <c r="F47" s="3" t="n">
        <v>23</v>
      </c>
      <c r="G47" s="3" t="n">
        <v>23</v>
      </c>
      <c r="H47" s="3" t="n">
        <v>23</v>
      </c>
      <c r="I47" s="3" t="n">
        <v>23</v>
      </c>
      <c r="J47" s="3" t="n">
        <v>23</v>
      </c>
      <c r="K47" s="3" t="n">
        <v>23</v>
      </c>
      <c r="L47" s="3" t="n">
        <v>23</v>
      </c>
    </row>
    <row r="48" customFormat="false" ht="15" hidden="false" customHeight="false" outlineLevel="0" collapsed="false">
      <c r="A48" s="0" t="s">
        <v>113</v>
      </c>
      <c r="B48" s="3" t="n">
        <v>9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-15</v>
      </c>
    </row>
    <row r="52" customFormat="false" ht="15" hidden="false" customHeight="false" outlineLevel="0" collapsed="false">
      <c r="A52" s="0" t="s">
        <v>117</v>
      </c>
      <c r="B52" s="3" t="n">
        <v>0.3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10</v>
      </c>
      <c r="D5" s="4" t="n">
        <f aca="false">Assumptions!D13</f>
        <v>1</v>
      </c>
      <c r="E5" s="4" t="n">
        <f aca="false">Assumptions!E13</f>
        <v>-10</v>
      </c>
      <c r="F5" s="4" t="n">
        <f aca="false">Assumptions!F13</f>
        <v>4</v>
      </c>
      <c r="G5" s="4" t="n">
        <f aca="false">Assumptions!G13</f>
        <v>5</v>
      </c>
      <c r="H5" s="4" t="n">
        <f aca="false">Assumptions!H13</f>
        <v>4</v>
      </c>
      <c r="I5" s="4" t="n">
        <f aca="false">Assumptions!I13</f>
        <v>3.5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33670</v>
      </c>
      <c r="C6" s="0" t="n">
        <f aca="false">B6*(1+C5/100)</f>
        <v>37037</v>
      </c>
      <c r="D6" s="0" t="n">
        <f aca="false">C6*(1+D5/100)</f>
        <v>37407.37</v>
      </c>
      <c r="E6" s="0" t="n">
        <f aca="false">D6*(1+E5/100)</f>
        <v>33666.633</v>
      </c>
      <c r="F6" s="0" t="n">
        <f aca="false">E6*(1+F5/100)</f>
        <v>35013.29832</v>
      </c>
      <c r="G6" s="0" t="n">
        <f aca="false">F6*(1+G5/100)</f>
        <v>36763.963236</v>
      </c>
      <c r="H6" s="0" t="n">
        <f aca="false">G6*(1+H5/100)</f>
        <v>38234.52176544</v>
      </c>
      <c r="I6" s="0" t="n">
        <f aca="false">H6*(1+I5/100)</f>
        <v>39572.7300272304</v>
      </c>
      <c r="J6" s="0" t="n">
        <f aca="false">I6*(1+J5/100)</f>
        <v>40759.9119280473</v>
      </c>
      <c r="K6" s="0" t="n">
        <f aca="false">J6*(1+K5/100)</f>
        <v>41778.9097262485</v>
      </c>
      <c r="L6" s="0" t="n">
        <f aca="false">K6*(1+L5/100)</f>
        <v>42614.4879207735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17.8</v>
      </c>
      <c r="D7" s="4" t="n">
        <f aca="false">Assumptions!D14</f>
        <v>17</v>
      </c>
      <c r="E7" s="4" t="n">
        <f aca="false">Assumptions!E14</f>
        <v>14.5</v>
      </c>
      <c r="F7" s="4" t="n">
        <f aca="false">Assumptions!F14</f>
        <v>15.5</v>
      </c>
      <c r="G7" s="4" t="n">
        <f aca="false">Assumptions!G14</f>
        <v>16</v>
      </c>
      <c r="H7" s="4" t="n">
        <f aca="false">Assumptions!H14</f>
        <v>16</v>
      </c>
      <c r="I7" s="4" t="n">
        <f aca="false">Assumptions!I14</f>
        <v>16</v>
      </c>
      <c r="J7" s="4" t="n">
        <f aca="false">Assumptions!J14</f>
        <v>16</v>
      </c>
      <c r="K7" s="4" t="n">
        <f aca="false">Assumptions!K14</f>
        <v>16</v>
      </c>
      <c r="L7" s="4" t="n">
        <f aca="false">Assumptions!L14</f>
        <v>16</v>
      </c>
    </row>
    <row r="8" customFormat="false" ht="15" hidden="false" customHeight="false" outlineLevel="0" collapsed="false">
      <c r="A8" s="0" t="s">
        <v>43</v>
      </c>
      <c r="C8" s="0" t="n">
        <f aca="false">C6*C7/100</f>
        <v>6592.586</v>
      </c>
      <c r="D8" s="0" t="n">
        <f aca="false">D6*D7/100</f>
        <v>6359.2529</v>
      </c>
      <c r="E8" s="0" t="n">
        <f aca="false">E6*E7/100</f>
        <v>4881.661785</v>
      </c>
      <c r="F8" s="0" t="n">
        <f aca="false">F6*F7/100</f>
        <v>5427.0612396</v>
      </c>
      <c r="G8" s="0" t="n">
        <f aca="false">G6*G7/100</f>
        <v>5882.23411776</v>
      </c>
      <c r="H8" s="0" t="n">
        <f aca="false">H6*H7/100</f>
        <v>6117.5234824704</v>
      </c>
      <c r="I8" s="0" t="n">
        <f aca="false">I6*I7/100</f>
        <v>6331.63680435686</v>
      </c>
      <c r="J8" s="0" t="n">
        <f aca="false">J6*J7/100</f>
        <v>6521.58590848757</v>
      </c>
      <c r="K8" s="0" t="n">
        <f aca="false">K6*K7/100</f>
        <v>6684.62555619976</v>
      </c>
      <c r="L8" s="0" t="n">
        <f aca="false">L6*L7/100</f>
        <v>6818.31806732375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0.28</v>
      </c>
      <c r="D9" s="4" t="n">
        <f aca="false">Assumptions!D15</f>
        <v>0.28</v>
      </c>
      <c r="E9" s="4" t="n">
        <f aca="false">Assumptions!E15</f>
        <v>0.28</v>
      </c>
      <c r="F9" s="4" t="n">
        <f aca="false">Assumptions!F15</f>
        <v>0.28</v>
      </c>
      <c r="G9" s="4" t="n">
        <f aca="false">Assumptions!G15</f>
        <v>0.28</v>
      </c>
      <c r="H9" s="4" t="n">
        <f aca="false">Assumptions!H15</f>
        <v>0.28</v>
      </c>
      <c r="I9" s="4" t="n">
        <f aca="false">Assumptions!I15</f>
        <v>0.28</v>
      </c>
      <c r="J9" s="4" t="n">
        <f aca="false">Assumptions!J15</f>
        <v>0.28</v>
      </c>
      <c r="K9" s="4" t="n">
        <f aca="false">Assumptions!K15</f>
        <v>0.28</v>
      </c>
      <c r="L9" s="4" t="n">
        <f aca="false">Assumptions!L15</f>
        <v>0.28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-103.7036</v>
      </c>
      <c r="D10" s="0" t="n">
        <f aca="false">-D6*D9/100</f>
        <v>-104.740636</v>
      </c>
      <c r="E10" s="0" t="n">
        <f aca="false">-E6*E9/100</f>
        <v>-94.2665724</v>
      </c>
      <c r="F10" s="0" t="n">
        <f aca="false">-F6*F9/100</f>
        <v>-98.037235296</v>
      </c>
      <c r="G10" s="0" t="n">
        <f aca="false">-G6*G9/100</f>
        <v>-102.9390970608</v>
      </c>
      <c r="H10" s="0" t="n">
        <f aca="false">-H6*H9/100</f>
        <v>-107.056660943232</v>
      </c>
      <c r="I10" s="0" t="n">
        <f aca="false">-I6*I9/100</f>
        <v>-110.803644076245</v>
      </c>
      <c r="J10" s="0" t="n">
        <f aca="false">-J6*J9/100</f>
        <v>-114.127753398532</v>
      </c>
      <c r="K10" s="0" t="n">
        <f aca="false">-K6*K9/100</f>
        <v>-116.980947233496</v>
      </c>
      <c r="L10" s="0" t="n">
        <f aca="false">-L6*L9/100</f>
        <v>-119.320566178166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6488.8824</v>
      </c>
      <c r="D11" s="0" t="n">
        <f aca="false">D8+D10+D24</f>
        <v>6254.512264</v>
      </c>
      <c r="E11" s="0" t="n">
        <f aca="false">E8+E10+E24</f>
        <v>4787.3952126</v>
      </c>
      <c r="F11" s="0" t="n">
        <f aca="false">F8+F10+F24</f>
        <v>5329.024004304</v>
      </c>
      <c r="G11" s="0" t="n">
        <f aca="false">G8+G10+G24</f>
        <v>5779.2950206992</v>
      </c>
      <c r="H11" s="0" t="n">
        <f aca="false">H8+H10+H24</f>
        <v>6010.46682152717</v>
      </c>
      <c r="I11" s="0" t="n">
        <f aca="false">I8+I10+I24</f>
        <v>6220.83316028062</v>
      </c>
      <c r="J11" s="0" t="n">
        <f aca="false">J8+J10+J24</f>
        <v>6407.45815508904</v>
      </c>
      <c r="K11" s="0" t="n">
        <f aca="false">K8+K10+K24</f>
        <v>6567.64460896626</v>
      </c>
      <c r="L11" s="0" t="n">
        <f aca="false">L8+L10+L24</f>
        <v>6698.99750114559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-1185.184</v>
      </c>
      <c r="D12" s="4" t="n">
        <f aca="false">-D6*Assumptions!D17/100</f>
        <v>-1234.44321</v>
      </c>
      <c r="E12" s="4" t="n">
        <f aca="false">-E6*Assumptions!E17/100</f>
        <v>-1178.332155</v>
      </c>
      <c r="F12" s="4" t="n">
        <f aca="false">-F6*Assumptions!F17/100</f>
        <v>-1225.4654412</v>
      </c>
      <c r="G12" s="4" t="n">
        <f aca="false">-G6*Assumptions!G17/100</f>
        <v>-1286.73871326</v>
      </c>
      <c r="H12" s="4" t="n">
        <f aca="false">-H6*Assumptions!H17/100</f>
        <v>-1338.2082617904</v>
      </c>
      <c r="I12" s="4" t="n">
        <f aca="false">-I6*Assumptions!I17/100</f>
        <v>-1385.04555095306</v>
      </c>
      <c r="J12" s="4" t="n">
        <f aca="false">-J6*Assumptions!J17/100</f>
        <v>-1426.59691748166</v>
      </c>
      <c r="K12" s="4" t="n">
        <f aca="false">-K6*Assumptions!K17/100</f>
        <v>-1462.2618404187</v>
      </c>
      <c r="L12" s="4" t="n">
        <f aca="false">-L6*Assumptions!L17/100</f>
        <v>-1491.50707722707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5303.6984</v>
      </c>
      <c r="D13" s="0" t="n">
        <f aca="false">D11+D12</f>
        <v>5020.069054</v>
      </c>
      <c r="E13" s="0" t="n">
        <f aca="false">E11+E12</f>
        <v>3609.0630576</v>
      </c>
      <c r="F13" s="0" t="n">
        <f aca="false">F11+F12</f>
        <v>4103.558563104</v>
      </c>
      <c r="G13" s="0" t="n">
        <f aca="false">G11+G12</f>
        <v>4492.5563074392</v>
      </c>
      <c r="H13" s="0" t="n">
        <f aca="false">H11+H12</f>
        <v>4672.25855973677</v>
      </c>
      <c r="I13" s="0" t="n">
        <f aca="false">I11+I12</f>
        <v>4835.78760932755</v>
      </c>
      <c r="J13" s="0" t="n">
        <f aca="false">J11+J12</f>
        <v>4980.86123760738</v>
      </c>
      <c r="K13" s="0" t="n">
        <f aca="false">K11+K12</f>
        <v>5105.38276854757</v>
      </c>
      <c r="L13" s="0" t="n">
        <f aca="false">L11+L12</f>
        <v>5207.49042391852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23</v>
      </c>
      <c r="D14" s="4" t="n">
        <f aca="false">Assumptions!D19</f>
        <v>23</v>
      </c>
      <c r="E14" s="4" t="n">
        <f aca="false">Assumptions!E19</f>
        <v>23</v>
      </c>
      <c r="F14" s="4" t="n">
        <f aca="false">Assumptions!F19</f>
        <v>23</v>
      </c>
      <c r="G14" s="4" t="n">
        <f aca="false">Assumptions!G19</f>
        <v>23</v>
      </c>
      <c r="H14" s="4" t="n">
        <f aca="false">Assumptions!H19</f>
        <v>23</v>
      </c>
      <c r="I14" s="4" t="n">
        <f aca="false">Assumptions!I19</f>
        <v>23</v>
      </c>
      <c r="J14" s="4" t="n">
        <f aca="false">Assumptions!J19</f>
        <v>23</v>
      </c>
      <c r="K14" s="4" t="n">
        <f aca="false">Assumptions!K19</f>
        <v>23</v>
      </c>
      <c r="L14" s="4" t="n">
        <f aca="false">Assumptions!L19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4083.847768</v>
      </c>
      <c r="D15" s="0" t="n">
        <f aca="false">D13-MAX(0,D13)*D14/100</f>
        <v>3865.45317158</v>
      </c>
      <c r="E15" s="0" t="n">
        <f aca="false">E13-MAX(0,E13)*E14/100</f>
        <v>2778.978554352</v>
      </c>
      <c r="F15" s="0" t="n">
        <f aca="false">F13-MAX(0,F13)*F14/100</f>
        <v>3159.74009359008</v>
      </c>
      <c r="G15" s="0" t="n">
        <f aca="false">G13-MAX(0,G13)*G14/100</f>
        <v>3459.26835672818</v>
      </c>
      <c r="H15" s="0" t="n">
        <f aca="false">H13-MAX(0,H13)*H14/100</f>
        <v>3597.63909099731</v>
      </c>
      <c r="I15" s="0" t="n">
        <f aca="false">I13-MAX(0,I13)*I14/100</f>
        <v>3723.55645918222</v>
      </c>
      <c r="J15" s="0" t="n">
        <f aca="false">J13-MAX(0,J13)*J14/100</f>
        <v>3835.26315295768</v>
      </c>
      <c r="K15" s="0" t="n">
        <f aca="false">K13-MAX(0,K13)*K14/100</f>
        <v>3931.14473178163</v>
      </c>
      <c r="L15" s="0" t="n">
        <f aca="false">L13-MAX(0,L13)*L14/100</f>
        <v>4009.76762641726</v>
      </c>
    </row>
    <row r="16" customFormat="false" ht="15" hidden="false" customHeight="false" outlineLevel="0" collapsed="false">
      <c r="A16" s="0" t="s">
        <v>128</v>
      </c>
      <c r="C16" s="0" t="n">
        <f aca="false">-C12</f>
        <v>1185.184</v>
      </c>
      <c r="D16" s="0" t="n">
        <f aca="false">-D12</f>
        <v>1234.44321</v>
      </c>
      <c r="E16" s="0" t="n">
        <f aca="false">-E12</f>
        <v>1178.332155</v>
      </c>
      <c r="F16" s="0" t="n">
        <f aca="false">-F12</f>
        <v>1225.4654412</v>
      </c>
      <c r="G16" s="0" t="n">
        <f aca="false">-G12</f>
        <v>1286.73871326</v>
      </c>
      <c r="H16" s="0" t="n">
        <f aca="false">-H12</f>
        <v>1338.2082617904</v>
      </c>
      <c r="I16" s="0" t="n">
        <f aca="false">-I12</f>
        <v>1385.04555095306</v>
      </c>
      <c r="J16" s="0" t="n">
        <f aca="false">-J12</f>
        <v>1426.59691748166</v>
      </c>
      <c r="K16" s="0" t="n">
        <f aca="false">-K12</f>
        <v>1462.2618404187</v>
      </c>
      <c r="L16" s="0" t="n">
        <f aca="false">-L12</f>
        <v>1491.50707722707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-1370.369</v>
      </c>
      <c r="D17" s="4" t="n">
        <f aca="false">-D6*Assumptions!D18/100</f>
        <v>-1346.66532</v>
      </c>
      <c r="E17" s="4" t="n">
        <f aca="false">-E6*Assumptions!E18/100</f>
        <v>-1110.998889</v>
      </c>
      <c r="F17" s="4" t="n">
        <f aca="false">-F6*Assumptions!F18/100</f>
        <v>-1190.45214288</v>
      </c>
      <c r="G17" s="4" t="n">
        <f aca="false">-G6*Assumptions!G18/100</f>
        <v>-1249.974750024</v>
      </c>
      <c r="H17" s="4" t="n">
        <f aca="false">-H6*Assumptions!H18/100</f>
        <v>-1299.97374002496</v>
      </c>
      <c r="I17" s="4" t="n">
        <f aca="false">-I6*Assumptions!I18/100</f>
        <v>-1345.47282092583</v>
      </c>
      <c r="J17" s="4" t="n">
        <f aca="false">-J6*Assumptions!J18/100</f>
        <v>-1385.83700555361</v>
      </c>
      <c r="K17" s="4" t="n">
        <f aca="false">-K6*Assumptions!K18/100</f>
        <v>-1420.48293069245</v>
      </c>
      <c r="L17" s="4" t="n">
        <f aca="false">-L6*Assumptions!L18/100</f>
        <v>-1448.8925893063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-505.05</v>
      </c>
      <c r="D18" s="4" t="n">
        <f aca="false">(D6-C6)*Assumptions!$B$23/100</f>
        <v>-55.5555000000004</v>
      </c>
      <c r="E18" s="4" t="n">
        <f aca="false">(E6-D6)*Assumptions!$B$23/100</f>
        <v>561.11055</v>
      </c>
      <c r="F18" s="4" t="n">
        <f aca="false">(F6-E6)*Assumptions!$B$23/100</f>
        <v>-201.999798</v>
      </c>
      <c r="G18" s="4" t="n">
        <f aca="false">(G6-F6)*Assumptions!$B$23/100</f>
        <v>-262.5997374</v>
      </c>
      <c r="H18" s="4" t="n">
        <f aca="false">(H6-G6)*Assumptions!$B$23/100</f>
        <v>-220.583779416</v>
      </c>
      <c r="I18" s="4" t="n">
        <f aca="false">(I6-H6)*Assumptions!$B$23/100</f>
        <v>-200.731239268559</v>
      </c>
      <c r="J18" s="4" t="n">
        <f aca="false">(J6-I6)*Assumptions!$B$23/100</f>
        <v>-178.077285122537</v>
      </c>
      <c r="K18" s="4" t="n">
        <f aca="false">(K6-J6)*Assumptions!$B$23/100</f>
        <v>-152.849669730177</v>
      </c>
      <c r="L18" s="4" t="n">
        <f aca="false">(L6-K6)*Assumptions!$B$23/100</f>
        <v>-125.336729178745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3393.612768</v>
      </c>
      <c r="D19" s="0" t="n">
        <f aca="false">D15+D16+D17+D18</f>
        <v>3697.67556158</v>
      </c>
      <c r="E19" s="0" t="n">
        <f aca="false">E15+E16+E17+E18</f>
        <v>3407.422370352</v>
      </c>
      <c r="F19" s="0" t="n">
        <f aca="false">F15+F16+F17+F18</f>
        <v>2992.75359391008</v>
      </c>
      <c r="G19" s="0" t="n">
        <f aca="false">G15+G16+G17+G18</f>
        <v>3233.43258256418</v>
      </c>
      <c r="H19" s="0" t="n">
        <f aca="false">H15+H16+H17+H18</f>
        <v>3415.28983334675</v>
      </c>
      <c r="I19" s="0" t="n">
        <f aca="false">I15+I16+I17+I18</f>
        <v>3562.39794994089</v>
      </c>
      <c r="J19" s="0" t="n">
        <f aca="false">J15+J16+J17+J18</f>
        <v>3697.94577976319</v>
      </c>
      <c r="K19" s="0" t="n">
        <f aca="false">K15+K16+K17+K18</f>
        <v>3820.0739717777</v>
      </c>
      <c r="L19" s="0" t="n">
        <f aca="false">L15+L16+L17+L18</f>
        <v>3927.04538515929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3113.40620917431</v>
      </c>
      <c r="D21" s="0" t="n">
        <f aca="false">D19*D20</f>
        <v>3112.25954177258</v>
      </c>
      <c r="E21" s="0" t="n">
        <f aca="false">E19*E20</f>
        <v>2631.15526397633</v>
      </c>
      <c r="F21" s="0" t="n">
        <f aca="false">F19*F20</f>
        <v>2120.14209643187</v>
      </c>
      <c r="G21" s="0" t="n">
        <f aca="false">G19*G20</f>
        <v>2101.50932088818</v>
      </c>
      <c r="H21" s="0" t="n">
        <f aca="false">H19*H20</f>
        <v>2036.42573944743</v>
      </c>
      <c r="I21" s="0" t="n">
        <f aca="false">I19*I20</f>
        <v>1948.7536723773</v>
      </c>
      <c r="J21" s="0" t="n">
        <f aca="false">J19*J20</f>
        <v>1855.87429092137</v>
      </c>
      <c r="K21" s="0" t="n">
        <f aca="false">K19*K20</f>
        <v>1758.86817641362</v>
      </c>
      <c r="L21" s="0" t="n">
        <f aca="false">L19*L20</f>
        <v>1658.82640986113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22337.2207212641</v>
      </c>
    </row>
    <row r="31" customFormat="false" ht="15" hidden="false" customHeight="false" outlineLevel="0" collapsed="false">
      <c r="A31" s="0" t="s">
        <v>137</v>
      </c>
      <c r="B31" s="0" t="n">
        <f aca="false">L19</f>
        <v>3927.04538515929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57222.6613266067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47124.5446219114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47124.5446219114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19905.9169183335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42243.1376395976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36999.1376395976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267.141788011535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-0.491216645694711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678.433726560417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734.433465304869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277.342995173017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30812.2022527882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142.668748859062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11.5</v>
      </c>
      <c r="D5" s="4" t="n">
        <f aca="false">Assumptions!D27</f>
        <v>7</v>
      </c>
      <c r="E5" s="4" t="n">
        <f aca="false">Assumptions!E27</f>
        <v>-3</v>
      </c>
      <c r="F5" s="4" t="n">
        <f aca="false">Assumptions!F27</f>
        <v>6</v>
      </c>
      <c r="G5" s="4" t="n">
        <f aca="false">Assumptions!G27</f>
        <v>6</v>
      </c>
      <c r="H5" s="4" t="n">
        <f aca="false">Assumptions!H27</f>
        <v>5</v>
      </c>
      <c r="I5" s="4" t="n">
        <f aca="false">Assumptions!I27</f>
        <v>4.5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37</v>
      </c>
      <c r="B6" s="3" t="n">
        <v>33670</v>
      </c>
      <c r="C6" s="0" t="n">
        <f aca="false">B6*(1+C5/100)</f>
        <v>37542.05</v>
      </c>
      <c r="D6" s="0" t="n">
        <f aca="false">C6*(1+D5/100)</f>
        <v>40169.9935</v>
      </c>
      <c r="E6" s="0" t="n">
        <f aca="false">D6*(1+E5/100)</f>
        <v>38964.893695</v>
      </c>
      <c r="F6" s="0" t="n">
        <f aca="false">E6*(1+F5/100)</f>
        <v>41302.7873167</v>
      </c>
      <c r="G6" s="0" t="n">
        <f aca="false">F6*(1+G5/100)</f>
        <v>43780.954555702</v>
      </c>
      <c r="H6" s="0" t="n">
        <f aca="false">G6*(1+H5/100)</f>
        <v>45970.0022834871</v>
      </c>
      <c r="I6" s="0" t="n">
        <f aca="false">H6*(1+I5/100)</f>
        <v>48038.652386244</v>
      </c>
      <c r="J6" s="0" t="n">
        <f aca="false">I6*(1+J5/100)</f>
        <v>49960.1984816938</v>
      </c>
      <c r="K6" s="0" t="n">
        <f aca="false">J6*(1+K5/100)</f>
        <v>51459.0044361446</v>
      </c>
      <c r="L6" s="0" t="n">
        <f aca="false">K6*(1+L5/100)</f>
        <v>52745.4795470482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18.1</v>
      </c>
      <c r="D7" s="4" t="n">
        <f aca="false">Assumptions!D28</f>
        <v>18.6</v>
      </c>
      <c r="E7" s="4" t="n">
        <f aca="false">Assumptions!E28</f>
        <v>17.3</v>
      </c>
      <c r="F7" s="4" t="n">
        <f aca="false">Assumptions!F28</f>
        <v>18.2</v>
      </c>
      <c r="G7" s="4" t="n">
        <f aca="false">Assumptions!G28</f>
        <v>18.7</v>
      </c>
      <c r="H7" s="4" t="n">
        <f aca="false">Assumptions!H28</f>
        <v>18.8</v>
      </c>
      <c r="I7" s="4" t="n">
        <f aca="false">Assumptions!I28</f>
        <v>18.8</v>
      </c>
      <c r="J7" s="4" t="n">
        <f aca="false">Assumptions!J28</f>
        <v>18.8</v>
      </c>
      <c r="K7" s="4" t="n">
        <f aca="false">Assumptions!K28</f>
        <v>18.8</v>
      </c>
      <c r="L7" s="4" t="n">
        <f aca="false">Assumptions!L28</f>
        <v>18.8</v>
      </c>
    </row>
    <row r="8" customFormat="false" ht="15" hidden="false" customHeight="false" outlineLevel="0" collapsed="false">
      <c r="A8" s="0" t="s">
        <v>43</v>
      </c>
      <c r="C8" s="0" t="n">
        <f aca="false">C6*C7/100</f>
        <v>6795.11105</v>
      </c>
      <c r="D8" s="0" t="n">
        <f aca="false">D6*D7/100</f>
        <v>7471.618791</v>
      </c>
      <c r="E8" s="0" t="n">
        <f aca="false">E6*E7/100</f>
        <v>6740.926609235</v>
      </c>
      <c r="F8" s="0" t="n">
        <f aca="false">F6*F7/100</f>
        <v>7517.1072916394</v>
      </c>
      <c r="G8" s="0" t="n">
        <f aca="false">G6*G7/100</f>
        <v>8187.03850191628</v>
      </c>
      <c r="H8" s="0" t="n">
        <f aca="false">H6*H7/100</f>
        <v>8642.36042929558</v>
      </c>
      <c r="I8" s="0" t="n">
        <f aca="false">I6*I7/100</f>
        <v>9031.26664861388</v>
      </c>
      <c r="J8" s="0" t="n">
        <f aca="false">J6*J7/100</f>
        <v>9392.51731455843</v>
      </c>
      <c r="K8" s="0" t="n">
        <f aca="false">K6*K7/100</f>
        <v>9674.29283399519</v>
      </c>
      <c r="L8" s="0" t="n">
        <f aca="false">L6*L7/100</f>
        <v>9916.15015484507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0.28</v>
      </c>
      <c r="D9" s="4" t="n">
        <f aca="false">Assumptions!D29</f>
        <v>0.28</v>
      </c>
      <c r="E9" s="4" t="n">
        <f aca="false">Assumptions!E29</f>
        <v>0.28</v>
      </c>
      <c r="F9" s="4" t="n">
        <f aca="false">Assumptions!F29</f>
        <v>0.28</v>
      </c>
      <c r="G9" s="4" t="n">
        <f aca="false">Assumptions!G29</f>
        <v>0.28</v>
      </c>
      <c r="H9" s="4" t="n">
        <f aca="false">Assumptions!H29</f>
        <v>0.28</v>
      </c>
      <c r="I9" s="4" t="n">
        <f aca="false">Assumptions!I29</f>
        <v>0.28</v>
      </c>
      <c r="J9" s="4" t="n">
        <f aca="false">Assumptions!J29</f>
        <v>0.28</v>
      </c>
      <c r="K9" s="4" t="n">
        <f aca="false">Assumptions!K29</f>
        <v>0.28</v>
      </c>
      <c r="L9" s="4" t="n">
        <f aca="false">Assumptions!L29</f>
        <v>0.28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-105.11774</v>
      </c>
      <c r="D10" s="0" t="n">
        <f aca="false">-D6*D9/100</f>
        <v>-112.4759818</v>
      </c>
      <c r="E10" s="0" t="n">
        <f aca="false">-E6*E9/100</f>
        <v>-109.101702346</v>
      </c>
      <c r="F10" s="0" t="n">
        <f aca="false">-F6*F9/100</f>
        <v>-115.64780448676</v>
      </c>
      <c r="G10" s="0" t="n">
        <f aca="false">-G6*G9/100</f>
        <v>-122.586672755966</v>
      </c>
      <c r="H10" s="0" t="n">
        <f aca="false">-H6*H9/100</f>
        <v>-128.716006393764</v>
      </c>
      <c r="I10" s="0" t="n">
        <f aca="false">-I6*I9/100</f>
        <v>-134.508226681483</v>
      </c>
      <c r="J10" s="0" t="n">
        <f aca="false">-J6*J9/100</f>
        <v>-139.888555748743</v>
      </c>
      <c r="K10" s="0" t="n">
        <f aca="false">-K6*K9/100</f>
        <v>-144.085212421205</v>
      </c>
      <c r="L10" s="0" t="n">
        <f aca="false">-L6*L9/100</f>
        <v>-147.687342731735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6689.99331</v>
      </c>
      <c r="D11" s="0" t="n">
        <f aca="false">D8+D10+D24</f>
        <v>7359.1428092</v>
      </c>
      <c r="E11" s="0" t="n">
        <f aca="false">E8+E10+E24</f>
        <v>6631.824906889</v>
      </c>
      <c r="F11" s="0" t="n">
        <f aca="false">F8+F10+F24</f>
        <v>7401.45948715264</v>
      </c>
      <c r="G11" s="0" t="n">
        <f aca="false">G8+G10+G24</f>
        <v>8064.45182916031</v>
      </c>
      <c r="H11" s="0" t="n">
        <f aca="false">H8+H10+H24</f>
        <v>8513.64442290181</v>
      </c>
      <c r="I11" s="0" t="n">
        <f aca="false">I8+I10+I24</f>
        <v>8896.7584219324</v>
      </c>
      <c r="J11" s="0" t="n">
        <f aca="false">J8+J10+J24</f>
        <v>9252.62875880969</v>
      </c>
      <c r="K11" s="0" t="n">
        <f aca="false">K8+K10+K24</f>
        <v>9530.20762157398</v>
      </c>
      <c r="L11" s="0" t="n">
        <f aca="false">L8+L10+L24</f>
        <v>9768.46281211333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-1201.3456</v>
      </c>
      <c r="D12" s="4" t="n">
        <f aca="false">-D6*Assumptions!D31/100</f>
        <v>-1325.6097855</v>
      </c>
      <c r="E12" s="4" t="n">
        <f aca="false">-E6*Assumptions!E31/100</f>
        <v>-1324.80638563</v>
      </c>
      <c r="F12" s="4" t="n">
        <f aca="false">-F6*Assumptions!F31/100</f>
        <v>-1404.2947687678</v>
      </c>
      <c r="G12" s="4" t="n">
        <f aca="false">-G6*Assumptions!G31/100</f>
        <v>-1488.55245489387</v>
      </c>
      <c r="H12" s="4" t="n">
        <f aca="false">-H6*Assumptions!H31/100</f>
        <v>-1562.98007763856</v>
      </c>
      <c r="I12" s="4" t="n">
        <f aca="false">-I6*Assumptions!I31/100</f>
        <v>-1633.3141811323</v>
      </c>
      <c r="J12" s="4" t="n">
        <f aca="false">-J6*Assumptions!J31/100</f>
        <v>-1698.64674837759</v>
      </c>
      <c r="K12" s="4" t="n">
        <f aca="false">-K6*Assumptions!K31/100</f>
        <v>-1749.60615082892</v>
      </c>
      <c r="L12" s="4" t="n">
        <f aca="false">-L6*Assumptions!L31/100</f>
        <v>-1793.34630459964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5488.64771</v>
      </c>
      <c r="D13" s="0" t="n">
        <f aca="false">D11+D12</f>
        <v>6033.5330237</v>
      </c>
      <c r="E13" s="0" t="n">
        <f aca="false">E11+E12</f>
        <v>5307.018521259</v>
      </c>
      <c r="F13" s="0" t="n">
        <f aca="false">F11+F12</f>
        <v>5997.16471838484</v>
      </c>
      <c r="G13" s="0" t="n">
        <f aca="false">G11+G12</f>
        <v>6575.89937426644</v>
      </c>
      <c r="H13" s="0" t="n">
        <f aca="false">H11+H12</f>
        <v>6950.66434526325</v>
      </c>
      <c r="I13" s="0" t="n">
        <f aca="false">I11+I12</f>
        <v>7263.4442408001</v>
      </c>
      <c r="J13" s="0" t="n">
        <f aca="false">J11+J12</f>
        <v>7553.9820104321</v>
      </c>
      <c r="K13" s="0" t="n">
        <f aca="false">K11+K12</f>
        <v>7780.60147074506</v>
      </c>
      <c r="L13" s="0" t="n">
        <f aca="false">L11+L12</f>
        <v>7975.11650751369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23</v>
      </c>
      <c r="D14" s="4" t="n">
        <f aca="false">Assumptions!D33</f>
        <v>23</v>
      </c>
      <c r="E14" s="4" t="n">
        <f aca="false">Assumptions!E33</f>
        <v>23</v>
      </c>
      <c r="F14" s="4" t="n">
        <f aca="false">Assumptions!F33</f>
        <v>23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4226.2587367</v>
      </c>
      <c r="D15" s="0" t="n">
        <f aca="false">D13-MAX(0,D13)*D14/100</f>
        <v>4645.820428249</v>
      </c>
      <c r="E15" s="0" t="n">
        <f aca="false">E13-MAX(0,E13)*E14/100</f>
        <v>4086.40426136943</v>
      </c>
      <c r="F15" s="0" t="n">
        <f aca="false">F13-MAX(0,F13)*F14/100</f>
        <v>4617.81683315633</v>
      </c>
      <c r="G15" s="0" t="n">
        <f aca="false">G13-MAX(0,G13)*G14/100</f>
        <v>5063.44251818516</v>
      </c>
      <c r="H15" s="0" t="n">
        <f aca="false">H13-MAX(0,H13)*H14/100</f>
        <v>5352.0115458527</v>
      </c>
      <c r="I15" s="0" t="n">
        <f aca="false">I13-MAX(0,I13)*I14/100</f>
        <v>5592.85206541608</v>
      </c>
      <c r="J15" s="0" t="n">
        <f aca="false">J13-MAX(0,J13)*J14/100</f>
        <v>5816.56614803272</v>
      </c>
      <c r="K15" s="0" t="n">
        <f aca="false">K13-MAX(0,K13)*K14/100</f>
        <v>5991.0631324737</v>
      </c>
      <c r="L15" s="0" t="n">
        <f aca="false">L13-MAX(0,L13)*L14/100</f>
        <v>6140.83971078554</v>
      </c>
    </row>
    <row r="16" customFormat="false" ht="15" hidden="false" customHeight="false" outlineLevel="0" collapsed="false">
      <c r="A16" s="0" t="s">
        <v>128</v>
      </c>
      <c r="C16" s="0" t="n">
        <f aca="false">-C12</f>
        <v>1201.3456</v>
      </c>
      <c r="D16" s="0" t="n">
        <f aca="false">-D12</f>
        <v>1325.6097855</v>
      </c>
      <c r="E16" s="0" t="n">
        <f aca="false">-E12</f>
        <v>1324.80638563</v>
      </c>
      <c r="F16" s="0" t="n">
        <f aca="false">-F12</f>
        <v>1404.2947687678</v>
      </c>
      <c r="G16" s="0" t="n">
        <f aca="false">-G12</f>
        <v>1488.55245489387</v>
      </c>
      <c r="H16" s="0" t="n">
        <f aca="false">-H12</f>
        <v>1562.98007763856</v>
      </c>
      <c r="I16" s="0" t="n">
        <f aca="false">-I12</f>
        <v>1633.3141811323</v>
      </c>
      <c r="J16" s="0" t="n">
        <f aca="false">-J12</f>
        <v>1698.64674837759</v>
      </c>
      <c r="K16" s="0" t="n">
        <f aca="false">-K12</f>
        <v>1749.60615082892</v>
      </c>
      <c r="L16" s="0" t="n">
        <f aca="false">-L12</f>
        <v>1793.34630459964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-1426.5979</v>
      </c>
      <c r="D17" s="4" t="n">
        <f aca="false">-D6*Assumptions!D32/100</f>
        <v>-1606.79974</v>
      </c>
      <c r="E17" s="4" t="n">
        <f aca="false">-E6*Assumptions!E32/100</f>
        <v>-1558.5957478</v>
      </c>
      <c r="F17" s="4" t="n">
        <f aca="false">-F6*Assumptions!F32/100</f>
        <v>-1569.5059180346</v>
      </c>
      <c r="G17" s="4" t="n">
        <f aca="false">-G6*Assumptions!G32/100</f>
        <v>-1619.89531856097</v>
      </c>
      <c r="H17" s="4" t="n">
        <f aca="false">-H6*Assumptions!H32/100</f>
        <v>-1654.92008220554</v>
      </c>
      <c r="I17" s="4" t="n">
        <f aca="false">-I6*Assumptions!I32/100</f>
        <v>-1729.39148590479</v>
      </c>
      <c r="J17" s="4" t="n">
        <f aca="false">-J6*Assumptions!J32/100</f>
        <v>-1798.56714534098</v>
      </c>
      <c r="K17" s="4" t="n">
        <f aca="false">-K6*Assumptions!K32/100</f>
        <v>-1852.52415970121</v>
      </c>
      <c r="L17" s="4" t="n">
        <f aca="false">-L6*Assumptions!L32/100</f>
        <v>-1898.83726369374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-580.807500000001</v>
      </c>
      <c r="D18" s="4" t="n">
        <f aca="false">(D6-C6)*Assumptions!$B$37/100</f>
        <v>-394.191525</v>
      </c>
      <c r="E18" s="4" t="n">
        <f aca="false">(E6-D6)*Assumptions!$B$37/100</f>
        <v>180.76497075</v>
      </c>
      <c r="F18" s="4" t="n">
        <f aca="false">(F6-E6)*Assumptions!$B$37/100</f>
        <v>-350.684043255</v>
      </c>
      <c r="G18" s="4" t="n">
        <f aca="false">(G6-F6)*Assumptions!$B$37/100</f>
        <v>-371.7250858503</v>
      </c>
      <c r="H18" s="4" t="n">
        <f aca="false">(H6-G6)*Assumptions!$B$37/100</f>
        <v>-328.357159167765</v>
      </c>
      <c r="I18" s="4" t="n">
        <f aca="false">(I6-H6)*Assumptions!$B$37/100</f>
        <v>-310.297515413538</v>
      </c>
      <c r="J18" s="4" t="n">
        <f aca="false">(J6-I6)*Assumptions!$B$37/100</f>
        <v>-288.231914317464</v>
      </c>
      <c r="K18" s="4" t="n">
        <f aca="false">(K6-J6)*Assumptions!$B$37/100</f>
        <v>-224.820893167622</v>
      </c>
      <c r="L18" s="4" t="n">
        <f aca="false">(L6-K6)*Assumptions!$B$37/100</f>
        <v>-192.971266635541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3420.1989367</v>
      </c>
      <c r="D19" s="0" t="n">
        <f aca="false">D15+D16+D17+D18</f>
        <v>3970.438948749</v>
      </c>
      <c r="E19" s="0" t="n">
        <f aca="false">E15+E16+E17+E18</f>
        <v>4033.37986994943</v>
      </c>
      <c r="F19" s="0" t="n">
        <f aca="false">F15+F16+F17+F18</f>
        <v>4101.92164063453</v>
      </c>
      <c r="G19" s="0" t="n">
        <f aca="false">G15+G16+G17+G18</f>
        <v>4560.37456866775</v>
      </c>
      <c r="H19" s="0" t="n">
        <f aca="false">H15+H16+H17+H18</f>
        <v>4931.71438211796</v>
      </c>
      <c r="I19" s="0" t="n">
        <f aca="false">I15+I16+I17+I18</f>
        <v>5186.47724523005</v>
      </c>
      <c r="J19" s="0" t="n">
        <f aca="false">J15+J16+J17+J18</f>
        <v>5428.41383675187</v>
      </c>
      <c r="K19" s="0" t="n">
        <f aca="false">K15+K16+K17+K18</f>
        <v>5663.32423043379</v>
      </c>
      <c r="L19" s="0" t="n">
        <f aca="false">L15+L16+L17+L18</f>
        <v>5842.37748505591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3137.79718963303</v>
      </c>
      <c r="D21" s="0" t="n">
        <f aca="false">D19*D20</f>
        <v>3341.83902764835</v>
      </c>
      <c r="E21" s="0" t="n">
        <f aca="false">E19*E20</f>
        <v>3114.50930438579</v>
      </c>
      <c r="F21" s="0" t="n">
        <f aca="false">F19*F20</f>
        <v>2905.90470403941</v>
      </c>
      <c r="G21" s="0" t="n">
        <f aca="false">G19*G20</f>
        <v>2963.93056545395</v>
      </c>
      <c r="H21" s="0" t="n">
        <f aca="false">H19*H20</f>
        <v>2940.62015155726</v>
      </c>
      <c r="I21" s="0" t="n">
        <f aca="false">I19*I20</f>
        <v>2837.18066324147</v>
      </c>
      <c r="J21" s="0" t="n">
        <f aca="false">J19*J20</f>
        <v>2724.33785677484</v>
      </c>
      <c r="K21" s="0" t="n">
        <f aca="false">K19*K20</f>
        <v>2607.55180009949</v>
      </c>
      <c r="L21" s="0" t="n">
        <f aca="false">L19*L20</f>
        <v>2467.88338765167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29041.5546504853</v>
      </c>
    </row>
    <row r="31" customFormat="false" ht="15" hidden="false" customHeight="false" outlineLevel="0" collapsed="false">
      <c r="A31" s="0" t="s">
        <v>137</v>
      </c>
      <c r="B31" s="0" t="n">
        <f aca="false">L19</f>
        <v>5842.37748505591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92129.7988028046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81793.2847907827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81793.2847907827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34550.3674271234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63591.9220776086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58347.9220776086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421.284635939413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-0.197644772141446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786.215024186059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983.759197721264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434.064233209502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47907.4953774584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207.576896448439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13</v>
      </c>
      <c r="D5" s="4" t="n">
        <f aca="false">Assumptions!D41</f>
        <v>10</v>
      </c>
      <c r="E5" s="4" t="n">
        <f aca="false">Assumptions!E41</f>
        <v>0</v>
      </c>
      <c r="F5" s="4" t="n">
        <f aca="false">Assumptions!F41</f>
        <v>8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4.5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33670</v>
      </c>
      <c r="C6" s="0" t="n">
        <f aca="false">B6*(1+C5/100)</f>
        <v>38047.1</v>
      </c>
      <c r="D6" s="0" t="n">
        <f aca="false">C6*(1+D5/100)</f>
        <v>41851.81</v>
      </c>
      <c r="E6" s="0" t="n">
        <f aca="false">D6*(1+E5/100)</f>
        <v>41851.81</v>
      </c>
      <c r="F6" s="0" t="n">
        <f aca="false">E6*(1+F5/100)</f>
        <v>45199.9548</v>
      </c>
      <c r="G6" s="0" t="n">
        <f aca="false">F6*(1+G5/100)</f>
        <v>48815.951184</v>
      </c>
      <c r="H6" s="0" t="n">
        <f aca="false">G6*(1+H5/100)</f>
        <v>51744.90825504</v>
      </c>
      <c r="I6" s="0" t="n">
        <f aca="false">H6*(1+I5/100)</f>
        <v>54332.153667792</v>
      </c>
      <c r="J6" s="0" t="n">
        <f aca="false">I6*(1+J5/100)</f>
        <v>56777.1005828427</v>
      </c>
      <c r="K6" s="0" t="n">
        <f aca="false">J6*(1+K5/100)</f>
        <v>59048.1846061564</v>
      </c>
      <c r="L6" s="0" t="n">
        <f aca="false">K6*(1+L5/100)</f>
        <v>60819.6301443411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18.4</v>
      </c>
      <c r="D7" s="4" t="n">
        <f aca="false">Assumptions!D42</f>
        <v>19.3</v>
      </c>
      <c r="E7" s="4" t="n">
        <f aca="false">Assumptions!E42</f>
        <v>18.6</v>
      </c>
      <c r="F7" s="4" t="n">
        <f aca="false">Assumptions!F42</f>
        <v>19.6</v>
      </c>
      <c r="G7" s="4" t="n">
        <f aca="false">Assumptions!G42</f>
        <v>20.3</v>
      </c>
      <c r="H7" s="4" t="n">
        <f aca="false">Assumptions!H42</f>
        <v>20.5</v>
      </c>
      <c r="I7" s="4" t="n">
        <f aca="false">Assumptions!I42</f>
        <v>20.5</v>
      </c>
      <c r="J7" s="4" t="n">
        <f aca="false">Assumptions!J42</f>
        <v>20.5</v>
      </c>
      <c r="K7" s="4" t="n">
        <f aca="false">Assumptions!K42</f>
        <v>20.5</v>
      </c>
      <c r="L7" s="4" t="n">
        <f aca="false">Assumptions!L42</f>
        <v>20.5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7000.6664</v>
      </c>
      <c r="D8" s="0" t="n">
        <f aca="false">D6*D7/100</f>
        <v>8077.39933</v>
      </c>
      <c r="E8" s="0" t="n">
        <f aca="false">E6*E7/100</f>
        <v>7784.43666</v>
      </c>
      <c r="F8" s="0" t="n">
        <f aca="false">F6*F7/100</f>
        <v>8859.1911408</v>
      </c>
      <c r="G8" s="0" t="n">
        <f aca="false">G6*G7/100</f>
        <v>9909.638090352</v>
      </c>
      <c r="H8" s="0" t="n">
        <f aca="false">H6*H7/100</f>
        <v>10607.7061922832</v>
      </c>
      <c r="I8" s="0" t="n">
        <f aca="false">I6*I7/100</f>
        <v>11138.0915018974</v>
      </c>
      <c r="J8" s="0" t="n">
        <f aca="false">J6*J7/100</f>
        <v>11639.3056194827</v>
      </c>
      <c r="K8" s="0" t="n">
        <f aca="false">K6*K7/100</f>
        <v>12104.8778442621</v>
      </c>
      <c r="L8" s="0" t="n">
        <f aca="false">L6*L7/100</f>
        <v>12468.0241795899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0.28</v>
      </c>
      <c r="D9" s="4" t="n">
        <f aca="false">Assumptions!D43</f>
        <v>0.28</v>
      </c>
      <c r="E9" s="4" t="n">
        <f aca="false">Assumptions!E43</f>
        <v>0.28</v>
      </c>
      <c r="F9" s="4" t="n">
        <f aca="false">Assumptions!F43</f>
        <v>0.28</v>
      </c>
      <c r="G9" s="4" t="n">
        <f aca="false">Assumptions!G43</f>
        <v>0.28</v>
      </c>
      <c r="H9" s="4" t="n">
        <f aca="false">Assumptions!H43</f>
        <v>0.28</v>
      </c>
      <c r="I9" s="4" t="n">
        <f aca="false">Assumptions!I43</f>
        <v>0.28</v>
      </c>
      <c r="J9" s="4" t="n">
        <f aca="false">Assumptions!J43</f>
        <v>0.28</v>
      </c>
      <c r="K9" s="4" t="n">
        <f aca="false">Assumptions!K43</f>
        <v>0.28</v>
      </c>
      <c r="L9" s="4" t="n">
        <f aca="false">Assumptions!L43</f>
        <v>0.28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-106.53188</v>
      </c>
      <c r="D10" s="0" t="n">
        <f aca="false">-D6*D9/100</f>
        <v>-117.185068</v>
      </c>
      <c r="E10" s="0" t="n">
        <f aca="false">-E6*E9/100</f>
        <v>-117.185068</v>
      </c>
      <c r="F10" s="0" t="n">
        <f aca="false">-F6*F9/100</f>
        <v>-126.55987344</v>
      </c>
      <c r="G10" s="0" t="n">
        <f aca="false">-G6*G9/100</f>
        <v>-136.6846633152</v>
      </c>
      <c r="H10" s="0" t="n">
        <f aca="false">-H6*H9/100</f>
        <v>-144.885743114112</v>
      </c>
      <c r="I10" s="0" t="n">
        <f aca="false">-I6*I9/100</f>
        <v>-152.130030269818</v>
      </c>
      <c r="J10" s="0" t="n">
        <f aca="false">-J6*J9/100</f>
        <v>-158.975881631959</v>
      </c>
      <c r="K10" s="0" t="n">
        <f aca="false">-K6*K9/100</f>
        <v>-165.334916897238</v>
      </c>
      <c r="L10" s="0" t="n">
        <f aca="false">-L6*L9/100</f>
        <v>-170.294964404155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6894.13452</v>
      </c>
      <c r="D11" s="0" t="n">
        <f aca="false">D8+D10+D24</f>
        <v>7960.214262</v>
      </c>
      <c r="E11" s="0" t="n">
        <f aca="false">E8+E10+E24</f>
        <v>7667.251592</v>
      </c>
      <c r="F11" s="0" t="n">
        <f aca="false">F8+F10+F24</f>
        <v>8732.63126736</v>
      </c>
      <c r="G11" s="0" t="n">
        <f aca="false">G8+G10+G24</f>
        <v>9772.9534270368</v>
      </c>
      <c r="H11" s="0" t="n">
        <f aca="false">H8+H10+H24</f>
        <v>10462.8204491691</v>
      </c>
      <c r="I11" s="0" t="n">
        <f aca="false">I8+I10+I24</f>
        <v>10985.9614716275</v>
      </c>
      <c r="J11" s="0" t="n">
        <f aca="false">J8+J10+J24</f>
        <v>11480.3297378508</v>
      </c>
      <c r="K11" s="0" t="n">
        <f aca="false">K8+K10+K24</f>
        <v>11939.5429273648</v>
      </c>
      <c r="L11" s="0" t="n">
        <f aca="false">L8+L10+L24</f>
        <v>12297.7292151858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-1217.5072</v>
      </c>
      <c r="D12" s="4" t="n">
        <f aca="false">-D6*Assumptions!D45/100</f>
        <v>-1381.10973</v>
      </c>
      <c r="E12" s="4" t="n">
        <f aca="false">-E6*Assumptions!E45/100</f>
        <v>-1422.96154</v>
      </c>
      <c r="F12" s="4" t="n">
        <f aca="false">-F6*Assumptions!F45/100</f>
        <v>-1536.7984632</v>
      </c>
      <c r="G12" s="4" t="n">
        <f aca="false">-G6*Assumptions!G45/100</f>
        <v>-1659.742340256</v>
      </c>
      <c r="H12" s="4" t="n">
        <f aca="false">-H6*Assumptions!H45/100</f>
        <v>-1759.32688067136</v>
      </c>
      <c r="I12" s="4" t="n">
        <f aca="false">-I6*Assumptions!I45/100</f>
        <v>-1847.29322470493</v>
      </c>
      <c r="J12" s="4" t="n">
        <f aca="false">-J6*Assumptions!J45/100</f>
        <v>-1930.42141981665</v>
      </c>
      <c r="K12" s="4" t="n">
        <f aca="false">-K6*Assumptions!K45/100</f>
        <v>-2007.63827660932</v>
      </c>
      <c r="L12" s="4" t="n">
        <f aca="false">-L6*Assumptions!L45/100</f>
        <v>-2067.8674249076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5676.62732</v>
      </c>
      <c r="D13" s="0" t="n">
        <f aca="false">D11+D12</f>
        <v>6579.104532</v>
      </c>
      <c r="E13" s="0" t="n">
        <f aca="false">E11+E12</f>
        <v>6244.290052</v>
      </c>
      <c r="F13" s="0" t="n">
        <f aca="false">F11+F12</f>
        <v>7195.83280416</v>
      </c>
      <c r="G13" s="0" t="n">
        <f aca="false">G11+G12</f>
        <v>8113.2110867808</v>
      </c>
      <c r="H13" s="0" t="n">
        <f aca="false">H11+H12</f>
        <v>8703.49356849773</v>
      </c>
      <c r="I13" s="0" t="n">
        <f aca="false">I11+I12</f>
        <v>9138.66824692262</v>
      </c>
      <c r="J13" s="0" t="n">
        <f aca="false">J11+J12</f>
        <v>9549.90831803413</v>
      </c>
      <c r="K13" s="0" t="n">
        <f aca="false">K11+K12</f>
        <v>9931.9046507555</v>
      </c>
      <c r="L13" s="0" t="n">
        <f aca="false">L11+L12</f>
        <v>10229.8617902782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23</v>
      </c>
      <c r="D14" s="4" t="n">
        <f aca="false">Assumptions!D47</f>
        <v>23</v>
      </c>
      <c r="E14" s="4" t="n">
        <f aca="false">Assumptions!E47</f>
        <v>23</v>
      </c>
      <c r="F14" s="4" t="n">
        <f aca="false">Assumptions!F47</f>
        <v>23</v>
      </c>
      <c r="G14" s="4" t="n">
        <f aca="false">Assumptions!G47</f>
        <v>23</v>
      </c>
      <c r="H14" s="4" t="n">
        <f aca="false">Assumptions!H47</f>
        <v>23</v>
      </c>
      <c r="I14" s="4" t="n">
        <f aca="false">Assumptions!I47</f>
        <v>23</v>
      </c>
      <c r="J14" s="4" t="n">
        <f aca="false">Assumptions!J47</f>
        <v>23</v>
      </c>
      <c r="K14" s="4" t="n">
        <f aca="false">Assumptions!K47</f>
        <v>23</v>
      </c>
      <c r="L14" s="4" t="n">
        <f aca="false">Assumptions!L47</f>
        <v>23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4371.0030364</v>
      </c>
      <c r="D15" s="0" t="n">
        <f aca="false">D13-MAX(0,D13)*D14/100</f>
        <v>5065.91048964</v>
      </c>
      <c r="E15" s="0" t="n">
        <f aca="false">E13-MAX(0,E13)*E14/100</f>
        <v>4808.10334004</v>
      </c>
      <c r="F15" s="0" t="n">
        <f aca="false">F13-MAX(0,F13)*F14/100</f>
        <v>5540.7912592032</v>
      </c>
      <c r="G15" s="0" t="n">
        <f aca="false">G13-MAX(0,G13)*G14/100</f>
        <v>6247.17253682122</v>
      </c>
      <c r="H15" s="0" t="n">
        <f aca="false">H13-MAX(0,H13)*H14/100</f>
        <v>6701.69004774325</v>
      </c>
      <c r="I15" s="0" t="n">
        <f aca="false">I13-MAX(0,I13)*I14/100</f>
        <v>7036.77455013042</v>
      </c>
      <c r="J15" s="0" t="n">
        <f aca="false">J13-MAX(0,J13)*J14/100</f>
        <v>7353.42940488628</v>
      </c>
      <c r="K15" s="0" t="n">
        <f aca="false">K13-MAX(0,K13)*K14/100</f>
        <v>7647.56658108173</v>
      </c>
      <c r="L15" s="0" t="n">
        <f aca="false">L13-MAX(0,L13)*L14/100</f>
        <v>7876.99357851419</v>
      </c>
    </row>
    <row r="16" customFormat="false" ht="15" hidden="false" customHeight="false" outlineLevel="0" collapsed="false">
      <c r="A16" s="0" t="s">
        <v>128</v>
      </c>
      <c r="C16" s="0" t="n">
        <f aca="false">-C12</f>
        <v>1217.5072</v>
      </c>
      <c r="D16" s="0" t="n">
        <f aca="false">-D12</f>
        <v>1381.10973</v>
      </c>
      <c r="E16" s="0" t="n">
        <f aca="false">-E12</f>
        <v>1422.96154</v>
      </c>
      <c r="F16" s="0" t="n">
        <f aca="false">-F12</f>
        <v>1536.7984632</v>
      </c>
      <c r="G16" s="0" t="n">
        <f aca="false">-G12</f>
        <v>1659.742340256</v>
      </c>
      <c r="H16" s="0" t="n">
        <f aca="false">-H12</f>
        <v>1759.32688067136</v>
      </c>
      <c r="I16" s="0" t="n">
        <f aca="false">-I12</f>
        <v>1847.29322470493</v>
      </c>
      <c r="J16" s="0" t="n">
        <f aca="false">-J12</f>
        <v>1930.42141981665</v>
      </c>
      <c r="K16" s="0" t="n">
        <f aca="false">-K12</f>
        <v>2007.63827660932</v>
      </c>
      <c r="L16" s="0" t="n">
        <f aca="false">-L12</f>
        <v>2067.8674249076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-1483.8369</v>
      </c>
      <c r="D17" s="4" t="n">
        <f aca="false">-D6*Assumptions!D46/100</f>
        <v>-1757.77602</v>
      </c>
      <c r="E17" s="4" t="n">
        <f aca="false">-E6*Assumptions!E46/100</f>
        <v>-1757.77602</v>
      </c>
      <c r="F17" s="4" t="n">
        <f aca="false">-F6*Assumptions!F46/100</f>
        <v>-1807.998192</v>
      </c>
      <c r="G17" s="4" t="n">
        <f aca="false">-G6*Assumptions!G46/100</f>
        <v>-1855.006144992</v>
      </c>
      <c r="H17" s="4" t="n">
        <f aca="false">-H6*Assumptions!H46/100</f>
        <v>-1914.56160543648</v>
      </c>
      <c r="I17" s="4" t="n">
        <f aca="false">-I6*Assumptions!I46/100</f>
        <v>-2010.2896857083</v>
      </c>
      <c r="J17" s="4" t="n">
        <f aca="false">-J6*Assumptions!J46/100</f>
        <v>-2100.75272156518</v>
      </c>
      <c r="K17" s="4" t="n">
        <f aca="false">-K6*Assumptions!K46/100</f>
        <v>-2184.78283042779</v>
      </c>
      <c r="L17" s="4" t="n">
        <f aca="false">-L6*Assumptions!L46/100</f>
        <v>-2250.32631534062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-656.565</v>
      </c>
      <c r="D18" s="4" t="n">
        <f aca="false">(D6-C6)*Assumptions!$B$51/100</f>
        <v>-570.706500000001</v>
      </c>
      <c r="E18" s="4" t="n">
        <f aca="false">(E6-D6)*Assumptions!$B$51/100</f>
        <v>-0</v>
      </c>
      <c r="F18" s="4" t="n">
        <f aca="false">(F6-E6)*Assumptions!$B$51/100</f>
        <v>-502.22172</v>
      </c>
      <c r="G18" s="4" t="n">
        <f aca="false">(G6-F6)*Assumptions!$B$51/100</f>
        <v>-542.399457600001</v>
      </c>
      <c r="H18" s="4" t="n">
        <f aca="false">(H6-G6)*Assumptions!$B$51/100</f>
        <v>-439.343560656</v>
      </c>
      <c r="I18" s="4" t="n">
        <f aca="false">(I6-H6)*Assumptions!$B$51/100</f>
        <v>-388.086811912801</v>
      </c>
      <c r="J18" s="4" t="n">
        <f aca="false">(J6-I6)*Assumptions!$B$51/100</f>
        <v>-366.742037257595</v>
      </c>
      <c r="K18" s="4" t="n">
        <f aca="false">(K6-J6)*Assumptions!$B$51/100</f>
        <v>-340.662603497056</v>
      </c>
      <c r="L18" s="4" t="n">
        <f aca="false">(L6-K6)*Assumptions!$B$51/100</f>
        <v>-265.716830727704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3448.1083364</v>
      </c>
      <c r="D19" s="0" t="n">
        <f aca="false">D15+D16+D17+D18</f>
        <v>4118.53769964</v>
      </c>
      <c r="E19" s="0" t="n">
        <f aca="false">E15+E16+E17+E18</f>
        <v>4473.28886004</v>
      </c>
      <c r="F19" s="0" t="n">
        <f aca="false">F15+F16+F17+F18</f>
        <v>4767.3698104032</v>
      </c>
      <c r="G19" s="0" t="n">
        <f aca="false">G15+G16+G17+G18</f>
        <v>5509.50927448522</v>
      </c>
      <c r="H19" s="0" t="n">
        <f aca="false">H15+H16+H17+H18</f>
        <v>6107.11176232213</v>
      </c>
      <c r="I19" s="0" t="n">
        <f aca="false">I15+I16+I17+I18</f>
        <v>6485.69127721424</v>
      </c>
      <c r="J19" s="0" t="n">
        <f aca="false">J15+J16+J17+J18</f>
        <v>6816.35606588016</v>
      </c>
      <c r="K19" s="0" t="n">
        <f aca="false">K15+K16+K17+K18</f>
        <v>7129.75942376621</v>
      </c>
      <c r="L19" s="0" t="n">
        <f aca="false">L15+L16+L17+L18</f>
        <v>7428.81785735346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0.91743119266055</v>
      </c>
      <c r="D20" s="0" t="n">
        <f aca="false">1/(1+$B$27/100)^D4</f>
        <v>0.84167999326656</v>
      </c>
      <c r="E20" s="0" t="n">
        <f aca="false">1/(1+$B$27/100)^E4</f>
        <v>0.772183480061064</v>
      </c>
      <c r="F20" s="0" t="n">
        <f aca="false">1/(1+$B$27/100)^F4</f>
        <v>0.708425211065196</v>
      </c>
      <c r="G20" s="0" t="n">
        <f aca="false">1/(1+$B$27/100)^G4</f>
        <v>0.649931386298345</v>
      </c>
      <c r="H20" s="0" t="n">
        <f aca="false">1/(1+$B$27/100)^H4</f>
        <v>0.596267326879216</v>
      </c>
      <c r="I20" s="0" t="n">
        <f aca="false">1/(1+$B$27/100)^I4</f>
        <v>0.547034244843317</v>
      </c>
      <c r="J20" s="0" t="n">
        <f aca="false">1/(1+$B$27/100)^J4</f>
        <v>0.501866279672768</v>
      </c>
      <c r="K20" s="0" t="n">
        <f aca="false">1/(1+$B$27/100)^K4</f>
        <v>0.460427779516301</v>
      </c>
      <c r="L20" s="0" t="n">
        <f aca="false">1/(1+$B$27/100)^L4</f>
        <v>0.422410806895689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3163.40214348624</v>
      </c>
      <c r="D21" s="0" t="n">
        <f aca="false">D19*D20</f>
        <v>3466.49078330107</v>
      </c>
      <c r="E21" s="0" t="n">
        <f aca="false">E19*E20</f>
        <v>3454.19975926408</v>
      </c>
      <c r="F21" s="0" t="n">
        <f aca="false">F19*F20</f>
        <v>3377.32496416073</v>
      </c>
      <c r="G21" s="0" t="n">
        <f aca="false">G19*G20</f>
        <v>3580.80300058977</v>
      </c>
      <c r="H21" s="0" t="n">
        <f aca="false">H19*H20</f>
        <v>3641.47120547243</v>
      </c>
      <c r="I21" s="0" t="n">
        <f aca="false">I19*I20</f>
        <v>3547.89523011778</v>
      </c>
      <c r="J21" s="0" t="n">
        <f aca="false">J19*J20</f>
        <v>3420.89925970818</v>
      </c>
      <c r="K21" s="0" t="n">
        <f aca="false">K19*K20</f>
        <v>3282.7392999701</v>
      </c>
      <c r="L21" s="0" t="n">
        <f aca="false">L19*L20</f>
        <v>3138.01294540578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9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34073.2385914762</v>
      </c>
    </row>
    <row r="31" customFormat="false" ht="15" hidden="false" customHeight="false" outlineLevel="0" collapsed="false">
      <c r="A31" s="0" t="s">
        <v>137</v>
      </c>
      <c r="B31" s="0" t="n">
        <f aca="false">L19</f>
        <v>7428.81785735346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127528.039884568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111432.267860302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111432.267860302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47070.1941810867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81143.4327725628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75899.4327725628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548.010344928251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0.0437099472979305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862.805055593942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1234.87443873264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563.156045248299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63764.0199422839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261.41550199081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267.141788011535</v>
      </c>
      <c r="C4" s="0" t="n">
        <f aca="false">B4/Assumptions!$B$2-1</f>
        <v>-0.491216645694711</v>
      </c>
      <c r="D4" s="4" t="n">
        <f aca="false">Assumptions!$B$24</f>
        <v>0.2</v>
      </c>
      <c r="E4" s="4" t="n">
        <f aca="false">DCF_Bear!$B$43</f>
        <v>277.342995173017</v>
      </c>
      <c r="F4" s="4" t="n">
        <f aca="false">DCF_Bear!$B$47</f>
        <v>142.668748859062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421.284635939413</v>
      </c>
      <c r="C5" s="0" t="n">
        <f aca="false">B5/Assumptions!$B$2-1</f>
        <v>-0.197644772141446</v>
      </c>
      <c r="D5" s="4" t="n">
        <f aca="false">Assumptions!$B$38</f>
        <v>0.5</v>
      </c>
      <c r="E5" s="4" t="n">
        <f aca="false">DCF_Base!$B$43</f>
        <v>434.064233209502</v>
      </c>
      <c r="F5" s="4" t="n">
        <f aca="false">DCF_Base!$B$47</f>
        <v>207.576896448439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548.010344928251</v>
      </c>
      <c r="C6" s="0" t="n">
        <f aca="false">B6/Assumptions!$B$2-1</f>
        <v>0.0437099472979305</v>
      </c>
      <c r="D6" s="4" t="n">
        <f aca="false">Assumptions!$B$52</f>
        <v>0.3</v>
      </c>
      <c r="E6" s="4" t="n">
        <f aca="false">DCF_Bull!$B$43</f>
        <v>563.156045248299</v>
      </c>
      <c r="F6" s="4" t="n">
        <f aca="false">DCF_Bull!$B$47</f>
        <v>261.41550199081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428.473779050489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441.447529213844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-0.225419210397307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744.47418620965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210.746848593275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421.284635939413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384.305285013088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332.067810129578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290.951410348252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207.576896448439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1.5</v>
      </c>
      <c r="C22" s="3" t="n">
        <v>2</v>
      </c>
      <c r="D22" s="3" t="n">
        <v>2.5</v>
      </c>
      <c r="E22" s="3" t="n">
        <v>3</v>
      </c>
      <c r="F22" s="3" t="n">
        <v>3.5</v>
      </c>
    </row>
    <row r="23" customFormat="false" ht="15" hidden="false" customHeight="false" outlineLevel="0" collapsed="false">
      <c r="A23" s="3" t="n">
        <v>7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493.856431726213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493.856431726213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493.856431726213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493.856431726213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493.856431726213</v>
      </c>
    </row>
    <row r="24" customFormat="false" ht="15" hidden="false" customHeight="false" outlineLevel="0" collapsed="false">
      <c r="A24" s="3" t="n">
        <v>8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455.882007228494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455.882007228494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455.882007228494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455.882007228494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455.882007228494</v>
      </c>
    </row>
    <row r="25" customFormat="false" ht="15" hidden="false" customHeight="false" outlineLevel="0" collapsed="false">
      <c r="A25" s="3" t="n">
        <v>9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412.969264717481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421.284635939413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421.284635939413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421.284635939413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421.284635939413</v>
      </c>
    </row>
    <row r="26" customFormat="false" ht="15" hidden="false" customHeight="false" outlineLevel="0" collapsed="false">
      <c r="A26" s="3" t="n">
        <v>10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356.242841442108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369.397111866005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384.305285013088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389.726438884755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389.726438884755</v>
      </c>
    </row>
    <row r="27" customFormat="false" ht="15" hidden="false" customHeight="false" outlineLevel="0" collapsed="false">
      <c r="A27" s="3" t="n">
        <v>11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311.646175561866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321.289725218841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332.067810129578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344.193155654157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357.935213915346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2026-09-26T00:54:09Z</dcterms:created>
  <dc:creator>openpyxl</dc:creator>
  <dc:description/>
  <dc:language>en-NZ</dc:language>
  <cp:lastModifiedBy/>
  <dcterms:modified xsi:type="dcterms:W3CDTF">2026-09-26T00:54:09Z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