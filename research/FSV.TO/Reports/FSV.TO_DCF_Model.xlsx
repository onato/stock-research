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<sst xmlns="http://schemas.openxmlformats.org/spreadsheetml/2006/main" count="367" uniqueCount="169">
  <si>
    <t xml:space="preserve">Ticker</t>
  </si>
  <si>
    <t xml:space="preserve">FSV.TO</t>
  </si>
  <si>
    <t xml:space="preserve">Company</t>
  </si>
  <si>
    <t xml:space="preserve">FirstService Corporation</t>
  </si>
  <si>
    <t xml:space="preserve">Valuation date</t>
  </si>
  <si>
    <t xml:space="preserve">2026-10-10</t>
  </si>
  <si>
    <t xml:space="preserve">Current price</t>
  </si>
  <si>
    <t xml:space="preserve">Price as of</t>
  </si>
  <si>
    <t xml:space="preserve">2026-10-09T20:00:00Z regular close, TSX (Friday; 10 Oct is a Saturday, so this is the latest regular close, not an after-hours print)</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</si>
  <si>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</si>
  <si>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</si>
  <si>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</si>
  <si>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</si>
  <si>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</si>
  <si>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</si>
  <si>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</si>
  <si>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CAD</t>
  </si>
  <si>
    <t xml:space="preserve">Units</t>
  </si>
  <si>
    <t xml:space="preserve">millions</t>
  </si>
  <si>
    <t xml:space="preserve">Engine</t>
  </si>
  <si>
    <t xml:space="preserve">dcf_engine v1</t>
  </si>
  <si>
    <t xml:space="preserve">Built at</t>
  </si>
  <si>
    <t xml:space="preserve">2026-10-10T08:34:40Z</t>
  </si>
  <si>
    <t xml:space="preserve">Drivers file</t>
  </si>
  <si>
    <t xml:space="preserve">FSV.TO_Drivers.json</t>
  </si>
  <si>
    <t xml:space="preserve">Convention</t>
  </si>
  <si>
    <t xml:space="preserve">Percents stored as percents; formulas divide by 100. Blue = input, green = link, black = formula.</t>
  </si>
  <si>
    <t xml:space="preserve">Methodology</t>
  </si>
  <si>
    <t xml:space="preserve">summary: FirstService is valued as an operating roll-up on owner free cash flow: EBITDA after stock-based compensation, cash taxes, PP&amp;E capex AND a tuck-in acquisition allowance, with the growth those acquisitions buy credited in the revenue path and tapered together with the spend. Reported FCF ignores the ~$100-200M/yr of acquisition spend that produces most of the reported growth, so this model's year-1 owner-FCF margin (~3%) is well below the reported-basis 5.3%. The minority (RNCI) claim and deferred purchase price are deducted once in the bridge; operating leases are left inside EBITDA under US GAAP; a single 8.5% USD WACC is used across scenarios with risk carried in the flows and weights. Values are computed in USD and converted to CAD at 1.4253 for the TSX quote. At the current price the market is paying for the bull-case roll-up compounding (multiple arbitrage on tuck-ins bought at ~8-9x EBITDA inside a ~13x EV/EBITDA parent); the house base case does not grant that arbitrage.
key_risks_to_valuation: M&amp;A treatment is the largest judgment: charging 2.5% of revenue for tuck-ins while crediting ~3pp of growth assumes acquisitions roughly earn the WACC; if FirstService's deals are durably accretive well above WACC (the bull thesis) the base understates value, and if integration falters it overstates it.; Brands organic revenue is weather- and housing-dependent; a multi-year continuation of the FY2025-26 decline moves the outcome toward the bear case and risks a goodwill impairment.; RNCI deducted at carrying value (US$507M) rather than the lower formula redemption amount (~US$417M at YE2025); using the formula amount would add ~US$2/share.; USD/CAD: a 5% move in the rate moves the CAD intrinsic value by 5% with no change in the business; the fx_rate is dated 2026-10-10 and must be refreshed with the price.; Terminal value is capped at 18x owner FCF (15x bear); the Gordon value at 8.5%/3% would be ~18.7x, so the cap binds slightly in base and bull.; Cash tax held at 28%; a shift of deal structures toward asset purchases (deductible Section 197 amortisation) would lower it and add value.</t>
  </si>
  <si>
    <t xml:space="preserve">Data sources</t>
  </si>
  <si>
    <t xml:space="preserve">price: Yahoo Finance chart API, TSX quote in CAD, at inputs.price_as_of; 52-week range 169.60-266.83. Nasdaq FSV (USD) used only for the FX parity check in inputs.fx_note.
fx: Yahoo Finance CADUSD=X, 2026-10-10, inverted to USD-&gt;CAD.
financials: FSV.TO_Metrics.csv / metrics_normalized (USD millions, FY2014-FY2025 annual, quarterly to Q2 2026); FY2025 audited statements (FSV.TO_Financials_FY2025.txt: balance sheet 240-272, cash flow 307-351, RNCI note 983-1011, taxes paid 1163-1171, diluted shares 1196-1210); Q2 2026 unaudited statements (FSV.TO_Quarterly_Q2-2026_FinancialStatements.txt: balance sheet 143-186, shareholders' equity 204-225, EPS note 630-638); FY2025 MD&amp;A for guidance, interest rate and RNCI commentary.
qualitative: FSV.TO_Analysis.json (2026-10-10): segment mix, bull/bear axes, FY2026 guidance, Q2 2026 call commentary.</t>
  </si>
  <si>
    <t xml:space="preserve">Scenario narrative: bear</t>
  </si>
  <si>
    <t xml:space="preserve">Prolonged housing/weather downturn keeps Brands organic negative, margins slip to 9.6%, a goodwill impairment lands, M&amp;A slows, and FirstService becomes a 3-4% grower capitalised at 15x.</t>
  </si>
  <si>
    <t xml:space="preserve">Scenario narrative: base</t>
  </si>
  <si>
    <t xml:space="preserve">FY2026 at ~4% total growth with Brands organic still negative, a weather/housing normalisation spread over FY2027-28 taking growth to ~7% (3pp of it bought via tuck-ins charged at 2.5% of revenue), slow margin expansion to 11.3%, deceleration to 3% terminal growth as the M&amp;A allowance tapers to 1%.</t>
  </si>
  <si>
    <t xml:space="preserve">Scenario narrative: bull</t>
  </si>
  <si>
    <t xml:space="preserve">Organic rebound in restoration/roofing and housing-linked brands plus the tuck-in machine at full pace delivers ~9-10% growth for several years and a 12% EBITDA margin; this is the roll-up compounding story the current multiple is paying for.</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</si>
  <si>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</si>
  <si>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</si>
  <si>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</si>
  <si>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</si>
  <si>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</si>
  <si>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</si>
  <si>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</si>
  <si>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</si>
  <si>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</si>
  <si>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</si>
  <si>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</si>
  <si>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</si>
  <si>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</si>
  <si>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</si>
  <si>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</si>
  <si>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</si>
  <si>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</si>
  <si>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</si>
  <si>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</si>
  <si>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</si>
  <si>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</si>
  <si>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</si>
  <si>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</si>
  <si>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</si>
  <si>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</si>
  <si>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</si>
  <si>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</si>
  <si>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AdjustedEBITDA</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</si>
  <si>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</si>
  <si>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</si>
  <si>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</si>
  <si>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</si>
  <si>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</si>
  <si>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</si>
  <si>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</si>
  <si>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</si>
  <si>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</si>
  <si>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</si>
  <si>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</si>
  <si>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</si>
  <si>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</si>
  <si>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</si>
  <si>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</si>
  <si>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</si>
  <si>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</si>
  <si>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</si>
  <si>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</si>
  <si>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</si>
  <si>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</si>
  <si>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</si>
  <si>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</si>
  <si>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</si>
  <si>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</si>
  <si>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</si>
  <si>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</si>
  <si>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</si>
  <si>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</si>
  <si>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</si>
  <si>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</si>
  <si>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</si>
  <si>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</si>
  <si>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</si>
  <si>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</si>
  <si>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</si>
  <si>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</si>
  <si>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</si>
  <si>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</si>
  <si>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</si>
  <si>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</si>
  <si>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</si>
  <si>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</si>
  <si>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</si>
  <si>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</si>
  <si>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</si>
  <si>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</si>
  <si>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</si>
  <si>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</si>
  <si>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FSV.TO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</si>
  <si>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</si>
  <si>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</si>
  <si>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</si>
  <si>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</si>
  <si>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</si>
  <si>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</si>
  <si>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</si>
  <si>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</si>
  <si>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</si>
  <si>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</si>
  <si>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</si>
  <si>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</si>
  <si>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</si>
  <si>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</si>
  <si>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</si>
  <si>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</si>
  <si>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</si>
  <si>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</si>
  <si>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</si>
  <si>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</si>
  <si>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</si>
  <si>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</si>
  <si>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</si>
  <si>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</si>
  <si>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</si>
  <si>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</si>
  <si>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</si>
  <si>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</si>
  <si>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</si>
  <si>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</si>
  <si>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FSV.TO owner-FCF component DCF: base case (millions, USD)</t>
  </si>
  <si>
    <t xml:space="preserve">FSV.TO owner-FCF component DCF: bull case (millions, USD)</t>
  </si>
  <si>
    <t xml:space="preserve">FSV.TO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</si>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</sst>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185.09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1132.002</v>
      </c>
      <c r="C2" s="0" t="n">
        <v>800.046</v>
      </c>
      <c r="D2" s="0" t="n">
        <v>331.956</v>
      </c>
      <c r="E2" s="0" t="n">
        <v>29.32</v>
      </c>
      <c r="F2" s="0" t="n">
        <v>45.621</v>
      </c>
      <c r="G2" s="0" t="n">
        <v>4.03</v>
      </c>
      <c r="H2" s="0" t="n">
        <v>74.997</v>
      </c>
      <c r="I2" s="0" t="n">
        <v>12.97</v>
      </c>
      <c r="J2" s="0" t="n">
        <v>1.15</v>
      </c>
      <c r="K2" s="0" t="n">
        <v>0.36</v>
      </c>
      <c r="L2" s="0" t="n">
        <v>45.177</v>
      </c>
      <c r="M2" s="0" t="n">
        <v>22.439</v>
      </c>
      <c r="N2" s="0" t="n">
        <v>22.738</v>
      </c>
      <c r="O2" s="0" t="n">
        <v>158.749</v>
      </c>
      <c r="P2" s="0" t="n">
        <v>615.544</v>
      </c>
      <c r="R2" s="0" t="n">
        <v>239.357</v>
      </c>
      <c r="S2" s="0" t="n">
        <v>66.79</v>
      </c>
      <c r="T2" s="0" t="n">
        <v>36.363</v>
      </c>
      <c r="U2" s="0" t="n">
        <v>1.719</v>
      </c>
      <c r="AA2" s="0" t="s">
        <v>18</v>
      </c>
      <c r="AB2" s="0" t="s">
        <v>14</v>
      </c>
      <c r="AC2" s="0" t="n">
        <v>74.997</v>
      </c>
    </row>
    <row r="3" customFormat="false" ht="15" hidden="false" customHeight="false" outlineLevel="0" collapsed="false">
      <c r="A3" s="0" t="s">
        <v>66</v>
      </c>
      <c r="B3" s="0" t="n">
        <v>1264.077</v>
      </c>
      <c r="C3" s="0" t="n">
        <v>883.963</v>
      </c>
      <c r="D3" s="0" t="n">
        <v>380.114</v>
      </c>
      <c r="E3" s="0" t="n">
        <v>30.07</v>
      </c>
      <c r="F3" s="0" t="n">
        <v>70.747</v>
      </c>
      <c r="G3" s="0" t="n">
        <v>5.6</v>
      </c>
      <c r="H3" s="0" t="n">
        <v>103.038</v>
      </c>
      <c r="I3" s="0" t="n">
        <v>21.395</v>
      </c>
      <c r="J3" s="0" t="n">
        <v>1.69</v>
      </c>
      <c r="K3" s="0" t="n">
        <v>0.59</v>
      </c>
      <c r="L3" s="0" t="n">
        <v>87.09</v>
      </c>
      <c r="M3" s="0" t="n">
        <v>19.694</v>
      </c>
      <c r="N3" s="0" t="n">
        <v>67.396</v>
      </c>
      <c r="O3" s="0" t="n">
        <v>167.026</v>
      </c>
      <c r="P3" s="0" t="n">
        <v>600.483</v>
      </c>
      <c r="Q3" s="0" t="n">
        <v>355.898</v>
      </c>
      <c r="R3" s="0" t="n">
        <v>201.199</v>
      </c>
      <c r="S3" s="0" t="n">
        <v>45.56</v>
      </c>
      <c r="T3" s="0" t="n">
        <v>36.425</v>
      </c>
      <c r="U3" s="0" t="n">
        <v>2.159</v>
      </c>
      <c r="AA3" s="0" t="s">
        <v>18</v>
      </c>
      <c r="AB3" s="0" t="s">
        <v>14</v>
      </c>
      <c r="AC3" s="0" t="n">
        <v>103.038</v>
      </c>
    </row>
    <row r="4" customFormat="false" ht="15" hidden="false" customHeight="false" outlineLevel="0" collapsed="false">
      <c r="A4" s="0" t="s">
        <v>67</v>
      </c>
      <c r="B4" s="0" t="n">
        <v>1482.889</v>
      </c>
      <c r="C4" s="0" t="n">
        <v>1050.087</v>
      </c>
      <c r="D4" s="0" t="n">
        <v>432.802</v>
      </c>
      <c r="E4" s="0" t="n">
        <v>29.19</v>
      </c>
      <c r="F4" s="0" t="n">
        <v>90.55</v>
      </c>
      <c r="G4" s="0" t="n">
        <v>6.11</v>
      </c>
      <c r="H4" s="0" t="n">
        <v>130.324</v>
      </c>
      <c r="I4" s="0" t="n">
        <v>33.597</v>
      </c>
      <c r="J4" s="0" t="n">
        <v>2.27</v>
      </c>
      <c r="K4" s="0" t="n">
        <v>0.92</v>
      </c>
      <c r="L4" s="0" t="n">
        <v>109.005</v>
      </c>
      <c r="M4" s="0" t="n">
        <v>29.122</v>
      </c>
      <c r="N4" s="0" t="n">
        <v>79.883</v>
      </c>
      <c r="O4" s="0" t="n">
        <v>181.028</v>
      </c>
      <c r="P4" s="0" t="n">
        <v>770.964</v>
      </c>
      <c r="Q4" s="0" t="n">
        <v>487.584</v>
      </c>
      <c r="R4" s="0" t="n">
        <v>250.909</v>
      </c>
      <c r="S4" s="0" t="n">
        <v>43.384</v>
      </c>
      <c r="T4" s="0" t="n">
        <v>36.366</v>
      </c>
      <c r="U4" s="0" t="n">
        <v>2.744</v>
      </c>
      <c r="AA4" s="0" t="s">
        <v>18</v>
      </c>
      <c r="AB4" s="0" t="s">
        <v>14</v>
      </c>
      <c r="AC4" s="0" t="n">
        <v>130.324</v>
      </c>
    </row>
    <row r="5" customFormat="false" ht="15" hidden="false" customHeight="false" outlineLevel="0" collapsed="false">
      <c r="A5" s="0" t="s">
        <v>68</v>
      </c>
      <c r="B5" s="0" t="n">
        <v>1705.456</v>
      </c>
      <c r="C5" s="0" t="n">
        <v>1189.373</v>
      </c>
      <c r="D5" s="0" t="n">
        <v>516.083</v>
      </c>
      <c r="E5" s="0" t="n">
        <v>30.26</v>
      </c>
      <c r="F5" s="0" t="n">
        <v>107.627</v>
      </c>
      <c r="G5" s="0" t="n">
        <v>6.31</v>
      </c>
      <c r="H5" s="0" t="n">
        <v>161.977</v>
      </c>
      <c r="I5" s="0" t="n">
        <v>53.078</v>
      </c>
      <c r="J5" s="0" t="n">
        <v>3.11</v>
      </c>
      <c r="K5" s="0" t="n">
        <v>1.45</v>
      </c>
      <c r="L5" s="0" t="n">
        <v>115.635</v>
      </c>
      <c r="M5" s="0" t="n">
        <v>36.257</v>
      </c>
      <c r="N5" s="0" t="n">
        <v>79.378</v>
      </c>
      <c r="O5" s="0" t="n">
        <v>203.233</v>
      </c>
      <c r="P5" s="0" t="n">
        <v>837.733</v>
      </c>
      <c r="Q5" s="0" t="n">
        <v>516.792</v>
      </c>
      <c r="R5" s="0" t="n">
        <v>269.625</v>
      </c>
      <c r="S5" s="0" t="n">
        <v>57.187</v>
      </c>
      <c r="T5" s="0" t="n">
        <v>36.559</v>
      </c>
      <c r="U5" s="0" t="n">
        <v>4.132</v>
      </c>
      <c r="AA5" s="0" t="s">
        <v>18</v>
      </c>
      <c r="AB5" s="0" t="s">
        <v>14</v>
      </c>
      <c r="AC5" s="0" t="n">
        <v>161.977</v>
      </c>
    </row>
    <row r="6" customFormat="false" ht="15" hidden="false" customHeight="false" outlineLevel="0" collapsed="false">
      <c r="A6" s="0" t="s">
        <v>69</v>
      </c>
      <c r="B6" s="0" t="n">
        <v>1931.473</v>
      </c>
      <c r="C6" s="0" t="n">
        <v>1320.252</v>
      </c>
      <c r="D6" s="0" t="n">
        <v>611.221</v>
      </c>
      <c r="E6" s="0" t="n">
        <v>31.65</v>
      </c>
      <c r="F6" s="0" t="n">
        <v>127.568</v>
      </c>
      <c r="G6" s="0" t="n">
        <v>6.6</v>
      </c>
      <c r="H6" s="0" t="n">
        <v>190.611</v>
      </c>
      <c r="I6" s="0" t="n">
        <v>65.865</v>
      </c>
      <c r="J6" s="0" t="n">
        <v>3.41</v>
      </c>
      <c r="K6" s="0" t="n">
        <v>1.8</v>
      </c>
      <c r="L6" s="0" t="n">
        <v>99.461</v>
      </c>
      <c r="M6" s="0" t="n">
        <v>40.597</v>
      </c>
      <c r="N6" s="0" t="n">
        <v>58.864</v>
      </c>
      <c r="O6" s="0" t="n">
        <v>236.226</v>
      </c>
      <c r="P6" s="0" t="n">
        <v>1007.474</v>
      </c>
      <c r="Q6" s="0" t="n">
        <v>619.663</v>
      </c>
      <c r="R6" s="0" t="n">
        <v>334.523</v>
      </c>
      <c r="S6" s="0" t="n">
        <v>66.34</v>
      </c>
      <c r="T6" s="0" t="n">
        <v>36.571</v>
      </c>
      <c r="U6" s="0" t="n">
        <v>5.767</v>
      </c>
      <c r="AA6" s="0" t="s">
        <v>18</v>
      </c>
      <c r="AB6" s="0" t="s">
        <v>14</v>
      </c>
      <c r="AC6" s="0" t="n">
        <v>190.611</v>
      </c>
    </row>
    <row r="7" customFormat="false" ht="15" hidden="false" customHeight="false" outlineLevel="0" collapsed="false">
      <c r="A7" s="0" t="s">
        <v>70</v>
      </c>
      <c r="B7" s="0" t="n">
        <v>2407.41</v>
      </c>
      <c r="C7" s="0" t="n">
        <v>1634.097</v>
      </c>
      <c r="D7" s="0" t="n">
        <v>773.313</v>
      </c>
      <c r="E7" s="0" t="n">
        <v>32.12</v>
      </c>
      <c r="F7" s="0" t="n">
        <v>-174.419</v>
      </c>
      <c r="G7" s="0" t="n">
        <v>-7.25</v>
      </c>
      <c r="H7" s="0" t="n">
        <v>235.182</v>
      </c>
      <c r="I7" s="0" t="n">
        <v>-251.61</v>
      </c>
      <c r="J7" s="0" t="n">
        <v>-10.45</v>
      </c>
      <c r="K7" s="0" t="n">
        <v>-6.58</v>
      </c>
      <c r="L7" s="0" t="n">
        <v>107.808</v>
      </c>
      <c r="M7" s="0" t="n">
        <v>46.628</v>
      </c>
      <c r="N7" s="0" t="n">
        <v>61.18</v>
      </c>
      <c r="O7" s="0" t="n">
        <v>425.887</v>
      </c>
      <c r="P7" s="0" t="n">
        <v>1954.057</v>
      </c>
      <c r="Q7" s="0" t="n">
        <v>1353.508</v>
      </c>
      <c r="R7" s="0" t="n">
        <v>766.623</v>
      </c>
      <c r="S7" s="0" t="n">
        <v>121.198</v>
      </c>
      <c r="T7" s="0" t="n">
        <v>38.662</v>
      </c>
      <c r="U7" s="0" t="n">
        <v>8.126</v>
      </c>
      <c r="AA7" s="0" t="s">
        <v>18</v>
      </c>
      <c r="AB7" s="0" t="s">
        <v>14</v>
      </c>
      <c r="AC7" s="0" t="n">
        <v>235.182</v>
      </c>
    </row>
    <row r="8" customFormat="false" ht="15" hidden="false" customHeight="false" outlineLevel="0" collapsed="false">
      <c r="A8" s="0" t="s">
        <v>71</v>
      </c>
      <c r="B8" s="0" t="n">
        <v>2772.415</v>
      </c>
      <c r="C8" s="0" t="n">
        <v>1871.798</v>
      </c>
      <c r="D8" s="0" t="n">
        <v>900.617</v>
      </c>
      <c r="E8" s="0" t="n">
        <v>32.48</v>
      </c>
      <c r="F8" s="0" t="n">
        <v>169.412</v>
      </c>
      <c r="G8" s="0" t="n">
        <v>6.11</v>
      </c>
      <c r="H8" s="0" t="n">
        <v>283.722</v>
      </c>
      <c r="I8" s="0" t="n">
        <v>87.259</v>
      </c>
      <c r="J8" s="0" t="n">
        <v>3.15</v>
      </c>
      <c r="K8" s="0" t="n">
        <v>2.02</v>
      </c>
      <c r="L8" s="0" t="n">
        <v>291.765</v>
      </c>
      <c r="M8" s="0" t="n">
        <v>39.415</v>
      </c>
      <c r="N8" s="0" t="n">
        <v>252.35</v>
      </c>
      <c r="O8" s="0" t="n">
        <v>660.398</v>
      </c>
      <c r="P8" s="0" t="n">
        <v>2196.54</v>
      </c>
      <c r="Q8" s="0" t="n">
        <v>1343.108</v>
      </c>
      <c r="R8" s="0" t="n">
        <v>589.604</v>
      </c>
      <c r="S8" s="0" t="n">
        <v>184.295</v>
      </c>
      <c r="T8" s="0" t="n">
        <v>43.184</v>
      </c>
      <c r="U8" s="0" t="n">
        <v>11.628</v>
      </c>
      <c r="AA8" s="0" t="s">
        <v>18</v>
      </c>
      <c r="AB8" s="0" t="s">
        <v>14</v>
      </c>
      <c r="AC8" s="0" t="n">
        <v>283.722</v>
      </c>
    </row>
    <row r="9" customFormat="false" ht="15" hidden="false" customHeight="false" outlineLevel="0" collapsed="false">
      <c r="A9" s="0" t="s">
        <v>72</v>
      </c>
      <c r="B9" s="0" t="n">
        <v>3249.072</v>
      </c>
      <c r="C9" s="0" t="n">
        <v>2202.84</v>
      </c>
      <c r="D9" s="0" t="n">
        <v>1046.232</v>
      </c>
      <c r="E9" s="0" t="n">
        <v>32.2</v>
      </c>
      <c r="F9" s="0" t="n">
        <v>201.642</v>
      </c>
      <c r="G9" s="0" t="n">
        <v>6.21</v>
      </c>
      <c r="H9" s="0" t="n">
        <v>327.376</v>
      </c>
      <c r="I9" s="0" t="n">
        <v>135.212</v>
      </c>
      <c r="J9" s="0" t="n">
        <v>4.16</v>
      </c>
      <c r="K9" s="0" t="n">
        <v>3.05</v>
      </c>
      <c r="L9" s="0" t="n">
        <v>167.269</v>
      </c>
      <c r="M9" s="0" t="n">
        <v>58.204</v>
      </c>
      <c r="N9" s="0" t="n">
        <v>109.065</v>
      </c>
      <c r="O9" s="0" t="n">
        <v>799.722</v>
      </c>
      <c r="P9" s="0" t="n">
        <v>2509.023</v>
      </c>
      <c r="Q9" s="0" t="n">
        <v>1490.166</v>
      </c>
      <c r="R9" s="0" t="n">
        <v>652.804</v>
      </c>
      <c r="S9" s="0" t="n">
        <v>165.665</v>
      </c>
      <c r="T9" s="0" t="n">
        <v>44.401</v>
      </c>
      <c r="U9" s="0" t="n">
        <v>14.746</v>
      </c>
      <c r="AA9" s="0" t="s">
        <v>18</v>
      </c>
      <c r="AB9" s="0" t="s">
        <v>14</v>
      </c>
      <c r="AC9" s="0" t="n">
        <v>327.376</v>
      </c>
    </row>
    <row r="10" customFormat="false" ht="15" hidden="false" customHeight="false" outlineLevel="0" collapsed="false">
      <c r="A10" s="0" t="s">
        <v>73</v>
      </c>
      <c r="B10" s="0" t="n">
        <v>3745.835</v>
      </c>
      <c r="C10" s="0" t="n">
        <v>2565.72</v>
      </c>
      <c r="D10" s="0" t="n">
        <v>1180.115</v>
      </c>
      <c r="E10" s="0" t="n">
        <v>31.5</v>
      </c>
      <c r="F10" s="0" t="n">
        <v>219.026</v>
      </c>
      <c r="G10" s="0" t="n">
        <v>5.85</v>
      </c>
      <c r="H10" s="0" t="n">
        <v>351.732</v>
      </c>
      <c r="I10" s="0" t="n">
        <v>121.074</v>
      </c>
      <c r="J10" s="0" t="n">
        <v>3.23</v>
      </c>
      <c r="K10" s="0" t="n">
        <v>2.72</v>
      </c>
      <c r="L10" s="0" t="n">
        <v>105.893</v>
      </c>
      <c r="M10" s="0" t="n">
        <v>77.609</v>
      </c>
      <c r="N10" s="0" t="n">
        <v>28.284</v>
      </c>
      <c r="O10" s="0" t="n">
        <v>907.466</v>
      </c>
      <c r="P10" s="0" t="n">
        <v>2774.514</v>
      </c>
      <c r="Q10" s="0" t="n">
        <v>1633.619</v>
      </c>
      <c r="R10" s="0" t="n">
        <v>734.463</v>
      </c>
      <c r="S10" s="0" t="n">
        <v>136.219</v>
      </c>
      <c r="T10" s="0" t="n">
        <v>44.494</v>
      </c>
      <c r="U10" s="0" t="n">
        <v>18.046</v>
      </c>
      <c r="AA10" s="0" t="s">
        <v>18</v>
      </c>
      <c r="AB10" s="0" t="s">
        <v>14</v>
      </c>
      <c r="AC10" s="0" t="n">
        <v>351.732</v>
      </c>
    </row>
    <row r="11" customFormat="false" ht="15" hidden="false" customHeight="false" outlineLevel="0" collapsed="false">
      <c r="A11" s="0" t="s">
        <v>74</v>
      </c>
      <c r="B11" s="0" t="n">
        <v>4334.548</v>
      </c>
      <c r="C11" s="0" t="n">
        <v>2947.008</v>
      </c>
      <c r="D11" s="0" t="n">
        <v>1387.54</v>
      </c>
      <c r="E11" s="0" t="n">
        <v>32.01</v>
      </c>
      <c r="F11" s="0" t="n">
        <v>244.892</v>
      </c>
      <c r="G11" s="0" t="n">
        <v>5.65</v>
      </c>
      <c r="H11" s="0" t="n">
        <v>415.728</v>
      </c>
      <c r="I11" s="0" t="n">
        <v>100.391</v>
      </c>
      <c r="J11" s="0" t="n">
        <v>2.32</v>
      </c>
      <c r="K11" s="0" t="n">
        <v>2.24</v>
      </c>
      <c r="L11" s="0" t="n">
        <v>280.36</v>
      </c>
      <c r="M11" s="0" t="n">
        <v>92.734</v>
      </c>
      <c r="N11" s="0" t="n">
        <v>187.626</v>
      </c>
      <c r="O11" s="0" t="n">
        <v>1024.146</v>
      </c>
      <c r="P11" s="0" t="n">
        <v>3631.737</v>
      </c>
      <c r="Q11" s="0" t="n">
        <v>2274.628</v>
      </c>
      <c r="R11" s="0" t="n">
        <v>1182.107</v>
      </c>
      <c r="S11" s="0" t="n">
        <v>187.617</v>
      </c>
      <c r="T11" s="0" t="n">
        <v>44.795</v>
      </c>
      <c r="U11" s="0" t="n">
        <v>21.385</v>
      </c>
      <c r="AA11" s="0" t="s">
        <v>18</v>
      </c>
      <c r="AB11" s="0" t="s">
        <v>14</v>
      </c>
      <c r="AC11" s="0" t="n">
        <v>415.728</v>
      </c>
    </row>
    <row r="12" customFormat="false" ht="15" hidden="false" customHeight="false" outlineLevel="0" collapsed="false">
      <c r="A12" s="0" t="s">
        <v>75</v>
      </c>
      <c r="B12" s="0" t="n">
        <v>5216.894</v>
      </c>
      <c r="C12" s="0" t="n">
        <v>3498.974</v>
      </c>
      <c r="D12" s="0" t="n">
        <v>1717.92</v>
      </c>
      <c r="E12" s="0" t="n">
        <v>32.93</v>
      </c>
      <c r="F12" s="0" t="n">
        <v>337.512</v>
      </c>
      <c r="G12" s="0" t="n">
        <v>6.47</v>
      </c>
      <c r="H12" s="0" t="n">
        <v>513.69</v>
      </c>
      <c r="I12" s="0" t="n">
        <v>134.375</v>
      </c>
      <c r="J12" s="0" t="n">
        <v>2.58</v>
      </c>
      <c r="K12" s="0" t="n">
        <v>2.97</v>
      </c>
      <c r="L12" s="0" t="n">
        <v>285.674</v>
      </c>
      <c r="M12" s="0" t="n">
        <v>112.798</v>
      </c>
      <c r="N12" s="0" t="n">
        <v>172.876</v>
      </c>
      <c r="O12" s="0" t="n">
        <v>1187.746</v>
      </c>
      <c r="P12" s="0" t="n">
        <v>4194.852</v>
      </c>
      <c r="Q12" s="0" t="n">
        <v>2557.769</v>
      </c>
      <c r="R12" s="0" t="n">
        <v>1298.71</v>
      </c>
      <c r="S12" s="0" t="n">
        <v>227.598</v>
      </c>
      <c r="T12" s="0" t="n">
        <v>45.28</v>
      </c>
      <c r="U12" s="0" t="n">
        <v>25.311</v>
      </c>
      <c r="AA12" s="0" t="s">
        <v>18</v>
      </c>
      <c r="AB12" s="0" t="s">
        <v>14</v>
      </c>
      <c r="AC12" s="0" t="n">
        <v>513.69</v>
      </c>
    </row>
    <row r="13" customFormat="false" ht="15" hidden="false" customHeight="false" outlineLevel="0" collapsed="false">
      <c r="A13" s="0" t="s">
        <v>76</v>
      </c>
      <c r="B13" s="0" t="n">
        <v>5497.5</v>
      </c>
      <c r="C13" s="0" t="n">
        <v>3651.314</v>
      </c>
      <c r="D13" s="0" t="n">
        <v>1846.186</v>
      </c>
      <c r="E13" s="0" t="n">
        <v>33.58</v>
      </c>
      <c r="F13" s="0" t="n">
        <v>338.078</v>
      </c>
      <c r="G13" s="0" t="n">
        <v>6.15</v>
      </c>
      <c r="H13" s="0" t="n">
        <v>562.795</v>
      </c>
      <c r="I13" s="0" t="n">
        <v>145.047</v>
      </c>
      <c r="J13" s="0" t="n">
        <v>2.64</v>
      </c>
      <c r="K13" s="0" t="n">
        <v>3.17</v>
      </c>
      <c r="L13" s="0" t="n">
        <v>445.941</v>
      </c>
      <c r="M13" s="0" t="n">
        <v>127.705</v>
      </c>
      <c r="N13" s="0" t="n">
        <v>318.236</v>
      </c>
      <c r="O13" s="0" t="n">
        <v>1375.999</v>
      </c>
      <c r="P13" s="0" t="n">
        <v>4283.713</v>
      </c>
      <c r="Q13" s="0" t="n">
        <v>2421.523</v>
      </c>
      <c r="R13" s="0" t="n">
        <v>1082.676</v>
      </c>
      <c r="S13" s="0" t="n">
        <v>154.425</v>
      </c>
      <c r="T13" s="0" t="n">
        <v>45.754</v>
      </c>
      <c r="U13" s="0" t="n">
        <v>27.387</v>
      </c>
      <c r="AA13" s="0" t="s">
        <v>18</v>
      </c>
      <c r="AB13" s="0" t="s">
        <v>14</v>
      </c>
      <c r="AC13" s="0" t="n">
        <v>562.795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77</v>
      </c>
      <c r="B1" s="2" t="s">
        <v>78</v>
      </c>
    </row>
    <row r="2" customFormat="false" ht="15" hidden="false" customHeight="false" outlineLevel="0" collapsed="false">
      <c r="A2" s="0" t="s">
        <v>79</v>
      </c>
      <c r="B2" s="3" t="n">
        <v>185.09</v>
      </c>
    </row>
    <row r="3" customFormat="false" ht="15" hidden="false" customHeight="false" outlineLevel="0" collapsed="false">
      <c r="A3" s="0" t="s">
        <v>80</v>
      </c>
      <c r="B3" s="3" t="n">
        <v>44.16</v>
      </c>
    </row>
    <row r="4" customFormat="false" ht="15" hidden="false" customHeight="false" outlineLevel="0" collapsed="false">
      <c r="A4" s="0" t="s">
        <v>81</v>
      </c>
      <c r="B4" s="3" t="n">
        <v>1077.016</v>
      </c>
    </row>
    <row r="5" customFormat="false" ht="15" hidden="false" customHeight="false" outlineLevel="0" collapsed="false">
      <c r="A5" s="0" t="s">
        <v>82</v>
      </c>
      <c r="B5" s="3" t="n">
        <v>-541.135</v>
      </c>
    </row>
    <row r="6" customFormat="false" ht="15" hidden="false" customHeight="false" outlineLevel="0" collapsed="false">
      <c r="A6" s="0" t="s">
        <v>83</v>
      </c>
      <c r="B6" s="3" t="n">
        <v>15</v>
      </c>
    </row>
    <row r="7" customFormat="false" ht="15" hidden="false" customHeight="false" outlineLevel="0" collapsed="false">
      <c r="A7" s="0" t="s">
        <v>84</v>
      </c>
      <c r="B7" s="3" t="n">
        <v>5497.5</v>
      </c>
    </row>
    <row r="8" customFormat="false" ht="15" hidden="false" customHeight="false" outlineLevel="0" collapsed="false">
      <c r="A8" s="0" t="s">
        <v>85</v>
      </c>
      <c r="B8" s="3" t="s">
        <v>76</v>
      </c>
    </row>
    <row r="9" customFormat="false" ht="15" hidden="false" customHeight="false" outlineLevel="0" collapsed="false">
      <c r="A9" s="0" t="s">
        <v>86</v>
      </c>
      <c r="B9" s="3" t="s">
        <v>87</v>
      </c>
    </row>
    <row r="10" customFormat="false" ht="15" hidden="false" customHeight="false" outlineLevel="0" collapsed="false">
      <c r="A10" s="0" t="s">
        <v>88</v>
      </c>
      <c r="B10" s="3" t="n">
        <v>1.4253</v>
      </c>
    </row>
    <row r="12" customFormat="false" ht="15" hidden="false" customHeight="false" outlineLevel="0" collapsed="false">
      <c r="A12" s="2" t="s">
        <v>89</v>
      </c>
      <c r="C12" s="2" t="s">
        <v>90</v>
      </c>
      <c r="D12" s="2" t="s">
        <v>91</v>
      </c>
      <c r="E12" s="2" t="s">
        <v>92</v>
      </c>
      <c r="F12" s="2" t="s">
        <v>93</v>
      </c>
      <c r="G12" s="2" t="s">
        <v>94</v>
      </c>
      <c r="H12" s="2" t="s">
        <v>95</v>
      </c>
      <c r="I12" s="2" t="s">
        <v>96</v>
      </c>
      <c r="J12" s="2" t="s">
        <v>97</v>
      </c>
      <c r="K12" s="2" t="s">
        <v>98</v>
      </c>
      <c r="L12" s="2" t="s">
        <v>99</v>
      </c>
    </row>
    <row r="13" customFormat="false" ht="15" hidden="false" customHeight="false" outlineLevel="0" collapsed="false">
      <c r="A13" s="0" t="s">
        <v>100</v>
      </c>
      <c r="C13" s="3" t="n">
        <v>2</v>
      </c>
      <c r="D13" s="3" t="n">
        <v>2</v>
      </c>
      <c r="E13" s="3" t="n">
        <v>3</v>
      </c>
      <c r="F13" s="3" t="n">
        <v>4</v>
      </c>
      <c r="G13" s="3" t="n">
        <v>4</v>
      </c>
      <c r="H13" s="3" t="n">
        <v>4</v>
      </c>
      <c r="I13" s="3" t="n">
        <v>4</v>
      </c>
      <c r="J13" s="3" t="n">
        <v>3.5</v>
      </c>
      <c r="K13" s="3" t="n">
        <v>3.5</v>
      </c>
      <c r="L13" s="3" t="n">
        <v>3</v>
      </c>
    </row>
    <row r="14" customFormat="false" ht="15" hidden="false" customHeight="false" outlineLevel="0" collapsed="false">
      <c r="A14" s="0" t="s">
        <v>101</v>
      </c>
      <c r="C14" s="3" t="n">
        <v>9.8</v>
      </c>
      <c r="D14" s="3" t="n">
        <v>9.6</v>
      </c>
      <c r="E14" s="3" t="n">
        <v>9.6</v>
      </c>
      <c r="F14" s="3" t="n">
        <v>9.7</v>
      </c>
      <c r="G14" s="3" t="n">
        <v>9.8</v>
      </c>
      <c r="H14" s="3" t="n">
        <v>9.9</v>
      </c>
      <c r="I14" s="3" t="n">
        <v>10</v>
      </c>
      <c r="J14" s="3" t="n">
        <v>10</v>
      </c>
      <c r="K14" s="3" t="n">
        <v>10</v>
      </c>
      <c r="L14" s="3" t="n">
        <v>10</v>
      </c>
    </row>
    <row r="15" customFormat="false" ht="15" hidden="false" customHeight="false" outlineLevel="0" collapsed="false">
      <c r="A15" s="0" t="s">
        <v>102</v>
      </c>
      <c r="C15" s="3" t="n">
        <v>0.5</v>
      </c>
      <c r="D15" s="3" t="n">
        <v>0.5</v>
      </c>
      <c r="E15" s="3" t="n">
        <v>0.5</v>
      </c>
      <c r="F15" s="3" t="n">
        <v>0.5</v>
      </c>
      <c r="G15" s="3" t="n">
        <v>0.5</v>
      </c>
      <c r="H15" s="3" t="n">
        <v>0.5</v>
      </c>
      <c r="I15" s="3" t="n">
        <v>0.5</v>
      </c>
      <c r="J15" s="3" t="n">
        <v>0.5</v>
      </c>
      <c r="K15" s="3" t="n">
        <v>0.5</v>
      </c>
      <c r="L15" s="3" t="n">
        <v>0.5</v>
      </c>
    </row>
    <row r="16" customFormat="false" ht="15" hidden="false" customHeight="false" outlineLevel="0" collapsed="false">
      <c r="A16" s="0" t="s">
        <v>103</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104</v>
      </c>
      <c r="C17" s="3" t="n">
        <v>3.35</v>
      </c>
      <c r="D17" s="3" t="n">
        <v>3.35</v>
      </c>
      <c r="E17" s="3" t="n">
        <v>3.3</v>
      </c>
      <c r="F17" s="3" t="n">
        <v>3.3</v>
      </c>
      <c r="G17" s="3" t="n">
        <v>3.3</v>
      </c>
      <c r="H17" s="3" t="n">
        <v>3.3</v>
      </c>
      <c r="I17" s="3" t="n">
        <v>3.3</v>
      </c>
      <c r="J17" s="3" t="n">
        <v>3.3</v>
      </c>
      <c r="K17" s="3" t="n">
        <v>3.3</v>
      </c>
      <c r="L17" s="3" t="n">
        <v>3.3</v>
      </c>
    </row>
    <row r="18" customFormat="false" ht="15" hidden="false" customHeight="false" outlineLevel="0" collapsed="false">
      <c r="A18" s="0" t="s">
        <v>105</v>
      </c>
      <c r="C18" s="3" t="n">
        <v>3.8</v>
      </c>
      <c r="D18" s="3" t="n">
        <v>3.8</v>
      </c>
      <c r="E18" s="3" t="n">
        <v>3.8</v>
      </c>
      <c r="F18" s="3" t="n">
        <v>3.6</v>
      </c>
      <c r="G18" s="3" t="n">
        <v>3.4</v>
      </c>
      <c r="H18" s="3" t="n">
        <v>3.2</v>
      </c>
      <c r="I18" s="3" t="n">
        <v>3</v>
      </c>
      <c r="J18" s="3" t="n">
        <v>2.9</v>
      </c>
      <c r="K18" s="3" t="n">
        <v>2.8</v>
      </c>
      <c r="L18" s="3" t="n">
        <v>2.8</v>
      </c>
    </row>
    <row r="19" customFormat="false" ht="15" hidden="false" customHeight="false" outlineLevel="0" collapsed="false">
      <c r="A19" s="0" t="s">
        <v>106</v>
      </c>
      <c r="C19" s="3" t="n">
        <v>28</v>
      </c>
      <c r="D19" s="3" t="n">
        <v>28</v>
      </c>
      <c r="E19" s="3" t="n">
        <v>28</v>
      </c>
      <c r="F19" s="3" t="n">
        <v>28</v>
      </c>
      <c r="G19" s="3" t="n">
        <v>28</v>
      </c>
      <c r="H19" s="3" t="n">
        <v>28</v>
      </c>
      <c r="I19" s="3" t="n">
        <v>28</v>
      </c>
      <c r="J19" s="3" t="n">
        <v>28</v>
      </c>
      <c r="K19" s="3" t="n">
        <v>28</v>
      </c>
      <c r="L19" s="3" t="n">
        <v>28</v>
      </c>
    </row>
    <row r="20" customFormat="false" ht="15" hidden="false" customHeight="false" outlineLevel="0" collapsed="false">
      <c r="A20" s="0" t="s">
        <v>107</v>
      </c>
      <c r="B20" s="3" t="n">
        <v>8.5</v>
      </c>
    </row>
    <row r="21" customFormat="false" ht="15" hidden="false" customHeight="false" outlineLevel="0" collapsed="false">
      <c r="A21" s="0" t="s">
        <v>108</v>
      </c>
      <c r="B21" s="3" t="n">
        <v>2.5</v>
      </c>
    </row>
    <row r="22" customFormat="false" ht="15" hidden="false" customHeight="false" outlineLevel="0" collapsed="false">
      <c r="A22" s="0" t="s">
        <v>109</v>
      </c>
      <c r="B22" s="3" t="n">
        <v>15</v>
      </c>
    </row>
    <row r="23" customFormat="false" ht="15" hidden="false" customHeight="false" outlineLevel="0" collapsed="false">
      <c r="A23" s="0" t="s">
        <v>110</v>
      </c>
      <c r="B23" s="3" t="n">
        <v>-4</v>
      </c>
    </row>
    <row r="24" customFormat="false" ht="15" hidden="false" customHeight="false" outlineLevel="0" collapsed="false">
      <c r="A24" s="0" t="s">
        <v>111</v>
      </c>
      <c r="B24" s="3" t="n">
        <v>0.25</v>
      </c>
    </row>
    <row r="26" customFormat="false" ht="15" hidden="false" customHeight="false" outlineLevel="0" collapsed="false">
      <c r="A26" s="2" t="s">
        <v>112</v>
      </c>
      <c r="C26" s="2" t="s">
        <v>90</v>
      </c>
      <c r="D26" s="2" t="s">
        <v>91</v>
      </c>
      <c r="E26" s="2" t="s">
        <v>92</v>
      </c>
      <c r="F26" s="2" t="s">
        <v>93</v>
      </c>
      <c r="G26" s="2" t="s">
        <v>94</v>
      </c>
      <c r="H26" s="2" t="s">
        <v>95</v>
      </c>
      <c r="I26" s="2" t="s">
        <v>96</v>
      </c>
      <c r="J26" s="2" t="s">
        <v>97</v>
      </c>
      <c r="K26" s="2" t="s">
        <v>98</v>
      </c>
      <c r="L26" s="2" t="s">
        <v>99</v>
      </c>
    </row>
    <row r="27" customFormat="false" ht="15" hidden="false" customHeight="false" outlineLevel="0" collapsed="false">
      <c r="A27" s="0" t="s">
        <v>100</v>
      </c>
      <c r="C27" s="3" t="n">
        <v>4</v>
      </c>
      <c r="D27" s="3" t="n">
        <v>6</v>
      </c>
      <c r="E27" s="3" t="n">
        <v>7</v>
      </c>
      <c r="F27" s="3" t="n">
        <v>7</v>
      </c>
      <c r="G27" s="3" t="n">
        <v>6.5</v>
      </c>
      <c r="H27" s="3" t="n">
        <v>6</v>
      </c>
      <c r="I27" s="3" t="n">
        <v>5.5</v>
      </c>
      <c r="J27" s="3" t="n">
        <v>5</v>
      </c>
      <c r="K27" s="3" t="n">
        <v>4.5</v>
      </c>
      <c r="L27" s="3" t="n">
        <v>4</v>
      </c>
    </row>
    <row r="28" customFormat="false" ht="15" hidden="false" customHeight="false" outlineLevel="0" collapsed="false">
      <c r="A28" s="0" t="s">
        <v>101</v>
      </c>
      <c r="C28" s="3" t="n">
        <v>10.2</v>
      </c>
      <c r="D28" s="3" t="n">
        <v>10.3</v>
      </c>
      <c r="E28" s="3" t="n">
        <v>10.5</v>
      </c>
      <c r="F28" s="3" t="n">
        <v>10.7</v>
      </c>
      <c r="G28" s="3" t="n">
        <v>10.9</v>
      </c>
      <c r="H28" s="3" t="n">
        <v>11</v>
      </c>
      <c r="I28" s="3" t="n">
        <v>11.1</v>
      </c>
      <c r="J28" s="3" t="n">
        <v>11.2</v>
      </c>
      <c r="K28" s="3" t="n">
        <v>11.3</v>
      </c>
      <c r="L28" s="3" t="n">
        <v>11.3</v>
      </c>
    </row>
    <row r="29" customFormat="false" ht="15" hidden="false" customHeight="false" outlineLevel="0" collapsed="false">
      <c r="A29" s="0" t="s">
        <v>102</v>
      </c>
      <c r="C29" s="3" t="n">
        <v>0.5</v>
      </c>
      <c r="D29" s="3" t="n">
        <v>0.5</v>
      </c>
      <c r="E29" s="3" t="n">
        <v>0.5</v>
      </c>
      <c r="F29" s="3" t="n">
        <v>0.5</v>
      </c>
      <c r="G29" s="3" t="n">
        <v>0.5</v>
      </c>
      <c r="H29" s="3" t="n">
        <v>0.5</v>
      </c>
      <c r="I29" s="3" t="n">
        <v>0.5</v>
      </c>
      <c r="J29" s="3" t="n">
        <v>0.5</v>
      </c>
      <c r="K29" s="3" t="n">
        <v>0.5</v>
      </c>
      <c r="L29" s="3" t="n">
        <v>0.5</v>
      </c>
    </row>
    <row r="30" customFormat="false" ht="15" hidden="false" customHeight="false" outlineLevel="0" collapsed="false">
      <c r="A30" s="0" t="s">
        <v>103</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104</v>
      </c>
      <c r="C31" s="3" t="n">
        <v>3.35</v>
      </c>
      <c r="D31" s="3" t="n">
        <v>3.35</v>
      </c>
      <c r="E31" s="3" t="n">
        <v>3.3</v>
      </c>
      <c r="F31" s="3" t="n">
        <v>3.3</v>
      </c>
      <c r="G31" s="3" t="n">
        <v>3.3</v>
      </c>
      <c r="H31" s="3" t="n">
        <v>3.3</v>
      </c>
      <c r="I31" s="3" t="n">
        <v>3.3</v>
      </c>
      <c r="J31" s="3" t="n">
        <v>3.3</v>
      </c>
      <c r="K31" s="3" t="n">
        <v>3.3</v>
      </c>
      <c r="L31" s="3" t="n">
        <v>3.3</v>
      </c>
    </row>
    <row r="32" customFormat="false" ht="15" hidden="false" customHeight="false" outlineLevel="0" collapsed="false">
      <c r="A32" s="0" t="s">
        <v>105</v>
      </c>
      <c r="C32" s="3" t="n">
        <v>4.8</v>
      </c>
      <c r="D32" s="3" t="n">
        <v>4.8</v>
      </c>
      <c r="E32" s="3" t="n">
        <v>4.8</v>
      </c>
      <c r="F32" s="3" t="n">
        <v>4.8</v>
      </c>
      <c r="G32" s="3" t="n">
        <v>4.6</v>
      </c>
      <c r="H32" s="3" t="n">
        <v>4.4</v>
      </c>
      <c r="I32" s="3" t="n">
        <v>4.1</v>
      </c>
      <c r="J32" s="3" t="n">
        <v>3.8</v>
      </c>
      <c r="K32" s="3" t="n">
        <v>3.5</v>
      </c>
      <c r="L32" s="3" t="n">
        <v>3.3</v>
      </c>
    </row>
    <row r="33" customFormat="false" ht="15" hidden="false" customHeight="false" outlineLevel="0" collapsed="false">
      <c r="A33" s="0" t="s">
        <v>106</v>
      </c>
      <c r="C33" s="3" t="n">
        <v>28</v>
      </c>
      <c r="D33" s="3" t="n">
        <v>28</v>
      </c>
      <c r="E33" s="3" t="n">
        <v>28</v>
      </c>
      <c r="F33" s="3" t="n">
        <v>28</v>
      </c>
      <c r="G33" s="3" t="n">
        <v>28</v>
      </c>
      <c r="H33" s="3" t="n">
        <v>28</v>
      </c>
      <c r="I33" s="3" t="n">
        <v>28</v>
      </c>
      <c r="J33" s="3" t="n">
        <v>28</v>
      </c>
      <c r="K33" s="3" t="n">
        <v>28</v>
      </c>
      <c r="L33" s="3" t="n">
        <v>28</v>
      </c>
    </row>
    <row r="34" customFormat="false" ht="15" hidden="false" customHeight="false" outlineLevel="0" collapsed="false">
      <c r="A34" s="0" t="s">
        <v>107</v>
      </c>
      <c r="B34" s="3" t="n">
        <v>8.5</v>
      </c>
    </row>
    <row r="35" customFormat="false" ht="15" hidden="false" customHeight="false" outlineLevel="0" collapsed="false">
      <c r="A35" s="0" t="s">
        <v>108</v>
      </c>
      <c r="B35" s="3" t="n">
        <v>3</v>
      </c>
    </row>
    <row r="36" customFormat="false" ht="15" hidden="false" customHeight="false" outlineLevel="0" collapsed="false">
      <c r="A36" s="0" t="s">
        <v>109</v>
      </c>
      <c r="B36" s="3" t="n">
        <v>18</v>
      </c>
    </row>
    <row r="37" customFormat="false" ht="15" hidden="false" customHeight="false" outlineLevel="0" collapsed="false">
      <c r="A37" s="0" t="s">
        <v>110</v>
      </c>
      <c r="B37" s="3" t="n">
        <v>-4</v>
      </c>
    </row>
    <row r="38" customFormat="false" ht="15" hidden="false" customHeight="false" outlineLevel="0" collapsed="false">
      <c r="A38" s="0" t="s">
        <v>111</v>
      </c>
      <c r="B38" s="3" t="n">
        <v>0.5</v>
      </c>
    </row>
    <row r="40" customFormat="false" ht="15" hidden="false" customHeight="false" outlineLevel="0" collapsed="false">
      <c r="A40" s="2" t="s">
        <v>113</v>
      </c>
      <c r="C40" s="2" t="s">
        <v>90</v>
      </c>
      <c r="D40" s="2" t="s">
        <v>91</v>
      </c>
      <c r="E40" s="2" t="s">
        <v>92</v>
      </c>
      <c r="F40" s="2" t="s">
        <v>93</v>
      </c>
      <c r="G40" s="2" t="s">
        <v>94</v>
      </c>
      <c r="H40" s="2" t="s">
        <v>95</v>
      </c>
      <c r="I40" s="2" t="s">
        <v>96</v>
      </c>
      <c r="J40" s="2" t="s">
        <v>97</v>
      </c>
      <c r="K40" s="2" t="s">
        <v>98</v>
      </c>
      <c r="L40" s="2" t="s">
        <v>99</v>
      </c>
    </row>
    <row r="41" customFormat="false" ht="15" hidden="false" customHeight="false" outlineLevel="0" collapsed="false">
      <c r="A41" s="0" t="s">
        <v>100</v>
      </c>
      <c r="C41" s="3" t="n">
        <v>5</v>
      </c>
      <c r="D41" s="3" t="n">
        <v>8</v>
      </c>
      <c r="E41" s="3" t="n">
        <v>9.5</v>
      </c>
      <c r="F41" s="3" t="n">
        <v>9.5</v>
      </c>
      <c r="G41" s="3" t="n">
        <v>9</v>
      </c>
      <c r="H41" s="3" t="n">
        <v>8.5</v>
      </c>
      <c r="I41" s="3" t="n">
        <v>8</v>
      </c>
      <c r="J41" s="3" t="n">
        <v>7</v>
      </c>
      <c r="K41" s="3" t="n">
        <v>6</v>
      </c>
      <c r="L41" s="3" t="n">
        <v>5</v>
      </c>
    </row>
    <row r="42" customFormat="false" ht="15" hidden="false" customHeight="false" outlineLevel="0" collapsed="false">
      <c r="A42" s="0" t="s">
        <v>101</v>
      </c>
      <c r="C42" s="3" t="n">
        <v>10.3</v>
      </c>
      <c r="D42" s="3" t="n">
        <v>10.6</v>
      </c>
      <c r="E42" s="3" t="n">
        <v>10.9</v>
      </c>
      <c r="F42" s="3" t="n">
        <v>11.2</v>
      </c>
      <c r="G42" s="3" t="n">
        <v>11.5</v>
      </c>
      <c r="H42" s="3" t="n">
        <v>11.7</v>
      </c>
      <c r="I42" s="3" t="n">
        <v>11.9</v>
      </c>
      <c r="J42" s="3" t="n">
        <v>12</v>
      </c>
      <c r="K42" s="3" t="n">
        <v>12</v>
      </c>
      <c r="L42" s="3" t="n">
        <v>12</v>
      </c>
    </row>
    <row r="43" customFormat="false" ht="15" hidden="false" customHeight="false" outlineLevel="0" collapsed="false">
      <c r="A43" s="0" t="s">
        <v>102</v>
      </c>
      <c r="C43" s="3" t="n">
        <v>0.5</v>
      </c>
      <c r="D43" s="3" t="n">
        <v>0.5</v>
      </c>
      <c r="E43" s="3" t="n">
        <v>0.5</v>
      </c>
      <c r="F43" s="3" t="n">
        <v>0.5</v>
      </c>
      <c r="G43" s="3" t="n">
        <v>0.5</v>
      </c>
      <c r="H43" s="3" t="n">
        <v>0.5</v>
      </c>
      <c r="I43" s="3" t="n">
        <v>0.5</v>
      </c>
      <c r="J43" s="3" t="n">
        <v>0.5</v>
      </c>
      <c r="K43" s="3" t="n">
        <v>0.5</v>
      </c>
      <c r="L43" s="3" t="n">
        <v>0.5</v>
      </c>
    </row>
    <row r="44" customFormat="false" ht="15" hidden="false" customHeight="false" outlineLevel="0" collapsed="false">
      <c r="A44" s="0" t="s">
        <v>103</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104</v>
      </c>
      <c r="C45" s="3" t="n">
        <v>3.35</v>
      </c>
      <c r="D45" s="3" t="n">
        <v>3.35</v>
      </c>
      <c r="E45" s="3" t="n">
        <v>3.3</v>
      </c>
      <c r="F45" s="3" t="n">
        <v>3.3</v>
      </c>
      <c r="G45" s="3" t="n">
        <v>3.3</v>
      </c>
      <c r="H45" s="3" t="n">
        <v>3.3</v>
      </c>
      <c r="I45" s="3" t="n">
        <v>3.3</v>
      </c>
      <c r="J45" s="3" t="n">
        <v>3.3</v>
      </c>
      <c r="K45" s="3" t="n">
        <v>3.3</v>
      </c>
      <c r="L45" s="3" t="n">
        <v>3.3</v>
      </c>
    </row>
    <row r="46" customFormat="false" ht="15" hidden="false" customHeight="false" outlineLevel="0" collapsed="false">
      <c r="A46" s="0" t="s">
        <v>105</v>
      </c>
      <c r="C46" s="3" t="n">
        <v>5.3</v>
      </c>
      <c r="D46" s="3" t="n">
        <v>5.3</v>
      </c>
      <c r="E46" s="3" t="n">
        <v>5.3</v>
      </c>
      <c r="F46" s="3" t="n">
        <v>5.3</v>
      </c>
      <c r="G46" s="3" t="n">
        <v>5.1</v>
      </c>
      <c r="H46" s="3" t="n">
        <v>4.9</v>
      </c>
      <c r="I46" s="3" t="n">
        <v>4.6</v>
      </c>
      <c r="J46" s="3" t="n">
        <v>4.3</v>
      </c>
      <c r="K46" s="3" t="n">
        <v>4</v>
      </c>
      <c r="L46" s="3" t="n">
        <v>3.8</v>
      </c>
    </row>
    <row r="47" customFormat="false" ht="15" hidden="false" customHeight="false" outlineLevel="0" collapsed="false">
      <c r="A47" s="0" t="s">
        <v>106</v>
      </c>
      <c r="C47" s="3" t="n">
        <v>28</v>
      </c>
      <c r="D47" s="3" t="n">
        <v>28</v>
      </c>
      <c r="E47" s="3" t="n">
        <v>28</v>
      </c>
      <c r="F47" s="3" t="n">
        <v>28</v>
      </c>
      <c r="G47" s="3" t="n">
        <v>28</v>
      </c>
      <c r="H47" s="3" t="n">
        <v>28</v>
      </c>
      <c r="I47" s="3" t="n">
        <v>28</v>
      </c>
      <c r="J47" s="3" t="n">
        <v>28</v>
      </c>
      <c r="K47" s="3" t="n">
        <v>28</v>
      </c>
      <c r="L47" s="3" t="n">
        <v>28</v>
      </c>
    </row>
    <row r="48" customFormat="false" ht="15" hidden="false" customHeight="false" outlineLevel="0" collapsed="false">
      <c r="A48" s="0" t="s">
        <v>107</v>
      </c>
      <c r="B48" s="3" t="n">
        <v>8.5</v>
      </c>
    </row>
    <row r="49" customFormat="false" ht="15" hidden="false" customHeight="false" outlineLevel="0" collapsed="false">
      <c r="A49" s="0" t="s">
        <v>108</v>
      </c>
      <c r="B49" s="3" t="n">
        <v>3</v>
      </c>
    </row>
    <row r="50" customFormat="false" ht="15" hidden="false" customHeight="false" outlineLevel="0" collapsed="false">
      <c r="A50" s="0" t="s">
        <v>109</v>
      </c>
      <c r="B50" s="3" t="n">
        <v>18</v>
      </c>
    </row>
    <row r="51" customFormat="false" ht="15" hidden="false" customHeight="false" outlineLevel="0" collapsed="false">
      <c r="A51" s="0" t="s">
        <v>110</v>
      </c>
      <c r="B51" s="3" t="n">
        <v>-4</v>
      </c>
    </row>
    <row r="52" customFormat="false" ht="15" hidden="false" customHeight="false" outlineLevel="0" collapsed="false">
      <c r="A52" s="0" t="s">
        <v>111</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114</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Assumptions!C13</f>
        <v>2</v>
      </c>
      <c r="D5" s="4" t="n">
        <f aca="false">Assumptions!D13</f>
        <v>2</v>
      </c>
      <c r="E5" s="4" t="n">
        <f aca="false">Assumptions!E13</f>
        <v>3</v>
      </c>
      <c r="F5" s="4" t="n">
        <f aca="false">Assumptions!F13</f>
        <v>4</v>
      </c>
      <c r="G5" s="4" t="n">
        <f aca="false">Assumptions!G13</f>
        <v>4</v>
      </c>
      <c r="H5" s="4" t="n">
        <f aca="false">Assumptions!H13</f>
        <v>4</v>
      </c>
      <c r="I5" s="4" t="n">
        <f aca="false">Assumptions!I13</f>
        <v>4</v>
      </c>
      <c r="J5" s="4" t="n">
        <f aca="false">Assumptions!J13</f>
        <v>3.5</v>
      </c>
      <c r="K5" s="4" t="n">
        <f aca="false">Assumptions!K13</f>
        <v>3.5</v>
      </c>
      <c r="L5" s="4" t="n">
        <f aca="false">Assumptions!L13</f>
        <v>3</v>
      </c>
    </row>
    <row r="6" customFormat="false" ht="15" hidden="false" customHeight="false" outlineLevel="0" collapsed="false">
      <c r="A6" s="0" t="s">
        <v>38</v>
      </c>
      <c r="B6" s="3" t="n">
        <v>5497.5</v>
      </c>
      <c r="C6" s="0" t="n">
        <f aca="false">B6*(1+C5/100)</f>
        <v>5607.45</v>
      </c>
      <c r="D6" s="0" t="n">
        <f aca="false">C6*(1+D5/100)</f>
        <v>5719.599</v>
      </c>
      <c r="E6" s="0" t="n">
        <f aca="false">D6*(1+E5/100)</f>
        <v>5891.18697</v>
      </c>
      <c r="F6" s="0" t="n">
        <f aca="false">E6*(1+F5/100)</f>
        <v>6126.8344488</v>
      </c>
      <c r="G6" s="0" t="n">
        <f aca="false">F6*(1+G5/100)</f>
        <v>6371.907826752</v>
      </c>
      <c r="H6" s="0" t="n">
        <f aca="false">G6*(1+H5/100)</f>
        <v>6626.78413982208</v>
      </c>
      <c r="I6" s="0" t="n">
        <f aca="false">H6*(1+I5/100)</f>
        <v>6891.85550541497</v>
      </c>
      <c r="J6" s="0" t="n">
        <f aca="false">I6*(1+J5/100)</f>
        <v>7133.07044810449</v>
      </c>
      <c r="K6" s="0" t="n">
        <f aca="false">J6*(1+K5/100)</f>
        <v>7382.72791378815</v>
      </c>
      <c r="L6" s="0" t="n">
        <f aca="false">K6*(1+L5/100)</f>
        <v>7604.20975120179</v>
      </c>
    </row>
    <row r="7" customFormat="false" ht="15" hidden="false" customHeight="false" outlineLevel="0" collapsed="false">
      <c r="A7" s="0" t="s">
        <v>101</v>
      </c>
      <c r="C7" s="4" t="n">
        <f aca="false">Assumptions!C14</f>
        <v>9.8</v>
      </c>
      <c r="D7" s="4" t="n">
        <f aca="false">Assumptions!D14</f>
        <v>9.6</v>
      </c>
      <c r="E7" s="4" t="n">
        <f aca="false">Assumptions!E14</f>
        <v>9.6</v>
      </c>
      <c r="F7" s="4" t="n">
        <f aca="false">Assumptions!F14</f>
        <v>9.7</v>
      </c>
      <c r="G7" s="4" t="n">
        <f aca="false">Assumptions!G14</f>
        <v>9.8</v>
      </c>
      <c r="H7" s="4" t="n">
        <f aca="false">Assumptions!H14</f>
        <v>9.9</v>
      </c>
      <c r="I7" s="4" t="n">
        <f aca="false">Assumptions!I14</f>
        <v>10</v>
      </c>
      <c r="J7" s="4" t="n">
        <f aca="false">Assumptions!J14</f>
        <v>10</v>
      </c>
      <c r="K7" s="4" t="n">
        <f aca="false">Assumptions!K14</f>
        <v>10</v>
      </c>
      <c r="L7" s="4" t="n">
        <f aca="false">Assumptions!L14</f>
        <v>10</v>
      </c>
    </row>
    <row r="8" customFormat="false" ht="15" hidden="false" customHeight="false" outlineLevel="0" collapsed="false">
      <c r="A8" s="0" t="s">
        <v>44</v>
      </c>
      <c r="C8" s="0" t="n">
        <f aca="false">C6*C7/100</f>
        <v>549.5301</v>
      </c>
      <c r="D8" s="0" t="n">
        <f aca="false">D6*D7/100</f>
        <v>549.081504</v>
      </c>
      <c r="E8" s="0" t="n">
        <f aca="false">E6*E7/100</f>
        <v>565.55394912</v>
      </c>
      <c r="F8" s="0" t="n">
        <f aca="false">F6*F7/100</f>
        <v>594.3029415336</v>
      </c>
      <c r="G8" s="0" t="n">
        <f aca="false">G6*G7/100</f>
        <v>624.446967021696</v>
      </c>
      <c r="H8" s="0" t="n">
        <f aca="false">H6*H7/100</f>
        <v>656.051629842386</v>
      </c>
      <c r="I8" s="0" t="n">
        <f aca="false">I6*I7/100</f>
        <v>689.185550541497</v>
      </c>
      <c r="J8" s="0" t="n">
        <f aca="false">J6*J7/100</f>
        <v>713.307044810449</v>
      </c>
      <c r="K8" s="0" t="n">
        <f aca="false">K6*K7/100</f>
        <v>738.272791378814</v>
      </c>
      <c r="L8" s="0" t="n">
        <f aca="false">L6*L7/100</f>
        <v>760.420975120179</v>
      </c>
    </row>
    <row r="9" customFormat="false" ht="15" hidden="false" customHeight="false" outlineLevel="0" collapsed="false">
      <c r="A9" s="0" t="s">
        <v>102</v>
      </c>
      <c r="C9" s="4" t="n">
        <f aca="false">Assumptions!C15</f>
        <v>0.5</v>
      </c>
      <c r="D9" s="4" t="n">
        <f aca="false">Assumptions!D15</f>
        <v>0.5</v>
      </c>
      <c r="E9" s="4" t="n">
        <f aca="false">Assumptions!E15</f>
        <v>0.5</v>
      </c>
      <c r="F9" s="4" t="n">
        <f aca="false">Assumptions!F15</f>
        <v>0.5</v>
      </c>
      <c r="G9" s="4" t="n">
        <f aca="false">Assumptions!G15</f>
        <v>0.5</v>
      </c>
      <c r="H9" s="4" t="n">
        <f aca="false">Assumptions!H15</f>
        <v>0.5</v>
      </c>
      <c r="I9" s="4" t="n">
        <f aca="false">Assumptions!I15</f>
        <v>0.5</v>
      </c>
      <c r="J9" s="4" t="n">
        <f aca="false">Assumptions!J15</f>
        <v>0.5</v>
      </c>
      <c r="K9" s="4" t="n">
        <f aca="false">Assumptions!K15</f>
        <v>0.5</v>
      </c>
      <c r="L9" s="4" t="n">
        <f aca="false">Assumptions!L15</f>
        <v>0.5</v>
      </c>
    </row>
    <row r="10" customFormat="false" ht="15" hidden="false" customHeight="false" outlineLevel="0" collapsed="false">
      <c r="A10" s="0" t="s">
        <v>117</v>
      </c>
      <c r="C10" s="0" t="n">
        <f aca="false">-C6*C9/100</f>
        <v>-28.03725</v>
      </c>
      <c r="D10" s="0" t="n">
        <f aca="false">-D6*D9/100</f>
        <v>-28.597995</v>
      </c>
      <c r="E10" s="0" t="n">
        <f aca="false">-E6*E9/100</f>
        <v>-29.45593485</v>
      </c>
      <c r="F10" s="0" t="n">
        <f aca="false">-F6*F9/100</f>
        <v>-30.634172244</v>
      </c>
      <c r="G10" s="0" t="n">
        <f aca="false">-G6*G9/100</f>
        <v>-31.85953913376</v>
      </c>
      <c r="H10" s="0" t="n">
        <f aca="false">-H6*H9/100</f>
        <v>-33.1339206991104</v>
      </c>
      <c r="I10" s="0" t="n">
        <f aca="false">-I6*I9/100</f>
        <v>-34.4592775270748</v>
      </c>
      <c r="J10" s="0" t="n">
        <f aca="false">-J6*J9/100</f>
        <v>-35.6653522405224</v>
      </c>
      <c r="K10" s="0" t="n">
        <f aca="false">-K6*K9/100</f>
        <v>-36.9136395689407</v>
      </c>
      <c r="L10" s="0" t="n">
        <f aca="false">-L6*L9/100</f>
        <v>-38.021048756009</v>
      </c>
    </row>
    <row r="11" customFormat="false" ht="15" hidden="false" customHeight="false" outlineLevel="0" collapsed="false">
      <c r="A11" s="0" t="s">
        <v>118</v>
      </c>
      <c r="C11" s="0" t="n">
        <f aca="false">C8+C10+C24</f>
        <v>521.49285</v>
      </c>
      <c r="D11" s="0" t="n">
        <f aca="false">D8+D10+D24</f>
        <v>520.483509</v>
      </c>
      <c r="E11" s="0" t="n">
        <f aca="false">E8+E10+E24</f>
        <v>536.09801427</v>
      </c>
      <c r="F11" s="0" t="n">
        <f aca="false">F8+F10+F24</f>
        <v>563.6687692896</v>
      </c>
      <c r="G11" s="0" t="n">
        <f aca="false">G8+G10+G24</f>
        <v>592.587427887936</v>
      </c>
      <c r="H11" s="0" t="n">
        <f aca="false">H8+H10+H24</f>
        <v>622.917709143276</v>
      </c>
      <c r="I11" s="0" t="n">
        <f aca="false">I8+I10+I24</f>
        <v>654.726273014422</v>
      </c>
      <c r="J11" s="0" t="n">
        <f aca="false">J8+J10+J24</f>
        <v>677.641692569926</v>
      </c>
      <c r="K11" s="0" t="n">
        <f aca="false">K8+K10+K24</f>
        <v>701.359151809874</v>
      </c>
      <c r="L11" s="0" t="n">
        <f aca="false">L8+L10+L24</f>
        <v>722.39992636417</v>
      </c>
    </row>
    <row r="12" customFormat="false" ht="15" hidden="false" customHeight="false" outlineLevel="0" collapsed="false">
      <c r="A12" s="0" t="s">
        <v>119</v>
      </c>
      <c r="C12" s="4" t="n">
        <f aca="false">-C6*Assumptions!C17/100</f>
        <v>-187.849575</v>
      </c>
      <c r="D12" s="4" t="n">
        <f aca="false">-D6*Assumptions!D17/100</f>
        <v>-191.6065665</v>
      </c>
      <c r="E12" s="4" t="n">
        <f aca="false">-E6*Assumptions!E17/100</f>
        <v>-194.40917001</v>
      </c>
      <c r="F12" s="4" t="n">
        <f aca="false">-F6*Assumptions!F17/100</f>
        <v>-202.1855368104</v>
      </c>
      <c r="G12" s="4" t="n">
        <f aca="false">-G6*Assumptions!G17/100</f>
        <v>-210.272958282816</v>
      </c>
      <c r="H12" s="4" t="n">
        <f aca="false">-H6*Assumptions!H17/100</f>
        <v>-218.683876614129</v>
      </c>
      <c r="I12" s="4" t="n">
        <f aca="false">-I6*Assumptions!I17/100</f>
        <v>-227.431231678694</v>
      </c>
      <c r="J12" s="4" t="n">
        <f aca="false">-J6*Assumptions!J17/100</f>
        <v>-235.391324787448</v>
      </c>
      <c r="K12" s="4" t="n">
        <f aca="false">-K6*Assumptions!K17/100</f>
        <v>-243.630021155009</v>
      </c>
      <c r="L12" s="4" t="n">
        <f aca="false">-L6*Assumptions!L17/100</f>
        <v>-250.938921789659</v>
      </c>
    </row>
    <row r="13" customFormat="false" ht="15" hidden="false" customHeight="false" outlineLevel="0" collapsed="false">
      <c r="A13" s="0" t="s">
        <v>120</v>
      </c>
      <c r="C13" s="0" t="n">
        <f aca="false">C11+C12</f>
        <v>333.643275</v>
      </c>
      <c r="D13" s="0" t="n">
        <f aca="false">D11+D12</f>
        <v>328.8769425</v>
      </c>
      <c r="E13" s="0" t="n">
        <f aca="false">E11+E12</f>
        <v>341.68884426</v>
      </c>
      <c r="F13" s="0" t="n">
        <f aca="false">F11+F12</f>
        <v>361.4832324792</v>
      </c>
      <c r="G13" s="0" t="n">
        <f aca="false">G11+G12</f>
        <v>382.31446960512</v>
      </c>
      <c r="H13" s="0" t="n">
        <f aca="false">H11+H12</f>
        <v>404.233832529147</v>
      </c>
      <c r="I13" s="0" t="n">
        <f aca="false">I11+I12</f>
        <v>427.295041335728</v>
      </c>
      <c r="J13" s="0" t="n">
        <f aca="false">J11+J12</f>
        <v>442.250367782478</v>
      </c>
      <c r="K13" s="0" t="n">
        <f aca="false">K11+K12</f>
        <v>457.729130654865</v>
      </c>
      <c r="L13" s="0" t="n">
        <f aca="false">L11+L12</f>
        <v>471.461004574511</v>
      </c>
    </row>
    <row r="14" customFormat="false" ht="15" hidden="false" customHeight="false" outlineLevel="0" collapsed="false">
      <c r="A14" s="0" t="s">
        <v>106</v>
      </c>
      <c r="C14" s="4" t="n">
        <f aca="false">Assumptions!C19</f>
        <v>28</v>
      </c>
      <c r="D14" s="4" t="n">
        <f aca="false">Assumptions!D19</f>
        <v>28</v>
      </c>
      <c r="E14" s="4" t="n">
        <f aca="false">Assumptions!E19</f>
        <v>28</v>
      </c>
      <c r="F14" s="4" t="n">
        <f aca="false">Assumptions!F19</f>
        <v>28</v>
      </c>
      <c r="G14" s="4" t="n">
        <f aca="false">Assumptions!G19</f>
        <v>28</v>
      </c>
      <c r="H14" s="4" t="n">
        <f aca="false">Assumptions!H19</f>
        <v>28</v>
      </c>
      <c r="I14" s="4" t="n">
        <f aca="false">Assumptions!I19</f>
        <v>28</v>
      </c>
      <c r="J14" s="4" t="n">
        <f aca="false">Assumptions!J19</f>
        <v>28</v>
      </c>
      <c r="K14" s="4" t="n">
        <f aca="false">Assumptions!K19</f>
        <v>28</v>
      </c>
      <c r="L14" s="4" t="n">
        <f aca="false">Assumptions!L19</f>
        <v>28</v>
      </c>
    </row>
    <row r="15" customFormat="false" ht="15" hidden="false" customHeight="false" outlineLevel="0" collapsed="false">
      <c r="A15" s="0" t="s">
        <v>121</v>
      </c>
      <c r="C15" s="0" t="n">
        <f aca="false">C13-MAX(0,C13)*C14/100</f>
        <v>240.223158</v>
      </c>
      <c r="D15" s="0" t="n">
        <f aca="false">D13-MAX(0,D13)*D14/100</f>
        <v>236.7913986</v>
      </c>
      <c r="E15" s="0" t="n">
        <f aca="false">E13-MAX(0,E13)*E14/100</f>
        <v>246.0159678672</v>
      </c>
      <c r="F15" s="0" t="n">
        <f aca="false">F13-MAX(0,F13)*F14/100</f>
        <v>260.267927385024</v>
      </c>
      <c r="G15" s="0" t="n">
        <f aca="false">G13-MAX(0,G13)*G14/100</f>
        <v>275.266418115687</v>
      </c>
      <c r="H15" s="0" t="n">
        <f aca="false">H13-MAX(0,H13)*H14/100</f>
        <v>291.048359420986</v>
      </c>
      <c r="I15" s="0" t="n">
        <f aca="false">I13-MAX(0,I13)*I14/100</f>
        <v>307.652429761724</v>
      </c>
      <c r="J15" s="0" t="n">
        <f aca="false">J13-MAX(0,J13)*J14/100</f>
        <v>318.420264803384</v>
      </c>
      <c r="K15" s="0" t="n">
        <f aca="false">K13-MAX(0,K13)*K14/100</f>
        <v>329.564974071503</v>
      </c>
      <c r="L15" s="0" t="n">
        <f aca="false">L13-MAX(0,L13)*L14/100</f>
        <v>339.451923293648</v>
      </c>
    </row>
    <row r="16" customFormat="false" ht="15" hidden="false" customHeight="false" outlineLevel="0" collapsed="false">
      <c r="A16" s="0" t="s">
        <v>122</v>
      </c>
      <c r="C16" s="0" t="n">
        <f aca="false">-C12</f>
        <v>187.849575</v>
      </c>
      <c r="D16" s="0" t="n">
        <f aca="false">-D12</f>
        <v>191.6065665</v>
      </c>
      <c r="E16" s="0" t="n">
        <f aca="false">-E12</f>
        <v>194.40917001</v>
      </c>
      <c r="F16" s="0" t="n">
        <f aca="false">-F12</f>
        <v>202.1855368104</v>
      </c>
      <c r="G16" s="0" t="n">
        <f aca="false">-G12</f>
        <v>210.272958282816</v>
      </c>
      <c r="H16" s="0" t="n">
        <f aca="false">-H12</f>
        <v>218.683876614129</v>
      </c>
      <c r="I16" s="0" t="n">
        <f aca="false">-I12</f>
        <v>227.431231678694</v>
      </c>
      <c r="J16" s="0" t="n">
        <f aca="false">-J12</f>
        <v>235.391324787448</v>
      </c>
      <c r="K16" s="0" t="n">
        <f aca="false">-K12</f>
        <v>243.630021155009</v>
      </c>
      <c r="L16" s="0" t="n">
        <f aca="false">-L12</f>
        <v>250.938921789659</v>
      </c>
    </row>
    <row r="17" customFormat="false" ht="15" hidden="false" customHeight="false" outlineLevel="0" collapsed="false">
      <c r="A17" s="0" t="s">
        <v>123</v>
      </c>
      <c r="C17" s="4" t="n">
        <f aca="false">-C6*Assumptions!C18/100</f>
        <v>-213.0831</v>
      </c>
      <c r="D17" s="4" t="n">
        <f aca="false">-D6*Assumptions!D18/100</f>
        <v>-217.344762</v>
      </c>
      <c r="E17" s="4" t="n">
        <f aca="false">-E6*Assumptions!E18/100</f>
        <v>-223.86510486</v>
      </c>
      <c r="F17" s="4" t="n">
        <f aca="false">-F6*Assumptions!F18/100</f>
        <v>-220.5660401568</v>
      </c>
      <c r="G17" s="4" t="n">
        <f aca="false">-G6*Assumptions!G18/100</f>
        <v>-216.644866109568</v>
      </c>
      <c r="H17" s="4" t="n">
        <f aca="false">-H6*Assumptions!H18/100</f>
        <v>-212.057092474307</v>
      </c>
      <c r="I17" s="4" t="n">
        <f aca="false">-I6*Assumptions!I18/100</f>
        <v>-206.755665162449</v>
      </c>
      <c r="J17" s="4" t="n">
        <f aca="false">-J6*Assumptions!J18/100</f>
        <v>-206.85904299503</v>
      </c>
      <c r="K17" s="4" t="n">
        <f aca="false">-K6*Assumptions!K18/100</f>
        <v>-206.716381586068</v>
      </c>
      <c r="L17" s="4" t="n">
        <f aca="false">-L6*Assumptions!L18/100</f>
        <v>-212.91787303365</v>
      </c>
    </row>
    <row r="18" customFormat="false" ht="15" hidden="false" customHeight="false" outlineLevel="0" collapsed="false">
      <c r="A18" s="0" t="s">
        <v>124</v>
      </c>
      <c r="C18" s="4" t="n">
        <f aca="false">(C6-B6)*Assumptions!$B$23/100</f>
        <v>-4.39799999999999</v>
      </c>
      <c r="D18" s="4" t="n">
        <f aca="false">(D6-C6)*Assumptions!$B$23/100</f>
        <v>-4.48596000000001</v>
      </c>
      <c r="E18" s="4" t="n">
        <f aca="false">(E6-D6)*Assumptions!$B$23/100</f>
        <v>-6.86351880000002</v>
      </c>
      <c r="F18" s="4" t="n">
        <f aca="false">(F6-E6)*Assumptions!$B$23/100</f>
        <v>-9.42589915200002</v>
      </c>
      <c r="G18" s="4" t="n">
        <f aca="false">(G6-F6)*Assumptions!$B$23/100</f>
        <v>-9.80293511808002</v>
      </c>
      <c r="H18" s="4" t="n">
        <f aca="false">(H6-G6)*Assumptions!$B$23/100</f>
        <v>-10.1950525228032</v>
      </c>
      <c r="I18" s="4" t="n">
        <f aca="false">(I6-H6)*Assumptions!$B$23/100</f>
        <v>-10.6028546237154</v>
      </c>
      <c r="J18" s="4" t="n">
        <f aca="false">(J6-I6)*Assumptions!$B$23/100</f>
        <v>-9.64859770758092</v>
      </c>
      <c r="K18" s="4" t="n">
        <f aca="false">(K6-J6)*Assumptions!$B$23/100</f>
        <v>-9.98629862734626</v>
      </c>
      <c r="L18" s="4" t="n">
        <f aca="false">(L6-K6)*Assumptions!$B$23/100</f>
        <v>-8.85927349654579</v>
      </c>
    </row>
    <row r="19" customFormat="false" ht="15" hidden="false" customHeight="false" outlineLevel="0" collapsed="false">
      <c r="A19" s="0" t="s">
        <v>125</v>
      </c>
      <c r="C19" s="0" t="n">
        <f aca="false">C15+C16+C17+C18</f>
        <v>210.591633</v>
      </c>
      <c r="D19" s="0" t="n">
        <f aca="false">D15+D16+D17+D18</f>
        <v>206.5672431</v>
      </c>
      <c r="E19" s="0" t="n">
        <f aca="false">E15+E16+E17+E18</f>
        <v>209.6965142172</v>
      </c>
      <c r="F19" s="0" t="n">
        <f aca="false">F15+F16+F17+F18</f>
        <v>232.461524886624</v>
      </c>
      <c r="G19" s="0" t="n">
        <f aca="false">G15+G16+G17+G18</f>
        <v>259.091575170854</v>
      </c>
      <c r="H19" s="0" t="n">
        <f aca="false">H15+H16+H17+H18</f>
        <v>287.480091038005</v>
      </c>
      <c r="I19" s="0" t="n">
        <f aca="false">I15+I16+I17+I18</f>
        <v>317.725141654254</v>
      </c>
      <c r="J19" s="0" t="n">
        <f aca="false">J15+J16+J17+J18</f>
        <v>337.303948888221</v>
      </c>
      <c r="K19" s="0" t="n">
        <f aca="false">K15+K16+K17+K18</f>
        <v>356.492315013097</v>
      </c>
      <c r="L19" s="0" t="n">
        <f aca="false">L15+L16+L17+L18</f>
        <v>368.613698553111</v>
      </c>
    </row>
    <row r="20" customFormat="false" ht="15" hidden="false" customHeight="false" outlineLevel="0" collapsed="false">
      <c r="A20" s="0" t="s">
        <v>126</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127</v>
      </c>
      <c r="C21" s="0" t="n">
        <f aca="false">C19*C20</f>
        <v>194.093670967742</v>
      </c>
      <c r="D21" s="0" t="n">
        <f aca="false">D19*D20</f>
        <v>175.469636730447</v>
      </c>
      <c r="E21" s="0" t="n">
        <f aca="false">E19*E20</f>
        <v>164.173099193341</v>
      </c>
      <c r="F21" s="0" t="n">
        <f aca="false">F19*F20</f>
        <v>167.738258439903</v>
      </c>
      <c r="G21" s="0" t="n">
        <f aca="false">G19*G20</f>
        <v>172.307666279969</v>
      </c>
      <c r="H21" s="0" t="n">
        <f aca="false">H19*H20</f>
        <v>176.209510443657</v>
      </c>
      <c r="I21" s="0" t="n">
        <f aca="false">I19*I20</f>
        <v>179.491304823489</v>
      </c>
      <c r="J21" s="0" t="n">
        <f aca="false">J19*J20</f>
        <v>175.623860780329</v>
      </c>
      <c r="K21" s="0" t="n">
        <f aca="false">K19*K20</f>
        <v>171.073416380789</v>
      </c>
      <c r="L21" s="0" t="n">
        <f aca="false">L19*L20</f>
        <v>163.032462652848</v>
      </c>
    </row>
    <row r="23" customFormat="false" ht="15" hidden="false" customHeight="false" outlineLevel="0" collapsed="false">
      <c r="A23" s="0" t="s">
        <v>103</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Assumptions!$B$20</f>
        <v>8.5</v>
      </c>
    </row>
    <row r="28" customFormat="false" ht="15" hidden="false" customHeight="false" outlineLevel="0" collapsed="false">
      <c r="A28" s="0" t="s">
        <v>108</v>
      </c>
      <c r="B28" s="4" t="n">
        <f aca="false">Assumptions!$B$21</f>
        <v>2.5</v>
      </c>
    </row>
    <row r="29" customFormat="false" ht="15" hidden="false" customHeight="false" outlineLevel="0" collapsed="false">
      <c r="A29" s="0" t="s">
        <v>109</v>
      </c>
      <c r="B29" s="4" t="n">
        <f aca="false">Assumptions!$B$22</f>
        <v>15</v>
      </c>
    </row>
    <row r="30" customFormat="false" ht="15" hidden="false" customHeight="false" outlineLevel="0" collapsed="false">
      <c r="A30" s="0" t="s">
        <v>130</v>
      </c>
      <c r="B30" s="0" t="n">
        <f aca="false">SUM(C21:L21)</f>
        <v>1739.21288669251</v>
      </c>
    </row>
    <row r="31" customFormat="false" ht="15" hidden="false" customHeight="false" outlineLevel="0" collapsed="false">
      <c r="A31" s="0" t="s">
        <v>131</v>
      </c>
      <c r="B31" s="0" t="n">
        <f aca="false">L19</f>
        <v>368.613698553111</v>
      </c>
    </row>
    <row r="32" customFormat="false" ht="15" hidden="false" customHeight="false" outlineLevel="0" collapsed="false">
      <c r="A32" s="0" t="s">
        <v>132</v>
      </c>
      <c r="B32" s="0" t="n">
        <f aca="false">IF(B27&gt;B28,B31*(1+B28/100)/((B27-B28)/100),B31*B29)</f>
        <v>6297.15068361565</v>
      </c>
    </row>
    <row r="33" customFormat="false" ht="15" hidden="false" customHeight="false" outlineLevel="0" collapsed="false">
      <c r="A33" s="0" t="s">
        <v>133</v>
      </c>
      <c r="B33" s="0" t="n">
        <f aca="false">B31*B29</f>
        <v>5529.20547829667</v>
      </c>
    </row>
    <row r="34" customFormat="false" ht="15" hidden="false" customHeight="false" outlineLevel="0" collapsed="false">
      <c r="A34" s="0" t="s">
        <v>134</v>
      </c>
      <c r="B34" s="0" t="n">
        <f aca="false">MAX(0,MIN(B32,B33))</f>
        <v>5529.20547829667</v>
      </c>
    </row>
    <row r="35" customFormat="false" ht="15" hidden="false" customHeight="false" outlineLevel="0" collapsed="false">
      <c r="A35" s="0" t="s">
        <v>135</v>
      </c>
      <c r="B35" s="0" t="n">
        <f aca="false">B34/(1+B27/100)^L4</f>
        <v>2445.48693979272</v>
      </c>
    </row>
    <row r="36" customFormat="false" ht="15" hidden="false" customHeight="false" outlineLevel="0" collapsed="false">
      <c r="A36" s="0" t="s">
        <v>136</v>
      </c>
      <c r="B36" s="0" t="n">
        <f aca="false">B30+B35</f>
        <v>4184.69982648523</v>
      </c>
    </row>
    <row r="37" customFormat="false" ht="15" hidden="false" customHeight="false" outlineLevel="0" collapsed="false">
      <c r="A37" s="0" t="s">
        <v>137</v>
      </c>
      <c r="B37" s="0" t="n">
        <f aca="false">B36+Assumptions!$B$5-Assumptions!$B$4</f>
        <v>2566.54882648523</v>
      </c>
    </row>
    <row r="38" customFormat="false" ht="15" hidden="false" customHeight="false" outlineLevel="0" collapsed="false">
      <c r="A38" s="0" t="s">
        <v>138</v>
      </c>
      <c r="B38" s="0" t="n">
        <f aca="false">B37/Assumptions!$B$3*Assumptions!$B$10</f>
        <v>82.8374556700498</v>
      </c>
    </row>
    <row r="39" customFormat="false" ht="15" hidden="false" customHeight="false" outlineLevel="0" collapsed="false">
      <c r="A39" s="0" t="s">
        <v>139</v>
      </c>
      <c r="B39" s="4" t="n">
        <f aca="false">B38/Assumptions!$B$2-1</f>
        <v>-0.552447697498246</v>
      </c>
    </row>
    <row r="41" customFormat="false" ht="15" hidden="false" customHeight="false" outlineLevel="0" collapsed="false">
      <c r="A41" s="0" t="s">
        <v>140</v>
      </c>
      <c r="B41" s="0" t="n">
        <f aca="false">SUMPRODUCT(-C10:L10/(1+$B$27/100)^C4:L4)</f>
        <v>209.364010877725</v>
      </c>
    </row>
    <row r="42" customFormat="false" ht="15" hidden="false" customHeight="false" outlineLevel="0" collapsed="false">
      <c r="A42" s="0" t="s">
        <v>141</v>
      </c>
      <c r="B42" s="0" t="n">
        <f aca="false">IF(B27&gt;B28,-L10*(1+B28/100)/((B27-B28)/100),-L10*20)/(1+B27/100)^L4</f>
        <v>287.275986873653</v>
      </c>
    </row>
    <row r="43" customFormat="false" ht="15" hidden="false" customHeight="false" outlineLevel="0" collapsed="false">
      <c r="A43" s="0" t="s">
        <v>142</v>
      </c>
      <c r="B43" s="0" t="n">
        <f aca="false">(B37+B41+B42)/Assumptions!$B$3*Assumptions!$B$10</f>
        <v>98.8669164670389</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3022.63232813551</v>
      </c>
    </row>
    <row r="47" customFormat="false" ht="15" hidden="false" customHeight="false" outlineLevel="0" collapsed="false">
      <c r="A47" s="0" t="s">
        <v>144</v>
      </c>
      <c r="B47" s="0" t="n">
        <f aca="false">(SUMPRODUCT(C19:L19/(1+B45/100)^C4:L4)+B46/(1+B45/100)^L4+Assumptions!$B$5-Assumptions!$B$4)/Assumptions!$B$3*Assumptions!$B$10</f>
        <v>13.3740479458991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Assumptions!C27</f>
        <v>4</v>
      </c>
      <c r="D5" s="4" t="n">
        <f aca="false">Assumptions!D27</f>
        <v>6</v>
      </c>
      <c r="E5" s="4" t="n">
        <f aca="false">Assumptions!E27</f>
        <v>7</v>
      </c>
      <c r="F5" s="4" t="n">
        <f aca="false">Assumptions!F27</f>
        <v>7</v>
      </c>
      <c r="G5" s="4" t="n">
        <f aca="false">Assumptions!G27</f>
        <v>6.5</v>
      </c>
      <c r="H5" s="4" t="n">
        <f aca="false">Assumptions!H27</f>
        <v>6</v>
      </c>
      <c r="I5" s="4" t="n">
        <f aca="false">Assumptions!I27</f>
        <v>5.5</v>
      </c>
      <c r="J5" s="4" t="n">
        <f aca="false">Assumptions!J27</f>
        <v>5</v>
      </c>
      <c r="K5" s="4" t="n">
        <f aca="false">Assumptions!K27</f>
        <v>4.5</v>
      </c>
      <c r="L5" s="4" t="n">
        <f aca="false">Assumptions!L27</f>
        <v>4</v>
      </c>
    </row>
    <row r="6" customFormat="false" ht="15" hidden="false" customHeight="false" outlineLevel="0" collapsed="false">
      <c r="A6" s="0" t="s">
        <v>38</v>
      </c>
      <c r="B6" s="3" t="n">
        <v>5497.5</v>
      </c>
      <c r="C6" s="0" t="n">
        <f aca="false">B6*(1+C5/100)</f>
        <v>5717.4</v>
      </c>
      <c r="D6" s="0" t="n">
        <f aca="false">C6*(1+D5/100)</f>
        <v>6060.444</v>
      </c>
      <c r="E6" s="0" t="n">
        <f aca="false">D6*(1+E5/100)</f>
        <v>6484.67508</v>
      </c>
      <c r="F6" s="0" t="n">
        <f aca="false">E6*(1+F5/100)</f>
        <v>6938.6023356</v>
      </c>
      <c r="G6" s="0" t="n">
        <f aca="false">F6*(1+G5/100)</f>
        <v>7389.611487414</v>
      </c>
      <c r="H6" s="0" t="n">
        <f aca="false">G6*(1+H5/100)</f>
        <v>7832.98817665884</v>
      </c>
      <c r="I6" s="0" t="n">
        <f aca="false">H6*(1+I5/100)</f>
        <v>8263.80252637508</v>
      </c>
      <c r="J6" s="0" t="n">
        <f aca="false">I6*(1+J5/100)</f>
        <v>8676.99265269383</v>
      </c>
      <c r="K6" s="0" t="n">
        <f aca="false">J6*(1+K5/100)</f>
        <v>9067.45732206506</v>
      </c>
      <c r="L6" s="0" t="n">
        <f aca="false">K6*(1+L5/100)</f>
        <v>9430.15561494766</v>
      </c>
    </row>
    <row r="7" customFormat="false" ht="15" hidden="false" customHeight="false" outlineLevel="0" collapsed="false">
      <c r="A7" s="0" t="s">
        <v>101</v>
      </c>
      <c r="C7" s="4" t="n">
        <f aca="false">Assumptions!C28</f>
        <v>10.2</v>
      </c>
      <c r="D7" s="4" t="n">
        <f aca="false">Assumptions!D28</f>
        <v>10.3</v>
      </c>
      <c r="E7" s="4" t="n">
        <f aca="false">Assumptions!E28</f>
        <v>10.5</v>
      </c>
      <c r="F7" s="4" t="n">
        <f aca="false">Assumptions!F28</f>
        <v>10.7</v>
      </c>
      <c r="G7" s="4" t="n">
        <f aca="false">Assumptions!G28</f>
        <v>10.9</v>
      </c>
      <c r="H7" s="4" t="n">
        <f aca="false">Assumptions!H28</f>
        <v>11</v>
      </c>
      <c r="I7" s="4" t="n">
        <f aca="false">Assumptions!I28</f>
        <v>11.1</v>
      </c>
      <c r="J7" s="4" t="n">
        <f aca="false">Assumptions!J28</f>
        <v>11.2</v>
      </c>
      <c r="K7" s="4" t="n">
        <f aca="false">Assumptions!K28</f>
        <v>11.3</v>
      </c>
      <c r="L7" s="4" t="n">
        <f aca="false">Assumptions!L28</f>
        <v>11.3</v>
      </c>
    </row>
    <row r="8" customFormat="false" ht="15" hidden="false" customHeight="false" outlineLevel="0" collapsed="false">
      <c r="A8" s="0" t="s">
        <v>44</v>
      </c>
      <c r="C8" s="0" t="n">
        <f aca="false">C6*C7/100</f>
        <v>583.1748</v>
      </c>
      <c r="D8" s="0" t="n">
        <f aca="false">D6*D7/100</f>
        <v>624.225732</v>
      </c>
      <c r="E8" s="0" t="n">
        <f aca="false">E6*E7/100</f>
        <v>680.8908834</v>
      </c>
      <c r="F8" s="0" t="n">
        <f aca="false">F6*F7/100</f>
        <v>742.4304499092</v>
      </c>
      <c r="G8" s="0" t="n">
        <f aca="false">G6*G7/100</f>
        <v>805.467652128126</v>
      </c>
      <c r="H8" s="0" t="n">
        <f aca="false">H6*H7/100</f>
        <v>861.628699432473</v>
      </c>
      <c r="I8" s="0" t="n">
        <f aca="false">I6*I7/100</f>
        <v>917.282080427634</v>
      </c>
      <c r="J8" s="0" t="n">
        <f aca="false">J6*J7/100</f>
        <v>971.823177101709</v>
      </c>
      <c r="K8" s="0" t="n">
        <f aca="false">K6*K7/100</f>
        <v>1024.62267739335</v>
      </c>
      <c r="L8" s="0" t="n">
        <f aca="false">L6*L7/100</f>
        <v>1065.60758448909</v>
      </c>
    </row>
    <row r="9" customFormat="false" ht="15" hidden="false" customHeight="false" outlineLevel="0" collapsed="false">
      <c r="A9" s="0" t="s">
        <v>102</v>
      </c>
      <c r="C9" s="4" t="n">
        <f aca="false">Assumptions!C29</f>
        <v>0.5</v>
      </c>
      <c r="D9" s="4" t="n">
        <f aca="false">Assumptions!D29</f>
        <v>0.5</v>
      </c>
      <c r="E9" s="4" t="n">
        <f aca="false">Assumptions!E29</f>
        <v>0.5</v>
      </c>
      <c r="F9" s="4" t="n">
        <f aca="false">Assumptions!F29</f>
        <v>0.5</v>
      </c>
      <c r="G9" s="4" t="n">
        <f aca="false">Assumptions!G29</f>
        <v>0.5</v>
      </c>
      <c r="H9" s="4" t="n">
        <f aca="false">Assumptions!H29</f>
        <v>0.5</v>
      </c>
      <c r="I9" s="4" t="n">
        <f aca="false">Assumptions!I29</f>
        <v>0.5</v>
      </c>
      <c r="J9" s="4" t="n">
        <f aca="false">Assumptions!J29</f>
        <v>0.5</v>
      </c>
      <c r="K9" s="4" t="n">
        <f aca="false">Assumptions!K29</f>
        <v>0.5</v>
      </c>
      <c r="L9" s="4" t="n">
        <f aca="false">Assumptions!L29</f>
        <v>0.5</v>
      </c>
    </row>
    <row r="10" customFormat="false" ht="15" hidden="false" customHeight="false" outlineLevel="0" collapsed="false">
      <c r="A10" s="0" t="s">
        <v>117</v>
      </c>
      <c r="C10" s="0" t="n">
        <f aca="false">-C6*C9/100</f>
        <v>-28.587</v>
      </c>
      <c r="D10" s="0" t="n">
        <f aca="false">-D6*D9/100</f>
        <v>-30.30222</v>
      </c>
      <c r="E10" s="0" t="n">
        <f aca="false">-E6*E9/100</f>
        <v>-32.4233754</v>
      </c>
      <c r="F10" s="0" t="n">
        <f aca="false">-F6*F9/100</f>
        <v>-34.693011678</v>
      </c>
      <c r="G10" s="0" t="n">
        <f aca="false">-G6*G9/100</f>
        <v>-36.94805743707</v>
      </c>
      <c r="H10" s="0" t="n">
        <f aca="false">-H6*H9/100</f>
        <v>-39.1649408832942</v>
      </c>
      <c r="I10" s="0" t="n">
        <f aca="false">-I6*I9/100</f>
        <v>-41.3190126318754</v>
      </c>
      <c r="J10" s="0" t="n">
        <f aca="false">-J6*J9/100</f>
        <v>-43.3849632634692</v>
      </c>
      <c r="K10" s="0" t="n">
        <f aca="false">-K6*K9/100</f>
        <v>-45.3372866103253</v>
      </c>
      <c r="L10" s="0" t="n">
        <f aca="false">-L6*L9/100</f>
        <v>-47.1507780747383</v>
      </c>
    </row>
    <row r="11" customFormat="false" ht="15" hidden="false" customHeight="false" outlineLevel="0" collapsed="false">
      <c r="A11" s="0" t="s">
        <v>118</v>
      </c>
      <c r="C11" s="0" t="n">
        <f aca="false">C8+C10+C24</f>
        <v>554.5878</v>
      </c>
      <c r="D11" s="0" t="n">
        <f aca="false">D8+D10+D24</f>
        <v>593.923512</v>
      </c>
      <c r="E11" s="0" t="n">
        <f aca="false">E8+E10+E24</f>
        <v>648.467508</v>
      </c>
      <c r="F11" s="0" t="n">
        <f aca="false">F8+F10+F24</f>
        <v>707.7374382312</v>
      </c>
      <c r="G11" s="0" t="n">
        <f aca="false">G8+G10+G24</f>
        <v>768.519594691056</v>
      </c>
      <c r="H11" s="0" t="n">
        <f aca="false">H8+H10+H24</f>
        <v>822.463758549179</v>
      </c>
      <c r="I11" s="0" t="n">
        <f aca="false">I8+I10+I24</f>
        <v>875.963067795758</v>
      </c>
      <c r="J11" s="0" t="n">
        <f aca="false">J8+J10+J24</f>
        <v>928.43821383824</v>
      </c>
      <c r="K11" s="0" t="n">
        <f aca="false">K8+K10+K24</f>
        <v>979.285390783026</v>
      </c>
      <c r="L11" s="0" t="n">
        <f aca="false">L8+L10+L24</f>
        <v>1018.45680641435</v>
      </c>
    </row>
    <row r="12" customFormat="false" ht="15" hidden="false" customHeight="false" outlineLevel="0" collapsed="false">
      <c r="A12" s="0" t="s">
        <v>119</v>
      </c>
      <c r="C12" s="4" t="n">
        <f aca="false">-C6*Assumptions!C31/100</f>
        <v>-191.5329</v>
      </c>
      <c r="D12" s="4" t="n">
        <f aca="false">-D6*Assumptions!D31/100</f>
        <v>-203.024874</v>
      </c>
      <c r="E12" s="4" t="n">
        <f aca="false">-E6*Assumptions!E31/100</f>
        <v>-213.99427764</v>
      </c>
      <c r="F12" s="4" t="n">
        <f aca="false">-F6*Assumptions!F31/100</f>
        <v>-228.9738770748</v>
      </c>
      <c r="G12" s="4" t="n">
        <f aca="false">-G6*Assumptions!G31/100</f>
        <v>-243.857179084662</v>
      </c>
      <c r="H12" s="4" t="n">
        <f aca="false">-H6*Assumptions!H31/100</f>
        <v>-258.488609829742</v>
      </c>
      <c r="I12" s="4" t="n">
        <f aca="false">-I6*Assumptions!I31/100</f>
        <v>-272.705483370378</v>
      </c>
      <c r="J12" s="4" t="n">
        <f aca="false">-J6*Assumptions!J31/100</f>
        <v>-286.340757538896</v>
      </c>
      <c r="K12" s="4" t="n">
        <f aca="false">-K6*Assumptions!K31/100</f>
        <v>-299.226091628147</v>
      </c>
      <c r="L12" s="4" t="n">
        <f aca="false">-L6*Assumptions!L31/100</f>
        <v>-311.195135293273</v>
      </c>
    </row>
    <row r="13" customFormat="false" ht="15" hidden="false" customHeight="false" outlineLevel="0" collapsed="false">
      <c r="A13" s="0" t="s">
        <v>120</v>
      </c>
      <c r="C13" s="0" t="n">
        <f aca="false">C11+C12</f>
        <v>363.0549</v>
      </c>
      <c r="D13" s="0" t="n">
        <f aca="false">D11+D12</f>
        <v>390.898638</v>
      </c>
      <c r="E13" s="0" t="n">
        <f aca="false">E11+E12</f>
        <v>434.47323036</v>
      </c>
      <c r="F13" s="0" t="n">
        <f aca="false">F11+F12</f>
        <v>478.7635611564</v>
      </c>
      <c r="G13" s="0" t="n">
        <f aca="false">G11+G12</f>
        <v>524.662415606394</v>
      </c>
      <c r="H13" s="0" t="n">
        <f aca="false">H11+H12</f>
        <v>563.975148719437</v>
      </c>
      <c r="I13" s="0" t="n">
        <f aca="false">I11+I12</f>
        <v>603.257584425381</v>
      </c>
      <c r="J13" s="0" t="n">
        <f aca="false">J11+J12</f>
        <v>642.097456299344</v>
      </c>
      <c r="K13" s="0" t="n">
        <f aca="false">K11+K12</f>
        <v>680.059299154879</v>
      </c>
      <c r="L13" s="0" t="n">
        <f aca="false">L11+L12</f>
        <v>707.261671121074</v>
      </c>
    </row>
    <row r="14" customFormat="false" ht="15" hidden="false" customHeight="false" outlineLevel="0" collapsed="false">
      <c r="A14" s="0" t="s">
        <v>106</v>
      </c>
      <c r="C14" s="4" t="n">
        <f aca="false">Assumptions!C33</f>
        <v>28</v>
      </c>
      <c r="D14" s="4" t="n">
        <f aca="false">Assumptions!D33</f>
        <v>28</v>
      </c>
      <c r="E14" s="4" t="n">
        <f aca="false">Assumptions!E33</f>
        <v>28</v>
      </c>
      <c r="F14" s="4" t="n">
        <f aca="false">Assumptions!F33</f>
        <v>28</v>
      </c>
      <c r="G14" s="4" t="n">
        <f aca="false">Assumptions!G33</f>
        <v>28</v>
      </c>
      <c r="H14" s="4" t="n">
        <f aca="false">Assumptions!H33</f>
        <v>28</v>
      </c>
      <c r="I14" s="4" t="n">
        <f aca="false">Assumptions!I33</f>
        <v>28</v>
      </c>
      <c r="J14" s="4" t="n">
        <f aca="false">Assumptions!J33</f>
        <v>28</v>
      </c>
      <c r="K14" s="4" t="n">
        <f aca="false">Assumptions!K33</f>
        <v>28</v>
      </c>
      <c r="L14" s="4" t="n">
        <f aca="false">Assumptions!L33</f>
        <v>28</v>
      </c>
    </row>
    <row r="15" customFormat="false" ht="15" hidden="false" customHeight="false" outlineLevel="0" collapsed="false">
      <c r="A15" s="0" t="s">
        <v>121</v>
      </c>
      <c r="C15" s="0" t="n">
        <f aca="false">C13-MAX(0,C13)*C14/100</f>
        <v>261.399528</v>
      </c>
      <c r="D15" s="0" t="n">
        <f aca="false">D13-MAX(0,D13)*D14/100</f>
        <v>281.44701936</v>
      </c>
      <c r="E15" s="0" t="n">
        <f aca="false">E13-MAX(0,E13)*E14/100</f>
        <v>312.8207258592</v>
      </c>
      <c r="F15" s="0" t="n">
        <f aca="false">F13-MAX(0,F13)*F14/100</f>
        <v>344.709764032608</v>
      </c>
      <c r="G15" s="0" t="n">
        <f aca="false">G13-MAX(0,G13)*G14/100</f>
        <v>377.756939236604</v>
      </c>
      <c r="H15" s="0" t="n">
        <f aca="false">H13-MAX(0,H13)*H14/100</f>
        <v>406.062107077994</v>
      </c>
      <c r="I15" s="0" t="n">
        <f aca="false">I13-MAX(0,I13)*I14/100</f>
        <v>434.345460786274</v>
      </c>
      <c r="J15" s="0" t="n">
        <f aca="false">J13-MAX(0,J13)*J14/100</f>
        <v>462.310168535527</v>
      </c>
      <c r="K15" s="0" t="n">
        <f aca="false">K13-MAX(0,K13)*K14/100</f>
        <v>489.642695391513</v>
      </c>
      <c r="L15" s="0" t="n">
        <f aca="false">L13-MAX(0,L13)*L14/100</f>
        <v>509.228403207173</v>
      </c>
    </row>
    <row r="16" customFormat="false" ht="15" hidden="false" customHeight="false" outlineLevel="0" collapsed="false">
      <c r="A16" s="0" t="s">
        <v>122</v>
      </c>
      <c r="C16" s="0" t="n">
        <f aca="false">-C12</f>
        <v>191.5329</v>
      </c>
      <c r="D16" s="0" t="n">
        <f aca="false">-D12</f>
        <v>203.024874</v>
      </c>
      <c r="E16" s="0" t="n">
        <f aca="false">-E12</f>
        <v>213.99427764</v>
      </c>
      <c r="F16" s="0" t="n">
        <f aca="false">-F12</f>
        <v>228.9738770748</v>
      </c>
      <c r="G16" s="0" t="n">
        <f aca="false">-G12</f>
        <v>243.857179084662</v>
      </c>
      <c r="H16" s="0" t="n">
        <f aca="false">-H12</f>
        <v>258.488609829742</v>
      </c>
      <c r="I16" s="0" t="n">
        <f aca="false">-I12</f>
        <v>272.705483370378</v>
      </c>
      <c r="J16" s="0" t="n">
        <f aca="false">-J12</f>
        <v>286.340757538896</v>
      </c>
      <c r="K16" s="0" t="n">
        <f aca="false">-K12</f>
        <v>299.226091628147</v>
      </c>
      <c r="L16" s="0" t="n">
        <f aca="false">-L12</f>
        <v>311.195135293273</v>
      </c>
    </row>
    <row r="17" customFormat="false" ht="15" hidden="false" customHeight="false" outlineLevel="0" collapsed="false">
      <c r="A17" s="0" t="s">
        <v>123</v>
      </c>
      <c r="C17" s="4" t="n">
        <f aca="false">-C6*Assumptions!C32/100</f>
        <v>-274.4352</v>
      </c>
      <c r="D17" s="4" t="n">
        <f aca="false">-D6*Assumptions!D32/100</f>
        <v>-290.901312</v>
      </c>
      <c r="E17" s="4" t="n">
        <f aca="false">-E6*Assumptions!E32/100</f>
        <v>-311.26440384</v>
      </c>
      <c r="F17" s="4" t="n">
        <f aca="false">-F6*Assumptions!F32/100</f>
        <v>-333.0529121088</v>
      </c>
      <c r="G17" s="4" t="n">
        <f aca="false">-G6*Assumptions!G32/100</f>
        <v>-339.922128421044</v>
      </c>
      <c r="H17" s="4" t="n">
        <f aca="false">-H6*Assumptions!H32/100</f>
        <v>-344.651479772989</v>
      </c>
      <c r="I17" s="4" t="n">
        <f aca="false">-I6*Assumptions!I32/100</f>
        <v>-338.815903581378</v>
      </c>
      <c r="J17" s="4" t="n">
        <f aca="false">-J6*Assumptions!J32/100</f>
        <v>-329.725720802366</v>
      </c>
      <c r="K17" s="4" t="n">
        <f aca="false">-K6*Assumptions!K32/100</f>
        <v>-317.361006272277</v>
      </c>
      <c r="L17" s="4" t="n">
        <f aca="false">-L6*Assumptions!L32/100</f>
        <v>-311.195135293273</v>
      </c>
    </row>
    <row r="18" customFormat="false" ht="15" hidden="false" customHeight="false" outlineLevel="0" collapsed="false">
      <c r="A18" s="0" t="s">
        <v>124</v>
      </c>
      <c r="C18" s="4" t="n">
        <f aca="false">(C6-B6)*Assumptions!$B$37/100</f>
        <v>-8.79600000000002</v>
      </c>
      <c r="D18" s="4" t="n">
        <f aca="false">(D6-C6)*Assumptions!$B$37/100</f>
        <v>-13.72176</v>
      </c>
      <c r="E18" s="4" t="n">
        <f aca="false">(E6-D6)*Assumptions!$B$37/100</f>
        <v>-16.9692432</v>
      </c>
      <c r="F18" s="4" t="n">
        <f aca="false">(F6-E6)*Assumptions!$B$37/100</f>
        <v>-18.157090224</v>
      </c>
      <c r="G18" s="4" t="n">
        <f aca="false">(G6-F6)*Assumptions!$B$37/100</f>
        <v>-18.04036607256</v>
      </c>
      <c r="H18" s="4" t="n">
        <f aca="false">(H6-G6)*Assumptions!$B$37/100</f>
        <v>-17.7350675697936</v>
      </c>
      <c r="I18" s="4" t="n">
        <f aca="false">(I6-H6)*Assumptions!$B$37/100</f>
        <v>-17.2325739886495</v>
      </c>
      <c r="J18" s="4" t="n">
        <f aca="false">(J6-I6)*Assumptions!$B$37/100</f>
        <v>-16.5276050527502</v>
      </c>
      <c r="K18" s="4" t="n">
        <f aca="false">(K6-J6)*Assumptions!$B$37/100</f>
        <v>-15.6185867748489</v>
      </c>
      <c r="L18" s="4" t="n">
        <f aca="false">(L6-K6)*Assumptions!$B$37/100</f>
        <v>-14.5079317153041</v>
      </c>
    </row>
    <row r="19" customFormat="false" ht="15" hidden="false" customHeight="false" outlineLevel="0" collapsed="false">
      <c r="A19" s="0" t="s">
        <v>125</v>
      </c>
      <c r="C19" s="0" t="n">
        <f aca="false">C15+C16+C17+C18</f>
        <v>169.701228</v>
      </c>
      <c r="D19" s="0" t="n">
        <f aca="false">D15+D16+D17+D18</f>
        <v>179.84882136</v>
      </c>
      <c r="E19" s="0" t="n">
        <f aca="false">E15+E16+E17+E18</f>
        <v>198.5813564592</v>
      </c>
      <c r="F19" s="0" t="n">
        <f aca="false">F15+F16+F17+F18</f>
        <v>222.473638774608</v>
      </c>
      <c r="G19" s="0" t="n">
        <f aca="false">G15+G16+G17+G18</f>
        <v>263.651623827662</v>
      </c>
      <c r="H19" s="0" t="n">
        <f aca="false">H15+H16+H17+H18</f>
        <v>302.164169564953</v>
      </c>
      <c r="I19" s="0" t="n">
        <f aca="false">I15+I16+I17+I18</f>
        <v>351.002466586624</v>
      </c>
      <c r="J19" s="0" t="n">
        <f aca="false">J15+J16+J17+J18</f>
        <v>402.397600219308</v>
      </c>
      <c r="K19" s="0" t="n">
        <f aca="false">K15+K16+K17+K18</f>
        <v>455.889193972534</v>
      </c>
      <c r="L19" s="0" t="n">
        <f aca="false">L15+L16+L17+L18</f>
        <v>494.720471491869</v>
      </c>
    </row>
    <row r="20" customFormat="false" ht="15" hidden="false" customHeight="false" outlineLevel="0" collapsed="false">
      <c r="A20" s="0" t="s">
        <v>126</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127</v>
      </c>
      <c r="C21" s="0" t="n">
        <f aca="false">C19*C20</f>
        <v>156.406661751152</v>
      </c>
      <c r="D21" s="0" t="n">
        <f aca="false">D19*D20</f>
        <v>152.773532128523</v>
      </c>
      <c r="E21" s="0" t="n">
        <f aca="false">E19*E20</f>
        <v>155.470952169267</v>
      </c>
      <c r="F21" s="0" t="n">
        <f aca="false">F19*F20</f>
        <v>160.531256667275</v>
      </c>
      <c r="G21" s="0" t="n">
        <f aca="false">G19*G20</f>
        <v>175.340305769151</v>
      </c>
      <c r="H21" s="0" t="n">
        <f aca="false">H19*H20</f>
        <v>185.210044286565</v>
      </c>
      <c r="I21" s="0" t="n">
        <f aca="false">I19*I20</f>
        <v>198.290542561011</v>
      </c>
      <c r="J21" s="0" t="n">
        <f aca="false">J19*J20</f>
        <v>209.516136268756</v>
      </c>
      <c r="K21" s="0" t="n">
        <f aca="false">K19*K20</f>
        <v>218.771958383171</v>
      </c>
      <c r="L21" s="0" t="n">
        <f aca="false">L19*L20</f>
        <v>218.80764906103</v>
      </c>
    </row>
    <row r="23" customFormat="false" ht="15" hidden="false" customHeight="false" outlineLevel="0" collapsed="false">
      <c r="A23" s="0" t="s">
        <v>103</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Assumptions!$B$34</f>
        <v>8.5</v>
      </c>
    </row>
    <row r="28" customFormat="false" ht="15" hidden="false" customHeight="false" outlineLevel="0" collapsed="false">
      <c r="A28" s="0" t="s">
        <v>108</v>
      </c>
      <c r="B28" s="4" t="n">
        <f aca="false">Assumptions!$B$35</f>
        <v>3</v>
      </c>
    </row>
    <row r="29" customFormat="false" ht="15" hidden="false" customHeight="false" outlineLevel="0" collapsed="false">
      <c r="A29" s="0" t="s">
        <v>109</v>
      </c>
      <c r="B29" s="4" t="n">
        <f aca="false">Assumptions!$B$36</f>
        <v>18</v>
      </c>
    </row>
    <row r="30" customFormat="false" ht="15" hidden="false" customHeight="false" outlineLevel="0" collapsed="false">
      <c r="A30" s="0" t="s">
        <v>130</v>
      </c>
      <c r="B30" s="0" t="n">
        <f aca="false">SUM(C21:L21)</f>
        <v>1831.1190390459</v>
      </c>
    </row>
    <row r="31" customFormat="false" ht="15" hidden="false" customHeight="false" outlineLevel="0" collapsed="false">
      <c r="A31" s="0" t="s">
        <v>131</v>
      </c>
      <c r="B31" s="0" t="n">
        <f aca="false">L19</f>
        <v>494.720471491869</v>
      </c>
    </row>
    <row r="32" customFormat="false" ht="15" hidden="false" customHeight="false" outlineLevel="0" collapsed="false">
      <c r="A32" s="0" t="s">
        <v>132</v>
      </c>
      <c r="B32" s="0" t="n">
        <f aca="false">IF(B27&gt;B28,B31*(1+B28/100)/((B27-B28)/100),B31*B29)</f>
        <v>9264.76519339319</v>
      </c>
    </row>
    <row r="33" customFormat="false" ht="15" hidden="false" customHeight="false" outlineLevel="0" collapsed="false">
      <c r="A33" s="0" t="s">
        <v>133</v>
      </c>
      <c r="B33" s="0" t="n">
        <f aca="false">B31*B29</f>
        <v>8904.96848685365</v>
      </c>
    </row>
    <row r="34" customFormat="false" ht="15" hidden="false" customHeight="false" outlineLevel="0" collapsed="false">
      <c r="A34" s="0" t="s">
        <v>134</v>
      </c>
      <c r="B34" s="0" t="n">
        <f aca="false">MAX(0,MIN(B32,B33))</f>
        <v>8904.96848685365</v>
      </c>
    </row>
    <row r="35" customFormat="false" ht="15" hidden="false" customHeight="false" outlineLevel="0" collapsed="false">
      <c r="A35" s="0" t="s">
        <v>135</v>
      </c>
      <c r="B35" s="0" t="n">
        <f aca="false">B34/(1+B27/100)^L4</f>
        <v>3938.53768309854</v>
      </c>
    </row>
    <row r="36" customFormat="false" ht="15" hidden="false" customHeight="false" outlineLevel="0" collapsed="false">
      <c r="A36" s="0" t="s">
        <v>136</v>
      </c>
      <c r="B36" s="0" t="n">
        <f aca="false">B30+B35</f>
        <v>5769.65672214444</v>
      </c>
    </row>
    <row r="37" customFormat="false" ht="15" hidden="false" customHeight="false" outlineLevel="0" collapsed="false">
      <c r="A37" s="0" t="s">
        <v>137</v>
      </c>
      <c r="B37" s="0" t="n">
        <f aca="false">B36+Assumptions!$B$5-Assumptions!$B$4</f>
        <v>4151.50572214444</v>
      </c>
    </row>
    <row r="38" customFormat="false" ht="15" hidden="false" customHeight="false" outlineLevel="0" collapsed="false">
      <c r="A38" s="0" t="s">
        <v>138</v>
      </c>
      <c r="B38" s="0" t="n">
        <f aca="false">B37/Assumptions!$B$3*Assumptions!$B$10</f>
        <v>133.993231561877</v>
      </c>
    </row>
    <row r="39" customFormat="false" ht="15" hidden="false" customHeight="false" outlineLevel="0" collapsed="false">
      <c r="A39" s="0" t="s">
        <v>139</v>
      </c>
      <c r="B39" s="4" t="n">
        <f aca="false">B38/Assumptions!$B$2-1</f>
        <v>-0.276064446691466</v>
      </c>
    </row>
    <row r="41" customFormat="false" ht="15" hidden="false" customHeight="false" outlineLevel="0" collapsed="false">
      <c r="A41" s="0" t="s">
        <v>140</v>
      </c>
      <c r="B41" s="0" t="n">
        <f aca="false">SUMPRODUCT(-C10:L10/(1+$B$27/100)^C4:L4)</f>
        <v>239.626017117367</v>
      </c>
    </row>
    <row r="42" customFormat="false" ht="15" hidden="false" customHeight="false" outlineLevel="0" collapsed="false">
      <c r="A42" s="0" t="s">
        <v>141</v>
      </c>
      <c r="B42" s="0" t="n">
        <f aca="false">IF(B27&gt;B28,-L10*(1+B28/100)/((B27-B28)/100),-L10*20)/(1+B27/100)^L4</f>
        <v>390.540445338202</v>
      </c>
    </row>
    <row r="43" customFormat="false" ht="15" hidden="false" customHeight="false" outlineLevel="0" collapsed="false">
      <c r="A43" s="0" t="s">
        <v>142</v>
      </c>
      <c r="B43" s="0" t="n">
        <f aca="false">(B37+B41+B42)/Assumptions!$B$3*Assumptions!$B$10</f>
        <v>154.33236786029</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4246.35071363855</v>
      </c>
    </row>
    <row r="47" customFormat="false" ht="15" hidden="false" customHeight="false" outlineLevel="0" collapsed="false">
      <c r="A47" s="0" t="s">
        <v>144</v>
      </c>
      <c r="B47" s="0" t="n">
        <f aca="false">(SUMPRODUCT(C19:L19/(1+B45/100)^C4:L4)+B46/(1+B45/100)^L4+Assumptions!$B$5-Assumptions!$B$4)/Assumptions!$B$3*Assumptions!$B$10</f>
        <v>24.2037775430056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Assumptions!C41</f>
        <v>5</v>
      </c>
      <c r="D5" s="4" t="n">
        <f aca="false">Assumptions!D41</f>
        <v>8</v>
      </c>
      <c r="E5" s="4" t="n">
        <f aca="false">Assumptions!E41</f>
        <v>9.5</v>
      </c>
      <c r="F5" s="4" t="n">
        <f aca="false">Assumptions!F41</f>
        <v>9.5</v>
      </c>
      <c r="G5" s="4" t="n">
        <f aca="false">Assumptions!G41</f>
        <v>9</v>
      </c>
      <c r="H5" s="4" t="n">
        <f aca="false">Assumptions!H41</f>
        <v>8.5</v>
      </c>
      <c r="I5" s="4" t="n">
        <f aca="false">Assumptions!I41</f>
        <v>8</v>
      </c>
      <c r="J5" s="4" t="n">
        <f aca="false">Assumptions!J41</f>
        <v>7</v>
      </c>
      <c r="K5" s="4" t="n">
        <f aca="false">Assumptions!K41</f>
        <v>6</v>
      </c>
      <c r="L5" s="4" t="n">
        <f aca="false">Assumptions!L41</f>
        <v>5</v>
      </c>
    </row>
    <row r="6" customFormat="false" ht="15" hidden="false" customHeight="false" outlineLevel="0" collapsed="false">
      <c r="A6" s="0" t="s">
        <v>38</v>
      </c>
      <c r="B6" s="3" t="n">
        <v>5497.5</v>
      </c>
      <c r="C6" s="0" t="n">
        <f aca="false">B6*(1+C5/100)</f>
        <v>5772.375</v>
      </c>
      <c r="D6" s="0" t="n">
        <f aca="false">C6*(1+D5/100)</f>
        <v>6234.165</v>
      </c>
      <c r="E6" s="0" t="n">
        <f aca="false">D6*(1+E5/100)</f>
        <v>6826.410675</v>
      </c>
      <c r="F6" s="0" t="n">
        <f aca="false">E6*(1+F5/100)</f>
        <v>7474.919689125</v>
      </c>
      <c r="G6" s="0" t="n">
        <f aca="false">F6*(1+G5/100)</f>
        <v>8147.66246114625</v>
      </c>
      <c r="H6" s="0" t="n">
        <f aca="false">G6*(1+H5/100)</f>
        <v>8840.21377034368</v>
      </c>
      <c r="I6" s="0" t="n">
        <f aca="false">H6*(1+I5/100)</f>
        <v>9547.43087197118</v>
      </c>
      <c r="J6" s="0" t="n">
        <f aca="false">I6*(1+J5/100)</f>
        <v>10215.7510330092</v>
      </c>
      <c r="K6" s="0" t="n">
        <f aca="false">J6*(1+K5/100)</f>
        <v>10828.6960949897</v>
      </c>
      <c r="L6" s="0" t="n">
        <f aca="false">K6*(1+L5/100)</f>
        <v>11370.1308997392</v>
      </c>
    </row>
    <row r="7" customFormat="false" ht="15" hidden="false" customHeight="false" outlineLevel="0" collapsed="false">
      <c r="A7" s="0" t="s">
        <v>101</v>
      </c>
      <c r="C7" s="4" t="n">
        <f aca="false">Assumptions!C42</f>
        <v>10.3</v>
      </c>
      <c r="D7" s="4" t="n">
        <f aca="false">Assumptions!D42</f>
        <v>10.6</v>
      </c>
      <c r="E7" s="4" t="n">
        <f aca="false">Assumptions!E42</f>
        <v>10.9</v>
      </c>
      <c r="F7" s="4" t="n">
        <f aca="false">Assumptions!F42</f>
        <v>11.2</v>
      </c>
      <c r="G7" s="4" t="n">
        <f aca="false">Assumptions!G42</f>
        <v>11.5</v>
      </c>
      <c r="H7" s="4" t="n">
        <f aca="false">Assumptions!H42</f>
        <v>11.7</v>
      </c>
      <c r="I7" s="4" t="n">
        <f aca="false">Assumptions!I42</f>
        <v>11.9</v>
      </c>
      <c r="J7" s="4" t="n">
        <f aca="false">Assumptions!J42</f>
        <v>12</v>
      </c>
      <c r="K7" s="4" t="n">
        <f aca="false">Assumptions!K42</f>
        <v>12</v>
      </c>
      <c r="L7" s="4" t="n">
        <f aca="false">Assumptions!L42</f>
        <v>12</v>
      </c>
    </row>
    <row r="8" customFormat="false" ht="15" hidden="false" customHeight="false" outlineLevel="0" collapsed="false">
      <c r="A8" s="0" t="s">
        <v>44</v>
      </c>
      <c r="C8" s="0" t="n">
        <f aca="false">C6*C7/100</f>
        <v>594.554625</v>
      </c>
      <c r="D8" s="0" t="n">
        <f aca="false">D6*D7/100</f>
        <v>660.82149</v>
      </c>
      <c r="E8" s="0" t="n">
        <f aca="false">E6*E7/100</f>
        <v>744.078763575</v>
      </c>
      <c r="F8" s="0" t="n">
        <f aca="false">F6*F7/100</f>
        <v>837.191005182</v>
      </c>
      <c r="G8" s="0" t="n">
        <f aca="false">G6*G7/100</f>
        <v>936.981183031819</v>
      </c>
      <c r="H8" s="0" t="n">
        <f aca="false">H6*H7/100</f>
        <v>1034.30501113021</v>
      </c>
      <c r="I8" s="0" t="n">
        <f aca="false">I6*I7/100</f>
        <v>1136.14427376457</v>
      </c>
      <c r="J8" s="0" t="n">
        <f aca="false">J6*J7/100</f>
        <v>1225.8901239611</v>
      </c>
      <c r="K8" s="0" t="n">
        <f aca="false">K6*K7/100</f>
        <v>1299.44353139877</v>
      </c>
      <c r="L8" s="0" t="n">
        <f aca="false">L6*L7/100</f>
        <v>1364.4157079687</v>
      </c>
    </row>
    <row r="9" customFormat="false" ht="15" hidden="false" customHeight="false" outlineLevel="0" collapsed="false">
      <c r="A9" s="0" t="s">
        <v>102</v>
      </c>
      <c r="C9" s="4" t="n">
        <f aca="false">Assumptions!C43</f>
        <v>0.5</v>
      </c>
      <c r="D9" s="4" t="n">
        <f aca="false">Assumptions!D43</f>
        <v>0.5</v>
      </c>
      <c r="E9" s="4" t="n">
        <f aca="false">Assumptions!E43</f>
        <v>0.5</v>
      </c>
      <c r="F9" s="4" t="n">
        <f aca="false">Assumptions!F43</f>
        <v>0.5</v>
      </c>
      <c r="G9" s="4" t="n">
        <f aca="false">Assumptions!G43</f>
        <v>0.5</v>
      </c>
      <c r="H9" s="4" t="n">
        <f aca="false">Assumptions!H43</f>
        <v>0.5</v>
      </c>
      <c r="I9" s="4" t="n">
        <f aca="false">Assumptions!I43</f>
        <v>0.5</v>
      </c>
      <c r="J9" s="4" t="n">
        <f aca="false">Assumptions!J43</f>
        <v>0.5</v>
      </c>
      <c r="K9" s="4" t="n">
        <f aca="false">Assumptions!K43</f>
        <v>0.5</v>
      </c>
      <c r="L9" s="4" t="n">
        <f aca="false">Assumptions!L43</f>
        <v>0.5</v>
      </c>
    </row>
    <row r="10" customFormat="false" ht="15" hidden="false" customHeight="false" outlineLevel="0" collapsed="false">
      <c r="A10" s="0" t="s">
        <v>117</v>
      </c>
      <c r="C10" s="0" t="n">
        <f aca="false">-C6*C9/100</f>
        <v>-28.861875</v>
      </c>
      <c r="D10" s="0" t="n">
        <f aca="false">-D6*D9/100</f>
        <v>-31.170825</v>
      </c>
      <c r="E10" s="0" t="n">
        <f aca="false">-E6*E9/100</f>
        <v>-34.132053375</v>
      </c>
      <c r="F10" s="0" t="n">
        <f aca="false">-F6*F9/100</f>
        <v>-37.374598445625</v>
      </c>
      <c r="G10" s="0" t="n">
        <f aca="false">-G6*G9/100</f>
        <v>-40.7383123057313</v>
      </c>
      <c r="H10" s="0" t="n">
        <f aca="false">-H6*H9/100</f>
        <v>-44.2010688517184</v>
      </c>
      <c r="I10" s="0" t="n">
        <f aca="false">-I6*I9/100</f>
        <v>-47.7371543598559</v>
      </c>
      <c r="J10" s="0" t="n">
        <f aca="false">-J6*J9/100</f>
        <v>-51.0787551650458</v>
      </c>
      <c r="K10" s="0" t="n">
        <f aca="false">-K6*K9/100</f>
        <v>-54.1434804749486</v>
      </c>
      <c r="L10" s="0" t="n">
        <f aca="false">-L6*L9/100</f>
        <v>-56.850654498696</v>
      </c>
    </row>
    <row r="11" customFormat="false" ht="15" hidden="false" customHeight="false" outlineLevel="0" collapsed="false">
      <c r="A11" s="0" t="s">
        <v>118</v>
      </c>
      <c r="C11" s="0" t="n">
        <f aca="false">C8+C10+C24</f>
        <v>565.69275</v>
      </c>
      <c r="D11" s="0" t="n">
        <f aca="false">D8+D10+D24</f>
        <v>629.650665</v>
      </c>
      <c r="E11" s="0" t="n">
        <f aca="false">E8+E10+E24</f>
        <v>709.9467102</v>
      </c>
      <c r="F11" s="0" t="n">
        <f aca="false">F8+F10+F24</f>
        <v>799.816406736375</v>
      </c>
      <c r="G11" s="0" t="n">
        <f aca="false">G8+G10+G24</f>
        <v>896.242870726088</v>
      </c>
      <c r="H11" s="0" t="n">
        <f aca="false">H8+H10+H24</f>
        <v>990.103942278492</v>
      </c>
      <c r="I11" s="0" t="n">
        <f aca="false">I8+I10+I24</f>
        <v>1088.40711940471</v>
      </c>
      <c r="J11" s="0" t="n">
        <f aca="false">J8+J10+J24</f>
        <v>1174.81136879605</v>
      </c>
      <c r="K11" s="0" t="n">
        <f aca="false">K8+K10+K24</f>
        <v>1245.30005092382</v>
      </c>
      <c r="L11" s="0" t="n">
        <f aca="false">L8+L10+L24</f>
        <v>1307.56505347001</v>
      </c>
    </row>
    <row r="12" customFormat="false" ht="15" hidden="false" customHeight="false" outlineLevel="0" collapsed="false">
      <c r="A12" s="0" t="s">
        <v>119</v>
      </c>
      <c r="C12" s="4" t="n">
        <f aca="false">-C6*Assumptions!C45/100</f>
        <v>-193.3745625</v>
      </c>
      <c r="D12" s="4" t="n">
        <f aca="false">-D6*Assumptions!D45/100</f>
        <v>-208.8445275</v>
      </c>
      <c r="E12" s="4" t="n">
        <f aca="false">-E6*Assumptions!E45/100</f>
        <v>-225.271552275</v>
      </c>
      <c r="F12" s="4" t="n">
        <f aca="false">-F6*Assumptions!F45/100</f>
        <v>-246.672349741125</v>
      </c>
      <c r="G12" s="4" t="n">
        <f aca="false">-G6*Assumptions!G45/100</f>
        <v>-268.872861217826</v>
      </c>
      <c r="H12" s="4" t="n">
        <f aca="false">-H6*Assumptions!H45/100</f>
        <v>-291.727054421342</v>
      </c>
      <c r="I12" s="4" t="n">
        <f aca="false">-I6*Assumptions!I45/100</f>
        <v>-315.065218775049</v>
      </c>
      <c r="J12" s="4" t="n">
        <f aca="false">-J6*Assumptions!J45/100</f>
        <v>-337.119784089302</v>
      </c>
      <c r="K12" s="4" t="n">
        <f aca="false">-K6*Assumptions!K45/100</f>
        <v>-357.34697113466</v>
      </c>
      <c r="L12" s="4" t="n">
        <f aca="false">-L6*Assumptions!L45/100</f>
        <v>-375.214319691394</v>
      </c>
    </row>
    <row r="13" customFormat="false" ht="15" hidden="false" customHeight="false" outlineLevel="0" collapsed="false">
      <c r="A13" s="0" t="s">
        <v>120</v>
      </c>
      <c r="C13" s="0" t="n">
        <f aca="false">C11+C12</f>
        <v>372.3181875</v>
      </c>
      <c r="D13" s="0" t="n">
        <f aca="false">D11+D12</f>
        <v>420.8061375</v>
      </c>
      <c r="E13" s="0" t="n">
        <f aca="false">E11+E12</f>
        <v>484.675157925</v>
      </c>
      <c r="F13" s="0" t="n">
        <f aca="false">F11+F12</f>
        <v>553.14405699525</v>
      </c>
      <c r="G13" s="0" t="n">
        <f aca="false">G11+G12</f>
        <v>627.370009508261</v>
      </c>
      <c r="H13" s="0" t="n">
        <f aca="false">H11+H12</f>
        <v>698.376887857151</v>
      </c>
      <c r="I13" s="0" t="n">
        <f aca="false">I11+I12</f>
        <v>773.341900629665</v>
      </c>
      <c r="J13" s="0" t="n">
        <f aca="false">J11+J12</f>
        <v>837.691584706751</v>
      </c>
      <c r="K13" s="0" t="n">
        <f aca="false">K11+K12</f>
        <v>887.953079789156</v>
      </c>
      <c r="L13" s="0" t="n">
        <f aca="false">L11+L12</f>
        <v>932.350733778614</v>
      </c>
    </row>
    <row r="14" customFormat="false" ht="15" hidden="false" customHeight="false" outlineLevel="0" collapsed="false">
      <c r="A14" s="0" t="s">
        <v>106</v>
      </c>
      <c r="C14" s="4" t="n">
        <f aca="false">Assumptions!C47</f>
        <v>28</v>
      </c>
      <c r="D14" s="4" t="n">
        <f aca="false">Assumptions!D47</f>
        <v>28</v>
      </c>
      <c r="E14" s="4" t="n">
        <f aca="false">Assumptions!E47</f>
        <v>28</v>
      </c>
      <c r="F14" s="4" t="n">
        <f aca="false">Assumptions!F47</f>
        <v>28</v>
      </c>
      <c r="G14" s="4" t="n">
        <f aca="false">Assumptions!G47</f>
        <v>28</v>
      </c>
      <c r="H14" s="4" t="n">
        <f aca="false">Assumptions!H47</f>
        <v>28</v>
      </c>
      <c r="I14" s="4" t="n">
        <f aca="false">Assumptions!I47</f>
        <v>28</v>
      </c>
      <c r="J14" s="4" t="n">
        <f aca="false">Assumptions!J47</f>
        <v>28</v>
      </c>
      <c r="K14" s="4" t="n">
        <f aca="false">Assumptions!K47</f>
        <v>28</v>
      </c>
      <c r="L14" s="4" t="n">
        <f aca="false">Assumptions!L47</f>
        <v>28</v>
      </c>
    </row>
    <row r="15" customFormat="false" ht="15" hidden="false" customHeight="false" outlineLevel="0" collapsed="false">
      <c r="A15" s="0" t="s">
        <v>121</v>
      </c>
      <c r="C15" s="0" t="n">
        <f aca="false">C13-MAX(0,C13)*C14/100</f>
        <v>268.069095</v>
      </c>
      <c r="D15" s="0" t="n">
        <f aca="false">D13-MAX(0,D13)*D14/100</f>
        <v>302.980419</v>
      </c>
      <c r="E15" s="0" t="n">
        <f aca="false">E13-MAX(0,E13)*E14/100</f>
        <v>348.966113706</v>
      </c>
      <c r="F15" s="0" t="n">
        <f aca="false">F13-MAX(0,F13)*F14/100</f>
        <v>398.26372103658</v>
      </c>
      <c r="G15" s="0" t="n">
        <f aca="false">G13-MAX(0,G13)*G14/100</f>
        <v>451.706406845948</v>
      </c>
      <c r="H15" s="0" t="n">
        <f aca="false">H13-MAX(0,H13)*H14/100</f>
        <v>502.831359257149</v>
      </c>
      <c r="I15" s="0" t="n">
        <f aca="false">I13-MAX(0,I13)*I14/100</f>
        <v>556.806168453359</v>
      </c>
      <c r="J15" s="0" t="n">
        <f aca="false">J13-MAX(0,J13)*J14/100</f>
        <v>603.137940988861</v>
      </c>
      <c r="K15" s="0" t="n">
        <f aca="false">K13-MAX(0,K13)*K14/100</f>
        <v>639.326217448193</v>
      </c>
      <c r="L15" s="0" t="n">
        <f aca="false">L13-MAX(0,L13)*L14/100</f>
        <v>671.292528320602</v>
      </c>
    </row>
    <row r="16" customFormat="false" ht="15" hidden="false" customHeight="false" outlineLevel="0" collapsed="false">
      <c r="A16" s="0" t="s">
        <v>122</v>
      </c>
      <c r="C16" s="0" t="n">
        <f aca="false">-C12</f>
        <v>193.3745625</v>
      </c>
      <c r="D16" s="0" t="n">
        <f aca="false">-D12</f>
        <v>208.8445275</v>
      </c>
      <c r="E16" s="0" t="n">
        <f aca="false">-E12</f>
        <v>225.271552275</v>
      </c>
      <c r="F16" s="0" t="n">
        <f aca="false">-F12</f>
        <v>246.672349741125</v>
      </c>
      <c r="G16" s="0" t="n">
        <f aca="false">-G12</f>
        <v>268.872861217826</v>
      </c>
      <c r="H16" s="0" t="n">
        <f aca="false">-H12</f>
        <v>291.727054421342</v>
      </c>
      <c r="I16" s="0" t="n">
        <f aca="false">-I12</f>
        <v>315.065218775049</v>
      </c>
      <c r="J16" s="0" t="n">
        <f aca="false">-J12</f>
        <v>337.119784089302</v>
      </c>
      <c r="K16" s="0" t="n">
        <f aca="false">-K12</f>
        <v>357.34697113466</v>
      </c>
      <c r="L16" s="0" t="n">
        <f aca="false">-L12</f>
        <v>375.214319691394</v>
      </c>
    </row>
    <row r="17" customFormat="false" ht="15" hidden="false" customHeight="false" outlineLevel="0" collapsed="false">
      <c r="A17" s="0" t="s">
        <v>123</v>
      </c>
      <c r="C17" s="4" t="n">
        <f aca="false">-C6*Assumptions!C46/100</f>
        <v>-305.935875</v>
      </c>
      <c r="D17" s="4" t="n">
        <f aca="false">-D6*Assumptions!D46/100</f>
        <v>-330.410745</v>
      </c>
      <c r="E17" s="4" t="n">
        <f aca="false">-E6*Assumptions!E46/100</f>
        <v>-361.799765775</v>
      </c>
      <c r="F17" s="4" t="n">
        <f aca="false">-F6*Assumptions!F46/100</f>
        <v>-396.170743523625</v>
      </c>
      <c r="G17" s="4" t="n">
        <f aca="false">-G6*Assumptions!G46/100</f>
        <v>-415.530785518459</v>
      </c>
      <c r="H17" s="4" t="n">
        <f aca="false">-H6*Assumptions!H46/100</f>
        <v>-433.17047474684</v>
      </c>
      <c r="I17" s="4" t="n">
        <f aca="false">-I6*Assumptions!I46/100</f>
        <v>-439.181820110674</v>
      </c>
      <c r="J17" s="4" t="n">
        <f aca="false">-J6*Assumptions!J46/100</f>
        <v>-439.277294419394</v>
      </c>
      <c r="K17" s="4" t="n">
        <f aca="false">-K6*Assumptions!K46/100</f>
        <v>-433.147843799588</v>
      </c>
      <c r="L17" s="4" t="n">
        <f aca="false">-L6*Assumptions!L46/100</f>
        <v>-432.06497419009</v>
      </c>
    </row>
    <row r="18" customFormat="false" ht="15" hidden="false" customHeight="false" outlineLevel="0" collapsed="false">
      <c r="A18" s="0" t="s">
        <v>124</v>
      </c>
      <c r="C18" s="4" t="n">
        <f aca="false">(C6-B6)*Assumptions!$B$51/100</f>
        <v>-10.995</v>
      </c>
      <c r="D18" s="4" t="n">
        <f aca="false">(D6-C6)*Assumptions!$B$51/100</f>
        <v>-18.4716</v>
      </c>
      <c r="E18" s="4" t="n">
        <f aca="false">(E6-D6)*Assumptions!$B$51/100</f>
        <v>-23.689827</v>
      </c>
      <c r="F18" s="4" t="n">
        <f aca="false">(F6-E6)*Assumptions!$B$51/100</f>
        <v>-25.940360565</v>
      </c>
      <c r="G18" s="4" t="n">
        <f aca="false">(G6-F6)*Assumptions!$B$51/100</f>
        <v>-26.90971088085</v>
      </c>
      <c r="H18" s="4" t="n">
        <f aca="false">(H6-G6)*Assumptions!$B$51/100</f>
        <v>-27.7020523678972</v>
      </c>
      <c r="I18" s="4" t="n">
        <f aca="false">(I6-H6)*Assumptions!$B$51/100</f>
        <v>-28.2886840650998</v>
      </c>
      <c r="J18" s="4" t="n">
        <f aca="false">(J6-I6)*Assumptions!$B$51/100</f>
        <v>-26.7328064415194</v>
      </c>
      <c r="K18" s="4" t="n">
        <f aca="false">(K6-J6)*Assumptions!$B$51/100</f>
        <v>-24.517802479222</v>
      </c>
      <c r="L18" s="4" t="n">
        <f aca="false">(L6-K6)*Assumptions!$B$51/100</f>
        <v>-21.6573921899794</v>
      </c>
    </row>
    <row r="19" customFormat="false" ht="15" hidden="false" customHeight="false" outlineLevel="0" collapsed="false">
      <c r="A19" s="0" t="s">
        <v>125</v>
      </c>
      <c r="C19" s="0" t="n">
        <f aca="false">C15+C16+C17+C18</f>
        <v>144.5127825</v>
      </c>
      <c r="D19" s="0" t="n">
        <f aca="false">D15+D16+D17+D18</f>
        <v>162.9426015</v>
      </c>
      <c r="E19" s="0" t="n">
        <f aca="false">E15+E16+E17+E18</f>
        <v>188.748073206</v>
      </c>
      <c r="F19" s="0" t="n">
        <f aca="false">F15+F16+F17+F18</f>
        <v>222.82496668908</v>
      </c>
      <c r="G19" s="0" t="n">
        <f aca="false">G15+G16+G17+G18</f>
        <v>278.138771664466</v>
      </c>
      <c r="H19" s="0" t="n">
        <f aca="false">H15+H16+H17+H18</f>
        <v>333.685886563752</v>
      </c>
      <c r="I19" s="0" t="n">
        <f aca="false">I15+I16+I17+I18</f>
        <v>404.400883052634</v>
      </c>
      <c r="J19" s="0" t="n">
        <f aca="false">J15+J16+J17+J18</f>
        <v>474.24762421725</v>
      </c>
      <c r="K19" s="0" t="n">
        <f aca="false">K15+K16+K17+K18</f>
        <v>539.007542304043</v>
      </c>
      <c r="L19" s="0" t="n">
        <f aca="false">L15+L16+L17+L18</f>
        <v>592.784481631927</v>
      </c>
    </row>
    <row r="20" customFormat="false" ht="15" hidden="false" customHeight="false" outlineLevel="0" collapsed="false">
      <c r="A20" s="0" t="s">
        <v>126</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127</v>
      </c>
      <c r="C21" s="0" t="n">
        <f aca="false">C19*C20</f>
        <v>133.191504608295</v>
      </c>
      <c r="D21" s="0" t="n">
        <f aca="false">D19*D20</f>
        <v>138.412454288687</v>
      </c>
      <c r="E21" s="0" t="n">
        <f aca="false">E19*E20</f>
        <v>147.772395076174</v>
      </c>
      <c r="F21" s="0" t="n">
        <f aca="false">F19*F20</f>
        <v>160.784765855703</v>
      </c>
      <c r="G21" s="0" t="n">
        <f aca="false">G19*G20</f>
        <v>184.97491713452</v>
      </c>
      <c r="H21" s="0" t="n">
        <f aca="false">H19*H20</f>
        <v>204.531125967897</v>
      </c>
      <c r="I21" s="0" t="n">
        <f aca="false">I19*I20</f>
        <v>228.456715112197</v>
      </c>
      <c r="J21" s="0" t="n">
        <f aca="false">J19*J20</f>
        <v>246.926248582204</v>
      </c>
      <c r="K21" s="0" t="n">
        <f aca="false">K19*K20</f>
        <v>258.658764393217</v>
      </c>
      <c r="L21" s="0" t="n">
        <f aca="false">L19*L20</f>
        <v>262.179930486008</v>
      </c>
    </row>
    <row r="23" customFormat="false" ht="15" hidden="false" customHeight="false" outlineLevel="0" collapsed="false">
      <c r="A23" s="0" t="s">
        <v>103</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Assumptions!$B$48</f>
        <v>8.5</v>
      </c>
    </row>
    <row r="28" customFormat="false" ht="15" hidden="false" customHeight="false" outlineLevel="0" collapsed="false">
      <c r="A28" s="0" t="s">
        <v>108</v>
      </c>
      <c r="B28" s="4" t="n">
        <f aca="false">Assumptions!$B$49</f>
        <v>3</v>
      </c>
    </row>
    <row r="29" customFormat="false" ht="15" hidden="false" customHeight="false" outlineLevel="0" collapsed="false">
      <c r="A29" s="0" t="s">
        <v>109</v>
      </c>
      <c r="B29" s="4" t="n">
        <f aca="false">Assumptions!$B$50</f>
        <v>18</v>
      </c>
    </row>
    <row r="30" customFormat="false" ht="15" hidden="false" customHeight="false" outlineLevel="0" collapsed="false">
      <c r="A30" s="0" t="s">
        <v>130</v>
      </c>
      <c r="B30" s="0" t="n">
        <f aca="false">SUM(C21:L21)</f>
        <v>1965.8888215049</v>
      </c>
    </row>
    <row r="31" customFormat="false" ht="15" hidden="false" customHeight="false" outlineLevel="0" collapsed="false">
      <c r="A31" s="0" t="s">
        <v>131</v>
      </c>
      <c r="B31" s="0" t="n">
        <f aca="false">L19</f>
        <v>592.784481631927</v>
      </c>
    </row>
    <row r="32" customFormat="false" ht="15" hidden="false" customHeight="false" outlineLevel="0" collapsed="false">
      <c r="A32" s="0" t="s">
        <v>132</v>
      </c>
      <c r="B32" s="0" t="n">
        <f aca="false">IF(B27&gt;B28,B31*(1+B28/100)/((B27-B28)/100),B31*B29)</f>
        <v>11101.2366560161</v>
      </c>
    </row>
    <row r="33" customFormat="false" ht="15" hidden="false" customHeight="false" outlineLevel="0" collapsed="false">
      <c r="A33" s="0" t="s">
        <v>133</v>
      </c>
      <c r="B33" s="0" t="n">
        <f aca="false">B31*B29</f>
        <v>10670.1206693747</v>
      </c>
    </row>
    <row r="34" customFormat="false" ht="15" hidden="false" customHeight="false" outlineLevel="0" collapsed="false">
      <c r="A34" s="0" t="s">
        <v>134</v>
      </c>
      <c r="B34" s="0" t="n">
        <f aca="false">MAX(0,MIN(B32,B33))</f>
        <v>10670.1206693747</v>
      </c>
    </row>
    <row r="35" customFormat="false" ht="15" hidden="false" customHeight="false" outlineLevel="0" collapsed="false">
      <c r="A35" s="0" t="s">
        <v>135</v>
      </c>
      <c r="B35" s="0" t="n">
        <f aca="false">B34/(1+B27/100)^L4</f>
        <v>4719.23874874814</v>
      </c>
    </row>
    <row r="36" customFormat="false" ht="15" hidden="false" customHeight="false" outlineLevel="0" collapsed="false">
      <c r="A36" s="0" t="s">
        <v>136</v>
      </c>
      <c r="B36" s="0" t="n">
        <f aca="false">B30+B35</f>
        <v>6685.12757025304</v>
      </c>
    </row>
    <row r="37" customFormat="false" ht="15" hidden="false" customHeight="false" outlineLevel="0" collapsed="false">
      <c r="A37" s="0" t="s">
        <v>137</v>
      </c>
      <c r="B37" s="0" t="n">
        <f aca="false">B36+Assumptions!$B$5-Assumptions!$B$4</f>
        <v>5066.97657025304</v>
      </c>
    </row>
    <row r="38" customFormat="false" ht="15" hidden="false" customHeight="false" outlineLevel="0" collapsed="false">
      <c r="A38" s="0" t="s">
        <v>138</v>
      </c>
      <c r="B38" s="0" t="n">
        <f aca="false">B37/Assumptions!$B$3*Assumptions!$B$10</f>
        <v>163.540799492338</v>
      </c>
    </row>
    <row r="39" customFormat="false" ht="15" hidden="false" customHeight="false" outlineLevel="0" collapsed="false">
      <c r="A39" s="0" t="s">
        <v>139</v>
      </c>
      <c r="B39" s="4" t="n">
        <f aca="false">B38/Assumptions!$B$2-1</f>
        <v>-0.116425525461461</v>
      </c>
    </row>
    <row r="41" customFormat="false" ht="15" hidden="false" customHeight="false" outlineLevel="0" collapsed="false">
      <c r="A41" s="0" t="s">
        <v>140</v>
      </c>
      <c r="B41" s="0" t="n">
        <f aca="false">SUMPRODUCT(-C10:L10/(1+$B$27/100)^C4:L4)</f>
        <v>265.645189772556</v>
      </c>
    </row>
    <row r="42" customFormat="false" ht="15" hidden="false" customHeight="false" outlineLevel="0" collapsed="false">
      <c r="A42" s="0" t="s">
        <v>141</v>
      </c>
      <c r="B42" s="0" t="n">
        <f aca="false">IF(B27&gt;B28,-L10*(1+B28/100)/((B27-B28)/100),-L10*20)/(1+B27/100)^L4</f>
        <v>470.882577812312</v>
      </c>
    </row>
    <row r="43" customFormat="false" ht="15" hidden="false" customHeight="false" outlineLevel="0" collapsed="false">
      <c r="A43" s="0" t="s">
        <v>142</v>
      </c>
      <c r="B43" s="0" t="n">
        <f aca="false">(B37+B41+B42)/Assumptions!$B$3*Assumptions!$B$10</f>
        <v>187.312833621385</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5088.06680067404</v>
      </c>
    </row>
    <row r="47" customFormat="false" ht="15" hidden="false" customHeight="false" outlineLevel="0" collapsed="false">
      <c r="A47" s="0" t="s">
        <v>144</v>
      </c>
      <c r="B47" s="0" t="n">
        <f aca="false">(SUMPRODUCT(C19:L19/(1+B45/100)^C4:L4)+B46/(1+B45/100)^L4+Assumptions!$B$5-Assumptions!$B$4)/Assumptions!$B$3*Assumptions!$B$10</f>
        <v>33.2206144466876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147</v>
      </c>
    </row>
    <row r="3" customFormat="false" ht="15" hidden="false" customHeight="false" outlineLevel="0" collapsed="false">
      <c r="A3" s="2" t="s">
        <v>148</v>
      </c>
      <c r="B3" s="2" t="s">
        <v>149</v>
      </c>
      <c r="C3" s="2" t="s">
        <v>139</v>
      </c>
      <c r="D3" s="2" t="s">
        <v>150</v>
      </c>
      <c r="E3" s="2" t="s">
        <v>142</v>
      </c>
      <c r="F3" s="2" t="s">
        <v>151</v>
      </c>
    </row>
    <row r="4" customFormat="false" ht="15" hidden="false" customHeight="false" outlineLevel="0" collapsed="false">
      <c r="A4" s="0" t="s">
        <v>152</v>
      </c>
      <c r="B4" s="4" t="n">
        <f aca="false">DCF_Bear!$B$38</f>
        <v>82.8374556700498</v>
      </c>
      <c r="C4" s="0" t="n">
        <f aca="false">B4/Assumptions!$B$2-1</f>
        <v>-0.552447697498246</v>
      </c>
      <c r="D4" s="4" t="n">
        <f aca="false">Assumptions!$B$24</f>
        <v>0.25</v>
      </c>
      <c r="E4" s="4" t="n">
        <f aca="false">DCF_Bear!$B$43</f>
        <v>98.8669164670389</v>
      </c>
      <c r="F4" s="4" t="n">
        <f aca="false">DCF_Bear!$B$47</f>
        <v>13.3740479458991</v>
      </c>
    </row>
    <row r="5" customFormat="false" ht="15" hidden="false" customHeight="false" outlineLevel="0" collapsed="false">
      <c r="A5" s="0" t="s">
        <v>153</v>
      </c>
      <c r="B5" s="4" t="n">
        <f aca="false">DCF_Base!$B$38</f>
        <v>133.993231561877</v>
      </c>
      <c r="C5" s="0" t="n">
        <f aca="false">B5/Assumptions!$B$2-1</f>
        <v>-0.276064446691466</v>
      </c>
      <c r="D5" s="4" t="n">
        <f aca="false">Assumptions!$B$38</f>
        <v>0.5</v>
      </c>
      <c r="E5" s="4" t="n">
        <f aca="false">DCF_Base!$B$43</f>
        <v>154.33236786029</v>
      </c>
      <c r="F5" s="4" t="n">
        <f aca="false">DCF_Base!$B$47</f>
        <v>24.2037775430056</v>
      </c>
    </row>
    <row r="6" customFormat="false" ht="15" hidden="false" customHeight="false" outlineLevel="0" collapsed="false">
      <c r="A6" s="0" t="s">
        <v>154</v>
      </c>
      <c r="B6" s="4" t="n">
        <f aca="false">DCF_Bull!$B$38</f>
        <v>163.540799492338</v>
      </c>
      <c r="C6" s="0" t="n">
        <f aca="false">B6/Assumptions!$B$2-1</f>
        <v>-0.116425525461461</v>
      </c>
      <c r="D6" s="4" t="n">
        <f aca="false">Assumptions!$B$52</f>
        <v>0.25</v>
      </c>
      <c r="E6" s="4" t="n">
        <f aca="false">DCF_Bull!$B$43</f>
        <v>187.312833621385</v>
      </c>
      <c r="F6" s="4" t="n">
        <f aca="false">DCF_Bull!$B$47</f>
        <v>33.2206144466876</v>
      </c>
    </row>
    <row r="8" customFormat="false" ht="15" hidden="false" customHeight="false" outlineLevel="0" collapsed="false">
      <c r="A8" s="0" t="s">
        <v>155</v>
      </c>
      <c r="B8" s="0" t="n">
        <f aca="false">SUMPRODUCT(B4:B6,D4:D6)</f>
        <v>128.591179571535</v>
      </c>
    </row>
    <row r="9" customFormat="false" ht="15" hidden="false" customHeight="false" outlineLevel="0" collapsed="false">
      <c r="A9" s="0" t="s">
        <v>156</v>
      </c>
      <c r="B9" s="0" t="n">
        <f aca="false">SUMPRODUCT(E4:E6,D4:D6)</f>
        <v>148.711121452251</v>
      </c>
    </row>
    <row r="10" customFormat="false" ht="15" hidden="false" customHeight="false" outlineLevel="0" collapsed="false">
      <c r="A10" s="0" t="s">
        <v>157</v>
      </c>
      <c r="B10" s="0" t="n">
        <f aca="false">1-Assumptions!$B$2/B8</f>
        <v>-0.439367774809426</v>
      </c>
    </row>
    <row r="11" customFormat="false" ht="15" hidden="false" customHeight="false" outlineLevel="0" collapsed="false">
      <c r="A11" s="0" t="s">
        <v>158</v>
      </c>
      <c r="B11" s="0" t="n">
        <f aca="false">IF(ABS(B9-B8)&gt;0.01*ABS(B8),(Assumptions!$B$2-B8)/(B9-B8)*100,"n/a")</f>
        <v>280.810057819389</v>
      </c>
    </row>
    <row r="12" customFormat="false" ht="15" hidden="false" customHeight="false" outlineLevel="0" collapsed="false">
      <c r="A12" s="0" t="s">
        <v>159</v>
      </c>
      <c r="B12" s="0" t="n">
        <f aca="false">SUMPRODUCT(F4:F6,D4:D6)</f>
        <v>23.7505543696495</v>
      </c>
    </row>
    <row r="14" customFormat="false" ht="15" hidden="false" customHeight="false" outlineLevel="0" collapsed="false">
      <c r="A14" s="2" t="s">
        <v>160</v>
      </c>
      <c r="C14" s="0" t="s">
        <v>161</v>
      </c>
    </row>
    <row r="15" customFormat="false" ht="15" hidden="false" customHeight="false" outlineLevel="0" collapsed="false">
      <c r="A15" s="0" t="s">
        <v>162</v>
      </c>
      <c r="B15" s="0" t="n">
        <f aca="false">(SUMPRODUCT(DCF_Base!$C$19:$L$19/(1+$C$15/100)^DCF_Base!$C$4:$L$4)+MAX(0,MIN(IF($C$15&gt;DCF_Base!$B$28,DCF_Base!$L$19*(1+DCF_Base!$B$28/100)/(($C$15-DCF_Base!$B$28)/100),DCF_Base!$L$19*DCF_Base!$B$29),DCF_Base!$L$19*DCF_Base!$B$29))/(1+$C$15/100)^DCF_Base!$L$4+Assumptions!$B$5-Assumptions!$B$4)/Assumptions!$B$3*Assumptions!$B$10</f>
        <v>133.993231561877</v>
      </c>
      <c r="C15" s="3" t="n">
        <v>8.5</v>
      </c>
    </row>
    <row r="16" customFormat="false" ht="15" hidden="false" customHeight="false" outlineLevel="0" collapsed="false">
      <c r="A16" s="0" t="s">
        <v>163</v>
      </c>
      <c r="B16" s="0" t="n">
        <f aca="false">(SUMPRODUCT(DCF_Base!$C$19:$L$19/(1+$C$16/100)^DCF_Base!$C$4:$L$4)+MAX(0,MIN(IF($C$16&gt;DCF_Base!$B$28,DCF_Base!$L$19*(1+DCF_Base!$B$28/100)/(($C$16-DCF_Base!$B$28)/100),DCF_Base!$L$19*DCF_Base!$B$29),DCF_Base!$L$19*DCF_Base!$B$29))/(1+$C$16/100)^DCF_Base!$L$4+Assumptions!$B$5-Assumptions!$B$4)/Assumptions!$B$3*Assumptions!$B$10</f>
        <v>121.087076747484</v>
      </c>
      <c r="C16" s="3" t="n">
        <v>9</v>
      </c>
    </row>
    <row r="17" customFormat="false" ht="15" hidden="false" customHeight="false" outlineLevel="0" collapsed="false">
      <c r="A17" s="0" t="s">
        <v>164</v>
      </c>
      <c r="B17" s="0" t="n">
        <f aca="false">(SUMPRODUCT(DCF_Base!$C$19:$L$19/(1+$C$17/100)^DCF_Base!$C$4:$L$4)+MAX(0,MIN(IF($C$17&gt;DCF_Base!$B$28,DCF_Base!$L$19*(1+DCF_Base!$B$28/100)/(($C$17-DCF_Base!$B$28)/100),DCF_Base!$L$19*DCF_Base!$B$29),DCF_Base!$L$19*DCF_Base!$B$29))/(1+$C$17/100)^DCF_Base!$L$4+Assumptions!$B$5-Assumptions!$B$4)/Assumptions!$B$3*Assumptions!$B$10</f>
        <v>92.9105742127154</v>
      </c>
      <c r="C17" s="3" t="n">
        <v>10</v>
      </c>
    </row>
    <row r="18" customFormat="false" ht="15" hidden="false" customHeight="false" outlineLevel="0" collapsed="false">
      <c r="A18" s="0" t="s">
        <v>165</v>
      </c>
      <c r="B18" s="0" t="n">
        <f aca="false">(SUMPRODUCT(DCF_Base!$C$19:$L$19/(1+$C$18/100)^DCF_Base!$C$4:$L$4)+MAX(0,MIN(IF($C$18&gt;DCF_Base!$B$28,DCF_Base!$L$19*(1+DCF_Base!$B$28/100)/(($C$18-DCF_Base!$B$28)/100),DCF_Base!$L$19*DCF_Base!$B$29),DCF_Base!$L$19*DCF_Base!$B$29))/(1+$C$18/100)^DCF_Base!$L$4+Assumptions!$B$5-Assumptions!$B$4)/Assumptions!$B$3*Assumptions!$B$10</f>
        <v>71.9699370950742</v>
      </c>
      <c r="C18" s="3" t="n">
        <v>11</v>
      </c>
    </row>
    <row r="19" customFormat="false" ht="15" hidden="false" customHeight="false" outlineLevel="0" collapsed="false">
      <c r="A19" s="0" t="s">
        <v>166</v>
      </c>
      <c r="B19" s="0" t="n">
        <f aca="false">(SUMPRODUCT(DCF_Base!$C$19:$L$19/(1+$C$19/100)^DCF_Base!$C$4:$L$4)+MAX(0,MIN(IF($C$19&gt;DCF_Base!$B$28,DCF_Base!$L$19*(1+DCF_Base!$B$28/100)/(($C$19-DCF_Base!$B$28)/100),DCF_Base!$L$19*DCF_Base!$B$29),DCF_Base!$L$19*DCF_Base!$B$29))/(1+$C$19/100)^DCF_Base!$L$4+Assumptions!$B$5-Assumptions!$B$4)/Assumptions!$B$3*Assumptions!$B$10</f>
        <v>55.8401974050633</v>
      </c>
      <c r="C19" s="3" t="n">
        <v>12</v>
      </c>
    </row>
    <row r="20" customFormat="false" ht="15" hidden="false" customHeight="false" outlineLevel="0" collapsed="false">
      <c r="A20" s="0" t="s">
        <v>167</v>
      </c>
      <c r="B20" s="0" t="n">
        <f aca="false">(SUMPRODUCT(DCF_Base!$C$19:$L$19/(1+$C$20/100)^DCF_Base!$C$4:$L$4)+MAX(0,MIN(IF($C$20&gt;DCF_Base!$B$28,DCF_Base!$L$19*(1+DCF_Base!$B$28/100)/(($C$20-DCF_Base!$B$28)/100),DCF_Base!$L$19*DCF_Base!$B$29),DCF_Base!$L$19*DCF_Base!$B$29))/(1+$C$20/100)^DCF_Base!$L$4+Assumptions!$B$5-Assumptions!$B$4)/Assumptions!$B$3*Assumptions!$B$10</f>
        <v>24.2037775430056</v>
      </c>
      <c r="C20" s="3" t="n">
        <v>15</v>
      </c>
    </row>
    <row r="22" customFormat="false" ht="15" hidden="false" customHeight="false" outlineLevel="0" collapsed="false">
      <c r="A22" s="2" t="s">
        <v>168</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166.921734760436</v>
      </c>
      <c r="C24" s="0" t="n">
        <f aca="false">(SUMPRODUCT(DCF_Base!$C$19:$L$19/(1+$A$24/100)^DCF_Base!$C$4:$L$4)+MAX(0,MIN(IF($A$24&gt;$C$23,DCF_Base!$L$19*(1+$C$23/100)/(($A$24-$C$23)/100),DCF_Base!$L$19*DCF_Base!$B$29),DCF_Base!$L$19*DCF_Base!$B$29))/(1+$A$24/100)^DCF_Base!$L$4+Assumptions!$B$5-Assumptions!$B$4)/Assumptions!$B$3*Assumptions!$B$10</f>
        <v>166.921734760436</v>
      </c>
      <c r="D24" s="0" t="n">
        <f aca="false">(SUMPRODUCT(DCF_Base!$C$19:$L$19/(1+$A$24/100)^DCF_Base!$C$4:$L$4)+MAX(0,MIN(IF($A$24&gt;$D$23,DCF_Base!$L$19*(1+$D$23/100)/(($A$24-$D$23)/100),DCF_Base!$L$19*DCF_Base!$B$29),DCF_Base!$L$19*DCF_Base!$B$29))/(1+$A$24/100)^DCF_Base!$L$4+Assumptions!$B$5-Assumptions!$B$4)/Assumptions!$B$3*Assumptions!$B$10</f>
        <v>166.921734760436</v>
      </c>
      <c r="E24" s="0" t="n">
        <f aca="false">(SUMPRODUCT(DCF_Base!$C$19:$L$19/(1+$A$24/100)^DCF_Base!$C$4:$L$4)+MAX(0,MIN(IF($A$24&gt;$E$23,DCF_Base!$L$19*(1+$E$23/100)/(($A$24-$E$23)/100),DCF_Base!$L$19*DCF_Base!$B$29),DCF_Base!$L$19*DCF_Base!$B$29))/(1+$A$24/100)^DCF_Base!$L$4+Assumptions!$B$5-Assumptions!$B$4)/Assumptions!$B$3*Assumptions!$B$10</f>
        <v>166.921734760436</v>
      </c>
      <c r="F24" s="0" t="n">
        <f aca="false">(SUMPRODUCT(DCF_Base!$C$19:$L$19/(1+$A$24/100)^DCF_Base!$C$4:$L$4)+MAX(0,MIN(IF($A$24&gt;$F$23,DCF_Base!$L$19*(1+$F$23/100)/(($A$24-$F$23)/100),DCF_Base!$L$19*DCF_Base!$B$29),DCF_Base!$L$19*DCF_Base!$B$29))/(1+$A$24/100)^DCF_Base!$L$4+Assumptions!$B$5-Assumptions!$B$4)/Assumptions!$B$3*Assumptions!$B$10</f>
        <v>166.921734760436</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149.658686251943</v>
      </c>
      <c r="C25" s="0" t="n">
        <f aca="false">(SUMPRODUCT(DCF_Base!$C$19:$L$19/(1+$A$25/100)^DCF_Base!$C$4:$L$4)+MAX(0,MIN(IF($A$25&gt;$C$23,DCF_Base!$L$19*(1+$C$23/100)/(($A$25-$C$23)/100),DCF_Base!$L$19*DCF_Base!$B$29),DCF_Base!$L$19*DCF_Base!$B$29))/(1+$A$25/100)^DCF_Base!$L$4+Assumptions!$B$5-Assumptions!$B$4)/Assumptions!$B$3*Assumptions!$B$10</f>
        <v>149.658686251943</v>
      </c>
      <c r="D25" s="0" t="n">
        <f aca="false">(SUMPRODUCT(DCF_Base!$C$19:$L$19/(1+$A$25/100)^DCF_Base!$C$4:$L$4)+MAX(0,MIN(IF($A$25&gt;$D$23,DCF_Base!$L$19*(1+$D$23/100)/(($A$25-$D$23)/100),DCF_Base!$L$19*DCF_Base!$B$29),DCF_Base!$L$19*DCF_Base!$B$29))/(1+$A$25/100)^DCF_Base!$L$4+Assumptions!$B$5-Assumptions!$B$4)/Assumptions!$B$3*Assumptions!$B$10</f>
        <v>149.658686251943</v>
      </c>
      <c r="E25" s="0" t="n">
        <f aca="false">(SUMPRODUCT(DCF_Base!$C$19:$L$19/(1+$A$25/100)^DCF_Base!$C$4:$L$4)+MAX(0,MIN(IF($A$25&gt;$E$23,DCF_Base!$L$19*(1+$E$23/100)/(($A$25-$E$23)/100),DCF_Base!$L$19*DCF_Base!$B$29),DCF_Base!$L$19*DCF_Base!$B$29))/(1+$A$25/100)^DCF_Base!$L$4+Assumptions!$B$5-Assumptions!$B$4)/Assumptions!$B$3*Assumptions!$B$10</f>
        <v>149.658686251943</v>
      </c>
      <c r="F25" s="0" t="n">
        <f aca="false">(SUMPRODUCT(DCF_Base!$C$19:$L$19/(1+$A$25/100)^DCF_Base!$C$4:$L$4)+MAX(0,MIN(IF($A$25&gt;$F$23,DCF_Base!$L$19*(1+$F$23/100)/(($A$25-$F$23)/100),DCF_Base!$L$19*DCF_Base!$B$29),DCF_Base!$L$19*DCF_Base!$B$29))/(1+$A$25/100)^DCF_Base!$L$4+Assumptions!$B$5-Assumptions!$B$4)/Assumptions!$B$3*Assumptions!$B$10</f>
        <v>149.658686251943</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117.695857909771</v>
      </c>
      <c r="C26" s="0" t="n">
        <f aca="false">(SUMPRODUCT(DCF_Base!$C$19:$L$19/(1+$A$26/100)^DCF_Base!$C$4:$L$4)+MAX(0,MIN(IF($A$26&gt;$C$23,DCF_Base!$L$19*(1+$C$23/100)/(($A$26-$C$23)/100),DCF_Base!$L$19*DCF_Base!$B$29),DCF_Base!$L$19*DCF_Base!$B$29))/(1+$A$26/100)^DCF_Base!$L$4+Assumptions!$B$5-Assumptions!$B$4)/Assumptions!$B$3*Assumptions!$B$10</f>
        <v>127.519552583401</v>
      </c>
      <c r="D26" s="0" t="n">
        <f aca="false">(SUMPRODUCT(DCF_Base!$C$19:$L$19/(1+$A$26/100)^DCF_Base!$C$4:$L$4)+MAX(0,MIN(IF($A$26&gt;$D$23,DCF_Base!$L$19*(1+$D$23/100)/(($A$26-$D$23)/100),DCF_Base!$L$19*DCF_Base!$B$29),DCF_Base!$L$19*DCF_Base!$B$29))/(1+$A$26/100)^DCF_Base!$L$4+Assumptions!$B$5-Assumptions!$B$4)/Assumptions!$B$3*Assumptions!$B$10</f>
        <v>133.993231561877</v>
      </c>
      <c r="E26" s="0" t="n">
        <f aca="false">(SUMPRODUCT(DCF_Base!$C$19:$L$19/(1+$A$26/100)^DCF_Base!$C$4:$L$4)+MAX(0,MIN(IF($A$26&gt;$E$23,DCF_Base!$L$19*(1+$E$23/100)/(($A$26-$E$23)/100),DCF_Base!$L$19*DCF_Base!$B$29),DCF_Base!$L$19*DCF_Base!$B$29))/(1+$A$26/100)^DCF_Base!$L$4+Assumptions!$B$5-Assumptions!$B$4)/Assumptions!$B$3*Assumptions!$B$10</f>
        <v>133.993231561877</v>
      </c>
      <c r="F26" s="0" t="n">
        <f aca="false">(SUMPRODUCT(DCF_Base!$C$19:$L$19/(1+$A$26/100)^DCF_Base!$C$4:$L$4)+MAX(0,MIN(IF($A$26&gt;$F$23,DCF_Base!$L$19*(1+$F$23/100)/(($A$26-$F$23)/100),DCF_Base!$L$19*DCF_Base!$B$29),DCF_Base!$L$19*DCF_Base!$B$29))/(1+$A$26/100)^DCF_Base!$L$4+Assumptions!$B$5-Assumptions!$B$4)/Assumptions!$B$3*Assumptions!$B$10</f>
        <v>133.993231561877</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91.4121950938162</v>
      </c>
      <c r="C27" s="0" t="n">
        <f aca="false">(SUMPRODUCT(DCF_Base!$C$19:$L$19/(1+$A$27/100)^DCF_Base!$C$4:$L$4)+MAX(0,MIN(IF($A$27&gt;$C$23,DCF_Base!$L$19*(1+$C$23/100)/(($A$27-$C$23)/100),DCF_Base!$L$19*DCF_Base!$B$29),DCF_Base!$L$19*DCF_Base!$B$29))/(1+$A$27/100)^DCF_Base!$L$4+Assumptions!$B$5-Assumptions!$B$4)/Assumptions!$B$3*Assumptions!$B$10</f>
        <v>98.1314440198598</v>
      </c>
      <c r="D27" s="0" t="n">
        <f aca="false">(SUMPRODUCT(DCF_Base!$C$19:$L$19/(1+$A$27/100)^DCF_Base!$C$4:$L$4)+MAX(0,MIN(IF($A$27&gt;$D$23,DCF_Base!$L$19*(1+$D$23/100)/(($A$27-$D$23)/100),DCF_Base!$L$19*DCF_Base!$B$29),DCF_Base!$L$19*DCF_Base!$B$29))/(1+$A$27/100)^DCF_Base!$L$4+Assumptions!$B$5-Assumptions!$B$4)/Assumptions!$B$3*Assumptions!$B$10</f>
        <v>105.88442354991</v>
      </c>
      <c r="E27" s="0" t="n">
        <f aca="false">(SUMPRODUCT(DCF_Base!$C$19:$L$19/(1+$A$27/100)^DCF_Base!$C$4:$L$4)+MAX(0,MIN(IF($A$27&gt;$E$23,DCF_Base!$L$19*(1+$E$23/100)/(($A$27-$E$23)/100),DCF_Base!$L$19*DCF_Base!$B$29),DCF_Base!$L$19*DCF_Base!$B$29))/(1+$A$27/100)^DCF_Base!$L$4+Assumptions!$B$5-Assumptions!$B$4)/Assumptions!$B$3*Assumptions!$B$10</f>
        <v>114.929566334969</v>
      </c>
      <c r="F27" s="0" t="n">
        <f aca="false">(SUMPRODUCT(DCF_Base!$C$19:$L$19/(1+$A$27/100)^DCF_Base!$C$4:$L$4)+MAX(0,MIN(IF($A$27&gt;$F$23,DCF_Base!$L$19*(1+$F$23/100)/(($A$27-$F$23)/100),DCF_Base!$L$19*DCF_Base!$B$29),DCF_Base!$L$19*DCF_Base!$B$29))/(1+$A$27/100)^DCF_Base!$L$4+Assumptions!$B$5-Assumptions!$B$4)/Assumptions!$B$3*Assumptions!$B$10</f>
        <v>119.76190289137</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71.5201152403455</v>
      </c>
      <c r="C28" s="0" t="n">
        <f aca="false">(SUMPRODUCT(DCF_Base!$C$19:$L$19/(1+$A$28/100)^DCF_Base!$C$4:$L$4)+MAX(0,MIN(IF($A$28&gt;$C$23,DCF_Base!$L$19*(1+$C$23/100)/(($A$28-$C$23)/100),DCF_Base!$L$19*DCF_Base!$B$29),DCF_Base!$L$19*DCF_Base!$B$29))/(1+$A$28/100)^DCF_Base!$L$4+Assumptions!$B$5-Assumptions!$B$4)/Assumptions!$B$3*Assumptions!$B$10</f>
        <v>76.3002230493835</v>
      </c>
      <c r="D28" s="0" t="n">
        <f aca="false">(SUMPRODUCT(DCF_Base!$C$19:$L$19/(1+$A$28/100)^DCF_Base!$C$4:$L$4)+MAX(0,MIN(IF($A$28&gt;$D$23,DCF_Base!$L$19*(1+$D$23/100)/(($A$28-$D$23)/100),DCF_Base!$L$19*DCF_Base!$B$29),DCF_Base!$L$19*DCF_Base!$B$29))/(1+$A$28/100)^DCF_Base!$L$4+Assumptions!$B$5-Assumptions!$B$4)/Assumptions!$B$3*Assumptions!$B$10</f>
        <v>81.7176785662933</v>
      </c>
      <c r="E28" s="0" t="n">
        <f aca="false">(SUMPRODUCT(DCF_Base!$C$19:$L$19/(1+$A$28/100)^DCF_Base!$C$4:$L$4)+MAX(0,MIN(IF($A$28&gt;$E$23,DCF_Base!$L$19*(1+$E$23/100)/(($A$28-$E$23)/100),DCF_Base!$L$19*DCF_Base!$B$29),DCF_Base!$L$19*DCF_Base!$B$29))/(1+$A$28/100)^DCF_Base!$L$4+Assumptions!$B$5-Assumptions!$B$4)/Assumptions!$B$3*Assumptions!$B$10</f>
        <v>87.9090562999044</v>
      </c>
      <c r="F28" s="0" t="n">
        <f aca="false">(SUMPRODUCT(DCF_Base!$C$19:$L$19/(1+$A$28/100)^DCF_Base!$C$4:$L$4)+MAX(0,MIN(IF($A$28&gt;$F$23,DCF_Base!$L$19*(1+$F$23/100)/(($A$28-$F$23)/100),DCF_Base!$L$19*DCF_Base!$B$29),DCF_Base!$L$19*DCF_Base!$B$29))/(1+$A$28/100)^DCF_Base!$L$4+Assumptions!$B$5-Assumptions!$B$4)/Assumptions!$B$3*Assumptions!$B$10</f>
        <v>95.0529536848403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2026-10-10T08:34:40Z</dcterms:created>
  <dc:creator>openpyxl</dc:creator>
  <dc:description/>
  <dc:language>en-NZ</dc:language>
  <cp:lastModifiedBy/>
  <dcterms:modified xsi:type="dcterms:W3CDTF">2026-10-10T08:34:40Z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