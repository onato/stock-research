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ase Case" sheetId="2" state="visible" r:id="rId4"/>
    <sheet name="Bull Case" sheetId="3" state="visible" r:id="rId5"/>
    <sheet name="Bear Case" sheetId="4" state="visible" r:id="rId6"/>
    <sheet name="Summary" sheetId="5" state="visible" r:id="rId7"/>
    <sheet name="Sensitivity" sheetId="6" state="visible" r:id="rId8"/>
    <sheet name="Historic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<sst xmlns="http://schemas.openxmlformats.org/spreadsheetml/2006/main" count="204" uniqueCount="97">
  <si>
    <t xml:space="preserve">Citigroup Inc. (C) — Residual Income Valuation Model</t>
  </si>
  <si>
    <t xml:space="preserve">This is a G-SIB BANK HOLDING COMPANY. Standard unlevered FCF DCF is not meaningful for a depository/markets institution.</t>
  </si>
  <si>
    <t xml:space="preserve">METHODOLOGY: Residual Income (Excess-Return) Model on Tangible Common Equity (TCE)
Why not a standard FCF DCF? Free cash flow is not a valid concept for a bank: deposits and short-term borrowings are operating funding (not net debt), loan/trading-book flows swamp any FCF proxy, and bank capital is regulated (CET1) rather than freely distributable. Instead, this model values Citigroup as:
  Intrinsic Equity Value = Starting Tangible Book Value (TBV)
                          + PV of future Residual Income, where Residual Income = (ROTCE - Cost of Equity) x Beginning TBV
                          + PV of the Terminal Exit Value in excess of ending book value
                            (Terminal Exit Value = Ending TBV x Exit Price/Tangible-Book multiple)
Cost of Equity (CoE), not WACC, is used as the discount rate — standard bank-valuation convention since we are discounting an equity-level residual income stream, not an unlevered enterprise FCF stream.
Citigroup's ROTCE has historically sat below cost of equity (FY2022-2025 estimated ROTCE ~5-8%) but inflected sharply in H1 2026 to a disclosed 13.0-13.1%, above the FY2026 guided 10-11% range, as the multi-year Transformation program nears completion (OCC consent order terminated Dec-2025) and Markets/Banking revenue hit a decade-best quarter. The valuation question is whether this inflection is durable (bull), merely holds near the H1 2026 run-rate (base), or reverts toward the historical band as capital markets normalize (bear).
TANGIBLE BOOK VALUE ANCHOR (ESTIMATED as of ~2026-06-30 — see notes):
  Book Value: $212,413M (est.) / 1,785.8M shares (est.) = $118.95/share
  Less: Goodwill + identifiable intangibles ~$22,459M (estimated, held roughly constant vs. recent 10-Ks)
  = Tangible Book Value: ~$189,954M total / $106.37 per share  &lt;- valuation anchor
IMPORTANT DATA LIMITATION: C_Metrics.csv (SEC XBRL extraction) is populated only through FY2025/Q3-2025 — no 2026 10-Q has yet been extracted into core_metrics. The anchor above rolls the FY2025 actuals (equity $213,822M, shares 1,873.1M) forward through H1 2026 using figures disclosed qualitatively in C_Analysis.json (Q2 2026 net income $5.8bn actual; Q1 2026 net income estimated; H1 2026 buybacks $10.3bn actual; dividend at pre-hike rate). Refresh this model once Q2/Q3 2026 10-Qs are extracted into the CSV.
SCENARIOS:
  BASE: RoTCE holds near the H1 2026 run-rate, 11.5%-&gt;13.0% over 5 years; buybacks 3-4%/yr; dividend payout 35%; exit at 1.15x TBV; CoE 11.0%
  BULL: RoTCE keeps compounding toward top-tier peer levels, 12.5%-&gt;16.0%; buybacks 4-5%/yr; dividend payout 30%; exit at 1.4x TBV; CoE 10.0%
  BEAR: H1 2026 strength was cyclical; RoTCE reverts to 9.0-9.5%; buybacks slow to 2-2.5%/yr; dividend payout 40%; exit at 0.9x TBV; CoE 12.0%
Gray cells are INPUTS — adjust the ROTCE path, buyback rate, dividend payout, Cost of Equity, or Exit P/TBV multiple on each scenario tab to see the valuation update automatically.</t>
  </si>
  <si>
    <t xml:space="preserve">C — BASE CASE (Residual Income Model)</t>
  </si>
  <si>
    <t xml:space="preserve">Gray cells are INPUTS - adjust to see valuation change</t>
  </si>
  <si>
    <t xml:space="preserve">KEY INPUTS</t>
  </si>
  <si>
    <t xml:space="preserve">Current Stock Price</t>
  </si>
  <si>
    <t xml:space="preserve">Shares Outstanding (M, est.)</t>
  </si>
  <si>
    <t xml:space="preserve">Book Value Total ($M, est.)</t>
  </si>
  <si>
    <t xml:space="preserve">Goodwill + Intangibles ($M, est.)</t>
  </si>
  <si>
    <t xml:space="preserve">(unused)</t>
  </si>
  <si>
    <t xml:space="preserve">Starting Tangible Book Value ($M)</t>
  </si>
  <si>
    <t xml:space="preserve">Starting TBV per Share</t>
  </si>
  <si>
    <t xml:space="preserve">Cost of Equity (CoE)</t>
  </si>
  <si>
    <t xml:space="preserve">Exit P/TBV Multiple (Year 5)</t>
  </si>
  <si>
    <t xml:space="preserve">Dividend Payout Ratio</t>
  </si>
  <si>
    <t xml:space="preserve">YEAR-BY-YEAR ASSUMPTIONS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</si>
  <si>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</si>
  <si>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</si>
  <si>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</si>
  <si>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</si>
  <si>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</si>
  <si>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ROTCE (on beginning TBV)</t>
  </si>
  <si>
    <t xml:space="preserve">Buyback % of Shares</t>
  </si>
  <si>
    <t xml:space="preserve">PROJECTIONS</t>
  </si>
  <si>
    <t xml:space="preserve">Beginning TBV ($M)</t>
  </si>
  <si>
    <t xml:space="preserve">Net Income ($M)</t>
  </si>
  <si>
    <t xml:space="preserve">Residual Income ($M)</t>
  </si>
  <si>
    <t xml:space="preserve">Dividends Paid ($M)</t>
  </si>
  <si>
    <t xml:space="preserve">Retained Earnings ($M)</t>
  </si>
  <si>
    <t xml:space="preserve">Shares Repurchased (M)</t>
  </si>
  <si>
    <t xml:space="preserve">Cash for Buybacks ($M)</t>
  </si>
  <si>
    <t xml:space="preserve">Ending TBV ($M)</t>
  </si>
  <si>
    <t xml:space="preserve">Ending Shares (M)</t>
  </si>
  <si>
    <t xml:space="preserve">Ending TBV per Share</t>
  </si>
  <si>
    <t xml:space="preserve">Discount Factor</t>
  </si>
  <si>
    <t xml:space="preserve">PV of Residual Income ($M)</t>
  </si>
  <si>
    <t xml:space="preserve">VALUATION</t>
  </si>
  <si>
    <t xml:space="preserve">Sum of PV of Residual Income ($M)</t>
  </si>
  <si>
    <t xml:space="preserve">Ending TBV Total ($M)</t>
  </si>
  <si>
    <t xml:space="preserve">Exit P/TBV Multiple</t>
  </si>
  <si>
    <t xml:space="preserve">Terminal Equity Value ($M)</t>
  </si>
  <si>
    <t xml:space="preserve">Excess Over Book at Exit ($M)</t>
  </si>
  <si>
    <t xml:space="preserve">PV of Exit Premium ($M)</t>
  </si>
  <si>
    <t xml:space="preserve">Intrinsic Equity Value ($M)</t>
  </si>
  <si>
    <t xml:space="preserve">INTRINSIC VALUE / SHARE</t>
  </si>
  <si>
    <t xml:space="preserve">Implied Exit P/TBV of IV</t>
  </si>
  <si>
    <t xml:space="preserve">Upside / (Downside) vs Current Price</t>
  </si>
  <si>
    <t xml:space="preserve">C — BULL CASE (Residual Income Model)</t>
  </si>
  <si>
    <t xml:space="preserve">C — BEAR CASE (Residual Income Model)</t>
  </si>
  <si>
    <t xml:space="preserve">Citigroup (C) Valuation Summary</t>
  </si>
  <si>
    <t xml:space="preserve">SCENARIO SUMMARY</t>
  </si>
  <si>
    <t xml:space="preserve">Scenario</t>
  </si>
  <si>
    <t xml:space="preserve">Intrinsic Value/Share</t>
  </si>
  <si>
    <t xml:space="preserve">Upside/(Downside)</t>
  </si>
  <si>
    <t xml:space="preserve">Implied Exit P/TBV</t>
  </si>
  <si>
    <t xml:space="preserve">Probability Weight</t>
  </si>
  <si>
    <t xml:space="preserve">Bear</t>
  </si>
  <si>
    <t xml:space="preserve">Base</t>
  </si>
  <si>
    <t xml:space="preserve">Bull</t>
  </si>
  <si>
    <t xml:space="preserve">Current Stock Price (ref)</t>
  </si>
  <si>
    <t xml:space="preserve">PROBABILITY-WEIGHTED INTRINSIC VALUE</t>
  </si>
  <si>
    <t xml:space="preserve">Weighted Upside/(Downside)</t>
  </si>
  <si>
    <t xml:space="preserve">ENTRY PRICE (15% CAGR Target, off Base Case)</t>
  </si>
  <si>
    <t xml:space="preserve">Base Terminal Equity Value ($M)</t>
  </si>
  <si>
    <t xml:space="preserve">Base Ending Shares (M)</t>
  </si>
  <si>
    <t xml:space="preserve">Terminal Value per Share</t>
  </si>
  <si>
    <t xml:space="preserve">Years to Terminal</t>
  </si>
  <si>
    <t xml:space="preserve">Entry Price (15% CAGR)</t>
  </si>
  <si>
    <t xml:space="preserve">Entry Discount from Current Price</t>
  </si>
  <si>
    <t xml:space="preserve">Sensitivity Analysis — Base Case</t>
  </si>
  <si>
    <t xml:space="preserve">Intrinsic Value per Share by Cost of Equity &amp; Exit P/TBV Multiple</t>
  </si>
  <si>
    <t xml:space="preserve">(Static values shown; matches Base Case sheet mechanics)</t>
  </si>
  <si>
    <t xml:space="preserve">CoE \ Exit P/TBV</t>
  </si>
  <si>
    <t xml:space="preserve">Note: matrix computed in Python using Base Case RoTCE (11.5%-&gt;13.0%) and buyback (4.0%-&gt;3.0%) paths;</t>
  </si>
  <si>
    <t xml:space="preserve">shown as static reference values. Adjust CoE / Exit P/TBV directly on the Base Case tab for live recalculation.</t>
  </si>
  <si>
    <t xml:space="preserve">Historical Growth Rates (Reference Only)</t>
  </si>
  <si>
    <t xml:space="preserve">NOTE: Standard CAGR growth-selection logic does NOT apply cleanly to Citigroup — see warning below.</t>
  </si>
  <si>
    <t xml:space="preserve">Metric</t>
  </si>
  <si>
    <t xml:space="preserve">Value</t>
  </si>
  <si>
    <t xml:space="preserve">Revenue 3yr CAGR (FY22-&gt;FY25)</t>
  </si>
  <si>
    <t xml:space="preserve">Revenue 5yr CAGR (FY20-&gt;FY25)</t>
  </si>
  <si>
    <t xml:space="preserve">Shareholders' Equity 3yr CAGR (FY22-&gt;FY25)</t>
  </si>
  <si>
    <t xml:space="preserve">Shareholders' Equity 5yr CAGR (FY20-&gt;FY25)</t>
  </si>
  <si>
    <t xml:space="preserve">EPS 3yr CAGR (FY22-&gt;FY25) — noisy, not a clean anchor</t>
  </si>
  <si>
    <t xml:space="preserve">EPS 5yr CAGR (FY20-&gt;FY25) — inflated by FY21 reserve releases</t>
  </si>
  <si>
    <t xml:space="preserve">ROE FY2022 (%)</t>
  </si>
  <si>
    <t xml:space="preserve">ROE FY2023 (%)</t>
  </si>
  <si>
    <t xml:space="preserve">ROE FY2024 (%)</t>
  </si>
  <si>
    <t xml:space="preserve">ROE FY2025 (%)</t>
  </si>
  <si>
    <t xml:space="preserve">Estimated ROTCE FY2022 (%)</t>
  </si>
  <si>
    <t xml:space="preserve">Estimated ROTCE FY2023 (%)</t>
  </si>
  <si>
    <t xml:space="preserve">Estimated ROTCE FY2024 (%)</t>
  </si>
  <si>
    <t xml:space="preserve">Estimated ROTCE FY2025 (%)</t>
  </si>
  <si>
    <t xml:space="preserve">Disclosed RoTCE H1 2026 (%)</t>
  </si>
  <si>
    <t xml:space="preserve">Growth Divergence Warning:</t>
  </si>
  <si>
    <t xml:space="preserve">Standard CAGR growth-rate selection does not apply to a bank residual-income model. Shareholders' equity CAGR is nearly flat (1.3-1.9% over 3-5yr) because large buybacks roughly offset retained earnings — this is a capital-return story, not a growth story. EPS CAGR is volatile and not a clean anchor: FY2023 EPS ($4.07) was depressed by elevated expenses/reserve builds and FY2021 EPS ($10.21, not shown as a CAGR endpoint here) was inflated by reserve releases post-COVID. The Net-income-based ROTCE trajectory (rising from an estimated ~5-8% in FY2022-2025 to a disclosed 13.0-13.1% in H1 2026) is the operative signal driving this valuation, not any revenue or EPS CAGR.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</si>
</sst>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true" outlineLevel="0" collapsed="false">
      <c r="A3" s="2"/>
    </row>
    <row r="4" customFormat="false" ht="405" hidden="false" customHeight="true" outlineLevel="0" collapsed="false">
      <c r="A4" s="2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3" t="s">
        <v>3</v>
      </c>
    </row>
    <row r="2" customFormat="false" ht="15" hidden="false" customHeight="false" outlineLevel="0" collapsed="false">
      <c r="A2" s="0" t="s">
        <v>4</v>
      </c>
    </row>
    <row r="4" customFormat="false" ht="15" hidden="false" customHeight="false" outlineLevel="0" collapsed="false">
      <c r="A4" s="4" t="s">
        <v>5</v>
      </c>
    </row>
    <row r="5" customFormat="false" ht="15" hidden="false" customHeight="false" outlineLevel="0" collapsed="false">
      <c r="A5" s="0" t="s">
        <v>6</v>
      </c>
      <c r="B5" s="5" t="n">
        <v>134.28</v>
      </c>
    </row>
    <row r="6" customFormat="false" ht="15" hidden="false" customHeight="false" outlineLevel="0" collapsed="false">
      <c r="A6" s="0" t="s">
        <v>7</v>
      </c>
      <c r="B6" s="5" t="n">
        <v>1785.8</v>
      </c>
    </row>
    <row r="7" customFormat="false" ht="15" hidden="false" customHeight="false" outlineLevel="0" collapsed="false">
      <c r="A7" s="0" t="s">
        <v>8</v>
      </c>
      <c r="B7" s="5" t="n">
        <v>212413</v>
      </c>
    </row>
    <row r="8" customFormat="false" ht="15" hidden="false" customHeight="false" outlineLevel="0" collapsed="false">
      <c r="A8" s="0" t="s">
        <v>9</v>
      </c>
      <c r="B8" s="5" t="n">
        <v>22459</v>
      </c>
    </row>
    <row r="9" customFormat="false" ht="15" hidden="false" customHeight="false" outlineLevel="0" collapsed="false">
      <c r="A9" s="0" t="s">
        <v>10</v>
      </c>
    </row>
    <row r="10" customFormat="false" ht="15" hidden="false" customHeight="false" outlineLevel="0" collapsed="false">
      <c r="A10" s="0" t="s">
        <v>11</v>
      </c>
      <c r="B10" s="0" t="n">
        <f aca="false">B7-B8</f>
        <v>189954</v>
      </c>
    </row>
    <row r="11" customFormat="false" ht="15" hidden="false" customHeight="false" outlineLevel="0" collapsed="false">
      <c r="A11" s="0" t="s">
        <v>12</v>
      </c>
      <c r="B11" s="0" t="n">
        <f aca="false">B10/B6</f>
        <v>106.369134281555</v>
      </c>
    </row>
    <row r="13" customFormat="false" ht="15" hidden="false" customHeight="false" outlineLevel="0" collapsed="false">
      <c r="A13" s="0" t="s">
        <v>13</v>
      </c>
      <c r="B13" s="5" t="n">
        <v>0.11</v>
      </c>
    </row>
    <row r="14" customFormat="false" ht="15" hidden="false" customHeight="false" outlineLevel="0" collapsed="false">
      <c r="A14" s="0" t="s">
        <v>14</v>
      </c>
      <c r="B14" s="5" t="n">
        <v>1.15</v>
      </c>
    </row>
    <row r="15" customFormat="false" ht="15" hidden="false" customHeight="false" outlineLevel="0" collapsed="false">
      <c r="A15" s="0" t="s">
        <v>15</v>
      </c>
      <c r="B15" s="5" t="n">
        <v>0.35</v>
      </c>
    </row>
    <row r="17" customFormat="false" ht="15" hidden="false" customHeight="false" outlineLevel="0" collapsed="false">
      <c r="A17" s="4" t="s">
        <v>16</v>
      </c>
    </row>
    <row r="18" customFormat="false" ht="15" hidden="false" customHeight="false" outlineLevel="0" collapsed="false">
      <c r="B18" s="0" t="s">
        <v>17</v>
      </c>
      <c r="C18" s="0" t="s">
        <v>18</v>
      </c>
      <c r="D18" s="0" t="s">
        <v>19</v>
      </c>
      <c r="E18" s="0" t="s">
        <v>20</v>
      </c>
      <c r="F18" s="0" t="s">
        <v>21</v>
      </c>
    </row>
    <row r="19" customFormat="false" ht="15" hidden="false" customHeight="false" outlineLevel="0" collapsed="false">
      <c r="A19" s="0" t="s">
        <v>22</v>
      </c>
      <c r="B19" s="5" t="n">
        <v>0.115</v>
      </c>
      <c r="C19" s="5" t="n">
        <v>0.12</v>
      </c>
      <c r="D19" s="5" t="n">
        <v>0.125</v>
      </c>
      <c r="E19" s="5" t="n">
        <v>0.13</v>
      </c>
      <c r="F19" s="5" t="n">
        <v>0.13</v>
      </c>
    </row>
    <row r="20" customFormat="false" ht="15" hidden="false" customHeight="false" outlineLevel="0" collapsed="false">
      <c r="A20" s="0" t="s">
        <v>23</v>
      </c>
      <c r="B20" s="5" t="n">
        <v>0.04</v>
      </c>
      <c r="C20" s="5" t="n">
        <v>0.04</v>
      </c>
      <c r="D20" s="5" t="n">
        <v>0.035</v>
      </c>
      <c r="E20" s="5" t="n">
        <v>0.03</v>
      </c>
      <c r="F20" s="5" t="n">
        <v>0.03</v>
      </c>
    </row>
    <row r="22" customFormat="false" ht="15" hidden="false" customHeight="false" outlineLevel="0" collapsed="false">
      <c r="A22" s="4" t="s">
        <v>24</v>
      </c>
    </row>
    <row r="23" customFormat="false" ht="15" hidden="false" customHeight="false" outlineLevel="0" collapsed="false">
      <c r="B23" s="0" t="s">
        <v>17</v>
      </c>
      <c r="C23" s="0" t="s">
        <v>18</v>
      </c>
      <c r="D23" s="0" t="s">
        <v>19</v>
      </c>
      <c r="E23" s="0" t="s">
        <v>20</v>
      </c>
      <c r="F23" s="0" t="s">
        <v>21</v>
      </c>
    </row>
    <row r="24" customFormat="false" ht="15" hidden="false" customHeight="false" outlineLevel="0" collapsed="false">
      <c r="A24" s="0" t="s">
        <v>25</v>
      </c>
      <c r="B24" s="0" t="n">
        <f aca="false">$B$10</f>
        <v>189954</v>
      </c>
      <c r="C24" s="0" t="n">
        <f aca="false">B31</f>
        <v>196554.9015</v>
      </c>
      <c r="D24" s="0" t="n">
        <f aca="false">C31</f>
        <v>204023.987757</v>
      </c>
      <c r="E24" s="0" t="n">
        <f aca="false">D31</f>
        <v>213460.097190761</v>
      </c>
      <c r="F24" s="0" t="n">
        <f aca="false">E31</f>
        <v>225093.672487658</v>
      </c>
    </row>
    <row r="25" customFormat="false" ht="15" hidden="false" customHeight="false" outlineLevel="0" collapsed="false">
      <c r="A25" s="0" t="s">
        <v>26</v>
      </c>
      <c r="B25" s="0" t="n">
        <f aca="false">B19*B24</f>
        <v>21844.71</v>
      </c>
      <c r="C25" s="0" t="n">
        <f aca="false">C19*C24</f>
        <v>23586.58818</v>
      </c>
      <c r="D25" s="0" t="n">
        <f aca="false">D19*D24</f>
        <v>25502.998469625</v>
      </c>
      <c r="E25" s="0" t="n">
        <f aca="false">E19*E24</f>
        <v>27749.812634799</v>
      </c>
      <c r="F25" s="0" t="n">
        <f aca="false">F19*F24</f>
        <v>29262.1774233955</v>
      </c>
    </row>
    <row r="26" customFormat="false" ht="15" hidden="false" customHeight="false" outlineLevel="0" collapsed="false">
      <c r="A26" s="0" t="s">
        <v>27</v>
      </c>
      <c r="B26" s="0" t="n">
        <f aca="false">(B19-$B$13)*B24</f>
        <v>949.770000000001</v>
      </c>
      <c r="C26" s="0" t="n">
        <f aca="false">(C19-$B$13)*C24</f>
        <v>1965.549015</v>
      </c>
      <c r="D26" s="0" t="n">
        <f aca="false">(D19-$B$13)*D24</f>
        <v>3060.359816355</v>
      </c>
      <c r="E26" s="0" t="n">
        <f aca="false">(E19-$B$13)*E24</f>
        <v>4269.20194381523</v>
      </c>
      <c r="F26" s="0" t="n">
        <f aca="false">(F19-$B$13)*F24</f>
        <v>4501.87344975316</v>
      </c>
    </row>
    <row r="27" customFormat="false" ht="15" hidden="false" customHeight="false" outlineLevel="0" collapsed="false">
      <c r="A27" s="0" t="s">
        <v>28</v>
      </c>
      <c r="B27" s="0" t="n">
        <f aca="false">B25*$B$15</f>
        <v>7645.6485</v>
      </c>
      <c r="C27" s="0" t="n">
        <f aca="false">C25*$B$15</f>
        <v>8255.305863</v>
      </c>
      <c r="D27" s="0" t="n">
        <f aca="false">D25*$B$15</f>
        <v>8926.04946436875</v>
      </c>
      <c r="E27" s="0" t="n">
        <f aca="false">E25*$B$15</f>
        <v>9712.43442217964</v>
      </c>
      <c r="F27" s="0" t="n">
        <f aca="false">F25*$B$15</f>
        <v>10241.7620981884</v>
      </c>
    </row>
    <row r="28" customFormat="false" ht="15" hidden="false" customHeight="false" outlineLevel="0" collapsed="false">
      <c r="A28" s="0" t="s">
        <v>29</v>
      </c>
      <c r="B28" s="0" t="n">
        <f aca="false">B25-B27</f>
        <v>14199.0615</v>
      </c>
      <c r="C28" s="0" t="n">
        <f aca="false">C25-C27</f>
        <v>15331.282317</v>
      </c>
      <c r="D28" s="0" t="n">
        <f aca="false">D25-D27</f>
        <v>16576.9490052563</v>
      </c>
      <c r="E28" s="0" t="n">
        <f aca="false">E25-E27</f>
        <v>18037.3782126193</v>
      </c>
      <c r="F28" s="0" t="n">
        <f aca="false">F25-F27</f>
        <v>19020.4153252071</v>
      </c>
    </row>
    <row r="29" customFormat="false" ht="15" hidden="false" customHeight="false" outlineLevel="0" collapsed="false">
      <c r="A29" s="0" t="s">
        <v>30</v>
      </c>
      <c r="B29" s="0" t="n">
        <f aca="false">$B$6*B20</f>
        <v>71.432</v>
      </c>
      <c r="C29" s="0" t="n">
        <f aca="false">B32*C20</f>
        <v>68.57472</v>
      </c>
      <c r="D29" s="0" t="n">
        <f aca="false">C32*D20</f>
        <v>57.6027648</v>
      </c>
      <c r="E29" s="0" t="n">
        <f aca="false">D32*E20</f>
        <v>47.645715456</v>
      </c>
      <c r="F29" s="0" t="n">
        <f aca="false">E32*F20</f>
        <v>46.21634399232</v>
      </c>
    </row>
    <row r="30" customFormat="false" ht="15" hidden="false" customHeight="false" outlineLevel="0" collapsed="false">
      <c r="A30" s="0" t="s">
        <v>31</v>
      </c>
      <c r="B30" s="0" t="n">
        <f aca="false">B29*(B24/$B$6)</f>
        <v>7598.16</v>
      </c>
      <c r="C30" s="0" t="n">
        <f aca="false">C29*(C24/B32)</f>
        <v>7862.19606</v>
      </c>
      <c r="D30" s="0" t="n">
        <f aca="false">D29*(D24/C32)</f>
        <v>7140.839571495</v>
      </c>
      <c r="E30" s="0" t="n">
        <f aca="false">E29*(E24/D32)</f>
        <v>6403.80291572284</v>
      </c>
      <c r="F30" s="0" t="n">
        <f aca="false">F29*(F24/E32)</f>
        <v>6752.81017462973</v>
      </c>
    </row>
    <row r="31" customFormat="false" ht="15" hidden="false" customHeight="false" outlineLevel="0" collapsed="false">
      <c r="A31" s="0" t="s">
        <v>32</v>
      </c>
      <c r="B31" s="0" t="n">
        <f aca="false">B24+B28-B30</f>
        <v>196554.9015</v>
      </c>
      <c r="C31" s="0" t="n">
        <f aca="false">C24+C28-C30</f>
        <v>204023.987757</v>
      </c>
      <c r="D31" s="0" t="n">
        <f aca="false">D24+D28-D30</f>
        <v>213460.097190761</v>
      </c>
      <c r="E31" s="0" t="n">
        <f aca="false">E24+E28-E30</f>
        <v>225093.672487658</v>
      </c>
      <c r="F31" s="0" t="n">
        <f aca="false">F24+F28-F30</f>
        <v>237361.277638235</v>
      </c>
    </row>
    <row r="32" customFormat="false" ht="15" hidden="false" customHeight="false" outlineLevel="0" collapsed="false">
      <c r="A32" s="0" t="s">
        <v>33</v>
      </c>
      <c r="B32" s="0" t="n">
        <f aca="false">$B$6-B29</f>
        <v>1714.368</v>
      </c>
      <c r="C32" s="0" t="n">
        <f aca="false">B32-C29</f>
        <v>1645.79328</v>
      </c>
      <c r="D32" s="0" t="n">
        <f aca="false">C32-D29</f>
        <v>1588.1905152</v>
      </c>
      <c r="E32" s="0" t="n">
        <f aca="false">D32-E29</f>
        <v>1540.544799744</v>
      </c>
      <c r="F32" s="0" t="n">
        <f aca="false">E32-F29</f>
        <v>1494.32845575168</v>
      </c>
    </row>
    <row r="33" customFormat="false" ht="15" hidden="false" customHeight="false" outlineLevel="0" collapsed="false">
      <c r="A33" s="0" t="s">
        <v>34</v>
      </c>
      <c r="B33" s="0" t="n">
        <f aca="false">B31/B32</f>
        <v>114.651522601915</v>
      </c>
      <c r="C33" s="0" t="n">
        <f aca="false">C31/C32</f>
        <v>123.966958813321</v>
      </c>
      <c r="D33" s="0" t="n">
        <f aca="false">D31/D32</f>
        <v>134.404591355893</v>
      </c>
      <c r="E33" s="0" t="n">
        <f aca="false">E31/E32</f>
        <v>146.113032561638</v>
      </c>
      <c r="F33" s="0" t="n">
        <f aca="false">F31/F32</f>
        <v>158.841435913657</v>
      </c>
    </row>
    <row r="34" customFormat="false" ht="15" hidden="false" customHeight="false" outlineLevel="0" collapsed="false">
      <c r="A34" s="0" t="s">
        <v>35</v>
      </c>
      <c r="B34" s="0" t="n">
        <f aca="false">1/(1+$B$13)^1</f>
        <v>0.900900900900901</v>
      </c>
      <c r="C34" s="0" t="n">
        <f aca="false">1/(1+$B$13)^2</f>
        <v>0.811622433244055</v>
      </c>
      <c r="D34" s="0" t="n">
        <f aca="false">1/(1+$B$13)^3</f>
        <v>0.73119138130095</v>
      </c>
      <c r="E34" s="0" t="n">
        <f aca="false">1/(1+$B$13)^4</f>
        <v>0.658730974145</v>
      </c>
      <c r="F34" s="0" t="n">
        <f aca="false">1/(1+$B$13)^5</f>
        <v>0.593451328058559</v>
      </c>
    </row>
    <row r="35" customFormat="false" ht="15" hidden="false" customHeight="false" outlineLevel="0" collapsed="false">
      <c r="A35" s="0" t="s">
        <v>36</v>
      </c>
      <c r="B35" s="0" t="n">
        <f aca="false">B26*B34</f>
        <v>855.648648648649</v>
      </c>
      <c r="C35" s="0" t="n">
        <f aca="false">C26*C34</f>
        <v>1595.28367421475</v>
      </c>
      <c r="D35" s="0" t="n">
        <f aca="false">D26*D34</f>
        <v>2237.70872139854</v>
      </c>
      <c r="E35" s="0" t="n">
        <f aca="false">E26*E34</f>
        <v>2812.25555527113</v>
      </c>
      <c r="F35" s="0" t="n">
        <f aca="false">F26*F34</f>
        <v>2671.64277750758</v>
      </c>
    </row>
    <row r="37" customFormat="false" ht="15" hidden="false" customHeight="false" outlineLevel="0" collapsed="false">
      <c r="A37" s="4" t="s">
        <v>37</v>
      </c>
    </row>
    <row r="38" customFormat="false" ht="15" hidden="false" customHeight="false" outlineLevel="0" collapsed="false">
      <c r="A38" s="0" t="s">
        <v>38</v>
      </c>
      <c r="B38" s="0" t="n">
        <f aca="false">SUM(B35:F35)</f>
        <v>10172.5393770406</v>
      </c>
    </row>
    <row r="39" customFormat="false" ht="15" hidden="false" customHeight="false" outlineLevel="0" collapsed="false">
      <c r="A39" s="0" t="s">
        <v>39</v>
      </c>
      <c r="B39" s="0" t="n">
        <f aca="false">F31</f>
        <v>237361.277638235</v>
      </c>
    </row>
    <row r="40" customFormat="false" ht="15" hidden="false" customHeight="false" outlineLevel="0" collapsed="false">
      <c r="A40" s="0" t="s">
        <v>33</v>
      </c>
      <c r="B40" s="0" t="n">
        <f aca="false">F32</f>
        <v>1494.32845575168</v>
      </c>
    </row>
    <row r="41" customFormat="false" ht="15" hidden="false" customHeight="false" outlineLevel="0" collapsed="false">
      <c r="A41" s="0" t="s">
        <v>40</v>
      </c>
      <c r="B41" s="0" t="n">
        <f aca="false">B14</f>
        <v>1.15</v>
      </c>
    </row>
    <row r="42" customFormat="false" ht="15" hidden="false" customHeight="false" outlineLevel="0" collapsed="false">
      <c r="A42" s="0" t="s">
        <v>41</v>
      </c>
      <c r="B42" s="0" t="n">
        <f aca="false">B39*B41</f>
        <v>272965.46928397</v>
      </c>
    </row>
    <row r="43" customFormat="false" ht="15" hidden="false" customHeight="false" outlineLevel="0" collapsed="false">
      <c r="A43" s="0" t="s">
        <v>42</v>
      </c>
      <c r="B43" s="0" t="n">
        <f aca="false">B42-B39</f>
        <v>35604.1916457353</v>
      </c>
    </row>
    <row r="44" customFormat="false" ht="15" hidden="false" customHeight="false" outlineLevel="0" collapsed="false">
      <c r="A44" s="0" t="s">
        <v>43</v>
      </c>
      <c r="B44" s="0" t="n">
        <f aca="false">B43/(1+$B$13)^5</f>
        <v>21129.354816613</v>
      </c>
    </row>
    <row r="45" customFormat="false" ht="15" hidden="false" customHeight="false" outlineLevel="0" collapsed="false">
      <c r="A45" s="0" t="s">
        <v>44</v>
      </c>
      <c r="B45" s="0" t="n">
        <f aca="false">B10+B38+B44</f>
        <v>221255.894193654</v>
      </c>
    </row>
    <row r="46" customFormat="false" ht="15" hidden="false" customHeight="false" outlineLevel="0" collapsed="false">
      <c r="A46" s="4" t="s">
        <v>45</v>
      </c>
      <c r="B46" s="4" t="n">
        <f aca="false">B45/B6</f>
        <v>123.89735367547</v>
      </c>
    </row>
    <row r="47" customFormat="false" ht="15" hidden="false" customHeight="false" outlineLevel="0" collapsed="false">
      <c r="A47" s="0" t="s">
        <v>46</v>
      </c>
      <c r="B47" s="0" t="n">
        <f aca="false">B46/B11</f>
        <v>1.16478670727468</v>
      </c>
    </row>
    <row r="48" customFormat="false" ht="15" hidden="false" customHeight="false" outlineLevel="0" collapsed="false">
      <c r="A48" s="0" t="s">
        <v>47</v>
      </c>
      <c r="B48" s="0" t="n">
        <f aca="false">(B46-B5)/B5</f>
        <v>-0.077320869262216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3" t="s">
        <v>48</v>
      </c>
    </row>
    <row r="2" customFormat="false" ht="15" hidden="false" customHeight="false" outlineLevel="0" collapsed="false">
      <c r="A2" s="0" t="s">
        <v>4</v>
      </c>
    </row>
    <row r="4" customFormat="false" ht="15" hidden="false" customHeight="false" outlineLevel="0" collapsed="false">
      <c r="A4" s="4" t="s">
        <v>5</v>
      </c>
    </row>
    <row r="5" customFormat="false" ht="15" hidden="false" customHeight="false" outlineLevel="0" collapsed="false">
      <c r="A5" s="0" t="s">
        <v>6</v>
      </c>
      <c r="B5" s="5" t="n">
        <v>134.28</v>
      </c>
    </row>
    <row r="6" customFormat="false" ht="15" hidden="false" customHeight="false" outlineLevel="0" collapsed="false">
      <c r="A6" s="0" t="s">
        <v>7</v>
      </c>
      <c r="B6" s="5" t="n">
        <v>1785.8</v>
      </c>
    </row>
    <row r="7" customFormat="false" ht="15" hidden="false" customHeight="false" outlineLevel="0" collapsed="false">
      <c r="A7" s="0" t="s">
        <v>8</v>
      </c>
      <c r="B7" s="5" t="n">
        <v>212413</v>
      </c>
    </row>
    <row r="8" customFormat="false" ht="15" hidden="false" customHeight="false" outlineLevel="0" collapsed="false">
      <c r="A8" s="0" t="s">
        <v>9</v>
      </c>
      <c r="B8" s="5" t="n">
        <v>22459</v>
      </c>
    </row>
    <row r="9" customFormat="false" ht="15" hidden="false" customHeight="false" outlineLevel="0" collapsed="false">
      <c r="A9" s="0" t="s">
        <v>10</v>
      </c>
    </row>
    <row r="10" customFormat="false" ht="15" hidden="false" customHeight="false" outlineLevel="0" collapsed="false">
      <c r="A10" s="0" t="s">
        <v>11</v>
      </c>
      <c r="B10" s="0" t="n">
        <f aca="false">B7-B8</f>
        <v>189954</v>
      </c>
    </row>
    <row r="11" customFormat="false" ht="15" hidden="false" customHeight="false" outlineLevel="0" collapsed="false">
      <c r="A11" s="0" t="s">
        <v>12</v>
      </c>
      <c r="B11" s="0" t="n">
        <f aca="false">B10/B6</f>
        <v>106.369134281555</v>
      </c>
    </row>
    <row r="13" customFormat="false" ht="15" hidden="false" customHeight="false" outlineLevel="0" collapsed="false">
      <c r="A13" s="0" t="s">
        <v>13</v>
      </c>
      <c r="B13" s="5" t="n">
        <v>0.1</v>
      </c>
    </row>
    <row r="14" customFormat="false" ht="15" hidden="false" customHeight="false" outlineLevel="0" collapsed="false">
      <c r="A14" s="0" t="s">
        <v>14</v>
      </c>
      <c r="B14" s="5" t="n">
        <v>1.4</v>
      </c>
    </row>
    <row r="15" customFormat="false" ht="15" hidden="false" customHeight="false" outlineLevel="0" collapsed="false">
      <c r="A15" s="0" t="s">
        <v>15</v>
      </c>
      <c r="B15" s="5" t="n">
        <v>0.3</v>
      </c>
    </row>
    <row r="17" customFormat="false" ht="15" hidden="false" customHeight="false" outlineLevel="0" collapsed="false">
      <c r="A17" s="4" t="s">
        <v>16</v>
      </c>
    </row>
    <row r="18" customFormat="false" ht="15" hidden="false" customHeight="false" outlineLevel="0" collapsed="false">
      <c r="B18" s="0" t="s">
        <v>17</v>
      </c>
      <c r="C18" s="0" t="s">
        <v>18</v>
      </c>
      <c r="D18" s="0" t="s">
        <v>19</v>
      </c>
      <c r="E18" s="0" t="s">
        <v>20</v>
      </c>
      <c r="F18" s="0" t="s">
        <v>21</v>
      </c>
    </row>
    <row r="19" customFormat="false" ht="15" hidden="false" customHeight="false" outlineLevel="0" collapsed="false">
      <c r="A19" s="0" t="s">
        <v>22</v>
      </c>
      <c r="B19" s="5" t="n">
        <v>0.125</v>
      </c>
      <c r="C19" s="5" t="n">
        <v>0.14</v>
      </c>
      <c r="D19" s="5" t="n">
        <v>0.15</v>
      </c>
      <c r="E19" s="5" t="n">
        <v>0.155</v>
      </c>
      <c r="F19" s="5" t="n">
        <v>0.16</v>
      </c>
    </row>
    <row r="20" customFormat="false" ht="15" hidden="false" customHeight="false" outlineLevel="0" collapsed="false">
      <c r="A20" s="0" t="s">
        <v>23</v>
      </c>
      <c r="B20" s="5" t="n">
        <v>0.05</v>
      </c>
      <c r="C20" s="5" t="n">
        <v>0.05</v>
      </c>
      <c r="D20" s="5" t="n">
        <v>0.045</v>
      </c>
      <c r="E20" s="5" t="n">
        <v>0.04</v>
      </c>
      <c r="F20" s="5" t="n">
        <v>0.04</v>
      </c>
    </row>
    <row r="22" customFormat="false" ht="15" hidden="false" customHeight="false" outlineLevel="0" collapsed="false">
      <c r="A22" s="4" t="s">
        <v>24</v>
      </c>
    </row>
    <row r="23" customFormat="false" ht="15" hidden="false" customHeight="false" outlineLevel="0" collapsed="false">
      <c r="B23" s="0" t="s">
        <v>17</v>
      </c>
      <c r="C23" s="0" t="s">
        <v>18</v>
      </c>
      <c r="D23" s="0" t="s">
        <v>19</v>
      </c>
      <c r="E23" s="0" t="s">
        <v>20</v>
      </c>
      <c r="F23" s="0" t="s">
        <v>21</v>
      </c>
    </row>
    <row r="24" customFormat="false" ht="15" hidden="false" customHeight="false" outlineLevel="0" collapsed="false">
      <c r="A24" s="0" t="s">
        <v>25</v>
      </c>
      <c r="B24" s="0" t="n">
        <f aca="false">$B$10</f>
        <v>189954</v>
      </c>
      <c r="C24" s="0" t="n">
        <f aca="false">B31</f>
        <v>197077.275</v>
      </c>
      <c r="D24" s="0" t="n">
        <f aca="false">C31</f>
        <v>206536.9842</v>
      </c>
      <c r="E24" s="0" t="n">
        <f aca="false">D31</f>
        <v>218929.203252</v>
      </c>
      <c r="F24" s="0" t="n">
        <f aca="false">E31</f>
        <v>233925.853674762</v>
      </c>
    </row>
    <row r="25" customFormat="false" ht="15" hidden="false" customHeight="false" outlineLevel="0" collapsed="false">
      <c r="A25" s="0" t="s">
        <v>26</v>
      </c>
      <c r="B25" s="0" t="n">
        <f aca="false">B19*B24</f>
        <v>23744.25</v>
      </c>
      <c r="C25" s="0" t="n">
        <f aca="false">C19*C24</f>
        <v>27590.8185</v>
      </c>
      <c r="D25" s="0" t="n">
        <f aca="false">D19*D24</f>
        <v>30980.54763</v>
      </c>
      <c r="E25" s="0" t="n">
        <f aca="false">E19*E24</f>
        <v>33934.02650406</v>
      </c>
      <c r="F25" s="0" t="n">
        <f aca="false">F19*F24</f>
        <v>37428.1365879619</v>
      </c>
    </row>
    <row r="26" customFormat="false" ht="15" hidden="false" customHeight="false" outlineLevel="0" collapsed="false">
      <c r="A26" s="0" t="s">
        <v>27</v>
      </c>
      <c r="B26" s="0" t="n">
        <f aca="false">(B19-$B$13)*B24</f>
        <v>4748.85</v>
      </c>
      <c r="C26" s="0" t="n">
        <f aca="false">(C19-$B$13)*C24</f>
        <v>7883.091</v>
      </c>
      <c r="D26" s="0" t="n">
        <f aca="false">(D19-$B$13)*D24</f>
        <v>10326.84921</v>
      </c>
      <c r="E26" s="0" t="n">
        <f aca="false">(E19-$B$13)*E24</f>
        <v>12041.10617886</v>
      </c>
      <c r="F26" s="0" t="n">
        <f aca="false">(F19-$B$13)*F24</f>
        <v>14035.5512204857</v>
      </c>
    </row>
    <row r="27" customFormat="false" ht="15" hidden="false" customHeight="false" outlineLevel="0" collapsed="false">
      <c r="A27" s="0" t="s">
        <v>28</v>
      </c>
      <c r="B27" s="0" t="n">
        <f aca="false">B25*$B$15</f>
        <v>7123.275</v>
      </c>
      <c r="C27" s="0" t="n">
        <f aca="false">C25*$B$15</f>
        <v>8277.24555</v>
      </c>
      <c r="D27" s="0" t="n">
        <f aca="false">D25*$B$15</f>
        <v>9294.164289</v>
      </c>
      <c r="E27" s="0" t="n">
        <f aca="false">E25*$B$15</f>
        <v>10180.207951218</v>
      </c>
      <c r="F27" s="0" t="n">
        <f aca="false">F25*$B$15</f>
        <v>11228.4409763886</v>
      </c>
    </row>
    <row r="28" customFormat="false" ht="15" hidden="false" customHeight="false" outlineLevel="0" collapsed="false">
      <c r="A28" s="0" t="s">
        <v>29</v>
      </c>
      <c r="B28" s="0" t="n">
        <f aca="false">B25-B27</f>
        <v>16620.975</v>
      </c>
      <c r="C28" s="0" t="n">
        <f aca="false">C25-C27</f>
        <v>19313.57295</v>
      </c>
      <c r="D28" s="0" t="n">
        <f aca="false">D25-D27</f>
        <v>21686.383341</v>
      </c>
      <c r="E28" s="0" t="n">
        <f aca="false">E25-E27</f>
        <v>23753.818552842</v>
      </c>
      <c r="F28" s="0" t="n">
        <f aca="false">F25-F27</f>
        <v>26199.6956115733</v>
      </c>
    </row>
    <row r="29" customFormat="false" ht="15" hidden="false" customHeight="false" outlineLevel="0" collapsed="false">
      <c r="A29" s="0" t="s">
        <v>30</v>
      </c>
      <c r="B29" s="0" t="n">
        <f aca="false">$B$6*B20</f>
        <v>89.29</v>
      </c>
      <c r="C29" s="0" t="n">
        <f aca="false">B32*C20</f>
        <v>84.8255</v>
      </c>
      <c r="D29" s="0" t="n">
        <f aca="false">C32*D20</f>
        <v>72.5258025</v>
      </c>
      <c r="E29" s="0" t="n">
        <f aca="false">D32*E20</f>
        <v>61.5663479</v>
      </c>
      <c r="F29" s="0" t="n">
        <f aca="false">E32*F20</f>
        <v>59.103693984</v>
      </c>
    </row>
    <row r="30" customFormat="false" ht="15" hidden="false" customHeight="false" outlineLevel="0" collapsed="false">
      <c r="A30" s="0" t="s">
        <v>31</v>
      </c>
      <c r="B30" s="0" t="n">
        <f aca="false">B29*(B24/$B$6)</f>
        <v>9497.7</v>
      </c>
      <c r="C30" s="0" t="n">
        <f aca="false">C29*(C24/B32)</f>
        <v>9853.86375</v>
      </c>
      <c r="D30" s="0" t="n">
        <f aca="false">D29*(D24/C32)</f>
        <v>9294.164289</v>
      </c>
      <c r="E30" s="0" t="n">
        <f aca="false">E29*(E24/D32)</f>
        <v>8757.16813008</v>
      </c>
      <c r="F30" s="0" t="n">
        <f aca="false">F29*(F24/E32)</f>
        <v>9357.03414699048</v>
      </c>
    </row>
    <row r="31" customFormat="false" ht="15" hidden="false" customHeight="false" outlineLevel="0" collapsed="false">
      <c r="A31" s="0" t="s">
        <v>32</v>
      </c>
      <c r="B31" s="0" t="n">
        <f aca="false">B24+B28-B30</f>
        <v>197077.275</v>
      </c>
      <c r="C31" s="0" t="n">
        <f aca="false">C24+C28-C30</f>
        <v>206536.9842</v>
      </c>
      <c r="D31" s="0" t="n">
        <f aca="false">D24+D28-D30</f>
        <v>218929.203252</v>
      </c>
      <c r="E31" s="0" t="n">
        <f aca="false">E24+E28-E30</f>
        <v>233925.853674762</v>
      </c>
      <c r="F31" s="0" t="n">
        <f aca="false">F24+F28-F30</f>
        <v>250768.515139345</v>
      </c>
    </row>
    <row r="32" customFormat="false" ht="15" hidden="false" customHeight="false" outlineLevel="0" collapsed="false">
      <c r="A32" s="0" t="s">
        <v>33</v>
      </c>
      <c r="B32" s="0" t="n">
        <f aca="false">$B$6-B29</f>
        <v>1696.51</v>
      </c>
      <c r="C32" s="0" t="n">
        <f aca="false">B32-C29</f>
        <v>1611.6845</v>
      </c>
      <c r="D32" s="0" t="n">
        <f aca="false">C32-D29</f>
        <v>1539.1586975</v>
      </c>
      <c r="E32" s="0" t="n">
        <f aca="false">D32-E29</f>
        <v>1477.5923496</v>
      </c>
      <c r="F32" s="0" t="n">
        <f aca="false">E32-F29</f>
        <v>1418.488655616</v>
      </c>
    </row>
    <row r="33" customFormat="false" ht="15" hidden="false" customHeight="false" outlineLevel="0" collapsed="false">
      <c r="A33" s="0" t="s">
        <v>34</v>
      </c>
      <c r="B33" s="0" t="n">
        <f aca="false">B31/B32</f>
        <v>116.166291386435</v>
      </c>
      <c r="C33" s="0" t="n">
        <f aca="false">C31/C32</f>
        <v>128.149761445246</v>
      </c>
      <c r="D33" s="0" t="n">
        <f aca="false">D31/D32</f>
        <v>142.239525792629</v>
      </c>
      <c r="E33" s="0" t="n">
        <f aca="false">E31/E32</f>
        <v>158.31555553065</v>
      </c>
      <c r="F33" s="0" t="n">
        <f aca="false">F31/F32</f>
        <v>176.785703675892</v>
      </c>
    </row>
    <row r="34" customFormat="false" ht="15" hidden="false" customHeight="false" outlineLevel="0" collapsed="false">
      <c r="A34" s="0" t="s">
        <v>35</v>
      </c>
      <c r="B34" s="0" t="n">
        <f aca="false">1/(1+$B$13)^1</f>
        <v>0.909090909090909</v>
      </c>
      <c r="C34" s="0" t="n">
        <f aca="false">1/(1+$B$13)^2</f>
        <v>0.826446280991735</v>
      </c>
      <c r="D34" s="0" t="n">
        <f aca="false">1/(1+$B$13)^3</f>
        <v>0.751314800901578</v>
      </c>
      <c r="E34" s="0" t="n">
        <f aca="false">1/(1+$B$13)^4</f>
        <v>0.683013455365071</v>
      </c>
      <c r="F34" s="0" t="n">
        <f aca="false">1/(1+$B$13)^5</f>
        <v>0.620921323059155</v>
      </c>
    </row>
    <row r="35" customFormat="false" ht="15" hidden="false" customHeight="false" outlineLevel="0" collapsed="false">
      <c r="A35" s="0" t="s">
        <v>36</v>
      </c>
      <c r="B35" s="0" t="n">
        <f aca="false">B26*B34</f>
        <v>4317.13636363636</v>
      </c>
      <c r="C35" s="0" t="n">
        <f aca="false">C26*C34</f>
        <v>6514.95123966942</v>
      </c>
      <c r="D35" s="0" t="n">
        <f aca="false">D26*D34</f>
        <v>7758.71465815176</v>
      </c>
      <c r="E35" s="0" t="n">
        <f aca="false">E26*E34</f>
        <v>8224.23753764087</v>
      </c>
      <c r="F35" s="0" t="n">
        <f aca="false">F26*F34</f>
        <v>8714.97303368853</v>
      </c>
    </row>
    <row r="37" customFormat="false" ht="15" hidden="false" customHeight="false" outlineLevel="0" collapsed="false">
      <c r="A37" s="4" t="s">
        <v>37</v>
      </c>
    </row>
    <row r="38" customFormat="false" ht="15" hidden="false" customHeight="false" outlineLevel="0" collapsed="false">
      <c r="A38" s="0" t="s">
        <v>38</v>
      </c>
      <c r="B38" s="0" t="n">
        <f aca="false">SUM(B35:F35)</f>
        <v>35530.0128327869</v>
      </c>
    </row>
    <row r="39" customFormat="false" ht="15" hidden="false" customHeight="false" outlineLevel="0" collapsed="false">
      <c r="A39" s="0" t="s">
        <v>39</v>
      </c>
      <c r="B39" s="0" t="n">
        <f aca="false">F31</f>
        <v>250768.515139345</v>
      </c>
    </row>
    <row r="40" customFormat="false" ht="15" hidden="false" customHeight="false" outlineLevel="0" collapsed="false">
      <c r="A40" s="0" t="s">
        <v>33</v>
      </c>
      <c r="B40" s="0" t="n">
        <f aca="false">F32</f>
        <v>1418.488655616</v>
      </c>
    </row>
    <row r="41" customFormat="false" ht="15" hidden="false" customHeight="false" outlineLevel="0" collapsed="false">
      <c r="A41" s="0" t="s">
        <v>40</v>
      </c>
      <c r="B41" s="0" t="n">
        <f aca="false">B14</f>
        <v>1.4</v>
      </c>
    </row>
    <row r="42" customFormat="false" ht="15" hidden="false" customHeight="false" outlineLevel="0" collapsed="false">
      <c r="A42" s="0" t="s">
        <v>41</v>
      </c>
      <c r="B42" s="0" t="n">
        <f aca="false">B39*B41</f>
        <v>351075.921195083</v>
      </c>
    </row>
    <row r="43" customFormat="false" ht="15" hidden="false" customHeight="false" outlineLevel="0" collapsed="false">
      <c r="A43" s="0" t="s">
        <v>42</v>
      </c>
      <c r="B43" s="0" t="n">
        <f aca="false">B42-B39</f>
        <v>100307.406055738</v>
      </c>
    </row>
    <row r="44" customFormat="false" ht="15" hidden="false" customHeight="false" outlineLevel="0" collapsed="false">
      <c r="A44" s="0" t="s">
        <v>43</v>
      </c>
      <c r="B44" s="0" t="n">
        <f aca="false">B43/(1+$B$13)^5</f>
        <v>62283.0072807607</v>
      </c>
    </row>
    <row r="45" customFormat="false" ht="15" hidden="false" customHeight="false" outlineLevel="0" collapsed="false">
      <c r="A45" s="0" t="s">
        <v>44</v>
      </c>
      <c r="B45" s="0" t="n">
        <f aca="false">B10+B38+B44</f>
        <v>287767.020113548</v>
      </c>
    </row>
    <row r="46" customFormat="false" ht="15" hidden="false" customHeight="false" outlineLevel="0" collapsed="false">
      <c r="A46" s="4" t="s">
        <v>45</v>
      </c>
      <c r="B46" s="4" t="n">
        <f aca="false">B45/B6</f>
        <v>161.141796457357</v>
      </c>
    </row>
    <row r="47" customFormat="false" ht="15" hidden="false" customHeight="false" outlineLevel="0" collapsed="false">
      <c r="A47" s="0" t="s">
        <v>46</v>
      </c>
      <c r="B47" s="0" t="n">
        <f aca="false">B46/B11</f>
        <v>1.51493003629062</v>
      </c>
    </row>
    <row r="48" customFormat="false" ht="15" hidden="false" customHeight="false" outlineLevel="0" collapsed="false">
      <c r="A48" s="0" t="s">
        <v>47</v>
      </c>
      <c r="B48" s="0" t="n">
        <f aca="false">(B46-B5)/B5</f>
        <v>0.200043166944867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3" t="s">
        <v>49</v>
      </c>
    </row>
    <row r="2" customFormat="false" ht="15" hidden="false" customHeight="false" outlineLevel="0" collapsed="false">
      <c r="A2" s="0" t="s">
        <v>4</v>
      </c>
    </row>
    <row r="4" customFormat="false" ht="15" hidden="false" customHeight="false" outlineLevel="0" collapsed="false">
      <c r="A4" s="4" t="s">
        <v>5</v>
      </c>
    </row>
    <row r="5" customFormat="false" ht="15" hidden="false" customHeight="false" outlineLevel="0" collapsed="false">
      <c r="A5" s="0" t="s">
        <v>6</v>
      </c>
      <c r="B5" s="5" t="n">
        <v>134.28</v>
      </c>
    </row>
    <row r="6" customFormat="false" ht="15" hidden="false" customHeight="false" outlineLevel="0" collapsed="false">
      <c r="A6" s="0" t="s">
        <v>7</v>
      </c>
      <c r="B6" s="5" t="n">
        <v>1785.8</v>
      </c>
    </row>
    <row r="7" customFormat="false" ht="15" hidden="false" customHeight="false" outlineLevel="0" collapsed="false">
      <c r="A7" s="0" t="s">
        <v>8</v>
      </c>
      <c r="B7" s="5" t="n">
        <v>212413</v>
      </c>
    </row>
    <row r="8" customFormat="false" ht="15" hidden="false" customHeight="false" outlineLevel="0" collapsed="false">
      <c r="A8" s="0" t="s">
        <v>9</v>
      </c>
      <c r="B8" s="5" t="n">
        <v>22459</v>
      </c>
    </row>
    <row r="9" customFormat="false" ht="15" hidden="false" customHeight="false" outlineLevel="0" collapsed="false">
      <c r="A9" s="0" t="s">
        <v>10</v>
      </c>
    </row>
    <row r="10" customFormat="false" ht="15" hidden="false" customHeight="false" outlineLevel="0" collapsed="false">
      <c r="A10" s="0" t="s">
        <v>11</v>
      </c>
      <c r="B10" s="0" t="n">
        <f aca="false">B7-B8</f>
        <v>189954</v>
      </c>
    </row>
    <row r="11" customFormat="false" ht="15" hidden="false" customHeight="false" outlineLevel="0" collapsed="false">
      <c r="A11" s="0" t="s">
        <v>12</v>
      </c>
      <c r="B11" s="0" t="n">
        <f aca="false">B10/B6</f>
        <v>106.369134281555</v>
      </c>
    </row>
    <row r="13" customFormat="false" ht="15" hidden="false" customHeight="false" outlineLevel="0" collapsed="false">
      <c r="A13" s="0" t="s">
        <v>13</v>
      </c>
      <c r="B13" s="5" t="n">
        <v>0.12</v>
      </c>
    </row>
    <row r="14" customFormat="false" ht="15" hidden="false" customHeight="false" outlineLevel="0" collapsed="false">
      <c r="A14" s="0" t="s">
        <v>14</v>
      </c>
      <c r="B14" s="5" t="n">
        <v>0.9</v>
      </c>
    </row>
    <row r="15" customFormat="false" ht="15" hidden="false" customHeight="false" outlineLevel="0" collapsed="false">
      <c r="A15" s="0" t="s">
        <v>15</v>
      </c>
      <c r="B15" s="5" t="n">
        <v>0.4</v>
      </c>
    </row>
    <row r="17" customFormat="false" ht="15" hidden="false" customHeight="false" outlineLevel="0" collapsed="false">
      <c r="A17" s="4" t="s">
        <v>16</v>
      </c>
    </row>
    <row r="18" customFormat="false" ht="15" hidden="false" customHeight="false" outlineLevel="0" collapsed="false">
      <c r="B18" s="0" t="s">
        <v>17</v>
      </c>
      <c r="C18" s="0" t="s">
        <v>18</v>
      </c>
      <c r="D18" s="0" t="s">
        <v>19</v>
      </c>
      <c r="E18" s="0" t="s">
        <v>20</v>
      </c>
      <c r="F18" s="0" t="s">
        <v>21</v>
      </c>
    </row>
    <row r="19" customFormat="false" ht="15" hidden="false" customHeight="false" outlineLevel="0" collapsed="false">
      <c r="A19" s="0" t="s">
        <v>22</v>
      </c>
      <c r="B19" s="5" t="n">
        <v>0.095</v>
      </c>
      <c r="C19" s="5" t="n">
        <v>0.09</v>
      </c>
      <c r="D19" s="5" t="n">
        <v>0.09</v>
      </c>
      <c r="E19" s="5" t="n">
        <v>0.095</v>
      </c>
      <c r="F19" s="5" t="n">
        <v>0.095</v>
      </c>
    </row>
    <row r="20" customFormat="false" ht="15" hidden="false" customHeight="false" outlineLevel="0" collapsed="false">
      <c r="A20" s="0" t="s">
        <v>23</v>
      </c>
      <c r="B20" s="5" t="n">
        <v>0.025</v>
      </c>
      <c r="C20" s="5" t="n">
        <v>0.02</v>
      </c>
      <c r="D20" s="5" t="n">
        <v>0.02</v>
      </c>
      <c r="E20" s="5" t="n">
        <v>0.02</v>
      </c>
      <c r="F20" s="5" t="n">
        <v>0.02</v>
      </c>
    </row>
    <row r="22" customFormat="false" ht="15" hidden="false" customHeight="false" outlineLevel="0" collapsed="false">
      <c r="A22" s="4" t="s">
        <v>24</v>
      </c>
    </row>
    <row r="23" customFormat="false" ht="15" hidden="false" customHeight="false" outlineLevel="0" collapsed="false">
      <c r="B23" s="0" t="s">
        <v>17</v>
      </c>
      <c r="C23" s="0" t="s">
        <v>18</v>
      </c>
      <c r="D23" s="0" t="s">
        <v>19</v>
      </c>
      <c r="E23" s="0" t="s">
        <v>20</v>
      </c>
      <c r="F23" s="0" t="s">
        <v>21</v>
      </c>
    </row>
    <row r="24" customFormat="false" ht="15" hidden="false" customHeight="false" outlineLevel="0" collapsed="false">
      <c r="A24" s="0" t="s">
        <v>25</v>
      </c>
      <c r="B24" s="0" t="n">
        <f aca="false">$B$10</f>
        <v>189954</v>
      </c>
      <c r="C24" s="0" t="n">
        <f aca="false">B31</f>
        <v>196032.528</v>
      </c>
      <c r="D24" s="0" t="n">
        <f aca="false">C31</f>
        <v>202697.633952</v>
      </c>
      <c r="E24" s="0" t="n">
        <f aca="false">D31</f>
        <v>209589.353506368</v>
      </c>
      <c r="F24" s="0" t="n">
        <f aca="false">E31</f>
        <v>217344.159586104</v>
      </c>
    </row>
    <row r="25" customFormat="false" ht="15" hidden="false" customHeight="false" outlineLevel="0" collapsed="false">
      <c r="A25" s="0" t="s">
        <v>26</v>
      </c>
      <c r="B25" s="0" t="n">
        <f aca="false">B19*B24</f>
        <v>18045.63</v>
      </c>
      <c r="C25" s="0" t="n">
        <f aca="false">C19*C24</f>
        <v>17642.92752</v>
      </c>
      <c r="D25" s="0" t="n">
        <f aca="false">D19*D24</f>
        <v>18242.78705568</v>
      </c>
      <c r="E25" s="0" t="n">
        <f aca="false">E19*E24</f>
        <v>19910.988583105</v>
      </c>
      <c r="F25" s="0" t="n">
        <f aca="false">F19*F24</f>
        <v>20647.6951606798</v>
      </c>
    </row>
    <row r="26" customFormat="false" ht="15" hidden="false" customHeight="false" outlineLevel="0" collapsed="false">
      <c r="A26" s="0" t="s">
        <v>27</v>
      </c>
      <c r="B26" s="0" t="n">
        <f aca="false">(B19-$B$13)*B24</f>
        <v>-4748.85</v>
      </c>
      <c r="C26" s="0" t="n">
        <f aca="false">(C19-$B$13)*C24</f>
        <v>-5880.97584</v>
      </c>
      <c r="D26" s="0" t="n">
        <f aca="false">(D19-$B$13)*D24</f>
        <v>-6080.92901856</v>
      </c>
      <c r="E26" s="0" t="n">
        <f aca="false">(E19-$B$13)*E24</f>
        <v>-5239.7338376592</v>
      </c>
      <c r="F26" s="0" t="n">
        <f aca="false">(F19-$B$13)*F24</f>
        <v>-5433.60398965259</v>
      </c>
    </row>
    <row r="27" customFormat="false" ht="15" hidden="false" customHeight="false" outlineLevel="0" collapsed="false">
      <c r="A27" s="0" t="s">
        <v>28</v>
      </c>
      <c r="B27" s="0" t="n">
        <f aca="false">B25*$B$15</f>
        <v>7218.252</v>
      </c>
      <c r="C27" s="0" t="n">
        <f aca="false">C25*$B$15</f>
        <v>7057.171008</v>
      </c>
      <c r="D27" s="0" t="n">
        <f aca="false">D25*$B$15</f>
        <v>7297.114822272</v>
      </c>
      <c r="E27" s="0" t="n">
        <f aca="false">E25*$B$15</f>
        <v>7964.39543324198</v>
      </c>
      <c r="F27" s="0" t="n">
        <f aca="false">F25*$B$15</f>
        <v>8259.07806427194</v>
      </c>
    </row>
    <row r="28" customFormat="false" ht="15" hidden="false" customHeight="false" outlineLevel="0" collapsed="false">
      <c r="A28" s="0" t="s">
        <v>29</v>
      </c>
      <c r="B28" s="0" t="n">
        <f aca="false">B25-B27</f>
        <v>10827.378</v>
      </c>
      <c r="C28" s="0" t="n">
        <f aca="false">C25-C27</f>
        <v>10585.756512</v>
      </c>
      <c r="D28" s="0" t="n">
        <f aca="false">D25-D27</f>
        <v>10945.672233408</v>
      </c>
      <c r="E28" s="0" t="n">
        <f aca="false">E25-E27</f>
        <v>11946.593149863</v>
      </c>
      <c r="F28" s="0" t="n">
        <f aca="false">F25-F27</f>
        <v>12388.6170964079</v>
      </c>
    </row>
    <row r="29" customFormat="false" ht="15" hidden="false" customHeight="false" outlineLevel="0" collapsed="false">
      <c r="A29" s="0" t="s">
        <v>30</v>
      </c>
      <c r="B29" s="0" t="n">
        <f aca="false">$B$6*B20</f>
        <v>44.645</v>
      </c>
      <c r="C29" s="0" t="n">
        <f aca="false">B32*C20</f>
        <v>34.8231</v>
      </c>
      <c r="D29" s="0" t="n">
        <f aca="false">C32*D20</f>
        <v>34.126638</v>
      </c>
      <c r="E29" s="0" t="n">
        <f aca="false">D32*E20</f>
        <v>33.44410524</v>
      </c>
      <c r="F29" s="0" t="n">
        <f aca="false">E32*F20</f>
        <v>32.7752231352</v>
      </c>
    </row>
    <row r="30" customFormat="false" ht="15" hidden="false" customHeight="false" outlineLevel="0" collapsed="false">
      <c r="A30" s="0" t="s">
        <v>31</v>
      </c>
      <c r="B30" s="0" t="n">
        <f aca="false">B29*(B24/$B$6)</f>
        <v>4748.85</v>
      </c>
      <c r="C30" s="0" t="n">
        <f aca="false">C29*(C24/B32)</f>
        <v>3920.65056</v>
      </c>
      <c r="D30" s="0" t="n">
        <f aca="false">D29*(D24/C32)</f>
        <v>4053.95267904</v>
      </c>
      <c r="E30" s="0" t="n">
        <f aca="false">E29*(E24/D32)</f>
        <v>4191.78707012736</v>
      </c>
      <c r="F30" s="0" t="n">
        <f aca="false">F29*(F24/E32)</f>
        <v>4346.88319172207</v>
      </c>
    </row>
    <row r="31" customFormat="false" ht="15" hidden="false" customHeight="false" outlineLevel="0" collapsed="false">
      <c r="A31" s="0" t="s">
        <v>32</v>
      </c>
      <c r="B31" s="0" t="n">
        <f aca="false">B24+B28-B30</f>
        <v>196032.528</v>
      </c>
      <c r="C31" s="0" t="n">
        <f aca="false">C24+C28-C30</f>
        <v>202697.633952</v>
      </c>
      <c r="D31" s="0" t="n">
        <f aca="false">D24+D28-D30</f>
        <v>209589.353506368</v>
      </c>
      <c r="E31" s="0" t="n">
        <f aca="false">E24+E28-E30</f>
        <v>217344.159586104</v>
      </c>
      <c r="F31" s="0" t="n">
        <f aca="false">F24+F28-F30</f>
        <v>225385.893490789</v>
      </c>
    </row>
    <row r="32" customFormat="false" ht="15" hidden="false" customHeight="false" outlineLevel="0" collapsed="false">
      <c r="A32" s="0" t="s">
        <v>33</v>
      </c>
      <c r="B32" s="0" t="n">
        <f aca="false">$B$6-B29</f>
        <v>1741.155</v>
      </c>
      <c r="C32" s="0" t="n">
        <f aca="false">B32-C29</f>
        <v>1706.3319</v>
      </c>
      <c r="D32" s="0" t="n">
        <f aca="false">C32-D29</f>
        <v>1672.205262</v>
      </c>
      <c r="E32" s="0" t="n">
        <f aca="false">D32-E29</f>
        <v>1638.76115676</v>
      </c>
      <c r="F32" s="0" t="n">
        <f aca="false">E32-F29</f>
        <v>1605.9859336248</v>
      </c>
    </row>
    <row r="33" customFormat="false" ht="15" hidden="false" customHeight="false" outlineLevel="0" collapsed="false">
      <c r="A33" s="0" t="s">
        <v>34</v>
      </c>
      <c r="B33" s="0" t="n">
        <f aca="false">B31/B32</f>
        <v>112.587637516476</v>
      </c>
      <c r="C33" s="0" t="n">
        <f aca="false">C31/C32</f>
        <v>118.791446114323</v>
      </c>
      <c r="D33" s="0" t="n">
        <f aca="false">D31/D32</f>
        <v>125.337097226745</v>
      </c>
      <c r="E33" s="0" t="n">
        <f aca="false">E31/E32</f>
        <v>132.627112065443</v>
      </c>
      <c r="F33" s="0" t="n">
        <f aca="false">F31/F32</f>
        <v>140.34113797129</v>
      </c>
    </row>
    <row r="34" customFormat="false" ht="15" hidden="false" customHeight="false" outlineLevel="0" collapsed="false">
      <c r="A34" s="0" t="s">
        <v>35</v>
      </c>
      <c r="B34" s="0" t="n">
        <f aca="false">1/(1+$B$13)^1</f>
        <v>0.892857142857143</v>
      </c>
      <c r="C34" s="0" t="n">
        <f aca="false">1/(1+$B$13)^2</f>
        <v>0.79719387755102</v>
      </c>
      <c r="D34" s="0" t="n">
        <f aca="false">1/(1+$B$13)^3</f>
        <v>0.711780247813411</v>
      </c>
      <c r="E34" s="0" t="n">
        <f aca="false">1/(1+$B$13)^4</f>
        <v>0.635518078404831</v>
      </c>
      <c r="F34" s="0" t="n">
        <f aca="false">1/(1+$B$13)^5</f>
        <v>0.567426855718599</v>
      </c>
    </row>
    <row r="35" customFormat="false" ht="15" hidden="false" customHeight="false" outlineLevel="0" collapsed="false">
      <c r="A35" s="0" t="s">
        <v>36</v>
      </c>
      <c r="B35" s="0" t="n">
        <f aca="false">B26*B34</f>
        <v>-4240.04464285714</v>
      </c>
      <c r="C35" s="0" t="n">
        <f aca="false">C26*C34</f>
        <v>-4688.27793367347</v>
      </c>
      <c r="D35" s="0" t="n">
        <f aca="false">D26*D34</f>
        <v>-4328.2851637664</v>
      </c>
      <c r="E35" s="0" t="n">
        <f aca="false">E26*E34</f>
        <v>-3329.94557986194</v>
      </c>
      <c r="F35" s="0" t="n">
        <f aca="false">F26*F34</f>
        <v>-3083.1728270686</v>
      </c>
    </row>
    <row r="37" customFormat="false" ht="15" hidden="false" customHeight="false" outlineLevel="0" collapsed="false">
      <c r="A37" s="4" t="s">
        <v>37</v>
      </c>
    </row>
    <row r="38" customFormat="false" ht="15" hidden="false" customHeight="false" outlineLevel="0" collapsed="false">
      <c r="A38" s="0" t="s">
        <v>38</v>
      </c>
      <c r="B38" s="0" t="n">
        <f aca="false">SUM(B35:F35)</f>
        <v>-19669.7261472276</v>
      </c>
    </row>
    <row r="39" customFormat="false" ht="15" hidden="false" customHeight="false" outlineLevel="0" collapsed="false">
      <c r="A39" s="0" t="s">
        <v>39</v>
      </c>
      <c r="B39" s="0" t="n">
        <f aca="false">F31</f>
        <v>225385.893490789</v>
      </c>
    </row>
    <row r="40" customFormat="false" ht="15" hidden="false" customHeight="false" outlineLevel="0" collapsed="false">
      <c r="A40" s="0" t="s">
        <v>33</v>
      </c>
      <c r="B40" s="0" t="n">
        <f aca="false">F32</f>
        <v>1605.9859336248</v>
      </c>
    </row>
    <row r="41" customFormat="false" ht="15" hidden="false" customHeight="false" outlineLevel="0" collapsed="false">
      <c r="A41" s="0" t="s">
        <v>40</v>
      </c>
      <c r="B41" s="0" t="n">
        <f aca="false">B14</f>
        <v>0.9</v>
      </c>
    </row>
    <row r="42" customFormat="false" ht="15" hidden="false" customHeight="false" outlineLevel="0" collapsed="false">
      <c r="A42" s="0" t="s">
        <v>41</v>
      </c>
      <c r="B42" s="0" t="n">
        <f aca="false">B39*B41</f>
        <v>202847.30414171</v>
      </c>
    </row>
    <row r="43" customFormat="false" ht="15" hidden="false" customHeight="false" outlineLevel="0" collapsed="false">
      <c r="A43" s="0" t="s">
        <v>42</v>
      </c>
      <c r="B43" s="0" t="n">
        <f aca="false">B42-B39</f>
        <v>-22538.5893490789</v>
      </c>
    </row>
    <row r="44" customFormat="false" ht="15" hidden="false" customHeight="false" outlineLevel="0" collapsed="false">
      <c r="A44" s="0" t="s">
        <v>43</v>
      </c>
      <c r="B44" s="0" t="n">
        <f aca="false">B43/(1+$B$13)^5</f>
        <v>-12789.0008866806</v>
      </c>
    </row>
    <row r="45" customFormat="false" ht="15" hidden="false" customHeight="false" outlineLevel="0" collapsed="false">
      <c r="A45" s="0" t="s">
        <v>44</v>
      </c>
      <c r="B45" s="0" t="n">
        <f aca="false">B10+B38+B44</f>
        <v>157495.272966092</v>
      </c>
    </row>
    <row r="46" customFormat="false" ht="15" hidden="false" customHeight="false" outlineLevel="0" collapsed="false">
      <c r="A46" s="4" t="s">
        <v>45</v>
      </c>
      <c r="B46" s="4" t="n">
        <f aca="false">B45/B6</f>
        <v>88.1931195912711</v>
      </c>
    </row>
    <row r="47" customFormat="false" ht="15" hidden="false" customHeight="false" outlineLevel="0" collapsed="false">
      <c r="A47" s="0" t="s">
        <v>46</v>
      </c>
      <c r="B47" s="0" t="n">
        <f aca="false">B46/B11</f>
        <v>0.829123224391652</v>
      </c>
    </row>
    <row r="48" customFormat="false" ht="15" hidden="false" customHeight="false" outlineLevel="0" collapsed="false">
      <c r="A48" s="0" t="s">
        <v>47</v>
      </c>
      <c r="B48" s="0" t="n">
        <f aca="false">(B46-B5)/B5</f>
        <v>-0.343214778140668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3" t="s">
        <v>50</v>
      </c>
    </row>
    <row r="3" customFormat="false" ht="15" hidden="false" customHeight="false" outlineLevel="0" collapsed="false">
      <c r="A3" s="4" t="s">
        <v>51</v>
      </c>
    </row>
    <row r="4" customFormat="false" ht="1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</row>
    <row r="5" customFormat="false" ht="15" hidden="false" customHeight="false" outlineLevel="0" collapsed="false">
      <c r="A5" s="0" t="s">
        <v>57</v>
      </c>
      <c r="B5" s="0" t="n">
        <f aca="false">'Bear Case'!B46</f>
        <v>88.1931195912711</v>
      </c>
      <c r="C5" s="0" t="n">
        <f aca="false">(B5-B10)/B10</f>
        <v>-0.343214778140668</v>
      </c>
      <c r="D5" s="0" t="n">
        <f aca="false">'Bear Case'!B47</f>
        <v>0.829123224391652</v>
      </c>
      <c r="E5" s="5" t="n">
        <v>0.25</v>
      </c>
    </row>
    <row r="6" customFormat="false" ht="15" hidden="false" customHeight="false" outlineLevel="0" collapsed="false">
      <c r="A6" s="0" t="s">
        <v>58</v>
      </c>
      <c r="B6" s="0" t="n">
        <f aca="false">'Base Case'!B46</f>
        <v>123.89735367547</v>
      </c>
      <c r="C6" s="0" t="n">
        <f aca="false">(B6-B10)/B10</f>
        <v>-0.077320869262216</v>
      </c>
      <c r="D6" s="0" t="n">
        <f aca="false">'Base Case'!B47</f>
        <v>1.16478670727468</v>
      </c>
      <c r="E6" s="5" t="n">
        <v>0.5</v>
      </c>
    </row>
    <row r="7" customFormat="false" ht="15" hidden="false" customHeight="false" outlineLevel="0" collapsed="false">
      <c r="A7" s="0" t="s">
        <v>59</v>
      </c>
      <c r="B7" s="0" t="n">
        <f aca="false">'Bull Case'!B46</f>
        <v>161.141796457357</v>
      </c>
      <c r="C7" s="0" t="n">
        <f aca="false">(B7-B10)/B10</f>
        <v>0.200043166944867</v>
      </c>
      <c r="D7" s="0" t="n">
        <f aca="false">'Bull Case'!B47</f>
        <v>1.51493003629062</v>
      </c>
      <c r="E7" s="5" t="n">
        <v>0.25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60</v>
      </c>
      <c r="B10" s="5" t="n">
        <v>134.28</v>
      </c>
    </row>
    <row r="12" customFormat="false" ht="15" hidden="false" customHeight="false" outlineLevel="0" collapsed="false">
      <c r="A12" s="4" t="s">
        <v>61</v>
      </c>
      <c r="B12" s="4" t="n">
        <f aca="false">B5*E5+B6*E6+B7*E7</f>
        <v>124.282405849892</v>
      </c>
    </row>
    <row r="13" customFormat="false" ht="15" hidden="false" customHeight="false" outlineLevel="0" collapsed="false">
      <c r="A13" s="0" t="s">
        <v>62</v>
      </c>
      <c r="B13" s="0" t="n">
        <f aca="false">(B12-B10)/B10</f>
        <v>-0.0744533374300585</v>
      </c>
    </row>
    <row r="15" customFormat="false" ht="15" hidden="false" customHeight="false" outlineLevel="0" collapsed="false">
      <c r="A15" s="4" t="s">
        <v>63</v>
      </c>
    </row>
    <row r="16" customFormat="false" ht="15" hidden="false" customHeight="false" outlineLevel="0" collapsed="false">
      <c r="A16" s="0" t="s">
        <v>64</v>
      </c>
      <c r="B16" s="0" t="n">
        <f aca="false">'Base Case'!B42</f>
        <v>272965.46928397</v>
      </c>
    </row>
    <row r="17" customFormat="false" ht="15" hidden="false" customHeight="false" outlineLevel="0" collapsed="false">
      <c r="A17" s="0" t="s">
        <v>65</v>
      </c>
      <c r="B17" s="0" t="n">
        <f aca="false">'Base Case'!B40</f>
        <v>1494.32845575168</v>
      </c>
    </row>
    <row r="18" customFormat="false" ht="15" hidden="false" customHeight="false" outlineLevel="0" collapsed="false">
      <c r="A18" s="0" t="s">
        <v>66</v>
      </c>
      <c r="B18" s="0" t="n">
        <f aca="false">B16/B17</f>
        <v>182.667651300706</v>
      </c>
    </row>
    <row r="19" customFormat="false" ht="15" hidden="false" customHeight="false" outlineLevel="0" collapsed="false">
      <c r="A19" s="0" t="s">
        <v>67</v>
      </c>
      <c r="B19" s="5" t="n">
        <v>5</v>
      </c>
    </row>
    <row r="20" customFormat="false" ht="15" hidden="false" customHeight="false" outlineLevel="0" collapsed="false">
      <c r="A20" s="0" t="s">
        <v>68</v>
      </c>
      <c r="B20" s="0" t="n">
        <f aca="false">B18/(1.15^B19)</f>
        <v>90.8181065182914</v>
      </c>
    </row>
    <row r="21" customFormat="false" ht="15" hidden="false" customHeight="false" outlineLevel="0" collapsed="false">
      <c r="A21" s="0" t="s">
        <v>69</v>
      </c>
      <c r="B21" s="0" t="n">
        <f aca="false">(B20-B10)/B10</f>
        <v>-0.323666171296608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3" t="s">
        <v>70</v>
      </c>
    </row>
    <row r="2" customFormat="false" ht="15" hidden="false" customHeight="false" outlineLevel="0" collapsed="false">
      <c r="A2" s="0" t="s">
        <v>71</v>
      </c>
    </row>
    <row r="3" customFormat="false" ht="15" hidden="false" customHeight="false" outlineLevel="0" collapsed="false">
      <c r="A3" s="0" t="s">
        <v>72</v>
      </c>
    </row>
    <row r="5" customFormat="false" ht="15" hidden="false" customHeight="false" outlineLevel="0" collapsed="false">
      <c r="A5" s="0" t="s">
        <v>73</v>
      </c>
      <c r="B5" s="0" t="n">
        <v>0.85</v>
      </c>
      <c r="C5" s="0" t="n">
        <v>1</v>
      </c>
      <c r="D5" s="0" t="n">
        <v>1.15</v>
      </c>
      <c r="E5" s="0" t="n">
        <v>1.3</v>
      </c>
      <c r="F5" s="0" t="n">
        <v>1.45</v>
      </c>
    </row>
    <row r="6" customFormat="false" ht="15" hidden="false" customHeight="false" outlineLevel="0" collapsed="false">
      <c r="A6" s="0" t="n">
        <v>0.09</v>
      </c>
      <c r="B6" s="0" t="n">
        <v>108.38</v>
      </c>
      <c r="C6" s="0" t="n">
        <v>121.34</v>
      </c>
      <c r="D6" s="0" t="n">
        <v>134.3</v>
      </c>
      <c r="E6" s="0" t="n">
        <v>147.26</v>
      </c>
      <c r="F6" s="0" t="n">
        <v>160.21</v>
      </c>
    </row>
    <row r="7" customFormat="false" ht="15" hidden="false" customHeight="false" outlineLevel="0" collapsed="false">
      <c r="A7" s="0" t="n">
        <v>0.1</v>
      </c>
      <c r="B7" s="0" t="n">
        <v>104.2</v>
      </c>
      <c r="C7" s="0" t="n">
        <v>116.58</v>
      </c>
      <c r="D7" s="0" t="n">
        <v>128.96</v>
      </c>
      <c r="E7" s="0" t="n">
        <v>141.34</v>
      </c>
      <c r="F7" s="0" t="n">
        <v>153.72</v>
      </c>
    </row>
    <row r="8" customFormat="false" ht="15" hidden="false" customHeight="false" outlineLevel="0" collapsed="false">
      <c r="A8" s="0" t="n">
        <v>0.11</v>
      </c>
      <c r="B8" s="0" t="n">
        <v>100.23</v>
      </c>
      <c r="C8" s="0" t="n">
        <v>112.07</v>
      </c>
      <c r="D8" s="0" t="n">
        <v>123.9</v>
      </c>
      <c r="E8" s="0" t="n">
        <v>135.73</v>
      </c>
      <c r="F8" s="0" t="n">
        <v>147.56</v>
      </c>
    </row>
    <row r="9" customFormat="false" ht="15" hidden="false" customHeight="false" outlineLevel="0" collapsed="false">
      <c r="A9" s="0" t="n">
        <v>0.12</v>
      </c>
      <c r="B9" s="0" t="n">
        <v>96.46</v>
      </c>
      <c r="C9" s="0" t="n">
        <v>107.78</v>
      </c>
      <c r="D9" s="0" t="n">
        <v>119.09</v>
      </c>
      <c r="E9" s="0" t="n">
        <v>130.4</v>
      </c>
      <c r="F9" s="0" t="n">
        <v>141.71</v>
      </c>
    </row>
    <row r="10" customFormat="false" ht="15" hidden="false" customHeight="false" outlineLevel="0" collapsed="false">
      <c r="A10" s="0" t="n">
        <v>0.13</v>
      </c>
      <c r="B10" s="0" t="n">
        <v>92.88</v>
      </c>
      <c r="C10" s="0" t="n">
        <v>103.7</v>
      </c>
      <c r="D10" s="0" t="n">
        <v>114.52</v>
      </c>
      <c r="E10" s="0" t="n">
        <v>125.34</v>
      </c>
      <c r="F10" s="0" t="n">
        <v>136.16</v>
      </c>
    </row>
    <row r="12" customFormat="false" ht="15" hidden="false" customHeight="false" outlineLevel="0" collapsed="false">
      <c r="A12" s="0" t="s">
        <v>74</v>
      </c>
    </row>
    <row r="13" customFormat="false" ht="15" hidden="false" customHeight="false" outlineLevel="0" collapsed="false">
      <c r="A13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76</v>
      </c>
    </row>
    <row r="2" customFormat="false" ht="15" hidden="false" customHeight="false" outlineLevel="0" collapsed="false">
      <c r="A2" s="0" t="s">
        <v>77</v>
      </c>
    </row>
    <row r="4" customFormat="false" ht="15" hidden="false" customHeight="false" outlineLevel="0" collapsed="false">
      <c r="A4" s="4" t="s">
        <v>78</v>
      </c>
      <c r="B4" s="4" t="s">
        <v>79</v>
      </c>
    </row>
    <row r="5" customFormat="false" ht="15" hidden="false" customHeight="false" outlineLevel="0" collapsed="false">
      <c r="A5" s="0" t="s">
        <v>80</v>
      </c>
      <c r="B5" s="0" t="n">
        <v>0.0303</v>
      </c>
    </row>
    <row r="6" customFormat="false" ht="15" hidden="false" customHeight="false" outlineLevel="0" collapsed="false">
      <c r="A6" s="0" t="s">
        <v>81</v>
      </c>
      <c r="B6" s="0" t="n">
        <v>0.0244</v>
      </c>
    </row>
    <row r="7" customFormat="false" ht="15" hidden="false" customHeight="false" outlineLevel="0" collapsed="false">
      <c r="A7" s="0" t="s">
        <v>82</v>
      </c>
      <c r="B7" s="0" t="n">
        <v>0.0194</v>
      </c>
    </row>
    <row r="8" customFormat="false" ht="15" hidden="false" customHeight="false" outlineLevel="0" collapsed="false">
      <c r="A8" s="0" t="s">
        <v>83</v>
      </c>
      <c r="B8" s="0" t="n">
        <v>0.0133</v>
      </c>
    </row>
    <row r="9" customFormat="false" ht="15" hidden="false" customHeight="false" outlineLevel="0" collapsed="false">
      <c r="A9" s="0" t="s">
        <v>84</v>
      </c>
      <c r="B9" s="0" t="n">
        <v>0.0033</v>
      </c>
    </row>
    <row r="10" customFormat="false" ht="15" hidden="false" customHeight="false" outlineLevel="0" collapsed="false">
      <c r="A10" s="0" t="s">
        <v>85</v>
      </c>
      <c r="B10" s="0" t="n">
        <v>0.0845</v>
      </c>
    </row>
    <row r="11" customFormat="false" ht="15" hidden="false" customHeight="false" outlineLevel="0" collapsed="false">
      <c r="A11" s="0" t="s">
        <v>86</v>
      </c>
      <c r="B11" s="0" t="n">
        <v>0.074</v>
      </c>
    </row>
    <row r="12" customFormat="false" ht="15" hidden="false" customHeight="false" outlineLevel="0" collapsed="false">
      <c r="A12" s="0" t="s">
        <v>87</v>
      </c>
      <c r="B12" s="0" t="n">
        <v>0.0455</v>
      </c>
    </row>
    <row r="13" customFormat="false" ht="15" hidden="false" customHeight="false" outlineLevel="0" collapsed="false">
      <c r="A13" s="0" t="s">
        <v>88</v>
      </c>
      <c r="B13" s="0" t="n">
        <v>0.0613</v>
      </c>
    </row>
    <row r="14" customFormat="false" ht="15" hidden="false" customHeight="false" outlineLevel="0" collapsed="false">
      <c r="A14" s="0" t="s">
        <v>89</v>
      </c>
      <c r="B14" s="0" t="n">
        <v>0.0676</v>
      </c>
    </row>
    <row r="15" customFormat="false" ht="15" hidden="false" customHeight="false" outlineLevel="0" collapsed="false">
      <c r="A15" s="0" t="s">
        <v>90</v>
      </c>
      <c r="B15" s="0" t="n">
        <v>0.0833</v>
      </c>
    </row>
    <row r="16" customFormat="false" ht="15" hidden="false" customHeight="false" outlineLevel="0" collapsed="false">
      <c r="A16" s="0" t="s">
        <v>91</v>
      </c>
      <c r="B16" s="0" t="n">
        <v>0.051</v>
      </c>
    </row>
    <row r="17" customFormat="false" ht="15" hidden="false" customHeight="false" outlineLevel="0" collapsed="false">
      <c r="A17" s="0" t="s">
        <v>92</v>
      </c>
      <c r="B17" s="0" t="n">
        <v>0.0687</v>
      </c>
    </row>
    <row r="18" customFormat="false" ht="15" hidden="false" customHeight="false" outlineLevel="0" collapsed="false">
      <c r="A18" s="0" t="s">
        <v>93</v>
      </c>
      <c r="B18" s="0" t="n">
        <v>0.0755</v>
      </c>
    </row>
    <row r="19" customFormat="false" ht="15" hidden="false" customHeight="false" outlineLevel="0" collapsed="false">
      <c r="A19" s="0" t="s">
        <v>94</v>
      </c>
      <c r="B19" s="0" t="n">
        <v>0.131</v>
      </c>
    </row>
    <row r="21" customFormat="false" ht="15" hidden="false" customHeight="false" outlineLevel="0" collapsed="false">
      <c r="A21" s="4" t="s">
        <v>95</v>
      </c>
    </row>
    <row r="22" customFormat="false" ht="90" hidden="false" customHeight="true" outlineLevel="0" collapsed="false">
      <c r="A22" s="6" t="s">
        <v>96</v>
      </c>
      <c r="B22" s="6"/>
      <c r="C22" s="6"/>
      <c r="D22" s="6"/>
      <c r="E22" s="6"/>
      <c r="F22" s="6"/>
    </row>
  </sheetData>
  <mergeCells count="1"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2026-09-26T00:23:08Z</dcterms:created>
  <dc:creator>openpyxl</dc:creator>
  <dc:description/>
  <dc:language>en-NZ</dc:language>
  <cp:lastModifiedBy/>
  <dcterms:modified xsi:type="dcterms:W3CDTF">2026-09-26T00:23:08Z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