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<sst xmlns="http://schemas.openxmlformats.org/spreadsheetml/2006/main" count="353" uniqueCount="165">
  <si>
    <t xml:space="preserve">Ticker</t>
  </si>
  <si>
    <t xml:space="preserve">2096.HK</t>
  </si>
  <si>
    <t xml:space="preserve">Company</t>
  </si>
  <si>
    <t xml:space="preserve">Simcere Pharmaceutical Group Limited</t>
  </si>
  <si>
    <t xml:space="preserve">Valuation date</t>
  </si>
  <si>
    <t xml:space="preserve">2026-10-17</t>
  </si>
  <si>
    <t xml:space="preserve">Current price</t>
  </si>
  <si>
    <t xml:space="preserve">Price as of</t>
  </si>
  <si>
    <t xml:space="preserve">2026-10-16T08:08:14Z regular close (HKEX)</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</si>
  <si>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</si>
  <si>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</si>
  <si>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</si>
  <si>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</si>
  <si>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</si>
  <si>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</si>
  <si>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</si>
  <si>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</si>
  <si>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</si>
  <si>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</si>
  <si>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</si>
  <si>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</si>
  <si>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</si>
  <si>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2026-10-17T03:00:23Z</t>
  </si>
  <si>
    <t xml:space="preserve">Drivers file</t>
  </si>
  <si>
    <t xml:space="preserve">2096.HK_Drivers.json</t>
  </si>
  <si>
    <t xml:space="preserve">Convention</t>
  </si>
  <si>
    <t xml:space="preserve">Percents stored as percents; formulas divide by 100. Blue = input, green = link, black = formula.</t>
  </si>
  <si>
    <t xml:space="preserve">Methodology</t>
  </si>
  <si>
    <t xml:space="preserve">summary: Value the consolidated operating pharma on owner FCF (SBC expensed, in-licensing payments treated as recurring capex), add net cash and investment securities, deduct the Simcere Zaiming investors' redemption claim and NCI. Licensing upfronts are treated as recurring at a normalised rate, not capitalised from the FY2026 peak.
key_risks_to_valuation: NRDL renewal / VBP pricing on Sanbexin and the oncology portfolio; Lumpiness of licensing income; FY2026 is a peak year (Boehringer EUR42m + Roche US$75m upfronts); Simcere Zaiming spin-off: the minority claim after IPO may be worth more than the RMB1.22bn redemption liability deducted; In-licensing spend could re-accelerate above the 4-5%-of-revenue normalised level (RMB513m FY2025); FVPL book (RMB1.2bn) includes private biotech stakes carried at Level-3 fair value; CNY/HKD rate moves directly through the HKD per-share value</t>
  </si>
  <si>
    <t xml:space="preserve">Data sources</t>
  </si>
  <si>
    <t xml:space="preserve">price: Yahoo Finance chart API at inputs.price_as_of; 52-week range 9.07-14.38 HKD
financials: 2096.HK_Metrics.csv (CNY millions); FY2025 annual report (P&amp;L, cash flow, note 6(c) D&amp;A, SBC reconciliation); H1 FY2026 interim report (balance sheet at 30 Jun 2026, note 8 EPS/share count, note 19 redemption liability, repurchase table)
fx: Yahoo Finance CNYHKD=X, cross-checked with USDCNY=X and HKD=X
qualitative: 2096.HK_Analysis.json (2026-10-17)</t>
  </si>
  <si>
    <t xml:space="preserve">Scenario narrative: bear</t>
  </si>
  <si>
    <t xml:space="preserve">China's payer squeezes the franchise: a harsh Sanbexin NRDL renewal or VBP/generic entry on edaravone-dexborneol cuts the largest product, crowded PD-(L)1/ADC/JAK categories cap the oncology and autoimmune launches, and BD deal flow stalls after the FY2026 peak so licensing income collapses. FY2027 revenue is flat on the licensing comparison, growth then limps at 2-4%, and margins fall to 21% as the sales force is carried on a smaller product base.</t>
  </si>
  <si>
    <t xml:space="preserve">Scenario narrative: base</t>
  </si>
  <si>
    <t xml:space="preserve">Simcere completes the pivot it is visibly making: the innovative portfolio (85% of H1 FY2026 revenue) keeps compounding as Sanbexin holds its ~31% stroke-injection share through NRDL renewals, the newly reimbursed oncology drugs (COSELA, ENLITUO, ENZESHU) and QUVIVIQ ramp, and the autoimmune franchise grows on Iremod and zemprocitinib. Out-licensing (AbbVie, NextCure, Almirall, Ipsen, Boehringer Ingelheim, Roche) keeps producing upfronts and milestones, but at a normalised ~6-7% of revenue rather than the FY2026 peak. Legacy generics run off at ~20%/yr. Revenue roughly doubles over the decade at a 29% mature EBITDA margin.</t>
  </si>
  <si>
    <t xml:space="preserve">Scenario narrative: bull</t>
  </si>
  <si>
    <t xml:space="preserve">The 'Innovation 2.0' platform proves repeatable: the &gt;US$6bn of milestone potential across six partnerships starts converting, royalties on Roche's SIM0660 and Boehringer's asset begin to flow late in the decade, the Leruiping resubmission is approved, and dual US/China INDs produce further multi-hundred-million upfronts. Licensing and product mix lift EBITDA margin to 33% as selling expense leverages, and revenue compounds at low double digits.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</si>
  <si>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</si>
  <si>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</si>
  <si>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</si>
  <si>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</si>
  <si>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</si>
  <si>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</si>
  <si>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</si>
  <si>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</si>
  <si>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</si>
  <si>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</si>
  <si>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</si>
  <si>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</si>
  <si>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</si>
  <si>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</si>
  <si>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</si>
  <si>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</si>
  <si>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</si>
  <si>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</si>
  <si>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</si>
  <si>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</si>
  <si>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</si>
  <si>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</si>
  <si>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</si>
  <si>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</si>
  <si>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</si>
  <si>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</si>
  <si>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</si>
  <si>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CapexPPE</t>
  </si>
  <si>
    <t xml:space="preserve">ResearchAndDevelopment</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</si>
  <si>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</si>
  <si>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</si>
  <si>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</si>
  <si>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</si>
  <si>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</si>
  <si>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</si>
  <si>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</si>
  <si>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</si>
  <si>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</si>
  <si>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</si>
  <si>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</si>
  <si>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</si>
  <si>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</si>
  <si>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</si>
  <si>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</si>
  <si>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</si>
  <si>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</si>
  <si>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</si>
  <si>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</si>
  <si>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</si>
  <si>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</si>
  <si>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</si>
  <si>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</si>
  <si>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</si>
  <si>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</si>
  <si>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</si>
  <si>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</si>
  <si>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</si>
  <si>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</si>
  <si>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</si>
  <si>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</si>
  <si>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</si>
  <si>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</si>
  <si>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</si>
  <si>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</si>
  <si>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</si>
  <si>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</si>
  <si>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</si>
  <si>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</si>
  <si>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</si>
  <si>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</si>
  <si>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</si>
  <si>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</si>
  <si>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</si>
  <si>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2096.HK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</si>
  <si>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</si>
  <si>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</si>
  <si>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</si>
  <si>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</si>
  <si>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</si>
  <si>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</si>
  <si>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</si>
  <si>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</si>
  <si>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</si>
  <si>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</si>
  <si>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</si>
  <si>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</si>
  <si>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</si>
  <si>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</si>
  <si>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</si>
  <si>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</si>
  <si>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</si>
  <si>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</si>
  <si>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</si>
  <si>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</si>
  <si>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</si>
  <si>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</si>
  <si>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</si>
  <si>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</si>
  <si>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</si>
  <si>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</si>
  <si>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</si>
  <si>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</si>
  <si>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</si>
  <si>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</si>
  <si>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2096.HK owner-FCF component DCF: base case (millions, CNY)</t>
  </si>
  <si>
    <t xml:space="preserve">2096.HK owner-FCF component DCF: bull case (millions, CNY)</t>
  </si>
  <si>
    <t xml:space="preserve">2096.HK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</si>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</sst>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11.02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row>
    <row r="2" customFormat="false" ht="15" hidden="false" customHeight="false" outlineLevel="0" collapsed="false">
      <c r="A2" s="0" t="s">
        <v>66</v>
      </c>
      <c r="B2" s="0" t="n">
        <v>5036.658</v>
      </c>
      <c r="C2" s="0" t="n">
        <v>888.486</v>
      </c>
      <c r="D2" s="0" t="n">
        <v>4148.172</v>
      </c>
      <c r="E2" s="0" t="n">
        <v>82.4</v>
      </c>
      <c r="F2" s="0" t="n">
        <v>1171.31</v>
      </c>
      <c r="G2" s="0" t="n">
        <v>23.3</v>
      </c>
      <c r="I2" s="0" t="n">
        <v>1003.624</v>
      </c>
      <c r="J2" s="0" t="n">
        <v>19.9</v>
      </c>
      <c r="K2" s="0" t="n">
        <v>0.43</v>
      </c>
      <c r="L2" s="0" t="n">
        <v>772.803</v>
      </c>
      <c r="M2" s="0" t="n">
        <v>507.658</v>
      </c>
      <c r="N2" s="0" t="n">
        <v>265.145</v>
      </c>
      <c r="O2" s="0" t="n">
        <v>1480.464</v>
      </c>
      <c r="P2" s="0" t="n">
        <v>6766.87</v>
      </c>
      <c r="Q2" s="0" t="n">
        <v>5286.406</v>
      </c>
      <c r="R2" s="0" t="n">
        <v>2940.956</v>
      </c>
      <c r="S2" s="0" t="n">
        <v>354.804</v>
      </c>
      <c r="T2" s="0" t="n">
        <v>2345.118</v>
      </c>
      <c r="AA2" s="0" t="s">
        <v>18</v>
      </c>
      <c r="AB2" s="0" t="s">
        <v>14</v>
      </c>
    </row>
    <row r="3" customFormat="false" ht="15" hidden="false" customHeight="false" outlineLevel="0" collapsed="false">
      <c r="A3" s="0" t="s">
        <v>67</v>
      </c>
      <c r="B3" s="0" t="n">
        <v>4508.72</v>
      </c>
      <c r="C3" s="0" t="n">
        <v>899.927</v>
      </c>
      <c r="D3" s="0" t="n">
        <v>3608.793</v>
      </c>
      <c r="E3" s="0" t="n">
        <v>80</v>
      </c>
      <c r="F3" s="0" t="n">
        <v>926.836</v>
      </c>
      <c r="G3" s="0" t="n">
        <v>20.6</v>
      </c>
      <c r="I3" s="0" t="n">
        <v>669.534</v>
      </c>
      <c r="J3" s="0" t="n">
        <v>14.8</v>
      </c>
      <c r="K3" s="0" t="n">
        <v>0.28</v>
      </c>
      <c r="L3" s="0" t="n">
        <v>96.731</v>
      </c>
      <c r="M3" s="0" t="n">
        <v>352.841</v>
      </c>
      <c r="N3" s="0" t="n">
        <v>-256.11</v>
      </c>
      <c r="O3" s="0" t="n">
        <v>5301.789</v>
      </c>
      <c r="P3" s="0" t="n">
        <v>10943.41</v>
      </c>
      <c r="Q3" s="0" t="n">
        <v>5607.686</v>
      </c>
      <c r="R3" s="0" t="n">
        <v>3300.018</v>
      </c>
      <c r="S3" s="0" t="n">
        <v>3270.241</v>
      </c>
      <c r="T3" s="0" t="n">
        <v>2392.638</v>
      </c>
      <c r="AA3" s="0" t="s">
        <v>18</v>
      </c>
      <c r="AB3" s="0" t="s">
        <v>14</v>
      </c>
      <c r="AC3" s="0" t="n">
        <v>352.841</v>
      </c>
      <c r="AD3" s="0" t="n">
        <v>1141.996</v>
      </c>
    </row>
    <row r="4" customFormat="false" ht="15" hidden="false" customHeight="false" outlineLevel="0" collapsed="false">
      <c r="A4" s="0" t="s">
        <v>68</v>
      </c>
      <c r="B4" s="0" t="n">
        <v>4999.718</v>
      </c>
      <c r="C4" s="0" t="n">
        <v>1079.983</v>
      </c>
      <c r="D4" s="0" t="n">
        <v>3919.735</v>
      </c>
      <c r="E4" s="0" t="n">
        <v>78.4</v>
      </c>
      <c r="F4" s="0" t="n">
        <v>1448.544</v>
      </c>
      <c r="G4" s="0" t="n">
        <v>29</v>
      </c>
      <c r="I4" s="0" t="n">
        <v>1507.096</v>
      </c>
      <c r="J4" s="0" t="n">
        <v>30.1</v>
      </c>
      <c r="K4" s="0" t="n">
        <v>0.58</v>
      </c>
      <c r="L4" s="0" t="n">
        <v>-201.97</v>
      </c>
      <c r="M4" s="0" t="n">
        <v>209.488</v>
      </c>
      <c r="N4" s="0" t="n">
        <v>-411.458</v>
      </c>
      <c r="O4" s="0" t="n">
        <v>6436.997</v>
      </c>
      <c r="P4" s="0" t="n">
        <v>10161.143</v>
      </c>
      <c r="Q4" s="0" t="n">
        <v>3698.386</v>
      </c>
      <c r="R4" s="0" t="n">
        <v>1635.882</v>
      </c>
      <c r="S4" s="0" t="n">
        <v>973.139</v>
      </c>
      <c r="T4" s="0" t="n">
        <v>2611.358</v>
      </c>
      <c r="AA4" s="0" t="s">
        <v>18</v>
      </c>
      <c r="AB4" s="0" t="s">
        <v>14</v>
      </c>
      <c r="AC4" s="0" t="n">
        <v>209.488</v>
      </c>
      <c r="AD4" s="0" t="n">
        <v>1416.721</v>
      </c>
    </row>
    <row r="5" customFormat="false" ht="15" hidden="false" customHeight="false" outlineLevel="0" collapsed="false">
      <c r="A5" s="0" t="s">
        <v>69</v>
      </c>
      <c r="B5" s="0" t="n">
        <v>6319.096</v>
      </c>
      <c r="C5" s="0" t="n">
        <v>1322.246</v>
      </c>
      <c r="D5" s="0" t="n">
        <v>4996.85</v>
      </c>
      <c r="E5" s="0" t="n">
        <v>79.1</v>
      </c>
      <c r="F5" s="0" t="n">
        <v>862.505</v>
      </c>
      <c r="G5" s="0" t="n">
        <v>13.6</v>
      </c>
      <c r="I5" s="0" t="n">
        <v>932.768</v>
      </c>
      <c r="J5" s="0" t="n">
        <v>14.8</v>
      </c>
      <c r="K5" s="0" t="n">
        <v>0.36</v>
      </c>
      <c r="L5" s="0" t="n">
        <v>1354.712</v>
      </c>
      <c r="M5" s="0" t="n">
        <v>678.005</v>
      </c>
      <c r="N5" s="0" t="n">
        <v>676.707</v>
      </c>
      <c r="O5" s="0" t="n">
        <v>7126.761</v>
      </c>
      <c r="P5" s="0" t="n">
        <v>10781.113</v>
      </c>
      <c r="Q5" s="0" t="n">
        <v>3638.29</v>
      </c>
      <c r="R5" s="0" t="n">
        <v>1506.744</v>
      </c>
      <c r="S5" s="0" t="n">
        <v>1657.6</v>
      </c>
      <c r="T5" s="0" t="n">
        <v>2611.172</v>
      </c>
      <c r="AA5" s="0" t="s">
        <v>18</v>
      </c>
      <c r="AB5" s="0" t="s">
        <v>14</v>
      </c>
      <c r="AC5" s="0" t="n">
        <v>342.815</v>
      </c>
      <c r="AD5" s="0" t="n">
        <v>1728.269</v>
      </c>
    </row>
    <row r="6" customFormat="false" ht="15" hidden="false" customHeight="false" outlineLevel="0" collapsed="false">
      <c r="A6" s="0" t="s">
        <v>70</v>
      </c>
      <c r="B6" s="0" t="n">
        <v>6607.805</v>
      </c>
      <c r="C6" s="0" t="n">
        <v>1623.652</v>
      </c>
      <c r="D6" s="0" t="n">
        <v>4984.153</v>
      </c>
      <c r="E6" s="0" t="n">
        <v>75.4</v>
      </c>
      <c r="F6" s="0" t="n">
        <v>711.802</v>
      </c>
      <c r="G6" s="0" t="n">
        <v>10.8</v>
      </c>
      <c r="I6" s="0" t="n">
        <v>714.761</v>
      </c>
      <c r="J6" s="0" t="n">
        <v>10.8</v>
      </c>
      <c r="K6" s="0" t="n">
        <v>0.27</v>
      </c>
      <c r="L6" s="0" t="n">
        <v>151.048</v>
      </c>
      <c r="M6" s="0" t="n">
        <v>979.855</v>
      </c>
      <c r="N6" s="0" t="n">
        <v>-828.807</v>
      </c>
      <c r="O6" s="0" t="n">
        <v>7222.736</v>
      </c>
      <c r="P6" s="0" t="n">
        <v>10853.667</v>
      </c>
      <c r="Q6" s="0" t="n">
        <v>3630.931</v>
      </c>
      <c r="R6" s="0" t="n">
        <v>1429.224</v>
      </c>
      <c r="S6" s="0" t="n">
        <v>2007.162</v>
      </c>
      <c r="T6" s="0" t="n">
        <v>2608.534</v>
      </c>
      <c r="AA6" s="0" t="s">
        <v>18</v>
      </c>
      <c r="AB6" s="0" t="s">
        <v>14</v>
      </c>
      <c r="AC6" s="0" t="n">
        <v>483.182</v>
      </c>
      <c r="AD6" s="0" t="n">
        <v>1563.138</v>
      </c>
    </row>
    <row r="7" customFormat="false" ht="15" hidden="false" customHeight="false" outlineLevel="0" collapsed="false">
      <c r="A7" s="0" t="s">
        <v>71</v>
      </c>
      <c r="B7" s="0" t="n">
        <v>6635.211</v>
      </c>
      <c r="C7" s="0" t="n">
        <v>1310.632</v>
      </c>
      <c r="D7" s="0" t="n">
        <v>5324.579</v>
      </c>
      <c r="E7" s="0" t="n">
        <v>80.2</v>
      </c>
      <c r="F7" s="0" t="n">
        <v>848.047</v>
      </c>
      <c r="G7" s="0" t="n">
        <v>12.8</v>
      </c>
      <c r="I7" s="0" t="n">
        <v>733.165</v>
      </c>
      <c r="J7" s="0" t="n">
        <v>11</v>
      </c>
      <c r="K7" s="0" t="n">
        <v>0.29</v>
      </c>
      <c r="L7" s="0" t="n">
        <v>1391.116</v>
      </c>
      <c r="M7" s="0" t="n">
        <v>762.572</v>
      </c>
      <c r="N7" s="0" t="n">
        <v>628.544</v>
      </c>
      <c r="O7" s="0" t="n">
        <v>7068.115</v>
      </c>
      <c r="P7" s="0" t="n">
        <v>11509.927</v>
      </c>
      <c r="Q7" s="0" t="n">
        <v>4441.812</v>
      </c>
      <c r="R7" s="0" t="n">
        <v>1209.369</v>
      </c>
      <c r="S7" s="0" t="n">
        <v>1943.069</v>
      </c>
      <c r="T7" s="0" t="n">
        <v>2519.978</v>
      </c>
      <c r="AA7" s="0" t="s">
        <v>18</v>
      </c>
      <c r="AB7" s="0" t="s">
        <v>14</v>
      </c>
      <c r="AC7" s="0" t="n">
        <v>356.972</v>
      </c>
      <c r="AD7" s="0" t="n">
        <v>1410.115</v>
      </c>
    </row>
    <row r="8" customFormat="false" ht="15" hidden="false" customHeight="false" outlineLevel="0" collapsed="false">
      <c r="A8" s="0" t="s">
        <v>72</v>
      </c>
      <c r="B8" s="0" t="n">
        <v>7731.411</v>
      </c>
      <c r="C8" s="0" t="n">
        <v>1421.555</v>
      </c>
      <c r="D8" s="0" t="n">
        <v>6309.856</v>
      </c>
      <c r="E8" s="0" t="n">
        <v>81.6</v>
      </c>
      <c r="F8" s="0" t="n">
        <v>1555.491</v>
      </c>
      <c r="G8" s="0" t="n">
        <v>20.1</v>
      </c>
      <c r="I8" s="0" t="n">
        <v>1344.008</v>
      </c>
      <c r="J8" s="0" t="n">
        <v>17.4</v>
      </c>
      <c r="K8" s="0" t="n">
        <v>0.54</v>
      </c>
      <c r="L8" s="0" t="n">
        <v>2013.53</v>
      </c>
      <c r="M8" s="0" t="n">
        <v>862.2</v>
      </c>
      <c r="N8" s="0" t="n">
        <v>1151.33</v>
      </c>
      <c r="O8" s="0" t="n">
        <v>9407.866</v>
      </c>
      <c r="P8" s="0" t="n">
        <v>14725.633</v>
      </c>
      <c r="Q8" s="0" t="n">
        <v>5311.043</v>
      </c>
      <c r="R8" s="0" t="n">
        <v>1186.933</v>
      </c>
      <c r="S8" s="0" t="n">
        <v>3512.088</v>
      </c>
      <c r="T8" s="0" t="n">
        <v>2481.252</v>
      </c>
      <c r="AA8" s="0" t="s">
        <v>18</v>
      </c>
      <c r="AB8" s="0" t="s">
        <v>14</v>
      </c>
      <c r="AC8" s="0" t="n">
        <v>349.325</v>
      </c>
      <c r="AD8" s="0" t="n">
        <v>1563.018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73</v>
      </c>
      <c r="B1" s="2" t="s">
        <v>74</v>
      </c>
    </row>
    <row r="2" customFormat="false" ht="15" hidden="false" customHeight="false" outlineLevel="0" collapsed="false">
      <c r="A2" s="0" t="s">
        <v>75</v>
      </c>
      <c r="B2" s="3" t="n">
        <v>11.02</v>
      </c>
    </row>
    <row r="3" customFormat="false" ht="15" hidden="false" customHeight="false" outlineLevel="0" collapsed="false">
      <c r="A3" s="0" t="s">
        <v>76</v>
      </c>
      <c r="B3" s="3" t="n">
        <v>2568.2</v>
      </c>
    </row>
    <row r="4" customFormat="false" ht="15" hidden="false" customHeight="false" outlineLevel="0" collapsed="false">
      <c r="A4" s="0" t="s">
        <v>77</v>
      </c>
      <c r="B4" s="3" t="n">
        <v>-4025.2</v>
      </c>
    </row>
    <row r="5" customFormat="false" ht="15" hidden="false" customHeight="false" outlineLevel="0" collapsed="false">
      <c r="A5" s="0" t="s">
        <v>78</v>
      </c>
      <c r="B5" s="3" t="n">
        <v>199.671</v>
      </c>
    </row>
    <row r="6" customFormat="false" ht="15" hidden="false" customHeight="false" outlineLevel="0" collapsed="false">
      <c r="A6" s="0" t="s">
        <v>79</v>
      </c>
      <c r="B6" s="3" t="n">
        <v>15</v>
      </c>
    </row>
    <row r="7" customFormat="false" ht="15" hidden="false" customHeight="false" outlineLevel="0" collapsed="false">
      <c r="A7" s="0" t="s">
        <v>80</v>
      </c>
      <c r="B7" s="3" t="n">
        <v>7731.411</v>
      </c>
    </row>
    <row r="8" customFormat="false" ht="15" hidden="false" customHeight="false" outlineLevel="0" collapsed="false">
      <c r="A8" s="0" t="s">
        <v>81</v>
      </c>
      <c r="B8" s="3" t="s">
        <v>72</v>
      </c>
    </row>
    <row r="9" customFormat="false" ht="15" hidden="false" customHeight="false" outlineLevel="0" collapsed="false">
      <c r="A9" s="0" t="s">
        <v>82</v>
      </c>
      <c r="B9" s="3" t="s">
        <v>83</v>
      </c>
    </row>
    <row r="10" customFormat="false" ht="15" hidden="false" customHeight="false" outlineLevel="0" collapsed="false">
      <c r="A10" s="0" t="s">
        <v>84</v>
      </c>
      <c r="B10" s="3" t="n">
        <v>1.1724</v>
      </c>
    </row>
    <row r="12" customFormat="false" ht="15" hidden="false" customHeight="false" outlineLevel="0" collapsed="false">
      <c r="A12" s="2" t="s">
        <v>85</v>
      </c>
      <c r="C12" s="2" t="s">
        <v>86</v>
      </c>
      <c r="D12" s="2" t="s">
        <v>87</v>
      </c>
      <c r="E12" s="2" t="s">
        <v>88</v>
      </c>
      <c r="F12" s="2" t="s">
        <v>89</v>
      </c>
      <c r="G12" s="2" t="s">
        <v>90</v>
      </c>
      <c r="H12" s="2" t="s">
        <v>91</v>
      </c>
      <c r="I12" s="2" t="s">
        <v>92</v>
      </c>
      <c r="J12" s="2" t="s">
        <v>93</v>
      </c>
      <c r="K12" s="2" t="s">
        <v>94</v>
      </c>
      <c r="L12" s="2" t="s">
        <v>95</v>
      </c>
    </row>
    <row r="13" customFormat="false" ht="15" hidden="false" customHeight="false" outlineLevel="0" collapsed="false">
      <c r="A13" s="0" t="s">
        <v>96</v>
      </c>
      <c r="C13" s="3" t="n">
        <v>18</v>
      </c>
      <c r="D13" s="3" t="n">
        <v>0</v>
      </c>
      <c r="E13" s="3" t="n">
        <v>3</v>
      </c>
      <c r="F13" s="3" t="n">
        <v>4</v>
      </c>
      <c r="G13" s="3" t="n">
        <v>3</v>
      </c>
      <c r="H13" s="3" t="n">
        <v>2</v>
      </c>
      <c r="I13" s="3" t="n">
        <v>2</v>
      </c>
      <c r="J13" s="3" t="n">
        <v>2</v>
      </c>
      <c r="K13" s="3" t="n">
        <v>2</v>
      </c>
      <c r="L13" s="3" t="n">
        <v>2</v>
      </c>
    </row>
    <row r="14" customFormat="false" ht="15" hidden="false" customHeight="false" outlineLevel="0" collapsed="false">
      <c r="A14" s="0" t="s">
        <v>97</v>
      </c>
      <c r="C14" s="3" t="n">
        <v>25</v>
      </c>
      <c r="D14" s="3" t="n">
        <v>23</v>
      </c>
      <c r="E14" s="3" t="n">
        <v>22</v>
      </c>
      <c r="F14" s="3" t="n">
        <v>22</v>
      </c>
      <c r="G14" s="3" t="n">
        <v>21</v>
      </c>
      <c r="H14" s="3" t="n">
        <v>21</v>
      </c>
      <c r="I14" s="3" t="n">
        <v>21</v>
      </c>
      <c r="J14" s="3" t="n">
        <v>21</v>
      </c>
      <c r="K14" s="3" t="n">
        <v>21</v>
      </c>
      <c r="L14" s="3" t="n">
        <v>21</v>
      </c>
    </row>
    <row r="15" customFormat="false" ht="15" hidden="false" customHeight="false" outlineLevel="0" collapsed="false">
      <c r="A15" s="0" t="s">
        <v>98</v>
      </c>
      <c r="C15" s="3" t="n">
        <v>1.2</v>
      </c>
      <c r="D15" s="3" t="n">
        <v>1.2</v>
      </c>
      <c r="E15" s="3" t="n">
        <v>1.2</v>
      </c>
      <c r="F15" s="3" t="n">
        <v>1.1</v>
      </c>
      <c r="G15" s="3" t="n">
        <v>1.1</v>
      </c>
      <c r="H15" s="3" t="n">
        <v>1.1</v>
      </c>
      <c r="I15" s="3" t="n">
        <v>1</v>
      </c>
      <c r="J15" s="3" t="n">
        <v>1</v>
      </c>
      <c r="K15" s="3" t="n">
        <v>1</v>
      </c>
      <c r="L15" s="3" t="n">
        <v>1</v>
      </c>
    </row>
    <row r="16" customFormat="false" ht="15" hidden="false" customHeight="false" outlineLevel="0" collapsed="false">
      <c r="A16" s="0" t="s">
        <v>99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100</v>
      </c>
      <c r="C17" s="3" t="n">
        <v>5</v>
      </c>
      <c r="D17" s="3" t="n">
        <v>5</v>
      </c>
      <c r="E17" s="3" t="n">
        <v>5</v>
      </c>
      <c r="F17" s="3" t="n">
        <v>5</v>
      </c>
      <c r="G17" s="3" t="n">
        <v>5</v>
      </c>
      <c r="H17" s="3" t="n">
        <v>5</v>
      </c>
      <c r="I17" s="3" t="n">
        <v>5</v>
      </c>
      <c r="J17" s="3" t="n">
        <v>5</v>
      </c>
      <c r="K17" s="3" t="n">
        <v>5</v>
      </c>
      <c r="L17" s="3" t="n">
        <v>5</v>
      </c>
    </row>
    <row r="18" customFormat="false" ht="15" hidden="false" customHeight="false" outlineLevel="0" collapsed="false">
      <c r="A18" s="0" t="s">
        <v>101</v>
      </c>
      <c r="C18" s="3" t="n">
        <v>10</v>
      </c>
      <c r="D18" s="3" t="n">
        <v>9.5</v>
      </c>
      <c r="E18" s="3" t="n">
        <v>9</v>
      </c>
      <c r="F18" s="3" t="n">
        <v>8.5</v>
      </c>
      <c r="G18" s="3" t="n">
        <v>8</v>
      </c>
      <c r="H18" s="3" t="n">
        <v>7.5</v>
      </c>
      <c r="I18" s="3" t="n">
        <v>7</v>
      </c>
      <c r="J18" s="3" t="n">
        <v>7</v>
      </c>
      <c r="K18" s="3" t="n">
        <v>6.5</v>
      </c>
      <c r="L18" s="3" t="n">
        <v>6.5</v>
      </c>
    </row>
    <row r="19" customFormat="false" ht="15" hidden="false" customHeight="false" outlineLevel="0" collapsed="false">
      <c r="A19" s="0" t="s">
        <v>102</v>
      </c>
      <c r="C19" s="3" t="n">
        <v>16</v>
      </c>
      <c r="D19" s="3" t="n">
        <v>16</v>
      </c>
      <c r="E19" s="3" t="n">
        <v>16.5</v>
      </c>
      <c r="F19" s="3" t="n">
        <v>17</v>
      </c>
      <c r="G19" s="3" t="n">
        <v>17</v>
      </c>
      <c r="H19" s="3" t="n">
        <v>17.5</v>
      </c>
      <c r="I19" s="3" t="n">
        <v>18</v>
      </c>
      <c r="J19" s="3" t="n">
        <v>18</v>
      </c>
      <c r="K19" s="3" t="n">
        <v>18</v>
      </c>
      <c r="L19" s="3" t="n">
        <v>18</v>
      </c>
    </row>
    <row r="20" customFormat="false" ht="15" hidden="false" customHeight="false" outlineLevel="0" collapsed="false">
      <c r="A20" s="0" t="s">
        <v>103</v>
      </c>
      <c r="B20" s="3" t="n">
        <v>9.5</v>
      </c>
    </row>
    <row r="21" customFormat="false" ht="15" hidden="false" customHeight="false" outlineLevel="0" collapsed="false">
      <c r="A21" s="0" t="s">
        <v>104</v>
      </c>
      <c r="B21" s="3" t="n">
        <v>2</v>
      </c>
    </row>
    <row r="22" customFormat="false" ht="15" hidden="false" customHeight="false" outlineLevel="0" collapsed="false">
      <c r="A22" s="0" t="s">
        <v>105</v>
      </c>
      <c r="B22" s="3" t="n">
        <v>15</v>
      </c>
    </row>
    <row r="23" customFormat="false" ht="15" hidden="false" customHeight="false" outlineLevel="0" collapsed="false">
      <c r="A23" s="0" t="s">
        <v>106</v>
      </c>
      <c r="B23" s="3" t="n">
        <v>-10</v>
      </c>
    </row>
    <row r="24" customFormat="false" ht="15" hidden="false" customHeight="false" outlineLevel="0" collapsed="false">
      <c r="A24" s="0" t="s">
        <v>107</v>
      </c>
      <c r="B24" s="3" t="n">
        <v>0.25</v>
      </c>
    </row>
    <row r="26" customFormat="false" ht="15" hidden="false" customHeight="false" outlineLevel="0" collapsed="false">
      <c r="A26" s="2" t="s">
        <v>108</v>
      </c>
      <c r="C26" s="2" t="s">
        <v>86</v>
      </c>
      <c r="D26" s="2" t="s">
        <v>87</v>
      </c>
      <c r="E26" s="2" t="s">
        <v>88</v>
      </c>
      <c r="F26" s="2" t="s">
        <v>89</v>
      </c>
      <c r="G26" s="2" t="s">
        <v>90</v>
      </c>
      <c r="H26" s="2" t="s">
        <v>91</v>
      </c>
      <c r="I26" s="2" t="s">
        <v>92</v>
      </c>
      <c r="J26" s="2" t="s">
        <v>93</v>
      </c>
      <c r="K26" s="2" t="s">
        <v>94</v>
      </c>
      <c r="L26" s="2" t="s">
        <v>95</v>
      </c>
    </row>
    <row r="27" customFormat="false" ht="15" hidden="false" customHeight="false" outlineLevel="0" collapsed="false">
      <c r="A27" s="0" t="s">
        <v>96</v>
      </c>
      <c r="C27" s="3" t="n">
        <v>22</v>
      </c>
      <c r="D27" s="3" t="n">
        <v>9</v>
      </c>
      <c r="E27" s="3" t="n">
        <v>11</v>
      </c>
      <c r="F27" s="3" t="n">
        <v>10</v>
      </c>
      <c r="G27" s="3" t="n">
        <v>9</v>
      </c>
      <c r="H27" s="3" t="n">
        <v>8</v>
      </c>
      <c r="I27" s="3" t="n">
        <v>7</v>
      </c>
      <c r="J27" s="3" t="n">
        <v>6</v>
      </c>
      <c r="K27" s="3" t="n">
        <v>5</v>
      </c>
      <c r="L27" s="3" t="n">
        <v>4</v>
      </c>
    </row>
    <row r="28" customFormat="false" ht="15" hidden="false" customHeight="false" outlineLevel="0" collapsed="false">
      <c r="A28" s="0" t="s">
        <v>97</v>
      </c>
      <c r="C28" s="3" t="n">
        <v>27</v>
      </c>
      <c r="D28" s="3" t="n">
        <v>26.5</v>
      </c>
      <c r="E28" s="3" t="n">
        <v>27</v>
      </c>
      <c r="F28" s="3" t="n">
        <v>27.5</v>
      </c>
      <c r="G28" s="3" t="n">
        <v>28</v>
      </c>
      <c r="H28" s="3" t="n">
        <v>28.5</v>
      </c>
      <c r="I28" s="3" t="n">
        <v>29</v>
      </c>
      <c r="J28" s="3" t="n">
        <v>29</v>
      </c>
      <c r="K28" s="3" t="n">
        <v>29</v>
      </c>
      <c r="L28" s="3" t="n">
        <v>29</v>
      </c>
    </row>
    <row r="29" customFormat="false" ht="15" hidden="false" customHeight="false" outlineLevel="0" collapsed="false">
      <c r="A29" s="0" t="s">
        <v>98</v>
      </c>
      <c r="C29" s="3" t="n">
        <v>1.2</v>
      </c>
      <c r="D29" s="3" t="n">
        <v>1.2</v>
      </c>
      <c r="E29" s="3" t="n">
        <v>1.2</v>
      </c>
      <c r="F29" s="3" t="n">
        <v>1.1</v>
      </c>
      <c r="G29" s="3" t="n">
        <v>1.1</v>
      </c>
      <c r="H29" s="3" t="n">
        <v>1.1</v>
      </c>
      <c r="I29" s="3" t="n">
        <v>1</v>
      </c>
      <c r="J29" s="3" t="n">
        <v>1</v>
      </c>
      <c r="K29" s="3" t="n">
        <v>1</v>
      </c>
      <c r="L29" s="3" t="n">
        <v>1</v>
      </c>
    </row>
    <row r="30" customFormat="false" ht="15" hidden="false" customHeight="false" outlineLevel="0" collapsed="false">
      <c r="A30" s="0" t="s">
        <v>99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100</v>
      </c>
      <c r="C31" s="3" t="n">
        <v>5</v>
      </c>
      <c r="D31" s="3" t="n">
        <v>4.9</v>
      </c>
      <c r="E31" s="3" t="n">
        <v>4.8</v>
      </c>
      <c r="F31" s="3" t="n">
        <v>4.7</v>
      </c>
      <c r="G31" s="3" t="n">
        <v>4.6</v>
      </c>
      <c r="H31" s="3" t="n">
        <v>4.5</v>
      </c>
      <c r="I31" s="3" t="n">
        <v>4.5</v>
      </c>
      <c r="J31" s="3" t="n">
        <v>4.5</v>
      </c>
      <c r="K31" s="3" t="n">
        <v>4.5</v>
      </c>
      <c r="L31" s="3" t="n">
        <v>4.5</v>
      </c>
    </row>
    <row r="32" customFormat="false" ht="15" hidden="false" customHeight="false" outlineLevel="0" collapsed="false">
      <c r="A32" s="0" t="s">
        <v>101</v>
      </c>
      <c r="C32" s="3" t="n">
        <v>10</v>
      </c>
      <c r="D32" s="3" t="n">
        <v>9.5</v>
      </c>
      <c r="E32" s="3" t="n">
        <v>9</v>
      </c>
      <c r="F32" s="3" t="n">
        <v>8.5</v>
      </c>
      <c r="G32" s="3" t="n">
        <v>8</v>
      </c>
      <c r="H32" s="3" t="n">
        <v>7.5</v>
      </c>
      <c r="I32" s="3" t="n">
        <v>7</v>
      </c>
      <c r="J32" s="3" t="n">
        <v>7</v>
      </c>
      <c r="K32" s="3" t="n">
        <v>6.5</v>
      </c>
      <c r="L32" s="3" t="n">
        <v>6.5</v>
      </c>
    </row>
    <row r="33" customFormat="false" ht="15" hidden="false" customHeight="false" outlineLevel="0" collapsed="false">
      <c r="A33" s="0" t="s">
        <v>102</v>
      </c>
      <c r="C33" s="3" t="n">
        <v>16</v>
      </c>
      <c r="D33" s="3" t="n">
        <v>16</v>
      </c>
      <c r="E33" s="3" t="n">
        <v>16.5</v>
      </c>
      <c r="F33" s="3" t="n">
        <v>17</v>
      </c>
      <c r="G33" s="3" t="n">
        <v>17</v>
      </c>
      <c r="H33" s="3" t="n">
        <v>17.5</v>
      </c>
      <c r="I33" s="3" t="n">
        <v>18</v>
      </c>
      <c r="J33" s="3" t="n">
        <v>18</v>
      </c>
      <c r="K33" s="3" t="n">
        <v>18</v>
      </c>
      <c r="L33" s="3" t="n">
        <v>18</v>
      </c>
    </row>
    <row r="34" customFormat="false" ht="15" hidden="false" customHeight="false" outlineLevel="0" collapsed="false">
      <c r="A34" s="0" t="s">
        <v>103</v>
      </c>
      <c r="B34" s="3" t="n">
        <v>9.5</v>
      </c>
    </row>
    <row r="35" customFormat="false" ht="15" hidden="false" customHeight="false" outlineLevel="0" collapsed="false">
      <c r="A35" s="0" t="s">
        <v>104</v>
      </c>
      <c r="B35" s="3" t="n">
        <v>2.5</v>
      </c>
    </row>
    <row r="36" customFormat="false" ht="15" hidden="false" customHeight="false" outlineLevel="0" collapsed="false">
      <c r="A36" s="0" t="s">
        <v>105</v>
      </c>
      <c r="B36" s="3" t="n">
        <v>15</v>
      </c>
    </row>
    <row r="37" customFormat="false" ht="15" hidden="false" customHeight="false" outlineLevel="0" collapsed="false">
      <c r="A37" s="0" t="s">
        <v>106</v>
      </c>
      <c r="B37" s="3" t="n">
        <v>-10</v>
      </c>
    </row>
    <row r="38" customFormat="false" ht="15" hidden="false" customHeight="false" outlineLevel="0" collapsed="false">
      <c r="A38" s="0" t="s">
        <v>107</v>
      </c>
      <c r="B38" s="3" t="n">
        <v>0.5</v>
      </c>
    </row>
    <row r="40" customFormat="false" ht="15" hidden="false" customHeight="false" outlineLevel="0" collapsed="false">
      <c r="A40" s="2" t="s">
        <v>109</v>
      </c>
      <c r="C40" s="2" t="s">
        <v>86</v>
      </c>
      <c r="D40" s="2" t="s">
        <v>87</v>
      </c>
      <c r="E40" s="2" t="s">
        <v>88</v>
      </c>
      <c r="F40" s="2" t="s">
        <v>89</v>
      </c>
      <c r="G40" s="2" t="s">
        <v>90</v>
      </c>
      <c r="H40" s="2" t="s">
        <v>91</v>
      </c>
      <c r="I40" s="2" t="s">
        <v>92</v>
      </c>
      <c r="J40" s="2" t="s">
        <v>93</v>
      </c>
      <c r="K40" s="2" t="s">
        <v>94</v>
      </c>
      <c r="L40" s="2" t="s">
        <v>95</v>
      </c>
    </row>
    <row r="41" customFormat="false" ht="15" hidden="false" customHeight="false" outlineLevel="0" collapsed="false">
      <c r="A41" s="0" t="s">
        <v>96</v>
      </c>
      <c r="C41" s="3" t="n">
        <v>26</v>
      </c>
      <c r="D41" s="3" t="n">
        <v>15</v>
      </c>
      <c r="E41" s="3" t="n">
        <v>16</v>
      </c>
      <c r="F41" s="3" t="n">
        <v>15</v>
      </c>
      <c r="G41" s="3" t="n">
        <v>13</v>
      </c>
      <c r="H41" s="3" t="n">
        <v>11</v>
      </c>
      <c r="I41" s="3" t="n">
        <v>9</v>
      </c>
      <c r="J41" s="3" t="n">
        <v>8</v>
      </c>
      <c r="K41" s="3" t="n">
        <v>7</v>
      </c>
      <c r="L41" s="3" t="n">
        <v>6</v>
      </c>
    </row>
    <row r="42" customFormat="false" ht="15" hidden="false" customHeight="false" outlineLevel="0" collapsed="false">
      <c r="A42" s="0" t="s">
        <v>97</v>
      </c>
      <c r="C42" s="3" t="n">
        <v>28</v>
      </c>
      <c r="D42" s="3" t="n">
        <v>29</v>
      </c>
      <c r="E42" s="3" t="n">
        <v>30</v>
      </c>
      <c r="F42" s="3" t="n">
        <v>31</v>
      </c>
      <c r="G42" s="3" t="n">
        <v>32</v>
      </c>
      <c r="H42" s="3" t="n">
        <v>33</v>
      </c>
      <c r="I42" s="3" t="n">
        <v>33</v>
      </c>
      <c r="J42" s="3" t="n">
        <v>33</v>
      </c>
      <c r="K42" s="3" t="n">
        <v>33</v>
      </c>
      <c r="L42" s="3" t="n">
        <v>33</v>
      </c>
    </row>
    <row r="43" customFormat="false" ht="15" hidden="false" customHeight="false" outlineLevel="0" collapsed="false">
      <c r="A43" s="0" t="s">
        <v>98</v>
      </c>
      <c r="C43" s="3" t="n">
        <v>1.2</v>
      </c>
      <c r="D43" s="3" t="n">
        <v>1.2</v>
      </c>
      <c r="E43" s="3" t="n">
        <v>1.2</v>
      </c>
      <c r="F43" s="3" t="n">
        <v>1.1</v>
      </c>
      <c r="G43" s="3" t="n">
        <v>1.1</v>
      </c>
      <c r="H43" s="3" t="n">
        <v>1.1</v>
      </c>
      <c r="I43" s="3" t="n">
        <v>1</v>
      </c>
      <c r="J43" s="3" t="n">
        <v>1</v>
      </c>
      <c r="K43" s="3" t="n">
        <v>1</v>
      </c>
      <c r="L43" s="3" t="n">
        <v>1</v>
      </c>
    </row>
    <row r="44" customFormat="false" ht="15" hidden="false" customHeight="false" outlineLevel="0" collapsed="false">
      <c r="A44" s="0" t="s">
        <v>99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100</v>
      </c>
      <c r="C45" s="3" t="n">
        <v>5</v>
      </c>
      <c r="D45" s="3" t="n">
        <v>4.9</v>
      </c>
      <c r="E45" s="3" t="n">
        <v>4.8</v>
      </c>
      <c r="F45" s="3" t="n">
        <v>4.7</v>
      </c>
      <c r="G45" s="3" t="n">
        <v>4.6</v>
      </c>
      <c r="H45" s="3" t="n">
        <v>4.5</v>
      </c>
      <c r="I45" s="3" t="n">
        <v>4.5</v>
      </c>
      <c r="J45" s="3" t="n">
        <v>4.5</v>
      </c>
      <c r="K45" s="3" t="n">
        <v>4.5</v>
      </c>
      <c r="L45" s="3" t="n">
        <v>4.5</v>
      </c>
    </row>
    <row r="46" customFormat="false" ht="15" hidden="false" customHeight="false" outlineLevel="0" collapsed="false">
      <c r="A46" s="0" t="s">
        <v>101</v>
      </c>
      <c r="C46" s="3" t="n">
        <v>10</v>
      </c>
      <c r="D46" s="3" t="n">
        <v>9.5</v>
      </c>
      <c r="E46" s="3" t="n">
        <v>9</v>
      </c>
      <c r="F46" s="3" t="n">
        <v>8.5</v>
      </c>
      <c r="G46" s="3" t="n">
        <v>8</v>
      </c>
      <c r="H46" s="3" t="n">
        <v>7.5</v>
      </c>
      <c r="I46" s="3" t="n">
        <v>7</v>
      </c>
      <c r="J46" s="3" t="n">
        <v>7</v>
      </c>
      <c r="K46" s="3" t="n">
        <v>6.5</v>
      </c>
      <c r="L46" s="3" t="n">
        <v>6.5</v>
      </c>
    </row>
    <row r="47" customFormat="false" ht="15" hidden="false" customHeight="false" outlineLevel="0" collapsed="false">
      <c r="A47" s="0" t="s">
        <v>102</v>
      </c>
      <c r="C47" s="3" t="n">
        <v>16</v>
      </c>
      <c r="D47" s="3" t="n">
        <v>16</v>
      </c>
      <c r="E47" s="3" t="n">
        <v>16.5</v>
      </c>
      <c r="F47" s="3" t="n">
        <v>17</v>
      </c>
      <c r="G47" s="3" t="n">
        <v>17</v>
      </c>
      <c r="H47" s="3" t="n">
        <v>17.5</v>
      </c>
      <c r="I47" s="3" t="n">
        <v>18</v>
      </c>
      <c r="J47" s="3" t="n">
        <v>18</v>
      </c>
      <c r="K47" s="3" t="n">
        <v>18</v>
      </c>
      <c r="L47" s="3" t="n">
        <v>18</v>
      </c>
    </row>
    <row r="48" customFormat="false" ht="15" hidden="false" customHeight="false" outlineLevel="0" collapsed="false">
      <c r="A48" s="0" t="s">
        <v>103</v>
      </c>
      <c r="B48" s="3" t="n">
        <v>9.5</v>
      </c>
    </row>
    <row r="49" customFormat="false" ht="15" hidden="false" customHeight="false" outlineLevel="0" collapsed="false">
      <c r="A49" s="0" t="s">
        <v>104</v>
      </c>
      <c r="B49" s="3" t="n">
        <v>3</v>
      </c>
    </row>
    <row r="50" customFormat="false" ht="15" hidden="false" customHeight="false" outlineLevel="0" collapsed="false">
      <c r="A50" s="0" t="s">
        <v>105</v>
      </c>
      <c r="B50" s="3" t="n">
        <v>15</v>
      </c>
    </row>
    <row r="51" customFormat="false" ht="15" hidden="false" customHeight="false" outlineLevel="0" collapsed="false">
      <c r="A51" s="0" t="s">
        <v>106</v>
      </c>
      <c r="B51" s="3" t="n">
        <v>-10</v>
      </c>
    </row>
    <row r="52" customFormat="false" ht="15" hidden="false" customHeight="false" outlineLevel="0" collapsed="false">
      <c r="A52" s="0" t="s">
        <v>107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110</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Assumptions!C13</f>
        <v>18</v>
      </c>
      <c r="D5" s="4" t="n">
        <f aca="false">Assumptions!D13</f>
        <v>0</v>
      </c>
      <c r="E5" s="4" t="n">
        <f aca="false">Assumptions!E13</f>
        <v>3</v>
      </c>
      <c r="F5" s="4" t="n">
        <f aca="false">Assumptions!F13</f>
        <v>4</v>
      </c>
      <c r="G5" s="4" t="n">
        <f aca="false">Assumptions!G13</f>
        <v>3</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7731.411</v>
      </c>
      <c r="C6" s="0" t="n">
        <f aca="false">B6*(1+C5/100)</f>
        <v>9123.06498</v>
      </c>
      <c r="D6" s="0" t="n">
        <f aca="false">C6*(1+D5/100)</f>
        <v>9123.06498</v>
      </c>
      <c r="E6" s="0" t="n">
        <f aca="false">D6*(1+E5/100)</f>
        <v>9396.7569294</v>
      </c>
      <c r="F6" s="0" t="n">
        <f aca="false">E6*(1+F5/100)</f>
        <v>9772.627206576</v>
      </c>
      <c r="G6" s="0" t="n">
        <f aca="false">F6*(1+G5/100)</f>
        <v>10065.8060227733</v>
      </c>
      <c r="H6" s="0" t="n">
        <f aca="false">G6*(1+H5/100)</f>
        <v>10267.1221432287</v>
      </c>
      <c r="I6" s="0" t="n">
        <f aca="false">H6*(1+I5/100)</f>
        <v>10472.4645860933</v>
      </c>
      <c r="J6" s="0" t="n">
        <f aca="false">I6*(1+J5/100)</f>
        <v>10681.9138778152</v>
      </c>
      <c r="K6" s="0" t="n">
        <f aca="false">J6*(1+K5/100)</f>
        <v>10895.5521553715</v>
      </c>
      <c r="L6" s="0" t="n">
        <f aca="false">K6*(1+L5/100)</f>
        <v>11113.4631984789</v>
      </c>
    </row>
    <row r="7" customFormat="false" ht="15" hidden="false" customHeight="false" outlineLevel="0" collapsed="false">
      <c r="A7" s="0" t="s">
        <v>97</v>
      </c>
      <c r="C7" s="4" t="n">
        <f aca="false">Assumptions!C14</f>
        <v>25</v>
      </c>
      <c r="D7" s="4" t="n">
        <f aca="false">Assumptions!D14</f>
        <v>23</v>
      </c>
      <c r="E7" s="4" t="n">
        <f aca="false">Assumptions!E14</f>
        <v>22</v>
      </c>
      <c r="F7" s="4" t="n">
        <f aca="false">Assumptions!F14</f>
        <v>22</v>
      </c>
      <c r="G7" s="4" t="n">
        <f aca="false">Assumptions!G14</f>
        <v>21</v>
      </c>
      <c r="H7" s="4" t="n">
        <f aca="false">Assumptions!H14</f>
        <v>21</v>
      </c>
      <c r="I7" s="4" t="n">
        <f aca="false">Assumptions!I14</f>
        <v>21</v>
      </c>
      <c r="J7" s="4" t="n">
        <f aca="false">Assumptions!J14</f>
        <v>21</v>
      </c>
      <c r="K7" s="4" t="n">
        <f aca="false">Assumptions!K14</f>
        <v>21</v>
      </c>
      <c r="L7" s="4" t="n">
        <f aca="false">Assumptions!L14</f>
        <v>21</v>
      </c>
    </row>
    <row r="8" customFormat="false" ht="15" hidden="false" customHeight="false" outlineLevel="0" collapsed="false">
      <c r="A8" s="0" t="s">
        <v>44</v>
      </c>
      <c r="C8" s="0" t="n">
        <f aca="false">C6*C7/100</f>
        <v>2280.766245</v>
      </c>
      <c r="D8" s="0" t="n">
        <f aca="false">D6*D7/100</f>
        <v>2098.3049454</v>
      </c>
      <c r="E8" s="0" t="n">
        <f aca="false">E6*E7/100</f>
        <v>2067.286524468</v>
      </c>
      <c r="F8" s="0" t="n">
        <f aca="false">F6*F7/100</f>
        <v>2149.97798544672</v>
      </c>
      <c r="G8" s="0" t="n">
        <f aca="false">G6*G7/100</f>
        <v>2113.81926478239</v>
      </c>
      <c r="H8" s="0" t="n">
        <f aca="false">H6*H7/100</f>
        <v>2156.09565007804</v>
      </c>
      <c r="I8" s="0" t="n">
        <f aca="false">I6*I7/100</f>
        <v>2199.2175630796</v>
      </c>
      <c r="J8" s="0" t="n">
        <f aca="false">J6*J7/100</f>
        <v>2243.20191434119</v>
      </c>
      <c r="K8" s="0" t="n">
        <f aca="false">K6*K7/100</f>
        <v>2288.06595262801</v>
      </c>
      <c r="L8" s="0" t="n">
        <f aca="false">L6*L7/100</f>
        <v>2333.82727168057</v>
      </c>
    </row>
    <row r="9" customFormat="false" ht="15" hidden="false" customHeight="false" outlineLevel="0" collapsed="false">
      <c r="A9" s="0" t="s">
        <v>98</v>
      </c>
      <c r="C9" s="4" t="n">
        <f aca="false">Assumptions!C15</f>
        <v>1.2</v>
      </c>
      <c r="D9" s="4" t="n">
        <f aca="false">Assumptions!D15</f>
        <v>1.2</v>
      </c>
      <c r="E9" s="4" t="n">
        <f aca="false">Assumptions!E15</f>
        <v>1.2</v>
      </c>
      <c r="F9" s="4" t="n">
        <f aca="false">Assumptions!F15</f>
        <v>1.1</v>
      </c>
      <c r="G9" s="4" t="n">
        <f aca="false">Assumptions!G15</f>
        <v>1.1</v>
      </c>
      <c r="H9" s="4" t="n">
        <f aca="false">Assumptions!H15</f>
        <v>1.1</v>
      </c>
      <c r="I9" s="4" t="n">
        <f aca="false">Assumptions!I15</f>
        <v>1</v>
      </c>
      <c r="J9" s="4" t="n">
        <f aca="false">Assumptions!J15</f>
        <v>1</v>
      </c>
      <c r="K9" s="4" t="n">
        <f aca="false">Assumptions!K15</f>
        <v>1</v>
      </c>
      <c r="L9" s="4" t="n">
        <f aca="false">Assumptions!L15</f>
        <v>1</v>
      </c>
    </row>
    <row r="10" customFormat="false" ht="15" hidden="false" customHeight="false" outlineLevel="0" collapsed="false">
      <c r="A10" s="0" t="s">
        <v>113</v>
      </c>
      <c r="C10" s="0" t="n">
        <f aca="false">-C6*C9/100</f>
        <v>-109.47677976</v>
      </c>
      <c r="D10" s="0" t="n">
        <f aca="false">-D6*D9/100</f>
        <v>-109.47677976</v>
      </c>
      <c r="E10" s="0" t="n">
        <f aca="false">-E6*E9/100</f>
        <v>-112.7610831528</v>
      </c>
      <c r="F10" s="0" t="n">
        <f aca="false">-F6*F9/100</f>
        <v>-107.498899272336</v>
      </c>
      <c r="G10" s="0" t="n">
        <f aca="false">-G6*G9/100</f>
        <v>-110.723866250506</v>
      </c>
      <c r="H10" s="0" t="n">
        <f aca="false">-H6*H9/100</f>
        <v>-112.938343575516</v>
      </c>
      <c r="I10" s="0" t="n">
        <f aca="false">-I6*I9/100</f>
        <v>-104.724645860933</v>
      </c>
      <c r="J10" s="0" t="n">
        <f aca="false">-J6*J9/100</f>
        <v>-106.819138778152</v>
      </c>
      <c r="K10" s="0" t="n">
        <f aca="false">-K6*K9/100</f>
        <v>-108.955521553715</v>
      </c>
      <c r="L10" s="0" t="n">
        <f aca="false">-L6*L9/100</f>
        <v>-111.134631984789</v>
      </c>
    </row>
    <row r="11" customFormat="false" ht="15" hidden="false" customHeight="false" outlineLevel="0" collapsed="false">
      <c r="A11" s="0" t="s">
        <v>114</v>
      </c>
      <c r="C11" s="0" t="n">
        <f aca="false">C8+C10+C24</f>
        <v>2171.28946524</v>
      </c>
      <c r="D11" s="0" t="n">
        <f aca="false">D8+D10+D24</f>
        <v>1988.82816564</v>
      </c>
      <c r="E11" s="0" t="n">
        <f aca="false">E8+E10+E24</f>
        <v>1954.5254413152</v>
      </c>
      <c r="F11" s="0" t="n">
        <f aca="false">F8+F10+F24</f>
        <v>2042.47908617438</v>
      </c>
      <c r="G11" s="0" t="n">
        <f aca="false">G8+G10+G24</f>
        <v>2003.09539853188</v>
      </c>
      <c r="H11" s="0" t="n">
        <f aca="false">H8+H10+H24</f>
        <v>2043.15730650252</v>
      </c>
      <c r="I11" s="0" t="n">
        <f aca="false">I8+I10+I24</f>
        <v>2094.49291721866</v>
      </c>
      <c r="J11" s="0" t="n">
        <f aca="false">J8+J10+J24</f>
        <v>2136.38277556304</v>
      </c>
      <c r="K11" s="0" t="n">
        <f aca="false">K8+K10+K24</f>
        <v>2179.1104310743</v>
      </c>
      <c r="L11" s="0" t="n">
        <f aca="false">L8+L10+L24</f>
        <v>2222.69263969578</v>
      </c>
    </row>
    <row r="12" customFormat="false" ht="15" hidden="false" customHeight="false" outlineLevel="0" collapsed="false">
      <c r="A12" s="0" t="s">
        <v>115</v>
      </c>
      <c r="C12" s="4" t="n">
        <f aca="false">-C6*Assumptions!C17/100</f>
        <v>-456.153249</v>
      </c>
      <c r="D12" s="4" t="n">
        <f aca="false">-D6*Assumptions!D17/100</f>
        <v>-456.153249</v>
      </c>
      <c r="E12" s="4" t="n">
        <f aca="false">-E6*Assumptions!E17/100</f>
        <v>-469.83784647</v>
      </c>
      <c r="F12" s="4" t="n">
        <f aca="false">-F6*Assumptions!F17/100</f>
        <v>-488.6313603288</v>
      </c>
      <c r="G12" s="4" t="n">
        <f aca="false">-G6*Assumptions!G17/100</f>
        <v>-503.290301138664</v>
      </c>
      <c r="H12" s="4" t="n">
        <f aca="false">-H6*Assumptions!H17/100</f>
        <v>-513.356107161437</v>
      </c>
      <c r="I12" s="4" t="n">
        <f aca="false">-I6*Assumptions!I17/100</f>
        <v>-523.623229304666</v>
      </c>
      <c r="J12" s="4" t="n">
        <f aca="false">-J6*Assumptions!J17/100</f>
        <v>-534.095693890759</v>
      </c>
      <c r="K12" s="4" t="n">
        <f aca="false">-K6*Assumptions!K17/100</f>
        <v>-544.777607768575</v>
      </c>
      <c r="L12" s="4" t="n">
        <f aca="false">-L6*Assumptions!L17/100</f>
        <v>-555.673159923946</v>
      </c>
    </row>
    <row r="13" customFormat="false" ht="15" hidden="false" customHeight="false" outlineLevel="0" collapsed="false">
      <c r="A13" s="0" t="s">
        <v>116</v>
      </c>
      <c r="C13" s="0" t="n">
        <f aca="false">C11+C12</f>
        <v>1715.13621624</v>
      </c>
      <c r="D13" s="0" t="n">
        <f aca="false">D11+D12</f>
        <v>1532.67491664</v>
      </c>
      <c r="E13" s="0" t="n">
        <f aca="false">E11+E12</f>
        <v>1484.6875948452</v>
      </c>
      <c r="F13" s="0" t="n">
        <f aca="false">F11+F12</f>
        <v>1553.84772584558</v>
      </c>
      <c r="G13" s="0" t="n">
        <f aca="false">G11+G12</f>
        <v>1499.80509739322</v>
      </c>
      <c r="H13" s="0" t="n">
        <f aca="false">H11+H12</f>
        <v>1529.80119934108</v>
      </c>
      <c r="I13" s="0" t="n">
        <f aca="false">I11+I12</f>
        <v>1570.869687914</v>
      </c>
      <c r="J13" s="0" t="n">
        <f aca="false">J11+J12</f>
        <v>1602.28708167228</v>
      </c>
      <c r="K13" s="0" t="n">
        <f aca="false">K11+K12</f>
        <v>1634.33282330572</v>
      </c>
      <c r="L13" s="0" t="n">
        <f aca="false">L11+L12</f>
        <v>1667.01947977184</v>
      </c>
    </row>
    <row r="14" customFormat="false" ht="15" hidden="false" customHeight="false" outlineLevel="0" collapsed="false">
      <c r="A14" s="0" t="s">
        <v>102</v>
      </c>
      <c r="C14" s="4" t="n">
        <f aca="false">Assumptions!C19</f>
        <v>16</v>
      </c>
      <c r="D14" s="4" t="n">
        <f aca="false">Assumptions!D19</f>
        <v>16</v>
      </c>
      <c r="E14" s="4" t="n">
        <f aca="false">Assumptions!E19</f>
        <v>16.5</v>
      </c>
      <c r="F14" s="4" t="n">
        <f aca="false">Assumptions!F19</f>
        <v>17</v>
      </c>
      <c r="G14" s="4" t="n">
        <f aca="false">Assumptions!G19</f>
        <v>17</v>
      </c>
      <c r="H14" s="4" t="n">
        <f aca="false">Assumptions!H19</f>
        <v>17.5</v>
      </c>
      <c r="I14" s="4" t="n">
        <f aca="false">Assumptions!I19</f>
        <v>18</v>
      </c>
      <c r="J14" s="4" t="n">
        <f aca="false">Assumptions!J19</f>
        <v>18</v>
      </c>
      <c r="K14" s="4" t="n">
        <f aca="false">Assumptions!K19</f>
        <v>18</v>
      </c>
      <c r="L14" s="4" t="n">
        <f aca="false">Assumptions!L19</f>
        <v>18</v>
      </c>
    </row>
    <row r="15" customFormat="false" ht="15" hidden="false" customHeight="false" outlineLevel="0" collapsed="false">
      <c r="A15" s="0" t="s">
        <v>117</v>
      </c>
      <c r="C15" s="0" t="n">
        <f aca="false">C13-MAX(0,C13)*C14/100</f>
        <v>1440.7144216416</v>
      </c>
      <c r="D15" s="0" t="n">
        <f aca="false">D13-MAX(0,D13)*D14/100</f>
        <v>1287.4469299776</v>
      </c>
      <c r="E15" s="0" t="n">
        <f aca="false">E13-MAX(0,E13)*E14/100</f>
        <v>1239.71414169574</v>
      </c>
      <c r="F15" s="0" t="n">
        <f aca="false">F13-MAX(0,F13)*F14/100</f>
        <v>1289.69361245183</v>
      </c>
      <c r="G15" s="0" t="n">
        <f aca="false">G13-MAX(0,G13)*G14/100</f>
        <v>1244.83823083637</v>
      </c>
      <c r="H15" s="0" t="n">
        <f aca="false">H13-MAX(0,H13)*H14/100</f>
        <v>1262.08598945639</v>
      </c>
      <c r="I15" s="0" t="n">
        <f aca="false">I13-MAX(0,I13)*I14/100</f>
        <v>1288.11314408948</v>
      </c>
      <c r="J15" s="0" t="n">
        <f aca="false">J13-MAX(0,J13)*J14/100</f>
        <v>1313.87540697127</v>
      </c>
      <c r="K15" s="0" t="n">
        <f aca="false">K13-MAX(0,K13)*K14/100</f>
        <v>1340.15291511069</v>
      </c>
      <c r="L15" s="0" t="n">
        <f aca="false">L13-MAX(0,L13)*L14/100</f>
        <v>1366.95597341291</v>
      </c>
    </row>
    <row r="16" customFormat="false" ht="15" hidden="false" customHeight="false" outlineLevel="0" collapsed="false">
      <c r="A16" s="0" t="s">
        <v>118</v>
      </c>
      <c r="C16" s="0" t="n">
        <f aca="false">-C12</f>
        <v>456.153249</v>
      </c>
      <c r="D16" s="0" t="n">
        <f aca="false">-D12</f>
        <v>456.153249</v>
      </c>
      <c r="E16" s="0" t="n">
        <f aca="false">-E12</f>
        <v>469.83784647</v>
      </c>
      <c r="F16" s="0" t="n">
        <f aca="false">-F12</f>
        <v>488.6313603288</v>
      </c>
      <c r="G16" s="0" t="n">
        <f aca="false">-G12</f>
        <v>503.290301138664</v>
      </c>
      <c r="H16" s="0" t="n">
        <f aca="false">-H12</f>
        <v>513.356107161437</v>
      </c>
      <c r="I16" s="0" t="n">
        <f aca="false">-I12</f>
        <v>523.623229304666</v>
      </c>
      <c r="J16" s="0" t="n">
        <f aca="false">-J12</f>
        <v>534.095693890759</v>
      </c>
      <c r="K16" s="0" t="n">
        <f aca="false">-K12</f>
        <v>544.777607768575</v>
      </c>
      <c r="L16" s="0" t="n">
        <f aca="false">-L12</f>
        <v>555.673159923946</v>
      </c>
    </row>
    <row r="17" customFormat="false" ht="15" hidden="false" customHeight="false" outlineLevel="0" collapsed="false">
      <c r="A17" s="0" t="s">
        <v>119</v>
      </c>
      <c r="C17" s="4" t="n">
        <f aca="false">-C6*Assumptions!C18/100</f>
        <v>-912.306498</v>
      </c>
      <c r="D17" s="4" t="n">
        <f aca="false">-D6*Assumptions!D18/100</f>
        <v>-866.6911731</v>
      </c>
      <c r="E17" s="4" t="n">
        <f aca="false">-E6*Assumptions!E18/100</f>
        <v>-845.708123646</v>
      </c>
      <c r="F17" s="4" t="n">
        <f aca="false">-F6*Assumptions!F18/100</f>
        <v>-830.67331255896</v>
      </c>
      <c r="G17" s="4" t="n">
        <f aca="false">-G6*Assumptions!G18/100</f>
        <v>-805.264481821862</v>
      </c>
      <c r="H17" s="4" t="n">
        <f aca="false">-H6*Assumptions!H18/100</f>
        <v>-770.034160742156</v>
      </c>
      <c r="I17" s="4" t="n">
        <f aca="false">-I6*Assumptions!I18/100</f>
        <v>-733.072521026532</v>
      </c>
      <c r="J17" s="4" t="n">
        <f aca="false">-J6*Assumptions!J18/100</f>
        <v>-747.733971447063</v>
      </c>
      <c r="K17" s="4" t="n">
        <f aca="false">-K6*Assumptions!K18/100</f>
        <v>-708.210890099147</v>
      </c>
      <c r="L17" s="4" t="n">
        <f aca="false">-L6*Assumptions!L18/100</f>
        <v>-722.37510790113</v>
      </c>
    </row>
    <row r="18" customFormat="false" ht="15" hidden="false" customHeight="false" outlineLevel="0" collapsed="false">
      <c r="A18" s="0" t="s">
        <v>120</v>
      </c>
      <c r="C18" s="4" t="n">
        <f aca="false">(C6-B6)*Assumptions!$B$23/100</f>
        <v>-139.165398</v>
      </c>
      <c r="D18" s="4" t="n">
        <f aca="false">(D6-C6)*Assumptions!$B$23/100</f>
        <v>-0</v>
      </c>
      <c r="E18" s="4" t="n">
        <f aca="false">(E6-D6)*Assumptions!$B$23/100</f>
        <v>-27.3691949399999</v>
      </c>
      <c r="F18" s="4" t="n">
        <f aca="false">(F6-E6)*Assumptions!$B$23/100</f>
        <v>-37.5870277176</v>
      </c>
      <c r="G18" s="4" t="n">
        <f aca="false">(G6-F6)*Assumptions!$B$23/100</f>
        <v>-29.317881619728</v>
      </c>
      <c r="H18" s="4" t="n">
        <f aca="false">(H6-G6)*Assumptions!$B$23/100</f>
        <v>-20.1316120455465</v>
      </c>
      <c r="I18" s="4" t="n">
        <f aca="false">(I6-H6)*Assumptions!$B$23/100</f>
        <v>-20.5342442864576</v>
      </c>
      <c r="J18" s="4" t="n">
        <f aca="false">(J6-I6)*Assumptions!$B$23/100</f>
        <v>-20.9449291721867</v>
      </c>
      <c r="K18" s="4" t="n">
        <f aca="false">(K6-J6)*Assumptions!$B$23/100</f>
        <v>-21.3638277556303</v>
      </c>
      <c r="L18" s="4" t="n">
        <f aca="false">(L6-K6)*Assumptions!$B$23/100</f>
        <v>-21.791104310743</v>
      </c>
    </row>
    <row r="19" customFormat="false" ht="15" hidden="false" customHeight="false" outlineLevel="0" collapsed="false">
      <c r="A19" s="0" t="s">
        <v>121</v>
      </c>
      <c r="C19" s="0" t="n">
        <f aca="false">C15+C16+C17+C18</f>
        <v>845.3957746416</v>
      </c>
      <c r="D19" s="0" t="n">
        <f aca="false">D15+D16+D17+D18</f>
        <v>876.9090058776</v>
      </c>
      <c r="E19" s="0" t="n">
        <f aca="false">E15+E16+E17+E18</f>
        <v>836.474669579742</v>
      </c>
      <c r="F19" s="0" t="n">
        <f aca="false">F15+F16+F17+F18</f>
        <v>910.064632504075</v>
      </c>
      <c r="G19" s="0" t="n">
        <f aca="false">G15+G16+G17+G18</f>
        <v>913.546168533445</v>
      </c>
      <c r="H19" s="0" t="n">
        <f aca="false">H15+H16+H17+H18</f>
        <v>985.276323830128</v>
      </c>
      <c r="I19" s="0" t="n">
        <f aca="false">I15+I16+I17+I18</f>
        <v>1058.12960808115</v>
      </c>
      <c r="J19" s="0" t="n">
        <f aca="false">J15+J16+J17+J18</f>
        <v>1079.29220024278</v>
      </c>
      <c r="K19" s="0" t="n">
        <f aca="false">K15+K16+K17+K18</f>
        <v>1155.35580502449</v>
      </c>
      <c r="L19" s="0" t="n">
        <f aca="false">L15+L16+L17+L18</f>
        <v>1178.46292112498</v>
      </c>
    </row>
    <row r="20" customFormat="false" ht="15" hidden="false" customHeight="false" outlineLevel="0" collapsed="false">
      <c r="A20" s="0" t="s">
        <v>122</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123</v>
      </c>
      <c r="C21" s="0" t="n">
        <f aca="false">C19*C20</f>
        <v>772.050935745754</v>
      </c>
      <c r="D21" s="0" t="n">
        <f aca="false">D19*D20</f>
        <v>731.351728177144</v>
      </c>
      <c r="E21" s="0" t="n">
        <f aca="false">E19*E20</f>
        <v>637.104153654328</v>
      </c>
      <c r="F21" s="0" t="n">
        <f aca="false">F19*F20</f>
        <v>633.017563778469</v>
      </c>
      <c r="G21" s="0" t="n">
        <f aca="false">G19*G20</f>
        <v>580.30979976469</v>
      </c>
      <c r="H21" s="0" t="n">
        <f aca="false">H19*H20</f>
        <v>571.575140496902</v>
      </c>
      <c r="I21" s="0" t="n">
        <f aca="false">I19*I20</f>
        <v>560.583140891143</v>
      </c>
      <c r="J21" s="0" t="n">
        <f aca="false">J19*J20</f>
        <v>522.187035350654</v>
      </c>
      <c r="K21" s="0" t="n">
        <f aca="false">K19*K20</f>
        <v>510.491691574773</v>
      </c>
      <c r="L21" s="0" t="n">
        <f aca="false">L19*L20</f>
        <v>475.526507220337</v>
      </c>
    </row>
    <row r="23" customFormat="false" ht="15" hidden="false" customHeight="false" outlineLevel="0" collapsed="false">
      <c r="A23" s="0" t="s">
        <v>99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Assumptions!$B$20</f>
        <v>9.5</v>
      </c>
    </row>
    <row r="28" customFormat="false" ht="15" hidden="false" customHeight="false" outlineLevel="0" collapsed="false">
      <c r="A28" s="0" t="s">
        <v>104</v>
      </c>
      <c r="B28" s="4" t="n">
        <f aca="false">Assumptions!$B$21</f>
        <v>2</v>
      </c>
    </row>
    <row r="29" customFormat="false" ht="15" hidden="false" customHeight="false" outlineLevel="0" collapsed="false">
      <c r="A29" s="0" t="s">
        <v>105</v>
      </c>
      <c r="B29" s="4" t="n">
        <f aca="false">Assumptions!$B$22</f>
        <v>15</v>
      </c>
    </row>
    <row r="30" customFormat="false" ht="15" hidden="false" customHeight="false" outlineLevel="0" collapsed="false">
      <c r="A30" s="0" t="s">
        <v>126</v>
      </c>
      <c r="B30" s="0" t="n">
        <f aca="false">SUM(C21:L21)</f>
        <v>5994.19769665419</v>
      </c>
    </row>
    <row r="31" customFormat="false" ht="15" hidden="false" customHeight="false" outlineLevel="0" collapsed="false">
      <c r="A31" s="0" t="s">
        <v>127</v>
      </c>
      <c r="B31" s="0" t="n">
        <f aca="false">L19</f>
        <v>1178.46292112498</v>
      </c>
    </row>
    <row r="32" customFormat="false" ht="15" hidden="false" customHeight="false" outlineLevel="0" collapsed="false">
      <c r="A32" s="0" t="s">
        <v>128</v>
      </c>
      <c r="B32" s="0" t="n">
        <f aca="false">IF(B27&gt;B28,B31*(1+B28/100)/((B27-B28)/100),B31*B29)</f>
        <v>16027.0957272997</v>
      </c>
    </row>
    <row r="33" customFormat="false" ht="15" hidden="false" customHeight="false" outlineLevel="0" collapsed="false">
      <c r="A33" s="0" t="s">
        <v>129</v>
      </c>
      <c r="B33" s="0" t="n">
        <f aca="false">B31*B29</f>
        <v>17676.9438168747</v>
      </c>
    </row>
    <row r="34" customFormat="false" ht="15" hidden="false" customHeight="false" outlineLevel="0" collapsed="false">
      <c r="A34" s="0" t="s">
        <v>130</v>
      </c>
      <c r="B34" s="0" t="n">
        <f aca="false">MAX(0,MIN(B32,B33))</f>
        <v>16027.0957272997</v>
      </c>
    </row>
    <row r="35" customFormat="false" ht="15" hidden="false" customHeight="false" outlineLevel="0" collapsed="false">
      <c r="A35" s="0" t="s">
        <v>131</v>
      </c>
      <c r="B35" s="0" t="n">
        <f aca="false">B34/(1+B27/100)^L4</f>
        <v>6467.16049819658</v>
      </c>
    </row>
    <row r="36" customFormat="false" ht="15" hidden="false" customHeight="false" outlineLevel="0" collapsed="false">
      <c r="A36" s="0" t="s">
        <v>132</v>
      </c>
      <c r="B36" s="0" t="n">
        <f aca="false">B30+B35</f>
        <v>12461.3581948508</v>
      </c>
    </row>
    <row r="37" customFormat="false" ht="15" hidden="false" customHeight="false" outlineLevel="0" collapsed="false">
      <c r="A37" s="0" t="s">
        <v>133</v>
      </c>
      <c r="B37" s="0" t="n">
        <f aca="false">B36+Assumptions!$B$5-Assumptions!$B$4</f>
        <v>16686.2291948508</v>
      </c>
    </row>
    <row r="38" customFormat="false" ht="15" hidden="false" customHeight="false" outlineLevel="0" collapsed="false">
      <c r="A38" s="0" t="s">
        <v>134</v>
      </c>
      <c r="B38" s="0" t="n">
        <f aca="false">B37/Assumptions!$B$3*Assumptions!$B$10</f>
        <v>7.6173721314707</v>
      </c>
    </row>
    <row r="39" customFormat="false" ht="15" hidden="false" customHeight="false" outlineLevel="0" collapsed="false">
      <c r="A39" s="0" t="s">
        <v>135</v>
      </c>
      <c r="B39" s="4" t="n">
        <f aca="false">B38/Assumptions!$B$2-1</f>
        <v>-0.308768409122441</v>
      </c>
    </row>
    <row r="41" customFormat="false" ht="15" hidden="false" customHeight="false" outlineLevel="0" collapsed="false">
      <c r="A41" s="0" t="s">
        <v>136</v>
      </c>
      <c r="B41" s="0" t="n">
        <f aca="false">SUMPRODUCT(-C10:L10/(1+$B$27/100)^C4:L4)</f>
        <v>687.94382605786</v>
      </c>
    </row>
    <row r="42" customFormat="false" ht="15" hidden="false" customHeight="false" outlineLevel="0" collapsed="false">
      <c r="A42" s="0" t="s">
        <v>137</v>
      </c>
      <c r="B42" s="0" t="n">
        <f aca="false">IF(B27&gt;B28,-L10*(1+B28/100)/((B27-B28)/100),-L10*20)/(1+B27/100)^L4</f>
        <v>609.883848757444</v>
      </c>
    </row>
    <row r="43" customFormat="false" ht="15" hidden="false" customHeight="false" outlineLevel="0" collapsed="false">
      <c r="A43" s="0" t="s">
        <v>138</v>
      </c>
      <c r="B43" s="0" t="n">
        <f aca="false">(B37+B41+B42)/Assumptions!$B$3*Assumptions!$B$10</f>
        <v>8.20983890428958</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9246.40138113446</v>
      </c>
    </row>
    <row r="47" customFormat="false" ht="15" hidden="false" customHeight="false" outlineLevel="0" collapsed="false">
      <c r="A47" s="0" t="s">
        <v>140</v>
      </c>
      <c r="B47" s="0" t="n">
        <f aca="false">(SUMPRODUCT(C19:L19/(1+B45/100)^C4:L4)+B46/(1+B45/100)^L4+Assumptions!$B$5-Assumptions!$B$4)/Assumptions!$B$3*Assumptions!$B$10</f>
        <v>5.12631921594764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Assumptions!C27</f>
        <v>22</v>
      </c>
      <c r="D5" s="4" t="n">
        <f aca="false">Assumptions!D27</f>
        <v>9</v>
      </c>
      <c r="E5" s="4" t="n">
        <f aca="false">Assumptions!E27</f>
        <v>11</v>
      </c>
      <c r="F5" s="4" t="n">
        <f aca="false">Assumptions!F27</f>
        <v>10</v>
      </c>
      <c r="G5" s="4" t="n">
        <f aca="false">Assumptions!G27</f>
        <v>9</v>
      </c>
      <c r="H5" s="4" t="n">
        <f aca="false">Assumptions!H27</f>
        <v>8</v>
      </c>
      <c r="I5" s="4" t="n">
        <f aca="false">Assumptions!I27</f>
        <v>7</v>
      </c>
      <c r="J5" s="4" t="n">
        <f aca="false">Assumptions!J27</f>
        <v>6</v>
      </c>
      <c r="K5" s="4" t="n">
        <f aca="false">Assumptions!K27</f>
        <v>5</v>
      </c>
      <c r="L5" s="4" t="n">
        <f aca="false">Assumptions!L27</f>
        <v>4</v>
      </c>
    </row>
    <row r="6" customFormat="false" ht="15" hidden="false" customHeight="false" outlineLevel="0" collapsed="false">
      <c r="A6" s="0" t="s">
        <v>38</v>
      </c>
      <c r="B6" s="3" t="n">
        <v>7731.411</v>
      </c>
      <c r="C6" s="0" t="n">
        <f aca="false">B6*(1+C5/100)</f>
        <v>9432.32142</v>
      </c>
      <c r="D6" s="0" t="n">
        <f aca="false">C6*(1+D5/100)</f>
        <v>10281.2303478</v>
      </c>
      <c r="E6" s="0" t="n">
        <f aca="false">D6*(1+E5/100)</f>
        <v>11412.165686058</v>
      </c>
      <c r="F6" s="0" t="n">
        <f aca="false">E6*(1+F5/100)</f>
        <v>12553.3822546638</v>
      </c>
      <c r="G6" s="0" t="n">
        <f aca="false">F6*(1+G5/100)</f>
        <v>13683.1866575835</v>
      </c>
      <c r="H6" s="0" t="n">
        <f aca="false">G6*(1+H5/100)</f>
        <v>14777.8415901902</v>
      </c>
      <c r="I6" s="0" t="n">
        <f aca="false">H6*(1+I5/100)</f>
        <v>15812.2905015035</v>
      </c>
      <c r="J6" s="0" t="n">
        <f aca="false">I6*(1+J5/100)</f>
        <v>16761.0279315938</v>
      </c>
      <c r="K6" s="0" t="n">
        <f aca="false">J6*(1+K5/100)</f>
        <v>17599.0793281735</v>
      </c>
      <c r="L6" s="0" t="n">
        <f aca="false">K6*(1+L5/100)</f>
        <v>18303.0425013004</v>
      </c>
    </row>
    <row r="7" customFormat="false" ht="15" hidden="false" customHeight="false" outlineLevel="0" collapsed="false">
      <c r="A7" s="0" t="s">
        <v>97</v>
      </c>
      <c r="C7" s="4" t="n">
        <f aca="false">Assumptions!C28</f>
        <v>27</v>
      </c>
      <c r="D7" s="4" t="n">
        <f aca="false">Assumptions!D28</f>
        <v>26.5</v>
      </c>
      <c r="E7" s="4" t="n">
        <f aca="false">Assumptions!E28</f>
        <v>27</v>
      </c>
      <c r="F7" s="4" t="n">
        <f aca="false">Assumptions!F28</f>
        <v>27.5</v>
      </c>
      <c r="G7" s="4" t="n">
        <f aca="false">Assumptions!G28</f>
        <v>28</v>
      </c>
      <c r="H7" s="4" t="n">
        <f aca="false">Assumptions!H28</f>
        <v>28.5</v>
      </c>
      <c r="I7" s="4" t="n">
        <f aca="false">Assumptions!I28</f>
        <v>29</v>
      </c>
      <c r="J7" s="4" t="n">
        <f aca="false">Assumptions!J28</f>
        <v>29</v>
      </c>
      <c r="K7" s="4" t="n">
        <f aca="false">Assumptions!K28</f>
        <v>29</v>
      </c>
      <c r="L7" s="4" t="n">
        <f aca="false">Assumptions!L28</f>
        <v>29</v>
      </c>
    </row>
    <row r="8" customFormat="false" ht="15" hidden="false" customHeight="false" outlineLevel="0" collapsed="false">
      <c r="A8" s="0" t="s">
        <v>44</v>
      </c>
      <c r="C8" s="0" t="n">
        <f aca="false">C6*C7/100</f>
        <v>2546.7267834</v>
      </c>
      <c r="D8" s="0" t="n">
        <f aca="false">D6*D7/100</f>
        <v>2724.526042167</v>
      </c>
      <c r="E8" s="0" t="n">
        <f aca="false">E6*E7/100</f>
        <v>3081.28473523566</v>
      </c>
      <c r="F8" s="0" t="n">
        <f aca="false">F6*F7/100</f>
        <v>3452.18012003255</v>
      </c>
      <c r="G8" s="0" t="n">
        <f aca="false">G6*G7/100</f>
        <v>3831.29226412339</v>
      </c>
      <c r="H8" s="0" t="n">
        <f aca="false">H6*H7/100</f>
        <v>4211.68485320422</v>
      </c>
      <c r="I8" s="0" t="n">
        <f aca="false">I6*I7/100</f>
        <v>4585.56424543603</v>
      </c>
      <c r="J8" s="0" t="n">
        <f aca="false">J6*J7/100</f>
        <v>4860.69810016219</v>
      </c>
      <c r="K8" s="0" t="n">
        <f aca="false">K6*K7/100</f>
        <v>5103.7330051703</v>
      </c>
      <c r="L8" s="0" t="n">
        <f aca="false">L6*L7/100</f>
        <v>5307.88232537711</v>
      </c>
    </row>
    <row r="9" customFormat="false" ht="15" hidden="false" customHeight="false" outlineLevel="0" collapsed="false">
      <c r="A9" s="0" t="s">
        <v>98</v>
      </c>
      <c r="C9" s="4" t="n">
        <f aca="false">Assumptions!C29</f>
        <v>1.2</v>
      </c>
      <c r="D9" s="4" t="n">
        <f aca="false">Assumptions!D29</f>
        <v>1.2</v>
      </c>
      <c r="E9" s="4" t="n">
        <f aca="false">Assumptions!E29</f>
        <v>1.2</v>
      </c>
      <c r="F9" s="4" t="n">
        <f aca="false">Assumptions!F29</f>
        <v>1.1</v>
      </c>
      <c r="G9" s="4" t="n">
        <f aca="false">Assumptions!G29</f>
        <v>1.1</v>
      </c>
      <c r="H9" s="4" t="n">
        <f aca="false">Assumptions!H29</f>
        <v>1.1</v>
      </c>
      <c r="I9" s="4" t="n">
        <f aca="false">Assumptions!I29</f>
        <v>1</v>
      </c>
      <c r="J9" s="4" t="n">
        <f aca="false">Assumptions!J29</f>
        <v>1</v>
      </c>
      <c r="K9" s="4" t="n">
        <f aca="false">Assumptions!K29</f>
        <v>1</v>
      </c>
      <c r="L9" s="4" t="n">
        <f aca="false">Assumptions!L29</f>
        <v>1</v>
      </c>
    </row>
    <row r="10" customFormat="false" ht="15" hidden="false" customHeight="false" outlineLevel="0" collapsed="false">
      <c r="A10" s="0" t="s">
        <v>113</v>
      </c>
      <c r="C10" s="0" t="n">
        <f aca="false">-C6*C9/100</f>
        <v>-113.18785704</v>
      </c>
      <c r="D10" s="0" t="n">
        <f aca="false">-D6*D9/100</f>
        <v>-123.3747641736</v>
      </c>
      <c r="E10" s="0" t="n">
        <f aca="false">-E6*E9/100</f>
        <v>-136.945988232696</v>
      </c>
      <c r="F10" s="0" t="n">
        <f aca="false">-F6*F9/100</f>
        <v>-138.087204801302</v>
      </c>
      <c r="G10" s="0" t="n">
        <f aca="false">-G6*G9/100</f>
        <v>-150.515053233419</v>
      </c>
      <c r="H10" s="0" t="n">
        <f aca="false">-H6*H9/100</f>
        <v>-162.556257492093</v>
      </c>
      <c r="I10" s="0" t="n">
        <f aca="false">-I6*I9/100</f>
        <v>-158.122905015035</v>
      </c>
      <c r="J10" s="0" t="n">
        <f aca="false">-J6*J9/100</f>
        <v>-167.610279315938</v>
      </c>
      <c r="K10" s="0" t="n">
        <f aca="false">-K6*K9/100</f>
        <v>-175.990793281735</v>
      </c>
      <c r="L10" s="0" t="n">
        <f aca="false">-L6*L9/100</f>
        <v>-183.030425013004</v>
      </c>
    </row>
    <row r="11" customFormat="false" ht="15" hidden="false" customHeight="false" outlineLevel="0" collapsed="false">
      <c r="A11" s="0" t="s">
        <v>114</v>
      </c>
      <c r="C11" s="0" t="n">
        <f aca="false">C8+C10+C24</f>
        <v>2433.53892636</v>
      </c>
      <c r="D11" s="0" t="n">
        <f aca="false">D8+D10+D24</f>
        <v>2601.1512779934</v>
      </c>
      <c r="E11" s="0" t="n">
        <f aca="false">E8+E10+E24</f>
        <v>2944.33874700296</v>
      </c>
      <c r="F11" s="0" t="n">
        <f aca="false">F8+F10+F24</f>
        <v>3314.09291523124</v>
      </c>
      <c r="G11" s="0" t="n">
        <f aca="false">G8+G10+G24</f>
        <v>3680.77721088997</v>
      </c>
      <c r="H11" s="0" t="n">
        <f aca="false">H8+H10+H24</f>
        <v>4049.12859571212</v>
      </c>
      <c r="I11" s="0" t="n">
        <f aca="false">I8+I10+I24</f>
        <v>4427.44134042099</v>
      </c>
      <c r="J11" s="0" t="n">
        <f aca="false">J8+J10+J24</f>
        <v>4693.08782084625</v>
      </c>
      <c r="K11" s="0" t="n">
        <f aca="false">K8+K10+K24</f>
        <v>4927.74221188857</v>
      </c>
      <c r="L11" s="0" t="n">
        <f aca="false">L8+L10+L24</f>
        <v>5124.85190036411</v>
      </c>
    </row>
    <row r="12" customFormat="false" ht="15" hidden="false" customHeight="false" outlineLevel="0" collapsed="false">
      <c r="A12" s="0" t="s">
        <v>115</v>
      </c>
      <c r="C12" s="4" t="n">
        <f aca="false">-C6*Assumptions!C31/100</f>
        <v>-471.616071</v>
      </c>
      <c r="D12" s="4" t="n">
        <f aca="false">-D6*Assumptions!D31/100</f>
        <v>-503.7802870422</v>
      </c>
      <c r="E12" s="4" t="n">
        <f aca="false">-E6*Assumptions!E31/100</f>
        <v>-547.783952930784</v>
      </c>
      <c r="F12" s="4" t="n">
        <f aca="false">-F6*Assumptions!F31/100</f>
        <v>-590.008965969199</v>
      </c>
      <c r="G12" s="4" t="n">
        <f aca="false">-G6*Assumptions!G31/100</f>
        <v>-629.426586248843</v>
      </c>
      <c r="H12" s="4" t="n">
        <f aca="false">-H6*Assumptions!H31/100</f>
        <v>-665.00287155856</v>
      </c>
      <c r="I12" s="4" t="n">
        <f aca="false">-I6*Assumptions!I31/100</f>
        <v>-711.55307256766</v>
      </c>
      <c r="J12" s="4" t="n">
        <f aca="false">-J6*Assumptions!J31/100</f>
        <v>-754.246256921719</v>
      </c>
      <c r="K12" s="4" t="n">
        <f aca="false">-K6*Assumptions!K31/100</f>
        <v>-791.958569767805</v>
      </c>
      <c r="L12" s="4" t="n">
        <f aca="false">-L6*Assumptions!L31/100</f>
        <v>-823.636912558518</v>
      </c>
    </row>
    <row r="13" customFormat="false" ht="15" hidden="false" customHeight="false" outlineLevel="0" collapsed="false">
      <c r="A13" s="0" t="s">
        <v>116</v>
      </c>
      <c r="C13" s="0" t="n">
        <f aca="false">C11+C12</f>
        <v>1961.92285536</v>
      </c>
      <c r="D13" s="0" t="n">
        <f aca="false">D11+D12</f>
        <v>2097.3709909512</v>
      </c>
      <c r="E13" s="0" t="n">
        <f aca="false">E11+E12</f>
        <v>2396.55479407218</v>
      </c>
      <c r="F13" s="0" t="n">
        <f aca="false">F11+F12</f>
        <v>2724.08394926205</v>
      </c>
      <c r="G13" s="0" t="n">
        <f aca="false">G11+G12</f>
        <v>3051.35062464113</v>
      </c>
      <c r="H13" s="0" t="n">
        <f aca="false">H11+H12</f>
        <v>3384.12572415356</v>
      </c>
      <c r="I13" s="0" t="n">
        <f aca="false">I11+I12</f>
        <v>3715.88826785333</v>
      </c>
      <c r="J13" s="0" t="n">
        <f aca="false">J11+J12</f>
        <v>3938.84156392453</v>
      </c>
      <c r="K13" s="0" t="n">
        <f aca="false">K11+K12</f>
        <v>4135.78364212076</v>
      </c>
      <c r="L13" s="0" t="n">
        <f aca="false">L11+L12</f>
        <v>4301.21498780559</v>
      </c>
    </row>
    <row r="14" customFormat="false" ht="15" hidden="false" customHeight="false" outlineLevel="0" collapsed="false">
      <c r="A14" s="0" t="s">
        <v>102</v>
      </c>
      <c r="C14" s="4" t="n">
        <f aca="false">Assumptions!C33</f>
        <v>16</v>
      </c>
      <c r="D14" s="4" t="n">
        <f aca="false">Assumptions!D33</f>
        <v>16</v>
      </c>
      <c r="E14" s="4" t="n">
        <f aca="false">Assumptions!E33</f>
        <v>16.5</v>
      </c>
      <c r="F14" s="4" t="n">
        <f aca="false">Assumptions!F33</f>
        <v>17</v>
      </c>
      <c r="G14" s="4" t="n">
        <f aca="false">Assumptions!G33</f>
        <v>17</v>
      </c>
      <c r="H14" s="4" t="n">
        <f aca="false">Assumptions!H33</f>
        <v>17.5</v>
      </c>
      <c r="I14" s="4" t="n">
        <f aca="false">Assumptions!I33</f>
        <v>18</v>
      </c>
      <c r="J14" s="4" t="n">
        <f aca="false">Assumptions!J33</f>
        <v>18</v>
      </c>
      <c r="K14" s="4" t="n">
        <f aca="false">Assumptions!K33</f>
        <v>18</v>
      </c>
      <c r="L14" s="4" t="n">
        <f aca="false">Assumptions!L33</f>
        <v>18</v>
      </c>
    </row>
    <row r="15" customFormat="false" ht="15" hidden="false" customHeight="false" outlineLevel="0" collapsed="false">
      <c r="A15" s="0" t="s">
        <v>117</v>
      </c>
      <c r="C15" s="0" t="n">
        <f aca="false">C13-MAX(0,C13)*C14/100</f>
        <v>1648.0151985024</v>
      </c>
      <c r="D15" s="0" t="n">
        <f aca="false">D13-MAX(0,D13)*D14/100</f>
        <v>1761.79163239901</v>
      </c>
      <c r="E15" s="0" t="n">
        <f aca="false">E13-MAX(0,E13)*E14/100</f>
        <v>2001.12325305027</v>
      </c>
      <c r="F15" s="0" t="n">
        <f aca="false">F13-MAX(0,F13)*F14/100</f>
        <v>2260.9896778875</v>
      </c>
      <c r="G15" s="0" t="n">
        <f aca="false">G13-MAX(0,G13)*G14/100</f>
        <v>2532.62101845214</v>
      </c>
      <c r="H15" s="0" t="n">
        <f aca="false">H13-MAX(0,H13)*H14/100</f>
        <v>2791.90372242669</v>
      </c>
      <c r="I15" s="0" t="n">
        <f aca="false">I13-MAX(0,I13)*I14/100</f>
        <v>3047.02837963973</v>
      </c>
      <c r="J15" s="0" t="n">
        <f aca="false">J13-MAX(0,J13)*J14/100</f>
        <v>3229.85008241812</v>
      </c>
      <c r="K15" s="0" t="n">
        <f aca="false">K13-MAX(0,K13)*K14/100</f>
        <v>3391.34258653902</v>
      </c>
      <c r="L15" s="0" t="n">
        <f aca="false">L13-MAX(0,L13)*L14/100</f>
        <v>3526.99629000059</v>
      </c>
    </row>
    <row r="16" customFormat="false" ht="15" hidden="false" customHeight="false" outlineLevel="0" collapsed="false">
      <c r="A16" s="0" t="s">
        <v>118</v>
      </c>
      <c r="C16" s="0" t="n">
        <f aca="false">-C12</f>
        <v>471.616071</v>
      </c>
      <c r="D16" s="0" t="n">
        <f aca="false">-D12</f>
        <v>503.7802870422</v>
      </c>
      <c r="E16" s="0" t="n">
        <f aca="false">-E12</f>
        <v>547.783952930784</v>
      </c>
      <c r="F16" s="0" t="n">
        <f aca="false">-F12</f>
        <v>590.008965969199</v>
      </c>
      <c r="G16" s="0" t="n">
        <f aca="false">-G12</f>
        <v>629.426586248843</v>
      </c>
      <c r="H16" s="0" t="n">
        <f aca="false">-H12</f>
        <v>665.00287155856</v>
      </c>
      <c r="I16" s="0" t="n">
        <f aca="false">-I12</f>
        <v>711.55307256766</v>
      </c>
      <c r="J16" s="0" t="n">
        <f aca="false">-J12</f>
        <v>754.246256921719</v>
      </c>
      <c r="K16" s="0" t="n">
        <f aca="false">-K12</f>
        <v>791.958569767805</v>
      </c>
      <c r="L16" s="0" t="n">
        <f aca="false">-L12</f>
        <v>823.636912558518</v>
      </c>
    </row>
    <row r="17" customFormat="false" ht="15" hidden="false" customHeight="false" outlineLevel="0" collapsed="false">
      <c r="A17" s="0" t="s">
        <v>119</v>
      </c>
      <c r="C17" s="4" t="n">
        <f aca="false">-C6*Assumptions!C32/100</f>
        <v>-943.232142</v>
      </c>
      <c r="D17" s="4" t="n">
        <f aca="false">-D6*Assumptions!D32/100</f>
        <v>-976.716883041</v>
      </c>
      <c r="E17" s="4" t="n">
        <f aca="false">-E6*Assumptions!E32/100</f>
        <v>-1027.09491174522</v>
      </c>
      <c r="F17" s="4" t="n">
        <f aca="false">-F6*Assumptions!F32/100</f>
        <v>-1067.03749164642</v>
      </c>
      <c r="G17" s="4" t="n">
        <f aca="false">-G6*Assumptions!G32/100</f>
        <v>-1094.65493260668</v>
      </c>
      <c r="H17" s="4" t="n">
        <f aca="false">-H6*Assumptions!H32/100</f>
        <v>-1108.33811926427</v>
      </c>
      <c r="I17" s="4" t="n">
        <f aca="false">-I6*Assumptions!I32/100</f>
        <v>-1106.86033510525</v>
      </c>
      <c r="J17" s="4" t="n">
        <f aca="false">-J6*Assumptions!J32/100</f>
        <v>-1173.27195521156</v>
      </c>
      <c r="K17" s="4" t="n">
        <f aca="false">-K6*Assumptions!K32/100</f>
        <v>-1143.94015633127</v>
      </c>
      <c r="L17" s="4" t="n">
        <f aca="false">-L6*Assumptions!L32/100</f>
        <v>-1189.69776258453</v>
      </c>
    </row>
    <row r="18" customFormat="false" ht="15" hidden="false" customHeight="false" outlineLevel="0" collapsed="false">
      <c r="A18" s="0" t="s">
        <v>120</v>
      </c>
      <c r="C18" s="4" t="n">
        <f aca="false">(C6-B6)*Assumptions!$B$37/100</f>
        <v>-170.091042</v>
      </c>
      <c r="D18" s="4" t="n">
        <f aca="false">(D6-C6)*Assumptions!$B$37/100</f>
        <v>-84.8908927800001</v>
      </c>
      <c r="E18" s="4" t="n">
        <f aca="false">(E6-D6)*Assumptions!$B$37/100</f>
        <v>-113.0935338258</v>
      </c>
      <c r="F18" s="4" t="n">
        <f aca="false">(F6-E6)*Assumptions!$B$37/100</f>
        <v>-114.12165686058</v>
      </c>
      <c r="G18" s="4" t="n">
        <f aca="false">(G6-F6)*Assumptions!$B$37/100</f>
        <v>-112.980440291974</v>
      </c>
      <c r="H18" s="4" t="n">
        <f aca="false">(H6-G6)*Assumptions!$B$37/100</f>
        <v>-109.465493260669</v>
      </c>
      <c r="I18" s="4" t="n">
        <f aca="false">(I6-H6)*Assumptions!$B$37/100</f>
        <v>-103.444891131332</v>
      </c>
      <c r="J18" s="4" t="n">
        <f aca="false">(J6-I6)*Assumptions!$B$37/100</f>
        <v>-94.8737430090214</v>
      </c>
      <c r="K18" s="4" t="n">
        <f aca="false">(K6-J6)*Assumptions!$B$37/100</f>
        <v>-83.8051396579689</v>
      </c>
      <c r="L18" s="4" t="n">
        <f aca="false">(L6-K6)*Assumptions!$B$37/100</f>
        <v>-70.396317312694</v>
      </c>
    </row>
    <row r="19" customFormat="false" ht="15" hidden="false" customHeight="false" outlineLevel="0" collapsed="false">
      <c r="A19" s="0" t="s">
        <v>121</v>
      </c>
      <c r="C19" s="0" t="n">
        <f aca="false">C15+C16+C17+C18</f>
        <v>1006.3080855024</v>
      </c>
      <c r="D19" s="0" t="n">
        <f aca="false">D15+D16+D17+D18</f>
        <v>1203.96414362021</v>
      </c>
      <c r="E19" s="0" t="n">
        <f aca="false">E15+E16+E17+E18</f>
        <v>1408.71876041004</v>
      </c>
      <c r="F19" s="0" t="n">
        <f aca="false">F15+F16+F17+F18</f>
        <v>1669.83949534969</v>
      </c>
      <c r="G19" s="0" t="n">
        <f aca="false">G15+G16+G17+G18</f>
        <v>1954.41223180232</v>
      </c>
      <c r="H19" s="0" t="n">
        <f aca="false">H15+H16+H17+H18</f>
        <v>2239.10298146031</v>
      </c>
      <c r="I19" s="0" t="n">
        <f aca="false">I15+I16+I17+I18</f>
        <v>2548.27622597081</v>
      </c>
      <c r="J19" s="0" t="n">
        <f aca="false">J15+J16+J17+J18</f>
        <v>2715.95064111925</v>
      </c>
      <c r="K19" s="0" t="n">
        <f aca="false">K15+K16+K17+K18</f>
        <v>2955.55586031759</v>
      </c>
      <c r="L19" s="0" t="n">
        <f aca="false">L15+L16+L17+L18</f>
        <v>3090.53912266188</v>
      </c>
    </row>
    <row r="20" customFormat="false" ht="15" hidden="false" customHeight="false" outlineLevel="0" collapsed="false">
      <c r="A20" s="0" t="s">
        <v>122</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123</v>
      </c>
      <c r="C21" s="0" t="n">
        <f aca="false">C19*C20</f>
        <v>919.002817810411</v>
      </c>
      <c r="D21" s="0" t="n">
        <f aca="false">D19*D20</f>
        <v>1004.11929994805</v>
      </c>
      <c r="E21" s="0" t="n">
        <f aca="false">E19*E20</f>
        <v>1072.95606935585</v>
      </c>
      <c r="F21" s="0" t="n">
        <f aca="false">F19*F20</f>
        <v>1161.49742720894</v>
      </c>
      <c r="G21" s="0" t="n">
        <f aca="false">G19*G20</f>
        <v>1241.4967190061</v>
      </c>
      <c r="H21" s="0" t="n">
        <f aca="false">H19*H20</f>
        <v>1298.94078469287</v>
      </c>
      <c r="I21" s="0" t="n">
        <f aca="false">I19*I20</f>
        <v>1350.04320803712</v>
      </c>
      <c r="J21" s="0" t="n">
        <f aca="false">J19*J20</f>
        <v>1314.04101051203</v>
      </c>
      <c r="K21" s="0" t="n">
        <f aca="false">K19*K20</f>
        <v>1305.90654767626</v>
      </c>
      <c r="L21" s="0" t="n">
        <f aca="false">L19*L20</f>
        <v>1247.07638066735</v>
      </c>
    </row>
    <row r="23" customFormat="false" ht="15" hidden="false" customHeight="false" outlineLevel="0" collapsed="false">
      <c r="A23" s="0" t="s">
        <v>99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Assumptions!$B$34</f>
        <v>9.5</v>
      </c>
    </row>
    <row r="28" customFormat="false" ht="15" hidden="false" customHeight="false" outlineLevel="0" collapsed="false">
      <c r="A28" s="0" t="s">
        <v>104</v>
      </c>
      <c r="B28" s="4" t="n">
        <f aca="false">Assumptions!$B$35</f>
        <v>2.5</v>
      </c>
    </row>
    <row r="29" customFormat="false" ht="15" hidden="false" customHeight="false" outlineLevel="0" collapsed="false">
      <c r="A29" s="0" t="s">
        <v>105</v>
      </c>
      <c r="B29" s="4" t="n">
        <f aca="false">Assumptions!$B$36</f>
        <v>15</v>
      </c>
    </row>
    <row r="30" customFormat="false" ht="15" hidden="false" customHeight="false" outlineLevel="0" collapsed="false">
      <c r="A30" s="0" t="s">
        <v>126</v>
      </c>
      <c r="B30" s="0" t="n">
        <f aca="false">SUM(C21:L21)</f>
        <v>11915.080264915</v>
      </c>
    </row>
    <row r="31" customFormat="false" ht="15" hidden="false" customHeight="false" outlineLevel="0" collapsed="false">
      <c r="A31" s="0" t="s">
        <v>127</v>
      </c>
      <c r="B31" s="0" t="n">
        <f aca="false">L19</f>
        <v>3090.53912266188</v>
      </c>
    </row>
    <row r="32" customFormat="false" ht="15" hidden="false" customHeight="false" outlineLevel="0" collapsed="false">
      <c r="A32" s="0" t="s">
        <v>128</v>
      </c>
      <c r="B32" s="0" t="n">
        <f aca="false">IF(B27&gt;B28,B31*(1+B28/100)/((B27-B28)/100),B31*B29)</f>
        <v>45254.322867549</v>
      </c>
    </row>
    <row r="33" customFormat="false" ht="15" hidden="false" customHeight="false" outlineLevel="0" collapsed="false">
      <c r="A33" s="0" t="s">
        <v>129</v>
      </c>
      <c r="B33" s="0" t="n">
        <f aca="false">B31*B29</f>
        <v>46358.0868399283</v>
      </c>
    </row>
    <row r="34" customFormat="false" ht="15" hidden="false" customHeight="false" outlineLevel="0" collapsed="false">
      <c r="A34" s="0" t="s">
        <v>130</v>
      </c>
      <c r="B34" s="0" t="n">
        <f aca="false">MAX(0,MIN(B32,B33))</f>
        <v>45254.322867549</v>
      </c>
    </row>
    <row r="35" customFormat="false" ht="15" hidden="false" customHeight="false" outlineLevel="0" collapsed="false">
      <c r="A35" s="0" t="s">
        <v>131</v>
      </c>
      <c r="B35" s="0" t="n">
        <f aca="false">B34/(1+B27/100)^L4</f>
        <v>18260.7612883433</v>
      </c>
    </row>
    <row r="36" customFormat="false" ht="15" hidden="false" customHeight="false" outlineLevel="0" collapsed="false">
      <c r="A36" s="0" t="s">
        <v>132</v>
      </c>
      <c r="B36" s="0" t="n">
        <f aca="false">B30+B35</f>
        <v>30175.8415532583</v>
      </c>
    </row>
    <row r="37" customFormat="false" ht="15" hidden="false" customHeight="false" outlineLevel="0" collapsed="false">
      <c r="A37" s="0" t="s">
        <v>133</v>
      </c>
      <c r="B37" s="0" t="n">
        <f aca="false">B36+Assumptions!$B$5-Assumptions!$B$4</f>
        <v>34400.7125532583</v>
      </c>
    </row>
    <row r="38" customFormat="false" ht="15" hidden="false" customHeight="false" outlineLevel="0" collapsed="false">
      <c r="A38" s="0" t="s">
        <v>134</v>
      </c>
      <c r="B38" s="0" t="n">
        <f aca="false">B37/Assumptions!$B$3*Assumptions!$B$10</f>
        <v>15.7041489749396</v>
      </c>
    </row>
    <row r="39" customFormat="false" ht="15" hidden="false" customHeight="false" outlineLevel="0" collapsed="false">
      <c r="A39" s="0" t="s">
        <v>135</v>
      </c>
      <c r="B39" s="4" t="n">
        <f aca="false">B38/Assumptions!$B$2-1</f>
        <v>0.425058890647881</v>
      </c>
    </row>
    <row r="41" customFormat="false" ht="15" hidden="false" customHeight="false" outlineLevel="0" collapsed="false">
      <c r="A41" s="0" t="s">
        <v>136</v>
      </c>
      <c r="B41" s="0" t="n">
        <f aca="false">SUMPRODUCT(-C10:L10/(1+$B$27/100)^C4:L4)</f>
        <v>913.013870842666</v>
      </c>
    </row>
    <row r="42" customFormat="false" ht="15" hidden="false" customHeight="false" outlineLevel="0" collapsed="false">
      <c r="A42" s="0" t="s">
        <v>137</v>
      </c>
      <c r="B42" s="0" t="n">
        <f aca="false">IF(B27&gt;B28,-L10*(1+B28/100)/((B27-B28)/100),-L10*20)/(1+B27/100)^L4</f>
        <v>1081.45367750199</v>
      </c>
    </row>
    <row r="43" customFormat="false" ht="15" hidden="false" customHeight="false" outlineLevel="0" collapsed="false">
      <c r="A43" s="0" t="s">
        <v>138</v>
      </c>
      <c r="B43" s="0" t="n">
        <f aca="false">(B37+B41+B42)/Assumptions!$B$3*Assumptions!$B$10</f>
        <v>16.6146363800013</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25342.4208058274</v>
      </c>
    </row>
    <row r="47" customFormat="false" ht="15" hidden="false" customHeight="false" outlineLevel="0" collapsed="false">
      <c r="A47" s="0" t="s">
        <v>140</v>
      </c>
      <c r="B47" s="0" t="n">
        <f aca="false">(SUMPRODUCT(C19:L19/(1+B45/100)^C4:L4)+B46/(1+B45/100)^L4+Assumptions!$B$5-Assumptions!$B$4)/Assumptions!$B$3*Assumptions!$B$10</f>
        <v>8.92250361908433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Assumptions!C41</f>
        <v>26</v>
      </c>
      <c r="D5" s="4" t="n">
        <f aca="false">Assumptions!D41</f>
        <v>15</v>
      </c>
      <c r="E5" s="4" t="n">
        <f aca="false">Assumptions!E41</f>
        <v>16</v>
      </c>
      <c r="F5" s="4" t="n">
        <f aca="false">Assumptions!F41</f>
        <v>15</v>
      </c>
      <c r="G5" s="4" t="n">
        <f aca="false">Assumptions!G41</f>
        <v>13</v>
      </c>
      <c r="H5" s="4" t="n">
        <f aca="false">Assumptions!H41</f>
        <v>11</v>
      </c>
      <c r="I5" s="4" t="n">
        <f aca="false">Assumptions!I41</f>
        <v>9</v>
      </c>
      <c r="J5" s="4" t="n">
        <f aca="false">Assumptions!J41</f>
        <v>8</v>
      </c>
      <c r="K5" s="4" t="n">
        <f aca="false">Assumptions!K41</f>
        <v>7</v>
      </c>
      <c r="L5" s="4" t="n">
        <f aca="false">Assumptions!L41</f>
        <v>6</v>
      </c>
    </row>
    <row r="6" customFormat="false" ht="15" hidden="false" customHeight="false" outlineLevel="0" collapsed="false">
      <c r="A6" s="0" t="s">
        <v>38</v>
      </c>
      <c r="B6" s="3" t="n">
        <v>7731.411</v>
      </c>
      <c r="C6" s="0" t="n">
        <f aca="false">B6*(1+C5/100)</f>
        <v>9741.57786</v>
      </c>
      <c r="D6" s="0" t="n">
        <f aca="false">C6*(1+D5/100)</f>
        <v>11202.814539</v>
      </c>
      <c r="E6" s="0" t="n">
        <f aca="false">D6*(1+E5/100)</f>
        <v>12995.26486524</v>
      </c>
      <c r="F6" s="0" t="n">
        <f aca="false">E6*(1+F5/100)</f>
        <v>14944.554595026</v>
      </c>
      <c r="G6" s="0" t="n">
        <f aca="false">F6*(1+G5/100)</f>
        <v>16887.3466923794</v>
      </c>
      <c r="H6" s="0" t="n">
        <f aca="false">G6*(1+H5/100)</f>
        <v>18744.9548285411</v>
      </c>
      <c r="I6" s="0" t="n">
        <f aca="false">H6*(1+I5/100)</f>
        <v>20432.0007631098</v>
      </c>
      <c r="J6" s="0" t="n">
        <f aca="false">I6*(1+J5/100)</f>
        <v>22066.5608241586</v>
      </c>
      <c r="K6" s="0" t="n">
        <f aca="false">J6*(1+K5/100)</f>
        <v>23611.2200818497</v>
      </c>
      <c r="L6" s="0" t="n">
        <f aca="false">K6*(1+L5/100)</f>
        <v>25027.8932867607</v>
      </c>
    </row>
    <row r="7" customFormat="false" ht="15" hidden="false" customHeight="false" outlineLevel="0" collapsed="false">
      <c r="A7" s="0" t="s">
        <v>97</v>
      </c>
      <c r="C7" s="4" t="n">
        <f aca="false">Assumptions!C42</f>
        <v>28</v>
      </c>
      <c r="D7" s="4" t="n">
        <f aca="false">Assumptions!D42</f>
        <v>29</v>
      </c>
      <c r="E7" s="4" t="n">
        <f aca="false">Assumptions!E42</f>
        <v>30</v>
      </c>
      <c r="F7" s="4" t="n">
        <f aca="false">Assumptions!F42</f>
        <v>31</v>
      </c>
      <c r="G7" s="4" t="n">
        <f aca="false">Assumptions!G42</f>
        <v>32</v>
      </c>
      <c r="H7" s="4" t="n">
        <f aca="false">Assumptions!H42</f>
        <v>33</v>
      </c>
      <c r="I7" s="4" t="n">
        <f aca="false">Assumptions!I42</f>
        <v>33</v>
      </c>
      <c r="J7" s="4" t="n">
        <f aca="false">Assumptions!J42</f>
        <v>33</v>
      </c>
      <c r="K7" s="4" t="n">
        <f aca="false">Assumptions!K42</f>
        <v>33</v>
      </c>
      <c r="L7" s="4" t="n">
        <f aca="false">Assumptions!L42</f>
        <v>33</v>
      </c>
    </row>
    <row r="8" customFormat="false" ht="15" hidden="false" customHeight="false" outlineLevel="0" collapsed="false">
      <c r="A8" s="0" t="s">
        <v>44</v>
      </c>
      <c r="C8" s="0" t="n">
        <f aca="false">C6*C7/100</f>
        <v>2727.6418008</v>
      </c>
      <c r="D8" s="0" t="n">
        <f aca="false">D6*D7/100</f>
        <v>3248.81621631</v>
      </c>
      <c r="E8" s="0" t="n">
        <f aca="false">E6*E7/100</f>
        <v>3898.579459572</v>
      </c>
      <c r="F8" s="0" t="n">
        <f aca="false">F6*F7/100</f>
        <v>4632.81192445806</v>
      </c>
      <c r="G8" s="0" t="n">
        <f aca="false">G6*G7/100</f>
        <v>5403.9509415614</v>
      </c>
      <c r="H8" s="0" t="n">
        <f aca="false">H6*H7/100</f>
        <v>6185.83509341857</v>
      </c>
      <c r="I8" s="0" t="n">
        <f aca="false">I6*I7/100</f>
        <v>6742.56025182624</v>
      </c>
      <c r="J8" s="0" t="n">
        <f aca="false">J6*J7/100</f>
        <v>7281.96507197234</v>
      </c>
      <c r="K8" s="0" t="n">
        <f aca="false">K6*K7/100</f>
        <v>7791.7026270104</v>
      </c>
      <c r="L8" s="0" t="n">
        <f aca="false">L6*L7/100</f>
        <v>8259.20478463102</v>
      </c>
    </row>
    <row r="9" customFormat="false" ht="15" hidden="false" customHeight="false" outlineLevel="0" collapsed="false">
      <c r="A9" s="0" t="s">
        <v>98</v>
      </c>
      <c r="C9" s="4" t="n">
        <f aca="false">Assumptions!C43</f>
        <v>1.2</v>
      </c>
      <c r="D9" s="4" t="n">
        <f aca="false">Assumptions!D43</f>
        <v>1.2</v>
      </c>
      <c r="E9" s="4" t="n">
        <f aca="false">Assumptions!E43</f>
        <v>1.2</v>
      </c>
      <c r="F9" s="4" t="n">
        <f aca="false">Assumptions!F43</f>
        <v>1.1</v>
      </c>
      <c r="G9" s="4" t="n">
        <f aca="false">Assumptions!G43</f>
        <v>1.1</v>
      </c>
      <c r="H9" s="4" t="n">
        <f aca="false">Assumptions!H43</f>
        <v>1.1</v>
      </c>
      <c r="I9" s="4" t="n">
        <f aca="false">Assumptions!I43</f>
        <v>1</v>
      </c>
      <c r="J9" s="4" t="n">
        <f aca="false">Assumptions!J43</f>
        <v>1</v>
      </c>
      <c r="K9" s="4" t="n">
        <f aca="false">Assumptions!K43</f>
        <v>1</v>
      </c>
      <c r="L9" s="4" t="n">
        <f aca="false">Assumptions!L43</f>
        <v>1</v>
      </c>
    </row>
    <row r="10" customFormat="false" ht="15" hidden="false" customHeight="false" outlineLevel="0" collapsed="false">
      <c r="A10" s="0" t="s">
        <v>113</v>
      </c>
      <c r="C10" s="0" t="n">
        <f aca="false">-C6*C9/100</f>
        <v>-116.89893432</v>
      </c>
      <c r="D10" s="0" t="n">
        <f aca="false">-D6*D9/100</f>
        <v>-134.433774468</v>
      </c>
      <c r="E10" s="0" t="n">
        <f aca="false">-E6*E9/100</f>
        <v>-155.94317838288</v>
      </c>
      <c r="F10" s="0" t="n">
        <f aca="false">-F6*F9/100</f>
        <v>-164.390100545286</v>
      </c>
      <c r="G10" s="0" t="n">
        <f aca="false">-G6*G9/100</f>
        <v>-185.760813616173</v>
      </c>
      <c r="H10" s="0" t="n">
        <f aca="false">-H6*H9/100</f>
        <v>-206.194503113952</v>
      </c>
      <c r="I10" s="0" t="n">
        <f aca="false">-I6*I9/100</f>
        <v>-204.320007631098</v>
      </c>
      <c r="J10" s="0" t="n">
        <f aca="false">-J6*J9/100</f>
        <v>-220.665608241586</v>
      </c>
      <c r="K10" s="0" t="n">
        <f aca="false">-K6*K9/100</f>
        <v>-236.112200818497</v>
      </c>
      <c r="L10" s="0" t="n">
        <f aca="false">-L6*L9/100</f>
        <v>-250.278932867607</v>
      </c>
    </row>
    <row r="11" customFormat="false" ht="15" hidden="false" customHeight="false" outlineLevel="0" collapsed="false">
      <c r="A11" s="0" t="s">
        <v>114</v>
      </c>
      <c r="C11" s="0" t="n">
        <f aca="false">C8+C10+C24</f>
        <v>2610.74286648</v>
      </c>
      <c r="D11" s="0" t="n">
        <f aca="false">D8+D10+D24</f>
        <v>3114.382441842</v>
      </c>
      <c r="E11" s="0" t="n">
        <f aca="false">E8+E10+E24</f>
        <v>3742.63628118912</v>
      </c>
      <c r="F11" s="0" t="n">
        <f aca="false">F8+F10+F24</f>
        <v>4468.42182391277</v>
      </c>
      <c r="G11" s="0" t="n">
        <f aca="false">G8+G10+G24</f>
        <v>5218.19012794523</v>
      </c>
      <c r="H11" s="0" t="n">
        <f aca="false">H8+H10+H24</f>
        <v>5979.64059030461</v>
      </c>
      <c r="I11" s="0" t="n">
        <f aca="false">I8+I10+I24</f>
        <v>6538.24024419514</v>
      </c>
      <c r="J11" s="0" t="n">
        <f aca="false">J8+J10+J24</f>
        <v>7061.29946373075</v>
      </c>
      <c r="K11" s="0" t="n">
        <f aca="false">K8+K10+K24</f>
        <v>7555.5904261919</v>
      </c>
      <c r="L11" s="0" t="n">
        <f aca="false">L8+L10+L24</f>
        <v>8008.92585176342</v>
      </c>
    </row>
    <row r="12" customFormat="false" ht="15" hidden="false" customHeight="false" outlineLevel="0" collapsed="false">
      <c r="A12" s="0" t="s">
        <v>115</v>
      </c>
      <c r="C12" s="4" t="n">
        <f aca="false">-C6*Assumptions!C45/100</f>
        <v>-487.078893</v>
      </c>
      <c r="D12" s="4" t="n">
        <f aca="false">-D6*Assumptions!D45/100</f>
        <v>-548.937912411</v>
      </c>
      <c r="E12" s="4" t="n">
        <f aca="false">-E6*Assumptions!E45/100</f>
        <v>-623.77271353152</v>
      </c>
      <c r="F12" s="4" t="n">
        <f aca="false">-F6*Assumptions!F45/100</f>
        <v>-702.394065966222</v>
      </c>
      <c r="G12" s="4" t="n">
        <f aca="false">-G6*Assumptions!G45/100</f>
        <v>-776.817947849451</v>
      </c>
      <c r="H12" s="4" t="n">
        <f aca="false">-H6*Assumptions!H45/100</f>
        <v>-843.52296728435</v>
      </c>
      <c r="I12" s="4" t="n">
        <f aca="false">-I6*Assumptions!I45/100</f>
        <v>-919.440034339941</v>
      </c>
      <c r="J12" s="4" t="n">
        <f aca="false">-J6*Assumptions!J45/100</f>
        <v>-992.995237087137</v>
      </c>
      <c r="K12" s="4" t="n">
        <f aca="false">-K6*Assumptions!K45/100</f>
        <v>-1062.50490368324</v>
      </c>
      <c r="L12" s="4" t="n">
        <f aca="false">-L6*Assumptions!L45/100</f>
        <v>-1126.25519790423</v>
      </c>
    </row>
    <row r="13" customFormat="false" ht="15" hidden="false" customHeight="false" outlineLevel="0" collapsed="false">
      <c r="A13" s="0" t="s">
        <v>116</v>
      </c>
      <c r="C13" s="0" t="n">
        <f aca="false">C11+C12</f>
        <v>2123.66397348</v>
      </c>
      <c r="D13" s="0" t="n">
        <f aca="false">D11+D12</f>
        <v>2565.444529431</v>
      </c>
      <c r="E13" s="0" t="n">
        <f aca="false">E11+E12</f>
        <v>3118.8635676576</v>
      </c>
      <c r="F13" s="0" t="n">
        <f aca="false">F11+F12</f>
        <v>3766.02775794655</v>
      </c>
      <c r="G13" s="0" t="n">
        <f aca="false">G11+G12</f>
        <v>4441.37218009578</v>
      </c>
      <c r="H13" s="0" t="n">
        <f aca="false">H11+H12</f>
        <v>5136.11762302026</v>
      </c>
      <c r="I13" s="0" t="n">
        <f aca="false">I11+I12</f>
        <v>5618.8002098552</v>
      </c>
      <c r="J13" s="0" t="n">
        <f aca="false">J11+J12</f>
        <v>6068.30422664361</v>
      </c>
      <c r="K13" s="0" t="n">
        <f aca="false">K11+K12</f>
        <v>6493.08552250867</v>
      </c>
      <c r="L13" s="0" t="n">
        <f aca="false">L11+L12</f>
        <v>6882.67065385919</v>
      </c>
    </row>
    <row r="14" customFormat="false" ht="15" hidden="false" customHeight="false" outlineLevel="0" collapsed="false">
      <c r="A14" s="0" t="s">
        <v>102</v>
      </c>
      <c r="C14" s="4" t="n">
        <f aca="false">Assumptions!C47</f>
        <v>16</v>
      </c>
      <c r="D14" s="4" t="n">
        <f aca="false">Assumptions!D47</f>
        <v>16</v>
      </c>
      <c r="E14" s="4" t="n">
        <f aca="false">Assumptions!E47</f>
        <v>16.5</v>
      </c>
      <c r="F14" s="4" t="n">
        <f aca="false">Assumptions!F47</f>
        <v>17</v>
      </c>
      <c r="G14" s="4" t="n">
        <f aca="false">Assumptions!G47</f>
        <v>17</v>
      </c>
      <c r="H14" s="4" t="n">
        <f aca="false">Assumptions!H47</f>
        <v>17.5</v>
      </c>
      <c r="I14" s="4" t="n">
        <f aca="false">Assumptions!I47</f>
        <v>18</v>
      </c>
      <c r="J14" s="4" t="n">
        <f aca="false">Assumptions!J47</f>
        <v>18</v>
      </c>
      <c r="K14" s="4" t="n">
        <f aca="false">Assumptions!K47</f>
        <v>18</v>
      </c>
      <c r="L14" s="4" t="n">
        <f aca="false">Assumptions!L47</f>
        <v>18</v>
      </c>
    </row>
    <row r="15" customFormat="false" ht="15" hidden="false" customHeight="false" outlineLevel="0" collapsed="false">
      <c r="A15" s="0" t="s">
        <v>117</v>
      </c>
      <c r="C15" s="0" t="n">
        <f aca="false">C13-MAX(0,C13)*C14/100</f>
        <v>1783.8777377232</v>
      </c>
      <c r="D15" s="0" t="n">
        <f aca="false">D13-MAX(0,D13)*D14/100</f>
        <v>2154.97340472204</v>
      </c>
      <c r="E15" s="0" t="n">
        <f aca="false">E13-MAX(0,E13)*E14/100</f>
        <v>2604.2510789941</v>
      </c>
      <c r="F15" s="0" t="n">
        <f aca="false">F13-MAX(0,F13)*F14/100</f>
        <v>3125.80303909564</v>
      </c>
      <c r="G15" s="0" t="n">
        <f aca="false">G13-MAX(0,G13)*G14/100</f>
        <v>3686.33890947949</v>
      </c>
      <c r="H15" s="0" t="n">
        <f aca="false">H13-MAX(0,H13)*H14/100</f>
        <v>4237.29703899172</v>
      </c>
      <c r="I15" s="0" t="n">
        <f aca="false">I13-MAX(0,I13)*I14/100</f>
        <v>4607.41617208126</v>
      </c>
      <c r="J15" s="0" t="n">
        <f aca="false">J13-MAX(0,J13)*J14/100</f>
        <v>4976.00946584776</v>
      </c>
      <c r="K15" s="0" t="n">
        <f aca="false">K13-MAX(0,K13)*K14/100</f>
        <v>5324.33012845711</v>
      </c>
      <c r="L15" s="0" t="n">
        <f aca="false">L13-MAX(0,L13)*L14/100</f>
        <v>5643.78993616453</v>
      </c>
    </row>
    <row r="16" customFormat="false" ht="15" hidden="false" customHeight="false" outlineLevel="0" collapsed="false">
      <c r="A16" s="0" t="s">
        <v>118</v>
      </c>
      <c r="C16" s="0" t="n">
        <f aca="false">-C12</f>
        <v>487.078893</v>
      </c>
      <c r="D16" s="0" t="n">
        <f aca="false">-D12</f>
        <v>548.937912411</v>
      </c>
      <c r="E16" s="0" t="n">
        <f aca="false">-E12</f>
        <v>623.77271353152</v>
      </c>
      <c r="F16" s="0" t="n">
        <f aca="false">-F12</f>
        <v>702.394065966222</v>
      </c>
      <c r="G16" s="0" t="n">
        <f aca="false">-G12</f>
        <v>776.817947849451</v>
      </c>
      <c r="H16" s="0" t="n">
        <f aca="false">-H12</f>
        <v>843.52296728435</v>
      </c>
      <c r="I16" s="0" t="n">
        <f aca="false">-I12</f>
        <v>919.440034339941</v>
      </c>
      <c r="J16" s="0" t="n">
        <f aca="false">-J12</f>
        <v>992.995237087137</v>
      </c>
      <c r="K16" s="0" t="n">
        <f aca="false">-K12</f>
        <v>1062.50490368324</v>
      </c>
      <c r="L16" s="0" t="n">
        <f aca="false">-L12</f>
        <v>1126.25519790423</v>
      </c>
    </row>
    <row r="17" customFormat="false" ht="15" hidden="false" customHeight="false" outlineLevel="0" collapsed="false">
      <c r="A17" s="0" t="s">
        <v>119</v>
      </c>
      <c r="C17" s="4" t="n">
        <f aca="false">-C6*Assumptions!C46/100</f>
        <v>-974.157786</v>
      </c>
      <c r="D17" s="4" t="n">
        <f aca="false">-D6*Assumptions!D46/100</f>
        <v>-1064.267381205</v>
      </c>
      <c r="E17" s="4" t="n">
        <f aca="false">-E6*Assumptions!E46/100</f>
        <v>-1169.5738378716</v>
      </c>
      <c r="F17" s="4" t="n">
        <f aca="false">-F6*Assumptions!F46/100</f>
        <v>-1270.28714057721</v>
      </c>
      <c r="G17" s="4" t="n">
        <f aca="false">-G6*Assumptions!G46/100</f>
        <v>-1350.98773539035</v>
      </c>
      <c r="H17" s="4" t="n">
        <f aca="false">-H6*Assumptions!H46/100</f>
        <v>-1405.87161214058</v>
      </c>
      <c r="I17" s="4" t="n">
        <f aca="false">-I6*Assumptions!I46/100</f>
        <v>-1430.24005341769</v>
      </c>
      <c r="J17" s="4" t="n">
        <f aca="false">-J6*Assumptions!J46/100</f>
        <v>-1544.6592576911</v>
      </c>
      <c r="K17" s="4" t="n">
        <f aca="false">-K6*Assumptions!K46/100</f>
        <v>-1534.72930532023</v>
      </c>
      <c r="L17" s="4" t="n">
        <f aca="false">-L6*Assumptions!L46/100</f>
        <v>-1626.81306363944</v>
      </c>
    </row>
    <row r="18" customFormat="false" ht="15" hidden="false" customHeight="false" outlineLevel="0" collapsed="false">
      <c r="A18" s="0" t="s">
        <v>120</v>
      </c>
      <c r="C18" s="4" t="n">
        <f aca="false">(C6-B6)*Assumptions!$B$51/100</f>
        <v>-201.016686</v>
      </c>
      <c r="D18" s="4" t="n">
        <f aca="false">(D6-C6)*Assumptions!$B$51/100</f>
        <v>-146.1236679</v>
      </c>
      <c r="E18" s="4" t="n">
        <f aca="false">(E6-D6)*Assumptions!$B$51/100</f>
        <v>-179.245032624</v>
      </c>
      <c r="F18" s="4" t="n">
        <f aca="false">(F6-E6)*Assumptions!$B$51/100</f>
        <v>-194.9289729786</v>
      </c>
      <c r="G18" s="4" t="n">
        <f aca="false">(G6-F6)*Assumptions!$B$51/100</f>
        <v>-194.279209735338</v>
      </c>
      <c r="H18" s="4" t="n">
        <f aca="false">(H6-G6)*Assumptions!$B$51/100</f>
        <v>-185.760813616173</v>
      </c>
      <c r="I18" s="4" t="n">
        <f aca="false">(I6-H6)*Assumptions!$B$51/100</f>
        <v>-168.70459345687</v>
      </c>
      <c r="J18" s="4" t="n">
        <f aca="false">(J6-I6)*Assumptions!$B$51/100</f>
        <v>-163.456006104879</v>
      </c>
      <c r="K18" s="4" t="n">
        <f aca="false">(K6-J6)*Assumptions!$B$51/100</f>
        <v>-154.46592576911</v>
      </c>
      <c r="L18" s="4" t="n">
        <f aca="false">(L6-K6)*Assumptions!$B$51/100</f>
        <v>-141.667320491098</v>
      </c>
    </row>
    <row r="19" customFormat="false" ht="15" hidden="false" customHeight="false" outlineLevel="0" collapsed="false">
      <c r="A19" s="0" t="s">
        <v>121</v>
      </c>
      <c r="C19" s="0" t="n">
        <f aca="false">C15+C16+C17+C18</f>
        <v>1095.7821587232</v>
      </c>
      <c r="D19" s="0" t="n">
        <f aca="false">D15+D16+D17+D18</f>
        <v>1493.52026802804</v>
      </c>
      <c r="E19" s="0" t="n">
        <f aca="false">E15+E16+E17+E18</f>
        <v>1879.20492203002</v>
      </c>
      <c r="F19" s="0" t="n">
        <f aca="false">F15+F16+F17+F18</f>
        <v>2362.98099150605</v>
      </c>
      <c r="G19" s="0" t="n">
        <f aca="false">G15+G16+G17+G18</f>
        <v>2917.88991220326</v>
      </c>
      <c r="H19" s="0" t="n">
        <f aca="false">H15+H16+H17+H18</f>
        <v>3489.18758051931</v>
      </c>
      <c r="I19" s="0" t="n">
        <f aca="false">I15+I16+I17+I18</f>
        <v>3927.91155954665</v>
      </c>
      <c r="J19" s="0" t="n">
        <f aca="false">J15+J16+J17+J18</f>
        <v>4260.88943913892</v>
      </c>
      <c r="K19" s="0" t="n">
        <f aca="false">K15+K16+K17+K18</f>
        <v>4697.639801051</v>
      </c>
      <c r="L19" s="0" t="n">
        <f aca="false">L15+L16+L17+L18</f>
        <v>5001.56474993822</v>
      </c>
    </row>
    <row r="20" customFormat="false" ht="15" hidden="false" customHeight="false" outlineLevel="0" collapsed="false">
      <c r="A20" s="0" t="s">
        <v>122</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123</v>
      </c>
      <c r="C21" s="0" t="n">
        <f aca="false">C19*C20</f>
        <v>1000.71430020384</v>
      </c>
      <c r="D21" s="0" t="n">
        <f aca="false">D19*D20</f>
        <v>1245.61228333691</v>
      </c>
      <c r="E21" s="0" t="n">
        <f aca="false">E19*E20</f>
        <v>1431.30366636744</v>
      </c>
      <c r="F21" s="0" t="n">
        <f aca="false">F19*F20</f>
        <v>1643.62883368209</v>
      </c>
      <c r="G21" s="0" t="n">
        <f aca="false">G19*G20</f>
        <v>1853.52439647837</v>
      </c>
      <c r="H21" s="0" t="n">
        <f aca="false">H19*H20</f>
        <v>2024.13559863356</v>
      </c>
      <c r="I21" s="0" t="n">
        <f aca="false">I19*I20</f>
        <v>2080.95585113276</v>
      </c>
      <c r="J21" s="0" t="n">
        <f aca="false">J19*J20</f>
        <v>2061.51885808159</v>
      </c>
      <c r="K21" s="0" t="n">
        <f aca="false">K19*K20</f>
        <v>2075.64291278796</v>
      </c>
      <c r="L21" s="0" t="n">
        <f aca="false">L19*L20</f>
        <v>2018.20233249599</v>
      </c>
    </row>
    <row r="23" customFormat="false" ht="15" hidden="false" customHeight="false" outlineLevel="0" collapsed="false">
      <c r="A23" s="0" t="s">
        <v>99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Assumptions!$B$48</f>
        <v>9.5</v>
      </c>
    </row>
    <row r="28" customFormat="false" ht="15" hidden="false" customHeight="false" outlineLevel="0" collapsed="false">
      <c r="A28" s="0" t="s">
        <v>104</v>
      </c>
      <c r="B28" s="4" t="n">
        <f aca="false">Assumptions!$B$49</f>
        <v>3</v>
      </c>
    </row>
    <row r="29" customFormat="false" ht="15" hidden="false" customHeight="false" outlineLevel="0" collapsed="false">
      <c r="A29" s="0" t="s">
        <v>105</v>
      </c>
      <c r="B29" s="4" t="n">
        <f aca="false">Assumptions!$B$50</f>
        <v>15</v>
      </c>
    </row>
    <row r="30" customFormat="false" ht="15" hidden="false" customHeight="false" outlineLevel="0" collapsed="false">
      <c r="A30" s="0" t="s">
        <v>126</v>
      </c>
      <c r="B30" s="0" t="n">
        <f aca="false">SUM(C21:L21)</f>
        <v>17435.2390332005</v>
      </c>
    </row>
    <row r="31" customFormat="false" ht="15" hidden="false" customHeight="false" outlineLevel="0" collapsed="false">
      <c r="A31" s="0" t="s">
        <v>127</v>
      </c>
      <c r="B31" s="0" t="n">
        <f aca="false">L19</f>
        <v>5001.56474993822</v>
      </c>
    </row>
    <row r="32" customFormat="false" ht="15" hidden="false" customHeight="false" outlineLevel="0" collapsed="false">
      <c r="A32" s="0" t="s">
        <v>128</v>
      </c>
      <c r="B32" s="0" t="n">
        <f aca="false">IF(B27&gt;B28,B31*(1+B28/100)/((B27-B28)/100),B31*B29)</f>
        <v>79255.564499021</v>
      </c>
    </row>
    <row r="33" customFormat="false" ht="15" hidden="false" customHeight="false" outlineLevel="0" collapsed="false">
      <c r="A33" s="0" t="s">
        <v>129</v>
      </c>
      <c r="B33" s="0" t="n">
        <f aca="false">B31*B29</f>
        <v>75023.4712490733</v>
      </c>
    </row>
    <row r="34" customFormat="false" ht="15" hidden="false" customHeight="false" outlineLevel="0" collapsed="false">
      <c r="A34" s="0" t="s">
        <v>130</v>
      </c>
      <c r="B34" s="0" t="n">
        <f aca="false">MAX(0,MIN(B32,B33))</f>
        <v>75023.4712490733</v>
      </c>
    </row>
    <row r="35" customFormat="false" ht="15" hidden="false" customHeight="false" outlineLevel="0" collapsed="false">
      <c r="A35" s="0" t="s">
        <v>131</v>
      </c>
      <c r="B35" s="0" t="n">
        <f aca="false">B34/(1+B27/100)^L4</f>
        <v>30273.0349874399</v>
      </c>
    </row>
    <row r="36" customFormat="false" ht="15" hidden="false" customHeight="false" outlineLevel="0" collapsed="false">
      <c r="A36" s="0" t="s">
        <v>132</v>
      </c>
      <c r="B36" s="0" t="n">
        <f aca="false">B30+B35</f>
        <v>47708.2740206404</v>
      </c>
    </row>
    <row r="37" customFormat="false" ht="15" hidden="false" customHeight="false" outlineLevel="0" collapsed="false">
      <c r="A37" s="0" t="s">
        <v>133</v>
      </c>
      <c r="B37" s="0" t="n">
        <f aca="false">B36+Assumptions!$B$5-Assumptions!$B$4</f>
        <v>51933.1450206404</v>
      </c>
    </row>
    <row r="38" customFormat="false" ht="15" hidden="false" customHeight="false" outlineLevel="0" collapsed="false">
      <c r="A38" s="0" t="s">
        <v>134</v>
      </c>
      <c r="B38" s="0" t="n">
        <f aca="false">B37/Assumptions!$B$3*Assumptions!$B$10</f>
        <v>23.7078184028498</v>
      </c>
    </row>
    <row r="39" customFormat="false" ht="15" hidden="false" customHeight="false" outlineLevel="0" collapsed="false">
      <c r="A39" s="0" t="s">
        <v>135</v>
      </c>
      <c r="B39" s="4" t="n">
        <f aca="false">B38/Assumptions!$B$2-1</f>
        <v>1.15134468265425</v>
      </c>
    </row>
    <row r="41" customFormat="false" ht="15" hidden="false" customHeight="false" outlineLevel="0" collapsed="false">
      <c r="A41" s="0" t="s">
        <v>136</v>
      </c>
      <c r="B41" s="0" t="n">
        <f aca="false">SUMPRODUCT(-C10:L10/(1+$B$27/100)^C4:L4)</f>
        <v>1109.93986166365</v>
      </c>
    </row>
    <row r="42" customFormat="false" ht="15" hidden="false" customHeight="false" outlineLevel="0" collapsed="false">
      <c r="A42" s="0" t="s">
        <v>137</v>
      </c>
      <c r="B42" s="0" t="n">
        <f aca="false">IF(B27&gt;B28,-L10*(1+B28/100)/((B27-B28)/100),-L10*20)/(1+B27/100)^L4</f>
        <v>1600.3205085494</v>
      </c>
    </row>
    <row r="43" customFormat="false" ht="15" hidden="false" customHeight="false" outlineLevel="0" collapsed="false">
      <c r="A43" s="0" t="s">
        <v>138</v>
      </c>
      <c r="B43" s="0" t="n">
        <f aca="false">(B37+B41+B42)/Assumptions!$B$3*Assumptions!$B$10</f>
        <v>24.9450698856151</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42930.0974369697</v>
      </c>
    </row>
    <row r="47" customFormat="false" ht="15" hidden="false" customHeight="false" outlineLevel="0" collapsed="false">
      <c r="A47" s="0" t="s">
        <v>140</v>
      </c>
      <c r="B47" s="0" t="n">
        <f aca="false">(SUMPRODUCT(C19:L19/(1+B45/100)^C4:L4)+B46/(1+B45/100)^L4+Assumptions!$B$5-Assumptions!$B$4)/Assumptions!$B$3*Assumptions!$B$10</f>
        <v>12.7391544210444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143</v>
      </c>
    </row>
    <row r="3" customFormat="false" ht="15" hidden="false" customHeight="false" outlineLevel="0" collapsed="false">
      <c r="A3" s="2" t="s">
        <v>144</v>
      </c>
      <c r="B3" s="2" t="s">
        <v>145</v>
      </c>
      <c r="C3" s="2" t="s">
        <v>135</v>
      </c>
      <c r="D3" s="2" t="s">
        <v>146</v>
      </c>
      <c r="E3" s="2" t="s">
        <v>138</v>
      </c>
      <c r="F3" s="2" t="s">
        <v>147</v>
      </c>
    </row>
    <row r="4" customFormat="false" ht="15" hidden="false" customHeight="false" outlineLevel="0" collapsed="false">
      <c r="A4" s="0" t="s">
        <v>148</v>
      </c>
      <c r="B4" s="4" t="n">
        <f aca="false">DCF_Bear!$B$38</f>
        <v>7.6173721314707</v>
      </c>
      <c r="C4" s="0" t="n">
        <f aca="false">B4/Assumptions!$B$2-1</f>
        <v>-0.308768409122441</v>
      </c>
      <c r="D4" s="4" t="n">
        <f aca="false">Assumptions!$B$24</f>
        <v>0.25</v>
      </c>
      <c r="E4" s="4" t="n">
        <f aca="false">DCF_Bear!$B$43</f>
        <v>8.20983890428958</v>
      </c>
      <c r="F4" s="4" t="n">
        <f aca="false">DCF_Bear!$B$47</f>
        <v>5.12631921594764</v>
      </c>
    </row>
    <row r="5" customFormat="false" ht="15" hidden="false" customHeight="false" outlineLevel="0" collapsed="false">
      <c r="A5" s="0" t="s">
        <v>149</v>
      </c>
      <c r="B5" s="4" t="n">
        <f aca="false">DCF_Base!$B$38</f>
        <v>15.7041489749396</v>
      </c>
      <c r="C5" s="0" t="n">
        <f aca="false">B5/Assumptions!$B$2-1</f>
        <v>0.425058890647881</v>
      </c>
      <c r="D5" s="4" t="n">
        <f aca="false">Assumptions!$B$38</f>
        <v>0.5</v>
      </c>
      <c r="E5" s="4" t="n">
        <f aca="false">DCF_Base!$B$43</f>
        <v>16.6146363800013</v>
      </c>
      <c r="F5" s="4" t="n">
        <f aca="false">DCF_Base!$B$47</f>
        <v>8.92250361908433</v>
      </c>
    </row>
    <row r="6" customFormat="false" ht="15" hidden="false" customHeight="false" outlineLevel="0" collapsed="false">
      <c r="A6" s="0" t="s">
        <v>150</v>
      </c>
      <c r="B6" s="4" t="n">
        <f aca="false">DCF_Bull!$B$38</f>
        <v>23.7078184028498</v>
      </c>
      <c r="C6" s="0" t="n">
        <f aca="false">B6/Assumptions!$B$2-1</f>
        <v>1.15134468265425</v>
      </c>
      <c r="D6" s="4" t="n">
        <f aca="false">Assumptions!$B$52</f>
        <v>0.25</v>
      </c>
      <c r="E6" s="4" t="n">
        <f aca="false">DCF_Bull!$B$43</f>
        <v>24.9450698856151</v>
      </c>
      <c r="F6" s="4" t="n">
        <f aca="false">DCF_Bull!$B$47</f>
        <v>12.7391544210444</v>
      </c>
    </row>
    <row r="8" customFormat="false" ht="15" hidden="false" customHeight="false" outlineLevel="0" collapsed="false">
      <c r="A8" s="0" t="s">
        <v>151</v>
      </c>
      <c r="B8" s="0" t="n">
        <f aca="false">SUMPRODUCT(B4:B6,D4:D6)</f>
        <v>15.6833721210499</v>
      </c>
    </row>
    <row r="9" customFormat="false" ht="15" hidden="false" customHeight="false" outlineLevel="0" collapsed="false">
      <c r="A9" s="0" t="s">
        <v>152</v>
      </c>
      <c r="B9" s="0" t="n">
        <f aca="false">SUMPRODUCT(E4:E6,D4:D6)</f>
        <v>16.5960453874768</v>
      </c>
    </row>
    <row r="10" customFormat="false" ht="15" hidden="false" customHeight="false" outlineLevel="0" collapsed="false">
      <c r="A10" s="0" t="s">
        <v>153</v>
      </c>
      <c r="B10" s="0" t="n">
        <f aca="false">1-Assumptions!$B$2/B8</f>
        <v>0.297344989652503</v>
      </c>
    </row>
    <row r="11" customFormat="false" ht="15" hidden="false" customHeight="false" outlineLevel="0" collapsed="false">
      <c r="A11" s="0" t="s">
        <v>154</v>
      </c>
      <c r="B11" s="0" t="n">
        <f aca="false">IF(ABS(B9-B8)&gt;0.01*ABS(B8),(Assumptions!$B$2-B8)/(B9-B8)*100,"n/a")</f>
        <v>-510.957457898072</v>
      </c>
    </row>
    <row r="12" customFormat="false" ht="15" hidden="false" customHeight="false" outlineLevel="0" collapsed="false">
      <c r="A12" s="0" t="s">
        <v>155</v>
      </c>
      <c r="B12" s="0" t="n">
        <f aca="false">SUMPRODUCT(F4:F6,D4:D6)</f>
        <v>8.92762021879016</v>
      </c>
    </row>
    <row r="14" customFormat="false" ht="15" hidden="false" customHeight="false" outlineLevel="0" collapsed="false">
      <c r="A14" s="2" t="s">
        <v>156</v>
      </c>
      <c r="C14" s="0" t="s">
        <v>157</v>
      </c>
    </row>
    <row r="15" customFormat="false" ht="15" hidden="false" customHeight="false" outlineLevel="0" collapsed="false">
      <c r="A15" s="0" t="s">
        <v>158</v>
      </c>
      <c r="B15" s="0" t="n">
        <f aca="false">(SUMPRODUCT(DCF_Base!$C$19:$L$19/(1+$C$15/100)^DCF_Base!$C$4:$L$4)+MAX(0,MIN(IF($C$15&gt;DCF_Base!$B$28,DCF_Base!$L$19*(1+DCF_Base!$B$28/100)/(($C$15-DCF_Base!$B$28)/100),DCF_Base!$L$19*DCF_Base!$B$29),DCF_Base!$L$19*DCF_Base!$B$29))/(1+$C$15/100)^DCF_Base!$L$4+Assumptions!$B$5-Assumptions!$B$4)/Assumptions!$B$3*Assumptions!$B$10</f>
        <v>16.4538720593398</v>
      </c>
      <c r="C15" s="3" t="n">
        <v>9</v>
      </c>
    </row>
    <row r="16" customFormat="false" ht="15" hidden="false" customHeight="false" outlineLevel="0" collapsed="false">
      <c r="A16" s="0" t="s">
        <v>159</v>
      </c>
      <c r="B16" s="0" t="n">
        <f aca="false">(SUMPRODUCT(DCF_Base!$C$19:$L$19/(1+$C$16/100)^DCF_Base!$C$4:$L$4)+MAX(0,MIN(IF($C$16&gt;DCF_Base!$B$28,DCF_Base!$L$19*(1+DCF_Base!$B$28/100)/(($C$16-DCF_Base!$B$28)/100),DCF_Base!$L$19*DCF_Base!$B$29),DCF_Base!$L$19*DCF_Base!$B$29))/(1+$C$16/100)^DCF_Base!$L$4+Assumptions!$B$5-Assumptions!$B$4)/Assumptions!$B$3*Assumptions!$B$10</f>
        <v>15.7041489749396</v>
      </c>
      <c r="C16" s="3" t="n">
        <v>9.5</v>
      </c>
    </row>
    <row r="17" customFormat="false" ht="15" hidden="false" customHeight="false" outlineLevel="0" collapsed="false">
      <c r="A17" s="0" t="s">
        <v>160</v>
      </c>
      <c r="B17" s="0" t="n">
        <f aca="false">(SUMPRODUCT(DCF_Base!$C$19:$L$19/(1+$C$17/100)^DCF_Base!$C$4:$L$4)+MAX(0,MIN(IF($C$17&gt;DCF_Base!$B$28,DCF_Base!$L$19*(1+DCF_Base!$B$28/100)/(($C$17-DCF_Base!$B$28)/100),DCF_Base!$L$19*DCF_Base!$B$29),DCF_Base!$L$19*DCF_Base!$B$29))/(1+$C$17/100)^DCF_Base!$L$4+Assumptions!$B$5-Assumptions!$B$4)/Assumptions!$B$3*Assumptions!$B$10</f>
        <v>14.6607374100977</v>
      </c>
      <c r="C17" s="3" t="n">
        <v>10</v>
      </c>
    </row>
    <row r="18" customFormat="false" ht="15" hidden="false" customHeight="false" outlineLevel="0" collapsed="false">
      <c r="A18" s="0" t="s">
        <v>161</v>
      </c>
      <c r="B18" s="0" t="n">
        <f aca="false">(SUMPRODUCT(DCF_Base!$C$19:$L$19/(1+$C$18/100)^DCF_Base!$C$4:$L$4)+MAX(0,MIN(IF($C$18&gt;DCF_Base!$B$28,DCF_Base!$L$19*(1+DCF_Base!$B$28/100)/(($C$18-DCF_Base!$B$28)/100),DCF_Base!$L$19*DCF_Base!$B$29),DCF_Base!$L$19*DCF_Base!$B$29))/(1+$C$18/100)^DCF_Base!$L$4+Assumptions!$B$5-Assumptions!$B$4)/Assumptions!$B$3*Assumptions!$B$10</f>
        <v>12.9513943966554</v>
      </c>
      <c r="C18" s="3" t="n">
        <v>11</v>
      </c>
    </row>
    <row r="19" customFormat="false" ht="15" hidden="false" customHeight="false" outlineLevel="0" collapsed="false">
      <c r="A19" s="0" t="s">
        <v>162</v>
      </c>
      <c r="B19" s="0" t="n">
        <f aca="false">(SUMPRODUCT(DCF_Base!$C$19:$L$19/(1+$C$19/100)^DCF_Base!$C$4:$L$4)+MAX(0,MIN(IF($C$19&gt;DCF_Base!$B$28,DCF_Base!$L$19*(1+DCF_Base!$B$28/100)/(($C$19-DCF_Base!$B$28)/100),DCF_Base!$L$19*DCF_Base!$B$29),DCF_Base!$L$19*DCF_Base!$B$29))/(1+$C$19/100)^DCF_Base!$L$4+Assumptions!$B$5-Assumptions!$B$4)/Assumptions!$B$3*Assumptions!$B$10</f>
        <v>11.6122712028464</v>
      </c>
      <c r="C19" s="3" t="n">
        <v>12</v>
      </c>
    </row>
    <row r="20" customFormat="false" ht="15" hidden="false" customHeight="false" outlineLevel="0" collapsed="false">
      <c r="A20" s="0" t="s">
        <v>163</v>
      </c>
      <c r="B20" s="0" t="n">
        <f aca="false">(SUMPRODUCT(DCF_Base!$C$19:$L$19/(1+$C$20/100)^DCF_Base!$C$4:$L$4)+MAX(0,MIN(IF($C$20&gt;DCF_Base!$B$28,DCF_Base!$L$19*(1+DCF_Base!$B$28/100)/(($C$20-DCF_Base!$B$28)/100),DCF_Base!$L$19*DCF_Base!$B$29),DCF_Base!$L$19*DCF_Base!$B$29))/(1+$C$20/100)^DCF_Base!$L$4+Assumptions!$B$5-Assumptions!$B$4)/Assumptions!$B$3*Assumptions!$B$10</f>
        <v>8.92250361908433</v>
      </c>
      <c r="C20" s="3" t="n">
        <v>15</v>
      </c>
    </row>
    <row r="22" customFormat="false" ht="15" hidden="false" customHeight="false" outlineLevel="0" collapsed="false">
      <c r="A22" s="2" t="s">
        <v>164</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18.2565732482054</v>
      </c>
      <c r="C24" s="0" t="n">
        <f aca="false">(SUMPRODUCT(DCF_Base!$C$19:$L$19/(1+$A$24/100)^DCF_Base!$C$4:$L$4)+MAX(0,MIN(IF($A$24&gt;$C$23,DCF_Base!$L$19*(1+$C$23/100)/(($A$24-$C$23)/100),DCF_Base!$L$19*DCF_Base!$B$29),DCF_Base!$L$19*DCF_Base!$B$29))/(1+$A$24/100)^DCF_Base!$L$4+Assumptions!$B$5-Assumptions!$B$4)/Assumptions!$B$3*Assumptions!$B$10</f>
        <v>18.2565732482054</v>
      </c>
      <c r="D24" s="0" t="n">
        <f aca="false">(SUMPRODUCT(DCF_Base!$C$19:$L$19/(1+$A$24/100)^DCF_Base!$C$4:$L$4)+MAX(0,MIN(IF($A$24&gt;$D$23,DCF_Base!$L$19*(1+$D$23/100)/(($A$24-$D$23)/100),DCF_Base!$L$19*DCF_Base!$B$29),DCF_Base!$L$19*DCF_Base!$B$29))/(1+$A$24/100)^DCF_Base!$L$4+Assumptions!$B$5-Assumptions!$B$4)/Assumptions!$B$3*Assumptions!$B$10</f>
        <v>18.2565732482054</v>
      </c>
      <c r="E24" s="0" t="n">
        <f aca="false">(SUMPRODUCT(DCF_Base!$C$19:$L$19/(1+$A$24/100)^DCF_Base!$C$4:$L$4)+MAX(0,MIN(IF($A$24&gt;$E$23,DCF_Base!$L$19*(1+$E$23/100)/(($A$24-$E$23)/100),DCF_Base!$L$19*DCF_Base!$B$29),DCF_Base!$L$19*DCF_Base!$B$29))/(1+$A$24/100)^DCF_Base!$L$4+Assumptions!$B$5-Assumptions!$B$4)/Assumptions!$B$3*Assumptions!$B$10</f>
        <v>18.2565732482054</v>
      </c>
      <c r="F24" s="0" t="n">
        <f aca="false">(SUMPRODUCT(DCF_Base!$C$19:$L$19/(1+$A$24/100)^DCF_Base!$C$4:$L$4)+MAX(0,MIN(IF($A$24&gt;$F$23,DCF_Base!$L$19*(1+$F$23/100)/(($A$24-$F$23)/100),DCF_Base!$L$19*DCF_Base!$B$29),DCF_Base!$L$19*DCF_Base!$B$29))/(1+$A$24/100)^DCF_Base!$L$4+Assumptions!$B$5-Assumptions!$B$4)/Assumptions!$B$3*Assumptions!$B$10</f>
        <v>18.2565732482054</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16.714554748965</v>
      </c>
      <c r="C25" s="0" t="n">
        <f aca="false">(SUMPRODUCT(DCF_Base!$C$19:$L$19/(1+$A$25/100)^DCF_Base!$C$4:$L$4)+MAX(0,MIN(IF($A$25&gt;$C$23,DCF_Base!$L$19*(1+$C$23/100)/(($A$25-$C$23)/100),DCF_Base!$L$19*DCF_Base!$B$29),DCF_Base!$L$19*DCF_Base!$B$29))/(1+$A$25/100)^DCF_Base!$L$4+Assumptions!$B$5-Assumptions!$B$4)/Assumptions!$B$3*Assumptions!$B$10</f>
        <v>17.0265542045792</v>
      </c>
      <c r="D25" s="0" t="n">
        <f aca="false">(SUMPRODUCT(DCF_Base!$C$19:$L$19/(1+$A$25/100)^DCF_Base!$C$4:$L$4)+MAX(0,MIN(IF($A$25&gt;$D$23,DCF_Base!$L$19*(1+$D$23/100)/(($A$25-$D$23)/100),DCF_Base!$L$19*DCF_Base!$B$29),DCF_Base!$L$19*DCF_Base!$B$29))/(1+$A$25/100)^DCF_Base!$L$4+Assumptions!$B$5-Assumptions!$B$4)/Assumptions!$B$3*Assumptions!$B$10</f>
        <v>17.0265542045792</v>
      </c>
      <c r="E25" s="0" t="n">
        <f aca="false">(SUMPRODUCT(DCF_Base!$C$19:$L$19/(1+$A$25/100)^DCF_Base!$C$4:$L$4)+MAX(0,MIN(IF($A$25&gt;$E$23,DCF_Base!$L$19*(1+$E$23/100)/(($A$25-$E$23)/100),DCF_Base!$L$19*DCF_Base!$B$29),DCF_Base!$L$19*DCF_Base!$B$29))/(1+$A$25/100)^DCF_Base!$L$4+Assumptions!$B$5-Assumptions!$B$4)/Assumptions!$B$3*Assumptions!$B$10</f>
        <v>17.0265542045792</v>
      </c>
      <c r="F25" s="0" t="n">
        <f aca="false">(SUMPRODUCT(DCF_Base!$C$19:$L$19/(1+$A$25/100)^DCF_Base!$C$4:$L$4)+MAX(0,MIN(IF($A$25&gt;$F$23,DCF_Base!$L$19*(1+$F$23/100)/(($A$25-$F$23)/100),DCF_Base!$L$19*DCF_Base!$B$29),DCF_Base!$L$19*DCF_Base!$B$29))/(1+$A$25/100)^DCF_Base!$L$4+Assumptions!$B$5-Assumptions!$B$4)/Assumptions!$B$3*Assumptions!$B$10</f>
        <v>17.0265542045792</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14.590967131472</v>
      </c>
      <c r="C26" s="0" t="n">
        <f aca="false">(SUMPRODUCT(DCF_Base!$C$19:$L$19/(1+$A$26/100)^DCF_Base!$C$4:$L$4)+MAX(0,MIN(IF($A$26&gt;$C$23,DCF_Base!$L$19*(1+$C$23/100)/(($A$26-$C$23)/100),DCF_Base!$L$19*DCF_Base!$B$29),DCF_Base!$L$19*DCF_Base!$B$29))/(1+$A$26/100)^DCF_Base!$L$4+Assumptions!$B$5-Assumptions!$B$4)/Assumptions!$B$3*Assumptions!$B$10</f>
        <v>15.1104519917569</v>
      </c>
      <c r="D26" s="0" t="n">
        <f aca="false">(SUMPRODUCT(DCF_Base!$C$19:$L$19/(1+$A$26/100)^DCF_Base!$C$4:$L$4)+MAX(0,MIN(IF($A$26&gt;$D$23,DCF_Base!$L$19*(1+$D$23/100)/(($A$26-$D$23)/100),DCF_Base!$L$19*DCF_Base!$B$29),DCF_Base!$L$19*DCF_Base!$B$29))/(1+$A$26/100)^DCF_Base!$L$4+Assumptions!$B$5-Assumptions!$B$4)/Assumptions!$B$3*Assumptions!$B$10</f>
        <v>15.7041489749396</v>
      </c>
      <c r="E26" s="0" t="n">
        <f aca="false">(SUMPRODUCT(DCF_Base!$C$19:$L$19/(1+$A$26/100)^DCF_Base!$C$4:$L$4)+MAX(0,MIN(IF($A$26&gt;$E$23,DCF_Base!$L$19*(1+$E$23/100)/(($A$26-$E$23)/100),DCF_Base!$L$19*DCF_Base!$B$29),DCF_Base!$L$19*DCF_Base!$B$29))/(1+$A$26/100)^DCF_Base!$L$4+Assumptions!$B$5-Assumptions!$B$4)/Assumptions!$B$3*Assumptions!$B$10</f>
        <v>15.9074698595913</v>
      </c>
      <c r="F26" s="0" t="n">
        <f aca="false">(SUMPRODUCT(DCF_Base!$C$19:$L$19/(1+$A$26/100)^DCF_Base!$C$4:$L$4)+MAX(0,MIN(IF($A$26&gt;$F$23,DCF_Base!$L$19*(1+$F$23/100)/(($A$26-$F$23)/100),DCF_Base!$L$19*DCF_Base!$B$29),DCF_Base!$L$19*DCF_Base!$B$29))/(1+$A$26/100)^DCF_Base!$L$4+Assumptions!$B$5-Assumptions!$B$4)/Assumptions!$B$3*Assumptions!$B$10</f>
        <v>15.9074698595913</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12.9532664899128</v>
      </c>
      <c r="C27" s="0" t="n">
        <f aca="false">(SUMPRODUCT(DCF_Base!$C$19:$L$19/(1+$A$27/100)^DCF_Base!$C$4:$L$4)+MAX(0,MIN(IF($A$27&gt;$C$23,DCF_Base!$L$19*(1+$C$23/100)/(($A$27-$C$23)/100),DCF_Base!$L$19*DCF_Base!$B$29),DCF_Base!$L$19*DCF_Base!$B$29))/(1+$A$27/100)^DCF_Base!$L$4+Assumptions!$B$5-Assumptions!$B$4)/Assumptions!$B$3*Assumptions!$B$10</f>
        <v>13.3286967555736</v>
      </c>
      <c r="D27" s="0" t="n">
        <f aca="false">(SUMPRODUCT(DCF_Base!$C$19:$L$19/(1+$A$27/100)^DCF_Base!$C$4:$L$4)+MAX(0,MIN(IF($A$27&gt;$D$23,DCF_Base!$L$19*(1+$D$23/100)/(($A$27-$D$23)/100),DCF_Base!$L$19*DCF_Base!$B$29),DCF_Base!$L$19*DCF_Base!$B$29))/(1+$A$27/100)^DCF_Base!$L$4+Assumptions!$B$5-Assumptions!$B$4)/Assumptions!$B$3*Assumptions!$B$10</f>
        <v>13.751055804442</v>
      </c>
      <c r="E27" s="0" t="n">
        <f aca="false">(SUMPRODUCT(DCF_Base!$C$19:$L$19/(1+$A$27/100)^DCF_Base!$C$4:$L$4)+MAX(0,MIN(IF($A$27&gt;$E$23,DCF_Base!$L$19*(1+$E$23/100)/(($A$27-$E$23)/100),DCF_Base!$L$19*DCF_Base!$B$29),DCF_Base!$L$19*DCF_Base!$B$29))/(1+$A$27/100)^DCF_Base!$L$4+Assumptions!$B$5-Assumptions!$B$4)/Assumptions!$B$3*Assumptions!$B$10</f>
        <v>14.2297293931596</v>
      </c>
      <c r="F27" s="0" t="n">
        <f aca="false">(SUMPRODUCT(DCF_Base!$C$19:$L$19/(1+$A$27/100)^DCF_Base!$C$4:$L$4)+MAX(0,MIN(IF($A$27&gt;$F$23,DCF_Base!$L$19*(1+$F$23/100)/(($A$27-$F$23)/100),DCF_Base!$L$19*DCF_Base!$B$29),DCF_Base!$L$19*DCF_Base!$B$29))/(1+$A$27/100)^DCF_Base!$L$4+Assumptions!$B$5-Assumptions!$B$4)/Assumptions!$B$3*Assumptions!$B$10</f>
        <v>14.7767849231225</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11.6547916401691</v>
      </c>
      <c r="C28" s="0" t="n">
        <f aca="false">(SUMPRODUCT(DCF_Base!$C$19:$L$19/(1+$A$28/100)^DCF_Base!$C$4:$L$4)+MAX(0,MIN(IF($A$28&gt;$C$23,DCF_Base!$L$19*(1+$C$23/100)/(($A$28-$C$23)/100),DCF_Base!$L$19*DCF_Base!$B$29),DCF_Base!$L$19*DCF_Base!$B$29))/(1+$A$28/100)^DCF_Base!$L$4+Assumptions!$B$5-Assumptions!$B$4)/Assumptions!$B$3*Assumptions!$B$10</f>
        <v>11.9335666285256</v>
      </c>
      <c r="D28" s="0" t="n">
        <f aca="false">(SUMPRODUCT(DCF_Base!$C$19:$L$19/(1+$A$28/100)^DCF_Base!$C$4:$L$4)+MAX(0,MIN(IF($A$28&gt;$D$23,DCF_Base!$L$19*(1+$D$23/100)/(($A$28-$D$23)/100),DCF_Base!$L$19*DCF_Base!$B$29),DCF_Base!$L$19*DCF_Base!$B$29))/(1+$A$28/100)^DCF_Base!$L$4+Assumptions!$B$5-Assumptions!$B$4)/Assumptions!$B$3*Assumptions!$B$10</f>
        <v>12.2433166155884</v>
      </c>
      <c r="E28" s="0" t="n">
        <f aca="false">(SUMPRODUCT(DCF_Base!$C$19:$L$19/(1+$A$28/100)^DCF_Base!$C$4:$L$4)+MAX(0,MIN(IF($A$28&gt;$E$23,DCF_Base!$L$19*(1+$E$23/100)/(($A$28-$E$23)/100),DCF_Base!$L$19*DCF_Base!$B$29),DCF_Base!$L$19*DCF_Base!$B$29))/(1+$A$28/100)^DCF_Base!$L$4+Assumptions!$B$5-Assumptions!$B$4)/Assumptions!$B$3*Assumptions!$B$10</f>
        <v>12.5895077775998</v>
      </c>
      <c r="F28" s="0" t="n">
        <f aca="false">(SUMPRODUCT(DCF_Base!$C$19:$L$19/(1+$A$28/100)^DCF_Base!$C$4:$L$4)+MAX(0,MIN(IF($A$28&gt;$F$23,DCF_Base!$L$19*(1+$F$23/100)/(($A$28-$F$23)/100),DCF_Base!$L$19*DCF_Base!$B$29),DCF_Base!$L$19*DCF_Base!$B$29))/(1+$A$28/100)^DCF_Base!$L$4+Assumptions!$B$5-Assumptions!$B$4)/Assumptions!$B$3*Assumptions!$B$10</f>
        <v>12.9789728348626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2026-10-17T03:00:23Z</dcterms:created>
  <dc:creator>openpyxl</dc:creator>
  <dc:description/>
  <dc:language>en-NZ</dc:language>
  <cp:lastModifiedBy/>
  <dcterms:modified xsi:type="dcterms:W3CDTF">2026-10-17T03:00:23Z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