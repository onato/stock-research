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<sst xmlns="http://schemas.openxmlformats.org/spreadsheetml/2006/main" count="370" uniqueCount="175">
  <si>
    <t xml:space="preserve">Ticker</t>
  </si>
  <si>
    <t xml:space="preserve">BCS</t>
  </si>
  <si>
    <t xml:space="preserve">Company</t>
  </si>
  <si>
    <t xml:space="preserve">Barclays PLC</t>
  </si>
  <si>
    <t xml:space="preserve">Valuation date</t>
  </si>
  <si>
    <t xml:space="preserve">2026-10-03</t>
  </si>
  <si>
    <t xml:space="preserve">Current price</t>
  </si>
  <si>
    <t xml:space="preserve">Price as of</t>
  </si>
  <si>
    <t xml:space="preserve">2026-10-02T20:00:02Z regular close (Yahoo Finance chart API)</t>
  </si>
  <si>
    <t xml:space="preserve">Balance sheet date</t>
  </si>
  <si>
    <t xml:space="preserve">2026-06-30</t>
  </si>
  <si>
    <t xml:space="preserve">Model</t>
  </si>
  <si>
    <t xml:space="preserve">Bank FCFE at cost of equity (engine route): NI to ordinary equity less CET1 retention, net debt zero</t>
  </si>
  <si>
    <t xml:space="preserve">Currency (model)</t>
  </si>
  <si>
    <t xml:space="preserve">GBP</t>
  </si>
  <si>
    <t xml:space="preserve">Currency (quote)</t>
  </si>
  <si>
    <t xml:space="preserve">USD</t>
  </si>
  <si>
    <t xml:space="preserve">Units</t>
  </si>
  <si>
    <t xml:space="preserve">millions</t>
  </si>
  <si>
    <t xml:space="preserve">Engine</t>
  </si>
  <si>
    <t xml:space="preserve">dcf_engine v1</t>
  </si>
  <si>
    <t xml:space="preserve">Built at</t>
  </si>
  <si>
    <t xml:space="preserve">2026-10-02T22:47:04Z</t>
  </si>
  <si>
    <t xml:space="preserve">Drivers file</t>
  </si>
  <si>
    <t xml:space="preserve">BCS_Drivers.json</t>
  </si>
  <si>
    <t xml:space="preserve">Convention</t>
  </si>
  <si>
    <t xml:space="preserve">Percents stored as percents; formulas divide by 100. Blue = input, green = link, black = formula.</t>
  </si>
  <si>
    <t xml:space="preserve">Methodology</t>
  </si>
  <si>
    <t xml:space="preserve">summary: A bank is worth what it can pay ordinary shareholders after funding the capital its growth requires. The flow is profit attributable to ordinary equity holders (after AT1 coupons and NCI) less the CET1 retention that holds the ratio at 14%, discounted at a GBP cost of equity of 11%. Deposits are funding, not debt, so nothing is deducted for net debt. The value is therefore TNAV plus the PV of returns above the cost of equity. At a through-cycle RoTE of ~14-15%, Barclays earns a 3-4pt spread, which justifies roughly 1.3x TNAV. The ADS trades at about 1.06x TNAV (423p x 4 at the spot GBPUSD rate in fx_note). The GBP value converts to USD per ADS at spot, so a USD holder also carries GBP translation risk.
key_risks_to_valuation: Investment Bank cyclicality: about 48% of H1-26 income. A markets downturn is the largest single swing factor, and it is the bear path.; Credit: base assumes LLR at the top of 50-60bps. A UK/US consumer cycle at ~100bps for a year costs about £2bn pre-tax.; Capital rules: Basel 3.1 (from Jan 2027) and the USCB IRB move add £19-26bn of RWAs. About £2bn net is deducted in the bridge, and the output floor reaches full weight in 2030.; Motor-finance redress: a £430M provision. Parts of the FCA scheme are suspended by the Upper Tribunal (hearing Dec-26/Feb-27), so the exposure is uncertain. It sits in the bear path; the engine's single bridge cannot hold a bear-only deduction.; UK bank tax/levy risk, and GBP/USD translation for ADS holders (the USD value per ADS moves one-for-one with GBPUSD).; Ring-fencing: Barclays is reportedly the only ring-fenced bank opposing reform, so it is a regulatory outlier.</t>
  </si>
  <si>
    <t xml:space="preserve">Data sources</t>
  </si>
  <si>
    <t xml:space="preserve">price: Yahoo Finance chart API at inputs.price_as_of; 52-week range 19.29-28.69 (USD per ADS). FX from Yahoo GBPUSD=X; BARC.L for the parity check.
financials: BCS_Metrics.csv / core_metrics FY2015-FY2025 (20-F annuals). H1-2026 Half-Year Financial Report (SEC 6-K 2026-07-28, accession 0001654954-26-006931): quarterly income statement Q3-24 to Q2-26, CET1 £52.2bn / 14.3% (14.0% pro-forma), RWA £364.8bn, TNAVps 423p, diluted weighted average 14,080M, MDA requirement 12.2%, motor-finance provision £430M, 2026/2028 targets. Share count from the 1 Oct 2026 6-K batch (Total Voting Rights at 31 Aug 2026: 13,441.1M; after buyback cancellations to 25 Sep 2026: 13,382.1M).
qualitative: BCS_Analysis.json (2026-10): FY26 income c.£31.5bn, NII ex-IB/HO &gt;£13.7bn, high-50s cost:income, RoTE &gt;12% (2026) / &gt;14% (2028), &gt;£15bn 2026-28 distributions, CET1 13-14%.</t>
  </si>
  <si>
    <t xml:space="preserve">Scenario narrative: bear</t>
  </si>
  <si>
    <t xml:space="preserve">Capital markets turn after a record 2025-26, while UK and US consumer credit deteriorate together, the exposure Tesco Bank and US cards growth added. The LLR doubles to ~100bps for a year, motor-finance redress runs well above the £430M provision, and income falls 3% in year 2. Cost:income stays near 60%. Barclays reverts to its historical pattern: RoTE around the cost of equity, and buybacks paused to rebuild CET1.</t>
  </si>
  <si>
    <t xml:space="preserve">Scenario narrative: base</t>
  </si>
  <si>
    <t xml:space="preserve">Barclays hits its 2026 guidance (c.£31.5bn income, high-50s cost:income) and roughly its 2028 RoTE target (&gt;14%). It does not sustain the 16% Q2-26 print. Income compounds at ~5% through 2028 on the locked-in structural hedge (&gt;95% of 2026-28 hedge income secured), Tesco Bank and US card growth, then fades to UK nominal growth. Credit normalises at the top of the 50-60bps range. About two-thirds of earnings are distributed, consistent with the &gt;£15bn 2026-28 return plan. CET1 is held at 14%, and the Basel 3.1/IRB RWA step-up is absorbed out of retained capital.</t>
  </si>
  <si>
    <t xml:space="preserve">Scenario narrative: bull</t>
  </si>
  <si>
    <t xml:space="preserve">The 'all-weather' repositioning works. The Investment Bank keeps share in equities and financing, RWAs shift toward higher-returning UK and US consumer businesses, and the &gt;£2bn efficiency program takes cost:income into the low 50s by 2028. Every segment stays ahead of target, as all did in Q2-26. RoTE settles at 16-17%, and the stock re-rates from about 1.1x TNAV toward peers on 1.5x+.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</si>
  <si>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</si>
  <si>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</si>
  <si>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</si>
  <si>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</si>
  <si>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</si>
  <si>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</si>
  <si>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</si>
  <si>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</si>
  <si>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</si>
  <si>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</si>
  <si>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</si>
  <si>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</si>
  <si>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</si>
  <si>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</si>
  <si>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</si>
  <si>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</si>
  <si>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</si>
  <si>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</si>
  <si>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</si>
  <si>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</si>
  <si>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</si>
  <si>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</si>
  <si>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</si>
  <si>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</si>
  <si>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</si>
  <si>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</si>
  <si>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</si>
  <si>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CostToIncomeRatio</t>
  </si>
  <si>
    <t xml:space="preserve">CreditImpairmentCharge</t>
  </si>
  <si>
    <t xml:space="preserve">Deposits</t>
  </si>
  <si>
    <t xml:space="preserve">NetInterestIncome</t>
  </si>
  <si>
    <t xml:space="preserve">NonInterestIncome</t>
  </si>
  <si>
    <t xml:space="preserve">OperatingExpenses</t>
  </si>
  <si>
    <t xml:space="preserve">ProfitForPeriodTotal</t>
  </si>
  <si>
    <t xml:space="preserve">TotalEquityInclNCI</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</si>
  <si>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</si>
  <si>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</si>
  <si>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</si>
  <si>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</si>
  <si>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</si>
  <si>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</si>
  <si>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</si>
  <si>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</si>
  <si>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</si>
  <si>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</si>
  <si>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</si>
  <si>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</si>
  <si>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</si>
  <si>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</si>
  <si>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</si>
  <si>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</si>
  <si>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</si>
  <si>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</si>
  <si>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</si>
  <si>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</si>
  <si>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TTM to 2026-06-30 (Q3-25 to Q2-26)</t>
  </si>
  <si>
    <t xml:space="preserve">Currency / units</t>
  </si>
  <si>
    <t xml:space="preserve">GBP millions</t>
  </si>
  <si>
    <t xml:space="preserve">FX rate (model -&gt; quote)</t>
  </si>
  <si>
    <t xml:space="preserve">BEAR</t>
  </si>
  <si>
    <t xml:space="preserve">TTM to 2027</t>
  </si>
  <si>
    <t xml:space="preserve">TTM to 2028</t>
  </si>
  <si>
    <t xml:space="preserve">TTM to 2029</t>
  </si>
  <si>
    <t xml:space="preserve">TTM to 2030</t>
  </si>
  <si>
    <t xml:space="preserve">TTM to 2031</t>
  </si>
  <si>
    <t xml:space="preserve">TTM to 2032</t>
  </si>
  <si>
    <t xml:space="preserve">TTM to 2033</t>
  </si>
  <si>
    <t xml:space="preserve">TTM to 2034</t>
  </si>
  <si>
    <t xml:space="preserve">TTM to 2035</t>
  </si>
  <si>
    <t xml:space="preserve">TTM to 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</si>
  <si>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</si>
  <si>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</si>
  <si>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</si>
  <si>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</si>
  <si>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</si>
  <si>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</si>
  <si>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</si>
  <si>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</si>
  <si>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</si>
  <si>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</si>
  <si>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</si>
  <si>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</si>
  <si>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</si>
  <si>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</si>
  <si>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BCS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</si>
  <si>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</si>
  <si>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</si>
  <si>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</si>
  <si>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</si>
  <si>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</si>
  <si>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</si>
  <si>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</si>
  <si>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</si>
  <si>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</si>
  <si>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</si>
  <si>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</si>
  <si>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</si>
  <si>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</si>
  <si>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</si>
  <si>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</si>
  <si>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</si>
  <si>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</si>
  <si>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</si>
  <si>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</si>
  <si>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</si>
  <si>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</si>
  <si>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</si>
  <si>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</si>
  <si>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</si>
  <si>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</si>
  <si>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</si>
  <si>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</si>
  <si>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</si>
  <si>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</si>
  <si>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</si>
  <si>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BCS owner-FCF component DCF: base case (millions, GBP)</t>
  </si>
  <si>
    <t xml:space="preserve">BCS owner-FCF component DCF: bull case (millions, GBP)</t>
  </si>
  <si>
    <t xml:space="preserve">BCS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</si>
  <si>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</si>
  <si>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</si>
  <si>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</si>
  <si>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</si>
  <si>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</si>
  <si>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</si>
  <si>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</si>
  <si>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</si>
  <si>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</si>
  <si>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</si>
  <si>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</si>
  <si>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</si>
  <si>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</si>
  <si>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</si>
  <si>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</si>
  <si>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</si>
  <si>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 (WACC)</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</si>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</sst>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23.71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c r="AJ1" s="2" t="s">
        <v>71</v>
      </c>
    </row>
    <row r="2" customFormat="false" ht="15" hidden="false" customHeight="false" outlineLevel="0" collapsed="false">
      <c r="A2" s="0" t="s">
        <v>72</v>
      </c>
      <c r="B2" s="0" t="n">
        <v>22040</v>
      </c>
      <c r="I2" s="0" t="n">
        <v>-394</v>
      </c>
      <c r="J2" s="0" t="n">
        <v>-1.8</v>
      </c>
      <c r="K2" s="0" t="n">
        <v>-0.019</v>
      </c>
      <c r="L2" s="0" t="n">
        <v>15334</v>
      </c>
      <c r="M2" s="0" t="n">
        <v>1928</v>
      </c>
      <c r="O2" s="0" t="n">
        <v>59810</v>
      </c>
      <c r="P2" s="0" t="n">
        <v>1120012</v>
      </c>
      <c r="Q2" s="0" t="n">
        <v>1054148</v>
      </c>
      <c r="R2" s="0" t="n">
        <v>90617</v>
      </c>
      <c r="S2" s="0" t="n">
        <v>86556</v>
      </c>
      <c r="T2" s="0" t="n">
        <v>17054</v>
      </c>
      <c r="U2" s="0" t="n">
        <v>532</v>
      </c>
      <c r="AA2" s="0" t="s">
        <v>18</v>
      </c>
      <c r="AB2" s="0" t="s">
        <v>14</v>
      </c>
      <c r="AC2" s="0" t="n">
        <v>84.1</v>
      </c>
      <c r="AD2" s="0" t="n">
        <v>1762</v>
      </c>
      <c r="AF2" s="0" t="n">
        <v>10608</v>
      </c>
      <c r="AG2" s="0" t="n">
        <v>11432</v>
      </c>
      <c r="AH2" s="0" t="n">
        <v>18536</v>
      </c>
      <c r="AI2" s="0" t="n">
        <v>623</v>
      </c>
      <c r="AJ2" s="0" t="n">
        <v>65864</v>
      </c>
    </row>
    <row r="3" customFormat="false" ht="15" hidden="false" customHeight="false" outlineLevel="0" collapsed="false">
      <c r="A3" s="0" t="s">
        <v>73</v>
      </c>
      <c r="B3" s="0" t="n">
        <v>21451</v>
      </c>
      <c r="I3" s="0" t="n">
        <v>1623</v>
      </c>
      <c r="J3" s="0" t="n">
        <v>7.6</v>
      </c>
      <c r="K3" s="0" t="n">
        <v>0.103</v>
      </c>
      <c r="L3" s="0" t="n">
        <v>11286</v>
      </c>
      <c r="M3" s="0" t="n">
        <v>1707</v>
      </c>
      <c r="O3" s="0" t="n">
        <v>64873</v>
      </c>
      <c r="P3" s="0" t="n">
        <v>1213126</v>
      </c>
      <c r="Q3" s="0" t="n">
        <v>1141761</v>
      </c>
      <c r="R3" s="0" t="n">
        <v>99315</v>
      </c>
      <c r="S3" s="0" t="n">
        <v>144110</v>
      </c>
      <c r="T3" s="0" t="n">
        <v>17044</v>
      </c>
      <c r="U3" s="0" t="n">
        <v>666</v>
      </c>
      <c r="AA3" s="0" t="s">
        <v>18</v>
      </c>
      <c r="AB3" s="0" t="s">
        <v>14</v>
      </c>
      <c r="AC3" s="0" t="n">
        <v>76.2</v>
      </c>
      <c r="AD3" s="0" t="n">
        <v>2373</v>
      </c>
      <c r="AF3" s="0" t="n">
        <v>10537</v>
      </c>
      <c r="AG3" s="0" t="n">
        <v>10914</v>
      </c>
      <c r="AH3" s="0" t="n">
        <v>16338</v>
      </c>
      <c r="AI3" s="0" t="n">
        <v>2828</v>
      </c>
      <c r="AJ3" s="0" t="n">
        <v>71365</v>
      </c>
    </row>
    <row r="4" customFormat="false" ht="15" hidden="false" customHeight="false" outlineLevel="0" collapsed="false">
      <c r="A4" s="0" t="s">
        <v>74</v>
      </c>
      <c r="B4" s="0" t="n">
        <v>21076</v>
      </c>
      <c r="I4" s="0" t="n">
        <v>-1748</v>
      </c>
      <c r="J4" s="0" t="n">
        <v>-8.3</v>
      </c>
      <c r="K4" s="0" t="n">
        <v>-0.101</v>
      </c>
      <c r="L4" s="0" t="n">
        <v>60711</v>
      </c>
      <c r="M4" s="0" t="n">
        <v>1456</v>
      </c>
      <c r="O4" s="0" t="n">
        <v>63905</v>
      </c>
      <c r="P4" s="0" t="n">
        <v>1133248</v>
      </c>
      <c r="Q4" s="0" t="n">
        <v>1067232</v>
      </c>
      <c r="R4" s="0" t="n">
        <v>97140</v>
      </c>
      <c r="S4" s="0" t="n">
        <v>204612</v>
      </c>
      <c r="T4" s="0" t="n">
        <v>17284</v>
      </c>
      <c r="U4" s="0" t="n">
        <v>508</v>
      </c>
      <c r="AA4" s="0" t="s">
        <v>18</v>
      </c>
      <c r="AB4" s="0" t="s">
        <v>14</v>
      </c>
      <c r="AC4" s="0" t="n">
        <v>73.3</v>
      </c>
      <c r="AD4" s="0" t="n">
        <v>2336</v>
      </c>
      <c r="AE4" s="0" t="n">
        <v>398701</v>
      </c>
      <c r="AF4" s="0" t="n">
        <v>9845</v>
      </c>
      <c r="AG4" s="0" t="n">
        <v>11231</v>
      </c>
      <c r="AH4" s="0" t="n">
        <v>15456</v>
      </c>
      <c r="AI4" s="0" t="n">
        <v>-720</v>
      </c>
      <c r="AJ4" s="0" t="n">
        <v>66016</v>
      </c>
    </row>
    <row r="5" customFormat="false" ht="15" hidden="false" customHeight="false" outlineLevel="0" collapsed="false">
      <c r="A5" s="0" t="s">
        <v>75</v>
      </c>
      <c r="B5" s="0" t="n">
        <v>21136</v>
      </c>
      <c r="I5" s="0" t="n">
        <v>1597</v>
      </c>
      <c r="J5" s="0" t="n">
        <v>7.6</v>
      </c>
      <c r="K5" s="0" t="n">
        <v>0.092</v>
      </c>
      <c r="L5" s="0" t="n">
        <v>8504</v>
      </c>
      <c r="M5" s="0" t="n">
        <v>1402</v>
      </c>
      <c r="O5" s="0" t="n">
        <v>62556</v>
      </c>
      <c r="P5" s="0" t="n">
        <v>1133283</v>
      </c>
      <c r="Q5" s="0" t="n">
        <v>1069504</v>
      </c>
      <c r="R5" s="0" t="n">
        <v>102845</v>
      </c>
      <c r="S5" s="0" t="n">
        <v>211166</v>
      </c>
      <c r="T5" s="0" t="n">
        <v>17383</v>
      </c>
      <c r="U5" s="0" t="n">
        <v>450</v>
      </c>
      <c r="AA5" s="0" t="s">
        <v>18</v>
      </c>
      <c r="AB5" s="0" t="s">
        <v>14</v>
      </c>
      <c r="AC5" s="0" t="n">
        <v>76.8</v>
      </c>
      <c r="AD5" s="0" t="n">
        <v>1468</v>
      </c>
      <c r="AE5" s="0" t="n">
        <v>394838</v>
      </c>
      <c r="AF5" s="0" t="n">
        <v>9062</v>
      </c>
      <c r="AG5" s="0" t="n">
        <v>12074</v>
      </c>
      <c r="AH5" s="0" t="n">
        <v>16243</v>
      </c>
      <c r="AI5" s="0" t="n">
        <v>2583</v>
      </c>
      <c r="AJ5" s="0" t="n">
        <v>63779</v>
      </c>
    </row>
    <row r="6" customFormat="false" ht="15" hidden="false" customHeight="false" outlineLevel="0" collapsed="false">
      <c r="A6" s="0" t="s">
        <v>76</v>
      </c>
      <c r="B6" s="0" t="n">
        <v>21632</v>
      </c>
      <c r="I6" s="0" t="n">
        <v>2461</v>
      </c>
      <c r="J6" s="0" t="n">
        <v>11.4</v>
      </c>
      <c r="K6" s="0" t="n">
        <v>0.141</v>
      </c>
      <c r="L6" s="0" t="n">
        <v>-502</v>
      </c>
      <c r="M6" s="0" t="n">
        <v>1793</v>
      </c>
      <c r="O6" s="0" t="n">
        <v>64429</v>
      </c>
      <c r="P6" s="0" t="n">
        <v>1140229</v>
      </c>
      <c r="Q6" s="0" t="n">
        <v>1074569</v>
      </c>
      <c r="R6" s="0" t="n">
        <v>94525</v>
      </c>
      <c r="S6" s="0" t="n">
        <v>166613</v>
      </c>
      <c r="T6" s="0" t="n">
        <v>17482</v>
      </c>
      <c r="U6" s="0" t="n">
        <v>481</v>
      </c>
      <c r="AA6" s="0" t="s">
        <v>18</v>
      </c>
      <c r="AB6" s="0" t="s">
        <v>14</v>
      </c>
      <c r="AC6" s="0" t="n">
        <v>71.3</v>
      </c>
      <c r="AD6" s="0" t="n">
        <v>1912</v>
      </c>
      <c r="AE6" s="0" t="n">
        <v>415787</v>
      </c>
      <c r="AF6" s="0" t="n">
        <v>9407</v>
      </c>
      <c r="AG6" s="0" t="n">
        <v>12225</v>
      </c>
      <c r="AH6" s="0" t="n">
        <v>15434</v>
      </c>
      <c r="AI6" s="0" t="n">
        <v>3354</v>
      </c>
      <c r="AJ6" s="0" t="n">
        <v>65660</v>
      </c>
    </row>
    <row r="7" customFormat="false" ht="15" hidden="false" customHeight="false" outlineLevel="0" collapsed="false">
      <c r="A7" s="0" t="s">
        <v>77</v>
      </c>
      <c r="B7" s="0" t="n">
        <v>21766</v>
      </c>
      <c r="I7" s="0" t="n">
        <v>1526</v>
      </c>
      <c r="J7" s="0" t="n">
        <v>7</v>
      </c>
      <c r="K7" s="0" t="n">
        <v>0.086</v>
      </c>
      <c r="L7" s="0" t="n">
        <v>57505</v>
      </c>
      <c r="M7" s="0" t="n">
        <v>1324</v>
      </c>
      <c r="O7" s="0" t="n">
        <v>65797</v>
      </c>
      <c r="P7" s="0" t="n">
        <v>1349514</v>
      </c>
      <c r="Q7" s="0" t="n">
        <v>1282632</v>
      </c>
      <c r="R7" s="0" t="n">
        <v>92137</v>
      </c>
      <c r="S7" s="0" t="n">
        <v>210142</v>
      </c>
      <c r="T7" s="0" t="n">
        <v>17668</v>
      </c>
      <c r="U7" s="0" t="n">
        <v>431</v>
      </c>
      <c r="AA7" s="0" t="s">
        <v>18</v>
      </c>
      <c r="AB7" s="0" t="s">
        <v>14</v>
      </c>
      <c r="AC7" s="0" t="n">
        <v>63.8</v>
      </c>
      <c r="AD7" s="0" t="n">
        <v>4838</v>
      </c>
      <c r="AE7" s="0" t="n">
        <v>481036</v>
      </c>
      <c r="AF7" s="0" t="n">
        <v>8122</v>
      </c>
      <c r="AG7" s="0" t="n">
        <v>13644</v>
      </c>
      <c r="AH7" s="0" t="n">
        <v>13886</v>
      </c>
      <c r="AI7" s="0" t="n">
        <v>2461</v>
      </c>
      <c r="AJ7" s="0" t="n">
        <v>66882</v>
      </c>
    </row>
    <row r="8" customFormat="false" ht="15" hidden="false" customHeight="false" outlineLevel="0" collapsed="false">
      <c r="A8" s="0" t="s">
        <v>78</v>
      </c>
      <c r="B8" s="0" t="n">
        <v>21940</v>
      </c>
      <c r="I8" s="0" t="n">
        <v>6205</v>
      </c>
      <c r="J8" s="0" t="n">
        <v>28.3</v>
      </c>
      <c r="K8" s="0" t="n">
        <v>0.356</v>
      </c>
      <c r="L8" s="0" t="n">
        <v>48919</v>
      </c>
      <c r="M8" s="0" t="n">
        <v>1720</v>
      </c>
      <c r="O8" s="0" t="n">
        <v>69052</v>
      </c>
      <c r="P8" s="0" t="n">
        <v>1384285</v>
      </c>
      <c r="Q8" s="0" t="n">
        <v>1314244</v>
      </c>
      <c r="R8" s="0" t="n">
        <v>111626</v>
      </c>
      <c r="S8" s="0" t="n">
        <v>259206</v>
      </c>
      <c r="T8" s="0" t="n">
        <v>17420</v>
      </c>
      <c r="U8" s="0" t="n">
        <v>477</v>
      </c>
      <c r="AA8" s="0" t="s">
        <v>18</v>
      </c>
      <c r="AB8" s="0" t="s">
        <v>14</v>
      </c>
      <c r="AC8" s="0" t="n">
        <v>66.8</v>
      </c>
      <c r="AD8" s="0" t="n">
        <v>-653</v>
      </c>
      <c r="AE8" s="0" t="n">
        <v>519433</v>
      </c>
      <c r="AF8" s="0" t="n">
        <v>8073</v>
      </c>
      <c r="AG8" s="0" t="n">
        <v>13867</v>
      </c>
      <c r="AH8" s="0" t="n">
        <v>14659</v>
      </c>
      <c r="AI8" s="0" t="n">
        <v>7056</v>
      </c>
      <c r="AJ8" s="0" t="n">
        <v>70041</v>
      </c>
    </row>
    <row r="9" customFormat="false" ht="15" hidden="false" customHeight="false" outlineLevel="0" collapsed="false">
      <c r="A9" s="0" t="s">
        <v>79</v>
      </c>
      <c r="B9" s="0" t="n">
        <v>24956</v>
      </c>
      <c r="I9" s="0" t="n">
        <v>5023</v>
      </c>
      <c r="J9" s="0" t="n">
        <v>20.1</v>
      </c>
      <c r="K9" s="0" t="n">
        <v>0.298</v>
      </c>
      <c r="L9" s="0" t="n">
        <v>30231</v>
      </c>
      <c r="M9" s="0" t="n">
        <v>1746</v>
      </c>
      <c r="O9" s="0" t="n">
        <v>68292</v>
      </c>
      <c r="P9" s="0" t="n">
        <v>1513699</v>
      </c>
      <c r="Q9" s="0" t="n">
        <v>1444439</v>
      </c>
      <c r="R9" s="0" t="n">
        <v>124304</v>
      </c>
      <c r="S9" s="0" t="n">
        <v>278790</v>
      </c>
      <c r="T9" s="0" t="n">
        <v>16867</v>
      </c>
      <c r="U9" s="0" t="n">
        <v>513</v>
      </c>
      <c r="AA9" s="0" t="s">
        <v>18</v>
      </c>
      <c r="AB9" s="0" t="s">
        <v>14</v>
      </c>
      <c r="AC9" s="0" t="n">
        <v>67</v>
      </c>
      <c r="AD9" s="0" t="n">
        <v>1220</v>
      </c>
      <c r="AE9" s="0" t="n">
        <v>545782</v>
      </c>
      <c r="AF9" s="0" t="n">
        <v>10572</v>
      </c>
      <c r="AG9" s="0" t="n">
        <v>14384</v>
      </c>
      <c r="AH9" s="0" t="n">
        <v>16730</v>
      </c>
      <c r="AI9" s="0" t="n">
        <v>5973</v>
      </c>
      <c r="AJ9" s="0" t="n">
        <v>69260</v>
      </c>
    </row>
    <row r="10" customFormat="false" ht="15" hidden="false" customHeight="false" outlineLevel="0" collapsed="false">
      <c r="A10" s="0" t="s">
        <v>80</v>
      </c>
      <c r="B10" s="0" t="n">
        <v>25378</v>
      </c>
      <c r="I10" s="0" t="n">
        <v>4274</v>
      </c>
      <c r="J10" s="0" t="n">
        <v>16.8</v>
      </c>
      <c r="K10" s="0" t="n">
        <v>0.269</v>
      </c>
      <c r="L10" s="0" t="n">
        <v>-927</v>
      </c>
      <c r="M10" s="0" t="n">
        <v>1718</v>
      </c>
      <c r="O10" s="0" t="n">
        <v>71204</v>
      </c>
      <c r="P10" s="0" t="n">
        <v>1477487</v>
      </c>
      <c r="Q10" s="0" t="n">
        <v>1405623</v>
      </c>
      <c r="R10" s="0" t="n">
        <v>107319</v>
      </c>
      <c r="S10" s="0" t="n">
        <v>248007</v>
      </c>
      <c r="T10" s="0" t="n">
        <v>15895</v>
      </c>
      <c r="U10" s="0" t="n">
        <v>479</v>
      </c>
      <c r="AA10" s="0" t="s">
        <v>18</v>
      </c>
      <c r="AB10" s="0" t="s">
        <v>14</v>
      </c>
      <c r="AC10" s="0" t="n">
        <v>66.7</v>
      </c>
      <c r="AD10" s="0" t="n">
        <v>1881</v>
      </c>
      <c r="AE10" s="0" t="n">
        <v>538789</v>
      </c>
      <c r="AF10" s="0" t="n">
        <v>12709</v>
      </c>
      <c r="AG10" s="0" t="n">
        <v>12669</v>
      </c>
      <c r="AH10" s="0" t="n">
        <v>16931</v>
      </c>
      <c r="AI10" s="0" t="n">
        <v>5323</v>
      </c>
      <c r="AJ10" s="0" t="n">
        <v>71864</v>
      </c>
    </row>
    <row r="11" customFormat="false" ht="15" hidden="false" customHeight="false" outlineLevel="0" collapsed="false">
      <c r="A11" s="0" t="s">
        <v>81</v>
      </c>
      <c r="B11" s="0" t="n">
        <v>26788</v>
      </c>
      <c r="I11" s="0" t="n">
        <v>5316</v>
      </c>
      <c r="J11" s="0" t="n">
        <v>19.8</v>
      </c>
      <c r="K11" s="0" t="n">
        <v>0.348</v>
      </c>
      <c r="L11" s="0" t="n">
        <v>7113</v>
      </c>
      <c r="M11" s="0" t="n">
        <v>1574</v>
      </c>
      <c r="O11" s="0" t="n">
        <v>71821</v>
      </c>
      <c r="P11" s="0" t="n">
        <v>1518202</v>
      </c>
      <c r="Q11" s="0" t="n">
        <v>1445721</v>
      </c>
      <c r="R11" s="0" t="n">
        <v>104323</v>
      </c>
      <c r="S11" s="0" t="n">
        <v>235611</v>
      </c>
      <c r="T11" s="0" t="n">
        <v>15271</v>
      </c>
      <c r="U11" s="0" t="n">
        <v>507</v>
      </c>
      <c r="AA11" s="0" t="s">
        <v>18</v>
      </c>
      <c r="AB11" s="0" t="s">
        <v>14</v>
      </c>
      <c r="AC11" s="0" t="n">
        <v>62.5</v>
      </c>
      <c r="AD11" s="0" t="n">
        <v>1982</v>
      </c>
      <c r="AE11" s="0" t="n">
        <v>560663</v>
      </c>
      <c r="AF11" s="0" t="n">
        <v>12936</v>
      </c>
      <c r="AG11" s="0" t="n">
        <v>13852</v>
      </c>
      <c r="AH11" s="0" t="n">
        <v>16735</v>
      </c>
      <c r="AI11" s="0" t="n">
        <v>6356</v>
      </c>
      <c r="AJ11" s="0" t="n">
        <v>72481</v>
      </c>
    </row>
    <row r="12" customFormat="false" ht="15" hidden="false" customHeight="false" outlineLevel="0" collapsed="false">
      <c r="A12" s="0" t="s">
        <v>82</v>
      </c>
      <c r="B12" s="0" t="n">
        <v>29140</v>
      </c>
      <c r="I12" s="0" t="n">
        <v>6175</v>
      </c>
      <c r="J12" s="0" t="n">
        <v>21.2</v>
      </c>
      <c r="K12" s="0" t="n">
        <v>0.423</v>
      </c>
      <c r="L12" s="0" t="n">
        <v>18739</v>
      </c>
      <c r="M12" s="0" t="n">
        <v>1859</v>
      </c>
      <c r="O12" s="0" t="n">
        <v>77784</v>
      </c>
      <c r="P12" s="0" t="n">
        <v>1544165</v>
      </c>
      <c r="Q12" s="0" t="n">
        <v>1465929</v>
      </c>
      <c r="R12" s="0" t="n">
        <v>131987</v>
      </c>
      <c r="S12" s="0" t="n">
        <v>256463</v>
      </c>
      <c r="T12" s="0" t="n">
        <v>14604</v>
      </c>
      <c r="U12" s="0" t="n">
        <v>652</v>
      </c>
      <c r="AA12" s="0" t="s">
        <v>18</v>
      </c>
      <c r="AB12" s="0" t="s">
        <v>14</v>
      </c>
      <c r="AC12" s="0" t="n">
        <v>60.9</v>
      </c>
      <c r="AD12" s="0" t="n">
        <v>2279</v>
      </c>
      <c r="AE12" s="0" t="n">
        <v>585613</v>
      </c>
      <c r="AF12" s="0" t="n">
        <v>14501</v>
      </c>
      <c r="AG12" s="0" t="n">
        <v>14639</v>
      </c>
      <c r="AH12" s="0" t="n">
        <v>17745</v>
      </c>
      <c r="AI12" s="0" t="n">
        <v>7213</v>
      </c>
      <c r="AJ12" s="0" t="n">
        <v>78236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83</v>
      </c>
      <c r="B1" s="2" t="s">
        <v>84</v>
      </c>
    </row>
    <row r="2" customFormat="false" ht="15" hidden="false" customHeight="false" outlineLevel="0" collapsed="false">
      <c r="A2" s="0" t="s">
        <v>85</v>
      </c>
      <c r="B2" s="3" t="n">
        <v>23.71</v>
      </c>
    </row>
    <row r="3" customFormat="false" ht="15" hidden="false" customHeight="false" outlineLevel="0" collapsed="false">
      <c r="A3" s="0" t="s">
        <v>86</v>
      </c>
      <c r="B3" s="3" t="n">
        <v>3454.3</v>
      </c>
    </row>
    <row r="4" customFormat="false" ht="15" hidden="false" customHeight="false" outlineLevel="0" collapsed="false">
      <c r="A4" s="0" t="s">
        <v>87</v>
      </c>
      <c r="B4" s="3" t="n">
        <v>0</v>
      </c>
    </row>
    <row r="5" customFormat="false" ht="15" hidden="false" customHeight="false" outlineLevel="0" collapsed="false">
      <c r="A5" s="0" t="s">
        <v>88</v>
      </c>
      <c r="B5" s="3" t="n">
        <v>-2000</v>
      </c>
    </row>
    <row r="6" customFormat="false" ht="15" hidden="false" customHeight="false" outlineLevel="0" collapsed="false">
      <c r="A6" s="0" t="s">
        <v>89</v>
      </c>
      <c r="B6" s="3" t="n">
        <v>15</v>
      </c>
    </row>
    <row r="7" customFormat="false" ht="15" hidden="false" customHeight="false" outlineLevel="0" collapsed="false">
      <c r="A7" s="0" t="s">
        <v>90</v>
      </c>
      <c r="B7" s="3" t="n">
        <v>30745</v>
      </c>
    </row>
    <row r="8" customFormat="false" ht="15" hidden="false" customHeight="false" outlineLevel="0" collapsed="false">
      <c r="A8" s="0" t="s">
        <v>91</v>
      </c>
      <c r="B8" s="3" t="s">
        <v>92</v>
      </c>
    </row>
    <row r="9" customFormat="false" ht="15" hidden="false" customHeight="false" outlineLevel="0" collapsed="false">
      <c r="A9" s="0" t="s">
        <v>93</v>
      </c>
      <c r="B9" s="3" t="s">
        <v>94</v>
      </c>
    </row>
    <row r="10" customFormat="false" ht="15" hidden="false" customHeight="false" outlineLevel="0" collapsed="false">
      <c r="A10" s="0" t="s">
        <v>95</v>
      </c>
      <c r="B10" s="3" t="n">
        <v>1.324</v>
      </c>
    </row>
    <row r="12" customFormat="false" ht="15" hidden="false" customHeight="false" outlineLevel="0" collapsed="false">
      <c r="A12" s="2" t="s">
        <v>96</v>
      </c>
      <c r="C12" s="2" t="s">
        <v>97</v>
      </c>
      <c r="D12" s="2" t="s">
        <v>98</v>
      </c>
      <c r="E12" s="2" t="s">
        <v>99</v>
      </c>
      <c r="F12" s="2" t="s">
        <v>100</v>
      </c>
      <c r="G12" s="2" t="s">
        <v>101</v>
      </c>
      <c r="H12" s="2" t="s">
        <v>102</v>
      </c>
      <c r="I12" s="2" t="s">
        <v>103</v>
      </c>
      <c r="J12" s="2" t="s">
        <v>104</v>
      </c>
      <c r="K12" s="2" t="s">
        <v>105</v>
      </c>
      <c r="L12" s="2" t="s">
        <v>106</v>
      </c>
    </row>
    <row r="13" customFormat="false" ht="15" hidden="false" customHeight="false" outlineLevel="0" collapsed="false">
      <c r="A13" s="0" t="s">
        <v>107</v>
      </c>
      <c r="C13" s="3" t="n">
        <v>2</v>
      </c>
      <c r="D13" s="3" t="n">
        <v>-3</v>
      </c>
      <c r="E13" s="3" t="n">
        <v>1</v>
      </c>
      <c r="F13" s="3" t="n">
        <v>3</v>
      </c>
      <c r="G13" s="3" t="n">
        <v>3.5</v>
      </c>
      <c r="H13" s="3" t="n">
        <v>3.5</v>
      </c>
      <c r="I13" s="3" t="n">
        <v>3</v>
      </c>
      <c r="J13" s="3" t="n">
        <v>3</v>
      </c>
      <c r="K13" s="3" t="n">
        <v>2.5</v>
      </c>
      <c r="L13" s="3" t="n">
        <v>2</v>
      </c>
    </row>
    <row r="14" customFormat="false" ht="15" hidden="false" customHeight="false" outlineLevel="0" collapsed="false">
      <c r="A14" s="0" t="s">
        <v>108</v>
      </c>
      <c r="C14" s="3" t="n">
        <v>30.7</v>
      </c>
      <c r="D14" s="3" t="n">
        <v>23.7</v>
      </c>
      <c r="E14" s="3" t="n">
        <v>27.2</v>
      </c>
      <c r="F14" s="3" t="n">
        <v>29.7</v>
      </c>
      <c r="G14" s="3" t="n">
        <v>30.7</v>
      </c>
      <c r="H14" s="3" t="n">
        <v>30.7</v>
      </c>
      <c r="I14" s="3" t="n">
        <v>30.7</v>
      </c>
      <c r="J14" s="3" t="n">
        <v>30.7</v>
      </c>
      <c r="K14" s="3" t="n">
        <v>30.7</v>
      </c>
      <c r="L14" s="3" t="n">
        <v>30.7</v>
      </c>
    </row>
    <row r="15" customFormat="false" ht="15" hidden="false" customHeight="false" outlineLevel="0" collapsed="false">
      <c r="A15" s="0" t="s">
        <v>109</v>
      </c>
      <c r="C15" s="3" t="n">
        <v>2.1</v>
      </c>
      <c r="D15" s="3" t="n">
        <v>2.1</v>
      </c>
      <c r="E15" s="3" t="n">
        <v>2.1</v>
      </c>
      <c r="F15" s="3" t="n">
        <v>2.1</v>
      </c>
      <c r="G15" s="3" t="n">
        <v>2.1</v>
      </c>
      <c r="H15" s="3" t="n">
        <v>2.1</v>
      </c>
      <c r="I15" s="3" t="n">
        <v>2.1</v>
      </c>
      <c r="J15" s="3" t="n">
        <v>2.1</v>
      </c>
      <c r="K15" s="3" t="n">
        <v>2.1</v>
      </c>
      <c r="L15" s="3" t="n">
        <v>2.1</v>
      </c>
    </row>
    <row r="16" customFormat="false" ht="15" hidden="false" customHeight="false" outlineLevel="0" collapsed="false">
      <c r="A16" s="0" t="s">
        <v>110</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111</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112</v>
      </c>
      <c r="C18" s="3" t="n">
        <v>3.26</v>
      </c>
      <c r="D18" s="3" t="n">
        <v>0</v>
      </c>
      <c r="E18" s="3" t="n">
        <v>1.65</v>
      </c>
      <c r="F18" s="3" t="n">
        <v>4.84</v>
      </c>
      <c r="G18" s="3" t="n">
        <v>5.62</v>
      </c>
      <c r="H18" s="3" t="n">
        <v>5.62</v>
      </c>
      <c r="I18" s="3" t="n">
        <v>4.84</v>
      </c>
      <c r="J18" s="3" t="n">
        <v>4.84</v>
      </c>
      <c r="K18" s="3" t="n">
        <v>4.05</v>
      </c>
      <c r="L18" s="3" t="n">
        <v>3.26</v>
      </c>
    </row>
    <row r="19" customFormat="false" ht="15" hidden="false" customHeight="false" outlineLevel="0" collapsed="false">
      <c r="A19" s="0" t="s">
        <v>113</v>
      </c>
      <c r="C19" s="3" t="n">
        <v>24.5</v>
      </c>
      <c r="D19" s="3" t="n">
        <v>24.5</v>
      </c>
      <c r="E19" s="3" t="n">
        <v>24.5</v>
      </c>
      <c r="F19" s="3" t="n">
        <v>24.5</v>
      </c>
      <c r="G19" s="3" t="n">
        <v>24.5</v>
      </c>
      <c r="H19" s="3" t="n">
        <v>24.5</v>
      </c>
      <c r="I19" s="3" t="n">
        <v>24.5</v>
      </c>
      <c r="J19" s="3" t="n">
        <v>24.5</v>
      </c>
      <c r="K19" s="3" t="n">
        <v>24.5</v>
      </c>
      <c r="L19" s="3" t="n">
        <v>24.5</v>
      </c>
    </row>
    <row r="20" customFormat="false" ht="15" hidden="false" customHeight="false" outlineLevel="0" collapsed="false">
      <c r="A20" s="0" t="s">
        <v>114</v>
      </c>
      <c r="B20" s="3" t="n">
        <v>11</v>
      </c>
    </row>
    <row r="21" customFormat="false" ht="15" hidden="false" customHeight="false" outlineLevel="0" collapsed="false">
      <c r="A21" s="0" t="s">
        <v>115</v>
      </c>
      <c r="B21" s="3" t="n">
        <v>2</v>
      </c>
    </row>
    <row r="22" customFormat="false" ht="15" hidden="false" customHeight="false" outlineLevel="0" collapsed="false">
      <c r="A22" s="0" t="s">
        <v>116</v>
      </c>
      <c r="B22" s="3" t="n">
        <v>10</v>
      </c>
    </row>
    <row r="23" customFormat="false" ht="15" hidden="false" customHeight="false" outlineLevel="0" collapsed="false">
      <c r="A23" s="0" t="s">
        <v>117</v>
      </c>
      <c r="B23" s="3" t="n">
        <v>0</v>
      </c>
    </row>
    <row r="24" customFormat="false" ht="15" hidden="false" customHeight="false" outlineLevel="0" collapsed="false">
      <c r="A24" s="0" t="s">
        <v>118</v>
      </c>
      <c r="B24" s="3" t="n">
        <v>0.25</v>
      </c>
    </row>
    <row r="26" customFormat="false" ht="15" hidden="false" customHeight="false" outlineLevel="0" collapsed="false">
      <c r="A26" s="2" t="s">
        <v>119</v>
      </c>
      <c r="C26" s="2" t="s">
        <v>97</v>
      </c>
      <c r="D26" s="2" t="s">
        <v>98</v>
      </c>
      <c r="E26" s="2" t="s">
        <v>99</v>
      </c>
      <c r="F26" s="2" t="s">
        <v>100</v>
      </c>
      <c r="G26" s="2" t="s">
        <v>101</v>
      </c>
      <c r="H26" s="2" t="s">
        <v>102</v>
      </c>
      <c r="I26" s="2" t="s">
        <v>103</v>
      </c>
      <c r="J26" s="2" t="s">
        <v>104</v>
      </c>
      <c r="K26" s="2" t="s">
        <v>105</v>
      </c>
      <c r="L26" s="2" t="s">
        <v>106</v>
      </c>
    </row>
    <row r="27" customFormat="false" ht="15" hidden="false" customHeight="false" outlineLevel="0" collapsed="false">
      <c r="A27" s="0" t="s">
        <v>107</v>
      </c>
      <c r="C27" s="3" t="n">
        <v>5</v>
      </c>
      <c r="D27" s="3" t="n">
        <v>5</v>
      </c>
      <c r="E27" s="3" t="n">
        <v>4.5</v>
      </c>
      <c r="F27" s="3" t="n">
        <v>4</v>
      </c>
      <c r="G27" s="3" t="n">
        <v>3.5</v>
      </c>
      <c r="H27" s="3" t="n">
        <v>3.5</v>
      </c>
      <c r="I27" s="3" t="n">
        <v>3</v>
      </c>
      <c r="J27" s="3" t="n">
        <v>3</v>
      </c>
      <c r="K27" s="3" t="n">
        <v>2.5</v>
      </c>
      <c r="L27" s="3" t="n">
        <v>2.5</v>
      </c>
    </row>
    <row r="28" customFormat="false" ht="15" hidden="false" customHeight="false" outlineLevel="0" collapsed="false">
      <c r="A28" s="0" t="s">
        <v>108</v>
      </c>
      <c r="C28" s="3" t="n">
        <v>33.2</v>
      </c>
      <c r="D28" s="3" t="n">
        <v>34.2</v>
      </c>
      <c r="E28" s="3" t="n">
        <v>35.2</v>
      </c>
      <c r="F28" s="3" t="n">
        <v>35.2</v>
      </c>
      <c r="G28" s="3" t="n">
        <v>34.7</v>
      </c>
      <c r="H28" s="3" t="n">
        <v>34.2</v>
      </c>
      <c r="I28" s="3" t="n">
        <v>34.2</v>
      </c>
      <c r="J28" s="3" t="n">
        <v>34.2</v>
      </c>
      <c r="K28" s="3" t="n">
        <v>34.2</v>
      </c>
      <c r="L28" s="3" t="n">
        <v>34.2</v>
      </c>
    </row>
    <row r="29" customFormat="false" ht="15" hidden="false" customHeight="false" outlineLevel="0" collapsed="false">
      <c r="A29" s="0" t="s">
        <v>109</v>
      </c>
      <c r="C29" s="3" t="n">
        <v>2.1</v>
      </c>
      <c r="D29" s="3" t="n">
        <v>2.1</v>
      </c>
      <c r="E29" s="3" t="n">
        <v>2.1</v>
      </c>
      <c r="F29" s="3" t="n">
        <v>2.1</v>
      </c>
      <c r="G29" s="3" t="n">
        <v>2.1</v>
      </c>
      <c r="H29" s="3" t="n">
        <v>2.1</v>
      </c>
      <c r="I29" s="3" t="n">
        <v>2.1</v>
      </c>
      <c r="J29" s="3" t="n">
        <v>2.1</v>
      </c>
      <c r="K29" s="3" t="n">
        <v>2.1</v>
      </c>
      <c r="L29" s="3" t="n">
        <v>2.1</v>
      </c>
    </row>
    <row r="30" customFormat="false" ht="15" hidden="false" customHeight="false" outlineLevel="0" collapsed="false">
      <c r="A30" s="0" t="s">
        <v>110</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111</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112</v>
      </c>
      <c r="C32" s="3" t="n">
        <v>7.91</v>
      </c>
      <c r="D32" s="3" t="n">
        <v>7.91</v>
      </c>
      <c r="E32" s="3" t="n">
        <v>7.16</v>
      </c>
      <c r="F32" s="3" t="n">
        <v>6.39</v>
      </c>
      <c r="G32" s="3" t="n">
        <v>5.62</v>
      </c>
      <c r="H32" s="3" t="n">
        <v>5.62</v>
      </c>
      <c r="I32" s="3" t="n">
        <v>4.84</v>
      </c>
      <c r="J32" s="3" t="n">
        <v>4.84</v>
      </c>
      <c r="K32" s="3" t="n">
        <v>4.05</v>
      </c>
      <c r="L32" s="3" t="n">
        <v>4.05</v>
      </c>
    </row>
    <row r="33" customFormat="false" ht="15" hidden="false" customHeight="false" outlineLevel="0" collapsed="false">
      <c r="A33" s="0" t="s">
        <v>113</v>
      </c>
      <c r="C33" s="3" t="n">
        <v>24</v>
      </c>
      <c r="D33" s="3" t="n">
        <v>24</v>
      </c>
      <c r="E33" s="3" t="n">
        <v>24</v>
      </c>
      <c r="F33" s="3" t="n">
        <v>24</v>
      </c>
      <c r="G33" s="3" t="n">
        <v>24</v>
      </c>
      <c r="H33" s="3" t="n">
        <v>24</v>
      </c>
      <c r="I33" s="3" t="n">
        <v>24</v>
      </c>
      <c r="J33" s="3" t="n">
        <v>24</v>
      </c>
      <c r="K33" s="3" t="n">
        <v>24</v>
      </c>
      <c r="L33" s="3" t="n">
        <v>24</v>
      </c>
    </row>
    <row r="34" customFormat="false" ht="15" hidden="false" customHeight="false" outlineLevel="0" collapsed="false">
      <c r="A34" s="0" t="s">
        <v>114</v>
      </c>
      <c r="B34" s="3" t="n">
        <v>11</v>
      </c>
    </row>
    <row r="35" customFormat="false" ht="15" hidden="false" customHeight="false" outlineLevel="0" collapsed="false">
      <c r="A35" s="0" t="s">
        <v>115</v>
      </c>
      <c r="B35" s="3" t="n">
        <v>2.5</v>
      </c>
    </row>
    <row r="36" customFormat="false" ht="15" hidden="false" customHeight="false" outlineLevel="0" collapsed="false">
      <c r="A36" s="0" t="s">
        <v>116</v>
      </c>
      <c r="B36" s="3" t="n">
        <v>12</v>
      </c>
    </row>
    <row r="37" customFormat="false" ht="15" hidden="false" customHeight="false" outlineLevel="0" collapsed="false">
      <c r="A37" s="0" t="s">
        <v>117</v>
      </c>
      <c r="B37" s="3" t="n">
        <v>0</v>
      </c>
    </row>
    <row r="38" customFormat="false" ht="15" hidden="false" customHeight="false" outlineLevel="0" collapsed="false">
      <c r="A38" s="0" t="s">
        <v>118</v>
      </c>
      <c r="B38" s="3" t="n">
        <v>0.5</v>
      </c>
    </row>
    <row r="40" customFormat="false" ht="15" hidden="false" customHeight="false" outlineLevel="0" collapsed="false">
      <c r="A40" s="2" t="s">
        <v>120</v>
      </c>
      <c r="C40" s="2" t="s">
        <v>97</v>
      </c>
      <c r="D40" s="2" t="s">
        <v>98</v>
      </c>
      <c r="E40" s="2" t="s">
        <v>99</v>
      </c>
      <c r="F40" s="2" t="s">
        <v>100</v>
      </c>
      <c r="G40" s="2" t="s">
        <v>101</v>
      </c>
      <c r="H40" s="2" t="s">
        <v>102</v>
      </c>
      <c r="I40" s="2" t="s">
        <v>103</v>
      </c>
      <c r="J40" s="2" t="s">
        <v>104</v>
      </c>
      <c r="K40" s="2" t="s">
        <v>105</v>
      </c>
      <c r="L40" s="2" t="s">
        <v>106</v>
      </c>
    </row>
    <row r="41" customFormat="false" ht="15" hidden="false" customHeight="false" outlineLevel="0" collapsed="false">
      <c r="A41" s="0" t="s">
        <v>107</v>
      </c>
      <c r="C41" s="3" t="n">
        <v>7</v>
      </c>
      <c r="D41" s="3" t="n">
        <v>6.5</v>
      </c>
      <c r="E41" s="3" t="n">
        <v>6</v>
      </c>
      <c r="F41" s="3" t="n">
        <v>5.5</v>
      </c>
      <c r="G41" s="3" t="n">
        <v>5</v>
      </c>
      <c r="H41" s="3" t="n">
        <v>4.5</v>
      </c>
      <c r="I41" s="3" t="n">
        <v>4</v>
      </c>
      <c r="J41" s="3" t="n">
        <v>3.5</v>
      </c>
      <c r="K41" s="3" t="n">
        <v>3</v>
      </c>
      <c r="L41" s="3" t="n">
        <v>3</v>
      </c>
    </row>
    <row r="42" customFormat="false" ht="15" hidden="false" customHeight="false" outlineLevel="0" collapsed="false">
      <c r="A42" s="0" t="s">
        <v>108</v>
      </c>
      <c r="C42" s="3" t="n">
        <v>34.2</v>
      </c>
      <c r="D42" s="3" t="n">
        <v>35.7</v>
      </c>
      <c r="E42" s="3" t="n">
        <v>37.2</v>
      </c>
      <c r="F42" s="3" t="n">
        <v>38.2</v>
      </c>
      <c r="G42" s="3" t="n">
        <v>38.2</v>
      </c>
      <c r="H42" s="3" t="n">
        <v>37.7</v>
      </c>
      <c r="I42" s="3" t="n">
        <v>37.7</v>
      </c>
      <c r="J42" s="3" t="n">
        <v>37.7</v>
      </c>
      <c r="K42" s="3" t="n">
        <v>37.7</v>
      </c>
      <c r="L42" s="3" t="n">
        <v>37.7</v>
      </c>
    </row>
    <row r="43" customFormat="false" ht="15" hidden="false" customHeight="false" outlineLevel="0" collapsed="false">
      <c r="A43" s="0" t="s">
        <v>109</v>
      </c>
      <c r="C43" s="3" t="n">
        <v>2.1</v>
      </c>
      <c r="D43" s="3" t="n">
        <v>2.1</v>
      </c>
      <c r="E43" s="3" t="n">
        <v>2.1</v>
      </c>
      <c r="F43" s="3" t="n">
        <v>2.1</v>
      </c>
      <c r="G43" s="3" t="n">
        <v>2.1</v>
      </c>
      <c r="H43" s="3" t="n">
        <v>2.1</v>
      </c>
      <c r="I43" s="3" t="n">
        <v>2.1</v>
      </c>
      <c r="J43" s="3" t="n">
        <v>2.1</v>
      </c>
      <c r="K43" s="3" t="n">
        <v>2.1</v>
      </c>
      <c r="L43" s="3" t="n">
        <v>2.1</v>
      </c>
    </row>
    <row r="44" customFormat="false" ht="15" hidden="false" customHeight="false" outlineLevel="0" collapsed="false">
      <c r="A44" s="0" t="s">
        <v>110</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111</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112</v>
      </c>
      <c r="C46" s="3" t="n">
        <v>10.87</v>
      </c>
      <c r="D46" s="3" t="n">
        <v>10.14</v>
      </c>
      <c r="E46" s="3" t="n">
        <v>9.41</v>
      </c>
      <c r="F46" s="3" t="n">
        <v>8.66</v>
      </c>
      <c r="G46" s="3" t="n">
        <v>7.91</v>
      </c>
      <c r="H46" s="3" t="n">
        <v>7.16</v>
      </c>
      <c r="I46" s="3" t="n">
        <v>6.39</v>
      </c>
      <c r="J46" s="3" t="n">
        <v>5.62</v>
      </c>
      <c r="K46" s="3" t="n">
        <v>4.84</v>
      </c>
      <c r="L46" s="3" t="n">
        <v>4.84</v>
      </c>
    </row>
    <row r="47" customFormat="false" ht="15" hidden="false" customHeight="false" outlineLevel="0" collapsed="false">
      <c r="A47" s="0" t="s">
        <v>113</v>
      </c>
      <c r="C47" s="3" t="n">
        <v>23.5</v>
      </c>
      <c r="D47" s="3" t="n">
        <v>23.5</v>
      </c>
      <c r="E47" s="3" t="n">
        <v>23.5</v>
      </c>
      <c r="F47" s="3" t="n">
        <v>23.5</v>
      </c>
      <c r="G47" s="3" t="n">
        <v>23.5</v>
      </c>
      <c r="H47" s="3" t="n">
        <v>23.5</v>
      </c>
      <c r="I47" s="3" t="n">
        <v>23.5</v>
      </c>
      <c r="J47" s="3" t="n">
        <v>23.5</v>
      </c>
      <c r="K47" s="3" t="n">
        <v>23.5</v>
      </c>
      <c r="L47" s="3" t="n">
        <v>23.5</v>
      </c>
    </row>
    <row r="48" customFormat="false" ht="15" hidden="false" customHeight="false" outlineLevel="0" collapsed="false">
      <c r="A48" s="0" t="s">
        <v>114</v>
      </c>
      <c r="B48" s="3" t="n">
        <v>11</v>
      </c>
    </row>
    <row r="49" customFormat="false" ht="15" hidden="false" customHeight="false" outlineLevel="0" collapsed="false">
      <c r="A49" s="0" t="s">
        <v>115</v>
      </c>
      <c r="B49" s="3" t="n">
        <v>3</v>
      </c>
    </row>
    <row r="50" customFormat="false" ht="15" hidden="false" customHeight="false" outlineLevel="0" collapsed="false">
      <c r="A50" s="0" t="s">
        <v>116</v>
      </c>
      <c r="B50" s="3" t="n">
        <v>13</v>
      </c>
    </row>
    <row r="51" customFormat="false" ht="15" hidden="false" customHeight="false" outlineLevel="0" collapsed="false">
      <c r="A51" s="0" t="s">
        <v>117</v>
      </c>
      <c r="B51" s="3" t="n">
        <v>0</v>
      </c>
    </row>
    <row r="52" customFormat="false" ht="15" hidden="false" customHeight="false" outlineLevel="0" collapsed="false">
      <c r="A52" s="0" t="s">
        <v>118</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121</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Assumptions!C13</f>
        <v>2</v>
      </c>
      <c r="D5" s="4" t="n">
        <f aca="false">Assumptions!D13</f>
        <v>-3</v>
      </c>
      <c r="E5" s="4" t="n">
        <f aca="false">Assumptions!E13</f>
        <v>1</v>
      </c>
      <c r="F5" s="4" t="n">
        <f aca="false">Assumptions!F13</f>
        <v>3</v>
      </c>
      <c r="G5" s="4" t="n">
        <f aca="false">Assumptions!G13</f>
        <v>3.5</v>
      </c>
      <c r="H5" s="4" t="n">
        <f aca="false">Assumptions!H13</f>
        <v>3.5</v>
      </c>
      <c r="I5" s="4" t="n">
        <f aca="false">Assumptions!I13</f>
        <v>3</v>
      </c>
      <c r="J5" s="4" t="n">
        <f aca="false">Assumptions!J13</f>
        <v>3</v>
      </c>
      <c r="K5" s="4" t="n">
        <f aca="false">Assumptions!K13</f>
        <v>2.5</v>
      </c>
      <c r="L5" s="4" t="n">
        <f aca="false">Assumptions!L13</f>
        <v>2</v>
      </c>
    </row>
    <row r="6" customFormat="false" ht="15" hidden="false" customHeight="false" outlineLevel="0" collapsed="false">
      <c r="A6" s="0" t="s">
        <v>38</v>
      </c>
      <c r="B6" s="3" t="n">
        <v>30745</v>
      </c>
      <c r="C6" s="0" t="n">
        <f aca="false">B6*(1+C5/100)</f>
        <v>31359.9</v>
      </c>
      <c r="D6" s="0" t="n">
        <f aca="false">C6*(1+D5/100)</f>
        <v>30419.103</v>
      </c>
      <c r="E6" s="0" t="n">
        <f aca="false">D6*(1+E5/100)</f>
        <v>30723.29403</v>
      </c>
      <c r="F6" s="0" t="n">
        <f aca="false">E6*(1+F5/100)</f>
        <v>31644.9928509</v>
      </c>
      <c r="G6" s="0" t="n">
        <f aca="false">F6*(1+G5/100)</f>
        <v>32752.5676006815</v>
      </c>
      <c r="H6" s="0" t="n">
        <f aca="false">G6*(1+H5/100)</f>
        <v>33898.9074667054</v>
      </c>
      <c r="I6" s="0" t="n">
        <f aca="false">H6*(1+I5/100)</f>
        <v>34915.8746907065</v>
      </c>
      <c r="J6" s="0" t="n">
        <f aca="false">I6*(1+J5/100)</f>
        <v>35963.3509314277</v>
      </c>
      <c r="K6" s="0" t="n">
        <f aca="false">J6*(1+K5/100)</f>
        <v>36862.4347047134</v>
      </c>
      <c r="L6" s="0" t="n">
        <f aca="false">K6*(1+L5/100)</f>
        <v>37599.6833988077</v>
      </c>
    </row>
    <row r="7" customFormat="false" ht="15" hidden="false" customHeight="false" outlineLevel="0" collapsed="false">
      <c r="A7" s="0" t="s">
        <v>108</v>
      </c>
      <c r="C7" s="4" t="n">
        <f aca="false">Assumptions!C14</f>
        <v>30.7</v>
      </c>
      <c r="D7" s="4" t="n">
        <f aca="false">Assumptions!D14</f>
        <v>23.7</v>
      </c>
      <c r="E7" s="4" t="n">
        <f aca="false">Assumptions!E14</f>
        <v>27.2</v>
      </c>
      <c r="F7" s="4" t="n">
        <f aca="false">Assumptions!F14</f>
        <v>29.7</v>
      </c>
      <c r="G7" s="4" t="n">
        <f aca="false">Assumptions!G14</f>
        <v>30.7</v>
      </c>
      <c r="H7" s="4" t="n">
        <f aca="false">Assumptions!H14</f>
        <v>30.7</v>
      </c>
      <c r="I7" s="4" t="n">
        <f aca="false">Assumptions!I14</f>
        <v>30.7</v>
      </c>
      <c r="J7" s="4" t="n">
        <f aca="false">Assumptions!J14</f>
        <v>30.7</v>
      </c>
      <c r="K7" s="4" t="n">
        <f aca="false">Assumptions!K14</f>
        <v>30.7</v>
      </c>
      <c r="L7" s="4" t="n">
        <f aca="false">Assumptions!L14</f>
        <v>30.7</v>
      </c>
    </row>
    <row r="8" customFormat="false" ht="15" hidden="false" customHeight="false" outlineLevel="0" collapsed="false">
      <c r="A8" s="0" t="s">
        <v>44</v>
      </c>
      <c r="C8" s="0" t="n">
        <f aca="false">C6*C7/100</f>
        <v>9627.4893</v>
      </c>
      <c r="D8" s="0" t="n">
        <f aca="false">D6*D7/100</f>
        <v>7209.327411</v>
      </c>
      <c r="E8" s="0" t="n">
        <f aca="false">E6*E7/100</f>
        <v>8356.73597616</v>
      </c>
      <c r="F8" s="0" t="n">
        <f aca="false">F6*F7/100</f>
        <v>9398.5628767173</v>
      </c>
      <c r="G8" s="0" t="n">
        <f aca="false">G6*G7/100</f>
        <v>10055.0382534092</v>
      </c>
      <c r="H8" s="0" t="n">
        <f aca="false">H6*H7/100</f>
        <v>10406.9645922785</v>
      </c>
      <c r="I8" s="0" t="n">
        <f aca="false">I6*I7/100</f>
        <v>10719.1735300469</v>
      </c>
      <c r="J8" s="0" t="n">
        <f aca="false">J6*J7/100</f>
        <v>11040.7487359483</v>
      </c>
      <c r="K8" s="0" t="n">
        <f aca="false">K6*K7/100</f>
        <v>11316.767454347</v>
      </c>
      <c r="L8" s="0" t="n">
        <f aca="false">L6*L7/100</f>
        <v>11543.102803434</v>
      </c>
    </row>
    <row r="9" customFormat="false" ht="15" hidden="false" customHeight="false" outlineLevel="0" collapsed="false">
      <c r="A9" s="0" t="s">
        <v>109</v>
      </c>
      <c r="C9" s="4" t="n">
        <f aca="false">Assumptions!C15</f>
        <v>2.1</v>
      </c>
      <c r="D9" s="4" t="n">
        <f aca="false">Assumptions!D15</f>
        <v>2.1</v>
      </c>
      <c r="E9" s="4" t="n">
        <f aca="false">Assumptions!E15</f>
        <v>2.1</v>
      </c>
      <c r="F9" s="4" t="n">
        <f aca="false">Assumptions!F15</f>
        <v>2.1</v>
      </c>
      <c r="G9" s="4" t="n">
        <f aca="false">Assumptions!G15</f>
        <v>2.1</v>
      </c>
      <c r="H9" s="4" t="n">
        <f aca="false">Assumptions!H15</f>
        <v>2.1</v>
      </c>
      <c r="I9" s="4" t="n">
        <f aca="false">Assumptions!I15</f>
        <v>2.1</v>
      </c>
      <c r="J9" s="4" t="n">
        <f aca="false">Assumptions!J15</f>
        <v>2.1</v>
      </c>
      <c r="K9" s="4" t="n">
        <f aca="false">Assumptions!K15</f>
        <v>2.1</v>
      </c>
      <c r="L9" s="4" t="n">
        <f aca="false">Assumptions!L15</f>
        <v>2.1</v>
      </c>
    </row>
    <row r="10" customFormat="false" ht="15" hidden="false" customHeight="false" outlineLevel="0" collapsed="false">
      <c r="A10" s="0" t="s">
        <v>124</v>
      </c>
      <c r="C10" s="0" t="n">
        <f aca="false">-C6*C9/100</f>
        <v>-658.5579</v>
      </c>
      <c r="D10" s="0" t="n">
        <f aca="false">-D6*D9/100</f>
        <v>-638.801163</v>
      </c>
      <c r="E10" s="0" t="n">
        <f aca="false">-E6*E9/100</f>
        <v>-645.18917463</v>
      </c>
      <c r="F10" s="0" t="n">
        <f aca="false">-F6*F9/100</f>
        <v>-664.5448498689</v>
      </c>
      <c r="G10" s="0" t="n">
        <f aca="false">-G6*G9/100</f>
        <v>-687.803919614312</v>
      </c>
      <c r="H10" s="0" t="n">
        <f aca="false">-H6*H9/100</f>
        <v>-711.877056800812</v>
      </c>
      <c r="I10" s="0" t="n">
        <f aca="false">-I6*I9/100</f>
        <v>-733.233368504837</v>
      </c>
      <c r="J10" s="0" t="n">
        <f aca="false">-J6*J9/100</f>
        <v>-755.230369559982</v>
      </c>
      <c r="K10" s="0" t="n">
        <f aca="false">-K6*K9/100</f>
        <v>-774.111128798981</v>
      </c>
      <c r="L10" s="0" t="n">
        <f aca="false">-L6*L9/100</f>
        <v>-789.593351374961</v>
      </c>
    </row>
    <row r="11" customFormat="false" ht="15" hidden="false" customHeight="false" outlineLevel="0" collapsed="false">
      <c r="A11" s="0" t="s">
        <v>125</v>
      </c>
      <c r="C11" s="0" t="n">
        <f aca="false">C8+C10+C24</f>
        <v>8968.9314</v>
      </c>
      <c r="D11" s="0" t="n">
        <f aca="false">D8+D10+D24</f>
        <v>6570.526248</v>
      </c>
      <c r="E11" s="0" t="n">
        <f aca="false">E8+E10+E24</f>
        <v>7711.54680153</v>
      </c>
      <c r="F11" s="0" t="n">
        <f aca="false">F8+F10+F24</f>
        <v>8734.0180268484</v>
      </c>
      <c r="G11" s="0" t="n">
        <f aca="false">G8+G10+G24</f>
        <v>9367.23433379491</v>
      </c>
      <c r="H11" s="0" t="n">
        <f aca="false">H8+H10+H24</f>
        <v>9695.08753547773</v>
      </c>
      <c r="I11" s="0" t="n">
        <f aca="false">I8+I10+I24</f>
        <v>9985.94016154207</v>
      </c>
      <c r="J11" s="0" t="n">
        <f aca="false">J8+J10+J24</f>
        <v>10285.5183663883</v>
      </c>
      <c r="K11" s="0" t="n">
        <f aca="false">K8+K10+K24</f>
        <v>10542.656325548</v>
      </c>
      <c r="L11" s="0" t="n">
        <f aca="false">L8+L10+L24</f>
        <v>10753.509452059</v>
      </c>
    </row>
    <row r="12" customFormat="false" ht="15" hidden="false" customHeight="false" outlineLevel="0" collapsed="false">
      <c r="A12" s="0" t="s">
        <v>126</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127</v>
      </c>
      <c r="C13" s="0" t="n">
        <f aca="false">C11+C12</f>
        <v>8968.9314</v>
      </c>
      <c r="D13" s="0" t="n">
        <f aca="false">D11+D12</f>
        <v>6570.526248</v>
      </c>
      <c r="E13" s="0" t="n">
        <f aca="false">E11+E12</f>
        <v>7711.54680153</v>
      </c>
      <c r="F13" s="0" t="n">
        <f aca="false">F11+F12</f>
        <v>8734.0180268484</v>
      </c>
      <c r="G13" s="0" t="n">
        <f aca="false">G11+G12</f>
        <v>9367.23433379491</v>
      </c>
      <c r="H13" s="0" t="n">
        <f aca="false">H11+H12</f>
        <v>9695.08753547773</v>
      </c>
      <c r="I13" s="0" t="n">
        <f aca="false">I11+I12</f>
        <v>9985.94016154207</v>
      </c>
      <c r="J13" s="0" t="n">
        <f aca="false">J11+J12</f>
        <v>10285.5183663883</v>
      </c>
      <c r="K13" s="0" t="n">
        <f aca="false">K11+K12</f>
        <v>10542.656325548</v>
      </c>
      <c r="L13" s="0" t="n">
        <f aca="false">L11+L12</f>
        <v>10753.509452059</v>
      </c>
    </row>
    <row r="14" customFormat="false" ht="15" hidden="false" customHeight="false" outlineLevel="0" collapsed="false">
      <c r="A14" s="0" t="s">
        <v>113</v>
      </c>
      <c r="C14" s="4" t="n">
        <f aca="false">Assumptions!C19</f>
        <v>24.5</v>
      </c>
      <c r="D14" s="4" t="n">
        <f aca="false">Assumptions!D19</f>
        <v>24.5</v>
      </c>
      <c r="E14" s="4" t="n">
        <f aca="false">Assumptions!E19</f>
        <v>24.5</v>
      </c>
      <c r="F14" s="4" t="n">
        <f aca="false">Assumptions!F19</f>
        <v>24.5</v>
      </c>
      <c r="G14" s="4" t="n">
        <f aca="false">Assumptions!G19</f>
        <v>24.5</v>
      </c>
      <c r="H14" s="4" t="n">
        <f aca="false">Assumptions!H19</f>
        <v>24.5</v>
      </c>
      <c r="I14" s="4" t="n">
        <f aca="false">Assumptions!I19</f>
        <v>24.5</v>
      </c>
      <c r="J14" s="4" t="n">
        <f aca="false">Assumptions!J19</f>
        <v>24.5</v>
      </c>
      <c r="K14" s="4" t="n">
        <f aca="false">Assumptions!K19</f>
        <v>24.5</v>
      </c>
      <c r="L14" s="4" t="n">
        <f aca="false">Assumptions!L19</f>
        <v>24.5</v>
      </c>
    </row>
    <row r="15" customFormat="false" ht="15" hidden="false" customHeight="false" outlineLevel="0" collapsed="false">
      <c r="A15" s="0" t="s">
        <v>128</v>
      </c>
      <c r="C15" s="0" t="n">
        <f aca="false">C13-MAX(0,C13)*C14/100</f>
        <v>6771.543207</v>
      </c>
      <c r="D15" s="0" t="n">
        <f aca="false">D13-MAX(0,D13)*D14/100</f>
        <v>4960.74731724</v>
      </c>
      <c r="E15" s="0" t="n">
        <f aca="false">E13-MAX(0,E13)*E14/100</f>
        <v>5822.21783515515</v>
      </c>
      <c r="F15" s="0" t="n">
        <f aca="false">F13-MAX(0,F13)*F14/100</f>
        <v>6594.18361027054</v>
      </c>
      <c r="G15" s="0" t="n">
        <f aca="false">G13-MAX(0,G13)*G14/100</f>
        <v>7072.26192201516</v>
      </c>
      <c r="H15" s="0" t="n">
        <f aca="false">H13-MAX(0,H13)*H14/100</f>
        <v>7319.79108928569</v>
      </c>
      <c r="I15" s="0" t="n">
        <f aca="false">I13-MAX(0,I13)*I14/100</f>
        <v>7539.38482196426</v>
      </c>
      <c r="J15" s="0" t="n">
        <f aca="false">J13-MAX(0,J13)*J14/100</f>
        <v>7765.56636662319</v>
      </c>
      <c r="K15" s="0" t="n">
        <f aca="false">K13-MAX(0,K13)*K14/100</f>
        <v>7959.70552578877</v>
      </c>
      <c r="L15" s="0" t="n">
        <f aca="false">L13-MAX(0,L13)*L14/100</f>
        <v>8118.89963630454</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-C6*Assumptions!C18/100</f>
        <v>-1022.33274</v>
      </c>
      <c r="D17" s="4" t="n">
        <f aca="false">-D6*Assumptions!D18/100</f>
        <v>-0</v>
      </c>
      <c r="E17" s="4" t="n">
        <f aca="false">-E6*Assumptions!E18/100</f>
        <v>-506.934351495</v>
      </c>
      <c r="F17" s="4" t="n">
        <f aca="false">-F6*Assumptions!F18/100</f>
        <v>-1531.61765398356</v>
      </c>
      <c r="G17" s="4" t="n">
        <f aca="false">-G6*Assumptions!G18/100</f>
        <v>-1840.6942991583</v>
      </c>
      <c r="H17" s="4" t="n">
        <f aca="false">-H6*Assumptions!H18/100</f>
        <v>-1905.11859962884</v>
      </c>
      <c r="I17" s="4" t="n">
        <f aca="false">-I6*Assumptions!I18/100</f>
        <v>-1689.9283350302</v>
      </c>
      <c r="J17" s="4" t="n">
        <f aca="false">-J6*Assumptions!J18/100</f>
        <v>-1740.6261850811</v>
      </c>
      <c r="K17" s="4" t="n">
        <f aca="false">-K6*Assumptions!K18/100</f>
        <v>-1492.92860554089</v>
      </c>
      <c r="L17" s="4" t="n">
        <f aca="false">-L6*Assumptions!L18/100</f>
        <v>-1225.74967880113</v>
      </c>
    </row>
    <row r="18" customFormat="false" ht="15" hidden="false" customHeight="false" outlineLevel="0" collapsed="false">
      <c r="A18" s="0" t="s">
        <v>131</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132</v>
      </c>
      <c r="C19" s="0" t="n">
        <f aca="false">C15+C16+C17+C18</f>
        <v>5749.210467</v>
      </c>
      <c r="D19" s="0" t="n">
        <f aca="false">D15+D16+D17+D18</f>
        <v>4960.74731724</v>
      </c>
      <c r="E19" s="0" t="n">
        <f aca="false">E15+E16+E17+E18</f>
        <v>5315.28348366015</v>
      </c>
      <c r="F19" s="0" t="n">
        <f aca="false">F15+F16+F17+F18</f>
        <v>5062.56595628698</v>
      </c>
      <c r="G19" s="0" t="n">
        <f aca="false">G15+G16+G17+G18</f>
        <v>5231.56762285686</v>
      </c>
      <c r="H19" s="0" t="n">
        <f aca="false">H15+H16+H17+H18</f>
        <v>5414.67248965685</v>
      </c>
      <c r="I19" s="0" t="n">
        <f aca="false">I15+I16+I17+I18</f>
        <v>5849.45648693406</v>
      </c>
      <c r="J19" s="0" t="n">
        <f aca="false">J15+J16+J17+J18</f>
        <v>6024.94018154208</v>
      </c>
      <c r="K19" s="0" t="n">
        <f aca="false">K15+K16+K17+K18</f>
        <v>6466.77692024787</v>
      </c>
      <c r="L19" s="0" t="n">
        <f aca="false">L15+L16+L17+L18</f>
        <v>6893.14995750341</v>
      </c>
    </row>
    <row r="20" customFormat="false" ht="15" hidden="false" customHeight="false" outlineLevel="0" collapsed="false">
      <c r="A20" s="0" t="s">
        <v>133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134</v>
      </c>
      <c r="C21" s="0" t="n">
        <f aca="false">C19*C20</f>
        <v>5179.46888918919</v>
      </c>
      <c r="D21" s="0" t="n">
        <f aca="false">D19*D20</f>
        <v>4026.25380832725</v>
      </c>
      <c r="E21" s="0" t="n">
        <f aca="false">E19*E20</f>
        <v>3886.48947242359</v>
      </c>
      <c r="F21" s="0" t="n">
        <f aca="false">F19*F20</f>
        <v>3334.86900405824</v>
      </c>
      <c r="G21" s="0" t="n">
        <f aca="false">G19*G20</f>
        <v>3104.68075361256</v>
      </c>
      <c r="H21" s="0" t="n">
        <f aca="false">H19*H20</f>
        <v>2894.90502701711</v>
      </c>
      <c r="I21" s="0" t="n">
        <f aca="false">I19*I20</f>
        <v>2817.43991607156</v>
      </c>
      <c r="J21" s="0" t="n">
        <f aca="false">J19*J20</f>
        <v>2614.38118338172</v>
      </c>
      <c r="K21" s="0" t="n">
        <f aca="false">K19*K20</f>
        <v>2528.02328949916</v>
      </c>
      <c r="L21" s="0" t="n">
        <f aca="false">L19*L20</f>
        <v>2427.66042489758</v>
      </c>
    </row>
    <row r="23" customFormat="false" ht="15" hidden="false" customHeight="false" outlineLevel="0" collapsed="false">
      <c r="A23" s="0" t="s">
        <v>110</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Assumptions!$B$20</f>
        <v>11</v>
      </c>
    </row>
    <row r="28" customFormat="false" ht="15" hidden="false" customHeight="false" outlineLevel="0" collapsed="false">
      <c r="A28" s="0" t="s">
        <v>115</v>
      </c>
      <c r="B28" s="4" t="n">
        <f aca="false">Assumptions!$B$21</f>
        <v>2</v>
      </c>
    </row>
    <row r="29" customFormat="false" ht="15" hidden="false" customHeight="false" outlineLevel="0" collapsed="false">
      <c r="A29" s="0" t="s">
        <v>116</v>
      </c>
      <c r="B29" s="4" t="n">
        <f aca="false">Assumptions!$B$22</f>
        <v>10</v>
      </c>
    </row>
    <row r="30" customFormat="false" ht="15" hidden="false" customHeight="false" outlineLevel="0" collapsed="false">
      <c r="A30" s="0" t="s">
        <v>137</v>
      </c>
      <c r="B30" s="0" t="n">
        <f aca="false">SUM(C21:L21)</f>
        <v>32814.171768478</v>
      </c>
    </row>
    <row r="31" customFormat="false" ht="15" hidden="false" customHeight="false" outlineLevel="0" collapsed="false">
      <c r="A31" s="0" t="s">
        <v>138</v>
      </c>
      <c r="B31" s="0" t="n">
        <f aca="false">L19</f>
        <v>6893.14995750341</v>
      </c>
    </row>
    <row r="32" customFormat="false" ht="15" hidden="false" customHeight="false" outlineLevel="0" collapsed="false">
      <c r="A32" s="0" t="s">
        <v>139</v>
      </c>
      <c r="B32" s="0" t="n">
        <f aca="false">IF(B27&gt;B28,B31*(1+B28/100)/((B27-B28)/100),B31*B29)</f>
        <v>78122.3661850387</v>
      </c>
    </row>
    <row r="33" customFormat="false" ht="15" hidden="false" customHeight="false" outlineLevel="0" collapsed="false">
      <c r="A33" s="0" t="s">
        <v>140</v>
      </c>
      <c r="B33" s="0" t="n">
        <f aca="false">B31*B29</f>
        <v>68931.4995750341</v>
      </c>
    </row>
    <row r="34" customFormat="false" ht="15" hidden="false" customHeight="false" outlineLevel="0" collapsed="false">
      <c r="A34" s="0" t="s">
        <v>141</v>
      </c>
      <c r="B34" s="0" t="n">
        <f aca="false">MAX(0,MIN(B32,B33))</f>
        <v>68931.4995750341</v>
      </c>
    </row>
    <row r="35" customFormat="false" ht="15" hidden="false" customHeight="false" outlineLevel="0" collapsed="false">
      <c r="A35" s="0" t="s">
        <v>142</v>
      </c>
      <c r="B35" s="0" t="n">
        <f aca="false">B34/(1+B27/100)^L4</f>
        <v>24276.6042489758</v>
      </c>
    </row>
    <row r="36" customFormat="false" ht="15" hidden="false" customHeight="false" outlineLevel="0" collapsed="false">
      <c r="A36" s="0" t="s">
        <v>143</v>
      </c>
      <c r="B36" s="0" t="n">
        <f aca="false">B30+B35</f>
        <v>57090.7760174537</v>
      </c>
    </row>
    <row r="37" customFormat="false" ht="15" hidden="false" customHeight="false" outlineLevel="0" collapsed="false">
      <c r="A37" s="0" t="s">
        <v>144</v>
      </c>
      <c r="B37" s="0" t="n">
        <f aca="false">B36+Assumptions!$B$5-Assumptions!$B$4</f>
        <v>55090.7760174537</v>
      </c>
    </row>
    <row r="38" customFormat="false" ht="15" hidden="false" customHeight="false" outlineLevel="0" collapsed="false">
      <c r="A38" s="0" t="s">
        <v>145</v>
      </c>
      <c r="B38" s="0" t="n">
        <f aca="false">B37/Assumptions!$B$3*Assumptions!$B$10</f>
        <v>21.1157651180004</v>
      </c>
    </row>
    <row r="39" customFormat="false" ht="15" hidden="false" customHeight="false" outlineLevel="0" collapsed="false">
      <c r="A39" s="0" t="s">
        <v>146</v>
      </c>
      <c r="B39" s="4" t="n">
        <f aca="false">B38/Assumptions!$B$2-1</f>
        <v>-0.109415220666369</v>
      </c>
    </row>
    <row r="41" customFormat="false" ht="15" hidden="false" customHeight="false" outlineLevel="0" collapsed="false">
      <c r="A41" s="0" t="s">
        <v>147</v>
      </c>
      <c r="B41" s="0" t="n">
        <f aca="false">SUMPRODUCT(-C10:L10/(1+$B$27/100)^C4:L4)</f>
        <v>4071.63472041291</v>
      </c>
    </row>
    <row r="42" customFormat="false" ht="15" hidden="false" customHeight="false" outlineLevel="0" collapsed="false">
      <c r="A42" s="0" t="s">
        <v>148</v>
      </c>
      <c r="B42" s="0" t="n">
        <f aca="false">IF(B27&gt;B28,-L10*(1+B28/100)/((B27-B28)/100),-L10*20)/(1+B27/100)^L4</f>
        <v>3151.60192617479</v>
      </c>
    </row>
    <row r="43" customFormat="false" ht="15" hidden="false" customHeight="false" outlineLevel="0" collapsed="false">
      <c r="A43" s="0" t="s">
        <v>149</v>
      </c>
      <c r="B43" s="0" t="n">
        <f aca="false">(B37+B41+B42)/Assumptions!$B$3*Assumptions!$B$10</f>
        <v>23.8843623215097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54084.7150511806</v>
      </c>
    </row>
    <row r="47" customFormat="false" ht="15" hidden="false" customHeight="false" outlineLevel="0" collapsed="false">
      <c r="A47" s="0" t="s">
        <v>151</v>
      </c>
      <c r="B47" s="0" t="n">
        <f aca="false">(SUMPRODUCT(C19:L19/(1+B45/100)^C4:L4)+B46/(1+B45/100)^L4+Assumptions!$B$5-Assumptions!$B$4)/Assumptions!$B$3*Assumptions!$B$10</f>
        <v>15.0101688331835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152</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Assumptions!C27</f>
        <v>5</v>
      </c>
      <c r="D5" s="4" t="n">
        <f aca="false">Assumptions!D27</f>
        <v>5</v>
      </c>
      <c r="E5" s="4" t="n">
        <f aca="false">Assumptions!E27</f>
        <v>4.5</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30745</v>
      </c>
      <c r="C6" s="0" t="n">
        <f aca="false">B6*(1+C5/100)</f>
        <v>32282.25</v>
      </c>
      <c r="D6" s="0" t="n">
        <f aca="false">C6*(1+D5/100)</f>
        <v>33896.3625</v>
      </c>
      <c r="E6" s="0" t="n">
        <f aca="false">D6*(1+E5/100)</f>
        <v>35421.6988125</v>
      </c>
      <c r="F6" s="0" t="n">
        <f aca="false">E6*(1+F5/100)</f>
        <v>36838.566765</v>
      </c>
      <c r="G6" s="0" t="n">
        <f aca="false">F6*(1+G5/100)</f>
        <v>38127.916601775</v>
      </c>
      <c r="H6" s="0" t="n">
        <f aca="false">G6*(1+H5/100)</f>
        <v>39462.3936828371</v>
      </c>
      <c r="I6" s="0" t="n">
        <f aca="false">H6*(1+I5/100)</f>
        <v>40646.2654933222</v>
      </c>
      <c r="J6" s="0" t="n">
        <f aca="false">I6*(1+J5/100)</f>
        <v>41865.6534581219</v>
      </c>
      <c r="K6" s="0" t="n">
        <f aca="false">J6*(1+K5/100)</f>
        <v>42912.294794575</v>
      </c>
      <c r="L6" s="0" t="n">
        <f aca="false">K6*(1+L5/100)</f>
        <v>43985.1021644393</v>
      </c>
    </row>
    <row r="7" customFormat="false" ht="15" hidden="false" customHeight="false" outlineLevel="0" collapsed="false">
      <c r="A7" s="0" t="s">
        <v>108</v>
      </c>
      <c r="C7" s="4" t="n">
        <f aca="false">Assumptions!C28</f>
        <v>33.2</v>
      </c>
      <c r="D7" s="4" t="n">
        <f aca="false">Assumptions!D28</f>
        <v>34.2</v>
      </c>
      <c r="E7" s="4" t="n">
        <f aca="false">Assumptions!E28</f>
        <v>35.2</v>
      </c>
      <c r="F7" s="4" t="n">
        <f aca="false">Assumptions!F28</f>
        <v>35.2</v>
      </c>
      <c r="G7" s="4" t="n">
        <f aca="false">Assumptions!G28</f>
        <v>34.7</v>
      </c>
      <c r="H7" s="4" t="n">
        <f aca="false">Assumptions!H28</f>
        <v>34.2</v>
      </c>
      <c r="I7" s="4" t="n">
        <f aca="false">Assumptions!I28</f>
        <v>34.2</v>
      </c>
      <c r="J7" s="4" t="n">
        <f aca="false">Assumptions!J28</f>
        <v>34.2</v>
      </c>
      <c r="K7" s="4" t="n">
        <f aca="false">Assumptions!K28</f>
        <v>34.2</v>
      </c>
      <c r="L7" s="4" t="n">
        <f aca="false">Assumptions!L28</f>
        <v>34.2</v>
      </c>
    </row>
    <row r="8" customFormat="false" ht="15" hidden="false" customHeight="false" outlineLevel="0" collapsed="false">
      <c r="A8" s="0" t="s">
        <v>44</v>
      </c>
      <c r="C8" s="0" t="n">
        <f aca="false">C6*C7/100</f>
        <v>10717.707</v>
      </c>
      <c r="D8" s="0" t="n">
        <f aca="false">D6*D7/100</f>
        <v>11592.555975</v>
      </c>
      <c r="E8" s="0" t="n">
        <f aca="false">E6*E7/100</f>
        <v>12468.437982</v>
      </c>
      <c r="F8" s="0" t="n">
        <f aca="false">F6*F7/100</f>
        <v>12967.17550128</v>
      </c>
      <c r="G8" s="0" t="n">
        <f aca="false">G6*G7/100</f>
        <v>13230.3870608159</v>
      </c>
      <c r="H8" s="0" t="n">
        <f aca="false">H6*H7/100</f>
        <v>13496.1386395303</v>
      </c>
      <c r="I8" s="0" t="n">
        <f aca="false">I6*I7/100</f>
        <v>13901.0227987162</v>
      </c>
      <c r="J8" s="0" t="n">
        <f aca="false">J6*J7/100</f>
        <v>14318.0534826777</v>
      </c>
      <c r="K8" s="0" t="n">
        <f aca="false">K6*K7/100</f>
        <v>14676.0048197446</v>
      </c>
      <c r="L8" s="0" t="n">
        <f aca="false">L6*L7/100</f>
        <v>15042.9049402382</v>
      </c>
    </row>
    <row r="9" customFormat="false" ht="15" hidden="false" customHeight="false" outlineLevel="0" collapsed="false">
      <c r="A9" s="0" t="s">
        <v>109</v>
      </c>
      <c r="C9" s="4" t="n">
        <f aca="false">Assumptions!C29</f>
        <v>2.1</v>
      </c>
      <c r="D9" s="4" t="n">
        <f aca="false">Assumptions!D29</f>
        <v>2.1</v>
      </c>
      <c r="E9" s="4" t="n">
        <f aca="false">Assumptions!E29</f>
        <v>2.1</v>
      </c>
      <c r="F9" s="4" t="n">
        <f aca="false">Assumptions!F29</f>
        <v>2.1</v>
      </c>
      <c r="G9" s="4" t="n">
        <f aca="false">Assumptions!G29</f>
        <v>2.1</v>
      </c>
      <c r="H9" s="4" t="n">
        <f aca="false">Assumptions!H29</f>
        <v>2.1</v>
      </c>
      <c r="I9" s="4" t="n">
        <f aca="false">Assumptions!I29</f>
        <v>2.1</v>
      </c>
      <c r="J9" s="4" t="n">
        <f aca="false">Assumptions!J29</f>
        <v>2.1</v>
      </c>
      <c r="K9" s="4" t="n">
        <f aca="false">Assumptions!K29</f>
        <v>2.1</v>
      </c>
      <c r="L9" s="4" t="n">
        <f aca="false">Assumptions!L29</f>
        <v>2.1</v>
      </c>
    </row>
    <row r="10" customFormat="false" ht="15" hidden="false" customHeight="false" outlineLevel="0" collapsed="false">
      <c r="A10" s="0" t="s">
        <v>124</v>
      </c>
      <c r="C10" s="0" t="n">
        <f aca="false">-C6*C9/100</f>
        <v>-677.92725</v>
      </c>
      <c r="D10" s="0" t="n">
        <f aca="false">-D6*D9/100</f>
        <v>-711.8236125</v>
      </c>
      <c r="E10" s="0" t="n">
        <f aca="false">-E6*E9/100</f>
        <v>-743.8556750625</v>
      </c>
      <c r="F10" s="0" t="n">
        <f aca="false">-F6*F9/100</f>
        <v>-773.609902065</v>
      </c>
      <c r="G10" s="0" t="n">
        <f aca="false">-G6*G9/100</f>
        <v>-800.686248637275</v>
      </c>
      <c r="H10" s="0" t="n">
        <f aca="false">-H6*H9/100</f>
        <v>-828.71026733958</v>
      </c>
      <c r="I10" s="0" t="n">
        <f aca="false">-I6*I9/100</f>
        <v>-853.571575359767</v>
      </c>
      <c r="J10" s="0" t="n">
        <f aca="false">-J6*J9/100</f>
        <v>-879.17872262056</v>
      </c>
      <c r="K10" s="0" t="n">
        <f aca="false">-K6*K9/100</f>
        <v>-901.158190686074</v>
      </c>
      <c r="L10" s="0" t="n">
        <f aca="false">-L6*L9/100</f>
        <v>-923.687145453226</v>
      </c>
    </row>
    <row r="11" customFormat="false" ht="15" hidden="false" customHeight="false" outlineLevel="0" collapsed="false">
      <c r="A11" s="0" t="s">
        <v>125</v>
      </c>
      <c r="C11" s="0" t="n">
        <f aca="false">C8+C10+C24</f>
        <v>10039.77975</v>
      </c>
      <c r="D11" s="0" t="n">
        <f aca="false">D8+D10+D24</f>
        <v>10880.7323625</v>
      </c>
      <c r="E11" s="0" t="n">
        <f aca="false">E8+E10+E24</f>
        <v>11724.5823069375</v>
      </c>
      <c r="F11" s="0" t="n">
        <f aca="false">F8+F10+F24</f>
        <v>12193.565599215</v>
      </c>
      <c r="G11" s="0" t="n">
        <f aca="false">G8+G10+G24</f>
        <v>12429.7008121787</v>
      </c>
      <c r="H11" s="0" t="n">
        <f aca="false">H8+H10+H24</f>
        <v>12667.4283721907</v>
      </c>
      <c r="I11" s="0" t="n">
        <f aca="false">I8+I10+I24</f>
        <v>13047.4512233564</v>
      </c>
      <c r="J11" s="0" t="n">
        <f aca="false">J8+J10+J24</f>
        <v>13438.8747600571</v>
      </c>
      <c r="K11" s="0" t="n">
        <f aca="false">K8+K10+K24</f>
        <v>13774.8466290586</v>
      </c>
      <c r="L11" s="0" t="n">
        <f aca="false">L8+L10+L24</f>
        <v>14119.217794785</v>
      </c>
    </row>
    <row r="12" customFormat="false" ht="15" hidden="false" customHeight="false" outlineLevel="0" collapsed="false">
      <c r="A12" s="0" t="s">
        <v>126</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127</v>
      </c>
      <c r="C13" s="0" t="n">
        <f aca="false">C11+C12</f>
        <v>10039.77975</v>
      </c>
      <c r="D13" s="0" t="n">
        <f aca="false">D11+D12</f>
        <v>10880.7323625</v>
      </c>
      <c r="E13" s="0" t="n">
        <f aca="false">E11+E12</f>
        <v>11724.5823069375</v>
      </c>
      <c r="F13" s="0" t="n">
        <f aca="false">F11+F12</f>
        <v>12193.565599215</v>
      </c>
      <c r="G13" s="0" t="n">
        <f aca="false">G11+G12</f>
        <v>12429.7008121787</v>
      </c>
      <c r="H13" s="0" t="n">
        <f aca="false">H11+H12</f>
        <v>12667.4283721907</v>
      </c>
      <c r="I13" s="0" t="n">
        <f aca="false">I11+I12</f>
        <v>13047.4512233564</v>
      </c>
      <c r="J13" s="0" t="n">
        <f aca="false">J11+J12</f>
        <v>13438.8747600571</v>
      </c>
      <c r="K13" s="0" t="n">
        <f aca="false">K11+K12</f>
        <v>13774.8466290586</v>
      </c>
      <c r="L13" s="0" t="n">
        <f aca="false">L11+L12</f>
        <v>14119.217794785</v>
      </c>
    </row>
    <row r="14" customFormat="false" ht="15" hidden="false" customHeight="false" outlineLevel="0" collapsed="false">
      <c r="A14" s="0" t="s">
        <v>113</v>
      </c>
      <c r="C14" s="4" t="n">
        <f aca="false">Assumptions!C33</f>
        <v>24</v>
      </c>
      <c r="D14" s="4" t="n">
        <f aca="false">Assumptions!D33</f>
        <v>24</v>
      </c>
      <c r="E14" s="4" t="n">
        <f aca="false">Assumptions!E33</f>
        <v>24</v>
      </c>
      <c r="F14" s="4" t="n">
        <f aca="false">Assumptions!F33</f>
        <v>24</v>
      </c>
      <c r="G14" s="4" t="n">
        <f aca="false">Assumptions!G33</f>
        <v>24</v>
      </c>
      <c r="H14" s="4" t="n">
        <f aca="false">Assumptions!H33</f>
        <v>24</v>
      </c>
      <c r="I14" s="4" t="n">
        <f aca="false">Assumptions!I33</f>
        <v>24</v>
      </c>
      <c r="J14" s="4" t="n">
        <f aca="false">Assumptions!J33</f>
        <v>24</v>
      </c>
      <c r="K14" s="4" t="n">
        <f aca="false">Assumptions!K33</f>
        <v>24</v>
      </c>
      <c r="L14" s="4" t="n">
        <f aca="false">Assumptions!L33</f>
        <v>24</v>
      </c>
    </row>
    <row r="15" customFormat="false" ht="15" hidden="false" customHeight="false" outlineLevel="0" collapsed="false">
      <c r="A15" s="0" t="s">
        <v>128</v>
      </c>
      <c r="C15" s="0" t="n">
        <f aca="false">C13-MAX(0,C13)*C14/100</f>
        <v>7630.23261</v>
      </c>
      <c r="D15" s="0" t="n">
        <f aca="false">D13-MAX(0,D13)*D14/100</f>
        <v>8269.3565955</v>
      </c>
      <c r="E15" s="0" t="n">
        <f aca="false">E13-MAX(0,E13)*E14/100</f>
        <v>8910.6825532725</v>
      </c>
      <c r="F15" s="0" t="n">
        <f aca="false">F13-MAX(0,F13)*F14/100</f>
        <v>9267.1098554034</v>
      </c>
      <c r="G15" s="0" t="n">
        <f aca="false">G13-MAX(0,G13)*G14/100</f>
        <v>9446.57261725578</v>
      </c>
      <c r="H15" s="0" t="n">
        <f aca="false">H13-MAX(0,H13)*H14/100</f>
        <v>9627.24556286495</v>
      </c>
      <c r="I15" s="0" t="n">
        <f aca="false">I13-MAX(0,I13)*I14/100</f>
        <v>9916.0629297509</v>
      </c>
      <c r="J15" s="0" t="n">
        <f aca="false">J13-MAX(0,J13)*J14/100</f>
        <v>10213.5448176434</v>
      </c>
      <c r="K15" s="0" t="n">
        <f aca="false">K13-MAX(0,K13)*K14/100</f>
        <v>10468.8834380845</v>
      </c>
      <c r="L15" s="0" t="n">
        <f aca="false">L13-MAX(0,L13)*L14/100</f>
        <v>10730.6055240366</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-C6*Assumptions!C32/100</f>
        <v>-2553.525975</v>
      </c>
      <c r="D17" s="4" t="n">
        <f aca="false">-D6*Assumptions!D32/100</f>
        <v>-2681.20227375</v>
      </c>
      <c r="E17" s="4" t="n">
        <f aca="false">-E6*Assumptions!E32/100</f>
        <v>-2536.193634975</v>
      </c>
      <c r="F17" s="4" t="n">
        <f aca="false">-F6*Assumptions!F32/100</f>
        <v>-2353.9844162835</v>
      </c>
      <c r="G17" s="4" t="n">
        <f aca="false">-G6*Assumptions!G32/100</f>
        <v>-2142.78891301976</v>
      </c>
      <c r="H17" s="4" t="n">
        <f aca="false">-H6*Assumptions!H32/100</f>
        <v>-2217.78652497545</v>
      </c>
      <c r="I17" s="4" t="n">
        <f aca="false">-I6*Assumptions!I32/100</f>
        <v>-1967.2792498768</v>
      </c>
      <c r="J17" s="4" t="n">
        <f aca="false">-J6*Assumptions!J32/100</f>
        <v>-2026.2976273731</v>
      </c>
      <c r="K17" s="4" t="n">
        <f aca="false">-K6*Assumptions!K32/100</f>
        <v>-1737.94793918029</v>
      </c>
      <c r="L17" s="4" t="n">
        <f aca="false">-L6*Assumptions!L32/100</f>
        <v>-1781.39663765979</v>
      </c>
    </row>
    <row r="18" customFormat="false" ht="15" hidden="false" customHeight="false" outlineLevel="0" collapsed="false">
      <c r="A18" s="0" t="s">
        <v>131</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132</v>
      </c>
      <c r="C19" s="0" t="n">
        <f aca="false">C15+C16+C17+C18</f>
        <v>5076.706635</v>
      </c>
      <c r="D19" s="0" t="n">
        <f aca="false">D15+D16+D17+D18</f>
        <v>5588.15432175</v>
      </c>
      <c r="E19" s="0" t="n">
        <f aca="false">E15+E16+E17+E18</f>
        <v>6374.4889182975</v>
      </c>
      <c r="F19" s="0" t="n">
        <f aca="false">F15+F16+F17+F18</f>
        <v>6913.1254391199</v>
      </c>
      <c r="G19" s="0" t="n">
        <f aca="false">G15+G16+G17+G18</f>
        <v>7303.78370423602</v>
      </c>
      <c r="H19" s="0" t="n">
        <f aca="false">H15+H16+H17+H18</f>
        <v>7409.4590378895</v>
      </c>
      <c r="I19" s="0" t="n">
        <f aca="false">I15+I16+I17+I18</f>
        <v>7948.7836798741</v>
      </c>
      <c r="J19" s="0" t="n">
        <f aca="false">J15+J16+J17+J18</f>
        <v>8187.24719027032</v>
      </c>
      <c r="K19" s="0" t="n">
        <f aca="false">K15+K16+K17+K18</f>
        <v>8730.93549890422</v>
      </c>
      <c r="L19" s="0" t="n">
        <f aca="false">L15+L16+L17+L18</f>
        <v>8949.20888637682</v>
      </c>
    </row>
    <row r="20" customFormat="false" ht="15" hidden="false" customHeight="false" outlineLevel="0" collapsed="false">
      <c r="A20" s="0" t="s">
        <v>133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134</v>
      </c>
      <c r="C21" s="0" t="n">
        <f aca="false">C19*C20</f>
        <v>4573.60958108108</v>
      </c>
      <c r="D21" s="0" t="n">
        <f aca="false">D19*D20</f>
        <v>4535.47140796202</v>
      </c>
      <c r="E21" s="0" t="n">
        <f aca="false">E19*E20</f>
        <v>4660.97135725755</v>
      </c>
      <c r="F21" s="0" t="n">
        <f aca="false">F19*F20</f>
        <v>4553.88985489804</v>
      </c>
      <c r="G21" s="0" t="n">
        <f aca="false">G19*G20</f>
        <v>4334.44013913133</v>
      </c>
      <c r="H21" s="0" t="n">
        <f aca="false">H19*H20</f>
        <v>3961.39937498289</v>
      </c>
      <c r="I21" s="0" t="n">
        <f aca="false">I19*I20</f>
        <v>3828.59851576291</v>
      </c>
      <c r="J21" s="0" t="n">
        <f aca="false">J19*J20</f>
        <v>3552.66348759982</v>
      </c>
      <c r="K21" s="0" t="n">
        <f aca="false">K19*K20</f>
        <v>3413.13896436353</v>
      </c>
      <c r="L21" s="0" t="n">
        <f aca="false">L19*L20</f>
        <v>3151.77246709245</v>
      </c>
    </row>
    <row r="23" customFormat="false" ht="15" hidden="false" customHeight="false" outlineLevel="0" collapsed="false">
      <c r="A23" s="0" t="s">
        <v>110</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Assumptions!$B$34</f>
        <v>11</v>
      </c>
    </row>
    <row r="28" customFormat="false" ht="15" hidden="false" customHeight="false" outlineLevel="0" collapsed="false">
      <c r="A28" s="0" t="s">
        <v>115</v>
      </c>
      <c r="B28" s="4" t="n">
        <f aca="false">Assumptions!$B$35</f>
        <v>2.5</v>
      </c>
    </row>
    <row r="29" customFormat="false" ht="15" hidden="false" customHeight="false" outlineLevel="0" collapsed="false">
      <c r="A29" s="0" t="s">
        <v>116</v>
      </c>
      <c r="B29" s="4" t="n">
        <f aca="false">Assumptions!$B$36</f>
        <v>12</v>
      </c>
    </row>
    <row r="30" customFormat="false" ht="15" hidden="false" customHeight="false" outlineLevel="0" collapsed="false">
      <c r="A30" s="0" t="s">
        <v>137</v>
      </c>
      <c r="B30" s="0" t="n">
        <f aca="false">SUM(C21:L21)</f>
        <v>40565.9551501316</v>
      </c>
    </row>
    <row r="31" customFormat="false" ht="15" hidden="false" customHeight="false" outlineLevel="0" collapsed="false">
      <c r="A31" s="0" t="s">
        <v>138</v>
      </c>
      <c r="B31" s="0" t="n">
        <f aca="false">L19</f>
        <v>8949.20888637682</v>
      </c>
    </row>
    <row r="32" customFormat="false" ht="15" hidden="false" customHeight="false" outlineLevel="0" collapsed="false">
      <c r="A32" s="0" t="s">
        <v>139</v>
      </c>
      <c r="B32" s="0" t="n">
        <f aca="false">IF(B27&gt;B28,B31*(1+B28/100)/((B27-B28)/100),B31*B29)</f>
        <v>107916.930688662</v>
      </c>
    </row>
    <row r="33" customFormat="false" ht="15" hidden="false" customHeight="false" outlineLevel="0" collapsed="false">
      <c r="A33" s="0" t="s">
        <v>140</v>
      </c>
      <c r="B33" s="0" t="n">
        <f aca="false">B31*B29</f>
        <v>107390.506636522</v>
      </c>
    </row>
    <row r="34" customFormat="false" ht="15" hidden="false" customHeight="false" outlineLevel="0" collapsed="false">
      <c r="A34" s="0" t="s">
        <v>141</v>
      </c>
      <c r="B34" s="0" t="n">
        <f aca="false">MAX(0,MIN(B32,B33))</f>
        <v>107390.506636522</v>
      </c>
    </row>
    <row r="35" customFormat="false" ht="15" hidden="false" customHeight="false" outlineLevel="0" collapsed="false">
      <c r="A35" s="0" t="s">
        <v>142</v>
      </c>
      <c r="B35" s="0" t="n">
        <f aca="false">B34/(1+B27/100)^L4</f>
        <v>37821.2696051094</v>
      </c>
    </row>
    <row r="36" customFormat="false" ht="15" hidden="false" customHeight="false" outlineLevel="0" collapsed="false">
      <c r="A36" s="0" t="s">
        <v>143</v>
      </c>
      <c r="B36" s="0" t="n">
        <f aca="false">B30+B35</f>
        <v>78387.224755241</v>
      </c>
    </row>
    <row r="37" customFormat="false" ht="15" hidden="false" customHeight="false" outlineLevel="0" collapsed="false">
      <c r="A37" s="0" t="s">
        <v>144</v>
      </c>
      <c r="B37" s="0" t="n">
        <f aca="false">B36+Assumptions!$B$5-Assumptions!$B$4</f>
        <v>76387.224755241</v>
      </c>
    </row>
    <row r="38" customFormat="false" ht="15" hidden="false" customHeight="false" outlineLevel="0" collapsed="false">
      <c r="A38" s="0" t="s">
        <v>145</v>
      </c>
      <c r="B38" s="0" t="n">
        <f aca="false">B37/Assumptions!$B$3*Assumptions!$B$10</f>
        <v>29.2784892962218</v>
      </c>
    </row>
    <row r="39" customFormat="false" ht="15" hidden="false" customHeight="false" outlineLevel="0" collapsed="false">
      <c r="A39" s="0" t="s">
        <v>146</v>
      </c>
      <c r="B39" s="4" t="n">
        <f aca="false">B38/Assumptions!$B$2-1</f>
        <v>0.234858257959588</v>
      </c>
    </row>
    <row r="41" customFormat="false" ht="15" hidden="false" customHeight="false" outlineLevel="0" collapsed="false">
      <c r="A41" s="0" t="s">
        <v>147</v>
      </c>
      <c r="B41" s="0" t="n">
        <f aca="false">SUMPRODUCT(-C10:L10/(1+$B$27/100)^C4:L4)</f>
        <v>4630.43182033181</v>
      </c>
    </row>
    <row r="42" customFormat="false" ht="15" hidden="false" customHeight="false" outlineLevel="0" collapsed="false">
      <c r="A42" s="0" t="s">
        <v>148</v>
      </c>
      <c r="B42" s="0" t="n">
        <f aca="false">IF(B27&gt;B28,-L10*(1+B28/100)/((B27-B28)/100),-L10*20)/(1+B27/100)^L4</f>
        <v>3922.83509139909</v>
      </c>
    </row>
    <row r="43" customFormat="false" ht="15" hidden="false" customHeight="false" outlineLevel="0" collapsed="false">
      <c r="A43" s="0" t="s">
        <v>149</v>
      </c>
      <c r="B43" s="0" t="n">
        <f aca="false">(B37+B41+B42)/Assumptions!$B$3*Assumptions!$B$10</f>
        <v>32.5568743210117</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73383.51286829</v>
      </c>
    </row>
    <row r="47" customFormat="false" ht="15" hidden="false" customHeight="false" outlineLevel="0" collapsed="false">
      <c r="A47" s="0" t="s">
        <v>151</v>
      </c>
      <c r="B47" s="0" t="n">
        <f aca="false">(SUMPRODUCT(C19:L19/(1+B45/100)^C4:L4)+B46/(1+B45/100)^L4+Assumptions!$B$5-Assumptions!$B$4)/Assumptions!$B$3*Assumptions!$B$10</f>
        <v>19.209144573624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122</v>
      </c>
      <c r="B3" s="0" t="s">
        <v>92</v>
      </c>
      <c r="C3" s="2" t="s">
        <v>97</v>
      </c>
      <c r="D3" s="2" t="s">
        <v>98</v>
      </c>
      <c r="E3" s="2" t="s">
        <v>99</v>
      </c>
      <c r="F3" s="2" t="s">
        <v>100</v>
      </c>
      <c r="G3" s="2" t="s">
        <v>101</v>
      </c>
      <c r="H3" s="2" t="s">
        <v>102</v>
      </c>
      <c r="I3" s="2" t="s">
        <v>103</v>
      </c>
      <c r="J3" s="2" t="s">
        <v>104</v>
      </c>
      <c r="K3" s="2" t="s">
        <v>105</v>
      </c>
      <c r="L3" s="2" t="s">
        <v>106</v>
      </c>
    </row>
    <row r="4" customFormat="false" ht="15" hidden="false" customHeight="false" outlineLevel="0" collapsed="false">
      <c r="A4" s="0" t="s">
        <v>123</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107</v>
      </c>
      <c r="C5" s="4" t="n">
        <f aca="false">Assumptions!C41</f>
        <v>7</v>
      </c>
      <c r="D5" s="4" t="n">
        <f aca="false">Assumptions!D41</f>
        <v>6.5</v>
      </c>
      <c r="E5" s="4" t="n">
        <f aca="false">Assumptions!E41</f>
        <v>6</v>
      </c>
      <c r="F5" s="4" t="n">
        <f aca="false">Assumptions!F41</f>
        <v>5.5</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30745</v>
      </c>
      <c r="C6" s="0" t="n">
        <f aca="false">B6*(1+C5/100)</f>
        <v>32897.15</v>
      </c>
      <c r="D6" s="0" t="n">
        <f aca="false">C6*(1+D5/100)</f>
        <v>35035.46475</v>
      </c>
      <c r="E6" s="0" t="n">
        <f aca="false">D6*(1+E5/100)</f>
        <v>37137.592635</v>
      </c>
      <c r="F6" s="0" t="n">
        <f aca="false">E6*(1+F5/100)</f>
        <v>39180.160229925</v>
      </c>
      <c r="G6" s="0" t="n">
        <f aca="false">F6*(1+G5/100)</f>
        <v>41139.1682414213</v>
      </c>
      <c r="H6" s="0" t="n">
        <f aca="false">G6*(1+H5/100)</f>
        <v>42990.4308122852</v>
      </c>
      <c r="I6" s="0" t="n">
        <f aca="false">H6*(1+I5/100)</f>
        <v>44710.0480447766</v>
      </c>
      <c r="J6" s="0" t="n">
        <f aca="false">I6*(1+J5/100)</f>
        <v>46274.8997263438</v>
      </c>
      <c r="K6" s="0" t="n">
        <f aca="false">J6*(1+K5/100)</f>
        <v>47663.1467181341</v>
      </c>
      <c r="L6" s="0" t="n">
        <f aca="false">K6*(1+L5/100)</f>
        <v>49093.0411196781</v>
      </c>
    </row>
    <row r="7" customFormat="false" ht="15" hidden="false" customHeight="false" outlineLevel="0" collapsed="false">
      <c r="A7" s="0" t="s">
        <v>108</v>
      </c>
      <c r="C7" s="4" t="n">
        <f aca="false">Assumptions!C42</f>
        <v>34.2</v>
      </c>
      <c r="D7" s="4" t="n">
        <f aca="false">Assumptions!D42</f>
        <v>35.7</v>
      </c>
      <c r="E7" s="4" t="n">
        <f aca="false">Assumptions!E42</f>
        <v>37.2</v>
      </c>
      <c r="F7" s="4" t="n">
        <f aca="false">Assumptions!F42</f>
        <v>38.2</v>
      </c>
      <c r="G7" s="4" t="n">
        <f aca="false">Assumptions!G42</f>
        <v>38.2</v>
      </c>
      <c r="H7" s="4" t="n">
        <f aca="false">Assumptions!H42</f>
        <v>37.7</v>
      </c>
      <c r="I7" s="4" t="n">
        <f aca="false">Assumptions!I42</f>
        <v>37.7</v>
      </c>
      <c r="J7" s="4" t="n">
        <f aca="false">Assumptions!J42</f>
        <v>37.7</v>
      </c>
      <c r="K7" s="4" t="n">
        <f aca="false">Assumptions!K42</f>
        <v>37.7</v>
      </c>
      <c r="L7" s="4" t="n">
        <f aca="false">Assumptions!L42</f>
        <v>37.7</v>
      </c>
    </row>
    <row r="8" customFormat="false" ht="15" hidden="false" customHeight="false" outlineLevel="0" collapsed="false">
      <c r="A8" s="0" t="s">
        <v>44</v>
      </c>
      <c r="C8" s="0" t="n">
        <f aca="false">C6*C7/100</f>
        <v>11250.8253</v>
      </c>
      <c r="D8" s="0" t="n">
        <f aca="false">D6*D7/100</f>
        <v>12507.66091575</v>
      </c>
      <c r="E8" s="0" t="n">
        <f aca="false">E6*E7/100</f>
        <v>13815.18446022</v>
      </c>
      <c r="F8" s="0" t="n">
        <f aca="false">F6*F7/100</f>
        <v>14966.8212078314</v>
      </c>
      <c r="G8" s="0" t="n">
        <f aca="false">G6*G7/100</f>
        <v>15715.1622682229</v>
      </c>
      <c r="H8" s="0" t="n">
        <f aca="false">H6*H7/100</f>
        <v>16207.3924162315</v>
      </c>
      <c r="I8" s="0" t="n">
        <f aca="false">I6*I7/100</f>
        <v>16855.6881128808</v>
      </c>
      <c r="J8" s="0" t="n">
        <f aca="false">J6*J7/100</f>
        <v>17445.6371968316</v>
      </c>
      <c r="K8" s="0" t="n">
        <f aca="false">K6*K7/100</f>
        <v>17969.0063127366</v>
      </c>
      <c r="L8" s="0" t="n">
        <f aca="false">L6*L7/100</f>
        <v>18508.0765021187</v>
      </c>
    </row>
    <row r="9" customFormat="false" ht="15" hidden="false" customHeight="false" outlineLevel="0" collapsed="false">
      <c r="A9" s="0" t="s">
        <v>109</v>
      </c>
      <c r="C9" s="4" t="n">
        <f aca="false">Assumptions!C43</f>
        <v>2.1</v>
      </c>
      <c r="D9" s="4" t="n">
        <f aca="false">Assumptions!D43</f>
        <v>2.1</v>
      </c>
      <c r="E9" s="4" t="n">
        <f aca="false">Assumptions!E43</f>
        <v>2.1</v>
      </c>
      <c r="F9" s="4" t="n">
        <f aca="false">Assumptions!F43</f>
        <v>2.1</v>
      </c>
      <c r="G9" s="4" t="n">
        <f aca="false">Assumptions!G43</f>
        <v>2.1</v>
      </c>
      <c r="H9" s="4" t="n">
        <f aca="false">Assumptions!H43</f>
        <v>2.1</v>
      </c>
      <c r="I9" s="4" t="n">
        <f aca="false">Assumptions!I43</f>
        <v>2.1</v>
      </c>
      <c r="J9" s="4" t="n">
        <f aca="false">Assumptions!J43</f>
        <v>2.1</v>
      </c>
      <c r="K9" s="4" t="n">
        <f aca="false">Assumptions!K43</f>
        <v>2.1</v>
      </c>
      <c r="L9" s="4" t="n">
        <f aca="false">Assumptions!L43</f>
        <v>2.1</v>
      </c>
    </row>
    <row r="10" customFormat="false" ht="15" hidden="false" customHeight="false" outlineLevel="0" collapsed="false">
      <c r="A10" s="0" t="s">
        <v>124</v>
      </c>
      <c r="C10" s="0" t="n">
        <f aca="false">-C6*C9/100</f>
        <v>-690.84015</v>
      </c>
      <c r="D10" s="0" t="n">
        <f aca="false">-D6*D9/100</f>
        <v>-735.74475975</v>
      </c>
      <c r="E10" s="0" t="n">
        <f aca="false">-E6*E9/100</f>
        <v>-779.889445335</v>
      </c>
      <c r="F10" s="0" t="n">
        <f aca="false">-F6*F9/100</f>
        <v>-822.783364828425</v>
      </c>
      <c r="G10" s="0" t="n">
        <f aca="false">-G6*G9/100</f>
        <v>-863.922533069846</v>
      </c>
      <c r="H10" s="0" t="n">
        <f aca="false">-H6*H9/100</f>
        <v>-902.799047057989</v>
      </c>
      <c r="I10" s="0" t="n">
        <f aca="false">-I6*I9/100</f>
        <v>-938.911008940309</v>
      </c>
      <c r="J10" s="0" t="n">
        <f aca="false">-J6*J9/100</f>
        <v>-971.77289425322</v>
      </c>
      <c r="K10" s="0" t="n">
        <f aca="false">-K6*K9/100</f>
        <v>-1000.92608108082</v>
      </c>
      <c r="L10" s="0" t="n">
        <f aca="false">-L6*L9/100</f>
        <v>-1030.95386351324</v>
      </c>
    </row>
    <row r="11" customFormat="false" ht="15" hidden="false" customHeight="false" outlineLevel="0" collapsed="false">
      <c r="A11" s="0" t="s">
        <v>125</v>
      </c>
      <c r="C11" s="0" t="n">
        <f aca="false">C8+C10+C24</f>
        <v>10559.98515</v>
      </c>
      <c r="D11" s="0" t="n">
        <f aca="false">D8+D10+D24</f>
        <v>11771.916156</v>
      </c>
      <c r="E11" s="0" t="n">
        <f aca="false">E8+E10+E24</f>
        <v>13035.295014885</v>
      </c>
      <c r="F11" s="0" t="n">
        <f aca="false">F8+F10+F24</f>
        <v>14144.0378430029</v>
      </c>
      <c r="G11" s="0" t="n">
        <f aca="false">G8+G10+G24</f>
        <v>14851.2397351531</v>
      </c>
      <c r="H11" s="0" t="n">
        <f aca="false">H8+H10+H24</f>
        <v>15304.5933691735</v>
      </c>
      <c r="I11" s="0" t="n">
        <f aca="false">I8+I10+I24</f>
        <v>15916.7771039405</v>
      </c>
      <c r="J11" s="0" t="n">
        <f aca="false">J8+J10+J24</f>
        <v>16473.8643025784</v>
      </c>
      <c r="K11" s="0" t="n">
        <f aca="false">K8+K10+K24</f>
        <v>16968.0802316557</v>
      </c>
      <c r="L11" s="0" t="n">
        <f aca="false">L8+L10+L24</f>
        <v>17477.1226386054</v>
      </c>
    </row>
    <row r="12" customFormat="false" ht="15" hidden="false" customHeight="false" outlineLevel="0" collapsed="false">
      <c r="A12" s="0" t="s">
        <v>126</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127</v>
      </c>
      <c r="C13" s="0" t="n">
        <f aca="false">C11+C12</f>
        <v>10559.98515</v>
      </c>
      <c r="D13" s="0" t="n">
        <f aca="false">D11+D12</f>
        <v>11771.916156</v>
      </c>
      <c r="E13" s="0" t="n">
        <f aca="false">E11+E12</f>
        <v>13035.295014885</v>
      </c>
      <c r="F13" s="0" t="n">
        <f aca="false">F11+F12</f>
        <v>14144.0378430029</v>
      </c>
      <c r="G13" s="0" t="n">
        <f aca="false">G11+G12</f>
        <v>14851.2397351531</v>
      </c>
      <c r="H13" s="0" t="n">
        <f aca="false">H11+H12</f>
        <v>15304.5933691735</v>
      </c>
      <c r="I13" s="0" t="n">
        <f aca="false">I11+I12</f>
        <v>15916.7771039405</v>
      </c>
      <c r="J13" s="0" t="n">
        <f aca="false">J11+J12</f>
        <v>16473.8643025784</v>
      </c>
      <c r="K13" s="0" t="n">
        <f aca="false">K11+K12</f>
        <v>16968.0802316557</v>
      </c>
      <c r="L13" s="0" t="n">
        <f aca="false">L11+L12</f>
        <v>17477.1226386054</v>
      </c>
    </row>
    <row r="14" customFormat="false" ht="15" hidden="false" customHeight="false" outlineLevel="0" collapsed="false">
      <c r="A14" s="0" t="s">
        <v>113</v>
      </c>
      <c r="C14" s="4" t="n">
        <f aca="false">Assumptions!C47</f>
        <v>23.5</v>
      </c>
      <c r="D14" s="4" t="n">
        <f aca="false">Assumptions!D47</f>
        <v>23.5</v>
      </c>
      <c r="E14" s="4" t="n">
        <f aca="false">Assumptions!E47</f>
        <v>23.5</v>
      </c>
      <c r="F14" s="4" t="n">
        <f aca="false">Assumptions!F47</f>
        <v>23.5</v>
      </c>
      <c r="G14" s="4" t="n">
        <f aca="false">Assumptions!G47</f>
        <v>23.5</v>
      </c>
      <c r="H14" s="4" t="n">
        <f aca="false">Assumptions!H47</f>
        <v>23.5</v>
      </c>
      <c r="I14" s="4" t="n">
        <f aca="false">Assumptions!I47</f>
        <v>23.5</v>
      </c>
      <c r="J14" s="4" t="n">
        <f aca="false">Assumptions!J47</f>
        <v>23.5</v>
      </c>
      <c r="K14" s="4" t="n">
        <f aca="false">Assumptions!K47</f>
        <v>23.5</v>
      </c>
      <c r="L14" s="4" t="n">
        <f aca="false">Assumptions!L47</f>
        <v>23.5</v>
      </c>
    </row>
    <row r="15" customFormat="false" ht="15" hidden="false" customHeight="false" outlineLevel="0" collapsed="false">
      <c r="A15" s="0" t="s">
        <v>128</v>
      </c>
      <c r="C15" s="0" t="n">
        <f aca="false">C13-MAX(0,C13)*C14/100</f>
        <v>8078.38863975</v>
      </c>
      <c r="D15" s="0" t="n">
        <f aca="false">D13-MAX(0,D13)*D14/100</f>
        <v>9005.51585934</v>
      </c>
      <c r="E15" s="0" t="n">
        <f aca="false">E13-MAX(0,E13)*E14/100</f>
        <v>9972.00068638703</v>
      </c>
      <c r="F15" s="0" t="n">
        <f aca="false">F13-MAX(0,F13)*F14/100</f>
        <v>10820.1889498972</v>
      </c>
      <c r="G15" s="0" t="n">
        <f aca="false">G13-MAX(0,G13)*G14/100</f>
        <v>11361.1983973921</v>
      </c>
      <c r="H15" s="0" t="n">
        <f aca="false">H13-MAX(0,H13)*H14/100</f>
        <v>11708.0139274178</v>
      </c>
      <c r="I15" s="0" t="n">
        <f aca="false">I13-MAX(0,I13)*I14/100</f>
        <v>12176.3344845145</v>
      </c>
      <c r="J15" s="0" t="n">
        <f aca="false">J13-MAX(0,J13)*J14/100</f>
        <v>12602.5061914725</v>
      </c>
      <c r="K15" s="0" t="n">
        <f aca="false">K13-MAX(0,K13)*K14/100</f>
        <v>12980.5813772166</v>
      </c>
      <c r="L15" s="0" t="n">
        <f aca="false">L13-MAX(0,L13)*L14/100</f>
        <v>13369.9988185331</v>
      </c>
    </row>
    <row r="16" customFormat="false" ht="15" hidden="false" customHeight="false" outlineLevel="0" collapsed="false">
      <c r="A16" s="0" t="s">
        <v>129</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130</v>
      </c>
      <c r="C17" s="4" t="n">
        <f aca="false">-C6*Assumptions!C46/100</f>
        <v>-3575.920205</v>
      </c>
      <c r="D17" s="4" t="n">
        <f aca="false">-D6*Assumptions!D46/100</f>
        <v>-3552.59612565</v>
      </c>
      <c r="E17" s="4" t="n">
        <f aca="false">-E6*Assumptions!E46/100</f>
        <v>-3494.6474669535</v>
      </c>
      <c r="F17" s="4" t="n">
        <f aca="false">-F6*Assumptions!F46/100</f>
        <v>-3393.00187591151</v>
      </c>
      <c r="G17" s="4" t="n">
        <f aca="false">-G6*Assumptions!G46/100</f>
        <v>-3254.10820789642</v>
      </c>
      <c r="H17" s="4" t="n">
        <f aca="false">-H6*Assumptions!H46/100</f>
        <v>-3078.11484615962</v>
      </c>
      <c r="I17" s="4" t="n">
        <f aca="false">-I6*Assumptions!I46/100</f>
        <v>-2856.97207006123</v>
      </c>
      <c r="J17" s="4" t="n">
        <f aca="false">-J6*Assumptions!J46/100</f>
        <v>-2600.64936462052</v>
      </c>
      <c r="K17" s="4" t="n">
        <f aca="false">-K6*Assumptions!K46/100</f>
        <v>-2306.89630115769</v>
      </c>
      <c r="L17" s="4" t="n">
        <f aca="false">-L6*Assumptions!L46/100</f>
        <v>-2376.10319019242</v>
      </c>
    </row>
    <row r="18" customFormat="false" ht="15" hidden="false" customHeight="false" outlineLevel="0" collapsed="false">
      <c r="A18" s="0" t="s">
        <v>131</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132</v>
      </c>
      <c r="C19" s="0" t="n">
        <f aca="false">C15+C16+C17+C18</f>
        <v>4502.46843475</v>
      </c>
      <c r="D19" s="0" t="n">
        <f aca="false">D15+D16+D17+D18</f>
        <v>5452.91973369</v>
      </c>
      <c r="E19" s="0" t="n">
        <f aca="false">E15+E16+E17+E18</f>
        <v>6477.35321943353</v>
      </c>
      <c r="F19" s="0" t="n">
        <f aca="false">F15+F16+F17+F18</f>
        <v>7427.18707398573</v>
      </c>
      <c r="G19" s="0" t="n">
        <f aca="false">G15+G16+G17+G18</f>
        <v>8107.09018949568</v>
      </c>
      <c r="H19" s="0" t="n">
        <f aca="false">H15+H16+H17+H18</f>
        <v>8629.89908125813</v>
      </c>
      <c r="I19" s="0" t="n">
        <f aca="false">I15+I16+I17+I18</f>
        <v>9319.36241445324</v>
      </c>
      <c r="J19" s="0" t="n">
        <f aca="false">J15+J16+J17+J18</f>
        <v>10001.8568268519</v>
      </c>
      <c r="K19" s="0" t="n">
        <f aca="false">K15+K16+K17+K18</f>
        <v>10673.685076059</v>
      </c>
      <c r="L19" s="0" t="n">
        <f aca="false">L15+L16+L17+L18</f>
        <v>10993.8956283407</v>
      </c>
    </row>
    <row r="20" customFormat="false" ht="15" hidden="false" customHeight="false" outlineLevel="0" collapsed="false">
      <c r="A20" s="0" t="s">
        <v>133</v>
      </c>
      <c r="C20" s="0" t="n">
        <f aca="false">1/(1+$B$27/100)^C4</f>
        <v>0.900900900900901</v>
      </c>
      <c r="D20" s="0" t="n">
        <f aca="false">1/(1+$B$27/100)^D4</f>
        <v>0.811622433244055</v>
      </c>
      <c r="E20" s="0" t="n">
        <f aca="false">1/(1+$B$27/100)^E4</f>
        <v>0.73119138130095</v>
      </c>
      <c r="F20" s="0" t="n">
        <f aca="false">1/(1+$B$27/100)^F4</f>
        <v>0.658730974145</v>
      </c>
      <c r="G20" s="0" t="n">
        <f aca="false">1/(1+$B$27/100)^G4</f>
        <v>0.593451328058559</v>
      </c>
      <c r="H20" s="0" t="n">
        <f aca="false">1/(1+$B$27/100)^H4</f>
        <v>0.534640836088791</v>
      </c>
      <c r="I20" s="0" t="n">
        <f aca="false">1/(1+$B$27/100)^I4</f>
        <v>0.481658410890803</v>
      </c>
      <c r="J20" s="0" t="n">
        <f aca="false">1/(1+$B$27/100)^J4</f>
        <v>0.433926496298021</v>
      </c>
      <c r="K20" s="0" t="n">
        <f aca="false">1/(1+$B$27/100)^K4</f>
        <v>0.390924771439658</v>
      </c>
      <c r="L20" s="0" t="n">
        <f aca="false">1/(1+$B$27/100)^L4</f>
        <v>0.352184478774467</v>
      </c>
    </row>
    <row r="21" customFormat="false" ht="15" hidden="false" customHeight="false" outlineLevel="0" collapsed="false">
      <c r="A21" s="0" t="s">
        <v>134</v>
      </c>
      <c r="C21" s="0" t="n">
        <f aca="false">C19*C20</f>
        <v>4056.27786914414</v>
      </c>
      <c r="D21" s="0" t="n">
        <f aca="false">D19*D20</f>
        <v>4425.711982542</v>
      </c>
      <c r="E21" s="0" t="n">
        <f aca="false">E19*E20</f>
        <v>4736.18484769176</v>
      </c>
      <c r="F21" s="0" t="n">
        <f aca="false">F19*F20</f>
        <v>4892.51817640378</v>
      </c>
      <c r="G21" s="0" t="n">
        <f aca="false">G19*G20</f>
        <v>4811.16343964672</v>
      </c>
      <c r="H21" s="0" t="n">
        <f aca="false">H19*H20</f>
        <v>4613.89646016574</v>
      </c>
      <c r="I21" s="0" t="n">
        <f aca="false">I19*I20</f>
        <v>4488.74929106103</v>
      </c>
      <c r="J21" s="0" t="n">
        <f aca="false">J19*J20</f>
        <v>4340.07068935031</v>
      </c>
      <c r="K21" s="0" t="n">
        <f aca="false">K19*K20</f>
        <v>4172.60789877724</v>
      </c>
      <c r="L21" s="0" t="n">
        <f aca="false">L19*L20</f>
        <v>3871.87940156807</v>
      </c>
    </row>
    <row r="23" customFormat="false" ht="15" hidden="false" customHeight="false" outlineLevel="0" collapsed="false">
      <c r="A23" s="0" t="s">
        <v>110</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135</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136</v>
      </c>
    </row>
    <row r="27" customFormat="false" ht="15" hidden="false" customHeight="false" outlineLevel="0" collapsed="false">
      <c r="A27" s="0" t="s">
        <v>114</v>
      </c>
      <c r="B27" s="4" t="n">
        <f aca="false">Assumptions!$B$48</f>
        <v>11</v>
      </c>
    </row>
    <row r="28" customFormat="false" ht="15" hidden="false" customHeight="false" outlineLevel="0" collapsed="false">
      <c r="A28" s="0" t="s">
        <v>115</v>
      </c>
      <c r="B28" s="4" t="n">
        <f aca="false">Assumptions!$B$49</f>
        <v>3</v>
      </c>
    </row>
    <row r="29" customFormat="false" ht="15" hidden="false" customHeight="false" outlineLevel="0" collapsed="false">
      <c r="A29" s="0" t="s">
        <v>116</v>
      </c>
      <c r="B29" s="4" t="n">
        <f aca="false">Assumptions!$B$50</f>
        <v>13</v>
      </c>
    </row>
    <row r="30" customFormat="false" ht="15" hidden="false" customHeight="false" outlineLevel="0" collapsed="false">
      <c r="A30" s="0" t="s">
        <v>137</v>
      </c>
      <c r="B30" s="0" t="n">
        <f aca="false">SUM(C21:L21)</f>
        <v>44409.0600563508</v>
      </c>
    </row>
    <row r="31" customFormat="false" ht="15" hidden="false" customHeight="false" outlineLevel="0" collapsed="false">
      <c r="A31" s="0" t="s">
        <v>138</v>
      </c>
      <c r="B31" s="0" t="n">
        <f aca="false">L19</f>
        <v>10993.8956283407</v>
      </c>
    </row>
    <row r="32" customFormat="false" ht="15" hidden="false" customHeight="false" outlineLevel="0" collapsed="false">
      <c r="A32" s="0" t="s">
        <v>139</v>
      </c>
      <c r="B32" s="0" t="n">
        <f aca="false">IF(B27&gt;B28,B31*(1+B28/100)/((B27-B28)/100),B31*B29)</f>
        <v>141546.406214887</v>
      </c>
    </row>
    <row r="33" customFormat="false" ht="15" hidden="false" customHeight="false" outlineLevel="0" collapsed="false">
      <c r="A33" s="0" t="s">
        <v>140</v>
      </c>
      <c r="B33" s="0" t="n">
        <f aca="false">B31*B29</f>
        <v>142920.643168429</v>
      </c>
    </row>
    <row r="34" customFormat="false" ht="15" hidden="false" customHeight="false" outlineLevel="0" collapsed="false">
      <c r="A34" s="0" t="s">
        <v>141</v>
      </c>
      <c r="B34" s="0" t="n">
        <f aca="false">MAX(0,MIN(B32,B33))</f>
        <v>141546.406214887</v>
      </c>
    </row>
    <row r="35" customFormat="false" ht="15" hidden="false" customHeight="false" outlineLevel="0" collapsed="false">
      <c r="A35" s="0" t="s">
        <v>142</v>
      </c>
      <c r="B35" s="0" t="n">
        <f aca="false">B34/(1+B27/100)^L4</f>
        <v>49850.4472951889</v>
      </c>
    </row>
    <row r="36" customFormat="false" ht="15" hidden="false" customHeight="false" outlineLevel="0" collapsed="false">
      <c r="A36" s="0" t="s">
        <v>143</v>
      </c>
      <c r="B36" s="0" t="n">
        <f aca="false">B30+B35</f>
        <v>94259.5073515397</v>
      </c>
    </row>
    <row r="37" customFormat="false" ht="15" hidden="false" customHeight="false" outlineLevel="0" collapsed="false">
      <c r="A37" s="0" t="s">
        <v>144</v>
      </c>
      <c r="B37" s="0" t="n">
        <f aca="false">B36+Assumptions!$B$5-Assumptions!$B$4</f>
        <v>92259.5073515397</v>
      </c>
    </row>
    <row r="38" customFormat="false" ht="15" hidden="false" customHeight="false" outlineLevel="0" collapsed="false">
      <c r="A38" s="0" t="s">
        <v>145</v>
      </c>
      <c r="B38" s="0" t="n">
        <f aca="false">B37/Assumptions!$B$3*Assumptions!$B$10</f>
        <v>35.3621827095037</v>
      </c>
    </row>
    <row r="39" customFormat="false" ht="15" hidden="false" customHeight="false" outlineLevel="0" collapsed="false">
      <c r="A39" s="0" t="s">
        <v>146</v>
      </c>
      <c r="B39" s="4" t="n">
        <f aca="false">B38/Assumptions!$B$2-1</f>
        <v>0.491445917735287</v>
      </c>
    </row>
    <row r="41" customFormat="false" ht="15" hidden="false" customHeight="false" outlineLevel="0" collapsed="false">
      <c r="A41" s="0" t="s">
        <v>147</v>
      </c>
      <c r="B41" s="0" t="n">
        <f aca="false">SUMPRODUCT(-C10:L10/(1+$B$27/100)^C4:L4)</f>
        <v>4955.42114608909</v>
      </c>
    </row>
    <row r="42" customFormat="false" ht="15" hidden="false" customHeight="false" outlineLevel="0" collapsed="false">
      <c r="A42" s="0" t="s">
        <v>148</v>
      </c>
      <c r="B42" s="0" t="n">
        <f aca="false">IF(B27&gt;B28,-L10*(1+B28/100)/((B27-B28)/100),-L10*20)/(1+B27/100)^L4</f>
        <v>4674.7315941724</v>
      </c>
    </row>
    <row r="43" customFormat="false" ht="15" hidden="false" customHeight="false" outlineLevel="0" collapsed="false">
      <c r="A43" s="0" t="s">
        <v>149</v>
      </c>
      <c r="B43" s="0" t="n">
        <f aca="false">(B37+B41+B42)/Assumptions!$B$3*Assumptions!$B$10</f>
        <v>39.0533277253118</v>
      </c>
    </row>
    <row r="45" customFormat="false" ht="15" hidden="false" customHeight="false" outlineLevel="0" collapsed="false">
      <c r="A45" s="0" t="s">
        <v>89</v>
      </c>
      <c r="B45" s="4" t="n">
        <f aca="false">Assumptions!$B$6</f>
        <v>15</v>
      </c>
    </row>
    <row r="46" customFormat="false" ht="15" hidden="false" customHeight="false" outlineLevel="0" collapsed="false">
      <c r="A46" s="0" t="s">
        <v>150</v>
      </c>
      <c r="B46" s="0" t="n">
        <f aca="false">MAX(0,MIN(IF(B45&gt;B28,B31*(1+B28/100)/((B45-B28)/100),B31*B29),B31*B29))</f>
        <v>94364.2708099245</v>
      </c>
    </row>
    <row r="47" customFormat="false" ht="15" hidden="false" customHeight="false" outlineLevel="0" collapsed="false">
      <c r="A47" s="0" t="s">
        <v>151</v>
      </c>
      <c r="B47" s="0" t="n">
        <f aca="false">(SUMPRODUCT(C19:L19/(1+B45/100)^C4:L4)+B46/(1+B45/100)^L4+Assumptions!$B$5-Assumptions!$B$4)/Assumptions!$B$3*Assumptions!$B$10</f>
        <v>22.2904969444222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154</v>
      </c>
    </row>
    <row r="3" customFormat="false" ht="15" hidden="false" customHeight="false" outlineLevel="0" collapsed="false">
      <c r="A3" s="2" t="s">
        <v>155</v>
      </c>
      <c r="B3" s="2" t="s">
        <v>156</v>
      </c>
      <c r="C3" s="2" t="s">
        <v>146</v>
      </c>
      <c r="D3" s="2" t="s">
        <v>157</v>
      </c>
      <c r="E3" s="2" t="s">
        <v>149</v>
      </c>
      <c r="F3" s="2" t="s">
        <v>158</v>
      </c>
    </row>
    <row r="4" customFormat="false" ht="15" hidden="false" customHeight="false" outlineLevel="0" collapsed="false">
      <c r="A4" s="0" t="s">
        <v>159</v>
      </c>
      <c r="B4" s="4" t="n">
        <f aca="false">DCF_Bear!$B$38</f>
        <v>21.1157651180004</v>
      </c>
      <c r="C4" s="0" t="n">
        <f aca="false">B4/Assumptions!$B$2-1</f>
        <v>-0.109415220666369</v>
      </c>
      <c r="D4" s="4" t="n">
        <f aca="false">Assumptions!$B$24</f>
        <v>0.25</v>
      </c>
      <c r="E4" s="4" t="n">
        <f aca="false">DCF_Bear!$B$43</f>
        <v>23.8843623215097</v>
      </c>
      <c r="F4" s="4" t="n">
        <f aca="false">DCF_Bear!$B$47</f>
        <v>15.0101688331835</v>
      </c>
    </row>
    <row r="5" customFormat="false" ht="15" hidden="false" customHeight="false" outlineLevel="0" collapsed="false">
      <c r="A5" s="0" t="s">
        <v>160</v>
      </c>
      <c r="B5" s="4" t="n">
        <f aca="false">DCF_Base!$B$38</f>
        <v>29.2784892962218</v>
      </c>
      <c r="C5" s="0" t="n">
        <f aca="false">B5/Assumptions!$B$2-1</f>
        <v>0.234858257959588</v>
      </c>
      <c r="D5" s="4" t="n">
        <f aca="false">Assumptions!$B$38</f>
        <v>0.5</v>
      </c>
      <c r="E5" s="4" t="n">
        <f aca="false">DCF_Base!$B$43</f>
        <v>32.5568743210117</v>
      </c>
      <c r="F5" s="4" t="n">
        <f aca="false">DCF_Base!$B$47</f>
        <v>19.209144573624</v>
      </c>
    </row>
    <row r="6" customFormat="false" ht="15" hidden="false" customHeight="false" outlineLevel="0" collapsed="false">
      <c r="A6" s="0" t="s">
        <v>161</v>
      </c>
      <c r="B6" s="4" t="n">
        <f aca="false">DCF_Bull!$B$38</f>
        <v>35.3621827095037</v>
      </c>
      <c r="C6" s="0" t="n">
        <f aca="false">B6/Assumptions!$B$2-1</f>
        <v>0.491445917735287</v>
      </c>
      <c r="D6" s="4" t="n">
        <f aca="false">Assumptions!$B$52</f>
        <v>0.25</v>
      </c>
      <c r="E6" s="4" t="n">
        <f aca="false">DCF_Bull!$B$43</f>
        <v>39.0533277253118</v>
      </c>
      <c r="F6" s="4" t="n">
        <f aca="false">DCF_Bull!$B$47</f>
        <v>22.2904969444222</v>
      </c>
    </row>
    <row r="8" customFormat="false" ht="15" hidden="false" customHeight="false" outlineLevel="0" collapsed="false">
      <c r="A8" s="0" t="s">
        <v>162</v>
      </c>
      <c r="B8" s="0" t="n">
        <f aca="false">SUMPRODUCT(B4:B6,D4:D6)</f>
        <v>28.7587316049869</v>
      </c>
    </row>
    <row r="9" customFormat="false" ht="15" hidden="false" customHeight="false" outlineLevel="0" collapsed="false">
      <c r="A9" s="0" t="s">
        <v>163</v>
      </c>
      <c r="B9" s="0" t="n">
        <f aca="false">SUMPRODUCT(E4:E6,D4:D6)</f>
        <v>32.0128596722112</v>
      </c>
    </row>
    <row r="10" customFormat="false" ht="15" hidden="false" customHeight="false" outlineLevel="0" collapsed="false">
      <c r="A10" s="0" t="s">
        <v>164</v>
      </c>
      <c r="B10" s="0" t="n">
        <f aca="false">1-Assumptions!$B$2/B8</f>
        <v>0.175554738447208</v>
      </c>
    </row>
    <row r="11" customFormat="false" ht="15" hidden="false" customHeight="false" outlineLevel="0" collapsed="false">
      <c r="A11" s="0" t="s">
        <v>165</v>
      </c>
      <c r="B11" s="0" t="n">
        <f aca="false">IF(ABS(B9-B8)&gt;0.01*ABS(B8),(Assumptions!$B$2-B8)/(B9-B8)*100,"n/a")</f>
        <v>-155.14852214447</v>
      </c>
    </row>
    <row r="12" customFormat="false" ht="15" hidden="false" customHeight="false" outlineLevel="0" collapsed="false">
      <c r="A12" s="0" t="s">
        <v>166</v>
      </c>
      <c r="B12" s="0" t="n">
        <f aca="false">SUMPRODUCT(F4:F6,D4:D6)</f>
        <v>18.9297387312134</v>
      </c>
    </row>
    <row r="14" customFormat="false" ht="15" hidden="false" customHeight="false" outlineLevel="0" collapsed="false">
      <c r="A14" s="2" t="s">
        <v>167</v>
      </c>
      <c r="C14" s="0" t="s">
        <v>168</v>
      </c>
    </row>
    <row r="15" customFormat="false" ht="15" hidden="false" customHeight="false" outlineLevel="0" collapsed="false">
      <c r="A15" s="0" t="s">
        <v>169</v>
      </c>
      <c r="B15" s="0" t="n">
        <f aca="false">(SUMPRODUCT(DCF_Base!$C$19:$L$19/(1+$C$15/100)^DCF_Base!$C$4:$L$4)+MAX(0,MIN(IF($C$15&gt;DCF_Base!$B$28,DCF_Base!$L$19*(1+DCF_Base!$B$28/100)/(($C$15-DCF_Base!$B$28)/100),DCF_Base!$L$19*DCF_Base!$B$29),DCF_Base!$L$19*DCF_Base!$B$29))/(1+$C$15/100)^DCF_Base!$L$4+Assumptions!$B$5-Assumptions!$B$4)/Assumptions!$B$3*Assumptions!$B$10</f>
        <v>33.7164954660232</v>
      </c>
      <c r="C15" s="3" t="n">
        <v>9</v>
      </c>
    </row>
    <row r="16" customFormat="false" ht="15" hidden="false" customHeight="false" outlineLevel="0" collapsed="false">
      <c r="A16" s="0" t="s">
        <v>170</v>
      </c>
      <c r="B16" s="0" t="n">
        <f aca="false">(SUMPRODUCT(DCF_Base!$C$19:$L$19/(1+$C$16/100)^DCF_Base!$C$4:$L$4)+MAX(0,MIN(IF($C$16&gt;DCF_Base!$B$28,DCF_Base!$L$19*(1+DCF_Base!$B$28/100)/(($C$16-DCF_Base!$B$28)/100),DCF_Base!$L$19*DCF_Base!$B$29),DCF_Base!$L$19*DCF_Base!$B$29))/(1+$C$16/100)^DCF_Base!$L$4+Assumptions!$B$5-Assumptions!$B$4)/Assumptions!$B$3*Assumptions!$B$10</f>
        <v>31.3980695239107</v>
      </c>
      <c r="C16" s="3" t="n">
        <v>10</v>
      </c>
    </row>
    <row r="17" customFormat="false" ht="15" hidden="false" customHeight="false" outlineLevel="0" collapsed="false">
      <c r="A17" s="0" t="s">
        <v>171</v>
      </c>
      <c r="B17" s="0" t="n">
        <f aca="false">(SUMPRODUCT(DCF_Base!$C$19:$L$19/(1+$C$17/100)^DCF_Base!$C$4:$L$4)+MAX(0,MIN(IF($C$17&gt;DCF_Base!$B$28,DCF_Base!$L$19*(1+DCF_Base!$B$28/100)/(($C$17-DCF_Base!$B$28)/100),DCF_Base!$L$19*DCF_Base!$B$29),DCF_Base!$L$19*DCF_Base!$B$29))/(1+$C$17/100)^DCF_Base!$L$4+Assumptions!$B$5-Assumptions!$B$4)/Assumptions!$B$3*Assumptions!$B$10</f>
        <v>29.2784892962218</v>
      </c>
      <c r="C17" s="3" t="n">
        <v>11</v>
      </c>
    </row>
    <row r="18" customFormat="false" ht="15" hidden="false" customHeight="false" outlineLevel="0" collapsed="false">
      <c r="A18" s="0" t="s">
        <v>172</v>
      </c>
      <c r="B18" s="0" t="n">
        <f aca="false">(SUMPRODUCT(DCF_Base!$C$19:$L$19/(1+$C$18/100)^DCF_Base!$C$4:$L$4)+MAX(0,MIN(IF($C$18&gt;DCF_Base!$B$28,DCF_Base!$L$19*(1+DCF_Base!$B$28/100)/(($C$18-DCF_Base!$B$28)/100),DCF_Base!$L$19*DCF_Base!$B$29),DCF_Base!$L$19*DCF_Base!$B$29))/(1+$C$18/100)^DCF_Base!$L$4+Assumptions!$B$5-Assumptions!$B$4)/Assumptions!$B$3*Assumptions!$B$10</f>
        <v>26.0014739308241</v>
      </c>
      <c r="C18" s="3" t="n">
        <v>12</v>
      </c>
    </row>
    <row r="19" customFormat="false" ht="15" hidden="false" customHeight="false" outlineLevel="0" collapsed="false">
      <c r="A19" s="0" t="s">
        <v>173</v>
      </c>
      <c r="B19" s="0" t="n">
        <f aca="false">(SUMPRODUCT(DCF_Base!$C$19:$L$19/(1+$C$19/100)^DCF_Base!$C$4:$L$4)+MAX(0,MIN(IF($C$19&gt;DCF_Base!$B$28,DCF_Base!$L$19*(1+DCF_Base!$B$28/100)/(($C$19-DCF_Base!$B$28)/100),DCF_Base!$L$19*DCF_Base!$B$29),DCF_Base!$L$19*DCF_Base!$B$29))/(1+$C$19/100)^DCF_Base!$L$4+Assumptions!$B$5-Assumptions!$B$4)/Assumptions!$B$3*Assumptions!$B$10</f>
        <v>19.209144573624</v>
      </c>
      <c r="C19" s="3" t="n">
        <v>15</v>
      </c>
    </row>
    <row r="21" customFormat="false" ht="15" hidden="false" customHeight="false" outlineLevel="0" collapsed="false">
      <c r="A21" s="2" t="s">
        <v>174</v>
      </c>
    </row>
    <row r="22" customFormat="false" ht="15" hidden="false" customHeight="false" outlineLevel="0" collapsed="false">
      <c r="B22" s="3" t="n">
        <v>1.5</v>
      </c>
      <c r="C22" s="3" t="n">
        <v>2</v>
      </c>
      <c r="D22" s="3" t="n">
        <v>2.5</v>
      </c>
      <c r="E22" s="3" t="n">
        <v>3</v>
      </c>
      <c r="F22" s="3" t="n">
        <v>3.5</v>
      </c>
    </row>
    <row r="23" customFormat="false" ht="15" hidden="false" customHeight="false" outlineLevel="0" collapsed="false">
      <c r="A23" s="3" t="n">
        <v>9</v>
      </c>
      <c r="B23" s="0" t="n">
        <f aca="false">(SUMPRODUCT(DCF_Base!$C$19:$L$19/(1+$A$23/100)^DCF_Base!$C$4:$L$4)+MAX(0,MIN(IF($A$23&gt;$B$22,DCF_Base!$L$19*(1+$B$22/100)/(($A$23-$B$22)/100),DCF_Base!$L$19*DCF_Base!$B$29),DCF_Base!$L$19*DCF_Base!$B$29))/(1+$A$23/100)^DCF_Base!$L$4+Assumptions!$B$5-Assumptions!$B$4)/Assumptions!$B$3*Assumptions!$B$10</f>
        <v>33.7164954660232</v>
      </c>
      <c r="C23" s="0" t="n">
        <f aca="false">(SUMPRODUCT(DCF_Base!$C$19:$L$19/(1+$A$23/100)^DCF_Base!$C$4:$L$4)+MAX(0,MIN(IF($A$23&gt;$C$22,DCF_Base!$L$19*(1+$C$22/100)/(($A$23-$C$22)/100),DCF_Base!$L$19*DCF_Base!$B$29),DCF_Base!$L$19*DCF_Base!$B$29))/(1+$A$23/100)^DCF_Base!$L$4+Assumptions!$B$5-Assumptions!$B$4)/Assumptions!$B$3*Assumptions!$B$10</f>
        <v>33.7164954660232</v>
      </c>
      <c r="D23" s="0" t="n">
        <f aca="false">(SUMPRODUCT(DCF_Base!$C$19:$L$19/(1+$A$23/100)^DCF_Base!$C$4:$L$4)+MAX(0,MIN(IF($A$23&gt;$D$22,DCF_Base!$L$19*(1+$D$22/100)/(($A$23-$D$22)/100),DCF_Base!$L$19*DCF_Base!$B$29),DCF_Base!$L$19*DCF_Base!$B$29))/(1+$A$23/100)^DCF_Base!$L$4+Assumptions!$B$5-Assumptions!$B$4)/Assumptions!$B$3*Assumptions!$B$10</f>
        <v>33.7164954660232</v>
      </c>
      <c r="E23" s="0" t="n">
        <f aca="false">(SUMPRODUCT(DCF_Base!$C$19:$L$19/(1+$A$23/100)^DCF_Base!$C$4:$L$4)+MAX(0,MIN(IF($A$23&gt;$E$22,DCF_Base!$L$19*(1+$E$22/100)/(($A$23-$E$22)/100),DCF_Base!$L$19*DCF_Base!$B$29),DCF_Base!$L$19*DCF_Base!$B$29))/(1+$A$23/100)^DCF_Base!$L$4+Assumptions!$B$5-Assumptions!$B$4)/Assumptions!$B$3*Assumptions!$B$10</f>
        <v>33.7164954660232</v>
      </c>
      <c r="F23" s="0" t="n">
        <f aca="false">(SUMPRODUCT(DCF_Base!$C$19:$L$19/(1+$A$23/100)^DCF_Base!$C$4:$L$4)+MAX(0,MIN(IF($A$23&gt;$F$22,DCF_Base!$L$19*(1+$F$22/100)/(($A$23-$F$22)/100),DCF_Base!$L$19*DCF_Base!$B$29),DCF_Base!$L$19*DCF_Base!$B$29))/(1+$A$23/100)^DCF_Base!$L$4+Assumptions!$B$5-Assumptions!$B$4)/Assumptions!$B$3*Assumptions!$B$10</f>
        <v>33.7164954660232</v>
      </c>
    </row>
    <row r="24" customFormat="false" ht="15" hidden="false" customHeight="false" outlineLevel="0" collapsed="false">
      <c r="A24" s="3" t="n">
        <v>10</v>
      </c>
      <c r="B24" s="0" t="n">
        <f aca="false">(SUMPRODUCT(DCF_Base!$C$19:$L$19/(1+$A$24/100)^DCF_Base!$C$4:$L$4)+MAX(0,MIN(IF($A$24&gt;$B$22,DCF_Base!$L$19*(1+$B$22/100)/(($A$24-$B$22)/100),DCF_Base!$L$19*DCF_Base!$B$29),DCF_Base!$L$19*DCF_Base!$B$29))/(1+$A$24/100)^DCF_Base!$L$4+Assumptions!$B$5-Assumptions!$B$4)/Assumptions!$B$3*Assumptions!$B$10</f>
        <v>31.320277189382</v>
      </c>
      <c r="C24" s="0" t="n">
        <f aca="false">(SUMPRODUCT(DCF_Base!$C$19:$L$19/(1+$A$24/100)^DCF_Base!$C$4:$L$4)+MAX(0,MIN(IF($A$24&gt;$C$22,DCF_Base!$L$19*(1+$C$22/100)/(($A$24-$C$22)/100),DCF_Base!$L$19*DCF_Base!$B$29),DCF_Base!$L$19*DCF_Base!$B$29))/(1+$A$24/100)^DCF_Base!$L$4+Assumptions!$B$5-Assumptions!$B$4)/Assumptions!$B$3*Assumptions!$B$10</f>
        <v>31.3980695239107</v>
      </c>
      <c r="D24" s="0" t="n">
        <f aca="false">(SUMPRODUCT(DCF_Base!$C$19:$L$19/(1+$A$24/100)^DCF_Base!$C$4:$L$4)+MAX(0,MIN(IF($A$24&gt;$D$22,DCF_Base!$L$19*(1+$D$22/100)/(($A$24-$D$22)/100),DCF_Base!$L$19*DCF_Base!$B$29),DCF_Base!$L$19*DCF_Base!$B$29))/(1+$A$24/100)^DCF_Base!$L$4+Assumptions!$B$5-Assumptions!$B$4)/Assumptions!$B$3*Assumptions!$B$10</f>
        <v>31.3980695239107</v>
      </c>
      <c r="E24" s="0" t="n">
        <f aca="false">(SUMPRODUCT(DCF_Base!$C$19:$L$19/(1+$A$24/100)^DCF_Base!$C$4:$L$4)+MAX(0,MIN(IF($A$24&gt;$E$22,DCF_Base!$L$19*(1+$E$22/100)/(($A$24-$E$22)/100),DCF_Base!$L$19*DCF_Base!$B$29),DCF_Base!$L$19*DCF_Base!$B$29))/(1+$A$24/100)^DCF_Base!$L$4+Assumptions!$B$5-Assumptions!$B$4)/Assumptions!$B$3*Assumptions!$B$10</f>
        <v>31.3980695239107</v>
      </c>
      <c r="F24" s="0" t="n">
        <f aca="false">(SUMPRODUCT(DCF_Base!$C$19:$L$19/(1+$A$24/100)^DCF_Base!$C$4:$L$4)+MAX(0,MIN(IF($A$24&gt;$F$22,DCF_Base!$L$19*(1+$F$22/100)/(($A$24-$F$22)/100),DCF_Base!$L$19*DCF_Base!$B$29),DCF_Base!$L$19*DCF_Base!$B$29))/(1+$A$24/100)^DCF_Base!$L$4+Assumptions!$B$5-Assumptions!$B$4)/Assumptions!$B$3*Assumptions!$B$10</f>
        <v>31.3980695239107</v>
      </c>
    </row>
    <row r="25" customFormat="false" ht="15" hidden="false" customHeight="false" outlineLevel="0" collapsed="false">
      <c r="A25" s="3" t="n">
        <v>11</v>
      </c>
      <c r="B25" s="0" t="n">
        <f aca="false">(SUMPRODUCT(DCF_Base!$C$19:$L$19/(1+$A$25/100)^DCF_Base!$C$4:$L$4)+MAX(0,MIN(IF($A$25&gt;$B$22,DCF_Base!$L$19*(1+$B$22/100)/(($A$25-$B$22)/100),DCF_Base!$L$19*DCF_Base!$B$29),DCF_Base!$L$19*DCF_Base!$B$29))/(1+$A$25/100)^DCF_Base!$L$4+Assumptions!$B$5-Assumptions!$B$4)/Assumptions!$B$3*Assumptions!$B$10</f>
        <v>27.6889575812006</v>
      </c>
      <c r="C25" s="0" t="n">
        <f aca="false">(SUMPRODUCT(DCF_Base!$C$19:$L$19/(1+$A$25/100)^DCF_Base!$C$4:$L$4)+MAX(0,MIN(IF($A$25&gt;$C$22,DCF_Base!$L$19*(1+$C$22/100)/(($A$25-$C$22)/100),DCF_Base!$L$19*DCF_Base!$B$29),DCF_Base!$L$19*DCF_Base!$B$29))/(1+$A$25/100)^DCF_Base!$L$4+Assumptions!$B$5-Assumptions!$B$4)/Assumptions!$B$3*Assumptions!$B$10</f>
        <v>28.4731265606111</v>
      </c>
      <c r="D25" s="0" t="n">
        <f aca="false">(SUMPRODUCT(DCF_Base!$C$19:$L$19/(1+$A$25/100)^DCF_Base!$C$4:$L$4)+MAX(0,MIN(IF($A$25&gt;$D$22,DCF_Base!$L$19*(1+$D$22/100)/(($A$25-$D$22)/100),DCF_Base!$L$19*DCF_Base!$B$29),DCF_Base!$L$19*DCF_Base!$B$29))/(1+$A$25/100)^DCF_Base!$L$4+Assumptions!$B$5-Assumptions!$B$4)/Assumptions!$B$3*Assumptions!$B$10</f>
        <v>29.2784892962218</v>
      </c>
      <c r="E25" s="0" t="n">
        <f aca="false">(SUMPRODUCT(DCF_Base!$C$19:$L$19/(1+$A$25/100)^DCF_Base!$C$4:$L$4)+MAX(0,MIN(IF($A$25&gt;$E$22,DCF_Base!$L$19*(1+$E$22/100)/(($A$25-$E$22)/100),DCF_Base!$L$19*DCF_Base!$B$29),DCF_Base!$L$19*DCF_Base!$B$29))/(1+$A$25/100)^DCF_Base!$L$4+Assumptions!$B$5-Assumptions!$B$4)/Assumptions!$B$3*Assumptions!$B$10</f>
        <v>29.2784892962218</v>
      </c>
      <c r="F25" s="0" t="n">
        <f aca="false">(SUMPRODUCT(DCF_Base!$C$19:$L$19/(1+$A$25/100)^DCF_Base!$C$4:$L$4)+MAX(0,MIN(IF($A$25&gt;$F$22,DCF_Base!$L$19*(1+$F$22/100)/(($A$25-$F$22)/100),DCF_Base!$L$19*DCF_Base!$B$29),DCF_Base!$L$19*DCF_Base!$B$29))/(1+$A$25/100)^DCF_Base!$L$4+Assumptions!$B$5-Assumptions!$B$4)/Assumptions!$B$3*Assumptions!$B$10</f>
        <v>29.2784892962218</v>
      </c>
    </row>
    <row r="26" customFormat="false" ht="15" hidden="false" customHeight="false" outlineLevel="0" collapsed="false">
      <c r="A26" s="3" t="n">
        <v>12</v>
      </c>
      <c r="B26" s="0" t="n">
        <f aca="false">(SUMPRODUCT(DCF_Base!$C$19:$L$19/(1+$A$26/100)^DCF_Base!$C$4:$L$4)+MAX(0,MIN(IF($A$26&gt;$B$22,DCF_Base!$L$19*(1+$B$22/100)/(($A$26-$B$22)/100),DCF_Base!$L$19*DCF_Base!$B$29),DCF_Base!$L$19*DCF_Base!$B$29))/(1+$A$26/100)^DCF_Base!$L$4+Assumptions!$B$5-Assumptions!$B$4)/Assumptions!$B$3*Assumptions!$B$10</f>
        <v>24.7614288629774</v>
      </c>
      <c r="C26" s="0" t="n">
        <f aca="false">(SUMPRODUCT(DCF_Base!$C$19:$L$19/(1+$A$26/100)^DCF_Base!$C$4:$L$4)+MAX(0,MIN(IF($A$26&gt;$C$22,DCF_Base!$L$19*(1+$C$22/100)/(($A$26-$C$22)/100),DCF_Base!$L$19*DCF_Base!$B$29),DCF_Base!$L$19*DCF_Base!$B$29))/(1+$A$26/100)^DCF_Base!$L$4+Assumptions!$B$5-Assumptions!$B$4)/Assumptions!$B$3*Assumptions!$B$10</f>
        <v>25.3504502702046</v>
      </c>
      <c r="D26" s="0" t="n">
        <f aca="false">(SUMPRODUCT(DCF_Base!$C$19:$L$19/(1+$A$26/100)^DCF_Base!$C$4:$L$4)+MAX(0,MIN(IF($A$26&gt;$D$22,DCF_Base!$L$19*(1+$D$22/100)/(($A$26-$D$22)/100),DCF_Base!$L$19*DCF_Base!$B$29),DCF_Base!$L$19*DCF_Base!$B$29))/(1+$A$26/100)^DCF_Base!$L$4+Assumptions!$B$5-Assumptions!$B$4)/Assumptions!$B$3*Assumptions!$B$10</f>
        <v>26.0014739308241</v>
      </c>
      <c r="E26" s="0" t="n">
        <f aca="false">(SUMPRODUCT(DCF_Base!$C$19:$L$19/(1+$A$26/100)^DCF_Base!$C$4:$L$4)+MAX(0,MIN(IF($A$26&gt;$E$22,DCF_Base!$L$19*(1+$E$22/100)/(($A$26-$E$22)/100),DCF_Base!$L$19*DCF_Base!$B$29),DCF_Base!$L$19*DCF_Base!$B$29))/(1+$A$26/100)^DCF_Base!$L$4+Assumptions!$B$5-Assumptions!$B$4)/Assumptions!$B$3*Assumptions!$B$10</f>
        <v>26.7248335537347</v>
      </c>
      <c r="F26" s="0" t="n">
        <f aca="false">(SUMPRODUCT(DCF_Base!$C$19:$L$19/(1+$A$26/100)^DCF_Base!$C$4:$L$4)+MAX(0,MIN(IF($A$26&gt;$F$22,DCF_Base!$L$19*(1+$F$22/100)/(($A$26-$F$22)/100),DCF_Base!$L$19*DCF_Base!$B$29),DCF_Base!$L$19*DCF_Base!$B$29))/(1+$A$26/100)^DCF_Base!$L$4+Assumptions!$B$5-Assumptions!$B$4)/Assumptions!$B$3*Assumptions!$B$10</f>
        <v>27.3383975195963</v>
      </c>
    </row>
    <row r="27" customFormat="false" ht="15" hidden="false" customHeight="false" outlineLevel="0" collapsed="false">
      <c r="A27" s="3" t="n">
        <v>13</v>
      </c>
      <c r="B27" s="0" t="n">
        <f aca="false">(SUMPRODUCT(DCF_Base!$C$19:$L$19/(1+$A$27/100)^DCF_Base!$C$4:$L$4)+MAX(0,MIN(IF($A$27&gt;$B$22,DCF_Base!$L$19*(1+$B$22/100)/(($A$27-$B$22)/100),DCF_Base!$L$19*DCF_Base!$B$29),DCF_Base!$L$19*DCF_Base!$B$29))/(1+$A$27/100)^DCF_Base!$L$4+Assumptions!$B$5-Assumptions!$B$4)/Assumptions!$B$3*Assumptions!$B$10</f>
        <v>22.3533253278623</v>
      </c>
      <c r="C27" s="0" t="n">
        <f aca="false">(SUMPRODUCT(DCF_Base!$C$19:$L$19/(1+$A$27/100)^DCF_Base!$C$4:$L$4)+MAX(0,MIN(IF($A$27&gt;$C$22,DCF_Base!$L$19*(1+$C$22/100)/(($A$27-$C$22)/100),DCF_Base!$L$19*DCF_Base!$B$29),DCF_Base!$L$19*DCF_Base!$B$29))/(1+$A$27/100)^DCF_Base!$L$4+Assumptions!$B$5-Assumptions!$B$4)/Assumptions!$B$3*Assumptions!$B$10</f>
        <v>22.8046468718276</v>
      </c>
      <c r="D27" s="0" t="n">
        <f aca="false">(SUMPRODUCT(DCF_Base!$C$19:$L$19/(1+$A$27/100)^DCF_Base!$C$4:$L$4)+MAX(0,MIN(IF($A$27&gt;$D$22,DCF_Base!$L$19*(1+$D$22/100)/(($A$27-$D$22)/100),DCF_Base!$L$19*DCF_Base!$B$29),DCF_Base!$L$19*DCF_Base!$B$29))/(1+$A$27/100)^DCF_Base!$L$4+Assumptions!$B$5-Assumptions!$B$4)/Assumptions!$B$3*Assumptions!$B$10</f>
        <v>23.2989514199801</v>
      </c>
      <c r="E27" s="0" t="n">
        <f aca="false">(SUMPRODUCT(DCF_Base!$C$19:$L$19/(1+$A$27/100)^DCF_Base!$C$4:$L$4)+MAX(0,MIN(IF($A$27&gt;$E$22,DCF_Base!$L$19*(1+$E$22/100)/(($A$27-$E$22)/100),DCF_Base!$L$19*DCF_Base!$B$29),DCF_Base!$L$19*DCF_Base!$B$29))/(1+$A$27/100)^DCF_Base!$L$4+Assumptions!$B$5-Assumptions!$B$4)/Assumptions!$B$3*Assumptions!$B$10</f>
        <v>23.8426864229478</v>
      </c>
      <c r="F27" s="0" t="n">
        <f aca="false">(SUMPRODUCT(DCF_Base!$C$19:$L$19/(1+$A$27/100)^DCF_Base!$C$4:$L$4)+MAX(0,MIN(IF($A$27&gt;$F$22,DCF_Base!$L$19*(1+$F$22/100)/(($A$27-$F$22)/100),DCF_Base!$L$19*DCF_Base!$B$29),DCF_Base!$L$19*DCF_Base!$B$29))/(1+$A$27/100)^DCF_Base!$L$4+Assumptions!$B$5-Assumptions!$B$4)/Assumptions!$B$3*Assumptions!$B$10</f>
        <v>24.4436566893859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2026-10-02T22:47:04Z</dcterms:created>
  <dc:creator>openpyxl</dc:creator>
  <dc:description/>
  <dc:language>en-NZ</dc:language>
  <cp:lastModifiedBy/>
  <dcterms:modified xsi:type="dcterms:W3CDTF">2026-10-02T22:47:04Z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