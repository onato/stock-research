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<sst xmlns="http://schemas.openxmlformats.org/spreadsheetml/2006/main" count="390" uniqueCount="175">
  <si>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</si>
  <si>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WMT</t>
  </si>
  <si>
    <t xml:space="preserve">Company</t>
  </si>
  <si>
    <t xml:space="preserve">Walmart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</si>
  <si>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</si>
  <si>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</si>
  <si>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</si>
  <si>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</si>
  <si>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2026-10-02T20:00:01Z regular close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</si>
  <si>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</si>
  <si>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</si>
  <si>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</si>
  <si>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</si>
  <si>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</si>
  <si>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</si>
  <si>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</si>
  <si>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</si>
  <si>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</si>
  <si>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</si>
  <si>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</si>
  <si>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</si>
  <si>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2026-10-02T21:54:17Z</t>
  </si>
  <si>
    <t xml:space="preserve">Drivers file</t>
  </si>
  <si>
    <t xml:space="preserve">WMT_Drivers.json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</si>
  <si>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</si>
  <si>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</si>
  <si>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</si>
  <si>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Strict owner-FCF basis: SBC expensed, share count flat, operating leases inside EBITDA, finance leases and borrowings as debt, NCI at fair value in the bridge. Walmart trades at ~37x FY2027 guided EPS; the market is capitalising the advertising/membership mix shift and a post-capex-peak FCF recovery at far richer multiples than a 20x terminal cap at an 8% WACC allows. The model says plainly how much of today's price rests on the bull case.
key_risks_to_valuation: Terminal value dominates: the 20x FCF cap binds in all scenarios; a higher exit multiple is the single biggest lever on value; Capex taper timing: every 0.5pp of sales of capex is ~$3.7B/yr of owner FCF; Operating-margin path depends on advertising/membership mix; tariff reinvestment can absorb it; NCI fair value is an estimate (Walmex market value, Flipkart/PhonePe at book); Cash tax ramp: if 100% bonus depreciation keeps cash taxes near 18-20%, value is understated modestly</t>
  </si>
  <si>
    <t xml:space="preserve">Data sources</t>
  </si>
  <si>
    <t xml:space="preserve">price: Yahoo Finance chart API at inputs.price_as_of (regular close); 52-week range 98.88-135.16
financials: WMT_Metrics.csv (SEC XBRL-derived) plus SEC companyfacts CIK 0000104169 for D&amp;A, finance/operating lease liabilities and payments, NCI, short-term borrowings and Q2 FY2027 balance sheet (2026-07-31)
qualitative: WMT_Analysis.json (2026-10-03): FY2027 guidance, advertising/membership growth, capex-peak commentary, tariff risk</t>
  </si>
  <si>
    <t xml:space="preserve">Scenario narrative: bear</t>
  </si>
  <si>
    <t xml:space="preserve">Tariffs on the ~third of U.S. merchandise that is imported, wage inflation and price competition from Amazon, Aldi and Temu force Walmart to reinvest every dollar of ad and membership profit into price; operating margin stays ~4.2% and sales growth slows to 2-3% as trade-down reverses. The automation program pays back slowly, so capex stays above 3% of sales. The business remains sound - this is a margin-stagnation case, not a solvency one.</t>
  </si>
  <si>
    <t xml:space="preserve">Scenario narrative: base</t>
  </si>
  <si>
    <t xml:space="preserve">Walmart delivers its FY2027 guide (sales +4-5%, operating income +7-8.5%) and then grows sales mid-single-digit, fading to 3%, as U.S. share gains from higher-income trade-down and 20%+ e-commerce growth continue. Operating margin creeps from 4.2% to 5.3% over ten years because advertising (Walmart Connect, Vizio) and membership income grow 15-25% at high incremental margins, partly reinvested in price. The automation capex wave peaks in FY2027 at ~3.9% of sales and fades to 2.8%, which is where most of the FCF growth comes from. Even on this path owner FCF is ~$12-13B in FY2027 against an ~$830B market cap.</t>
  </si>
  <si>
    <t xml:space="preserve">Scenario narrative: bull</t>
  </si>
  <si>
    <t xml:space="preserve">The flywheel thesis plays out: advertising and marketplace scale toward Amazon-like economics, automated fulfillment brings e-commerce to store-level profitability, Flipkart/Walmex compound internationally, and sales grow 5%+ for five years. Operating margin reaches ~6.5% by Y10 - the level Costco/Amazon-retail-ex-AWS comparisons suggest is the ceiling for a grocery-heavy mix - while capex falls back under 2.7% of sales as the network is built.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</si>
  <si>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</si>
  <si>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</si>
  <si>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</si>
  <si>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</si>
  <si>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</si>
  <si>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</si>
  <si>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</si>
  <si>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</si>
  <si>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</si>
  <si>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</si>
  <si>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</si>
  <si>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</si>
  <si>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</si>
  <si>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</si>
  <si>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</si>
  <si>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</si>
  <si>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</si>
  <si>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</si>
  <si>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</si>
  <si>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</si>
  <si>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</si>
  <si>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</si>
  <si>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</si>
  <si>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</si>
  <si>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</si>
  <si>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</si>
  <si>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</si>
  <si>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</si>
  <si>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</si>
  <si>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</si>
  <si>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</si>
  <si>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</si>
  <si>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</si>
  <si>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</si>
  <si>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</si>
  <si>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</si>
  <si>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</si>
  <si>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</si>
  <si>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</si>
  <si>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</si>
  <si>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</si>
  <si>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</si>
  <si>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</si>
  <si>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</si>
  <si>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</si>
  <si>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</si>
  <si>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</si>
  <si>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</si>
  <si>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</si>
  <si>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</si>
  <si>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</si>
  <si>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</si>
  <si>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</si>
  <si>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</si>
  <si>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</si>
  <si>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</si>
  <si>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</si>
  <si>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</si>
  <si>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</si>
  <si>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</si>
  <si>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</si>
  <si>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</si>
  <si>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</si>
  <si>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</si>
  <si>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</si>
  <si>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</si>
  <si>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</si>
  <si>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</si>
  <si>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</si>
  <si>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</si>
  <si>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</si>
  <si>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</si>
  <si>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</si>
  <si>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</si>
  <si>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</si>
  <si>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</si>
  <si>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</si>
  <si>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</si>
  <si>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</si>
  <si>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</si>
  <si>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</si>
  <si>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</si>
  <si>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</si>
  <si>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</si>
  <si>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WMT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</si>
  <si>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</si>
  <si>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</si>
  <si>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</si>
  <si>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</si>
  <si>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</si>
  <si>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</si>
  <si>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</si>
  <si>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</si>
  <si>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</si>
  <si>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</si>
  <si>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</si>
  <si>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</si>
  <si>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</si>
  <si>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</si>
  <si>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</si>
  <si>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</si>
  <si>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</si>
  <si>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</si>
  <si>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</si>
  <si>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</si>
  <si>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</si>
  <si>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</si>
  <si>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</si>
  <si>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</si>
  <si>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</si>
  <si>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</si>
  <si>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</si>
  <si>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</si>
  <si>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</si>
  <si>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</si>
  <si>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WMT owner-FCF component DCF: base case (millions, USD)</t>
  </si>
  <si>
    <t xml:space="preserve">WMT owner-FCF component DCF: bull case (millions, USD)</t>
  </si>
  <si>
    <t xml:space="preserve">WMT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</si>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</sst>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104.26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63733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377023</v>
      </c>
      <c r="C3" s="0" t="n">
        <v>284137</v>
      </c>
      <c r="F3" s="0" t="n">
        <v>21952</v>
      </c>
      <c r="G3" s="0" t="n">
        <v>5.82245645491124</v>
      </c>
      <c r="H3" s="0" t="n">
        <v>28269</v>
      </c>
      <c r="I3" s="0" t="n">
        <v>13137</v>
      </c>
      <c r="J3" s="0" t="n">
        <v>3.48440280831673</v>
      </c>
      <c r="K3" s="0" t="n">
        <v>3.13</v>
      </c>
      <c r="L3" s="0" t="n">
        <v>20642</v>
      </c>
      <c r="M3" s="0" t="n">
        <v>14937</v>
      </c>
      <c r="N3" s="0" t="n">
        <v>5705</v>
      </c>
      <c r="O3" s="0" t="n">
        <v>66250</v>
      </c>
      <c r="T3" s="0" t="n">
        <v>4072</v>
      </c>
      <c r="V3" s="0" t="n">
        <v>0.88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404254</v>
      </c>
      <c r="C4" s="0" t="n">
        <v>303941</v>
      </c>
      <c r="F4" s="0" t="n">
        <v>22767</v>
      </c>
      <c r="G4" s="0" t="n">
        <v>5.63185521973809</v>
      </c>
      <c r="H4" s="0" t="n">
        <v>29506</v>
      </c>
      <c r="I4" s="0" t="n">
        <v>13880</v>
      </c>
      <c r="J4" s="0" t="n">
        <v>3.43348488821385</v>
      </c>
      <c r="K4" s="0" t="n">
        <v>3.4</v>
      </c>
      <c r="L4" s="0" t="n">
        <v>23147</v>
      </c>
      <c r="M4" s="0" t="n">
        <v>11499</v>
      </c>
      <c r="N4" s="0" t="n">
        <v>11648</v>
      </c>
      <c r="O4" s="0" t="n">
        <v>66763</v>
      </c>
      <c r="P4" s="0" t="n">
        <v>163429</v>
      </c>
      <c r="R4" s="0" t="n">
        <v>37197</v>
      </c>
      <c r="S4" s="0" t="n">
        <v>7275</v>
      </c>
      <c r="T4" s="0" t="n">
        <v>3951</v>
      </c>
      <c r="V4" s="0" t="n">
        <v>0.95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408085</v>
      </c>
      <c r="C5" s="0" t="n">
        <v>304106</v>
      </c>
      <c r="F5" s="0" t="n">
        <v>24002</v>
      </c>
      <c r="G5" s="0" t="n">
        <v>5.88161780021319</v>
      </c>
      <c r="H5" s="0" t="n">
        <v>31159</v>
      </c>
      <c r="I5" s="0" t="n">
        <v>14883</v>
      </c>
      <c r="J5" s="0" t="n">
        <v>3.64703431883064</v>
      </c>
      <c r="K5" s="0" t="n">
        <v>3.72</v>
      </c>
      <c r="L5" s="0" t="n">
        <v>26249</v>
      </c>
      <c r="M5" s="0" t="n">
        <v>12184</v>
      </c>
      <c r="N5" s="0" t="n">
        <v>14065</v>
      </c>
      <c r="O5" s="0" t="n">
        <v>72648</v>
      </c>
      <c r="P5" s="0" t="n">
        <v>170407</v>
      </c>
      <c r="R5" s="0" t="n">
        <v>37281</v>
      </c>
      <c r="S5" s="0" t="n">
        <v>7907</v>
      </c>
      <c r="T5" s="0" t="n">
        <v>3877</v>
      </c>
      <c r="V5" s="0" t="n">
        <v>1.09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421849</v>
      </c>
      <c r="C6" s="0" t="n">
        <v>314946</v>
      </c>
      <c r="F6" s="0" t="n">
        <v>25542</v>
      </c>
      <c r="G6" s="0" t="n">
        <v>6.05477315342694</v>
      </c>
      <c r="H6" s="0" t="n">
        <v>33183</v>
      </c>
      <c r="I6" s="0" t="n">
        <v>16993</v>
      </c>
      <c r="J6" s="0" t="n">
        <v>4.02821862799248</v>
      </c>
      <c r="K6" s="0" t="n">
        <v>4.48</v>
      </c>
      <c r="L6" s="0" t="n">
        <v>23643</v>
      </c>
      <c r="M6" s="0" t="n">
        <v>12699</v>
      </c>
      <c r="N6" s="0" t="n">
        <v>10944</v>
      </c>
      <c r="O6" s="0" t="n">
        <v>71247</v>
      </c>
      <c r="P6" s="0" t="n">
        <v>180782</v>
      </c>
      <c r="R6" s="0" t="n">
        <v>45347</v>
      </c>
      <c r="S6" s="0" t="n">
        <v>7395</v>
      </c>
      <c r="T6" s="0" t="n">
        <v>3670</v>
      </c>
      <c r="U6" s="0" t="n">
        <v>371</v>
      </c>
      <c r="V6" s="0" t="n">
        <v>1.21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446509</v>
      </c>
      <c r="C7" s="0" t="n">
        <v>334993</v>
      </c>
      <c r="F7" s="0" t="n">
        <v>26491</v>
      </c>
      <c r="G7" s="0" t="n">
        <v>5.9329151260109</v>
      </c>
      <c r="H7" s="0" t="n">
        <v>34621</v>
      </c>
      <c r="I7" s="0" t="n">
        <v>16387</v>
      </c>
      <c r="J7" s="0" t="n">
        <v>3.67002680797028</v>
      </c>
      <c r="K7" s="0" t="n">
        <v>4.54</v>
      </c>
      <c r="L7" s="0" t="n">
        <v>24255</v>
      </c>
      <c r="M7" s="0" t="n">
        <v>13510</v>
      </c>
      <c r="N7" s="0" t="n">
        <v>10745</v>
      </c>
      <c r="O7" s="0" t="n">
        <v>75761</v>
      </c>
      <c r="P7" s="0" t="n">
        <v>193406</v>
      </c>
      <c r="R7" s="0" t="n">
        <v>46045</v>
      </c>
      <c r="S7" s="0" t="n">
        <v>6550</v>
      </c>
      <c r="T7" s="0" t="n">
        <v>3474</v>
      </c>
      <c r="U7" s="0" t="n">
        <v>355</v>
      </c>
      <c r="V7" s="0" t="n">
        <v>1.46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468651</v>
      </c>
      <c r="C8" s="0" t="n">
        <v>352297</v>
      </c>
      <c r="F8" s="0" t="n">
        <v>27725</v>
      </c>
      <c r="G8" s="0" t="n">
        <v>5.91591610814871</v>
      </c>
      <c r="H8" s="0" t="n">
        <v>36203</v>
      </c>
      <c r="I8" s="0" t="n">
        <v>17756</v>
      </c>
      <c r="J8" s="0" t="n">
        <v>3.78874685000139</v>
      </c>
      <c r="K8" s="0" t="n">
        <v>5.04</v>
      </c>
      <c r="L8" s="0" t="n">
        <v>25591</v>
      </c>
      <c r="M8" s="0" t="n">
        <v>12898</v>
      </c>
      <c r="N8" s="0" t="n">
        <v>12693</v>
      </c>
      <c r="O8" s="0" t="n">
        <v>81738</v>
      </c>
      <c r="P8" s="0" t="n">
        <v>203105</v>
      </c>
      <c r="R8" s="0" t="n">
        <v>43981</v>
      </c>
      <c r="S8" s="0" t="n">
        <v>7781</v>
      </c>
      <c r="T8" s="0" t="n">
        <v>3389</v>
      </c>
      <c r="U8" s="0" t="n">
        <v>378</v>
      </c>
      <c r="V8" s="0" t="n">
        <v>1.59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476294</v>
      </c>
      <c r="C9" s="0" t="n">
        <v>358069</v>
      </c>
      <c r="F9" s="0" t="n">
        <v>26872</v>
      </c>
      <c r="G9" s="0" t="n">
        <v>5.64189345236346</v>
      </c>
      <c r="H9" s="0" t="n">
        <v>35742</v>
      </c>
      <c r="I9" s="0" t="n">
        <v>16695</v>
      </c>
      <c r="J9" s="0" t="n">
        <v>3.50518797213486</v>
      </c>
      <c r="K9" s="0" t="n">
        <v>4.9</v>
      </c>
      <c r="L9" s="0" t="n">
        <v>23257</v>
      </c>
      <c r="M9" s="0" t="n">
        <v>13115</v>
      </c>
      <c r="N9" s="0" t="n">
        <v>10142</v>
      </c>
      <c r="O9" s="0" t="n">
        <v>81339</v>
      </c>
      <c r="P9" s="0" t="n">
        <v>204541</v>
      </c>
      <c r="R9" s="0" t="n">
        <v>45874</v>
      </c>
      <c r="S9" s="0" t="n">
        <v>7281</v>
      </c>
      <c r="T9" s="0" t="n">
        <v>3283</v>
      </c>
      <c r="U9" s="0" t="n">
        <v>388</v>
      </c>
      <c r="V9" s="0" t="n">
        <v>1.88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485651</v>
      </c>
      <c r="C10" s="0" t="n">
        <v>365086</v>
      </c>
      <c r="F10" s="0" t="n">
        <v>27147</v>
      </c>
      <c r="G10" s="0" t="n">
        <v>5.58981655551003</v>
      </c>
      <c r="H10" s="0" t="n">
        <v>36320</v>
      </c>
      <c r="I10" s="0" t="n">
        <v>17099</v>
      </c>
      <c r="J10" s="0" t="n">
        <v>3.52084109782539</v>
      </c>
      <c r="K10" s="0" t="n">
        <v>5.07</v>
      </c>
      <c r="L10" s="0" t="n">
        <v>28564</v>
      </c>
      <c r="M10" s="0" t="n">
        <v>12174</v>
      </c>
      <c r="N10" s="0" t="n">
        <v>16390</v>
      </c>
      <c r="O10" s="0" t="n">
        <v>85937</v>
      </c>
      <c r="P10" s="0" t="n">
        <v>203490</v>
      </c>
      <c r="R10" s="0" t="n">
        <v>45680</v>
      </c>
      <c r="S10" s="0" t="n">
        <v>9135</v>
      </c>
      <c r="T10" s="0" t="n">
        <v>3243</v>
      </c>
      <c r="U10" s="0" t="n">
        <v>462</v>
      </c>
      <c r="V10" s="0" t="n">
        <v>1.92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482130</v>
      </c>
      <c r="C11" s="0" t="n">
        <v>360984</v>
      </c>
      <c r="F11" s="0" t="n">
        <v>24105</v>
      </c>
      <c r="G11" s="0" t="n">
        <v>4.99968888059237</v>
      </c>
      <c r="H11" s="0" t="n">
        <v>33559</v>
      </c>
      <c r="I11" s="0" t="n">
        <v>15080</v>
      </c>
      <c r="J11" s="0" t="n">
        <v>3.12778711136001</v>
      </c>
      <c r="K11" s="0" t="n">
        <v>4.58</v>
      </c>
      <c r="L11" s="0" t="n">
        <v>27552</v>
      </c>
      <c r="M11" s="0" t="n">
        <v>11477</v>
      </c>
      <c r="N11" s="0" t="n">
        <v>16075</v>
      </c>
      <c r="O11" s="0" t="n">
        <v>83611</v>
      </c>
      <c r="P11" s="0" t="n">
        <v>199581</v>
      </c>
      <c r="R11" s="0" t="n">
        <v>40959</v>
      </c>
      <c r="S11" s="0" t="n">
        <v>8705</v>
      </c>
      <c r="T11" s="0" t="n">
        <v>3217</v>
      </c>
      <c r="U11" s="0" t="n">
        <v>448</v>
      </c>
      <c r="V11" s="0" t="n">
        <v>1.96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485873</v>
      </c>
      <c r="C12" s="0" t="n">
        <v>361256</v>
      </c>
      <c r="F12" s="0" t="n">
        <v>22764</v>
      </c>
      <c r="G12" s="0" t="n">
        <v>4.6851749325441</v>
      </c>
      <c r="H12" s="0" t="n">
        <v>32844</v>
      </c>
      <c r="I12" s="0" t="n">
        <v>14293</v>
      </c>
      <c r="J12" s="0" t="n">
        <v>2.94171522187897</v>
      </c>
      <c r="K12" s="0" t="n">
        <v>4.4</v>
      </c>
      <c r="L12" s="0" t="n">
        <v>31673</v>
      </c>
      <c r="M12" s="0" t="n">
        <v>10619</v>
      </c>
      <c r="N12" s="0" t="n">
        <v>21054</v>
      </c>
      <c r="O12" s="0" t="n">
        <v>80535</v>
      </c>
      <c r="P12" s="0" t="n">
        <v>198825</v>
      </c>
      <c r="R12" s="0" t="n">
        <v>38271</v>
      </c>
      <c r="S12" s="0" t="n">
        <v>6867</v>
      </c>
      <c r="T12" s="0" t="n">
        <v>3112</v>
      </c>
      <c r="U12" s="0" t="n">
        <v>596</v>
      </c>
      <c r="V12" s="0" t="n">
        <v>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500343</v>
      </c>
      <c r="C13" s="0" t="n">
        <v>373396</v>
      </c>
      <c r="F13" s="0" t="n">
        <v>20437</v>
      </c>
      <c r="G13" s="0" t="n">
        <v>4.08459796579546</v>
      </c>
      <c r="H13" s="0" t="n">
        <v>30966</v>
      </c>
      <c r="I13" s="0" t="n">
        <v>10523</v>
      </c>
      <c r="J13" s="0" t="n">
        <v>2.10315723413738</v>
      </c>
      <c r="K13" s="0" t="n">
        <v>3.29</v>
      </c>
      <c r="L13" s="0" t="n">
        <v>28337</v>
      </c>
      <c r="M13" s="0" t="n">
        <v>10051</v>
      </c>
      <c r="N13" s="0" t="n">
        <v>18286</v>
      </c>
      <c r="O13" s="0" t="n">
        <v>80822</v>
      </c>
      <c r="P13" s="0" t="n">
        <v>204522</v>
      </c>
      <c r="R13" s="0" t="n">
        <v>33783</v>
      </c>
      <c r="S13" s="0" t="n">
        <v>6756</v>
      </c>
      <c r="T13" s="0" t="n">
        <v>3010</v>
      </c>
      <c r="U13" s="0" t="n">
        <v>626</v>
      </c>
      <c r="V13" s="0" t="n">
        <v>2.04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514405</v>
      </c>
      <c r="C14" s="0" t="n">
        <v>385301</v>
      </c>
      <c r="F14" s="0" t="n">
        <v>21957</v>
      </c>
      <c r="G14" s="0" t="n">
        <v>4.26842662882359</v>
      </c>
      <c r="H14" s="0" t="n">
        <v>32635</v>
      </c>
      <c r="I14" s="0" t="n">
        <v>7179</v>
      </c>
      <c r="J14" s="0" t="n">
        <v>1.39559296663135</v>
      </c>
      <c r="K14" s="0" t="n">
        <v>2.28</v>
      </c>
      <c r="L14" s="0" t="n">
        <v>27753</v>
      </c>
      <c r="M14" s="0" t="n">
        <v>10344</v>
      </c>
      <c r="N14" s="0" t="n">
        <v>17409</v>
      </c>
      <c r="O14" s="0" t="n">
        <v>79634</v>
      </c>
      <c r="P14" s="0" t="n">
        <v>219295</v>
      </c>
      <c r="R14" s="0" t="n">
        <v>45396</v>
      </c>
      <c r="S14" s="0" t="n">
        <v>7722</v>
      </c>
      <c r="T14" s="0" t="n">
        <v>2945</v>
      </c>
      <c r="U14" s="0" t="n">
        <v>773</v>
      </c>
      <c r="V14" s="0" t="n">
        <v>2.08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523964</v>
      </c>
      <c r="C15" s="0" t="n">
        <v>394605</v>
      </c>
      <c r="F15" s="0" t="n">
        <v>20568</v>
      </c>
      <c r="G15" s="0" t="n">
        <v>3.92546052782252</v>
      </c>
      <c r="I15" s="0" t="n">
        <v>15201</v>
      </c>
      <c r="J15" s="0" t="n">
        <v>2.90115351436358</v>
      </c>
      <c r="K15" s="0" t="n">
        <v>5.22</v>
      </c>
      <c r="L15" s="0" t="n">
        <v>25255</v>
      </c>
      <c r="M15" s="0" t="n">
        <v>10705</v>
      </c>
      <c r="N15" s="0" t="n">
        <v>14550</v>
      </c>
      <c r="O15" s="0" t="n">
        <v>81552</v>
      </c>
      <c r="P15" s="0" t="n">
        <v>236495</v>
      </c>
      <c r="R15" s="0" t="n">
        <v>49076</v>
      </c>
      <c r="S15" s="0" t="n">
        <v>9465</v>
      </c>
      <c r="T15" s="0" t="n">
        <v>2868</v>
      </c>
      <c r="U15" s="0" t="n">
        <v>854</v>
      </c>
      <c r="V15" s="0" t="n">
        <v>2.12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559151</v>
      </c>
      <c r="C16" s="0" t="n">
        <v>420315</v>
      </c>
      <c r="F16" s="0" t="n">
        <v>22548</v>
      </c>
      <c r="G16" s="0" t="n">
        <v>4.03254219343254</v>
      </c>
      <c r="I16" s="0" t="n">
        <v>13706</v>
      </c>
      <c r="J16" s="0" t="n">
        <v>2.45121621887469</v>
      </c>
      <c r="K16" s="0" t="n">
        <v>4.77</v>
      </c>
      <c r="L16" s="0" t="n">
        <v>36074</v>
      </c>
      <c r="M16" s="0" t="n">
        <v>10264</v>
      </c>
      <c r="N16" s="0" t="n">
        <v>25810</v>
      </c>
      <c r="O16" s="0" t="n">
        <v>87531</v>
      </c>
      <c r="P16" s="0" t="n">
        <v>252496</v>
      </c>
      <c r="R16" s="0" t="n">
        <v>44309</v>
      </c>
      <c r="S16" s="0" t="n">
        <v>17741</v>
      </c>
      <c r="T16" s="0" t="n">
        <v>2847</v>
      </c>
      <c r="U16" s="0" t="n">
        <v>1169</v>
      </c>
      <c r="V16" s="0" t="n">
        <v>2.16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572754</v>
      </c>
      <c r="C17" s="0" t="n">
        <v>429000</v>
      </c>
      <c r="F17" s="0" t="n">
        <v>25942</v>
      </c>
      <c r="G17" s="0" t="n">
        <v>4.5293441861602</v>
      </c>
      <c r="I17" s="0" t="n">
        <v>13940</v>
      </c>
      <c r="J17" s="0" t="n">
        <v>2.43385467408346</v>
      </c>
      <c r="K17" s="0" t="n">
        <v>1.63</v>
      </c>
      <c r="L17" s="0" t="n">
        <v>24181</v>
      </c>
      <c r="M17" s="0" t="n">
        <v>13106</v>
      </c>
      <c r="N17" s="0" t="n">
        <v>11075</v>
      </c>
      <c r="O17" s="0" t="n">
        <v>91891</v>
      </c>
      <c r="P17" s="0" t="n">
        <v>244860</v>
      </c>
      <c r="R17" s="0" t="n">
        <v>37667</v>
      </c>
      <c r="S17" s="0" t="n">
        <v>14760</v>
      </c>
      <c r="T17" s="0" t="n">
        <v>8415</v>
      </c>
      <c r="U17" s="0" t="n">
        <v>1163</v>
      </c>
      <c r="V17" s="0" t="n">
        <v>0.7333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611289</v>
      </c>
      <c r="C18" s="0" t="n">
        <v>463721</v>
      </c>
      <c r="F18" s="0" t="n">
        <v>20428</v>
      </c>
      <c r="G18" s="0" t="n">
        <v>3.34179087142088</v>
      </c>
      <c r="I18" s="0" t="n">
        <v>11680</v>
      </c>
      <c r="J18" s="0" t="n">
        <v>1.91071653505952</v>
      </c>
      <c r="K18" s="0" t="n">
        <v>1.43</v>
      </c>
      <c r="L18" s="0" t="n">
        <v>28841</v>
      </c>
      <c r="M18" s="0" t="n">
        <v>16857</v>
      </c>
      <c r="N18" s="0" t="n">
        <v>11984</v>
      </c>
      <c r="O18" s="0" t="n">
        <v>83754</v>
      </c>
      <c r="P18" s="0" t="n">
        <v>243197</v>
      </c>
      <c r="R18" s="0" t="n">
        <v>38840</v>
      </c>
      <c r="S18" s="0" t="n">
        <v>8625</v>
      </c>
      <c r="T18" s="0" t="n">
        <v>8202</v>
      </c>
      <c r="U18" s="0" t="n">
        <v>1578</v>
      </c>
      <c r="V18" s="0" t="n">
        <v>0.7467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648125</v>
      </c>
      <c r="C19" s="0" t="n">
        <v>490142</v>
      </c>
      <c r="F19" s="0" t="n">
        <v>27012</v>
      </c>
      <c r="G19" s="0" t="n">
        <v>4.16771456123433</v>
      </c>
      <c r="I19" s="0" t="n">
        <v>16270</v>
      </c>
      <c r="J19" s="0" t="n">
        <v>2.51031822565092</v>
      </c>
      <c r="K19" s="0" t="n">
        <v>1.92</v>
      </c>
      <c r="L19" s="0" t="n">
        <v>35726</v>
      </c>
      <c r="M19" s="0" t="n">
        <v>20606</v>
      </c>
      <c r="N19" s="0" t="n">
        <v>15120</v>
      </c>
      <c r="O19" s="0" t="n">
        <v>90349</v>
      </c>
      <c r="P19" s="0" t="n">
        <v>252399</v>
      </c>
      <c r="R19" s="0" t="n">
        <v>39579</v>
      </c>
      <c r="S19" s="0" t="n">
        <v>9867</v>
      </c>
      <c r="T19" s="0" t="n">
        <v>8108</v>
      </c>
      <c r="U19" s="0" t="n">
        <v>2093</v>
      </c>
      <c r="V19" s="0" t="n">
        <v>0.76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680985</v>
      </c>
      <c r="C20" s="0" t="n">
        <v>511753</v>
      </c>
      <c r="F20" s="0" t="n">
        <v>29348</v>
      </c>
      <c r="G20" s="0" t="n">
        <v>4.3096397130627</v>
      </c>
      <c r="I20" s="0" t="n">
        <v>20157</v>
      </c>
      <c r="J20" s="0" t="n">
        <v>2.95997709200643</v>
      </c>
      <c r="K20" s="0" t="n">
        <v>2.42</v>
      </c>
      <c r="L20" s="0" t="n">
        <v>36443</v>
      </c>
      <c r="M20" s="0" t="n">
        <v>23783</v>
      </c>
      <c r="N20" s="0" t="n">
        <v>12660</v>
      </c>
      <c r="O20" s="0" t="n">
        <v>97421</v>
      </c>
      <c r="P20" s="0" t="n">
        <v>260823</v>
      </c>
      <c r="R20" s="0" t="n">
        <v>35999</v>
      </c>
      <c r="S20" s="0" t="n">
        <v>9037</v>
      </c>
      <c r="T20" s="0" t="n">
        <v>8081</v>
      </c>
      <c r="U20" s="0" t="n">
        <v>2769</v>
      </c>
      <c r="V20" s="0" t="n">
        <v>0.83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713163</v>
      </c>
      <c r="C21" s="0" t="n">
        <v>535395</v>
      </c>
      <c r="F21" s="0" t="n">
        <v>29825</v>
      </c>
      <c r="G21" s="0" t="n">
        <v>4.18207338294331</v>
      </c>
      <c r="I21" s="0" t="n">
        <v>22270</v>
      </c>
      <c r="J21" s="0" t="n">
        <v>3.12270827286329</v>
      </c>
      <c r="K21" s="0" t="n">
        <v>2.74</v>
      </c>
      <c r="L21" s="0" t="n">
        <v>41565</v>
      </c>
      <c r="M21" s="0" t="n">
        <v>26642</v>
      </c>
      <c r="N21" s="0" t="n">
        <v>14923</v>
      </c>
      <c r="O21" s="0" t="n">
        <v>105887</v>
      </c>
      <c r="P21" s="0" t="n">
        <v>284668</v>
      </c>
      <c r="R21" s="0" t="n">
        <v>38166</v>
      </c>
      <c r="S21" s="0" t="n">
        <v>10727</v>
      </c>
      <c r="T21" s="0" t="n">
        <v>8022</v>
      </c>
      <c r="U21" s="0" t="n">
        <v>3603</v>
      </c>
      <c r="V21" s="0" t="n">
        <v>0.94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104.26</v>
      </c>
    </row>
    <row r="3" customFormat="false" ht="15" hidden="false" customHeight="false" outlineLevel="0" collapsed="false">
      <c r="A3" s="0" t="s">
        <v>86</v>
      </c>
      <c r="B3" s="3" t="n">
        <v>7978</v>
      </c>
    </row>
    <row r="4" customFormat="false" ht="15" hidden="false" customHeight="false" outlineLevel="0" collapsed="false">
      <c r="A4" s="0" t="s">
        <v>87</v>
      </c>
      <c r="B4" s="3" t="n">
        <v>45714</v>
      </c>
    </row>
    <row r="5" customFormat="false" ht="15" hidden="false" customHeight="false" outlineLevel="0" collapsed="false">
      <c r="A5" s="0" t="s">
        <v>88</v>
      </c>
      <c r="B5" s="3" t="n">
        <v>-12200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713163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4</v>
      </c>
      <c r="D13" s="3" t="n">
        <v>3</v>
      </c>
      <c r="E13" s="3" t="n">
        <v>3</v>
      </c>
      <c r="F13" s="3" t="n">
        <v>2.5</v>
      </c>
      <c r="G13" s="3" t="n">
        <v>2.5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6.7</v>
      </c>
      <c r="D14" s="3" t="n">
        <v>6.75</v>
      </c>
      <c r="E14" s="3" t="n">
        <v>6.85</v>
      </c>
      <c r="F14" s="3" t="n">
        <v>6.95</v>
      </c>
      <c r="G14" s="3" t="n">
        <v>7</v>
      </c>
      <c r="H14" s="3" t="n">
        <v>7.05</v>
      </c>
      <c r="I14" s="3" t="n">
        <v>7.05</v>
      </c>
      <c r="J14" s="3" t="n">
        <v>7.05</v>
      </c>
      <c r="K14" s="3" t="n">
        <v>7.05</v>
      </c>
      <c r="L14" s="3" t="n">
        <v>7.05</v>
      </c>
    </row>
    <row r="15" customFormat="false" ht="15" hidden="false" customHeight="false" outlineLevel="0" collapsed="false">
      <c r="A15" s="0" t="s">
        <v>108</v>
      </c>
      <c r="C15" s="3" t="n">
        <v>0.5</v>
      </c>
      <c r="D15" s="3" t="n">
        <v>0.5</v>
      </c>
      <c r="E15" s="3" t="n">
        <v>0.49</v>
      </c>
      <c r="F15" s="3" t="n">
        <v>0.48</v>
      </c>
      <c r="G15" s="3" t="n">
        <v>0.47</v>
      </c>
      <c r="H15" s="3" t="n">
        <v>0.46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2.1</v>
      </c>
      <c r="D17" s="3" t="n">
        <v>2.2</v>
      </c>
      <c r="E17" s="3" t="n">
        <v>2.3</v>
      </c>
      <c r="F17" s="3" t="n">
        <v>2.35</v>
      </c>
      <c r="G17" s="3" t="n">
        <v>2.4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111</v>
      </c>
      <c r="C18" s="3" t="n">
        <v>3.9</v>
      </c>
      <c r="D18" s="3" t="n">
        <v>3.9</v>
      </c>
      <c r="E18" s="3" t="n">
        <v>3.8</v>
      </c>
      <c r="F18" s="3" t="n">
        <v>3.6</v>
      </c>
      <c r="G18" s="3" t="n">
        <v>3.4</v>
      </c>
      <c r="H18" s="3" t="n">
        <v>3.2</v>
      </c>
      <c r="I18" s="3" t="n">
        <v>3.1</v>
      </c>
      <c r="J18" s="3" t="n">
        <v>3</v>
      </c>
      <c r="K18" s="3" t="n">
        <v>3</v>
      </c>
      <c r="L18" s="3" t="n">
        <v>3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22</v>
      </c>
      <c r="E19" s="3" t="n">
        <v>22.5</v>
      </c>
      <c r="F19" s="3" t="n">
        <v>23</v>
      </c>
      <c r="G19" s="3" t="n">
        <v>23</v>
      </c>
      <c r="H19" s="3" t="n">
        <v>23.5</v>
      </c>
      <c r="I19" s="3" t="n">
        <v>23.5</v>
      </c>
      <c r="J19" s="3" t="n">
        <v>23.5</v>
      </c>
      <c r="K19" s="3" t="n">
        <v>23.5</v>
      </c>
      <c r="L19" s="3" t="n">
        <v>23.5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20</v>
      </c>
    </row>
    <row r="23" customFormat="false" ht="15" hidden="false" customHeight="false" outlineLevel="0" collapsed="false">
      <c r="A23" s="0" t="s">
        <v>116</v>
      </c>
      <c r="B23" s="3" t="n">
        <v>2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6.9</v>
      </c>
      <c r="D28" s="3" t="n">
        <v>7.15</v>
      </c>
      <c r="E28" s="3" t="n">
        <v>7.39</v>
      </c>
      <c r="F28" s="3" t="n">
        <v>7.63</v>
      </c>
      <c r="G28" s="3" t="n">
        <v>7.82</v>
      </c>
      <c r="H28" s="3" t="n">
        <v>7.96</v>
      </c>
      <c r="I28" s="3" t="n">
        <v>8.05</v>
      </c>
      <c r="J28" s="3" t="n">
        <v>8.15</v>
      </c>
      <c r="K28" s="3" t="n">
        <v>8.2</v>
      </c>
      <c r="L28" s="3" t="n">
        <v>8.25</v>
      </c>
    </row>
    <row r="29" customFormat="false" ht="15" hidden="false" customHeight="false" outlineLevel="0" collapsed="false">
      <c r="A29" s="0" t="s">
        <v>108</v>
      </c>
      <c r="C29" s="3" t="n">
        <v>0.5</v>
      </c>
      <c r="D29" s="3" t="n">
        <v>0.5</v>
      </c>
      <c r="E29" s="3" t="n">
        <v>0.49</v>
      </c>
      <c r="F29" s="3" t="n">
        <v>0.48</v>
      </c>
      <c r="G29" s="3" t="n">
        <v>0.47</v>
      </c>
      <c r="H29" s="3" t="n">
        <v>0.46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2.1</v>
      </c>
      <c r="D31" s="3" t="n">
        <v>2.2</v>
      </c>
      <c r="E31" s="3" t="n">
        <v>2.3</v>
      </c>
      <c r="F31" s="3" t="n">
        <v>2.4</v>
      </c>
      <c r="G31" s="3" t="n">
        <v>2.45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3.9</v>
      </c>
      <c r="D32" s="3" t="n">
        <v>3.8</v>
      </c>
      <c r="E32" s="3" t="n">
        <v>3.6</v>
      </c>
      <c r="F32" s="3" t="n">
        <v>3.4</v>
      </c>
      <c r="G32" s="3" t="n">
        <v>3.2</v>
      </c>
      <c r="H32" s="3" t="n">
        <v>3</v>
      </c>
      <c r="I32" s="3" t="n">
        <v>2.9</v>
      </c>
      <c r="J32" s="3" t="n">
        <v>2.8</v>
      </c>
      <c r="K32" s="3" t="n">
        <v>2.8</v>
      </c>
      <c r="L32" s="3" t="n">
        <v>2.8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22</v>
      </c>
      <c r="E33" s="3" t="n">
        <v>22.5</v>
      </c>
      <c r="F33" s="3" t="n">
        <v>23</v>
      </c>
      <c r="G33" s="3" t="n">
        <v>23</v>
      </c>
      <c r="H33" s="3" t="n">
        <v>23.5</v>
      </c>
      <c r="I33" s="3" t="n">
        <v>23.5</v>
      </c>
      <c r="J33" s="3" t="n">
        <v>23.5</v>
      </c>
      <c r="K33" s="3" t="n">
        <v>23.5</v>
      </c>
      <c r="L33" s="3" t="n">
        <v>23.5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2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5.5</v>
      </c>
      <c r="D41" s="3" t="n">
        <v>5.5</v>
      </c>
      <c r="E41" s="3" t="n">
        <v>5</v>
      </c>
      <c r="F41" s="3" t="n">
        <v>5</v>
      </c>
      <c r="G41" s="3" t="n">
        <v>4.5</v>
      </c>
      <c r="H41" s="3" t="n">
        <v>4.5</v>
      </c>
      <c r="I41" s="3" t="n">
        <v>4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6.95</v>
      </c>
      <c r="D42" s="3" t="n">
        <v>7.35</v>
      </c>
      <c r="E42" s="3" t="n">
        <v>7.75</v>
      </c>
      <c r="F42" s="3" t="n">
        <v>8.15</v>
      </c>
      <c r="G42" s="3" t="n">
        <v>8.5</v>
      </c>
      <c r="H42" s="3" t="n">
        <v>8.8</v>
      </c>
      <c r="I42" s="3" t="n">
        <v>9.05</v>
      </c>
      <c r="J42" s="3" t="n">
        <v>9.25</v>
      </c>
      <c r="K42" s="3" t="n">
        <v>9.4</v>
      </c>
      <c r="L42" s="3" t="n">
        <v>9.5</v>
      </c>
    </row>
    <row r="43" customFormat="false" ht="15" hidden="false" customHeight="false" outlineLevel="0" collapsed="false">
      <c r="A43" s="0" t="s">
        <v>108</v>
      </c>
      <c r="C43" s="3" t="n">
        <v>0.5</v>
      </c>
      <c r="D43" s="3" t="n">
        <v>0.5</v>
      </c>
      <c r="E43" s="3" t="n">
        <v>0.49</v>
      </c>
      <c r="F43" s="3" t="n">
        <v>0.48</v>
      </c>
      <c r="G43" s="3" t="n">
        <v>0.47</v>
      </c>
      <c r="H43" s="3" t="n">
        <v>0.46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2.1</v>
      </c>
      <c r="D45" s="3" t="n">
        <v>2.2</v>
      </c>
      <c r="E45" s="3" t="n">
        <v>2.3</v>
      </c>
      <c r="F45" s="3" t="n">
        <v>2.4</v>
      </c>
      <c r="G45" s="3" t="n">
        <v>2.45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111</v>
      </c>
      <c r="C46" s="3" t="n">
        <v>3.9</v>
      </c>
      <c r="D46" s="3" t="n">
        <v>3.7</v>
      </c>
      <c r="E46" s="3" t="n">
        <v>3.4</v>
      </c>
      <c r="F46" s="3" t="n">
        <v>3.2</v>
      </c>
      <c r="G46" s="3" t="n">
        <v>3</v>
      </c>
      <c r="H46" s="3" t="n">
        <v>2.9</v>
      </c>
      <c r="I46" s="3" t="n">
        <v>2.8</v>
      </c>
      <c r="J46" s="3" t="n">
        <v>2.7</v>
      </c>
      <c r="K46" s="3" t="n">
        <v>2.7</v>
      </c>
      <c r="L46" s="3" t="n">
        <v>2.7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22</v>
      </c>
      <c r="E47" s="3" t="n">
        <v>22.5</v>
      </c>
      <c r="F47" s="3" t="n">
        <v>23</v>
      </c>
      <c r="G47" s="3" t="n">
        <v>23</v>
      </c>
      <c r="H47" s="3" t="n">
        <v>23.5</v>
      </c>
      <c r="I47" s="3" t="n">
        <v>23.5</v>
      </c>
      <c r="J47" s="3" t="n">
        <v>23.5</v>
      </c>
      <c r="K47" s="3" t="n">
        <v>23.5</v>
      </c>
      <c r="L47" s="3" t="n">
        <v>23.5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2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4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713163</v>
      </c>
      <c r="C6" s="0" t="n">
        <f aca="false">B6*(1+C5/100)</f>
        <v>741689.52</v>
      </c>
      <c r="D6" s="0" t="n">
        <f aca="false">C6*(1+D5/100)</f>
        <v>763940.2056</v>
      </c>
      <c r="E6" s="0" t="n">
        <f aca="false">D6*(1+E5/100)</f>
        <v>786858.411768</v>
      </c>
      <c r="F6" s="0" t="n">
        <f aca="false">E6*(1+F5/100)</f>
        <v>806529.8720622</v>
      </c>
      <c r="G6" s="0" t="n">
        <f aca="false">F6*(1+G5/100)</f>
        <v>826693.118863755</v>
      </c>
      <c r="H6" s="0" t="n">
        <f aca="false">G6*(1+H5/100)</f>
        <v>847360.446835349</v>
      </c>
      <c r="I6" s="0" t="n">
        <f aca="false">H6*(1+I5/100)</f>
        <v>864307.655772056</v>
      </c>
      <c r="J6" s="0" t="n">
        <f aca="false">I6*(1+J5/100)</f>
        <v>881593.808887497</v>
      </c>
      <c r="K6" s="0" t="n">
        <f aca="false">J6*(1+K5/100)</f>
        <v>899225.685065247</v>
      </c>
      <c r="L6" s="0" t="n">
        <f aca="false">K6*(1+L5/100)</f>
        <v>917210.198766552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6.7</v>
      </c>
      <c r="D7" s="4" t="n">
        <f aca="false">Assumptions!D14</f>
        <v>6.75</v>
      </c>
      <c r="E7" s="4" t="n">
        <f aca="false">Assumptions!E14</f>
        <v>6.85</v>
      </c>
      <c r="F7" s="4" t="n">
        <f aca="false">Assumptions!F14</f>
        <v>6.95</v>
      </c>
      <c r="G7" s="4" t="n">
        <f aca="false">Assumptions!G14</f>
        <v>7</v>
      </c>
      <c r="H7" s="4" t="n">
        <f aca="false">Assumptions!H14</f>
        <v>7.05</v>
      </c>
      <c r="I7" s="4" t="n">
        <f aca="false">Assumptions!I14</f>
        <v>7.05</v>
      </c>
      <c r="J7" s="4" t="n">
        <f aca="false">Assumptions!J14</f>
        <v>7.05</v>
      </c>
      <c r="K7" s="4" t="n">
        <f aca="false">Assumptions!K14</f>
        <v>7.05</v>
      </c>
      <c r="L7" s="4" t="n">
        <f aca="false">Assumptions!L14</f>
        <v>7.05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49693.19784</v>
      </c>
      <c r="D8" s="0" t="n">
        <f aca="false">D6*D7/100</f>
        <v>51565.963878</v>
      </c>
      <c r="E8" s="0" t="n">
        <f aca="false">E6*E7/100</f>
        <v>53899.801206108</v>
      </c>
      <c r="F8" s="0" t="n">
        <f aca="false">F6*F7/100</f>
        <v>56053.8261083229</v>
      </c>
      <c r="G8" s="0" t="n">
        <f aca="false">G6*G7/100</f>
        <v>57868.5183204628</v>
      </c>
      <c r="H8" s="0" t="n">
        <f aca="false">H6*H7/100</f>
        <v>59738.9115018921</v>
      </c>
      <c r="I8" s="0" t="n">
        <f aca="false">I6*I7/100</f>
        <v>60933.6897319299</v>
      </c>
      <c r="J8" s="0" t="n">
        <f aca="false">J6*J7/100</f>
        <v>62152.3635265685</v>
      </c>
      <c r="K8" s="0" t="n">
        <f aca="false">K6*K7/100</f>
        <v>63395.4107970999</v>
      </c>
      <c r="L8" s="0" t="n">
        <f aca="false">L6*L7/100</f>
        <v>64663.3190130419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0.49</v>
      </c>
      <c r="F9" s="4" t="n">
        <f aca="false">Assumptions!F15</f>
        <v>0.48</v>
      </c>
      <c r="G9" s="4" t="n">
        <f aca="false">Assumptions!G15</f>
        <v>0.47</v>
      </c>
      <c r="H9" s="4" t="n">
        <f aca="false">Assumptions!H15</f>
        <v>0.46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-3708.4476</v>
      </c>
      <c r="D10" s="0" t="n">
        <f aca="false">-D6*D9/100</f>
        <v>-3819.701028</v>
      </c>
      <c r="E10" s="0" t="n">
        <f aca="false">-E6*E9/100</f>
        <v>-3855.6062176632</v>
      </c>
      <c r="F10" s="0" t="n">
        <f aca="false">-F6*F9/100</f>
        <v>-3871.34338589856</v>
      </c>
      <c r="G10" s="0" t="n">
        <f aca="false">-G6*G9/100</f>
        <v>-3885.45765865965</v>
      </c>
      <c r="H10" s="0" t="n">
        <f aca="false">-H6*H9/100</f>
        <v>-3897.8580554426</v>
      </c>
      <c r="I10" s="0" t="n">
        <f aca="false">-I6*I9/100</f>
        <v>-3889.38445097425</v>
      </c>
      <c r="J10" s="0" t="n">
        <f aca="false">-J6*J9/100</f>
        <v>-3967.17213999374</v>
      </c>
      <c r="K10" s="0" t="n">
        <f aca="false">-K6*K9/100</f>
        <v>-4046.51558279361</v>
      </c>
      <c r="L10" s="0" t="n">
        <f aca="false">-L6*L9/100</f>
        <v>-4127.44589444948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45984.75024</v>
      </c>
      <c r="D11" s="0" t="n">
        <f aca="false">D8+D10+D24</f>
        <v>47746.26285</v>
      </c>
      <c r="E11" s="0" t="n">
        <f aca="false">E8+E10+E24</f>
        <v>50044.1949884448</v>
      </c>
      <c r="F11" s="0" t="n">
        <f aca="false">F8+F10+F24</f>
        <v>52182.4827224243</v>
      </c>
      <c r="G11" s="0" t="n">
        <f aca="false">G8+G10+G24</f>
        <v>53983.0606618032</v>
      </c>
      <c r="H11" s="0" t="n">
        <f aca="false">H8+H10+H24</f>
        <v>55841.0534464495</v>
      </c>
      <c r="I11" s="0" t="n">
        <f aca="false">I8+I10+I24</f>
        <v>57044.3052809557</v>
      </c>
      <c r="J11" s="0" t="n">
        <f aca="false">J8+J10+J24</f>
        <v>58185.1913865748</v>
      </c>
      <c r="K11" s="0" t="n">
        <f aca="false">K8+K10+K24</f>
        <v>59348.8952143063</v>
      </c>
      <c r="L11" s="0" t="n">
        <f aca="false">L8+L10+L24</f>
        <v>60535.8731185924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-15575.47992</v>
      </c>
      <c r="D12" s="4" t="n">
        <f aca="false">-D6*Assumptions!D17/100</f>
        <v>-16806.6845232</v>
      </c>
      <c r="E12" s="4" t="n">
        <f aca="false">-E6*Assumptions!E17/100</f>
        <v>-18097.743470664</v>
      </c>
      <c r="F12" s="4" t="n">
        <f aca="false">-F6*Assumptions!F17/100</f>
        <v>-18953.4519934617</v>
      </c>
      <c r="G12" s="4" t="n">
        <f aca="false">-G6*Assumptions!G17/100</f>
        <v>-19840.6348527301</v>
      </c>
      <c r="H12" s="4" t="n">
        <f aca="false">-H6*Assumptions!H17/100</f>
        <v>-20336.6507240484</v>
      </c>
      <c r="I12" s="4" t="n">
        <f aca="false">-I6*Assumptions!I17/100</f>
        <v>-20743.3837385293</v>
      </c>
      <c r="J12" s="4" t="n">
        <f aca="false">-J6*Assumptions!J17/100</f>
        <v>-21158.2514132999</v>
      </c>
      <c r="K12" s="4" t="n">
        <f aca="false">-K6*Assumptions!K17/100</f>
        <v>-21581.4164415659</v>
      </c>
      <c r="L12" s="4" t="n">
        <f aca="false">-L6*Assumptions!L17/100</f>
        <v>-22013.0447703972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30409.27032</v>
      </c>
      <c r="D13" s="0" t="n">
        <f aca="false">D11+D12</f>
        <v>30939.5783268</v>
      </c>
      <c r="E13" s="0" t="n">
        <f aca="false">E11+E12</f>
        <v>31946.4515177808</v>
      </c>
      <c r="F13" s="0" t="n">
        <f aca="false">F11+F12</f>
        <v>33229.0307289626</v>
      </c>
      <c r="G13" s="0" t="n">
        <f aca="false">G11+G12</f>
        <v>34142.4258090731</v>
      </c>
      <c r="H13" s="0" t="n">
        <f aca="false">H11+H12</f>
        <v>35504.4027224011</v>
      </c>
      <c r="I13" s="0" t="n">
        <f aca="false">I11+I12</f>
        <v>36300.9215424263</v>
      </c>
      <c r="J13" s="0" t="n">
        <f aca="false">J11+J12</f>
        <v>37026.9399732749</v>
      </c>
      <c r="K13" s="0" t="n">
        <f aca="false">K11+K12</f>
        <v>37767.4787727404</v>
      </c>
      <c r="L13" s="0" t="n">
        <f aca="false">L11+L12</f>
        <v>38522.8283481952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22</v>
      </c>
      <c r="E14" s="4" t="n">
        <f aca="false">Assumptions!E19</f>
        <v>22.5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23.5</v>
      </c>
      <c r="I14" s="4" t="n">
        <f aca="false">Assumptions!I19</f>
        <v>23.5</v>
      </c>
      <c r="J14" s="4" t="n">
        <f aca="false">Assumptions!J19</f>
        <v>23.5</v>
      </c>
      <c r="K14" s="4" t="n">
        <f aca="false">Assumptions!K19</f>
        <v>23.5</v>
      </c>
      <c r="L14" s="4" t="n">
        <f aca="false">Assumptions!L19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24023.3235528</v>
      </c>
      <c r="D15" s="0" t="n">
        <f aca="false">D13-MAX(0,D13)*D14/100</f>
        <v>24132.871094904</v>
      </c>
      <c r="E15" s="0" t="n">
        <f aca="false">E13-MAX(0,E13)*E14/100</f>
        <v>24758.4999262801</v>
      </c>
      <c r="F15" s="0" t="n">
        <f aca="false">F13-MAX(0,F13)*F14/100</f>
        <v>25586.3536613012</v>
      </c>
      <c r="G15" s="0" t="n">
        <f aca="false">G13-MAX(0,G13)*G14/100</f>
        <v>26289.6678729863</v>
      </c>
      <c r="H15" s="0" t="n">
        <f aca="false">H13-MAX(0,H13)*H14/100</f>
        <v>27160.8680826368</v>
      </c>
      <c r="I15" s="0" t="n">
        <f aca="false">I13-MAX(0,I13)*I14/100</f>
        <v>27770.2049799562</v>
      </c>
      <c r="J15" s="0" t="n">
        <f aca="false">J13-MAX(0,J13)*J14/100</f>
        <v>28325.6090795553</v>
      </c>
      <c r="K15" s="0" t="n">
        <f aca="false">K13-MAX(0,K13)*K14/100</f>
        <v>28892.1212611464</v>
      </c>
      <c r="L15" s="0" t="n">
        <f aca="false">L13-MAX(0,L13)*L14/100</f>
        <v>29469.9636863693</v>
      </c>
    </row>
    <row r="16" customFormat="false" ht="15" hidden="false" customHeight="false" outlineLevel="0" collapsed="false">
      <c r="A16" s="0" t="s">
        <v>128</v>
      </c>
      <c r="C16" s="0" t="n">
        <f aca="false">-C12</f>
        <v>15575.47992</v>
      </c>
      <c r="D16" s="0" t="n">
        <f aca="false">-D12</f>
        <v>16806.6845232</v>
      </c>
      <c r="E16" s="0" t="n">
        <f aca="false">-E12</f>
        <v>18097.743470664</v>
      </c>
      <c r="F16" s="0" t="n">
        <f aca="false">-F12</f>
        <v>18953.4519934617</v>
      </c>
      <c r="G16" s="0" t="n">
        <f aca="false">-G12</f>
        <v>19840.6348527301</v>
      </c>
      <c r="H16" s="0" t="n">
        <f aca="false">-H12</f>
        <v>20336.6507240484</v>
      </c>
      <c r="I16" s="0" t="n">
        <f aca="false">-I12</f>
        <v>20743.3837385293</v>
      </c>
      <c r="J16" s="0" t="n">
        <f aca="false">-J12</f>
        <v>21158.2514132999</v>
      </c>
      <c r="K16" s="0" t="n">
        <f aca="false">-K12</f>
        <v>21581.4164415659</v>
      </c>
      <c r="L16" s="0" t="n">
        <f aca="false">-L12</f>
        <v>22013.0447703972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-28925.89128</v>
      </c>
      <c r="D17" s="4" t="n">
        <f aca="false">-D6*Assumptions!D18/100</f>
        <v>-29793.6680184</v>
      </c>
      <c r="E17" s="4" t="n">
        <f aca="false">-E6*Assumptions!E18/100</f>
        <v>-29900.619647184</v>
      </c>
      <c r="F17" s="4" t="n">
        <f aca="false">-F6*Assumptions!F18/100</f>
        <v>-29035.0753942392</v>
      </c>
      <c r="G17" s="4" t="n">
        <f aca="false">-G6*Assumptions!G18/100</f>
        <v>-28107.5660413677</v>
      </c>
      <c r="H17" s="4" t="n">
        <f aca="false">-H6*Assumptions!H18/100</f>
        <v>-27115.5342987312</v>
      </c>
      <c r="I17" s="4" t="n">
        <f aca="false">-I6*Assumptions!I18/100</f>
        <v>-26793.5373289337</v>
      </c>
      <c r="J17" s="4" t="n">
        <f aca="false">-J6*Assumptions!J18/100</f>
        <v>-26447.8142666249</v>
      </c>
      <c r="K17" s="4" t="n">
        <f aca="false">-K6*Assumptions!K18/100</f>
        <v>-26976.7705519574</v>
      </c>
      <c r="L17" s="4" t="n">
        <f aca="false">-L6*Assumptions!L18/100</f>
        <v>-27516.3059629965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570.5304</v>
      </c>
      <c r="D18" s="4" t="n">
        <f aca="false">(D6-C6)*Assumptions!$B$23/100</f>
        <v>445.013711999999</v>
      </c>
      <c r="E18" s="4" t="n">
        <f aca="false">(E6-D6)*Assumptions!$B$23/100</f>
        <v>458.36412336</v>
      </c>
      <c r="F18" s="4" t="n">
        <f aca="false">(F6-E6)*Assumptions!$B$23/100</f>
        <v>393.429205883998</v>
      </c>
      <c r="G18" s="4" t="n">
        <f aca="false">(G6-F6)*Assumptions!$B$23/100</f>
        <v>403.264936031099</v>
      </c>
      <c r="H18" s="4" t="n">
        <f aca="false">(H6-G6)*Assumptions!$B$23/100</f>
        <v>413.346559431877</v>
      </c>
      <c r="I18" s="4" t="n">
        <f aca="false">(I6-H6)*Assumptions!$B$23/100</f>
        <v>338.94417873414</v>
      </c>
      <c r="J18" s="4" t="n">
        <f aca="false">(J6-I6)*Assumptions!$B$23/100</f>
        <v>345.723062308822</v>
      </c>
      <c r="K18" s="4" t="n">
        <f aca="false">(K6-J6)*Assumptions!$B$23/100</f>
        <v>352.637523554999</v>
      </c>
      <c r="L18" s="4" t="n">
        <f aca="false">(L6-K6)*Assumptions!$B$23/100</f>
        <v>359.690274026098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11243.4425928</v>
      </c>
      <c r="D19" s="0" t="n">
        <f aca="false">D15+D16+D17+D18</f>
        <v>11590.901311704</v>
      </c>
      <c r="E19" s="0" t="n">
        <f aca="false">E15+E16+E17+E18</f>
        <v>13413.9878731201</v>
      </c>
      <c r="F19" s="0" t="n">
        <f aca="false">F15+F16+F17+F18</f>
        <v>15898.1594664077</v>
      </c>
      <c r="G19" s="0" t="n">
        <f aca="false">G15+G16+G17+G18</f>
        <v>18426.0016203798</v>
      </c>
      <c r="H19" s="0" t="n">
        <f aca="false">H15+H16+H17+H18</f>
        <v>20795.3310673859</v>
      </c>
      <c r="I19" s="0" t="n">
        <f aca="false">I15+I16+I17+I18</f>
        <v>22058.9955682859</v>
      </c>
      <c r="J19" s="0" t="n">
        <f aca="false">J15+J16+J17+J18</f>
        <v>23381.7692885391</v>
      </c>
      <c r="K19" s="0" t="n">
        <f aca="false">K15+K16+K17+K18</f>
        <v>23849.4046743099</v>
      </c>
      <c r="L19" s="0" t="n">
        <f aca="false">L15+L16+L17+L18</f>
        <v>24326.3927677961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10410.5949933333</v>
      </c>
      <c r="D21" s="0" t="n">
        <f aca="false">D19*D20</f>
        <v>9937.32965681069</v>
      </c>
      <c r="E21" s="0" t="n">
        <f aca="false">E19*E20</f>
        <v>10648.4560543363</v>
      </c>
      <c r="F21" s="0" t="n">
        <f aca="false">F19*F20</f>
        <v>11685.6218123282</v>
      </c>
      <c r="G21" s="0" t="n">
        <f aca="false">G19*G20</f>
        <v>12540.4270913472</v>
      </c>
      <c r="H21" s="0" t="n">
        <f aca="false">H19*H20</f>
        <v>13104.5860196452</v>
      </c>
      <c r="I21" s="0" t="n">
        <f aca="false">I19*I20</f>
        <v>12871.2120432248</v>
      </c>
      <c r="J21" s="0" t="n">
        <f aca="false">J19*J20</f>
        <v>12632.4424112016</v>
      </c>
      <c r="K21" s="0" t="n">
        <f aca="false">K19*K20</f>
        <v>11930.6400550237</v>
      </c>
      <c r="L21" s="0" t="n">
        <f aca="false">L19*L20</f>
        <v>11267.8267186335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117029.136855885</v>
      </c>
    </row>
    <row r="31" customFormat="false" ht="15" hidden="false" customHeight="false" outlineLevel="0" collapsed="false">
      <c r="A31" s="0" t="s">
        <v>137</v>
      </c>
      <c r="B31" s="0" t="n">
        <f aca="false">L19</f>
        <v>24326.3927677961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413548.677052534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486527.855355922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413548.677052534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191553.05421677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308582.191072654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250668.191072654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31.4199286879737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-0.698638704316385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26064.3016248925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32500.7030324247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38.7607415053862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190868.620178092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9.09966755734173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713163</v>
      </c>
      <c r="C6" s="0" t="n">
        <f aca="false">B6*(1+C5/100)</f>
        <v>748821.15</v>
      </c>
      <c r="D6" s="0" t="n">
        <f aca="false">C6*(1+D5/100)</f>
        <v>782518.10175</v>
      </c>
      <c r="E6" s="0" t="n">
        <f aca="false">D6*(1+E5/100)</f>
        <v>817731.41632875</v>
      </c>
      <c r="F6" s="0" t="n">
        <f aca="false">E6*(1+F5/100)</f>
        <v>850440.6729819</v>
      </c>
      <c r="G6" s="0" t="n">
        <f aca="false">F6*(1+G5/100)</f>
        <v>884458.299901176</v>
      </c>
      <c r="H6" s="0" t="n">
        <f aca="false">G6*(1+H5/100)</f>
        <v>915414.340397717</v>
      </c>
      <c r="I6" s="0" t="n">
        <f aca="false">H6*(1+I5/100)</f>
        <v>947453.842311637</v>
      </c>
      <c r="J6" s="0" t="n">
        <f aca="false">I6*(1+J5/100)</f>
        <v>975877.457580986</v>
      </c>
      <c r="K6" s="0" t="n">
        <f aca="false">J6*(1+K5/100)</f>
        <v>1005153.78130842</v>
      </c>
      <c r="L6" s="0" t="n">
        <f aca="false">K6*(1+L5/100)</f>
        <v>1035308.39474767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6.9</v>
      </c>
      <c r="D7" s="4" t="n">
        <f aca="false">Assumptions!D28</f>
        <v>7.15</v>
      </c>
      <c r="E7" s="4" t="n">
        <f aca="false">Assumptions!E28</f>
        <v>7.39</v>
      </c>
      <c r="F7" s="4" t="n">
        <f aca="false">Assumptions!F28</f>
        <v>7.63</v>
      </c>
      <c r="G7" s="4" t="n">
        <f aca="false">Assumptions!G28</f>
        <v>7.82</v>
      </c>
      <c r="H7" s="4" t="n">
        <f aca="false">Assumptions!H28</f>
        <v>7.96</v>
      </c>
      <c r="I7" s="4" t="n">
        <f aca="false">Assumptions!I28</f>
        <v>8.05</v>
      </c>
      <c r="J7" s="4" t="n">
        <f aca="false">Assumptions!J28</f>
        <v>8.15</v>
      </c>
      <c r="K7" s="4" t="n">
        <f aca="false">Assumptions!K28</f>
        <v>8.2</v>
      </c>
      <c r="L7" s="4" t="n">
        <f aca="false">Assumptions!L28</f>
        <v>8.25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51668.65935</v>
      </c>
      <c r="D8" s="0" t="n">
        <f aca="false">D6*D7/100</f>
        <v>55950.044275125</v>
      </c>
      <c r="E8" s="0" t="n">
        <f aca="false">E6*E7/100</f>
        <v>60430.3516666946</v>
      </c>
      <c r="F8" s="0" t="n">
        <f aca="false">F6*F7/100</f>
        <v>64888.623348519</v>
      </c>
      <c r="G8" s="0" t="n">
        <f aca="false">G6*G7/100</f>
        <v>69164.639052272</v>
      </c>
      <c r="H8" s="0" t="n">
        <f aca="false">H6*H7/100</f>
        <v>72866.9814956583</v>
      </c>
      <c r="I8" s="0" t="n">
        <f aca="false">I6*I7/100</f>
        <v>76270.0343060868</v>
      </c>
      <c r="J8" s="0" t="n">
        <f aca="false">J6*J7/100</f>
        <v>79534.0127928504</v>
      </c>
      <c r="K8" s="0" t="n">
        <f aca="false">K6*K7/100</f>
        <v>82422.6100672901</v>
      </c>
      <c r="L8" s="0" t="n">
        <f aca="false">L6*L7/100</f>
        <v>85412.9425666826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0.49</v>
      </c>
      <c r="F9" s="4" t="n">
        <f aca="false">Assumptions!F29</f>
        <v>0.48</v>
      </c>
      <c r="G9" s="4" t="n">
        <f aca="false">Assumptions!G29</f>
        <v>0.47</v>
      </c>
      <c r="H9" s="4" t="n">
        <f aca="false">Assumptions!H29</f>
        <v>0.46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-3744.10575</v>
      </c>
      <c r="D10" s="0" t="n">
        <f aca="false">-D6*D9/100</f>
        <v>-3912.59050875</v>
      </c>
      <c r="E10" s="0" t="n">
        <f aca="false">-E6*E9/100</f>
        <v>-4006.88394001087</v>
      </c>
      <c r="F10" s="0" t="n">
        <f aca="false">-F6*F9/100</f>
        <v>-4082.11523031312</v>
      </c>
      <c r="G10" s="0" t="n">
        <f aca="false">-G6*G9/100</f>
        <v>-4156.95400953553</v>
      </c>
      <c r="H10" s="0" t="n">
        <f aca="false">-H6*H9/100</f>
        <v>-4210.9059658295</v>
      </c>
      <c r="I10" s="0" t="n">
        <f aca="false">-I6*I9/100</f>
        <v>-4263.54229040237</v>
      </c>
      <c r="J10" s="0" t="n">
        <f aca="false">-J6*J9/100</f>
        <v>-4391.44855911444</v>
      </c>
      <c r="K10" s="0" t="n">
        <f aca="false">-K6*K9/100</f>
        <v>-4523.19201588787</v>
      </c>
      <c r="L10" s="0" t="n">
        <f aca="false">-L6*L9/100</f>
        <v>-4658.88777636451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47924.5536</v>
      </c>
      <c r="D11" s="0" t="n">
        <f aca="false">D8+D10+D24</f>
        <v>52037.453766375</v>
      </c>
      <c r="E11" s="0" t="n">
        <f aca="false">E8+E10+E24</f>
        <v>56423.4677266837</v>
      </c>
      <c r="F11" s="0" t="n">
        <f aca="false">F8+F10+F24</f>
        <v>60806.5081182059</v>
      </c>
      <c r="G11" s="0" t="n">
        <f aca="false">G8+G10+G24</f>
        <v>65007.6850427364</v>
      </c>
      <c r="H11" s="0" t="n">
        <f aca="false">H8+H10+H24</f>
        <v>68656.0755298288</v>
      </c>
      <c r="I11" s="0" t="n">
        <f aca="false">I8+I10+I24</f>
        <v>72006.4920156844</v>
      </c>
      <c r="J11" s="0" t="n">
        <f aca="false">J8+J10+J24</f>
        <v>75142.564233736</v>
      </c>
      <c r="K11" s="0" t="n">
        <f aca="false">K8+K10+K24</f>
        <v>77899.4180514022</v>
      </c>
      <c r="L11" s="0" t="n">
        <f aca="false">L8+L10+L24</f>
        <v>80754.0547903181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-15725.24415</v>
      </c>
      <c r="D12" s="4" t="n">
        <f aca="false">-D6*Assumptions!D31/100</f>
        <v>-17215.3982385</v>
      </c>
      <c r="E12" s="4" t="n">
        <f aca="false">-E6*Assumptions!E31/100</f>
        <v>-18807.8225755612</v>
      </c>
      <c r="F12" s="4" t="n">
        <f aca="false">-F6*Assumptions!F31/100</f>
        <v>-20410.5761515656</v>
      </c>
      <c r="G12" s="4" t="n">
        <f aca="false">-G6*Assumptions!G31/100</f>
        <v>-21669.2283475788</v>
      </c>
      <c r="H12" s="4" t="n">
        <f aca="false">-H6*Assumptions!H31/100</f>
        <v>-22885.3585099429</v>
      </c>
      <c r="I12" s="4" t="n">
        <f aca="false">-I6*Assumptions!I31/100</f>
        <v>-23686.3460577909</v>
      </c>
      <c r="J12" s="4" t="n">
        <f aca="false">-J6*Assumptions!J31/100</f>
        <v>-24396.9364395247</v>
      </c>
      <c r="K12" s="4" t="n">
        <f aca="false">-K6*Assumptions!K31/100</f>
        <v>-25128.8445327104</v>
      </c>
      <c r="L12" s="4" t="n">
        <f aca="false">-L6*Assumptions!L31/100</f>
        <v>-25882.7098686917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32199.30945</v>
      </c>
      <c r="D13" s="0" t="n">
        <f aca="false">D11+D12</f>
        <v>34822.055527875</v>
      </c>
      <c r="E13" s="0" t="n">
        <f aca="false">E11+E12</f>
        <v>37615.6451511225</v>
      </c>
      <c r="F13" s="0" t="n">
        <f aca="false">F11+F12</f>
        <v>40395.9319666403</v>
      </c>
      <c r="G13" s="0" t="n">
        <f aca="false">G11+G12</f>
        <v>43338.4566951576</v>
      </c>
      <c r="H13" s="0" t="n">
        <f aca="false">H11+H12</f>
        <v>45770.7170198859</v>
      </c>
      <c r="I13" s="0" t="n">
        <f aca="false">I11+I12</f>
        <v>48320.1459578935</v>
      </c>
      <c r="J13" s="0" t="n">
        <f aca="false">J11+J12</f>
        <v>50745.6277942113</v>
      </c>
      <c r="K13" s="0" t="n">
        <f aca="false">K11+K12</f>
        <v>52770.5735186918</v>
      </c>
      <c r="L13" s="0" t="n">
        <f aca="false">L11+L12</f>
        <v>54871.3449216264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22</v>
      </c>
      <c r="E14" s="4" t="n">
        <f aca="false">Assumptions!E33</f>
        <v>22.5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23.5</v>
      </c>
      <c r="I14" s="4" t="n">
        <f aca="false">Assumptions!I33</f>
        <v>23.5</v>
      </c>
      <c r="J14" s="4" t="n">
        <f aca="false">Assumptions!J33</f>
        <v>23.5</v>
      </c>
      <c r="K14" s="4" t="n">
        <f aca="false">Assumptions!K33</f>
        <v>23.5</v>
      </c>
      <c r="L14" s="4" t="n">
        <f aca="false">Assumptions!L33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25437.4544655</v>
      </c>
      <c r="D15" s="0" t="n">
        <f aca="false">D13-MAX(0,D13)*D14/100</f>
        <v>27161.2033117425</v>
      </c>
      <c r="E15" s="0" t="n">
        <f aca="false">E13-MAX(0,E13)*E14/100</f>
        <v>29152.1249921199</v>
      </c>
      <c r="F15" s="0" t="n">
        <f aca="false">F13-MAX(0,F13)*F14/100</f>
        <v>31104.867614313</v>
      </c>
      <c r="G15" s="0" t="n">
        <f aca="false">G13-MAX(0,G13)*G14/100</f>
        <v>33370.6116552714</v>
      </c>
      <c r="H15" s="0" t="n">
        <f aca="false">H13-MAX(0,H13)*H14/100</f>
        <v>35014.5985202127</v>
      </c>
      <c r="I15" s="0" t="n">
        <f aca="false">I13-MAX(0,I13)*I14/100</f>
        <v>36964.9116577885</v>
      </c>
      <c r="J15" s="0" t="n">
        <f aca="false">J13-MAX(0,J13)*J14/100</f>
        <v>38820.4052625717</v>
      </c>
      <c r="K15" s="0" t="n">
        <f aca="false">K13-MAX(0,K13)*K14/100</f>
        <v>40369.4887417992</v>
      </c>
      <c r="L15" s="0" t="n">
        <f aca="false">L13-MAX(0,L13)*L14/100</f>
        <v>41976.5788650442</v>
      </c>
    </row>
    <row r="16" customFormat="false" ht="15" hidden="false" customHeight="false" outlineLevel="0" collapsed="false">
      <c r="A16" s="0" t="s">
        <v>128</v>
      </c>
      <c r="C16" s="0" t="n">
        <f aca="false">-C12</f>
        <v>15725.24415</v>
      </c>
      <c r="D16" s="0" t="n">
        <f aca="false">-D12</f>
        <v>17215.3982385</v>
      </c>
      <c r="E16" s="0" t="n">
        <f aca="false">-E12</f>
        <v>18807.8225755612</v>
      </c>
      <c r="F16" s="0" t="n">
        <f aca="false">-F12</f>
        <v>20410.5761515656</v>
      </c>
      <c r="G16" s="0" t="n">
        <f aca="false">-G12</f>
        <v>21669.2283475788</v>
      </c>
      <c r="H16" s="0" t="n">
        <f aca="false">-H12</f>
        <v>22885.3585099429</v>
      </c>
      <c r="I16" s="0" t="n">
        <f aca="false">-I12</f>
        <v>23686.3460577909</v>
      </c>
      <c r="J16" s="0" t="n">
        <f aca="false">-J12</f>
        <v>24396.9364395247</v>
      </c>
      <c r="K16" s="0" t="n">
        <f aca="false">-K12</f>
        <v>25128.8445327104</v>
      </c>
      <c r="L16" s="0" t="n">
        <f aca="false">-L12</f>
        <v>25882.7098686917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-29204.02485</v>
      </c>
      <c r="D17" s="4" t="n">
        <f aca="false">-D6*Assumptions!D32/100</f>
        <v>-29735.6878665</v>
      </c>
      <c r="E17" s="4" t="n">
        <f aca="false">-E6*Assumptions!E32/100</f>
        <v>-29438.330987835</v>
      </c>
      <c r="F17" s="4" t="n">
        <f aca="false">-F6*Assumptions!F32/100</f>
        <v>-28914.9828813846</v>
      </c>
      <c r="G17" s="4" t="n">
        <f aca="false">-G6*Assumptions!G32/100</f>
        <v>-28302.6655968376</v>
      </c>
      <c r="H17" s="4" t="n">
        <f aca="false">-H6*Assumptions!H32/100</f>
        <v>-27462.4302119315</v>
      </c>
      <c r="I17" s="4" t="n">
        <f aca="false">-I6*Assumptions!I32/100</f>
        <v>-27476.1614270375</v>
      </c>
      <c r="J17" s="4" t="n">
        <f aca="false">-J6*Assumptions!J32/100</f>
        <v>-27324.5688122676</v>
      </c>
      <c r="K17" s="4" t="n">
        <f aca="false">-K6*Assumptions!K32/100</f>
        <v>-28144.3058766356</v>
      </c>
      <c r="L17" s="4" t="n">
        <f aca="false">-L6*Assumptions!L32/100</f>
        <v>-28988.6350529347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713.163000000001</v>
      </c>
      <c r="D18" s="4" t="n">
        <f aca="false">(D6-C6)*Assumptions!$B$37/100</f>
        <v>673.939034999998</v>
      </c>
      <c r="E18" s="4" t="n">
        <f aca="false">(E6-D6)*Assumptions!$B$37/100</f>
        <v>704.266291574999</v>
      </c>
      <c r="F18" s="4" t="n">
        <f aca="false">(F6-E6)*Assumptions!$B$37/100</f>
        <v>654.185133063002</v>
      </c>
      <c r="G18" s="4" t="n">
        <f aca="false">(G6-F6)*Assumptions!$B$37/100</f>
        <v>680.352538385522</v>
      </c>
      <c r="H18" s="4" t="n">
        <f aca="false">(H6-G6)*Assumptions!$B$37/100</f>
        <v>619.120809930822</v>
      </c>
      <c r="I18" s="4" t="n">
        <f aca="false">(I6-H6)*Assumptions!$B$37/100</f>
        <v>640.790038278401</v>
      </c>
      <c r="J18" s="4" t="n">
        <f aca="false">(J6-I6)*Assumptions!$B$37/100</f>
        <v>568.472305386984</v>
      </c>
      <c r="K18" s="4" t="n">
        <f aca="false">(K6-J6)*Assumptions!$B$37/100</f>
        <v>585.526474548592</v>
      </c>
      <c r="L18" s="4" t="n">
        <f aca="false">(L6-K6)*Assumptions!$B$37/100</f>
        <v>603.09226878505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12671.8367655</v>
      </c>
      <c r="D19" s="0" t="n">
        <f aca="false">D15+D16+D17+D18</f>
        <v>15314.8527187425</v>
      </c>
      <c r="E19" s="0" t="n">
        <f aca="false">E15+E16+E17+E18</f>
        <v>19225.8828714212</v>
      </c>
      <c r="F19" s="0" t="n">
        <f aca="false">F15+F16+F17+F18</f>
        <v>23254.646017557</v>
      </c>
      <c r="G19" s="0" t="n">
        <f aca="false">G15+G16+G17+G18</f>
        <v>27417.5269443981</v>
      </c>
      <c r="H19" s="0" t="n">
        <f aca="false">H15+H16+H17+H18</f>
        <v>31056.6476281549</v>
      </c>
      <c r="I19" s="0" t="n">
        <f aca="false">I15+I16+I17+I18</f>
        <v>33815.8863268204</v>
      </c>
      <c r="J19" s="0" t="n">
        <f aca="false">J15+J16+J17+J18</f>
        <v>36461.2451952157</v>
      </c>
      <c r="K19" s="0" t="n">
        <f aca="false">K15+K16+K17+K18</f>
        <v>37939.5538724226</v>
      </c>
      <c r="L19" s="0" t="n">
        <f aca="false">L15+L16+L17+L18</f>
        <v>39473.7459495863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11733.1821902778</v>
      </c>
      <c r="D21" s="0" t="n">
        <f aca="false">D19*D20</f>
        <v>13130.0177629823</v>
      </c>
      <c r="E21" s="0" t="n">
        <f aca="false">E19*E20</f>
        <v>15262.1256854116</v>
      </c>
      <c r="F21" s="0" t="n">
        <f aca="false">F19*F20</f>
        <v>17092.8590391185</v>
      </c>
      <c r="G21" s="0" t="n">
        <f aca="false">G19*G20</f>
        <v>18659.9081425775</v>
      </c>
      <c r="H21" s="0" t="n">
        <f aca="false">H19*H20</f>
        <v>19570.9560480744</v>
      </c>
      <c r="I21" s="0" t="n">
        <f aca="false">I19*I20</f>
        <v>19731.2448789758</v>
      </c>
      <c r="J21" s="0" t="n">
        <f aca="false">J19*J20</f>
        <v>19698.8762691722</v>
      </c>
      <c r="K21" s="0" t="n">
        <f aca="false">K19*K20</f>
        <v>18979.2226381077</v>
      </c>
      <c r="L21" s="0" t="n">
        <f aca="false">L19*L20</f>
        <v>18283.9820741575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172142.374728855</v>
      </c>
    </row>
    <row r="31" customFormat="false" ht="15" hidden="false" customHeight="false" outlineLevel="0" collapsed="false">
      <c r="A31" s="0" t="s">
        <v>137</v>
      </c>
      <c r="B31" s="0" t="n">
        <f aca="false">L19</f>
        <v>39473.7459495863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813159.166561477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789474.918991725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789474.918991725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365679.641483151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537822.016212006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479908.016212006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60.1539253211339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-0.423039273727855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27766.1762243682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44454.1094824251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69.2063552166958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338816.319400615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18.3761176743947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5.5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713163</v>
      </c>
      <c r="C6" s="0" t="n">
        <f aca="false">B6*(1+C5/100)</f>
        <v>752386.965</v>
      </c>
      <c r="D6" s="0" t="n">
        <f aca="false">C6*(1+D5/100)</f>
        <v>793768.248075</v>
      </c>
      <c r="E6" s="0" t="n">
        <f aca="false">D6*(1+E5/100)</f>
        <v>833456.66047875</v>
      </c>
      <c r="F6" s="0" t="n">
        <f aca="false">E6*(1+F5/100)</f>
        <v>875129.493502687</v>
      </c>
      <c r="G6" s="0" t="n">
        <f aca="false">F6*(1+G5/100)</f>
        <v>914510.320710308</v>
      </c>
      <c r="H6" s="0" t="n">
        <f aca="false">G6*(1+H5/100)</f>
        <v>955663.285142272</v>
      </c>
      <c r="I6" s="0" t="n">
        <f aca="false">H6*(1+I5/100)</f>
        <v>993889.816547963</v>
      </c>
      <c r="J6" s="0" t="n">
        <f aca="false">I6*(1+J5/100)</f>
        <v>1033645.40920988</v>
      </c>
      <c r="K6" s="0" t="n">
        <f aca="false">J6*(1+K5/100)</f>
        <v>1069822.99853223</v>
      </c>
      <c r="L6" s="0" t="n">
        <f aca="false">K6*(1+L5/100)</f>
        <v>1107266.80348086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6.95</v>
      </c>
      <c r="D7" s="4" t="n">
        <f aca="false">Assumptions!D42</f>
        <v>7.35</v>
      </c>
      <c r="E7" s="4" t="n">
        <f aca="false">Assumptions!E42</f>
        <v>7.75</v>
      </c>
      <c r="F7" s="4" t="n">
        <f aca="false">Assumptions!F42</f>
        <v>8.15</v>
      </c>
      <c r="G7" s="4" t="n">
        <f aca="false">Assumptions!G42</f>
        <v>8.5</v>
      </c>
      <c r="H7" s="4" t="n">
        <f aca="false">Assumptions!H42</f>
        <v>8.8</v>
      </c>
      <c r="I7" s="4" t="n">
        <f aca="false">Assumptions!I42</f>
        <v>9.05</v>
      </c>
      <c r="J7" s="4" t="n">
        <f aca="false">Assumptions!J42</f>
        <v>9.25</v>
      </c>
      <c r="K7" s="4" t="n">
        <f aca="false">Assumptions!K42</f>
        <v>9.4</v>
      </c>
      <c r="L7" s="4" t="n">
        <f aca="false">Assumptions!L42</f>
        <v>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52290.8940675</v>
      </c>
      <c r="D8" s="0" t="n">
        <f aca="false">D6*D7/100</f>
        <v>58341.9662335125</v>
      </c>
      <c r="E8" s="0" t="n">
        <f aca="false">E6*E7/100</f>
        <v>64592.8911871031</v>
      </c>
      <c r="F8" s="0" t="n">
        <f aca="false">F6*F7/100</f>
        <v>71323.053720469</v>
      </c>
      <c r="G8" s="0" t="n">
        <f aca="false">G6*G7/100</f>
        <v>77733.3772603762</v>
      </c>
      <c r="H8" s="0" t="n">
        <f aca="false">H6*H7/100</f>
        <v>84098.36909252</v>
      </c>
      <c r="I8" s="0" t="n">
        <f aca="false">I6*I7/100</f>
        <v>89947.0283975907</v>
      </c>
      <c r="J8" s="0" t="n">
        <f aca="false">J6*J7/100</f>
        <v>95612.2003519141</v>
      </c>
      <c r="K8" s="0" t="n">
        <f aca="false">K6*K7/100</f>
        <v>100563.361862029</v>
      </c>
      <c r="L8" s="0" t="n">
        <f aca="false">L6*L7/100</f>
        <v>105190.346330681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0.49</v>
      </c>
      <c r="F9" s="4" t="n">
        <f aca="false">Assumptions!F43</f>
        <v>0.48</v>
      </c>
      <c r="G9" s="4" t="n">
        <f aca="false">Assumptions!G43</f>
        <v>0.47</v>
      </c>
      <c r="H9" s="4" t="n">
        <f aca="false">Assumptions!H43</f>
        <v>0.46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-3761.934825</v>
      </c>
      <c r="D10" s="0" t="n">
        <f aca="false">-D6*D9/100</f>
        <v>-3968.841240375</v>
      </c>
      <c r="E10" s="0" t="n">
        <f aca="false">-E6*E9/100</f>
        <v>-4083.93763634587</v>
      </c>
      <c r="F10" s="0" t="n">
        <f aca="false">-F6*F9/100</f>
        <v>-4200.6215688129</v>
      </c>
      <c r="G10" s="0" t="n">
        <f aca="false">-G6*G9/100</f>
        <v>-4298.19850733845</v>
      </c>
      <c r="H10" s="0" t="n">
        <f aca="false">-H6*H9/100</f>
        <v>-4396.05111165445</v>
      </c>
      <c r="I10" s="0" t="n">
        <f aca="false">-I6*I9/100</f>
        <v>-4472.50417446583</v>
      </c>
      <c r="J10" s="0" t="n">
        <f aca="false">-J6*J9/100</f>
        <v>-4651.40434144447</v>
      </c>
      <c r="K10" s="0" t="n">
        <f aca="false">-K6*K9/100</f>
        <v>-4814.20349339502</v>
      </c>
      <c r="L10" s="0" t="n">
        <f aca="false">-L6*L9/100</f>
        <v>-4982.70061566385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48528.9592425</v>
      </c>
      <c r="D11" s="0" t="n">
        <f aca="false">D8+D10+D24</f>
        <v>54373.1249931375</v>
      </c>
      <c r="E11" s="0" t="n">
        <f aca="false">E8+E10+E24</f>
        <v>60508.9535507573</v>
      </c>
      <c r="F11" s="0" t="n">
        <f aca="false">F8+F10+F24</f>
        <v>67122.4321516561</v>
      </c>
      <c r="G11" s="0" t="n">
        <f aca="false">G8+G10+G24</f>
        <v>73435.1787530378</v>
      </c>
      <c r="H11" s="0" t="n">
        <f aca="false">H8+H10+H24</f>
        <v>79702.3179808655</v>
      </c>
      <c r="I11" s="0" t="n">
        <f aca="false">I8+I10+I24</f>
        <v>85474.5242231248</v>
      </c>
      <c r="J11" s="0" t="n">
        <f aca="false">J8+J10+J24</f>
        <v>90960.7960104696</v>
      </c>
      <c r="K11" s="0" t="n">
        <f aca="false">K8+K10+K24</f>
        <v>95749.1583686344</v>
      </c>
      <c r="L11" s="0" t="n">
        <f aca="false">L8+L10+L24</f>
        <v>100207.645715017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-15800.126265</v>
      </c>
      <c r="D12" s="4" t="n">
        <f aca="false">-D6*Assumptions!D45/100</f>
        <v>-17462.90145765</v>
      </c>
      <c r="E12" s="4" t="n">
        <f aca="false">-E6*Assumptions!E45/100</f>
        <v>-19169.5031910112</v>
      </c>
      <c r="F12" s="4" t="n">
        <f aca="false">-F6*Assumptions!F45/100</f>
        <v>-21003.1078440645</v>
      </c>
      <c r="G12" s="4" t="n">
        <f aca="false">-G6*Assumptions!G45/100</f>
        <v>-22405.5028574026</v>
      </c>
      <c r="H12" s="4" t="n">
        <f aca="false">-H6*Assumptions!H45/100</f>
        <v>-23891.5821285568</v>
      </c>
      <c r="I12" s="4" t="n">
        <f aca="false">-I6*Assumptions!I45/100</f>
        <v>-24847.2454136991</v>
      </c>
      <c r="J12" s="4" t="n">
        <f aca="false">-J6*Assumptions!J45/100</f>
        <v>-25841.135230247</v>
      </c>
      <c r="K12" s="4" t="n">
        <f aca="false">-K6*Assumptions!K45/100</f>
        <v>-26745.5749633057</v>
      </c>
      <c r="L12" s="4" t="n">
        <f aca="false">-L6*Assumptions!L45/100</f>
        <v>-27681.6700870214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32728.8329775</v>
      </c>
      <c r="D13" s="0" t="n">
        <f aca="false">D11+D12</f>
        <v>36910.2235354875</v>
      </c>
      <c r="E13" s="0" t="n">
        <f aca="false">E11+E12</f>
        <v>41339.450359746</v>
      </c>
      <c r="F13" s="0" t="n">
        <f aca="false">F11+F12</f>
        <v>46119.3243075916</v>
      </c>
      <c r="G13" s="0" t="n">
        <f aca="false">G11+G12</f>
        <v>51029.6758956352</v>
      </c>
      <c r="H13" s="0" t="n">
        <f aca="false">H11+H12</f>
        <v>55810.7358523087</v>
      </c>
      <c r="I13" s="0" t="n">
        <f aca="false">I11+I12</f>
        <v>60627.2788094258</v>
      </c>
      <c r="J13" s="0" t="n">
        <f aca="false">J11+J12</f>
        <v>65119.6607802225</v>
      </c>
      <c r="K13" s="0" t="n">
        <f aca="false">K11+K12</f>
        <v>69003.5834053287</v>
      </c>
      <c r="L13" s="0" t="n">
        <f aca="false">L11+L12</f>
        <v>72525.975627996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22</v>
      </c>
      <c r="E14" s="4" t="n">
        <f aca="false">Assumptions!E47</f>
        <v>22.5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23.5</v>
      </c>
      <c r="I14" s="4" t="n">
        <f aca="false">Assumptions!I47</f>
        <v>23.5</v>
      </c>
      <c r="J14" s="4" t="n">
        <f aca="false">Assumptions!J47</f>
        <v>23.5</v>
      </c>
      <c r="K14" s="4" t="n">
        <f aca="false">Assumptions!K47</f>
        <v>23.5</v>
      </c>
      <c r="L14" s="4" t="n">
        <f aca="false">Assumptions!L47</f>
        <v>23.5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25855.778052225</v>
      </c>
      <c r="D15" s="0" t="n">
        <f aca="false">D13-MAX(0,D13)*D14/100</f>
        <v>28789.9743576802</v>
      </c>
      <c r="E15" s="0" t="n">
        <f aca="false">E13-MAX(0,E13)*E14/100</f>
        <v>32038.0740288032</v>
      </c>
      <c r="F15" s="0" t="n">
        <f aca="false">F13-MAX(0,F13)*F14/100</f>
        <v>35511.8797168456</v>
      </c>
      <c r="G15" s="0" t="n">
        <f aca="false">G13-MAX(0,G13)*G14/100</f>
        <v>39292.8504396391</v>
      </c>
      <c r="H15" s="0" t="n">
        <f aca="false">H13-MAX(0,H13)*H14/100</f>
        <v>42695.2129270161</v>
      </c>
      <c r="I15" s="0" t="n">
        <f aca="false">I13-MAX(0,I13)*I14/100</f>
        <v>46379.8682892107</v>
      </c>
      <c r="J15" s="0" t="n">
        <f aca="false">J13-MAX(0,J13)*J14/100</f>
        <v>49816.5404968702</v>
      </c>
      <c r="K15" s="0" t="n">
        <f aca="false">K13-MAX(0,K13)*K14/100</f>
        <v>52787.7413050764</v>
      </c>
      <c r="L15" s="0" t="n">
        <f aca="false">L13-MAX(0,L13)*L14/100</f>
        <v>55482.371355417</v>
      </c>
    </row>
    <row r="16" customFormat="false" ht="15" hidden="false" customHeight="false" outlineLevel="0" collapsed="false">
      <c r="A16" s="0" t="s">
        <v>128</v>
      </c>
      <c r="C16" s="0" t="n">
        <f aca="false">-C12</f>
        <v>15800.126265</v>
      </c>
      <c r="D16" s="0" t="n">
        <f aca="false">-D12</f>
        <v>17462.90145765</v>
      </c>
      <c r="E16" s="0" t="n">
        <f aca="false">-E12</f>
        <v>19169.5031910112</v>
      </c>
      <c r="F16" s="0" t="n">
        <f aca="false">-F12</f>
        <v>21003.1078440645</v>
      </c>
      <c r="G16" s="0" t="n">
        <f aca="false">-G12</f>
        <v>22405.5028574026</v>
      </c>
      <c r="H16" s="0" t="n">
        <f aca="false">-H12</f>
        <v>23891.5821285568</v>
      </c>
      <c r="I16" s="0" t="n">
        <f aca="false">-I12</f>
        <v>24847.2454136991</v>
      </c>
      <c r="J16" s="0" t="n">
        <f aca="false">-J12</f>
        <v>25841.135230247</v>
      </c>
      <c r="K16" s="0" t="n">
        <f aca="false">-K12</f>
        <v>26745.5749633057</v>
      </c>
      <c r="L16" s="0" t="n">
        <f aca="false">-L12</f>
        <v>27681.6700870214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-29343.091635</v>
      </c>
      <c r="D17" s="4" t="n">
        <f aca="false">-D6*Assumptions!D46/100</f>
        <v>-29369.425178775</v>
      </c>
      <c r="E17" s="4" t="n">
        <f aca="false">-E6*Assumptions!E46/100</f>
        <v>-28337.5264562775</v>
      </c>
      <c r="F17" s="4" t="n">
        <f aca="false">-F6*Assumptions!F46/100</f>
        <v>-28004.143792086</v>
      </c>
      <c r="G17" s="4" t="n">
        <f aca="false">-G6*Assumptions!G46/100</f>
        <v>-27435.3096213092</v>
      </c>
      <c r="H17" s="4" t="n">
        <f aca="false">-H6*Assumptions!H46/100</f>
        <v>-27714.2352691259</v>
      </c>
      <c r="I17" s="4" t="n">
        <f aca="false">-I6*Assumptions!I46/100</f>
        <v>-27828.914863343</v>
      </c>
      <c r="J17" s="4" t="n">
        <f aca="false">-J6*Assumptions!J46/100</f>
        <v>-27908.4260486668</v>
      </c>
      <c r="K17" s="4" t="n">
        <f aca="false">-K6*Assumptions!K46/100</f>
        <v>-28885.2209603701</v>
      </c>
      <c r="L17" s="4" t="n">
        <f aca="false">-L6*Assumptions!L46/100</f>
        <v>-29896.2036939831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784.479299999999</v>
      </c>
      <c r="D18" s="4" t="n">
        <f aca="false">(D6-C6)*Assumptions!$B$51/100</f>
        <v>827.625661499999</v>
      </c>
      <c r="E18" s="4" t="n">
        <f aca="false">(E6-D6)*Assumptions!$B$51/100</f>
        <v>793.768248075</v>
      </c>
      <c r="F18" s="4" t="n">
        <f aca="false">(F6-E6)*Assumptions!$B$51/100</f>
        <v>833.456660478751</v>
      </c>
      <c r="G18" s="4" t="n">
        <f aca="false">(G6-F6)*Assumptions!$B$51/100</f>
        <v>787.616544152417</v>
      </c>
      <c r="H18" s="4" t="n">
        <f aca="false">(H6-G6)*Assumptions!$B$51/100</f>
        <v>823.059288639277</v>
      </c>
      <c r="I18" s="4" t="n">
        <f aca="false">(I6-H6)*Assumptions!$B$51/100</f>
        <v>764.530628113819</v>
      </c>
      <c r="J18" s="4" t="n">
        <f aca="false">(J6-I6)*Assumptions!$B$51/100</f>
        <v>795.111853238372</v>
      </c>
      <c r="K18" s="4" t="n">
        <f aca="false">(K6-J6)*Assumptions!$B$51/100</f>
        <v>723.551786446916</v>
      </c>
      <c r="L18" s="4" t="n">
        <f aca="false">(L6-K6)*Assumptions!$B$51/100</f>
        <v>748.876098972559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13097.291982225</v>
      </c>
      <c r="D19" s="0" t="n">
        <f aca="false">D15+D16+D17+D18</f>
        <v>17711.0762980552</v>
      </c>
      <c r="E19" s="0" t="n">
        <f aca="false">E15+E16+E17+E18</f>
        <v>23663.8190116119</v>
      </c>
      <c r="F19" s="0" t="n">
        <f aca="false">F15+F16+F17+F18</f>
        <v>29344.3004293028</v>
      </c>
      <c r="G19" s="0" t="n">
        <f aca="false">G15+G16+G17+G18</f>
        <v>35050.6602198848</v>
      </c>
      <c r="H19" s="0" t="n">
        <f aca="false">H15+H16+H17+H18</f>
        <v>39695.6190750863</v>
      </c>
      <c r="I19" s="0" t="n">
        <f aca="false">I15+I16+I17+I18</f>
        <v>44162.7294676806</v>
      </c>
      <c r="J19" s="0" t="n">
        <f aca="false">J15+J16+J17+J18</f>
        <v>48544.3615316888</v>
      </c>
      <c r="K19" s="0" t="n">
        <f aca="false">K15+K16+K17+K18</f>
        <v>51371.6470944589</v>
      </c>
      <c r="L19" s="0" t="n">
        <f aca="false">L15+L16+L17+L18</f>
        <v>54016.7138474278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12127.1222057639</v>
      </c>
      <c r="D21" s="0" t="n">
        <f aca="false">D19*D20</f>
        <v>15184.3932596496</v>
      </c>
      <c r="E21" s="0" t="n">
        <f aca="false">E19*E20</f>
        <v>18785.1024770836</v>
      </c>
      <c r="F21" s="0" t="n">
        <f aca="false">F19*F20</f>
        <v>21568.9368249653</v>
      </c>
      <c r="G21" s="0" t="n">
        <f aca="false">G19*G20</f>
        <v>23854.890390593</v>
      </c>
      <c r="H21" s="0" t="n">
        <f aca="false">H19*H20</f>
        <v>25014.973461441</v>
      </c>
      <c r="I21" s="0" t="n">
        <f aca="false">I19*I20</f>
        <v>25768.5284729517</v>
      </c>
      <c r="J21" s="0" t="n">
        <f aca="false">J19*J20</f>
        <v>26227.0080535862</v>
      </c>
      <c r="K21" s="0" t="n">
        <f aca="false">K19*K20</f>
        <v>25698.6133988449</v>
      </c>
      <c r="L21" s="0" t="n">
        <f aca="false">L19*L20</f>
        <v>25020.1901018623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219249.758646741</v>
      </c>
    </row>
    <row r="31" customFormat="false" ht="15" hidden="false" customHeight="false" outlineLevel="0" collapsed="false">
      <c r="A31" s="0" t="s">
        <v>137</v>
      </c>
      <c r="B31" s="0" t="n">
        <f aca="false">L19</f>
        <v>54016.7138474278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1242384.41849084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1080334.27694856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1080334.27694856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500403.802037247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719653.560683988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661739.560683988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82.9455453351703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-0.204435590493284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28749.924909798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53082.952999774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93.2028626966107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486150.42462685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26.8723644555266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31.4199286879737</v>
      </c>
      <c r="C4" s="0" t="n">
        <f aca="false">B4/Assumptions!$B$2-1</f>
        <v>-0.698638704316385</v>
      </c>
      <c r="D4" s="4" t="n">
        <f aca="false">Assumptions!$B$24</f>
        <v>0.2</v>
      </c>
      <c r="E4" s="4" t="n">
        <f aca="false">DCF_Bear!$B$43</f>
        <v>38.7607415053862</v>
      </c>
      <c r="F4" s="4" t="n">
        <f aca="false">DCF_Bear!$B$47</f>
        <v>9.09966755734173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60.1539253211339</v>
      </c>
      <c r="C5" s="0" t="n">
        <f aca="false">B5/Assumptions!$B$2-1</f>
        <v>-0.423039273727855</v>
      </c>
      <c r="D5" s="4" t="n">
        <f aca="false">Assumptions!$B$38</f>
        <v>0.5</v>
      </c>
      <c r="E5" s="4" t="n">
        <f aca="false">DCF_Base!$B$43</f>
        <v>69.2063552166958</v>
      </c>
      <c r="F5" s="4" t="n">
        <f aca="false">DCF_Base!$B$47</f>
        <v>18.3761176743947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82.9455453351703</v>
      </c>
      <c r="C6" s="0" t="n">
        <f aca="false">B6/Assumptions!$B$2-1</f>
        <v>-0.204435590493284</v>
      </c>
      <c r="D6" s="4" t="n">
        <f aca="false">Assumptions!$B$52</f>
        <v>0.3</v>
      </c>
      <c r="E6" s="4" t="n">
        <f aca="false">DCF_Bull!$B$43</f>
        <v>93.2028626966107</v>
      </c>
      <c r="F6" s="4" t="n">
        <f aca="false">DCF_Bull!$B$47</f>
        <v>26.8723644555266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61.2446119987127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70.3161847184084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-0.70235383321869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474.177844685023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19.0697016853237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60.1539253211339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49.0647322815282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40.2044439192995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33.5942534828577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28.4821636106619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18.3761176743947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72.1129844393604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72.1129844393604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72.1129844393604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72.1129844393604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72.1129844393604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65.8429035102103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65.8429035102103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65.8429035102103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65.8429035102103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65.8429035102103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53.2785246915936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57.0287432167973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60.1539253211339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60.1539253211339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60.1539253211339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43.6406466422229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46.1440707834407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49.0647322815282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52.5164231429043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54.9864404565495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36.4573712450122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38.2060051596796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40.2044439192995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42.5103347957841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45.2005408183493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2026-10-02T21:54:17Z</dcterms:created>
  <dc:creator>openpyxl</dc:creator>
  <dc:description/>
  <dc:language>en-NZ</dc:language>
  <cp:lastModifiedBy/>
  <dcterms:modified xsi:type="dcterms:W3CDTF">2026-10-02T21:54:17Z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