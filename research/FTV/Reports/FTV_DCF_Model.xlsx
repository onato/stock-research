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<sst xmlns="http://schemas.openxmlformats.org/spreadsheetml/2006/main" count="370" uniqueCount="169">
  <si>
    <t xml:space="preserve">Ticker</t>
  </si>
  <si>
    <t xml:space="preserve">FTV</t>
  </si>
  <si>
    <t xml:space="preserve">Company</t>
  </si>
  <si>
    <t xml:space="preserve">Fortive Corporation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</si>
  <si>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</si>
  <si>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</si>
  <si>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</si>
  <si>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</si>
  <si>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2026-09-25T20:00:03Z regular close (Yahoo Finance)</t>
  </si>
  <si>
    <t xml:space="preserve">Balance sheet date</t>
  </si>
  <si>
    <t xml:space="preserve">2026-07-03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</si>
  <si>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</si>
  <si>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</si>
  <si>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</si>
  <si>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</si>
  <si>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</si>
  <si>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</si>
  <si>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</si>
  <si>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</si>
  <si>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</si>
  <si>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</si>
  <si>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2026-09-28T08:38:40Z</t>
  </si>
  <si>
    <t xml:space="preserve">Drivers file</t>
  </si>
  <si>
    <t xml:space="preserve">FTV_Drivers.json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</si>
  <si>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</si>
  <si>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</si>
  <si>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</si>
  <si>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continuing post-Ralliant business only, on unlevered owner FCF built from components (pre-SBC EBITDA, SBC expensed, rolling-off amortisation, cash tax ramping to 20%, growth-consuming working capital), discounted at an 8.5% USD WACC with net debt from the latest (2026-07-03) balance sheet and a flat fully diluted count. Pre-2023 history is treated as evidence of the Fluke/ASP moat and of cyclicality, not as a growth base, because the portfolio has been separated three times.
key_risks_to_valuation: Industrial capex cyclicality in the iOS segment (Fluke, industrial software) -- European softness and China weakness could become a revenue contraction rather than channel destocking; AHS margin compression from product mix and investment spend persisting beyond FY2026; Post-spin standalone cost structure and 2.6x net debt/EBITDA untested through a full cycle; refinancing at higher rates; Margin framework (50-100bp/yr) not delivered; base assumes ~40bp/yr, bull the top of the range; FX: ~half of revenue is non-USD (EUR, CNY); FY2026 guidance includes an FX tailwind; Capital allocation: bolt-on M&amp;A (UV Smart) outside the organic model; acquisitions at high multiples would dilute the owner-FCF return; Terminal value is a large share of EV at an 8.5% WACC; the 18x cap and 2.5% terminal growth are the load-bearing assumptions</t>
  </si>
  <si>
    <t xml:space="preserve">Data sources</t>
  </si>
  <si>
    <t xml:space="preserve">price: Yahoo Finance chart API at inputs.price_as_of; 52-week range 47.71-64.56
financials: SEC XBRL companyfacts (CIK 0001659166) for FY2024-FY2025 and Q1-2026; Q2-2026 10-Q iXBRL (accession 0001659166-26-000034, quarter ended 2026-07-03) read directly for balance-sheet anchors, share count, H1-2026 SBC, continuing OCF, capex and buybacks; research/FTV/Reports/FTV_Metrics.csv and the kpis table (OperatingCashFlowContinuing, NetIncomeContinuing, EPSContinuingDiluted, cash_taxes) for the FY2023-FY2025 continuing-operations series
qualitative: research/FTV/Reports/FTV_Analysis.json (2026-09-28): segment mix, FY2026 guidance raised 2026-07-29, bull/bear axes, Ralliant separation details</t>
  </si>
  <si>
    <t xml:space="preserve">Scenario narrative: bear</t>
  </si>
  <si>
    <t xml:space="preserve">An industrial-capex recession in 2027-28 (revenue 0% then -3%) hits the cyclical iOS hardware half while AHS mix keeps compressing; margins trough at 28% and never regain the FY2026 level; the untested standalone cost structure and 2.6x leverage limit the response. Terminal 2% at a 15x cap.</t>
  </si>
  <si>
    <t xml:space="preserve">Scenario narrative: base</t>
  </si>
  <si>
    <t xml:space="preserve">Post-spin Fortive as a mid-single-digit grower with steady, below-framework margin expansion: FY2026 on the raised guidance (4.35B revenue, ~4% core, adjusted EPS 2.95-3.05), 4-4.5% growth through 2028 fading to 2.5%, pre-SBC EBITDA margin 31.2% -&gt; 33.5%, cash tax normalising to 20%, intangible amortisation rolling off. Buybacks keep the diluted count flat while SBC (~2.2% of revenue) is expensed.</t>
  </si>
  <si>
    <t xml:space="preserve">Scenario narrative: bull</t>
  </si>
  <si>
    <t xml:space="preserve">Data-center test demand and Fluke recurring bundles, plus AI-enabled software (Gordian Flash AI, Intelex/Accruent) push growth to 6-6.5% in 2027-28 and management delivers the top of its 50-100bp margin framework (36% pre-SBC by year 8). A leaner, higher-recurring portfolio re-rates toward Roper-style multiples; terminal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</si>
  <si>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</si>
  <si>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</si>
  <si>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</si>
  <si>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</si>
  <si>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</si>
  <si>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</si>
  <si>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</si>
  <si>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</si>
  <si>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</si>
  <si>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</si>
  <si>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</si>
  <si>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</si>
  <si>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</si>
  <si>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</si>
  <si>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</si>
  <si>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</si>
  <si>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</si>
  <si>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</si>
  <si>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</si>
  <si>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</si>
  <si>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</si>
  <si>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</si>
  <si>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</si>
  <si>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</si>
  <si>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</si>
  <si>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</si>
  <si>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</si>
  <si>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NetIncomeContinuing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</si>
  <si>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</si>
  <si>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</si>
  <si>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</si>
  <si>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</si>
  <si>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</si>
  <si>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</si>
  <si>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</si>
  <si>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</si>
  <si>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</si>
  <si>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</si>
  <si>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</si>
  <si>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</si>
  <si>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</si>
  <si>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</si>
  <si>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</si>
  <si>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</si>
  <si>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</si>
  <si>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</si>
  <si>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</si>
  <si>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</si>
  <si>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</si>
  <si>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</si>
  <si>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</si>
  <si>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</si>
  <si>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</si>
  <si>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</si>
  <si>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</si>
  <si>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</si>
  <si>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</si>
  <si>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</si>
  <si>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</si>
  <si>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</si>
  <si>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</si>
  <si>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</si>
  <si>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</si>
  <si>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</si>
  <si>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</si>
  <si>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</si>
  <si>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</si>
  <si>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</si>
  <si>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</si>
  <si>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</si>
  <si>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</si>
  <si>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</si>
  <si>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</si>
  <si>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</si>
  <si>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</si>
  <si>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</si>
  <si>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</si>
  <si>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</si>
  <si>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FTV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</si>
  <si>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</si>
  <si>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</si>
  <si>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</si>
  <si>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</si>
  <si>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</si>
  <si>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</si>
  <si>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</si>
  <si>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</si>
  <si>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</si>
  <si>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</si>
  <si>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</si>
  <si>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</si>
  <si>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</si>
  <si>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</si>
  <si>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</si>
  <si>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</si>
  <si>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</si>
  <si>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</si>
  <si>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</si>
  <si>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</si>
  <si>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</si>
  <si>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</si>
  <si>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</si>
  <si>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</si>
  <si>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</si>
  <si>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</si>
  <si>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</si>
  <si>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</si>
  <si>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</si>
  <si>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</si>
  <si>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FTV owner-FCF component DCF: base case (millions, USD)</t>
  </si>
  <si>
    <t xml:space="preserve">FTV owner-FCF component DCF: bull case (millions, USD)</t>
  </si>
  <si>
    <t xml:space="preserve">FTV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</si>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</sst>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56.09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S2" s="0" t="n">
        <v>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6337.2</v>
      </c>
      <c r="C3" s="0" t="n">
        <v>3288</v>
      </c>
      <c r="D3" s="0" t="n">
        <v>3049.2</v>
      </c>
      <c r="E3" s="0" t="n">
        <v>48.1158871425866</v>
      </c>
      <c r="F3" s="0" t="n">
        <v>1245.3</v>
      </c>
      <c r="G3" s="0" t="n">
        <v>19.650634349555</v>
      </c>
      <c r="H3" s="0" t="n">
        <v>1423.3</v>
      </c>
      <c r="I3" s="0" t="n">
        <v>883.4</v>
      </c>
      <c r="J3" s="0" t="n">
        <v>13.9399103705106</v>
      </c>
      <c r="K3" s="0" t="n">
        <v>2.56</v>
      </c>
      <c r="L3" s="0" t="n">
        <v>946.7</v>
      </c>
      <c r="M3" s="0" t="n">
        <v>102.6</v>
      </c>
      <c r="N3" s="0" t="n">
        <v>844.1</v>
      </c>
      <c r="P3" s="0" t="n">
        <v>7355.6</v>
      </c>
      <c r="S3" s="0" t="n">
        <v>0</v>
      </c>
      <c r="T3" s="0" t="n">
        <v>345.2</v>
      </c>
      <c r="U3" s="0" t="n">
        <v>30.8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6178.8</v>
      </c>
      <c r="C4" s="0" t="n">
        <v>3178.8</v>
      </c>
      <c r="D4" s="0" t="n">
        <v>3000</v>
      </c>
      <c r="E4" s="0" t="n">
        <v>48.5531171101185</v>
      </c>
      <c r="F4" s="0" t="n">
        <v>1269.7</v>
      </c>
      <c r="G4" s="0" t="n">
        <v>20.5492975982391</v>
      </c>
      <c r="H4" s="0" t="n">
        <v>1446.6</v>
      </c>
      <c r="I4" s="0" t="n">
        <v>863.8</v>
      </c>
      <c r="J4" s="0" t="n">
        <v>13.9800608532401</v>
      </c>
      <c r="K4" s="0" t="n">
        <v>2.5</v>
      </c>
      <c r="L4" s="0" t="n">
        <v>1009</v>
      </c>
      <c r="M4" s="0" t="n">
        <v>120.1</v>
      </c>
      <c r="N4" s="0" t="n">
        <v>888.9</v>
      </c>
      <c r="O4" s="0" t="n">
        <v>5182.5</v>
      </c>
      <c r="P4" s="0" t="n">
        <v>7210.6</v>
      </c>
      <c r="R4" s="0" t="n">
        <v>0</v>
      </c>
      <c r="S4" s="0" t="n">
        <v>0</v>
      </c>
      <c r="T4" s="0" t="n">
        <v>345.2</v>
      </c>
      <c r="U4" s="0" t="n">
        <v>35.2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5378.2</v>
      </c>
      <c r="C5" s="0" t="n">
        <v>2692.7</v>
      </c>
      <c r="D5" s="0" t="n">
        <v>2685.5</v>
      </c>
      <c r="E5" s="0" t="n">
        <v>49.9330631066156</v>
      </c>
      <c r="F5" s="0" t="n">
        <v>1061.7</v>
      </c>
      <c r="G5" s="0" t="n">
        <v>19.7408054739504</v>
      </c>
      <c r="H5" s="0" t="n">
        <v>1222.6</v>
      </c>
      <c r="I5" s="0" t="n">
        <v>872.3</v>
      </c>
      <c r="J5" s="0" t="n">
        <v>16.2191811386709</v>
      </c>
      <c r="K5" s="0" t="n">
        <v>2.51</v>
      </c>
      <c r="L5" s="0" t="n">
        <v>1136.9</v>
      </c>
      <c r="M5" s="0" t="n">
        <v>110.1</v>
      </c>
      <c r="N5" s="0" t="n">
        <v>1026.8</v>
      </c>
      <c r="O5" s="0" t="n">
        <v>2691</v>
      </c>
      <c r="P5" s="0" t="n">
        <v>8189.8</v>
      </c>
      <c r="R5" s="0" t="n">
        <v>3358</v>
      </c>
      <c r="S5" s="0" t="n">
        <v>803.2</v>
      </c>
      <c r="T5" s="0" t="n">
        <v>347.3</v>
      </c>
      <c r="U5" s="0" t="n">
        <v>40.7</v>
      </c>
      <c r="AA5" s="0" t="s">
        <v>17</v>
      </c>
      <c r="AB5" s="0" t="s">
        <v>14</v>
      </c>
      <c r="AC5" s="0" t="n">
        <v>740.2</v>
      </c>
    </row>
    <row r="6" customFormat="false" ht="15" hidden="false" customHeight="false" outlineLevel="0" collapsed="false">
      <c r="A6" s="0" t="s">
        <v>68</v>
      </c>
      <c r="B6" s="0" t="n">
        <v>5756.1</v>
      </c>
      <c r="C6" s="0" t="n">
        <v>2834.7</v>
      </c>
      <c r="D6" s="0" t="n">
        <v>2921.4</v>
      </c>
      <c r="E6" s="0" t="n">
        <v>50.7531140876635</v>
      </c>
      <c r="F6" s="0" t="n">
        <v>1143</v>
      </c>
      <c r="G6" s="0" t="n">
        <v>19.8571949757648</v>
      </c>
      <c r="H6" s="0" t="n">
        <v>1301.3</v>
      </c>
      <c r="I6" s="0" t="n">
        <v>1044.5</v>
      </c>
      <c r="J6" s="0" t="n">
        <v>18.1459668873022</v>
      </c>
      <c r="K6" s="0" t="n">
        <v>2.96</v>
      </c>
      <c r="L6" s="0" t="n">
        <v>1176.4</v>
      </c>
      <c r="M6" s="0" t="n">
        <v>111.1</v>
      </c>
      <c r="N6" s="0" t="n">
        <v>1065.3</v>
      </c>
      <c r="O6" s="0" t="n">
        <v>3808.2</v>
      </c>
      <c r="P6" s="0" t="n">
        <v>10500.6</v>
      </c>
      <c r="R6" s="0" t="n">
        <v>4056.2</v>
      </c>
      <c r="S6" s="0" t="n">
        <v>962.1</v>
      </c>
      <c r="T6" s="0" t="n">
        <v>352.6</v>
      </c>
      <c r="U6" s="0" t="n">
        <v>44.2</v>
      </c>
      <c r="AA6" s="0" t="s">
        <v>17</v>
      </c>
      <c r="AB6" s="0" t="s">
        <v>14</v>
      </c>
      <c r="AC6" s="0" t="n">
        <v>884.3</v>
      </c>
    </row>
    <row r="7" customFormat="false" ht="15" hidden="false" customHeight="false" outlineLevel="0" collapsed="false">
      <c r="A7" s="0" t="s">
        <v>69</v>
      </c>
      <c r="B7" s="0" t="n">
        <v>3800.4</v>
      </c>
      <c r="C7" s="0" t="n">
        <v>1614.2</v>
      </c>
      <c r="D7" s="0" t="n">
        <v>2186.2</v>
      </c>
      <c r="E7" s="0" t="n">
        <v>57.5255236290917</v>
      </c>
      <c r="F7" s="0" t="n">
        <v>645.3</v>
      </c>
      <c r="G7" s="0" t="n">
        <v>16.9797916008841</v>
      </c>
      <c r="H7" s="0" t="n">
        <v>819.5</v>
      </c>
      <c r="I7" s="0" t="n">
        <v>2913.8</v>
      </c>
      <c r="J7" s="0" t="n">
        <v>76.6708767498158</v>
      </c>
      <c r="K7" s="0" t="n">
        <v>8.21</v>
      </c>
      <c r="L7" s="0" t="n">
        <v>1344.4</v>
      </c>
      <c r="M7" s="0" t="n">
        <v>69.9</v>
      </c>
      <c r="N7" s="0" t="n">
        <v>1274.5</v>
      </c>
      <c r="O7" s="0" t="n">
        <v>6612.9</v>
      </c>
      <c r="P7" s="0" t="n">
        <v>12905.6</v>
      </c>
      <c r="R7" s="0" t="n">
        <v>3885.9</v>
      </c>
      <c r="S7" s="0" t="n">
        <v>1178.4</v>
      </c>
      <c r="T7" s="0" t="n">
        <v>350.7</v>
      </c>
      <c r="U7" s="0" t="n">
        <v>40.6</v>
      </c>
      <c r="AA7" s="0" t="s">
        <v>17</v>
      </c>
      <c r="AB7" s="0" t="s">
        <v>14</v>
      </c>
      <c r="AC7" s="0" t="n">
        <v>490.2</v>
      </c>
    </row>
    <row r="8" customFormat="false" ht="15" hidden="false" customHeight="false" outlineLevel="0" collapsed="false">
      <c r="A8" s="0" t="s">
        <v>70</v>
      </c>
      <c r="B8" s="0" t="n">
        <v>4563.9</v>
      </c>
      <c r="C8" s="0" t="n">
        <v>2080.7</v>
      </c>
      <c r="D8" s="0" t="n">
        <v>2483.2</v>
      </c>
      <c r="E8" s="0" t="n">
        <v>54.4096058195841</v>
      </c>
      <c r="F8" s="0" t="n">
        <v>443.9</v>
      </c>
      <c r="G8" s="0" t="n">
        <v>9.72633055062556</v>
      </c>
      <c r="H8" s="0" t="n">
        <v>785.4</v>
      </c>
      <c r="I8" s="0" t="n">
        <v>738.9</v>
      </c>
      <c r="J8" s="0" t="n">
        <v>16.1901005718793</v>
      </c>
      <c r="K8" s="0" t="n">
        <v>1.97</v>
      </c>
      <c r="L8" s="0" t="n">
        <v>1271.4</v>
      </c>
      <c r="M8" s="0" t="n">
        <v>74.5</v>
      </c>
      <c r="N8" s="0" t="n">
        <v>1196.9</v>
      </c>
      <c r="O8" s="0" t="n">
        <v>7400.2</v>
      </c>
      <c r="P8" s="0" t="n">
        <v>17439</v>
      </c>
      <c r="R8" s="0" t="n">
        <v>7826.2</v>
      </c>
      <c r="S8" s="0" t="n">
        <v>1205.2</v>
      </c>
      <c r="T8" s="0" t="n">
        <v>340</v>
      </c>
      <c r="U8" s="0" t="n">
        <v>52.5</v>
      </c>
      <c r="AA8" s="0" t="s">
        <v>17</v>
      </c>
      <c r="AB8" s="0" t="s">
        <v>14</v>
      </c>
      <c r="AC8" s="0" t="n">
        <v>268.1</v>
      </c>
    </row>
    <row r="9" customFormat="false" ht="15" hidden="false" customHeight="false" outlineLevel="0" collapsed="false">
      <c r="A9" s="0" t="s">
        <v>71</v>
      </c>
      <c r="B9" s="0" t="n">
        <v>4634.4</v>
      </c>
      <c r="C9" s="0" t="n">
        <v>2025.9</v>
      </c>
      <c r="D9" s="0" t="n">
        <v>2608.5</v>
      </c>
      <c r="E9" s="0" t="n">
        <v>56.2856033143449</v>
      </c>
      <c r="F9" s="0" t="n">
        <v>539.4</v>
      </c>
      <c r="G9" s="0" t="n">
        <v>11.6390471258415</v>
      </c>
      <c r="H9" s="0" t="n">
        <v>923.4</v>
      </c>
      <c r="I9" s="0" t="n">
        <v>1613.3</v>
      </c>
      <c r="J9" s="0" t="n">
        <v>34.8114103228034</v>
      </c>
      <c r="K9" s="0" t="n">
        <v>4.49</v>
      </c>
      <c r="L9" s="0" t="n">
        <v>1436.7</v>
      </c>
      <c r="M9" s="0" t="n">
        <v>75.7</v>
      </c>
      <c r="N9" s="0" t="n">
        <v>1361</v>
      </c>
      <c r="O9" s="0" t="n">
        <v>8972.7</v>
      </c>
      <c r="P9" s="0" t="n">
        <v>16051.5</v>
      </c>
      <c r="R9" s="0" t="n">
        <v>5629.9</v>
      </c>
      <c r="S9" s="0" t="n">
        <v>1824.8</v>
      </c>
      <c r="T9" s="0" t="n">
        <v>359</v>
      </c>
      <c r="U9" s="0" t="n">
        <v>62.6</v>
      </c>
      <c r="AA9" s="0" t="s">
        <v>17</v>
      </c>
      <c r="AB9" s="0" t="s">
        <v>14</v>
      </c>
      <c r="AC9" s="0" t="n">
        <v>1452.2</v>
      </c>
    </row>
    <row r="10" customFormat="false" ht="15" hidden="false" customHeight="false" outlineLevel="0" collapsed="false">
      <c r="A10" s="0" t="s">
        <v>72</v>
      </c>
      <c r="B10" s="0" t="n">
        <v>5254.7</v>
      </c>
      <c r="C10" s="0" t="n">
        <v>2247.6</v>
      </c>
      <c r="D10" s="0" t="n">
        <v>3007.1</v>
      </c>
      <c r="E10" s="0" t="n">
        <v>57.2268635697566</v>
      </c>
      <c r="F10" s="0" t="n">
        <v>812.8</v>
      </c>
      <c r="G10" s="0" t="n">
        <v>15.4680571678688</v>
      </c>
      <c r="H10" s="0" t="n">
        <v>1208.3</v>
      </c>
      <c r="I10" s="0" t="n">
        <v>608.4</v>
      </c>
      <c r="J10" s="0" t="n">
        <v>11.578206177327</v>
      </c>
      <c r="K10" s="0" t="n">
        <v>1.63</v>
      </c>
      <c r="L10" s="0" t="n">
        <v>961.1</v>
      </c>
      <c r="M10" s="0" t="n">
        <v>50</v>
      </c>
      <c r="N10" s="0" t="n">
        <v>911.1</v>
      </c>
      <c r="O10" s="0" t="n">
        <v>9517</v>
      </c>
      <c r="P10" s="0" t="n">
        <v>16465.5</v>
      </c>
      <c r="R10" s="0" t="n">
        <v>6110.7</v>
      </c>
      <c r="S10" s="0" t="n">
        <v>819.3</v>
      </c>
      <c r="T10" s="0" t="n">
        <v>359.1</v>
      </c>
      <c r="U10" s="0" t="n">
        <v>77.4</v>
      </c>
      <c r="AA10" s="0" t="s">
        <v>17</v>
      </c>
      <c r="AB10" s="0" t="s">
        <v>14</v>
      </c>
      <c r="AC10" s="0" t="n">
        <v>614.2</v>
      </c>
    </row>
    <row r="11" customFormat="false" ht="15" hidden="false" customHeight="false" outlineLevel="0" collapsed="false">
      <c r="A11" s="0" t="s">
        <v>73</v>
      </c>
      <c r="B11" s="0" t="n">
        <v>5825.7</v>
      </c>
      <c r="C11" s="0" t="n">
        <v>2462.3</v>
      </c>
      <c r="D11" s="0" t="n">
        <v>3363.4</v>
      </c>
      <c r="E11" s="0" t="n">
        <v>57.7338345606537</v>
      </c>
      <c r="F11" s="0" t="n">
        <v>987.4</v>
      </c>
      <c r="G11" s="0" t="n">
        <v>16.9490361673275</v>
      </c>
      <c r="H11" s="0" t="n">
        <v>1453</v>
      </c>
      <c r="I11" s="0" t="n">
        <v>755.2</v>
      </c>
      <c r="J11" s="0" t="n">
        <v>12.9632490516161</v>
      </c>
      <c r="K11" s="0" t="n">
        <v>2.1</v>
      </c>
      <c r="L11" s="0" t="n">
        <v>1303.2</v>
      </c>
      <c r="M11" s="0" t="n">
        <v>95.8</v>
      </c>
      <c r="N11" s="0" t="n">
        <v>1207.4</v>
      </c>
      <c r="O11" s="0" t="n">
        <v>9688.6</v>
      </c>
      <c r="P11" s="0" t="n">
        <v>15890.6</v>
      </c>
      <c r="R11" s="0" t="n">
        <v>4251</v>
      </c>
      <c r="S11" s="0" t="n">
        <v>709.2</v>
      </c>
      <c r="T11" s="0" t="n">
        <v>360.8</v>
      </c>
      <c r="U11" s="0" t="n">
        <v>93.8</v>
      </c>
      <c r="AA11" s="0" t="s">
        <v>17</v>
      </c>
      <c r="AB11" s="0" t="s">
        <v>14</v>
      </c>
      <c r="AC11" s="0" t="n">
        <v>755.2</v>
      </c>
    </row>
    <row r="12" customFormat="false" ht="15" hidden="false" customHeight="false" outlineLevel="0" collapsed="false">
      <c r="A12" s="0" t="s">
        <v>74</v>
      </c>
      <c r="B12" s="0" t="n">
        <v>3913.9</v>
      </c>
      <c r="C12" s="0" t="n">
        <v>1436.8</v>
      </c>
      <c r="D12" s="0" t="n">
        <v>2477.1</v>
      </c>
      <c r="E12" s="0" t="n">
        <v>63.2898132297708</v>
      </c>
      <c r="F12" s="0" t="n">
        <v>574</v>
      </c>
      <c r="G12" s="0" t="n">
        <v>14.6656787347658</v>
      </c>
      <c r="H12" s="0" t="n">
        <v>1000.2</v>
      </c>
      <c r="I12" s="0" t="n">
        <v>865.8</v>
      </c>
      <c r="J12" s="0" t="n">
        <v>22.121157924321</v>
      </c>
      <c r="K12" s="0" t="n">
        <v>2.43</v>
      </c>
      <c r="L12" s="0" t="n">
        <v>1353.6</v>
      </c>
      <c r="M12" s="0" t="n">
        <v>78.6</v>
      </c>
      <c r="N12" s="0" t="n">
        <v>1275</v>
      </c>
      <c r="O12" s="0" t="n">
        <v>10325.3</v>
      </c>
      <c r="P12" s="0" t="n">
        <v>16911.8</v>
      </c>
      <c r="R12" s="0" t="n">
        <v>3646.2</v>
      </c>
      <c r="S12" s="0" t="n">
        <v>1888.8</v>
      </c>
      <c r="T12" s="0" t="n">
        <v>355.6</v>
      </c>
      <c r="U12" s="0" t="n">
        <v>94.5</v>
      </c>
      <c r="AA12" s="0" t="s">
        <v>17</v>
      </c>
      <c r="AB12" s="0" t="s">
        <v>14</v>
      </c>
      <c r="AC12" s="0" t="n">
        <v>408.4</v>
      </c>
    </row>
    <row r="13" customFormat="false" ht="15" hidden="false" customHeight="false" outlineLevel="0" collapsed="false">
      <c r="A13" s="0" t="s">
        <v>75</v>
      </c>
      <c r="B13" s="0" t="n">
        <v>4080.9</v>
      </c>
      <c r="C13" s="0" t="n">
        <v>1461.8</v>
      </c>
      <c r="D13" s="0" t="n">
        <v>2619.1</v>
      </c>
      <c r="E13" s="0" t="n">
        <v>64.1794702149036</v>
      </c>
      <c r="F13" s="0" t="n">
        <v>716.3</v>
      </c>
      <c r="G13" s="0" t="n">
        <v>17.552500673871</v>
      </c>
      <c r="H13" s="0" t="n">
        <v>1147.2</v>
      </c>
      <c r="I13" s="0" t="n">
        <v>832.9</v>
      </c>
      <c r="J13" s="0" t="n">
        <v>20.4097135435811</v>
      </c>
      <c r="K13" s="0" t="n">
        <v>2.36</v>
      </c>
      <c r="L13" s="0" t="n">
        <v>1526.8</v>
      </c>
      <c r="M13" s="0" t="n">
        <v>86.1</v>
      </c>
      <c r="N13" s="0" t="n">
        <v>1440.7</v>
      </c>
      <c r="O13" s="0" t="n">
        <v>10195.6</v>
      </c>
      <c r="P13" s="0" t="n">
        <v>17016.1</v>
      </c>
      <c r="R13" s="0" t="n">
        <v>4083.5</v>
      </c>
      <c r="S13" s="0" t="n">
        <v>813.3</v>
      </c>
      <c r="T13" s="0" t="n">
        <v>352.8</v>
      </c>
      <c r="U13" s="0" t="n">
        <v>90.1</v>
      </c>
      <c r="AA13" s="0" t="s">
        <v>17</v>
      </c>
      <c r="AB13" s="0" t="s">
        <v>14</v>
      </c>
      <c r="AC13" s="0" t="n">
        <v>482.5</v>
      </c>
    </row>
    <row r="14" customFormat="false" ht="15" hidden="false" customHeight="false" outlineLevel="0" collapsed="false">
      <c r="A14" s="0" t="s">
        <v>76</v>
      </c>
      <c r="B14" s="0" t="n">
        <v>4159.1</v>
      </c>
      <c r="C14" s="0" t="n">
        <v>1518</v>
      </c>
      <c r="D14" s="0" t="n">
        <v>2641.1</v>
      </c>
      <c r="E14" s="0" t="n">
        <v>63.5017191219254</v>
      </c>
      <c r="F14" s="0" t="n">
        <v>720.2</v>
      </c>
      <c r="G14" s="0" t="n">
        <v>17.3162463032868</v>
      </c>
      <c r="H14" s="0" t="n">
        <v>1157.8</v>
      </c>
      <c r="I14" s="0" t="n">
        <v>579.2</v>
      </c>
      <c r="J14" s="0" t="n">
        <v>13.9260897790387</v>
      </c>
      <c r="K14" s="0" t="n">
        <v>1.73</v>
      </c>
      <c r="L14" s="0" t="n">
        <v>1083.2</v>
      </c>
      <c r="M14" s="0" t="n">
        <v>105.1</v>
      </c>
      <c r="N14" s="0" t="n">
        <v>978.1</v>
      </c>
      <c r="O14" s="0" t="n">
        <v>6461.1</v>
      </c>
      <c r="P14" s="0" t="n">
        <v>11737.7</v>
      </c>
      <c r="R14" s="0" t="n">
        <v>4105.5</v>
      </c>
      <c r="S14" s="0" t="n">
        <v>375.5</v>
      </c>
      <c r="T14" s="0" t="n">
        <v>334.6</v>
      </c>
      <c r="U14" s="0" t="n">
        <v>116.8</v>
      </c>
      <c r="AA14" s="0" t="s">
        <v>17</v>
      </c>
      <c r="AB14" s="0" t="s">
        <v>14</v>
      </c>
      <c r="AC14" s="0" t="n">
        <v>532.7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56.09</v>
      </c>
    </row>
    <row r="3" customFormat="false" ht="15" hidden="false" customHeight="false" outlineLevel="0" collapsed="false">
      <c r="A3" s="0" t="s">
        <v>80</v>
      </c>
      <c r="B3" s="3" t="n">
        <v>305.4</v>
      </c>
    </row>
    <row r="4" customFormat="false" ht="15" hidden="false" customHeight="false" outlineLevel="0" collapsed="false">
      <c r="A4" s="0" t="s">
        <v>81</v>
      </c>
      <c r="B4" s="3" t="n">
        <v>3135.1</v>
      </c>
    </row>
    <row r="5" customFormat="false" ht="15" hidden="false" customHeight="false" outlineLevel="0" collapsed="false">
      <c r="A5" s="0" t="s">
        <v>82</v>
      </c>
      <c r="B5" s="3" t="n">
        <v>-8.8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4159.1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3.5</v>
      </c>
      <c r="D13" s="3" t="n">
        <v>0</v>
      </c>
      <c r="E13" s="3" t="n">
        <v>-3</v>
      </c>
      <c r="F13" s="3" t="n">
        <v>2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30.5</v>
      </c>
      <c r="D14" s="3" t="n">
        <v>29.5</v>
      </c>
      <c r="E14" s="3" t="n">
        <v>28</v>
      </c>
      <c r="F14" s="3" t="n">
        <v>28.5</v>
      </c>
      <c r="G14" s="3" t="n">
        <v>29</v>
      </c>
      <c r="H14" s="3" t="n">
        <v>29.5</v>
      </c>
      <c r="I14" s="3" t="n">
        <v>29.5</v>
      </c>
      <c r="J14" s="3" t="n">
        <v>29.5</v>
      </c>
      <c r="K14" s="3" t="n">
        <v>29.5</v>
      </c>
      <c r="L14" s="3" t="n">
        <v>29.5</v>
      </c>
    </row>
    <row r="15" customFormat="false" ht="15" hidden="false" customHeight="false" outlineLevel="0" collapsed="false">
      <c r="A15" s="0" t="s">
        <v>102</v>
      </c>
      <c r="C15" s="3" t="n">
        <v>2.3</v>
      </c>
      <c r="D15" s="3" t="n">
        <v>2.3</v>
      </c>
      <c r="E15" s="3" t="n">
        <v>2.3</v>
      </c>
      <c r="F15" s="3" t="n">
        <v>2.3</v>
      </c>
      <c r="G15" s="3" t="n">
        <v>2.3</v>
      </c>
      <c r="H15" s="3" t="n">
        <v>2.3</v>
      </c>
      <c r="I15" s="3" t="n">
        <v>2.3</v>
      </c>
      <c r="J15" s="3" t="n">
        <v>2.3</v>
      </c>
      <c r="K15" s="3" t="n">
        <v>2.3</v>
      </c>
      <c r="L15" s="3" t="n">
        <v>2.3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10.5</v>
      </c>
      <c r="D17" s="3" t="n">
        <v>10</v>
      </c>
      <c r="E17" s="3" t="n">
        <v>9.5</v>
      </c>
      <c r="F17" s="3" t="n">
        <v>9</v>
      </c>
      <c r="G17" s="3" t="n">
        <v>8.5</v>
      </c>
      <c r="H17" s="3" t="n">
        <v>8</v>
      </c>
      <c r="I17" s="3" t="n">
        <v>7.5</v>
      </c>
      <c r="J17" s="3" t="n">
        <v>7</v>
      </c>
      <c r="K17" s="3" t="n">
        <v>7</v>
      </c>
      <c r="L17" s="3" t="n">
        <v>7</v>
      </c>
    </row>
    <row r="18" customFormat="false" ht="15" hidden="false" customHeight="false" outlineLevel="0" collapsed="false">
      <c r="A18" s="0" t="s">
        <v>105</v>
      </c>
      <c r="C18" s="3" t="n">
        <v>2.3</v>
      </c>
      <c r="D18" s="3" t="n">
        <v>2.3</v>
      </c>
      <c r="E18" s="3" t="n">
        <v>2.3</v>
      </c>
      <c r="F18" s="3" t="n">
        <v>2.3</v>
      </c>
      <c r="G18" s="3" t="n">
        <v>2.3</v>
      </c>
      <c r="H18" s="3" t="n">
        <v>2.3</v>
      </c>
      <c r="I18" s="3" t="n">
        <v>2.3</v>
      </c>
      <c r="J18" s="3" t="n">
        <v>2.3</v>
      </c>
      <c r="K18" s="3" t="n">
        <v>2.3</v>
      </c>
      <c r="L18" s="3" t="n">
        <v>2.3</v>
      </c>
    </row>
    <row r="19" customFormat="false" ht="15" hidden="false" customHeight="false" outlineLevel="0" collapsed="false">
      <c r="A19" s="0" t="s">
        <v>106</v>
      </c>
      <c r="C19" s="3" t="n">
        <v>16</v>
      </c>
      <c r="D19" s="3" t="n">
        <v>17</v>
      </c>
      <c r="E19" s="3" t="n">
        <v>18</v>
      </c>
      <c r="F19" s="3" t="n">
        <v>19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107</v>
      </c>
      <c r="B20" s="3" t="n">
        <v>8.5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15</v>
      </c>
    </row>
    <row r="23" customFormat="false" ht="15" hidden="false" customHeight="false" outlineLevel="0" collapsed="false">
      <c r="A23" s="0" t="s">
        <v>110</v>
      </c>
      <c r="B23" s="3" t="n">
        <v>-8</v>
      </c>
    </row>
    <row r="24" customFormat="false" ht="15" hidden="false" customHeight="false" outlineLevel="0" collapsed="false">
      <c r="A24" s="0" t="s">
        <v>111</v>
      </c>
      <c r="B24" s="3" t="n">
        <v>0.2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4.6</v>
      </c>
      <c r="D27" s="3" t="n">
        <v>4.5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31.2</v>
      </c>
      <c r="D28" s="3" t="n">
        <v>31.6</v>
      </c>
      <c r="E28" s="3" t="n">
        <v>32</v>
      </c>
      <c r="F28" s="3" t="n">
        <v>32.4</v>
      </c>
      <c r="G28" s="3" t="n">
        <v>32.8</v>
      </c>
      <c r="H28" s="3" t="n">
        <v>33.2</v>
      </c>
      <c r="I28" s="3" t="n">
        <v>33.5</v>
      </c>
      <c r="J28" s="3" t="n">
        <v>33.5</v>
      </c>
      <c r="K28" s="3" t="n">
        <v>33.5</v>
      </c>
      <c r="L28" s="3" t="n">
        <v>33.5</v>
      </c>
    </row>
    <row r="29" customFormat="false" ht="15" hidden="false" customHeight="false" outlineLevel="0" collapsed="false">
      <c r="A29" s="0" t="s">
        <v>102</v>
      </c>
      <c r="C29" s="3" t="n">
        <v>2.2</v>
      </c>
      <c r="D29" s="3" t="n">
        <v>2.2</v>
      </c>
      <c r="E29" s="3" t="n">
        <v>2.2</v>
      </c>
      <c r="F29" s="3" t="n">
        <v>2.2</v>
      </c>
      <c r="G29" s="3" t="n">
        <v>2.2</v>
      </c>
      <c r="H29" s="3" t="n">
        <v>2.2</v>
      </c>
      <c r="I29" s="3" t="n">
        <v>2.2</v>
      </c>
      <c r="J29" s="3" t="n">
        <v>2.2</v>
      </c>
      <c r="K29" s="3" t="n">
        <v>2.2</v>
      </c>
      <c r="L29" s="3" t="n">
        <v>2.2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10.5</v>
      </c>
      <c r="D31" s="3" t="n">
        <v>10</v>
      </c>
      <c r="E31" s="3" t="n">
        <v>9.5</v>
      </c>
      <c r="F31" s="3" t="n">
        <v>9</v>
      </c>
      <c r="G31" s="3" t="n">
        <v>8.5</v>
      </c>
      <c r="H31" s="3" t="n">
        <v>8</v>
      </c>
      <c r="I31" s="3" t="n">
        <v>7.5</v>
      </c>
      <c r="J31" s="3" t="n">
        <v>7</v>
      </c>
      <c r="K31" s="3" t="n">
        <v>7</v>
      </c>
      <c r="L31" s="3" t="n">
        <v>7</v>
      </c>
    </row>
    <row r="32" customFormat="false" ht="15" hidden="false" customHeight="false" outlineLevel="0" collapsed="false">
      <c r="A32" s="0" t="s">
        <v>105</v>
      </c>
      <c r="C32" s="3" t="n">
        <v>2.4</v>
      </c>
      <c r="D32" s="3" t="n">
        <v>2.4</v>
      </c>
      <c r="E32" s="3" t="n">
        <v>2.4</v>
      </c>
      <c r="F32" s="3" t="n">
        <v>2.4</v>
      </c>
      <c r="G32" s="3" t="n">
        <v>2.4</v>
      </c>
      <c r="H32" s="3" t="n">
        <v>2.4</v>
      </c>
      <c r="I32" s="3" t="n">
        <v>2.4</v>
      </c>
      <c r="J32" s="3" t="n">
        <v>2.4</v>
      </c>
      <c r="K32" s="3" t="n">
        <v>2.4</v>
      </c>
      <c r="L32" s="3" t="n">
        <v>2.4</v>
      </c>
    </row>
    <row r="33" customFormat="false" ht="15" hidden="false" customHeight="false" outlineLevel="0" collapsed="false">
      <c r="A33" s="0" t="s">
        <v>106</v>
      </c>
      <c r="C33" s="3" t="n">
        <v>16</v>
      </c>
      <c r="D33" s="3" t="n">
        <v>17</v>
      </c>
      <c r="E33" s="3" t="n">
        <v>18</v>
      </c>
      <c r="F33" s="3" t="n">
        <v>19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107</v>
      </c>
      <c r="B34" s="3" t="n">
        <v>8.5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18</v>
      </c>
    </row>
    <row r="37" customFormat="false" ht="15" hidden="false" customHeight="false" outlineLevel="0" collapsed="false">
      <c r="A37" s="0" t="s">
        <v>110</v>
      </c>
      <c r="B37" s="3" t="n">
        <v>-8</v>
      </c>
    </row>
    <row r="38" customFormat="false" ht="15" hidden="false" customHeight="false" outlineLevel="0" collapsed="false">
      <c r="A38" s="0" t="s">
        <v>111</v>
      </c>
      <c r="B38" s="3" t="n">
        <v>0.55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5.5</v>
      </c>
      <c r="D41" s="3" t="n">
        <v>6.5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31.5</v>
      </c>
      <c r="D42" s="3" t="n">
        <v>32.2</v>
      </c>
      <c r="E42" s="3" t="n">
        <v>32.9</v>
      </c>
      <c r="F42" s="3" t="n">
        <v>33.6</v>
      </c>
      <c r="G42" s="3" t="n">
        <v>34.3</v>
      </c>
      <c r="H42" s="3" t="n">
        <v>35</v>
      </c>
      <c r="I42" s="3" t="n">
        <v>35.5</v>
      </c>
      <c r="J42" s="3" t="n">
        <v>36</v>
      </c>
      <c r="K42" s="3" t="n">
        <v>36</v>
      </c>
      <c r="L42" s="3" t="n">
        <v>36</v>
      </c>
    </row>
    <row r="43" customFormat="false" ht="15" hidden="false" customHeight="false" outlineLevel="0" collapsed="false">
      <c r="A43" s="0" t="s">
        <v>102</v>
      </c>
      <c r="C43" s="3" t="n">
        <v>2.2</v>
      </c>
      <c r="D43" s="3" t="n">
        <v>2.2</v>
      </c>
      <c r="E43" s="3" t="n">
        <v>2.1</v>
      </c>
      <c r="F43" s="3" t="n">
        <v>2.1</v>
      </c>
      <c r="G43" s="3" t="n">
        <v>2.1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10.5</v>
      </c>
      <c r="D45" s="3" t="n">
        <v>10</v>
      </c>
      <c r="E45" s="3" t="n">
        <v>9.5</v>
      </c>
      <c r="F45" s="3" t="n">
        <v>9</v>
      </c>
      <c r="G45" s="3" t="n">
        <v>8.5</v>
      </c>
      <c r="H45" s="3" t="n">
        <v>8</v>
      </c>
      <c r="I45" s="3" t="n">
        <v>7.5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105</v>
      </c>
      <c r="C46" s="3" t="n">
        <v>2.4</v>
      </c>
      <c r="D46" s="3" t="n">
        <v>2.4</v>
      </c>
      <c r="E46" s="3" t="n">
        <v>2.4</v>
      </c>
      <c r="F46" s="3" t="n">
        <v>2.4</v>
      </c>
      <c r="G46" s="3" t="n">
        <v>2.4</v>
      </c>
      <c r="H46" s="3" t="n">
        <v>2.4</v>
      </c>
      <c r="I46" s="3" t="n">
        <v>2.4</v>
      </c>
      <c r="J46" s="3" t="n">
        <v>2.4</v>
      </c>
      <c r="K46" s="3" t="n">
        <v>2.4</v>
      </c>
      <c r="L46" s="3" t="n">
        <v>2.4</v>
      </c>
    </row>
    <row r="47" customFormat="false" ht="15" hidden="false" customHeight="false" outlineLevel="0" collapsed="false">
      <c r="A47" s="0" t="s">
        <v>106</v>
      </c>
      <c r="C47" s="3" t="n">
        <v>16</v>
      </c>
      <c r="D47" s="3" t="n">
        <v>17</v>
      </c>
      <c r="E47" s="3" t="n">
        <v>18</v>
      </c>
      <c r="F47" s="3" t="n">
        <v>19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107</v>
      </c>
      <c r="B48" s="3" t="n">
        <v>8.5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18</v>
      </c>
    </row>
    <row r="51" customFormat="false" ht="15" hidden="false" customHeight="false" outlineLevel="0" collapsed="false">
      <c r="A51" s="0" t="s">
        <v>110</v>
      </c>
      <c r="B51" s="3" t="n">
        <v>-8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3.5</v>
      </c>
      <c r="D5" s="4" t="n">
        <f aca="false">Assumptions!D13</f>
        <v>0</v>
      </c>
      <c r="E5" s="4" t="n">
        <f aca="false">Assumptions!E13</f>
        <v>-3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4159.1</v>
      </c>
      <c r="C6" s="0" t="n">
        <f aca="false">B6*(1+C5/100)</f>
        <v>4304.6685</v>
      </c>
      <c r="D6" s="0" t="n">
        <f aca="false">C6*(1+D5/100)</f>
        <v>4304.6685</v>
      </c>
      <c r="E6" s="0" t="n">
        <f aca="false">D6*(1+E5/100)</f>
        <v>4175.528445</v>
      </c>
      <c r="F6" s="0" t="n">
        <f aca="false">E6*(1+F5/100)</f>
        <v>4259.0390139</v>
      </c>
      <c r="G6" s="0" t="n">
        <f aca="false">F6*(1+G5/100)</f>
        <v>4386.810184317</v>
      </c>
      <c r="H6" s="0" t="n">
        <f aca="false">G6*(1+H5/100)</f>
        <v>4518.41448984651</v>
      </c>
      <c r="I6" s="0" t="n">
        <f aca="false">H6*(1+I5/100)</f>
        <v>4631.37485209267</v>
      </c>
      <c r="J6" s="0" t="n">
        <f aca="false">I6*(1+J5/100)</f>
        <v>4747.15922339499</v>
      </c>
      <c r="K6" s="0" t="n">
        <f aca="false">J6*(1+K5/100)</f>
        <v>4842.10240786289</v>
      </c>
      <c r="L6" s="0" t="n">
        <f aca="false">K6*(1+L5/100)</f>
        <v>4938.94445602015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30.5</v>
      </c>
      <c r="D7" s="4" t="n">
        <f aca="false">Assumptions!D14</f>
        <v>29.5</v>
      </c>
      <c r="E7" s="4" t="n">
        <f aca="false">Assumptions!E14</f>
        <v>28</v>
      </c>
      <c r="F7" s="4" t="n">
        <f aca="false">Assumptions!F14</f>
        <v>28.5</v>
      </c>
      <c r="G7" s="4" t="n">
        <f aca="false">Assumptions!G14</f>
        <v>29</v>
      </c>
      <c r="H7" s="4" t="n">
        <f aca="false">Assumptions!H14</f>
        <v>29.5</v>
      </c>
      <c r="I7" s="4" t="n">
        <f aca="false">Assumptions!I14</f>
        <v>29.5</v>
      </c>
      <c r="J7" s="4" t="n">
        <f aca="false">Assumptions!J14</f>
        <v>29.5</v>
      </c>
      <c r="K7" s="4" t="n">
        <f aca="false">Assumptions!K14</f>
        <v>29.5</v>
      </c>
      <c r="L7" s="4" t="n">
        <f aca="false">Assumptions!L14</f>
        <v>29.5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1312.9238925</v>
      </c>
      <c r="D8" s="0" t="n">
        <f aca="false">D6*D7/100</f>
        <v>1269.8772075</v>
      </c>
      <c r="E8" s="0" t="n">
        <f aca="false">E6*E7/100</f>
        <v>1169.1479646</v>
      </c>
      <c r="F8" s="0" t="n">
        <f aca="false">F6*F7/100</f>
        <v>1213.8261189615</v>
      </c>
      <c r="G8" s="0" t="n">
        <f aca="false">G6*G7/100</f>
        <v>1272.17495345193</v>
      </c>
      <c r="H8" s="0" t="n">
        <f aca="false">H6*H7/100</f>
        <v>1332.93227450472</v>
      </c>
      <c r="I8" s="0" t="n">
        <f aca="false">I6*I7/100</f>
        <v>1366.25558136734</v>
      </c>
      <c r="J8" s="0" t="n">
        <f aca="false">J6*J7/100</f>
        <v>1400.41197090152</v>
      </c>
      <c r="K8" s="0" t="n">
        <f aca="false">K6*K7/100</f>
        <v>1428.42021031955</v>
      </c>
      <c r="L8" s="0" t="n">
        <f aca="false">L6*L7/100</f>
        <v>1456.98861452594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2.3</v>
      </c>
      <c r="D9" s="4" t="n">
        <f aca="false">Assumptions!D15</f>
        <v>2.3</v>
      </c>
      <c r="E9" s="4" t="n">
        <f aca="false">Assumptions!E15</f>
        <v>2.3</v>
      </c>
      <c r="F9" s="4" t="n">
        <f aca="false">Assumptions!F15</f>
        <v>2.3</v>
      </c>
      <c r="G9" s="4" t="n">
        <f aca="false">Assumptions!G15</f>
        <v>2.3</v>
      </c>
      <c r="H9" s="4" t="n">
        <f aca="false">Assumptions!H15</f>
        <v>2.3</v>
      </c>
      <c r="I9" s="4" t="n">
        <f aca="false">Assumptions!I15</f>
        <v>2.3</v>
      </c>
      <c r="J9" s="4" t="n">
        <f aca="false">Assumptions!J15</f>
        <v>2.3</v>
      </c>
      <c r="K9" s="4" t="n">
        <f aca="false">Assumptions!K15</f>
        <v>2.3</v>
      </c>
      <c r="L9" s="4" t="n">
        <f aca="false">Assumptions!L15</f>
        <v>2.3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-99.0073755</v>
      </c>
      <c r="D10" s="0" t="n">
        <f aca="false">-D6*D9/100</f>
        <v>-99.0073755</v>
      </c>
      <c r="E10" s="0" t="n">
        <f aca="false">-E6*E9/100</f>
        <v>-96.037154235</v>
      </c>
      <c r="F10" s="0" t="n">
        <f aca="false">-F6*F9/100</f>
        <v>-97.9578973197</v>
      </c>
      <c r="G10" s="0" t="n">
        <f aca="false">-G6*G9/100</f>
        <v>-100.896634239291</v>
      </c>
      <c r="H10" s="0" t="n">
        <f aca="false">-H6*H9/100</f>
        <v>-103.92353326647</v>
      </c>
      <c r="I10" s="0" t="n">
        <f aca="false">-I6*I9/100</f>
        <v>-106.521621598131</v>
      </c>
      <c r="J10" s="0" t="n">
        <f aca="false">-J6*J9/100</f>
        <v>-109.184662138085</v>
      </c>
      <c r="K10" s="0" t="n">
        <f aca="false">-K6*K9/100</f>
        <v>-111.368355380846</v>
      </c>
      <c r="L10" s="0" t="n">
        <f aca="false">-L6*L9/100</f>
        <v>-113.595722488463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1213.916517</v>
      </c>
      <c r="D11" s="0" t="n">
        <f aca="false">D8+D10+D24</f>
        <v>1170.869832</v>
      </c>
      <c r="E11" s="0" t="n">
        <f aca="false">E8+E10+E24</f>
        <v>1073.110810365</v>
      </c>
      <c r="F11" s="0" t="n">
        <f aca="false">F8+F10+F24</f>
        <v>1115.8682216418</v>
      </c>
      <c r="G11" s="0" t="n">
        <f aca="false">G8+G10+G24</f>
        <v>1171.27831921264</v>
      </c>
      <c r="H11" s="0" t="n">
        <f aca="false">H8+H10+H24</f>
        <v>1229.00874123825</v>
      </c>
      <c r="I11" s="0" t="n">
        <f aca="false">I8+I10+I24</f>
        <v>1259.73395976921</v>
      </c>
      <c r="J11" s="0" t="n">
        <f aca="false">J8+J10+J24</f>
        <v>1291.22730876344</v>
      </c>
      <c r="K11" s="0" t="n">
        <f aca="false">K8+K10+K24</f>
        <v>1317.05185493871</v>
      </c>
      <c r="L11" s="0" t="n">
        <f aca="false">L8+L10+L24</f>
        <v>1343.39289203748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-451.9901925</v>
      </c>
      <c r="D12" s="4" t="n">
        <f aca="false">-D6*Assumptions!D17/100</f>
        <v>-430.46685</v>
      </c>
      <c r="E12" s="4" t="n">
        <f aca="false">-E6*Assumptions!E17/100</f>
        <v>-396.675202275</v>
      </c>
      <c r="F12" s="4" t="n">
        <f aca="false">-F6*Assumptions!F17/100</f>
        <v>-383.313511251</v>
      </c>
      <c r="G12" s="4" t="n">
        <f aca="false">-G6*Assumptions!G17/100</f>
        <v>-372.878865666945</v>
      </c>
      <c r="H12" s="4" t="n">
        <f aca="false">-H6*Assumptions!H17/100</f>
        <v>-361.473159187721</v>
      </c>
      <c r="I12" s="4" t="n">
        <f aca="false">-I6*Assumptions!I17/100</f>
        <v>-347.35311390695</v>
      </c>
      <c r="J12" s="4" t="n">
        <f aca="false">-J6*Assumptions!J17/100</f>
        <v>-332.301145637649</v>
      </c>
      <c r="K12" s="4" t="n">
        <f aca="false">-K6*Assumptions!K17/100</f>
        <v>-338.947168550402</v>
      </c>
      <c r="L12" s="4" t="n">
        <f aca="false">-L6*Assumptions!L17/100</f>
        <v>-345.72611192141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761.9263245</v>
      </c>
      <c r="D13" s="0" t="n">
        <f aca="false">D11+D12</f>
        <v>740.402982</v>
      </c>
      <c r="E13" s="0" t="n">
        <f aca="false">E11+E12</f>
        <v>676.43560809</v>
      </c>
      <c r="F13" s="0" t="n">
        <f aca="false">F11+F12</f>
        <v>732.5547103908</v>
      </c>
      <c r="G13" s="0" t="n">
        <f aca="false">G11+G12</f>
        <v>798.399453545694</v>
      </c>
      <c r="H13" s="0" t="n">
        <f aca="false">H11+H12</f>
        <v>867.53558205053</v>
      </c>
      <c r="I13" s="0" t="n">
        <f aca="false">I11+I12</f>
        <v>912.380845862257</v>
      </c>
      <c r="J13" s="0" t="n">
        <f aca="false">J11+J12</f>
        <v>958.926163125788</v>
      </c>
      <c r="K13" s="0" t="n">
        <f aca="false">K11+K12</f>
        <v>978.104686388304</v>
      </c>
      <c r="L13" s="0" t="n">
        <f aca="false">L11+L12</f>
        <v>997.66678011607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16</v>
      </c>
      <c r="D14" s="4" t="n">
        <f aca="false">Assumptions!D19</f>
        <v>17</v>
      </c>
      <c r="E14" s="4" t="n">
        <f aca="false">Assumptions!E19</f>
        <v>18</v>
      </c>
      <c r="F14" s="4" t="n">
        <f aca="false">Assumptions!F19</f>
        <v>19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640.01811258</v>
      </c>
      <c r="D15" s="0" t="n">
        <f aca="false">D13-MAX(0,D13)*D14/100</f>
        <v>614.53447506</v>
      </c>
      <c r="E15" s="0" t="n">
        <f aca="false">E13-MAX(0,E13)*E14/100</f>
        <v>554.6771986338</v>
      </c>
      <c r="F15" s="0" t="n">
        <f aca="false">F13-MAX(0,F13)*F14/100</f>
        <v>593.369315416548</v>
      </c>
      <c r="G15" s="0" t="n">
        <f aca="false">G13-MAX(0,G13)*G14/100</f>
        <v>638.719562836555</v>
      </c>
      <c r="H15" s="0" t="n">
        <f aca="false">H13-MAX(0,H13)*H14/100</f>
        <v>694.028465640424</v>
      </c>
      <c r="I15" s="0" t="n">
        <f aca="false">I13-MAX(0,I13)*I14/100</f>
        <v>729.904676689805</v>
      </c>
      <c r="J15" s="0" t="n">
        <f aca="false">J13-MAX(0,J13)*J14/100</f>
        <v>767.14093050063</v>
      </c>
      <c r="K15" s="0" t="n">
        <f aca="false">K13-MAX(0,K13)*K14/100</f>
        <v>782.483749110643</v>
      </c>
      <c r="L15" s="0" t="n">
        <f aca="false">L13-MAX(0,L13)*L14/100</f>
        <v>798.133424092856</v>
      </c>
    </row>
    <row r="16" customFormat="false" ht="15" hidden="false" customHeight="false" outlineLevel="0" collapsed="false">
      <c r="A16" s="0" t="s">
        <v>122</v>
      </c>
      <c r="C16" s="0" t="n">
        <f aca="false">-C12</f>
        <v>451.9901925</v>
      </c>
      <c r="D16" s="0" t="n">
        <f aca="false">-D12</f>
        <v>430.46685</v>
      </c>
      <c r="E16" s="0" t="n">
        <f aca="false">-E12</f>
        <v>396.675202275</v>
      </c>
      <c r="F16" s="0" t="n">
        <f aca="false">-F12</f>
        <v>383.313511251</v>
      </c>
      <c r="G16" s="0" t="n">
        <f aca="false">-G12</f>
        <v>372.878865666945</v>
      </c>
      <c r="H16" s="0" t="n">
        <f aca="false">-H12</f>
        <v>361.473159187721</v>
      </c>
      <c r="I16" s="0" t="n">
        <f aca="false">-I12</f>
        <v>347.35311390695</v>
      </c>
      <c r="J16" s="0" t="n">
        <f aca="false">-J12</f>
        <v>332.301145637649</v>
      </c>
      <c r="K16" s="0" t="n">
        <f aca="false">-K12</f>
        <v>338.947168550402</v>
      </c>
      <c r="L16" s="0" t="n">
        <f aca="false">-L12</f>
        <v>345.72611192141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-99.0073755</v>
      </c>
      <c r="D17" s="4" t="n">
        <f aca="false">-D6*Assumptions!D18/100</f>
        <v>-99.0073755</v>
      </c>
      <c r="E17" s="4" t="n">
        <f aca="false">-E6*Assumptions!E18/100</f>
        <v>-96.037154235</v>
      </c>
      <c r="F17" s="4" t="n">
        <f aca="false">-F6*Assumptions!F18/100</f>
        <v>-97.9578973197</v>
      </c>
      <c r="G17" s="4" t="n">
        <f aca="false">-G6*Assumptions!G18/100</f>
        <v>-100.896634239291</v>
      </c>
      <c r="H17" s="4" t="n">
        <f aca="false">-H6*Assumptions!H18/100</f>
        <v>-103.92353326647</v>
      </c>
      <c r="I17" s="4" t="n">
        <f aca="false">-I6*Assumptions!I18/100</f>
        <v>-106.521621598131</v>
      </c>
      <c r="J17" s="4" t="n">
        <f aca="false">-J6*Assumptions!J18/100</f>
        <v>-109.184662138085</v>
      </c>
      <c r="K17" s="4" t="n">
        <f aca="false">-K6*Assumptions!K18/100</f>
        <v>-111.368355380846</v>
      </c>
      <c r="L17" s="4" t="n">
        <f aca="false">-L6*Assumptions!L18/100</f>
        <v>-113.595722488463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-11.64548</v>
      </c>
      <c r="D18" s="4" t="n">
        <f aca="false">(D6-C6)*Assumptions!$B$23/100</f>
        <v>-0</v>
      </c>
      <c r="E18" s="4" t="n">
        <f aca="false">(E6-D6)*Assumptions!$B$23/100</f>
        <v>10.3312044</v>
      </c>
      <c r="F18" s="4" t="n">
        <f aca="false">(F6-E6)*Assumptions!$B$23/100</f>
        <v>-6.68084551200001</v>
      </c>
      <c r="G18" s="4" t="n">
        <f aca="false">(G6-F6)*Assumptions!$B$23/100</f>
        <v>-10.22169363336</v>
      </c>
      <c r="H18" s="4" t="n">
        <f aca="false">(H6-G6)*Assumptions!$B$23/100</f>
        <v>-10.5283444423608</v>
      </c>
      <c r="I18" s="4" t="n">
        <f aca="false">(I6-H6)*Assumptions!$B$23/100</f>
        <v>-9.03682897969302</v>
      </c>
      <c r="J18" s="4" t="n">
        <f aca="false">(J6-I6)*Assumptions!$B$23/100</f>
        <v>-9.26274970418534</v>
      </c>
      <c r="K18" s="4" t="n">
        <f aca="false">(K6-J6)*Assumptions!$B$23/100</f>
        <v>-7.59545475743202</v>
      </c>
      <c r="L18" s="4" t="n">
        <f aca="false">(L6-K6)*Assumptions!$B$23/100</f>
        <v>-7.7473638525806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981.35544958</v>
      </c>
      <c r="D19" s="0" t="n">
        <f aca="false">D15+D16+D17+D18</f>
        <v>945.99394956</v>
      </c>
      <c r="E19" s="0" t="n">
        <f aca="false">E15+E16+E17+E18</f>
        <v>865.6464510738</v>
      </c>
      <c r="F19" s="0" t="n">
        <f aca="false">F15+F16+F17+F18</f>
        <v>872.044083835848</v>
      </c>
      <c r="G19" s="0" t="n">
        <f aca="false">G15+G16+G17+G18</f>
        <v>900.480100630849</v>
      </c>
      <c r="H19" s="0" t="n">
        <f aca="false">H15+H16+H17+H18</f>
        <v>941.049747119314</v>
      </c>
      <c r="I19" s="0" t="n">
        <f aca="false">I15+I16+I17+I18</f>
        <v>961.699340018931</v>
      </c>
      <c r="J19" s="0" t="n">
        <f aca="false">J15+J16+J17+J18</f>
        <v>980.994664296009</v>
      </c>
      <c r="K19" s="0" t="n">
        <f aca="false">K15+K16+K17+K18</f>
        <v>1002.46710752277</v>
      </c>
      <c r="L19" s="0" t="n">
        <f aca="false">L15+L16+L17+L18</f>
        <v>1022.51644967322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904.475068737327</v>
      </c>
      <c r="D21" s="0" t="n">
        <f aca="false">D19*D20</f>
        <v>803.579561732039</v>
      </c>
      <c r="E21" s="0" t="n">
        <f aca="false">E19*E20</f>
        <v>677.721616923498</v>
      </c>
      <c r="F21" s="0" t="n">
        <f aca="false">F19*F20</f>
        <v>629.244585643955</v>
      </c>
      <c r="G21" s="0" t="n">
        <f aca="false">G19*G20</f>
        <v>598.860169686857</v>
      </c>
      <c r="H21" s="0" t="n">
        <f aca="false">H19*H20</f>
        <v>576.811822496258</v>
      </c>
      <c r="I21" s="0" t="n">
        <f aca="false">I19*I20</f>
        <v>543.289298697445</v>
      </c>
      <c r="J21" s="0" t="n">
        <f aca="false">J19*J20</f>
        <v>510.77395007214</v>
      </c>
      <c r="K21" s="0" t="n">
        <f aca="false">K19*K20</f>
        <v>481.063590072024</v>
      </c>
      <c r="L21" s="0" t="n">
        <f aca="false">L19*L20</f>
        <v>452.244112325774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6178.06377638732</v>
      </c>
    </row>
    <row r="31" customFormat="false" ht="15" hidden="false" customHeight="false" outlineLevel="0" collapsed="false">
      <c r="A31" s="0" t="s">
        <v>131</v>
      </c>
      <c r="B31" s="0" t="n">
        <f aca="false">L19</f>
        <v>1022.51644967322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16045.6427487183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15337.7467450983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15337.7467450983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6783.66168488661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12961.7254612739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9817.82546127392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32.1474311109166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-0.426859848263209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672.73693585377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788.408706039547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36.9317979802464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8022.82137435913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11.6245260241291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4.6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4159.1</v>
      </c>
      <c r="C6" s="0" t="n">
        <f aca="false">B6*(1+C5/100)</f>
        <v>4350.4186</v>
      </c>
      <c r="D6" s="0" t="n">
        <f aca="false">C6*(1+D5/100)</f>
        <v>4546.187437</v>
      </c>
      <c r="E6" s="0" t="n">
        <f aca="false">D6*(1+E5/100)</f>
        <v>4750.765871665</v>
      </c>
      <c r="F6" s="0" t="n">
        <f aca="false">E6*(1+F5/100)</f>
        <v>4940.7965065316</v>
      </c>
      <c r="G6" s="0" t="n">
        <f aca="false">F6*(1+G5/100)</f>
        <v>5138.42836679287</v>
      </c>
      <c r="H6" s="0" t="n">
        <f aca="false">G6*(1+H5/100)</f>
        <v>5318.27335963061</v>
      </c>
      <c r="I6" s="0" t="n">
        <f aca="false">H6*(1+I5/100)</f>
        <v>5504.41292721769</v>
      </c>
      <c r="J6" s="0" t="n">
        <f aca="false">I6*(1+J5/100)</f>
        <v>5669.54531503422</v>
      </c>
      <c r="K6" s="0" t="n">
        <f aca="false">J6*(1+K5/100)</f>
        <v>5839.63167448524</v>
      </c>
      <c r="L6" s="0" t="n">
        <f aca="false">K6*(1+L5/100)</f>
        <v>5985.62246634737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31.2</v>
      </c>
      <c r="D7" s="4" t="n">
        <f aca="false">Assumptions!D28</f>
        <v>31.6</v>
      </c>
      <c r="E7" s="4" t="n">
        <f aca="false">Assumptions!E28</f>
        <v>32</v>
      </c>
      <c r="F7" s="4" t="n">
        <f aca="false">Assumptions!F28</f>
        <v>32.4</v>
      </c>
      <c r="G7" s="4" t="n">
        <f aca="false">Assumptions!G28</f>
        <v>32.8</v>
      </c>
      <c r="H7" s="4" t="n">
        <f aca="false">Assumptions!H28</f>
        <v>33.2</v>
      </c>
      <c r="I7" s="4" t="n">
        <f aca="false">Assumptions!I28</f>
        <v>33.5</v>
      </c>
      <c r="J7" s="4" t="n">
        <f aca="false">Assumptions!J28</f>
        <v>33.5</v>
      </c>
      <c r="K7" s="4" t="n">
        <f aca="false">Assumptions!K28</f>
        <v>33.5</v>
      </c>
      <c r="L7" s="4" t="n">
        <f aca="false">Assumptions!L28</f>
        <v>33.5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1357.3306032</v>
      </c>
      <c r="D8" s="0" t="n">
        <f aca="false">D6*D7/100</f>
        <v>1436.595230092</v>
      </c>
      <c r="E8" s="0" t="n">
        <f aca="false">E6*E7/100</f>
        <v>1520.2450789328</v>
      </c>
      <c r="F8" s="0" t="n">
        <f aca="false">F6*F7/100</f>
        <v>1600.81806811624</v>
      </c>
      <c r="G8" s="0" t="n">
        <f aca="false">G6*G7/100</f>
        <v>1685.40450430806</v>
      </c>
      <c r="H8" s="0" t="n">
        <f aca="false">H6*H7/100</f>
        <v>1765.66675539736</v>
      </c>
      <c r="I8" s="0" t="n">
        <f aca="false">I6*I7/100</f>
        <v>1843.97833061792</v>
      </c>
      <c r="J8" s="0" t="n">
        <f aca="false">J6*J7/100</f>
        <v>1899.29768053646</v>
      </c>
      <c r="K8" s="0" t="n">
        <f aca="false">K6*K7/100</f>
        <v>1956.27661095256</v>
      </c>
      <c r="L8" s="0" t="n">
        <f aca="false">L6*L7/100</f>
        <v>2005.18352622637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2.2</v>
      </c>
      <c r="D9" s="4" t="n">
        <f aca="false">Assumptions!D29</f>
        <v>2.2</v>
      </c>
      <c r="E9" s="4" t="n">
        <f aca="false">Assumptions!E29</f>
        <v>2.2</v>
      </c>
      <c r="F9" s="4" t="n">
        <f aca="false">Assumptions!F29</f>
        <v>2.2</v>
      </c>
      <c r="G9" s="4" t="n">
        <f aca="false">Assumptions!G29</f>
        <v>2.2</v>
      </c>
      <c r="H9" s="4" t="n">
        <f aca="false">Assumptions!H29</f>
        <v>2.2</v>
      </c>
      <c r="I9" s="4" t="n">
        <f aca="false">Assumptions!I29</f>
        <v>2.2</v>
      </c>
      <c r="J9" s="4" t="n">
        <f aca="false">Assumptions!J29</f>
        <v>2.2</v>
      </c>
      <c r="K9" s="4" t="n">
        <f aca="false">Assumptions!K29</f>
        <v>2.2</v>
      </c>
      <c r="L9" s="4" t="n">
        <f aca="false">Assumptions!L29</f>
        <v>2.2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-95.7092092</v>
      </c>
      <c r="D10" s="0" t="n">
        <f aca="false">-D6*D9/100</f>
        <v>-100.016123614</v>
      </c>
      <c r="E10" s="0" t="n">
        <f aca="false">-E6*E9/100</f>
        <v>-104.51684917663</v>
      </c>
      <c r="F10" s="0" t="n">
        <f aca="false">-F6*F9/100</f>
        <v>-108.697523143695</v>
      </c>
      <c r="G10" s="0" t="n">
        <f aca="false">-G6*G9/100</f>
        <v>-113.045424069443</v>
      </c>
      <c r="H10" s="0" t="n">
        <f aca="false">-H6*H9/100</f>
        <v>-117.002013911874</v>
      </c>
      <c r="I10" s="0" t="n">
        <f aca="false">-I6*I9/100</f>
        <v>-121.097084398789</v>
      </c>
      <c r="J10" s="0" t="n">
        <f aca="false">-J6*J9/100</f>
        <v>-124.729996930753</v>
      </c>
      <c r="K10" s="0" t="n">
        <f aca="false">-K6*K9/100</f>
        <v>-128.471896838675</v>
      </c>
      <c r="L10" s="0" t="n">
        <f aca="false">-L6*L9/100</f>
        <v>-131.683694259642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1261.621394</v>
      </c>
      <c r="D11" s="0" t="n">
        <f aca="false">D8+D10+D24</f>
        <v>1336.579106478</v>
      </c>
      <c r="E11" s="0" t="n">
        <f aca="false">E8+E10+E24</f>
        <v>1415.72822975617</v>
      </c>
      <c r="F11" s="0" t="n">
        <f aca="false">F8+F10+F24</f>
        <v>1492.12054497254</v>
      </c>
      <c r="G11" s="0" t="n">
        <f aca="false">G8+G10+G24</f>
        <v>1572.35908023862</v>
      </c>
      <c r="H11" s="0" t="n">
        <f aca="false">H8+H10+H24</f>
        <v>1648.66474148549</v>
      </c>
      <c r="I11" s="0" t="n">
        <f aca="false">I8+I10+I24</f>
        <v>1722.88124621914</v>
      </c>
      <c r="J11" s="0" t="n">
        <f aca="false">J8+J10+J24</f>
        <v>1774.56768360571</v>
      </c>
      <c r="K11" s="0" t="n">
        <f aca="false">K8+K10+K24</f>
        <v>1827.80471411388</v>
      </c>
      <c r="L11" s="0" t="n">
        <f aca="false">L8+L10+L24</f>
        <v>1873.49983196673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-456.793953</v>
      </c>
      <c r="D12" s="4" t="n">
        <f aca="false">-D6*Assumptions!D31/100</f>
        <v>-454.6187437</v>
      </c>
      <c r="E12" s="4" t="n">
        <f aca="false">-E6*Assumptions!E31/100</f>
        <v>-451.322757808175</v>
      </c>
      <c r="F12" s="4" t="n">
        <f aca="false">-F6*Assumptions!F31/100</f>
        <v>-444.671685587844</v>
      </c>
      <c r="G12" s="4" t="n">
        <f aca="false">-G6*Assumptions!G31/100</f>
        <v>-436.766411177394</v>
      </c>
      <c r="H12" s="4" t="n">
        <f aca="false">-H6*Assumptions!H31/100</f>
        <v>-425.461868770449</v>
      </c>
      <c r="I12" s="4" t="n">
        <f aca="false">-I6*Assumptions!I31/100</f>
        <v>-412.830969541326</v>
      </c>
      <c r="J12" s="4" t="n">
        <f aca="false">-J6*Assumptions!J31/100</f>
        <v>-396.868172052395</v>
      </c>
      <c r="K12" s="4" t="n">
        <f aca="false">-K6*Assumptions!K31/100</f>
        <v>-408.774217213967</v>
      </c>
      <c r="L12" s="4" t="n">
        <f aca="false">-L6*Assumptions!L31/100</f>
        <v>-418.993572644316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804.827441</v>
      </c>
      <c r="D13" s="0" t="n">
        <f aca="false">D11+D12</f>
        <v>881.960362778</v>
      </c>
      <c r="E13" s="0" t="n">
        <f aca="false">E11+E12</f>
        <v>964.405471947995</v>
      </c>
      <c r="F13" s="0" t="n">
        <f aca="false">F11+F12</f>
        <v>1047.4488593847</v>
      </c>
      <c r="G13" s="0" t="n">
        <f aca="false">G11+G12</f>
        <v>1135.59266906122</v>
      </c>
      <c r="H13" s="0" t="n">
        <f aca="false">H11+H12</f>
        <v>1223.20287271504</v>
      </c>
      <c r="I13" s="0" t="n">
        <f aca="false">I11+I12</f>
        <v>1310.05027667781</v>
      </c>
      <c r="J13" s="0" t="n">
        <f aca="false">J11+J12</f>
        <v>1377.69951155331</v>
      </c>
      <c r="K13" s="0" t="n">
        <f aca="false">K11+K12</f>
        <v>1419.03049689991</v>
      </c>
      <c r="L13" s="0" t="n">
        <f aca="false">L11+L12</f>
        <v>1454.50625932241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16</v>
      </c>
      <c r="D14" s="4" t="n">
        <f aca="false">Assumptions!D33</f>
        <v>17</v>
      </c>
      <c r="E14" s="4" t="n">
        <f aca="false">Assumptions!E33</f>
        <v>18</v>
      </c>
      <c r="F14" s="4" t="n">
        <f aca="false">Assumptions!F33</f>
        <v>19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676.05505044</v>
      </c>
      <c r="D15" s="0" t="n">
        <f aca="false">D13-MAX(0,D13)*D14/100</f>
        <v>732.02710110574</v>
      </c>
      <c r="E15" s="0" t="n">
        <f aca="false">E13-MAX(0,E13)*E14/100</f>
        <v>790.812486997356</v>
      </c>
      <c r="F15" s="0" t="n">
        <f aca="false">F13-MAX(0,F13)*F14/100</f>
        <v>848.433576101606</v>
      </c>
      <c r="G15" s="0" t="n">
        <f aca="false">G13-MAX(0,G13)*G14/100</f>
        <v>908.474135248978</v>
      </c>
      <c r="H15" s="0" t="n">
        <f aca="false">H13-MAX(0,H13)*H14/100</f>
        <v>978.562298172033</v>
      </c>
      <c r="I15" s="0" t="n">
        <f aca="false">I13-MAX(0,I13)*I14/100</f>
        <v>1048.04022134225</v>
      </c>
      <c r="J15" s="0" t="n">
        <f aca="false">J13-MAX(0,J13)*J14/100</f>
        <v>1102.15960924265</v>
      </c>
      <c r="K15" s="0" t="n">
        <f aca="false">K13-MAX(0,K13)*K14/100</f>
        <v>1135.22439751993</v>
      </c>
      <c r="L15" s="0" t="n">
        <f aca="false">L13-MAX(0,L13)*L14/100</f>
        <v>1163.60500745793</v>
      </c>
    </row>
    <row r="16" customFormat="false" ht="15" hidden="false" customHeight="false" outlineLevel="0" collapsed="false">
      <c r="A16" s="0" t="s">
        <v>122</v>
      </c>
      <c r="C16" s="0" t="n">
        <f aca="false">-C12</f>
        <v>456.793953</v>
      </c>
      <c r="D16" s="0" t="n">
        <f aca="false">-D12</f>
        <v>454.6187437</v>
      </c>
      <c r="E16" s="0" t="n">
        <f aca="false">-E12</f>
        <v>451.322757808175</v>
      </c>
      <c r="F16" s="0" t="n">
        <f aca="false">-F12</f>
        <v>444.671685587844</v>
      </c>
      <c r="G16" s="0" t="n">
        <f aca="false">-G12</f>
        <v>436.766411177394</v>
      </c>
      <c r="H16" s="0" t="n">
        <f aca="false">-H12</f>
        <v>425.461868770449</v>
      </c>
      <c r="I16" s="0" t="n">
        <f aca="false">-I12</f>
        <v>412.830969541326</v>
      </c>
      <c r="J16" s="0" t="n">
        <f aca="false">-J12</f>
        <v>396.868172052395</v>
      </c>
      <c r="K16" s="0" t="n">
        <f aca="false">-K12</f>
        <v>408.774217213967</v>
      </c>
      <c r="L16" s="0" t="n">
        <f aca="false">-L12</f>
        <v>418.993572644316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-104.4100464</v>
      </c>
      <c r="D17" s="4" t="n">
        <f aca="false">-D6*Assumptions!D32/100</f>
        <v>-109.108498488</v>
      </c>
      <c r="E17" s="4" t="n">
        <f aca="false">-E6*Assumptions!E32/100</f>
        <v>-114.01838091996</v>
      </c>
      <c r="F17" s="4" t="n">
        <f aca="false">-F6*Assumptions!F32/100</f>
        <v>-118.579116156758</v>
      </c>
      <c r="G17" s="4" t="n">
        <f aca="false">-G6*Assumptions!G32/100</f>
        <v>-123.322280803029</v>
      </c>
      <c r="H17" s="4" t="n">
        <f aca="false">-H6*Assumptions!H32/100</f>
        <v>-127.638560631135</v>
      </c>
      <c r="I17" s="4" t="n">
        <f aca="false">-I6*Assumptions!I32/100</f>
        <v>-132.105910253224</v>
      </c>
      <c r="J17" s="4" t="n">
        <f aca="false">-J6*Assumptions!J32/100</f>
        <v>-136.069087560821</v>
      </c>
      <c r="K17" s="4" t="n">
        <f aca="false">-K6*Assumptions!K32/100</f>
        <v>-140.151160187646</v>
      </c>
      <c r="L17" s="4" t="n">
        <f aca="false">-L6*Assumptions!L32/100</f>
        <v>-143.654939192337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-15.305488</v>
      </c>
      <c r="D18" s="4" t="n">
        <f aca="false">(D6-C6)*Assumptions!$B$37/100</f>
        <v>-15.66150696</v>
      </c>
      <c r="E18" s="4" t="n">
        <f aca="false">(E6-D6)*Assumptions!$B$37/100</f>
        <v>-16.3662747732</v>
      </c>
      <c r="F18" s="4" t="n">
        <f aca="false">(F6-E6)*Assumptions!$B$37/100</f>
        <v>-15.202450789328</v>
      </c>
      <c r="G18" s="4" t="n">
        <f aca="false">(G6-F6)*Assumptions!$B$37/100</f>
        <v>-15.8105488209012</v>
      </c>
      <c r="H18" s="4" t="n">
        <f aca="false">(H6-G6)*Assumptions!$B$37/100</f>
        <v>-14.38759942702</v>
      </c>
      <c r="I18" s="4" t="n">
        <f aca="false">(I6-H6)*Assumptions!$B$37/100</f>
        <v>-14.8911654069657</v>
      </c>
      <c r="J18" s="4" t="n">
        <f aca="false">(J6-I6)*Assumptions!$B$37/100</f>
        <v>-13.2105910253224</v>
      </c>
      <c r="K18" s="4" t="n">
        <f aca="false">(K6-J6)*Assumptions!$B$37/100</f>
        <v>-13.6069087560821</v>
      </c>
      <c r="L18" s="4" t="n">
        <f aca="false">(L6-K6)*Assumptions!$B$37/100</f>
        <v>-11.6792633489704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1013.13346904</v>
      </c>
      <c r="D19" s="0" t="n">
        <f aca="false">D15+D16+D17+D18</f>
        <v>1061.87583935774</v>
      </c>
      <c r="E19" s="0" t="n">
        <f aca="false">E15+E16+E17+E18</f>
        <v>1111.75058911237</v>
      </c>
      <c r="F19" s="0" t="n">
        <f aca="false">F15+F16+F17+F18</f>
        <v>1159.32369474336</v>
      </c>
      <c r="G19" s="0" t="n">
        <f aca="false">G15+G16+G17+G18</f>
        <v>1206.10771680244</v>
      </c>
      <c r="H19" s="0" t="n">
        <f aca="false">H15+H16+H17+H18</f>
        <v>1261.99800688433</v>
      </c>
      <c r="I19" s="0" t="n">
        <f aca="false">I15+I16+I17+I18</f>
        <v>1313.87411522338</v>
      </c>
      <c r="J19" s="0" t="n">
        <f aca="false">J15+J16+J17+J18</f>
        <v>1349.7481027089</v>
      </c>
      <c r="K19" s="0" t="n">
        <f aca="false">K15+K16+K17+K18</f>
        <v>1390.24054579017</v>
      </c>
      <c r="L19" s="0" t="n">
        <f aca="false">L15+L16+L17+L18</f>
        <v>1427.26437756094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933.763565935484</v>
      </c>
      <c r="D21" s="0" t="n">
        <f aca="false">D19*D20</f>
        <v>902.016045664797</v>
      </c>
      <c r="E21" s="0" t="n">
        <f aca="false">E19*E20</f>
        <v>870.398539651209</v>
      </c>
      <c r="F21" s="0" t="n">
        <f aca="false">F19*F20</f>
        <v>836.538165269322</v>
      </c>
      <c r="G21" s="0" t="n">
        <f aca="false">G19*G20</f>
        <v>802.116417052329</v>
      </c>
      <c r="H21" s="0" t="n">
        <f aca="false">H19*H20</f>
        <v>773.53548265212</v>
      </c>
      <c r="I21" s="0" t="n">
        <f aca="false">I19*I20</f>
        <v>742.242109287906</v>
      </c>
      <c r="J21" s="0" t="n">
        <f aca="false">J19*J20</f>
        <v>702.772599194256</v>
      </c>
      <c r="K21" s="0" t="n">
        <f aca="false">K19*K20</f>
        <v>667.148181723579</v>
      </c>
      <c r="L21" s="0" t="n">
        <f aca="false">L19*L20</f>
        <v>631.258217596916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7861.78932402792</v>
      </c>
    </row>
    <row r="31" customFormat="false" ht="15" hidden="false" customHeight="false" outlineLevel="0" collapsed="false">
      <c r="A31" s="0" t="s">
        <v>131</v>
      </c>
      <c r="B31" s="0" t="n">
        <f aca="false">L19</f>
        <v>1427.26437756094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24382.433116666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25690.7587960969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24382.433116666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10783.994550614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18645.7838746419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15501.8838746419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50.759279222796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-0.0950387016795156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733.573916817613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994.963696724132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56.4191928231291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11703.5678959997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18.5173731638658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5.5</v>
      </c>
      <c r="D5" s="4" t="n">
        <f aca="false">Assumptions!D41</f>
        <v>6.5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4159.1</v>
      </c>
      <c r="C6" s="0" t="n">
        <f aca="false">B6*(1+C5/100)</f>
        <v>4387.8505</v>
      </c>
      <c r="D6" s="0" t="n">
        <f aca="false">C6*(1+D5/100)</f>
        <v>4673.0607825</v>
      </c>
      <c r="E6" s="0" t="n">
        <f aca="false">D6*(1+E5/100)</f>
        <v>4976.8097333625</v>
      </c>
      <c r="F6" s="0" t="n">
        <f aca="false">E6*(1+F5/100)</f>
        <v>5275.41831736425</v>
      </c>
      <c r="G6" s="0" t="n">
        <f aca="false">F6*(1+G5/100)</f>
        <v>5565.56632481928</v>
      </c>
      <c r="H6" s="0" t="n">
        <f aca="false">G6*(1+H5/100)</f>
        <v>5843.84464106025</v>
      </c>
      <c r="I6" s="0" t="n">
        <f aca="false">H6*(1+I5/100)</f>
        <v>6106.81764990796</v>
      </c>
      <c r="J6" s="0" t="n">
        <f aca="false">I6*(1+J5/100)</f>
        <v>6351.09035590428</v>
      </c>
      <c r="K6" s="0" t="n">
        <f aca="false">J6*(1+K5/100)</f>
        <v>6573.37851836093</v>
      </c>
      <c r="L6" s="0" t="n">
        <f aca="false">K6*(1+L5/100)</f>
        <v>6770.57987391176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31.5</v>
      </c>
      <c r="D7" s="4" t="n">
        <f aca="false">Assumptions!D42</f>
        <v>32.2</v>
      </c>
      <c r="E7" s="4" t="n">
        <f aca="false">Assumptions!E42</f>
        <v>32.9</v>
      </c>
      <c r="F7" s="4" t="n">
        <f aca="false">Assumptions!F42</f>
        <v>33.6</v>
      </c>
      <c r="G7" s="4" t="n">
        <f aca="false">Assumptions!G42</f>
        <v>34.3</v>
      </c>
      <c r="H7" s="4" t="n">
        <f aca="false">Assumptions!H42</f>
        <v>35</v>
      </c>
      <c r="I7" s="4" t="n">
        <f aca="false">Assumptions!I42</f>
        <v>35.5</v>
      </c>
      <c r="J7" s="4" t="n">
        <f aca="false">Assumptions!J42</f>
        <v>36</v>
      </c>
      <c r="K7" s="4" t="n">
        <f aca="false">Assumptions!K42</f>
        <v>36</v>
      </c>
      <c r="L7" s="4" t="n">
        <f aca="false">Assumptions!L42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1382.1729075</v>
      </c>
      <c r="D8" s="0" t="n">
        <f aca="false">D6*D7/100</f>
        <v>1504.725571965</v>
      </c>
      <c r="E8" s="0" t="n">
        <f aca="false">E6*E7/100</f>
        <v>1637.37040227626</v>
      </c>
      <c r="F8" s="0" t="n">
        <f aca="false">F6*F7/100</f>
        <v>1772.54055463439</v>
      </c>
      <c r="G8" s="0" t="n">
        <f aca="false">G6*G7/100</f>
        <v>1908.98924941301</v>
      </c>
      <c r="H8" s="0" t="n">
        <f aca="false">H6*H7/100</f>
        <v>2045.34562437109</v>
      </c>
      <c r="I8" s="0" t="n">
        <f aca="false">I6*I7/100</f>
        <v>2167.92026571733</v>
      </c>
      <c r="J8" s="0" t="n">
        <f aca="false">J6*J7/100</f>
        <v>2286.39252812554</v>
      </c>
      <c r="K8" s="0" t="n">
        <f aca="false">K6*K7/100</f>
        <v>2366.41626660993</v>
      </c>
      <c r="L8" s="0" t="n">
        <f aca="false">L6*L7/100</f>
        <v>2437.40875460823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2.2</v>
      </c>
      <c r="D9" s="4" t="n">
        <f aca="false">Assumptions!D43</f>
        <v>2.2</v>
      </c>
      <c r="E9" s="4" t="n">
        <f aca="false">Assumptions!E43</f>
        <v>2.1</v>
      </c>
      <c r="F9" s="4" t="n">
        <f aca="false">Assumptions!F43</f>
        <v>2.1</v>
      </c>
      <c r="G9" s="4" t="n">
        <f aca="false">Assumptions!G43</f>
        <v>2.1</v>
      </c>
      <c r="H9" s="4" t="n">
        <f aca="false">Assumptions!H43</f>
        <v>2</v>
      </c>
      <c r="I9" s="4" t="n">
        <f aca="false">Assumptions!I43</f>
        <v>2</v>
      </c>
      <c r="J9" s="4" t="n">
        <f aca="false">Assumptions!J43</f>
        <v>2</v>
      </c>
      <c r="K9" s="4" t="n">
        <f aca="false">Assumptions!K43</f>
        <v>2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-96.532711</v>
      </c>
      <c r="D10" s="0" t="n">
        <f aca="false">-D6*D9/100</f>
        <v>-102.807337215</v>
      </c>
      <c r="E10" s="0" t="n">
        <f aca="false">-E6*E9/100</f>
        <v>-104.513004400613</v>
      </c>
      <c r="F10" s="0" t="n">
        <f aca="false">-F6*F9/100</f>
        <v>-110.783784664649</v>
      </c>
      <c r="G10" s="0" t="n">
        <f aca="false">-G6*G9/100</f>
        <v>-116.876892821205</v>
      </c>
      <c r="H10" s="0" t="n">
        <f aca="false">-H6*H9/100</f>
        <v>-116.876892821205</v>
      </c>
      <c r="I10" s="0" t="n">
        <f aca="false">-I6*I9/100</f>
        <v>-122.136352998159</v>
      </c>
      <c r="J10" s="0" t="n">
        <f aca="false">-J6*J9/100</f>
        <v>-127.021807118086</v>
      </c>
      <c r="K10" s="0" t="n">
        <f aca="false">-K6*K9/100</f>
        <v>-131.467570367219</v>
      </c>
      <c r="L10" s="0" t="n">
        <f aca="false">-L6*L9/100</f>
        <v>-135.411597478235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1285.6401965</v>
      </c>
      <c r="D11" s="0" t="n">
        <f aca="false">D8+D10+D24</f>
        <v>1401.91823475</v>
      </c>
      <c r="E11" s="0" t="n">
        <f aca="false">E8+E10+E24</f>
        <v>1532.85739787565</v>
      </c>
      <c r="F11" s="0" t="n">
        <f aca="false">F8+F10+F24</f>
        <v>1661.75676996974</v>
      </c>
      <c r="G11" s="0" t="n">
        <f aca="false">G8+G10+G24</f>
        <v>1792.11235659181</v>
      </c>
      <c r="H11" s="0" t="n">
        <f aca="false">H8+H10+H24</f>
        <v>1928.46873154988</v>
      </c>
      <c r="I11" s="0" t="n">
        <f aca="false">I8+I10+I24</f>
        <v>2045.78391271917</v>
      </c>
      <c r="J11" s="0" t="n">
        <f aca="false">J8+J10+J24</f>
        <v>2159.37072100745</v>
      </c>
      <c r="K11" s="0" t="n">
        <f aca="false">K8+K10+K24</f>
        <v>2234.94869624272</v>
      </c>
      <c r="L11" s="0" t="n">
        <f aca="false">L8+L10+L24</f>
        <v>2301.99715713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-460.7243025</v>
      </c>
      <c r="D12" s="4" t="n">
        <f aca="false">-D6*Assumptions!D45/100</f>
        <v>-467.30607825</v>
      </c>
      <c r="E12" s="4" t="n">
        <f aca="false">-E6*Assumptions!E45/100</f>
        <v>-472.796924669438</v>
      </c>
      <c r="F12" s="4" t="n">
        <f aca="false">-F6*Assumptions!F45/100</f>
        <v>-474.787648562783</v>
      </c>
      <c r="G12" s="4" t="n">
        <f aca="false">-G6*Assumptions!G45/100</f>
        <v>-473.073137609639</v>
      </c>
      <c r="H12" s="4" t="n">
        <f aca="false">-H6*Assumptions!H45/100</f>
        <v>-467.50757128482</v>
      </c>
      <c r="I12" s="4" t="n">
        <f aca="false">-I6*Assumptions!I45/100</f>
        <v>-458.011323743097</v>
      </c>
      <c r="J12" s="4" t="n">
        <f aca="false">-J6*Assumptions!J45/100</f>
        <v>-444.576324913299</v>
      </c>
      <c r="K12" s="4" t="n">
        <f aca="false">-K6*Assumptions!K45/100</f>
        <v>-460.136496285265</v>
      </c>
      <c r="L12" s="4" t="n">
        <f aca="false">-L6*Assumptions!L45/100</f>
        <v>-473.940591173823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824.915894</v>
      </c>
      <c r="D13" s="0" t="n">
        <f aca="false">D11+D12</f>
        <v>934.6121565</v>
      </c>
      <c r="E13" s="0" t="n">
        <f aca="false">E11+E12</f>
        <v>1060.06047320621</v>
      </c>
      <c r="F13" s="0" t="n">
        <f aca="false">F11+F12</f>
        <v>1186.96912140696</v>
      </c>
      <c r="G13" s="0" t="n">
        <f aca="false">G11+G12</f>
        <v>1319.03921898217</v>
      </c>
      <c r="H13" s="0" t="n">
        <f aca="false">H11+H12</f>
        <v>1460.96116026506</v>
      </c>
      <c r="I13" s="0" t="n">
        <f aca="false">I11+I12</f>
        <v>1587.77258897607</v>
      </c>
      <c r="J13" s="0" t="n">
        <f aca="false">J11+J12</f>
        <v>1714.79439609416</v>
      </c>
      <c r="K13" s="0" t="n">
        <f aca="false">K11+K12</f>
        <v>1774.81219995745</v>
      </c>
      <c r="L13" s="0" t="n">
        <f aca="false">L11+L12</f>
        <v>1828.05656595617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16</v>
      </c>
      <c r="D14" s="4" t="n">
        <f aca="false">Assumptions!D47</f>
        <v>17</v>
      </c>
      <c r="E14" s="4" t="n">
        <f aca="false">Assumptions!E47</f>
        <v>18</v>
      </c>
      <c r="F14" s="4" t="n">
        <f aca="false">Assumptions!F47</f>
        <v>19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692.92935096</v>
      </c>
      <c r="D15" s="0" t="n">
        <f aca="false">D13-MAX(0,D13)*D14/100</f>
        <v>775.728089895</v>
      </c>
      <c r="E15" s="0" t="n">
        <f aca="false">E13-MAX(0,E13)*E14/100</f>
        <v>869.249588029094</v>
      </c>
      <c r="F15" s="0" t="n">
        <f aca="false">F13-MAX(0,F13)*F14/100</f>
        <v>961.444988339635</v>
      </c>
      <c r="G15" s="0" t="n">
        <f aca="false">G13-MAX(0,G13)*G14/100</f>
        <v>1055.23137518574</v>
      </c>
      <c r="H15" s="0" t="n">
        <f aca="false">H13-MAX(0,H13)*H14/100</f>
        <v>1168.76892821205</v>
      </c>
      <c r="I15" s="0" t="n">
        <f aca="false">I13-MAX(0,I13)*I14/100</f>
        <v>1270.21807118086</v>
      </c>
      <c r="J15" s="0" t="n">
        <f aca="false">J13-MAX(0,J13)*J14/100</f>
        <v>1371.83551687532</v>
      </c>
      <c r="K15" s="0" t="n">
        <f aca="false">K13-MAX(0,K13)*K14/100</f>
        <v>1419.84975996596</v>
      </c>
      <c r="L15" s="0" t="n">
        <f aca="false">L13-MAX(0,L13)*L14/100</f>
        <v>1462.44525276494</v>
      </c>
    </row>
    <row r="16" customFormat="false" ht="15" hidden="false" customHeight="false" outlineLevel="0" collapsed="false">
      <c r="A16" s="0" t="s">
        <v>122</v>
      </c>
      <c r="C16" s="0" t="n">
        <f aca="false">-C12</f>
        <v>460.7243025</v>
      </c>
      <c r="D16" s="0" t="n">
        <f aca="false">-D12</f>
        <v>467.30607825</v>
      </c>
      <c r="E16" s="0" t="n">
        <f aca="false">-E12</f>
        <v>472.796924669438</v>
      </c>
      <c r="F16" s="0" t="n">
        <f aca="false">-F12</f>
        <v>474.787648562783</v>
      </c>
      <c r="G16" s="0" t="n">
        <f aca="false">-G12</f>
        <v>473.073137609639</v>
      </c>
      <c r="H16" s="0" t="n">
        <f aca="false">-H12</f>
        <v>467.50757128482</v>
      </c>
      <c r="I16" s="0" t="n">
        <f aca="false">-I12</f>
        <v>458.011323743097</v>
      </c>
      <c r="J16" s="0" t="n">
        <f aca="false">-J12</f>
        <v>444.576324913299</v>
      </c>
      <c r="K16" s="0" t="n">
        <f aca="false">-K12</f>
        <v>460.136496285265</v>
      </c>
      <c r="L16" s="0" t="n">
        <f aca="false">-L12</f>
        <v>473.940591173823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-105.308412</v>
      </c>
      <c r="D17" s="4" t="n">
        <f aca="false">-D6*Assumptions!D46/100</f>
        <v>-112.15345878</v>
      </c>
      <c r="E17" s="4" t="n">
        <f aca="false">-E6*Assumptions!E46/100</f>
        <v>-119.4434336007</v>
      </c>
      <c r="F17" s="4" t="n">
        <f aca="false">-F6*Assumptions!F46/100</f>
        <v>-126.610039616742</v>
      </c>
      <c r="G17" s="4" t="n">
        <f aca="false">-G6*Assumptions!G46/100</f>
        <v>-133.573591795663</v>
      </c>
      <c r="H17" s="4" t="n">
        <f aca="false">-H6*Assumptions!H46/100</f>
        <v>-140.252271385446</v>
      </c>
      <c r="I17" s="4" t="n">
        <f aca="false">-I6*Assumptions!I46/100</f>
        <v>-146.563623597791</v>
      </c>
      <c r="J17" s="4" t="n">
        <f aca="false">-J6*Assumptions!J46/100</f>
        <v>-152.426168541703</v>
      </c>
      <c r="K17" s="4" t="n">
        <f aca="false">-K6*Assumptions!K46/100</f>
        <v>-157.761084440662</v>
      </c>
      <c r="L17" s="4" t="n">
        <f aca="false">-L6*Assumptions!L46/100</f>
        <v>-162.493916973882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-18.30004</v>
      </c>
      <c r="D18" s="4" t="n">
        <f aca="false">(D6-C6)*Assumptions!$B$51/100</f>
        <v>-22.8168226</v>
      </c>
      <c r="E18" s="4" t="n">
        <f aca="false">(E6-D6)*Assumptions!$B$51/100</f>
        <v>-24.299916069</v>
      </c>
      <c r="F18" s="4" t="n">
        <f aca="false">(F6-E6)*Assumptions!$B$51/100</f>
        <v>-23.88868672014</v>
      </c>
      <c r="G18" s="4" t="n">
        <f aca="false">(G6-F6)*Assumptions!$B$51/100</f>
        <v>-23.2118405964027</v>
      </c>
      <c r="H18" s="4" t="n">
        <f aca="false">(H6-G6)*Assumptions!$B$51/100</f>
        <v>-22.2622652992771</v>
      </c>
      <c r="I18" s="4" t="n">
        <f aca="false">(I6-H6)*Assumptions!$B$51/100</f>
        <v>-21.0378407078169</v>
      </c>
      <c r="J18" s="4" t="n">
        <f aca="false">(J6-I6)*Assumptions!$B$51/100</f>
        <v>-19.5418164797055</v>
      </c>
      <c r="K18" s="4" t="n">
        <f aca="false">(K6-J6)*Assumptions!$B$51/100</f>
        <v>-17.7830529965319</v>
      </c>
      <c r="L18" s="4" t="n">
        <f aca="false">(L6-K6)*Assumptions!$B$51/100</f>
        <v>-15.7761084440663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1030.04520146</v>
      </c>
      <c r="D19" s="0" t="n">
        <f aca="false">D15+D16+D17+D18</f>
        <v>1108.063886765</v>
      </c>
      <c r="E19" s="0" t="n">
        <f aca="false">E15+E16+E17+E18</f>
        <v>1198.30316302883</v>
      </c>
      <c r="F19" s="0" t="n">
        <f aca="false">F15+F16+F17+F18</f>
        <v>1285.73391056554</v>
      </c>
      <c r="G19" s="0" t="n">
        <f aca="false">G15+G16+G17+G18</f>
        <v>1371.51908040331</v>
      </c>
      <c r="H19" s="0" t="n">
        <f aca="false">H15+H16+H17+H18</f>
        <v>1473.76196281215</v>
      </c>
      <c r="I19" s="0" t="n">
        <f aca="false">I15+I16+I17+I18</f>
        <v>1560.62793061834</v>
      </c>
      <c r="J19" s="0" t="n">
        <f aca="false">J15+J16+J17+J18</f>
        <v>1644.44385676722</v>
      </c>
      <c r="K19" s="0" t="n">
        <f aca="false">K15+K16+K17+K18</f>
        <v>1704.44211881403</v>
      </c>
      <c r="L19" s="0" t="n">
        <f aca="false">L15+L16+L17+L18</f>
        <v>1758.11581852081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949.350416092166</v>
      </c>
      <c r="D21" s="0" t="n">
        <f aca="false">D19*D20</f>
        <v>941.25072672174</v>
      </c>
      <c r="E21" s="0" t="n">
        <f aca="false">E19*E20</f>
        <v>938.161250710431</v>
      </c>
      <c r="F21" s="0" t="n">
        <f aca="false">F19*F20</f>
        <v>927.752526275363</v>
      </c>
      <c r="G21" s="0" t="n">
        <f aca="false">G19*G20</f>
        <v>912.122487374986</v>
      </c>
      <c r="H21" s="0" t="n">
        <f aca="false">H19*H20</f>
        <v>903.335159801659</v>
      </c>
      <c r="I21" s="0" t="n">
        <f aca="false">I19*I20</f>
        <v>881.639841758231</v>
      </c>
      <c r="J21" s="0" t="n">
        <f aca="false">J19*J20</f>
        <v>856.211674704285</v>
      </c>
      <c r="K21" s="0" t="n">
        <f aca="false">K19*K20</f>
        <v>817.927130569741</v>
      </c>
      <c r="L21" s="0" t="n">
        <f aca="false">L19*L20</f>
        <v>777.588984477409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8905.34019848601</v>
      </c>
    </row>
    <row r="31" customFormat="false" ht="15" hidden="false" customHeight="false" outlineLevel="0" collapsed="false">
      <c r="A31" s="0" t="s">
        <v>131</v>
      </c>
      <c r="B31" s="0" t="n">
        <f aca="false">L19</f>
        <v>1758.11581852081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32924.7144195716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31646.0847333746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31646.0847333746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13996.6017205934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22901.9419190794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19758.0419190794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64.6956185955448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0.153425184445441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745.544452583044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1121.58712416753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70.8093434703011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15090.4941089703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23.5926837353733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32.1474311109166</v>
      </c>
      <c r="C4" s="0" t="n">
        <f aca="false">B4/Assumptions!$B$2-1</f>
        <v>-0.426859848263209</v>
      </c>
      <c r="D4" s="4" t="n">
        <f aca="false">Assumptions!$B$24</f>
        <v>0.2</v>
      </c>
      <c r="E4" s="4" t="n">
        <f aca="false">DCF_Bear!$B$43</f>
        <v>36.9317979802464</v>
      </c>
      <c r="F4" s="4" t="n">
        <f aca="false">DCF_Bear!$B$47</f>
        <v>11.6245260241291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50.759279222796</v>
      </c>
      <c r="C5" s="0" t="n">
        <f aca="false">B5/Assumptions!$B$2-1</f>
        <v>-0.0950387016795156</v>
      </c>
      <c r="D5" s="4" t="n">
        <f aca="false">Assumptions!$B$38</f>
        <v>0.55</v>
      </c>
      <c r="E5" s="4" t="n">
        <f aca="false">DCF_Base!$B$43</f>
        <v>56.4191928231291</v>
      </c>
      <c r="F5" s="4" t="n">
        <f aca="false">DCF_Base!$B$47</f>
        <v>18.5173731638658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64.6956185955448</v>
      </c>
      <c r="C6" s="0" t="n">
        <f aca="false">B6/Assumptions!$B$2-1</f>
        <v>0.153425184445441</v>
      </c>
      <c r="D6" s="4" t="n">
        <f aca="false">Assumptions!$B$52</f>
        <v>0.25</v>
      </c>
      <c r="E6" s="4" t="n">
        <f aca="false">DCF_Bull!$B$43</f>
        <v>70.8093434703011</v>
      </c>
      <c r="F6" s="4" t="n">
        <f aca="false">DCF_Bull!$B$47</f>
        <v>23.5926837353733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50.5209944436073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56.1192515163456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-0.110231511032685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99.4774888690265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18.4076313787953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50.759279222796</v>
      </c>
      <c r="C15" s="3" t="n">
        <v>8.5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45.9782279745528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38.3341008369686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32.4947749779713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27.889960580727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18.5173731638658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62.8900727332104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62.8900727332104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62.8900727332104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62.8900727332104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62.8900727332104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55.07355330815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57.5300311871492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57.5300311871492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57.5300311871492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57.5300311871492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45.4195595258127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47.884045539805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50.759279222796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52.6540184701126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52.6540184701126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38.1947895763706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39.9155764130552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41.8821899406948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44.1513593956635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46.7987237597937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32.5884980041351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33.8321058715287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35.2311647223466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36.8167647532735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38.6288790743328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2026-09-28T08:38:40Z</dcterms:created>
  <dc:creator>openpyxl</dc:creator>
  <dc:description/>
  <dc:language>en-NZ</dc:language>
  <cp:lastModifiedBy/>
  <dcterms:modified xsi:type="dcterms:W3CDTF">2026-09-28T08:38:40Z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