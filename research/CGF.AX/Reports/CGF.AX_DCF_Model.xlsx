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Bull" sheetId="3" state="visible" r:id="rId3"/>
    <sheet xmlns:r="http://schemas.openxmlformats.org/officeDocument/2006/relationships" name="Bear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Ticker</t>
        </is>
      </c>
      <c r="B1" t="inlineStr">
        <is>
          <t>CGF.AX</t>
        </is>
      </c>
    </row>
    <row r="2">
      <c r="A2" s="1" t="inlineStr">
        <is>
          <t>Model</t>
        </is>
      </c>
      <c r="B2" t="inlineStr">
        <is>
          <t>BVPS compounding x exit P/B (insurer route)</t>
        </is>
      </c>
    </row>
    <row r="3">
      <c r="A3" s="1" t="inlineStr">
        <is>
          <t>Valuation date</t>
        </is>
      </c>
      <c r="B3" t="inlineStr">
        <is>
          <t>2026-09-22</t>
        </is>
      </c>
    </row>
    <row r="4">
      <c r="A4" s="1" t="inlineStr">
        <is>
          <t>Current price (AUD)</t>
        </is>
      </c>
      <c r="B4" t="n">
        <v>10.36</v>
      </c>
    </row>
    <row r="5">
      <c r="A5" s="1" t="inlineStr">
        <is>
          <t>Price as of</t>
        </is>
      </c>
      <c r="B5" t="inlineStr">
        <is>
          <t>2026-09-22T06:10:05Z (ASX regular close 16:10 AEST)</t>
        </is>
      </c>
    </row>
    <row r="6">
      <c r="A6" s="1" t="inlineStr">
        <is>
          <t>Shareholders' equity 30 Jun 2026 (A$m)</t>
        </is>
      </c>
      <c r="B6" t="n">
        <v>4064.5</v>
      </c>
    </row>
    <row r="7">
      <c r="A7" s="1" t="inlineStr">
        <is>
          <t>Shares issued 30 Jun 2026 (m)</t>
        </is>
      </c>
      <c r="B7" t="n">
        <v>683.8</v>
      </c>
    </row>
    <row r="8">
      <c r="A8" s="1" t="inlineStr">
        <is>
          <t>BVPS (AUD)</t>
        </is>
      </c>
      <c r="B8">
        <f>B6/B7</f>
        <v/>
      </c>
    </row>
    <row r="9">
      <c r="A9" s="1" t="inlineStr">
        <is>
          <t>Hurdle rate</t>
        </is>
      </c>
      <c r="B9" t="n">
        <v>0.15</v>
      </c>
    </row>
    <row r="10">
      <c r="A10" s="1" t="inlineStr">
        <is>
          <t>Horizon (years)</t>
        </is>
      </c>
      <c r="B10" t="n">
        <v>5</v>
      </c>
    </row>
    <row r="11">
      <c r="A11" s="1" t="inlineStr">
        <is>
          <t>Weight bear</t>
        </is>
      </c>
      <c r="B11" t="n">
        <v>0.25</v>
      </c>
    </row>
    <row r="12">
      <c r="A12" s="1" t="inlineStr">
        <is>
          <t>Weight base</t>
        </is>
      </c>
      <c r="B12" t="n">
        <v>0.5</v>
      </c>
    </row>
    <row r="13">
      <c r="A13" s="1" t="inlineStr">
        <is>
          <t>Weight bull</t>
        </is>
      </c>
      <c r="B13" t="n">
        <v>0.25</v>
      </c>
    </row>
    <row r="15">
      <c r="A15" s="1" t="inlineStr">
        <is>
          <t>Scenario drivers</t>
        </is>
      </c>
    </row>
    <row r="16">
      <c r="A16" s="1" t="inlineStr">
        <is>
          <t>Driver</t>
        </is>
      </c>
      <c r="B16" s="1" t="inlineStr">
        <is>
          <t>Base</t>
        </is>
      </c>
      <c r="C16" s="1" t="inlineStr">
        <is>
          <t>Bull</t>
        </is>
      </c>
      <c r="D16" s="1" t="inlineStr">
        <is>
          <t>Bear</t>
        </is>
      </c>
    </row>
    <row r="17">
      <c r="A17" t="inlineStr">
        <is>
          <t>Cost of equity (%)</t>
        </is>
      </c>
      <c r="B17" t="n">
        <v>10.5</v>
      </c>
      <c r="C17" t="n">
        <v>10</v>
      </c>
      <c r="D17" t="n">
        <v>11.5</v>
      </c>
    </row>
    <row r="18">
      <c r="A18" t="inlineStr">
        <is>
          <t>Exit P/B</t>
        </is>
      </c>
      <c r="B18" t="n">
        <v>1.3</v>
      </c>
      <c r="C18" t="n">
        <v>1.6</v>
      </c>
      <c r="D18" t="n">
        <v>0.95</v>
      </c>
    </row>
    <row r="19">
      <c r="A19" t="inlineStr">
        <is>
          <t>Payout % of operating NPAT</t>
        </is>
      </c>
      <c r="B19" t="n">
        <v>47</v>
      </c>
      <c r="C19" t="n">
        <v>47</v>
      </c>
      <c r="D19" t="n">
        <v>47</v>
      </c>
    </row>
    <row r="20">
      <c r="A20" t="inlineStr">
        <is>
          <t>ROE Y1 (%)</t>
        </is>
      </c>
      <c r="B20" t="n">
        <v>12</v>
      </c>
      <c r="C20" t="n">
        <v>13</v>
      </c>
      <c r="D20" t="n">
        <v>10.5</v>
      </c>
    </row>
    <row r="21">
      <c r="A21" t="inlineStr">
        <is>
          <t>ROE Y2 (%)</t>
        </is>
      </c>
      <c r="B21" t="n">
        <v>12.25</v>
      </c>
      <c r="C21" t="n">
        <v>13.5</v>
      </c>
      <c r="D21" t="n">
        <v>10</v>
      </c>
    </row>
    <row r="22">
      <c r="A22" t="inlineStr">
        <is>
          <t>ROE Y3 (%)</t>
        </is>
      </c>
      <c r="B22" t="n">
        <v>12.5</v>
      </c>
      <c r="C22" t="n">
        <v>14</v>
      </c>
      <c r="D22" t="n">
        <v>9.5</v>
      </c>
    </row>
    <row r="23">
      <c r="A23" t="inlineStr">
        <is>
          <t>ROE Y4 (%)</t>
        </is>
      </c>
      <c r="B23" t="n">
        <v>12.5</v>
      </c>
      <c r="C23" t="n">
        <v>14</v>
      </c>
      <c r="D23" t="n">
        <v>9.5</v>
      </c>
    </row>
    <row r="24">
      <c r="A24" t="inlineStr">
        <is>
          <t>ROE Y5 (%)</t>
        </is>
      </c>
      <c r="B24" t="n">
        <v>12.5</v>
      </c>
      <c r="C24" t="n">
        <v>14</v>
      </c>
      <c r="D24" t="n">
        <v>9.5</v>
      </c>
    </row>
    <row r="25">
      <c r="A25" t="inlineStr">
        <is>
          <t>Buy-back Y1 (A$m)</t>
        </is>
      </c>
      <c r="B25" t="n">
        <v>362</v>
      </c>
      <c r="C25" t="n">
        <v>362</v>
      </c>
      <c r="D25" t="n">
        <v>362</v>
      </c>
    </row>
    <row r="26">
      <c r="A26" t="inlineStr">
        <is>
          <t>Buy-back Y2 (A$m)</t>
        </is>
      </c>
      <c r="B26" t="n">
        <v>100</v>
      </c>
      <c r="C26" t="n">
        <v>200</v>
      </c>
      <c r="D26" t="n">
        <v>0</v>
      </c>
    </row>
    <row r="27">
      <c r="A27" t="inlineStr">
        <is>
          <t>Buy-back Y3 (A$m)</t>
        </is>
      </c>
      <c r="B27" t="n">
        <v>100</v>
      </c>
      <c r="C27" t="n">
        <v>200</v>
      </c>
      <c r="D27" t="n">
        <v>0</v>
      </c>
    </row>
    <row r="28">
      <c r="A28" t="inlineStr">
        <is>
          <t>Buy-back Y4 (A$m)</t>
        </is>
      </c>
      <c r="B28" t="n">
        <v>100</v>
      </c>
      <c r="C28" t="n">
        <v>200</v>
      </c>
      <c r="D28" t="n">
        <v>0</v>
      </c>
    </row>
    <row r="29">
      <c r="A29" t="inlineStr">
        <is>
          <t>Buy-back Y5 (A$m)</t>
        </is>
      </c>
      <c r="B29" t="n">
        <v>100</v>
      </c>
      <c r="C29" t="n">
        <v>200</v>
      </c>
      <c r="D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Year</t>
        </is>
      </c>
      <c r="B1" t="inlineStr">
        <is>
          <t>FY2026</t>
        </is>
      </c>
      <c r="C1" t="inlineStr">
        <is>
          <t>FY2027</t>
        </is>
      </c>
      <c r="D1" t="inlineStr">
        <is>
          <t>FY2028</t>
        </is>
      </c>
      <c r="E1" t="inlineStr">
        <is>
          <t>FY2029</t>
        </is>
      </c>
      <c r="F1" t="inlineStr">
        <is>
          <t>FY2030</t>
        </is>
      </c>
      <c r="G1" t="inlineStr">
        <is>
          <t>FY2031</t>
        </is>
      </c>
    </row>
    <row r="2">
      <c r="A2" s="1" t="inlineStr">
        <is>
          <t>Opening equity (A$m)</t>
        </is>
      </c>
      <c r="C2">
        <f>B9</f>
        <v/>
      </c>
      <c r="D2">
        <f>C9</f>
        <v/>
      </c>
      <c r="E2">
        <f>D9</f>
        <v/>
      </c>
      <c r="F2">
        <f>E9</f>
        <v/>
      </c>
      <c r="G2">
        <f>F9</f>
        <v/>
      </c>
    </row>
    <row r="3">
      <c r="A3" s="1" t="inlineStr">
        <is>
          <t>ROE (%)</t>
        </is>
      </c>
      <c r="C3">
        <f>Inputs!B20</f>
        <v/>
      </c>
      <c r="D3">
        <f>Inputs!B21</f>
        <v/>
      </c>
      <c r="E3">
        <f>Inputs!B22</f>
        <v/>
      </c>
      <c r="F3">
        <f>Inputs!B23</f>
        <v/>
      </c>
      <c r="G3">
        <f>Inputs!B24</f>
        <v/>
      </c>
    </row>
    <row r="4">
      <c r="A4" s="1" t="inlineStr">
        <is>
          <t>Operating NPAT (A$m)</t>
        </is>
      </c>
      <c r="C4">
        <f>C3/100*C2</f>
        <v/>
      </c>
      <c r="D4">
        <f>D3/100*D2</f>
        <v/>
      </c>
      <c r="E4">
        <f>E3/100*E2</f>
        <v/>
      </c>
      <c r="F4">
        <f>F3/100*F2</f>
        <v/>
      </c>
      <c r="G4">
        <f>G3/100*G2</f>
        <v/>
      </c>
    </row>
    <row r="5">
      <c r="A5" s="1" t="inlineStr">
        <is>
          <t>Dividends (A$m)</t>
        </is>
      </c>
      <c r="C5">
        <f>Inputs!B19/100*C4</f>
        <v/>
      </c>
      <c r="D5">
        <f>Inputs!B19/100*D4</f>
        <v/>
      </c>
      <c r="E5">
        <f>Inputs!B19/100*E4</f>
        <v/>
      </c>
      <c r="F5">
        <f>Inputs!B19/100*F4</f>
        <v/>
      </c>
      <c r="G5">
        <f>Inputs!B19/100*G4</f>
        <v/>
      </c>
    </row>
    <row r="6">
      <c r="A6" s="1" t="inlineStr">
        <is>
          <t>Buy-back (A$m)</t>
        </is>
      </c>
      <c r="C6">
        <f>Inputs!B25</f>
        <v/>
      </c>
      <c r="D6">
        <f>Inputs!B26</f>
        <v/>
      </c>
      <c r="E6">
        <f>Inputs!B27</f>
        <v/>
      </c>
      <c r="F6">
        <f>Inputs!B28</f>
        <v/>
      </c>
      <c r="G6">
        <f>Inputs!B29</f>
        <v/>
      </c>
    </row>
    <row r="7">
      <c r="A7" s="1" t="inlineStr">
        <is>
          <t>Buy-back price (AUD)</t>
        </is>
      </c>
      <c r="C7">
        <f>Inputs!B4</f>
        <v/>
      </c>
      <c r="D7">
        <f>C12*Inputs!B18</f>
        <v/>
      </c>
      <c r="E7">
        <f>D12*Inputs!B18</f>
        <v/>
      </c>
      <c r="F7">
        <f>E12*Inputs!B18</f>
        <v/>
      </c>
      <c r="G7">
        <f>F12*Inputs!B18</f>
        <v/>
      </c>
    </row>
    <row r="8">
      <c r="A8" s="1" t="inlineStr">
        <is>
          <t>Shares bought (m)</t>
        </is>
      </c>
      <c r="C8">
        <f>C6/C7</f>
        <v/>
      </c>
      <c r="D8">
        <f>D6/D7</f>
        <v/>
      </c>
      <c r="E8">
        <f>E6/E7</f>
        <v/>
      </c>
      <c r="F8">
        <f>F6/F7</f>
        <v/>
      </c>
      <c r="G8">
        <f>G6/G7</f>
        <v/>
      </c>
    </row>
    <row r="9">
      <c r="A9" s="1" t="inlineStr">
        <is>
          <t>Closing equity (A$m)</t>
        </is>
      </c>
      <c r="B9">
        <f>Inputs!B6</f>
        <v/>
      </c>
      <c r="C9">
        <f>C2+C4-C5-C6</f>
        <v/>
      </c>
      <c r="D9">
        <f>D2+D4-D5-D6</f>
        <v/>
      </c>
      <c r="E9">
        <f>E2+E4-E5-E6</f>
        <v/>
      </c>
      <c r="F9">
        <f>F2+F4-F5-F6</f>
        <v/>
      </c>
      <c r="G9">
        <f>G2+G4-G5-G6</f>
        <v/>
      </c>
    </row>
    <row r="10">
      <c r="A10" s="1" t="inlineStr">
        <is>
          <t>Opening shares (m)</t>
        </is>
      </c>
      <c r="C10">
        <f>B11</f>
        <v/>
      </c>
      <c r="D10">
        <f>C11</f>
        <v/>
      </c>
      <c r="E10">
        <f>D11</f>
        <v/>
      </c>
      <c r="F10">
        <f>E11</f>
        <v/>
      </c>
      <c r="G10">
        <f>F11</f>
        <v/>
      </c>
    </row>
    <row r="11">
      <c r="A11" s="1" t="inlineStr">
        <is>
          <t>Closing shares (m)</t>
        </is>
      </c>
      <c r="B11">
        <f>Inputs!B7</f>
        <v/>
      </c>
      <c r="C11">
        <f>C10-C8</f>
        <v/>
      </c>
      <c r="D11">
        <f>D10-D8</f>
        <v/>
      </c>
      <c r="E11">
        <f>E10-E8</f>
        <v/>
      </c>
      <c r="F11">
        <f>F10-F8</f>
        <v/>
      </c>
      <c r="G11">
        <f>G10-G8</f>
        <v/>
      </c>
    </row>
    <row r="12">
      <c r="A12" s="1" t="inlineStr">
        <is>
          <t>BVPS (AUD)</t>
        </is>
      </c>
      <c r="B12">
        <f>Inputs!B8</f>
        <v/>
      </c>
      <c r="C12">
        <f>C9/C11</f>
        <v/>
      </c>
      <c r="D12">
        <f>D9/D11</f>
        <v/>
      </c>
      <c r="E12">
        <f>E9/E11</f>
        <v/>
      </c>
      <c r="F12">
        <f>F9/F11</f>
        <v/>
      </c>
      <c r="G12">
        <f>G9/G11</f>
        <v/>
      </c>
    </row>
    <row r="13">
      <c r="A13" s="1" t="inlineStr">
        <is>
          <t>DPS (AUD)</t>
        </is>
      </c>
      <c r="C13">
        <f>C5/C10</f>
        <v/>
      </c>
      <c r="D13">
        <f>D5/D10</f>
        <v/>
      </c>
      <c r="E13">
        <f>E5/E10</f>
        <v/>
      </c>
      <c r="F13">
        <f>F5/F10</f>
        <v/>
      </c>
      <c r="G13">
        <f>G5/G10</f>
        <v/>
      </c>
    </row>
    <row r="14">
      <c r="A14" s="1" t="inlineStr">
        <is>
          <t>EPS (AUD)</t>
        </is>
      </c>
      <c r="C14">
        <f>C4/((C10+C11)/2)</f>
        <v/>
      </c>
      <c r="D14">
        <f>D4/((D10+D11)/2)</f>
        <v/>
      </c>
      <c r="E14">
        <f>E4/((E10+E11)/2)</f>
        <v/>
      </c>
      <c r="F14">
        <f>F4/((F10+F11)/2)</f>
        <v/>
      </c>
      <c r="G14">
        <f>G4/((G10+G11)/2)</f>
        <v/>
      </c>
    </row>
    <row r="15">
      <c r="A15" s="1" t="inlineStr">
        <is>
          <t>Discount factor</t>
        </is>
      </c>
      <c r="C15">
        <f>1/(1+Inputs!B17/100)^1</f>
        <v/>
      </c>
      <c r="D15">
        <f>1/(1+Inputs!B17/100)^2</f>
        <v/>
      </c>
      <c r="E15">
        <f>1/(1+Inputs!B17/100)^3</f>
        <v/>
      </c>
      <c r="F15">
        <f>1/(1+Inputs!B17/100)^4</f>
        <v/>
      </c>
      <c r="G15">
        <f>1/(1+Inputs!B17/100)^5</f>
        <v/>
      </c>
    </row>
    <row r="16">
      <c r="A16" s="1" t="inlineStr">
        <is>
          <t>PV dividend (AUD)</t>
        </is>
      </c>
      <c r="C16">
        <f>C13*C15</f>
        <v/>
      </c>
      <c r="D16">
        <f>D13*D15</f>
        <v/>
      </c>
      <c r="E16">
        <f>E13*E15</f>
        <v/>
      </c>
      <c r="F16">
        <f>F13*F15</f>
        <v/>
      </c>
      <c r="G16">
        <f>G13*G15</f>
        <v/>
      </c>
    </row>
    <row r="18">
      <c r="A18" s="1" t="inlineStr">
        <is>
          <t>Sum PV dividends</t>
        </is>
      </c>
      <c r="B18">
        <f>SUM(C16:G16)</f>
        <v/>
      </c>
    </row>
    <row r="19">
      <c r="A19" s="1" t="inlineStr">
        <is>
          <t>Terminal BVPS</t>
        </is>
      </c>
      <c r="B19">
        <f>G12</f>
        <v/>
      </c>
    </row>
    <row r="20">
      <c r="A20" s="1" t="inlineStr">
        <is>
          <t>Exit P/B</t>
        </is>
      </c>
      <c r="B20">
        <f>Inputs!B18</f>
        <v/>
      </c>
    </row>
    <row r="21">
      <c r="A21" s="1" t="inlineStr">
        <is>
          <t>Terminal value / share</t>
        </is>
      </c>
      <c r="B21">
        <f>B19*B20</f>
        <v/>
      </c>
    </row>
    <row r="22">
      <c r="A22" s="1" t="inlineStr">
        <is>
          <t>PV terminal value</t>
        </is>
      </c>
      <c r="B22">
        <f>B21*G15</f>
        <v/>
      </c>
    </row>
    <row r="23">
      <c r="A23" s="1" t="inlineStr">
        <is>
          <t>Intrinsic value / share</t>
        </is>
      </c>
      <c r="B23">
        <f>B18+B22</f>
        <v/>
      </c>
    </row>
    <row r="24">
      <c r="A24" s="1" t="inlineStr">
        <is>
          <t>Upside vs price (%)</t>
        </is>
      </c>
      <c r="B24">
        <f>(B23/Inputs!B4-1)*100</f>
        <v/>
      </c>
    </row>
    <row r="25">
      <c r="A25" s="1" t="inlineStr">
        <is>
          <t>Implied exit P/E</t>
        </is>
      </c>
      <c r="B25">
        <f>B21/G14</f>
        <v/>
      </c>
    </row>
    <row r="26">
      <c r="A26" s="1" t="inlineStr">
        <is>
          <t>Terminal % of value</t>
        </is>
      </c>
      <c r="B26">
        <f>B22/B23*100</f>
        <v/>
      </c>
    </row>
    <row r="27">
      <c r="A27" s="1" t="inlineStr">
        <is>
          <t>Entry price @ hurdle</t>
        </is>
      </c>
      <c r="B27">
        <f>SUMPRODUCT(C13:G13,1/(1+Inputs!$B$9)^{1,2,3,4,5})+B21/(1+Inputs!$B$9)^Inputs!$B$10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Year</t>
        </is>
      </c>
      <c r="B1" t="inlineStr">
        <is>
          <t>FY2026</t>
        </is>
      </c>
      <c r="C1" t="inlineStr">
        <is>
          <t>FY2027</t>
        </is>
      </c>
      <c r="D1" t="inlineStr">
        <is>
          <t>FY2028</t>
        </is>
      </c>
      <c r="E1" t="inlineStr">
        <is>
          <t>FY2029</t>
        </is>
      </c>
      <c r="F1" t="inlineStr">
        <is>
          <t>FY2030</t>
        </is>
      </c>
      <c r="G1" t="inlineStr">
        <is>
          <t>FY2031</t>
        </is>
      </c>
    </row>
    <row r="2">
      <c r="A2" s="1" t="inlineStr">
        <is>
          <t>Opening equity (A$m)</t>
        </is>
      </c>
      <c r="C2">
        <f>B9</f>
        <v/>
      </c>
      <c r="D2">
        <f>C9</f>
        <v/>
      </c>
      <c r="E2">
        <f>D9</f>
        <v/>
      </c>
      <c r="F2">
        <f>E9</f>
        <v/>
      </c>
      <c r="G2">
        <f>F9</f>
        <v/>
      </c>
    </row>
    <row r="3">
      <c r="A3" s="1" t="inlineStr">
        <is>
          <t>ROE (%)</t>
        </is>
      </c>
      <c r="C3">
        <f>Inputs!C20</f>
        <v/>
      </c>
      <c r="D3">
        <f>Inputs!C21</f>
        <v/>
      </c>
      <c r="E3">
        <f>Inputs!C22</f>
        <v/>
      </c>
      <c r="F3">
        <f>Inputs!C23</f>
        <v/>
      </c>
      <c r="G3">
        <f>Inputs!C24</f>
        <v/>
      </c>
    </row>
    <row r="4">
      <c r="A4" s="1" t="inlineStr">
        <is>
          <t>Operating NPAT (A$m)</t>
        </is>
      </c>
      <c r="C4">
        <f>C3/100*C2</f>
        <v/>
      </c>
      <c r="D4">
        <f>D3/100*D2</f>
        <v/>
      </c>
      <c r="E4">
        <f>E3/100*E2</f>
        <v/>
      </c>
      <c r="F4">
        <f>F3/100*F2</f>
        <v/>
      </c>
      <c r="G4">
        <f>G3/100*G2</f>
        <v/>
      </c>
    </row>
    <row r="5">
      <c r="A5" s="1" t="inlineStr">
        <is>
          <t>Dividends (A$m)</t>
        </is>
      </c>
      <c r="C5">
        <f>Inputs!C19/100*C4</f>
        <v/>
      </c>
      <c r="D5">
        <f>Inputs!C19/100*D4</f>
        <v/>
      </c>
      <c r="E5">
        <f>Inputs!C19/100*E4</f>
        <v/>
      </c>
      <c r="F5">
        <f>Inputs!C19/100*F4</f>
        <v/>
      </c>
      <c r="G5">
        <f>Inputs!C19/100*G4</f>
        <v/>
      </c>
    </row>
    <row r="6">
      <c r="A6" s="1" t="inlineStr">
        <is>
          <t>Buy-back (A$m)</t>
        </is>
      </c>
      <c r="C6">
        <f>Inputs!C25</f>
        <v/>
      </c>
      <c r="D6">
        <f>Inputs!C26</f>
        <v/>
      </c>
      <c r="E6">
        <f>Inputs!C27</f>
        <v/>
      </c>
      <c r="F6">
        <f>Inputs!C28</f>
        <v/>
      </c>
      <c r="G6">
        <f>Inputs!C29</f>
        <v/>
      </c>
    </row>
    <row r="7">
      <c r="A7" s="1" t="inlineStr">
        <is>
          <t>Buy-back price (AUD)</t>
        </is>
      </c>
      <c r="C7">
        <f>Inputs!B4</f>
        <v/>
      </c>
      <c r="D7">
        <f>C12*Inputs!C18</f>
        <v/>
      </c>
      <c r="E7">
        <f>D12*Inputs!C18</f>
        <v/>
      </c>
      <c r="F7">
        <f>E12*Inputs!C18</f>
        <v/>
      </c>
      <c r="G7">
        <f>F12*Inputs!C18</f>
        <v/>
      </c>
    </row>
    <row r="8">
      <c r="A8" s="1" t="inlineStr">
        <is>
          <t>Shares bought (m)</t>
        </is>
      </c>
      <c r="C8">
        <f>C6/C7</f>
        <v/>
      </c>
      <c r="D8">
        <f>D6/D7</f>
        <v/>
      </c>
      <c r="E8">
        <f>E6/E7</f>
        <v/>
      </c>
      <c r="F8">
        <f>F6/F7</f>
        <v/>
      </c>
      <c r="G8">
        <f>G6/G7</f>
        <v/>
      </c>
    </row>
    <row r="9">
      <c r="A9" s="1" t="inlineStr">
        <is>
          <t>Closing equity (A$m)</t>
        </is>
      </c>
      <c r="B9">
        <f>Inputs!B6</f>
        <v/>
      </c>
      <c r="C9">
        <f>C2+C4-C5-C6</f>
        <v/>
      </c>
      <c r="D9">
        <f>D2+D4-D5-D6</f>
        <v/>
      </c>
      <c r="E9">
        <f>E2+E4-E5-E6</f>
        <v/>
      </c>
      <c r="F9">
        <f>F2+F4-F5-F6</f>
        <v/>
      </c>
      <c r="G9">
        <f>G2+G4-G5-G6</f>
        <v/>
      </c>
    </row>
    <row r="10">
      <c r="A10" s="1" t="inlineStr">
        <is>
          <t>Opening shares (m)</t>
        </is>
      </c>
      <c r="C10">
        <f>B11</f>
        <v/>
      </c>
      <c r="D10">
        <f>C11</f>
        <v/>
      </c>
      <c r="E10">
        <f>D11</f>
        <v/>
      </c>
      <c r="F10">
        <f>E11</f>
        <v/>
      </c>
      <c r="G10">
        <f>F11</f>
        <v/>
      </c>
    </row>
    <row r="11">
      <c r="A11" s="1" t="inlineStr">
        <is>
          <t>Closing shares (m)</t>
        </is>
      </c>
      <c r="B11">
        <f>Inputs!B7</f>
        <v/>
      </c>
      <c r="C11">
        <f>C10-C8</f>
        <v/>
      </c>
      <c r="D11">
        <f>D10-D8</f>
        <v/>
      </c>
      <c r="E11">
        <f>E10-E8</f>
        <v/>
      </c>
      <c r="F11">
        <f>F10-F8</f>
        <v/>
      </c>
      <c r="G11">
        <f>G10-G8</f>
        <v/>
      </c>
    </row>
    <row r="12">
      <c r="A12" s="1" t="inlineStr">
        <is>
          <t>BVPS (AUD)</t>
        </is>
      </c>
      <c r="B12">
        <f>Inputs!B8</f>
        <v/>
      </c>
      <c r="C12">
        <f>C9/C11</f>
        <v/>
      </c>
      <c r="D12">
        <f>D9/D11</f>
        <v/>
      </c>
      <c r="E12">
        <f>E9/E11</f>
        <v/>
      </c>
      <c r="F12">
        <f>F9/F11</f>
        <v/>
      </c>
      <c r="G12">
        <f>G9/G11</f>
        <v/>
      </c>
    </row>
    <row r="13">
      <c r="A13" s="1" t="inlineStr">
        <is>
          <t>DPS (AUD)</t>
        </is>
      </c>
      <c r="C13">
        <f>C5/C10</f>
        <v/>
      </c>
      <c r="D13">
        <f>D5/D10</f>
        <v/>
      </c>
      <c r="E13">
        <f>E5/E10</f>
        <v/>
      </c>
      <c r="F13">
        <f>F5/F10</f>
        <v/>
      </c>
      <c r="G13">
        <f>G5/G10</f>
        <v/>
      </c>
    </row>
    <row r="14">
      <c r="A14" s="1" t="inlineStr">
        <is>
          <t>EPS (AUD)</t>
        </is>
      </c>
      <c r="C14">
        <f>C4/((C10+C11)/2)</f>
        <v/>
      </c>
      <c r="D14">
        <f>D4/((D10+D11)/2)</f>
        <v/>
      </c>
      <c r="E14">
        <f>E4/((E10+E11)/2)</f>
        <v/>
      </c>
      <c r="F14">
        <f>F4/((F10+F11)/2)</f>
        <v/>
      </c>
      <c r="G14">
        <f>G4/((G10+G11)/2)</f>
        <v/>
      </c>
    </row>
    <row r="15">
      <c r="A15" s="1" t="inlineStr">
        <is>
          <t>Discount factor</t>
        </is>
      </c>
      <c r="C15">
        <f>1/(1+Inputs!C17/100)^1</f>
        <v/>
      </c>
      <c r="D15">
        <f>1/(1+Inputs!C17/100)^2</f>
        <v/>
      </c>
      <c r="E15">
        <f>1/(1+Inputs!C17/100)^3</f>
        <v/>
      </c>
      <c r="F15">
        <f>1/(1+Inputs!C17/100)^4</f>
        <v/>
      </c>
      <c r="G15">
        <f>1/(1+Inputs!C17/100)^5</f>
        <v/>
      </c>
    </row>
    <row r="16">
      <c r="A16" s="1" t="inlineStr">
        <is>
          <t>PV dividend (AUD)</t>
        </is>
      </c>
      <c r="C16">
        <f>C13*C15</f>
        <v/>
      </c>
      <c r="D16">
        <f>D13*D15</f>
        <v/>
      </c>
      <c r="E16">
        <f>E13*E15</f>
        <v/>
      </c>
      <c r="F16">
        <f>F13*F15</f>
        <v/>
      </c>
      <c r="G16">
        <f>G13*G15</f>
        <v/>
      </c>
    </row>
    <row r="18">
      <c r="A18" s="1" t="inlineStr">
        <is>
          <t>Sum PV dividends</t>
        </is>
      </c>
      <c r="B18">
        <f>SUM(C16:G16)</f>
        <v/>
      </c>
    </row>
    <row r="19">
      <c r="A19" s="1" t="inlineStr">
        <is>
          <t>Terminal BVPS</t>
        </is>
      </c>
      <c r="B19">
        <f>G12</f>
        <v/>
      </c>
    </row>
    <row r="20">
      <c r="A20" s="1" t="inlineStr">
        <is>
          <t>Exit P/B</t>
        </is>
      </c>
      <c r="B20">
        <f>Inputs!C18</f>
        <v/>
      </c>
    </row>
    <row r="21">
      <c r="A21" s="1" t="inlineStr">
        <is>
          <t>Terminal value / share</t>
        </is>
      </c>
      <c r="B21">
        <f>B19*B20</f>
        <v/>
      </c>
    </row>
    <row r="22">
      <c r="A22" s="1" t="inlineStr">
        <is>
          <t>PV terminal value</t>
        </is>
      </c>
      <c r="B22">
        <f>B21*G15</f>
        <v/>
      </c>
    </row>
    <row r="23">
      <c r="A23" s="1" t="inlineStr">
        <is>
          <t>Intrinsic value / share</t>
        </is>
      </c>
      <c r="B23">
        <f>B18+B22</f>
        <v/>
      </c>
    </row>
    <row r="24">
      <c r="A24" s="1" t="inlineStr">
        <is>
          <t>Upside vs price (%)</t>
        </is>
      </c>
      <c r="B24">
        <f>(B23/Inputs!B4-1)*100</f>
        <v/>
      </c>
    </row>
    <row r="25">
      <c r="A25" s="1" t="inlineStr">
        <is>
          <t>Implied exit P/E</t>
        </is>
      </c>
      <c r="B25">
        <f>B21/G14</f>
        <v/>
      </c>
    </row>
    <row r="26">
      <c r="A26" s="1" t="inlineStr">
        <is>
          <t>Terminal % of value</t>
        </is>
      </c>
      <c r="B26">
        <f>B22/B23*100</f>
        <v/>
      </c>
    </row>
    <row r="27">
      <c r="A27" s="1" t="inlineStr">
        <is>
          <t>Entry price @ hurdle</t>
        </is>
      </c>
      <c r="B27">
        <f>SUMPRODUCT(C13:G13,1/(1+Inputs!$B$9)^{1,2,3,4,5})+B21/(1+Inputs!$B$9)^Inputs!$B$10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Year</t>
        </is>
      </c>
      <c r="B1" t="inlineStr">
        <is>
          <t>FY2026</t>
        </is>
      </c>
      <c r="C1" t="inlineStr">
        <is>
          <t>FY2027</t>
        </is>
      </c>
      <c r="D1" t="inlineStr">
        <is>
          <t>FY2028</t>
        </is>
      </c>
      <c r="E1" t="inlineStr">
        <is>
          <t>FY2029</t>
        </is>
      </c>
      <c r="F1" t="inlineStr">
        <is>
          <t>FY2030</t>
        </is>
      </c>
      <c r="G1" t="inlineStr">
        <is>
          <t>FY2031</t>
        </is>
      </c>
    </row>
    <row r="2">
      <c r="A2" s="1" t="inlineStr">
        <is>
          <t>Opening equity (A$m)</t>
        </is>
      </c>
      <c r="C2">
        <f>B9</f>
        <v/>
      </c>
      <c r="D2">
        <f>C9</f>
        <v/>
      </c>
      <c r="E2">
        <f>D9</f>
        <v/>
      </c>
      <c r="F2">
        <f>E9</f>
        <v/>
      </c>
      <c r="G2">
        <f>F9</f>
        <v/>
      </c>
    </row>
    <row r="3">
      <c r="A3" s="1" t="inlineStr">
        <is>
          <t>ROE (%)</t>
        </is>
      </c>
      <c r="C3">
        <f>Inputs!D20</f>
        <v/>
      </c>
      <c r="D3">
        <f>Inputs!D21</f>
        <v/>
      </c>
      <c r="E3">
        <f>Inputs!D22</f>
        <v/>
      </c>
      <c r="F3">
        <f>Inputs!D23</f>
        <v/>
      </c>
      <c r="G3">
        <f>Inputs!D24</f>
        <v/>
      </c>
    </row>
    <row r="4">
      <c r="A4" s="1" t="inlineStr">
        <is>
          <t>Operating NPAT (A$m)</t>
        </is>
      </c>
      <c r="C4">
        <f>C3/100*C2</f>
        <v/>
      </c>
      <c r="D4">
        <f>D3/100*D2</f>
        <v/>
      </c>
      <c r="E4">
        <f>E3/100*E2</f>
        <v/>
      </c>
      <c r="F4">
        <f>F3/100*F2</f>
        <v/>
      </c>
      <c r="G4">
        <f>G3/100*G2</f>
        <v/>
      </c>
    </row>
    <row r="5">
      <c r="A5" s="1" t="inlineStr">
        <is>
          <t>Dividends (A$m)</t>
        </is>
      </c>
      <c r="C5">
        <f>Inputs!D19/100*C4</f>
        <v/>
      </c>
      <c r="D5">
        <f>Inputs!D19/100*D4</f>
        <v/>
      </c>
      <c r="E5">
        <f>Inputs!D19/100*E4</f>
        <v/>
      </c>
      <c r="F5">
        <f>Inputs!D19/100*F4</f>
        <v/>
      </c>
      <c r="G5">
        <f>Inputs!D19/100*G4</f>
        <v/>
      </c>
    </row>
    <row r="6">
      <c r="A6" s="1" t="inlineStr">
        <is>
          <t>Buy-back (A$m)</t>
        </is>
      </c>
      <c r="C6">
        <f>Inputs!D25</f>
        <v/>
      </c>
      <c r="D6">
        <f>Inputs!D26</f>
        <v/>
      </c>
      <c r="E6">
        <f>Inputs!D27</f>
        <v/>
      </c>
      <c r="F6">
        <f>Inputs!D28</f>
        <v/>
      </c>
      <c r="G6">
        <f>Inputs!D29</f>
        <v/>
      </c>
    </row>
    <row r="7">
      <c r="A7" s="1" t="inlineStr">
        <is>
          <t>Buy-back price (AUD)</t>
        </is>
      </c>
      <c r="C7">
        <f>Inputs!B4</f>
        <v/>
      </c>
      <c r="D7">
        <f>C12*Inputs!D18</f>
        <v/>
      </c>
      <c r="E7">
        <f>D12*Inputs!D18</f>
        <v/>
      </c>
      <c r="F7">
        <f>E12*Inputs!D18</f>
        <v/>
      </c>
      <c r="G7">
        <f>F12*Inputs!D18</f>
        <v/>
      </c>
    </row>
    <row r="8">
      <c r="A8" s="1" t="inlineStr">
        <is>
          <t>Shares bought (m)</t>
        </is>
      </c>
      <c r="C8">
        <f>C6/C7</f>
        <v/>
      </c>
      <c r="D8">
        <f>D6/D7</f>
        <v/>
      </c>
      <c r="E8">
        <f>E6/E7</f>
        <v/>
      </c>
      <c r="F8">
        <f>F6/F7</f>
        <v/>
      </c>
      <c r="G8">
        <f>G6/G7</f>
        <v/>
      </c>
    </row>
    <row r="9">
      <c r="A9" s="1" t="inlineStr">
        <is>
          <t>Closing equity (A$m)</t>
        </is>
      </c>
      <c r="B9">
        <f>Inputs!B6</f>
        <v/>
      </c>
      <c r="C9">
        <f>C2+C4-C5-C6</f>
        <v/>
      </c>
      <c r="D9">
        <f>D2+D4-D5-D6</f>
        <v/>
      </c>
      <c r="E9">
        <f>E2+E4-E5-E6</f>
        <v/>
      </c>
      <c r="F9">
        <f>F2+F4-F5-F6</f>
        <v/>
      </c>
      <c r="G9">
        <f>G2+G4-G5-G6</f>
        <v/>
      </c>
    </row>
    <row r="10">
      <c r="A10" s="1" t="inlineStr">
        <is>
          <t>Opening shares (m)</t>
        </is>
      </c>
      <c r="C10">
        <f>B11</f>
        <v/>
      </c>
      <c r="D10">
        <f>C11</f>
        <v/>
      </c>
      <c r="E10">
        <f>D11</f>
        <v/>
      </c>
      <c r="F10">
        <f>E11</f>
        <v/>
      </c>
      <c r="G10">
        <f>F11</f>
        <v/>
      </c>
    </row>
    <row r="11">
      <c r="A11" s="1" t="inlineStr">
        <is>
          <t>Closing shares (m)</t>
        </is>
      </c>
      <c r="B11">
        <f>Inputs!B7</f>
        <v/>
      </c>
      <c r="C11">
        <f>C10-C8</f>
        <v/>
      </c>
      <c r="D11">
        <f>D10-D8</f>
        <v/>
      </c>
      <c r="E11">
        <f>E10-E8</f>
        <v/>
      </c>
      <c r="F11">
        <f>F10-F8</f>
        <v/>
      </c>
      <c r="G11">
        <f>G10-G8</f>
        <v/>
      </c>
    </row>
    <row r="12">
      <c r="A12" s="1" t="inlineStr">
        <is>
          <t>BVPS (AUD)</t>
        </is>
      </c>
      <c r="B12">
        <f>Inputs!B8</f>
        <v/>
      </c>
      <c r="C12">
        <f>C9/C11</f>
        <v/>
      </c>
      <c r="D12">
        <f>D9/D11</f>
        <v/>
      </c>
      <c r="E12">
        <f>E9/E11</f>
        <v/>
      </c>
      <c r="F12">
        <f>F9/F11</f>
        <v/>
      </c>
      <c r="G12">
        <f>G9/G11</f>
        <v/>
      </c>
    </row>
    <row r="13">
      <c r="A13" s="1" t="inlineStr">
        <is>
          <t>DPS (AUD)</t>
        </is>
      </c>
      <c r="C13">
        <f>C5/C10</f>
        <v/>
      </c>
      <c r="D13">
        <f>D5/D10</f>
        <v/>
      </c>
      <c r="E13">
        <f>E5/E10</f>
        <v/>
      </c>
      <c r="F13">
        <f>F5/F10</f>
        <v/>
      </c>
      <c r="G13">
        <f>G5/G10</f>
        <v/>
      </c>
    </row>
    <row r="14">
      <c r="A14" s="1" t="inlineStr">
        <is>
          <t>EPS (AUD)</t>
        </is>
      </c>
      <c r="C14">
        <f>C4/((C10+C11)/2)</f>
        <v/>
      </c>
      <c r="D14">
        <f>D4/((D10+D11)/2)</f>
        <v/>
      </c>
      <c r="E14">
        <f>E4/((E10+E11)/2)</f>
        <v/>
      </c>
      <c r="F14">
        <f>F4/((F10+F11)/2)</f>
        <v/>
      </c>
      <c r="G14">
        <f>G4/((G10+G11)/2)</f>
        <v/>
      </c>
    </row>
    <row r="15">
      <c r="A15" s="1" t="inlineStr">
        <is>
          <t>Discount factor</t>
        </is>
      </c>
      <c r="C15">
        <f>1/(1+Inputs!D17/100)^1</f>
        <v/>
      </c>
      <c r="D15">
        <f>1/(1+Inputs!D17/100)^2</f>
        <v/>
      </c>
      <c r="E15">
        <f>1/(1+Inputs!D17/100)^3</f>
        <v/>
      </c>
      <c r="F15">
        <f>1/(1+Inputs!D17/100)^4</f>
        <v/>
      </c>
      <c r="G15">
        <f>1/(1+Inputs!D17/100)^5</f>
        <v/>
      </c>
    </row>
    <row r="16">
      <c r="A16" s="1" t="inlineStr">
        <is>
          <t>PV dividend (AUD)</t>
        </is>
      </c>
      <c r="C16">
        <f>C13*C15</f>
        <v/>
      </c>
      <c r="D16">
        <f>D13*D15</f>
        <v/>
      </c>
      <c r="E16">
        <f>E13*E15</f>
        <v/>
      </c>
      <c r="F16">
        <f>F13*F15</f>
        <v/>
      </c>
      <c r="G16">
        <f>G13*G15</f>
        <v/>
      </c>
    </row>
    <row r="18">
      <c r="A18" s="1" t="inlineStr">
        <is>
          <t>Sum PV dividends</t>
        </is>
      </c>
      <c r="B18">
        <f>SUM(C16:G16)</f>
        <v/>
      </c>
    </row>
    <row r="19">
      <c r="A19" s="1" t="inlineStr">
        <is>
          <t>Terminal BVPS</t>
        </is>
      </c>
      <c r="B19">
        <f>G12</f>
        <v/>
      </c>
    </row>
    <row r="20">
      <c r="A20" s="1" t="inlineStr">
        <is>
          <t>Exit P/B</t>
        </is>
      </c>
      <c r="B20">
        <f>Inputs!D18</f>
        <v/>
      </c>
    </row>
    <row r="21">
      <c r="A21" s="1" t="inlineStr">
        <is>
          <t>Terminal value / share</t>
        </is>
      </c>
      <c r="B21">
        <f>B19*B20</f>
        <v/>
      </c>
    </row>
    <row r="22">
      <c r="A22" s="1" t="inlineStr">
        <is>
          <t>PV terminal value</t>
        </is>
      </c>
      <c r="B22">
        <f>B21*G15</f>
        <v/>
      </c>
    </row>
    <row r="23">
      <c r="A23" s="1" t="inlineStr">
        <is>
          <t>Intrinsic value / share</t>
        </is>
      </c>
      <c r="B23">
        <f>B18+B22</f>
        <v/>
      </c>
    </row>
    <row r="24">
      <c r="A24" s="1" t="inlineStr">
        <is>
          <t>Upside vs price (%)</t>
        </is>
      </c>
      <c r="B24">
        <f>(B23/Inputs!B4-1)*100</f>
        <v/>
      </c>
    </row>
    <row r="25">
      <c r="A25" s="1" t="inlineStr">
        <is>
          <t>Implied exit P/E</t>
        </is>
      </c>
      <c r="B25">
        <f>B21/G14</f>
        <v/>
      </c>
    </row>
    <row r="26">
      <c r="A26" s="1" t="inlineStr">
        <is>
          <t>Terminal % of value</t>
        </is>
      </c>
      <c r="B26">
        <f>B22/B23*100</f>
        <v/>
      </c>
    </row>
    <row r="27">
      <c r="A27" s="1" t="inlineStr">
        <is>
          <t>Entry price @ hurdle</t>
        </is>
      </c>
      <c r="B27">
        <f>SUMPRODUCT(C13:G13,1/(1+Inputs!$B$9)^{1,2,3,4,5})+B21/(1+Inputs!$B$9)^Inputs!$B$10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Scenario</t>
        </is>
      </c>
      <c r="B1" s="1" t="inlineStr">
        <is>
          <t>Intrinsic value</t>
        </is>
      </c>
      <c r="C1" s="1" t="inlineStr">
        <is>
          <t>Entry price @15%</t>
        </is>
      </c>
      <c r="D1" s="1" t="inlineStr">
        <is>
          <t>Weight</t>
        </is>
      </c>
    </row>
    <row r="2">
      <c r="A2" s="1" t="inlineStr">
        <is>
          <t>Bear</t>
        </is>
      </c>
      <c r="B2">
        <f>Bear!B23</f>
        <v/>
      </c>
      <c r="C2">
        <f>Bear!B27</f>
        <v/>
      </c>
      <c r="D2">
        <f>Inputs!B11</f>
        <v/>
      </c>
    </row>
    <row r="3">
      <c r="A3" s="1" t="inlineStr">
        <is>
          <t>Base</t>
        </is>
      </c>
      <c r="B3">
        <f>Base!B23</f>
        <v/>
      </c>
      <c r="C3">
        <f>Base!B27</f>
        <v/>
      </c>
      <c r="D3">
        <f>Inputs!B12</f>
        <v/>
      </c>
    </row>
    <row r="4">
      <c r="A4" s="1" t="inlineStr">
        <is>
          <t>Bull</t>
        </is>
      </c>
      <c r="B4">
        <f>Bull!B23</f>
        <v/>
      </c>
      <c r="C4">
        <f>Bull!B27</f>
        <v/>
      </c>
      <c r="D4">
        <f>Inputs!B13</f>
        <v/>
      </c>
    </row>
    <row r="5">
      <c r="A5" s="1" t="inlineStr">
        <is>
          <t>Weighted</t>
        </is>
      </c>
      <c r="B5">
        <f>SUMPRODUCT(B2:B4,D2:D4)</f>
        <v/>
      </c>
      <c r="C5">
        <f>SUMPRODUCT(C2:C4,D2:D4)</f>
        <v/>
      </c>
      <c r="D5">
        <f>SUM(D2:D4)</f>
        <v/>
      </c>
    </row>
    <row r="6">
      <c r="A6" s="1" t="inlineStr">
        <is>
          <t>Current price</t>
        </is>
      </c>
      <c r="B6">
        <f>Inputs!B4</f>
        <v/>
      </c>
      <c r="C6" t="inlineStr"/>
      <c r="D6" t="inlineStr"/>
    </row>
    <row r="7">
      <c r="A7" s="1" t="inlineStr">
        <is>
          <t>Weighted upside (%)</t>
        </is>
      </c>
      <c r="B7">
        <f>(B5/B6-1)*100</f>
        <v/>
      </c>
      <c r="C7" t="inlineStr"/>
      <c r="D7" t="inlineStr"/>
    </row>
    <row r="9">
      <c r="A9" s="1" t="inlineStr">
        <is>
          <t>Sensitivity (base flows): rows CoE %, cols exit P/B -- static values from the JSON</t>
        </is>
      </c>
    </row>
    <row r="10">
      <c r="A10" t="inlineStr">
        <is>
          <t>CoE \ P/B</t>
        </is>
      </c>
      <c r="B10" s="1" t="n">
        <v>1</v>
      </c>
      <c r="C10" s="1" t="n">
        <v>1.15</v>
      </c>
      <c r="D10" s="1" t="n">
        <v>1.3</v>
      </c>
      <c r="E10" s="1" t="n">
        <v>1.45</v>
      </c>
      <c r="F10" s="1" t="n">
        <v>1.6</v>
      </c>
    </row>
    <row r="11">
      <c r="A11" s="1" t="n">
        <v>9</v>
      </c>
      <c r="B11" t="n">
        <v>6.5</v>
      </c>
      <c r="C11" t="n">
        <v>7.26</v>
      </c>
      <c r="D11" t="n">
        <v>8.01</v>
      </c>
      <c r="E11" t="n">
        <v>8.77</v>
      </c>
      <c r="F11" t="n">
        <v>9.52</v>
      </c>
    </row>
    <row r="12">
      <c r="A12" s="1" t="n">
        <v>10</v>
      </c>
      <c r="B12" t="n">
        <v>6.24</v>
      </c>
      <c r="C12" t="n">
        <v>6.96</v>
      </c>
      <c r="D12" t="n">
        <v>7.68</v>
      </c>
      <c r="E12" t="n">
        <v>8.4</v>
      </c>
      <c r="F12" t="n">
        <v>9.119999999999999</v>
      </c>
    </row>
    <row r="13">
      <c r="A13" s="1" t="n">
        <v>10.5</v>
      </c>
      <c r="B13" t="n">
        <v>6.11</v>
      </c>
      <c r="C13" t="n">
        <v>6.82</v>
      </c>
      <c r="D13" t="n">
        <v>7.52</v>
      </c>
      <c r="E13" t="n">
        <v>8.23</v>
      </c>
      <c r="F13" t="n">
        <v>8.93</v>
      </c>
    </row>
    <row r="14">
      <c r="A14" s="1" t="n">
        <v>11</v>
      </c>
      <c r="B14" t="n">
        <v>5.99</v>
      </c>
      <c r="C14" t="n">
        <v>6.68</v>
      </c>
      <c r="D14" t="n">
        <v>7.37</v>
      </c>
      <c r="E14" t="n">
        <v>8.06</v>
      </c>
      <c r="F14" t="n">
        <v>8.75</v>
      </c>
    </row>
    <row r="15">
      <c r="A15" s="1" t="n">
        <v>12</v>
      </c>
      <c r="B15" t="n">
        <v>5.75</v>
      </c>
      <c r="C15" t="n">
        <v>6.41</v>
      </c>
      <c r="D15" t="n">
        <v>7.07</v>
      </c>
      <c r="E15" t="n">
        <v>7.73</v>
      </c>
      <c r="F15" t="n">
        <v>8.390000000000001</v>
      </c>
    </row>
    <row r="18">
      <c r="A18" s="1" t="inlineStr">
        <is>
          <t>Required return (base flows)</t>
        </is>
      </c>
    </row>
    <row r="19">
      <c r="A19" t="inlineStr">
        <is>
          <t>CoE %</t>
        </is>
      </c>
      <c r="B19" t="n">
        <v>9</v>
      </c>
      <c r="C19" t="n">
        <v>10</v>
      </c>
      <c r="D19" t="n">
        <v>11</v>
      </c>
      <c r="E19" t="n">
        <v>12</v>
      </c>
      <c r="F19" t="n">
        <v>15</v>
      </c>
    </row>
    <row r="20">
      <c r="A20" t="inlineStr">
        <is>
          <t>Value / share</t>
        </is>
      </c>
      <c r="B20" t="n">
        <v>8.01</v>
      </c>
      <c r="C20" t="n">
        <v>7.68</v>
      </c>
      <c r="D20" t="n">
        <v>7.37</v>
      </c>
      <c r="E20" t="n">
        <v>7.07</v>
      </c>
      <c r="F20" t="n">
        <v>6.26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2026-09-22T09:20:56Z</dcterms:created>
  <dcterms:modified xsi:type="dcterms:W3CDTF">2026-09-22T09:20:56Z</dcterms:modified>
</cp:coreProperties>
</file>