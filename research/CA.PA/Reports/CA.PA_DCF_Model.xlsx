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<sst xmlns="http://schemas.openxmlformats.org/spreadsheetml/2006/main" count="358" uniqueCount="165">
  <si>
    <t xml:space="preserve">Ticker</t>
  </si>
  <si>
    <t xml:space="preserve">CA.PA</t>
  </si>
  <si>
    <t xml:space="preserve">Company</t>
  </si>
  <si>
    <t xml:space="preserve">Carrefour SA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</si>
  <si>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</si>
  <si>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</si>
  <si>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</si>
  <si>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</si>
  <si>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2026-10-23T15:38:09Z Euronext Paris regular close (Friday);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</si>
  <si>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</si>
  <si>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</si>
  <si>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</si>
  <si>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</si>
  <si>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</si>
  <si>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</si>
  <si>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</si>
  <si>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</si>
  <si>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</si>
  <si>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</si>
  <si>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</si>
  <si>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</si>
  <si>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2026-10-25T11:07:52Z</t>
  </si>
  <si>
    <t xml:space="preserve">Drivers file</t>
  </si>
  <si>
    <t xml:space="preserve">CA.PA_Drivers.json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</si>
  <si>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</si>
  <si>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</si>
  <si>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</si>
  <si>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Carrefour on unlevered owner FCF after all lease cash and after the recurring restructuring charges the company books below recurring operating income, discounted at a EUR WACC that carries explicit premiums for its LatAm currency exposure, French regulatory/political risk and thin-margin operating leverage, with revenue growth held at the decade's 0.72% through-cycle rate and terminal value capped at the owner-FCF multiples the market has actually paid Carrefour (8x/10x/12x). The June 2026 balance sheet is the anchor with an explicit, documented seasonal working-capital add-back rather than a stale December figure. The component build is deliberately below the company's own net-FCF framing (disposal proceeds credited at a third, working capital at a fraction). After the sanity fix the base case assumes NO re-rating, so any upside the model shows is the gap between the owner-FCF yield at today's price and a 9% required return, not a multiple expansion story. The required-return table is the key output: it says what IRR the current price implies on base flows for a thin-margin French retailer with LatAm currency exposure.
sanity_fix: WHAT TRIPPED (sanity_check.py 2026-10-25, exit 3): implied P/E 56.9x on the base case vs 2x the 10yr average of 15.5x. P/B 1.56x and P/Sales 0.204x did not formally trip but both sat ABOVE the decade's maximum (1.31x and 0.180x): the base case was pricing a re-rating the market has not granted in ten years. CAUSE: not peak-earnings extrapolation (the owner-FCF base of ~EUR 1.48bn normalised is already below FY2025 actual 1.94bn and below guidance), so Step 8c.5 item 1 was not applied. The P/E rule divides by FY2025 SBC-adjusted EPS of ~EUR 0.44, a trough year (net income EUR 319m after the Italy disposal loss and a 71% effective tax rate, vs 1,659m in FY2023); the current share price alone is 31.5x that denominator, so no value above the market price can pass the 31x threshold, and the number should be read against adjusted EPS (~9x at the current price) instead. The fixable causes were (i) growth of 2.0-2.5% against a 0.72% through-cycle revenue CAGR and (ii) a 7.5% WACC that did not price structural risks the qualitative analysis names. WHAT CHANGED (Step 8c.5 items 2-4, one pass): WACC 7.5% -&gt; 9.0% in all scenarios via three documented premiums (+0.5% LatAm geographic/currency, +0.5% French regulatory/political, +0.5% thin-margin cyclicality; see inputs.wacc_rationale); base revenue growth capped at the through-cycle CAGR (0.717%, applied at 0.7%) from year 2 (year 1 held at the half-reported +1.5%), bull trimmed to the 2.0% continuing-LFL rate, bear held at 0-0.5%; terminal caps reset on a no-re-rate basis to bear 8x / base 10x / bull 12x owner FCF (EV/EBITDA history is null for this ticker, so the decade's observed owner-FCF multiple range is used as the binding cap, with the engine printing the implied terminal EV/EBITDA for cross-check); base terminal growth 2.0% -&gt; 1.0% for consistency with the capped path (non-binding, the cap binds). UNCHANGED, deliberately: margin, D&amp;A, capex and cash-tax paths (evidence-based and not named by the diagnosis), the 30/50/20 weights, and the EUR 1,900m seasonal working-capital add-back, which was re-examined and retained because it is a timing-consistency item equivalent to anchoring on the December balance sheet, not an uplift. RESULT: see sanity_check.implied_multiples_after_fix. The P/E rule remains formally tripped because of its trough-EPS denominator; P/B and P/Sales move from above the decade maximum to inside the decade range, which is the test that carries information for this name. No further iteration: a value low enough to pass the P/E rule would have to sit below the share price, which is not a defensible modelling target.
key_risks_to_valuation: French social unrest extends beyond Q4 2026 or recurs; the EUR 80-200m hit becomes a run-rate cost (security, insurance, closures) and Q4 footfall does not return; Continued French share loss to E.Leclerc and discounters forces price investment, so the pre-lease margin falls rather than recovers (bear path); Sale-and-leaseback and rent indexation raise lease cash faster than cost savings; management's post-IFRS-16 ROI margin targets then overstate owner economics; BRL/ARS depreciation and the end of Argentine hyperinflation accounting shrink reported nominal growth; Brazil deferred-tax assets stay unrecognised; 'Non-recurring' restructuring cash charges (Cora GEPP, store closures, Spain/Argentina) persist above the 0.3% of revenue assumed; The seasonal working-capital add-back (EUR 1,900m, ~EUR 2.7/share) assumes December payables normalise; a weak Q4 would unwind part of it; Growth cap: the 0.72% through-cycle rate embeds a decade of deliberate exits; if the three-market portfolio actually compounds at its ~2% LFL the base understates value (that is the bull case); WACC premiums are judgment: each 0.5% of the 1.5% added moves the base value by roughly EUR 1/share; Terminal multiple: the base assumes 10x owner FCF, i.e. no re-rating; the dashboard's sensitivity shows the value if the market pays 12x (bull) or de-rates to 8x (bear); Equity-accounted stakes (Carmila etc.) carried at EUR 967m book; CarrefourSA Turkey is being sold for nominal consideration</t>
  </si>
  <si>
    <t xml:space="preserve">Data sources</t>
  </si>
  <si>
    <t xml:space="preserve">price: Yahoo Finance chart API at inputs.price_as_of; 52-week range 12.63-17.535 EUR; Euronext Paris quote in EUR, same currency as the statements, no FX bridge
financials: CA.PA_Metrics.csv (FY2016-H1 FY2026, EUR millions); CA.PA_Annual_FY2025.txt (URD: net-debt bridge lines 30925-30985 for FCF 3,006 / lease payments 1,177 / finance costs 396 / NFCF 1,305 and 1,565 ex-Italy; D&amp;A split lines 34415-34490: owned 1,345+64, ROU 721+218; shares line 41046-41056; SBC statement of changes in equity); CA.PA_HalfYear_H1-2026.txt (net debt 5,849 and composition lines 557-577; simplified cash-flow lines 612-660; income statement 1055-1095; balance sheet 1188-1260 incl. NCI 745, associates 967, lease liabilities 4,971; diluted shares 709,398,073 line 3180; associates note 9.1-9.2 lines 2721-2770)
qualitative: CA.PA_Analysis.json (2026-10-25) and CA.PA_Presentation_Q3-2026.txt slide 'FY 2026 financial targets adjusted' (2026-10-20 guidance cut, lines 175-200); sanity_check.py output 2026-10-25 (trip_reasons, diagnosis) for the Step 8c.5 fix</t>
  </si>
  <si>
    <t xml:space="preserve">Scenario narrative: bear</t>
  </si>
  <si>
    <t xml:space="preserve">France deteriorates structurally (security situation plus price war), margins compress toward 3.1% pre-lease, revenue stalls, the stock de-rates to ~8x owner FCF, and the company remains a high-FCF-yield value trap funding dividends while equity value stagnates.</t>
  </si>
  <si>
    <t xml:space="preserve">Scenario narrative: base</t>
  </si>
  <si>
    <t xml:space="preserve">A structurally low-margin but cash-generative grocer that executes about half of its own 2030 margin plan while absorbing the 2026 French unrest as a one-year hit, on revenue that grows only at its decade-long 0.7% nominal rate. Axes: French market-share trajectory vs E.Leclerc/Lidl, sale-and-leaseback rent creep vs cost savings, Brazilian cash-and-carry growth vs BRL translation, and whether 'non-recurring' restructuring cash ever stops recurring.</t>
  </si>
  <si>
    <t xml:space="preserve">Scenario narrative: bull</t>
  </si>
  <si>
    <t xml:space="preserve">Portfolio simplification and the cost programme deliver the Carrefour 2030 targets; revenue holds its ~2% like-for-like with no further exits; the stock re-rates to the top of its own decade range (~12x owner FCF) as net FCF grows per the EUR 5bn 2026-28 cumulative target.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</si>
  <si>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</si>
  <si>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</si>
  <si>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</si>
  <si>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</si>
  <si>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</si>
  <si>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</si>
  <si>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</si>
  <si>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</si>
  <si>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</si>
  <si>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</si>
  <si>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</si>
  <si>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</si>
  <si>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</si>
  <si>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</si>
  <si>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</si>
  <si>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</si>
  <si>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</si>
  <si>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</si>
  <si>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</si>
  <si>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</si>
  <si>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</si>
  <si>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</si>
  <si>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</si>
  <si>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</si>
  <si>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</si>
  <si>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</si>
  <si>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</si>
  <si>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RecurringOperatingIncome</t>
  </si>
  <si>
    <t xml:space="preserve">SameStoreSalesGrowth</t>
  </si>
  <si>
    <t xml:space="preserve">FY2016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</si>
  <si>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</si>
  <si>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</si>
  <si>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</si>
  <si>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</si>
  <si>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</si>
  <si>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</si>
  <si>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</si>
  <si>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</si>
  <si>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</si>
  <si>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</si>
  <si>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</si>
  <si>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</si>
  <si>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</si>
  <si>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</si>
  <si>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</si>
  <si>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</si>
  <si>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</si>
  <si>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</si>
  <si>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</si>
  <si>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</si>
  <si>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</si>
  <si>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</si>
  <si>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</si>
  <si>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</si>
  <si>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</si>
  <si>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</si>
  <si>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</si>
  <si>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</si>
  <si>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</si>
  <si>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</si>
  <si>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</si>
  <si>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</si>
  <si>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</si>
  <si>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</si>
  <si>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</si>
  <si>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</si>
  <si>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</si>
  <si>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</si>
  <si>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</si>
  <si>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</si>
  <si>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</si>
  <si>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</si>
  <si>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</si>
  <si>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</si>
  <si>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</si>
  <si>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CA.PA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</si>
  <si>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</si>
  <si>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</si>
  <si>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</si>
  <si>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</si>
  <si>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</si>
  <si>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</si>
  <si>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</si>
  <si>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</si>
  <si>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</si>
  <si>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</si>
  <si>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</si>
  <si>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</si>
  <si>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</si>
  <si>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</si>
  <si>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</si>
  <si>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</si>
  <si>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</si>
  <si>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</si>
  <si>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</si>
  <si>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</si>
  <si>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</si>
  <si>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</si>
  <si>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</si>
  <si>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</si>
  <si>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</si>
  <si>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</si>
  <si>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</si>
  <si>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</si>
  <si>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</si>
  <si>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</si>
  <si>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CA.PA owner-FCF component DCF: base case (millions, EUR)</t>
  </si>
  <si>
    <t xml:space="preserve">CA.PA owner-FCF component DCF: bull case (millions, EUR)</t>
  </si>
  <si>
    <t xml:space="preserve">CA.PA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</si>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</sst>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13.835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78774</v>
      </c>
      <c r="C2" s="0" t="n">
        <v>-60789</v>
      </c>
      <c r="D2" s="0" t="n">
        <v>17985</v>
      </c>
      <c r="E2" s="0" t="n">
        <v>22.8</v>
      </c>
      <c r="F2" s="0" t="n">
        <v>1943</v>
      </c>
      <c r="G2" s="0" t="n">
        <v>2.5</v>
      </c>
      <c r="I2" s="0" t="n">
        <v>746</v>
      </c>
      <c r="J2" s="0" t="n">
        <v>0.9</v>
      </c>
      <c r="K2" s="0" t="n">
        <v>1.01</v>
      </c>
      <c r="L2" s="0" t="n">
        <v>3305</v>
      </c>
      <c r="M2" s="0" t="n">
        <v>2749</v>
      </c>
      <c r="N2" s="0" t="n">
        <v>556</v>
      </c>
      <c r="O2" s="0" t="n">
        <v>10426</v>
      </c>
      <c r="P2" s="0" t="n">
        <v>48845</v>
      </c>
      <c r="R2" s="0" t="n">
        <v>8075</v>
      </c>
      <c r="S2" s="0" t="n">
        <v>3305</v>
      </c>
      <c r="U2" s="0" t="n">
        <v>3</v>
      </c>
      <c r="AA2" s="0" t="s">
        <v>17</v>
      </c>
      <c r="AB2" s="0" t="s">
        <v>14</v>
      </c>
      <c r="AC2" s="0" t="n">
        <v>2351</v>
      </c>
    </row>
    <row r="3" customFormat="false" ht="15" hidden="false" customHeight="false" outlineLevel="0" collapsed="false">
      <c r="A3" s="0" t="s">
        <v>66</v>
      </c>
      <c r="B3" s="0" t="n">
        <v>77917</v>
      </c>
      <c r="C3" s="0" t="n">
        <v>-60850</v>
      </c>
      <c r="D3" s="0" t="n">
        <v>17067</v>
      </c>
      <c r="E3" s="0" t="n">
        <v>21.9</v>
      </c>
      <c r="F3" s="0" t="n">
        <v>758</v>
      </c>
      <c r="G3" s="0" t="n">
        <v>1</v>
      </c>
      <c r="I3" s="0" t="n">
        <v>-561</v>
      </c>
      <c r="J3" s="0" t="n">
        <v>-0.7</v>
      </c>
      <c r="K3" s="0" t="n">
        <v>-0.73</v>
      </c>
      <c r="L3" s="0" t="n">
        <v>2108</v>
      </c>
      <c r="M3" s="0" t="n">
        <v>1611</v>
      </c>
      <c r="N3" s="0" t="n">
        <v>497</v>
      </c>
      <c r="O3" s="0" t="n">
        <v>9169</v>
      </c>
      <c r="P3" s="0" t="n">
        <v>47378</v>
      </c>
      <c r="R3" s="0" t="n">
        <v>8275</v>
      </c>
      <c r="S3" s="0" t="n">
        <v>4300</v>
      </c>
      <c r="U3" s="0" t="n">
        <v>6</v>
      </c>
      <c r="AA3" s="0" t="s">
        <v>17</v>
      </c>
      <c r="AB3" s="0" t="s">
        <v>14</v>
      </c>
      <c r="AC3" s="0" t="n">
        <v>1905</v>
      </c>
    </row>
    <row r="4" customFormat="false" ht="15" hidden="false" customHeight="false" outlineLevel="0" collapsed="false">
      <c r="A4" s="0" t="s">
        <v>67</v>
      </c>
      <c r="B4" s="0" t="n">
        <v>74142</v>
      </c>
      <c r="C4" s="0" t="n">
        <v>-58054</v>
      </c>
      <c r="D4" s="0" t="n">
        <v>16088</v>
      </c>
      <c r="E4" s="0" t="n">
        <v>21.7</v>
      </c>
      <c r="F4" s="0" t="n">
        <v>1060</v>
      </c>
      <c r="G4" s="0" t="n">
        <v>1.4</v>
      </c>
      <c r="I4" s="0" t="n">
        <v>1129</v>
      </c>
      <c r="J4" s="0" t="n">
        <v>1.5</v>
      </c>
      <c r="K4" s="0" t="n">
        <v>1.42</v>
      </c>
      <c r="L4" s="0" t="n">
        <v>3247</v>
      </c>
      <c r="M4" s="0" t="n">
        <v>1725</v>
      </c>
      <c r="N4" s="0" t="n">
        <v>1522</v>
      </c>
      <c r="O4" s="0" t="n">
        <v>9940</v>
      </c>
      <c r="P4" s="0" t="n">
        <v>50802</v>
      </c>
      <c r="R4" s="0" t="n">
        <v>7300</v>
      </c>
      <c r="S4" s="0" t="n">
        <v>4466</v>
      </c>
      <c r="U4" s="0" t="n">
        <v>10</v>
      </c>
      <c r="AA4" s="0" t="s">
        <v>17</v>
      </c>
      <c r="AB4" s="0" t="s">
        <v>14</v>
      </c>
      <c r="AC4" s="0" t="n">
        <v>2088</v>
      </c>
    </row>
    <row r="5" customFormat="false" ht="15" hidden="false" customHeight="false" outlineLevel="0" collapsed="false">
      <c r="A5" s="0" t="s">
        <v>68</v>
      </c>
      <c r="B5" s="0" t="n">
        <v>72150</v>
      </c>
      <c r="C5" s="0" t="n">
        <v>-56705</v>
      </c>
      <c r="D5" s="0" t="n">
        <v>15445</v>
      </c>
      <c r="E5" s="0" t="n">
        <v>21.4</v>
      </c>
      <c r="F5" s="0" t="n">
        <v>1686</v>
      </c>
      <c r="G5" s="0" t="n">
        <v>2.3</v>
      </c>
      <c r="I5" s="0" t="n">
        <v>641</v>
      </c>
      <c r="J5" s="0" t="n">
        <v>0.9</v>
      </c>
      <c r="K5" s="0" t="n">
        <v>0.79</v>
      </c>
      <c r="L5" s="0" t="n">
        <v>3395</v>
      </c>
      <c r="M5" s="0" t="n">
        <v>1491</v>
      </c>
      <c r="N5" s="0" t="n">
        <v>1904</v>
      </c>
      <c r="O5" s="0" t="n">
        <v>9795</v>
      </c>
      <c r="P5" s="0" t="n">
        <v>47588</v>
      </c>
      <c r="Q5" s="0" t="n">
        <v>36291</v>
      </c>
      <c r="R5" s="0" t="n">
        <v>7389</v>
      </c>
      <c r="S5" s="0" t="n">
        <v>4439</v>
      </c>
      <c r="T5" s="0" t="n">
        <v>807.588</v>
      </c>
      <c r="U5" s="0" t="n">
        <v>23</v>
      </c>
      <c r="AA5" s="0" t="s">
        <v>17</v>
      </c>
      <c r="AB5" s="0" t="s">
        <v>14</v>
      </c>
      <c r="AC5" s="0" t="n">
        <v>2173</v>
      </c>
    </row>
    <row r="6" customFormat="false" ht="15" hidden="false" customHeight="false" outlineLevel="0" collapsed="false">
      <c r="A6" s="0" t="s">
        <v>69</v>
      </c>
      <c r="B6" s="0" t="n">
        <v>74286</v>
      </c>
      <c r="C6" s="0" t="n">
        <v>-58766</v>
      </c>
      <c r="D6" s="0" t="n">
        <v>15520</v>
      </c>
      <c r="E6" s="0" t="n">
        <v>20.9</v>
      </c>
      <c r="F6" s="0" t="n">
        <v>1911</v>
      </c>
      <c r="G6" s="0" t="n">
        <v>2.6</v>
      </c>
      <c r="I6" s="0" t="n">
        <v>1072</v>
      </c>
      <c r="J6" s="0" t="n">
        <v>1.4</v>
      </c>
      <c r="K6" s="0" t="n">
        <v>1.35</v>
      </c>
      <c r="L6" s="0" t="n">
        <v>3661</v>
      </c>
      <c r="M6" s="0" t="n">
        <v>1653</v>
      </c>
      <c r="N6" s="0" t="n">
        <v>2008</v>
      </c>
      <c r="O6" s="0" t="n">
        <v>10251</v>
      </c>
      <c r="P6" s="0" t="n">
        <v>47668</v>
      </c>
      <c r="Q6" s="0" t="n">
        <v>35838</v>
      </c>
      <c r="R6" s="0" t="n">
        <v>6833</v>
      </c>
      <c r="S6" s="0" t="n">
        <v>3703</v>
      </c>
      <c r="T6" s="0" t="n">
        <v>791.409</v>
      </c>
      <c r="U6" s="0" t="n">
        <v>26</v>
      </c>
      <c r="AA6" s="0" t="s">
        <v>17</v>
      </c>
      <c r="AB6" s="0" t="s">
        <v>14</v>
      </c>
      <c r="AC6" s="0" t="n">
        <v>2272</v>
      </c>
    </row>
    <row r="7" customFormat="false" ht="15" hidden="false" customHeight="false" outlineLevel="0" collapsed="false">
      <c r="A7" s="0" t="s">
        <v>70</v>
      </c>
      <c r="B7" s="0" t="n">
        <v>83089</v>
      </c>
      <c r="C7" s="0" t="n">
        <v>-66776</v>
      </c>
      <c r="D7" s="0" t="n">
        <v>16313</v>
      </c>
      <c r="E7" s="0" t="n">
        <v>19.6</v>
      </c>
      <c r="F7" s="0" t="n">
        <v>2463</v>
      </c>
      <c r="G7" s="0" t="n">
        <v>3</v>
      </c>
      <c r="I7" s="0" t="n">
        <v>1348</v>
      </c>
      <c r="J7" s="0" t="n">
        <v>1.6</v>
      </c>
      <c r="K7" s="0" t="n">
        <v>1.8</v>
      </c>
      <c r="L7" s="0" t="n">
        <v>4219</v>
      </c>
      <c r="M7" s="0" t="n">
        <v>1882</v>
      </c>
      <c r="N7" s="0" t="n">
        <v>2337</v>
      </c>
      <c r="O7" s="0" t="n">
        <v>11144</v>
      </c>
      <c r="P7" s="0" t="n">
        <v>56551</v>
      </c>
      <c r="Q7" s="0" t="n">
        <v>43365</v>
      </c>
      <c r="R7" s="0" t="n">
        <v>9558</v>
      </c>
      <c r="S7" s="0" t="n">
        <v>5216</v>
      </c>
      <c r="T7" s="0" t="n">
        <v>746.623</v>
      </c>
      <c r="U7" s="0" t="n">
        <v>22</v>
      </c>
      <c r="AA7" s="0" t="s">
        <v>17</v>
      </c>
      <c r="AB7" s="0" t="s">
        <v>14</v>
      </c>
      <c r="AC7" s="0" t="n">
        <v>2377</v>
      </c>
    </row>
    <row r="8" customFormat="false" ht="15" hidden="false" customHeight="false" outlineLevel="0" collapsed="false">
      <c r="A8" s="0" t="s">
        <v>71</v>
      </c>
      <c r="B8" s="0" t="n">
        <v>84908</v>
      </c>
      <c r="C8" s="0" t="n">
        <v>-68278</v>
      </c>
      <c r="D8" s="0" t="n">
        <v>16630</v>
      </c>
      <c r="E8" s="0" t="n">
        <v>19.6</v>
      </c>
      <c r="F8" s="0" t="n">
        <v>1749</v>
      </c>
      <c r="G8" s="0" t="n">
        <v>2.1</v>
      </c>
      <c r="I8" s="0" t="n">
        <v>1659</v>
      </c>
      <c r="J8" s="0" t="n">
        <v>2</v>
      </c>
      <c r="K8" s="0" t="n">
        <v>2.31</v>
      </c>
      <c r="L8" s="0" t="n">
        <v>4650</v>
      </c>
      <c r="M8" s="0" t="n">
        <v>1850</v>
      </c>
      <c r="N8" s="0" t="n">
        <v>2800</v>
      </c>
      <c r="O8" s="0" t="n">
        <v>11539</v>
      </c>
      <c r="P8" s="0" t="n">
        <v>56171</v>
      </c>
      <c r="Q8" s="0" t="n">
        <v>42784</v>
      </c>
      <c r="R8" s="0" t="n">
        <v>9488</v>
      </c>
      <c r="S8" s="0" t="n">
        <v>6290</v>
      </c>
      <c r="T8" s="0" t="n">
        <v>719.226</v>
      </c>
      <c r="U8" s="0" t="n">
        <v>53</v>
      </c>
      <c r="AA8" s="0" t="s">
        <v>17</v>
      </c>
      <c r="AB8" s="0" t="s">
        <v>14</v>
      </c>
      <c r="AC8" s="0" t="n">
        <v>2264</v>
      </c>
    </row>
    <row r="9" customFormat="false" ht="15" hidden="false" customHeight="false" outlineLevel="0" collapsed="false">
      <c r="A9" s="0" t="s">
        <v>72</v>
      </c>
      <c r="B9" s="0" t="n">
        <v>87270</v>
      </c>
      <c r="C9" s="0" t="n">
        <v>-70302</v>
      </c>
      <c r="D9" s="0" t="n">
        <v>16968</v>
      </c>
      <c r="E9" s="0" t="n">
        <v>19.4</v>
      </c>
      <c r="F9" s="0" t="n">
        <v>1852</v>
      </c>
      <c r="G9" s="0" t="n">
        <v>2.1</v>
      </c>
      <c r="I9" s="0" t="n">
        <v>723</v>
      </c>
      <c r="J9" s="0" t="n">
        <v>0.8</v>
      </c>
      <c r="K9" s="0" t="n">
        <v>1.07</v>
      </c>
      <c r="L9" s="0" t="n">
        <v>4200</v>
      </c>
      <c r="M9" s="0" t="n">
        <v>1772</v>
      </c>
      <c r="N9" s="0" t="n">
        <v>2428</v>
      </c>
      <c r="O9" s="0" t="n">
        <v>10820</v>
      </c>
      <c r="P9" s="0" t="n">
        <v>57363</v>
      </c>
      <c r="Q9" s="0" t="n">
        <v>44879</v>
      </c>
      <c r="R9" s="0" t="n">
        <v>10818</v>
      </c>
      <c r="S9" s="0" t="n">
        <v>6564</v>
      </c>
      <c r="T9" s="0" t="n">
        <v>673.498</v>
      </c>
      <c r="U9" s="0" t="n">
        <v>38</v>
      </c>
      <c r="AA9" s="0" t="s">
        <v>17</v>
      </c>
      <c r="AB9" s="0" t="s">
        <v>14</v>
      </c>
      <c r="AC9" s="0" t="n">
        <v>2213</v>
      </c>
    </row>
    <row r="10" customFormat="false" ht="15" hidden="false" customHeight="false" outlineLevel="0" collapsed="false">
      <c r="A10" s="0" t="s">
        <v>73</v>
      </c>
      <c r="B10" s="0" t="n">
        <v>84025</v>
      </c>
      <c r="C10" s="0" t="n">
        <v>-68001</v>
      </c>
      <c r="D10" s="0" t="n">
        <v>16024</v>
      </c>
      <c r="E10" s="0" t="n">
        <v>19.1</v>
      </c>
      <c r="F10" s="0" t="n">
        <v>2137</v>
      </c>
      <c r="G10" s="0" t="n">
        <v>2.5</v>
      </c>
      <c r="I10" s="0" t="n">
        <v>319</v>
      </c>
      <c r="J10" s="0" t="n">
        <v>0.4</v>
      </c>
      <c r="K10" s="0" t="n">
        <v>0.47</v>
      </c>
      <c r="L10" s="0" t="n">
        <v>3948</v>
      </c>
      <c r="M10" s="0" t="n">
        <v>1523</v>
      </c>
      <c r="N10" s="0" t="n">
        <v>2425</v>
      </c>
      <c r="O10" s="0" t="n">
        <v>10976</v>
      </c>
      <c r="P10" s="0" t="n">
        <v>55213</v>
      </c>
      <c r="Q10" s="0" t="n">
        <v>43544</v>
      </c>
      <c r="R10" s="0" t="n">
        <v>10333</v>
      </c>
      <c r="S10" s="0" t="n">
        <v>6179</v>
      </c>
      <c r="T10" s="0" t="n">
        <v>685.782</v>
      </c>
      <c r="U10" s="0" t="n">
        <v>18</v>
      </c>
      <c r="AA10" s="0" t="s">
        <v>17</v>
      </c>
      <c r="AB10" s="0" t="s">
        <v>14</v>
      </c>
      <c r="AC10" s="0" t="n">
        <v>2158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13.835</v>
      </c>
    </row>
    <row r="3" customFormat="false" ht="15" hidden="false" customHeight="false" outlineLevel="0" collapsed="false">
      <c r="A3" s="0" t="s">
        <v>77</v>
      </c>
      <c r="B3" s="3" t="n">
        <v>709.4</v>
      </c>
    </row>
    <row r="4" customFormat="false" ht="15" hidden="false" customHeight="false" outlineLevel="0" collapsed="false">
      <c r="A4" s="0" t="s">
        <v>78</v>
      </c>
      <c r="B4" s="3" t="n">
        <v>5849</v>
      </c>
    </row>
    <row r="5" customFormat="false" ht="15" hidden="false" customHeight="false" outlineLevel="0" collapsed="false">
      <c r="A5" s="0" t="s">
        <v>79</v>
      </c>
      <c r="B5" s="3" t="n">
        <v>2122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81300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</v>
      </c>
      <c r="D13" s="3" t="n">
        <v>0</v>
      </c>
      <c r="E13" s="3" t="n">
        <v>0.5</v>
      </c>
      <c r="F13" s="3" t="n">
        <v>0.5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98</v>
      </c>
      <c r="C14" s="3" t="n">
        <v>3.45</v>
      </c>
      <c r="D14" s="3" t="n">
        <v>3.3</v>
      </c>
      <c r="E14" s="3" t="n">
        <v>3.2</v>
      </c>
      <c r="F14" s="3" t="n">
        <v>3.1</v>
      </c>
      <c r="G14" s="3" t="n">
        <v>3.1</v>
      </c>
      <c r="H14" s="3" t="n">
        <v>3.1</v>
      </c>
      <c r="I14" s="3" t="n">
        <v>3.1</v>
      </c>
      <c r="J14" s="3" t="n">
        <v>3.1</v>
      </c>
      <c r="K14" s="3" t="n">
        <v>3.1</v>
      </c>
      <c r="L14" s="3" t="n">
        <v>3.1</v>
      </c>
    </row>
    <row r="15" customFormat="false" ht="15" hidden="false" customHeight="false" outlineLevel="0" collapsed="false">
      <c r="A15" s="0" t="s">
        <v>99</v>
      </c>
      <c r="C15" s="3" t="n">
        <v>0.02</v>
      </c>
      <c r="D15" s="3" t="n">
        <v>0.02</v>
      </c>
      <c r="E15" s="3" t="n">
        <v>0.02</v>
      </c>
      <c r="F15" s="3" t="n">
        <v>0.02</v>
      </c>
      <c r="G15" s="3" t="n">
        <v>0.02</v>
      </c>
      <c r="H15" s="3" t="n">
        <v>0.02</v>
      </c>
      <c r="I15" s="3" t="n">
        <v>0.02</v>
      </c>
      <c r="J15" s="3" t="n">
        <v>0.02</v>
      </c>
      <c r="K15" s="3" t="n">
        <v>0.02</v>
      </c>
      <c r="L15" s="3" t="n">
        <v>0.02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1.65</v>
      </c>
      <c r="D17" s="3" t="n">
        <v>1.65</v>
      </c>
      <c r="E17" s="3" t="n">
        <v>1.65</v>
      </c>
      <c r="F17" s="3" t="n">
        <v>1.65</v>
      </c>
      <c r="G17" s="3" t="n">
        <v>1.65</v>
      </c>
      <c r="H17" s="3" t="n">
        <v>1.65</v>
      </c>
      <c r="I17" s="3" t="n">
        <v>1.65</v>
      </c>
      <c r="J17" s="3" t="n">
        <v>1.65</v>
      </c>
      <c r="K17" s="3" t="n">
        <v>1.65</v>
      </c>
      <c r="L17" s="3" t="n">
        <v>1.65</v>
      </c>
    </row>
    <row r="18" customFormat="false" ht="15" hidden="false" customHeight="false" outlineLevel="0" collapsed="false">
      <c r="A18" s="0" t="s">
        <v>102</v>
      </c>
      <c r="C18" s="3" t="n">
        <v>1.85</v>
      </c>
      <c r="D18" s="3" t="n">
        <v>1.85</v>
      </c>
      <c r="E18" s="3" t="n">
        <v>1.85</v>
      </c>
      <c r="F18" s="3" t="n">
        <v>1.85</v>
      </c>
      <c r="G18" s="3" t="n">
        <v>1.85</v>
      </c>
      <c r="H18" s="3" t="n">
        <v>1.85</v>
      </c>
      <c r="I18" s="3" t="n">
        <v>1.85</v>
      </c>
      <c r="J18" s="3" t="n">
        <v>1.85</v>
      </c>
      <c r="K18" s="3" t="n">
        <v>1.85</v>
      </c>
      <c r="L18" s="3" t="n">
        <v>1.85</v>
      </c>
    </row>
    <row r="19" customFormat="false" ht="15" hidden="false" customHeight="false" outlineLevel="0" collapsed="false">
      <c r="A19" s="0" t="s">
        <v>103</v>
      </c>
      <c r="C19" s="3" t="n">
        <v>32</v>
      </c>
      <c r="D19" s="3" t="n">
        <v>32</v>
      </c>
      <c r="E19" s="3" t="n">
        <v>32</v>
      </c>
      <c r="F19" s="3" t="n">
        <v>32</v>
      </c>
      <c r="G19" s="3" t="n">
        <v>32</v>
      </c>
      <c r="H19" s="3" t="n">
        <v>32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0.5</v>
      </c>
    </row>
    <row r="22" customFormat="false" ht="15" hidden="false" customHeight="false" outlineLevel="0" collapsed="false">
      <c r="A22" s="0" t="s">
        <v>106</v>
      </c>
      <c r="B22" s="3" t="n">
        <v>8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1.5</v>
      </c>
      <c r="D27" s="3" t="n">
        <v>0.7</v>
      </c>
      <c r="E27" s="3" t="n">
        <v>0.7</v>
      </c>
      <c r="F27" s="3" t="n">
        <v>0.7</v>
      </c>
      <c r="G27" s="3" t="n">
        <v>0.7</v>
      </c>
      <c r="H27" s="3" t="n">
        <v>0.7</v>
      </c>
      <c r="I27" s="3" t="n">
        <v>0.7</v>
      </c>
      <c r="J27" s="3" t="n">
        <v>0.7</v>
      </c>
      <c r="K27" s="3" t="n">
        <v>0.7</v>
      </c>
      <c r="L27" s="3" t="n">
        <v>0.7</v>
      </c>
    </row>
    <row r="28" customFormat="false" ht="15" hidden="false" customHeight="false" outlineLevel="0" collapsed="false">
      <c r="A28" s="0" t="s">
        <v>98</v>
      </c>
      <c r="C28" s="3" t="n">
        <v>3.6</v>
      </c>
      <c r="D28" s="3" t="n">
        <v>3.7</v>
      </c>
      <c r="E28" s="3" t="n">
        <v>3.8</v>
      </c>
      <c r="F28" s="3" t="n">
        <v>3.9</v>
      </c>
      <c r="G28" s="3" t="n">
        <v>4</v>
      </c>
      <c r="H28" s="3" t="n">
        <v>4.05</v>
      </c>
      <c r="I28" s="3" t="n">
        <v>4.1</v>
      </c>
      <c r="J28" s="3" t="n">
        <v>4.1</v>
      </c>
      <c r="K28" s="3" t="n">
        <v>4.1</v>
      </c>
      <c r="L28" s="3" t="n">
        <v>4.1</v>
      </c>
    </row>
    <row r="29" customFormat="false" ht="15" hidden="false" customHeight="false" outlineLevel="0" collapsed="false">
      <c r="A29" s="0" t="s">
        <v>99</v>
      </c>
      <c r="C29" s="3" t="n">
        <v>0.02</v>
      </c>
      <c r="D29" s="3" t="n">
        <v>0.02</v>
      </c>
      <c r="E29" s="3" t="n">
        <v>0.02</v>
      </c>
      <c r="F29" s="3" t="n">
        <v>0.02</v>
      </c>
      <c r="G29" s="3" t="n">
        <v>0.02</v>
      </c>
      <c r="H29" s="3" t="n">
        <v>0.02</v>
      </c>
      <c r="I29" s="3" t="n">
        <v>0.02</v>
      </c>
      <c r="J29" s="3" t="n">
        <v>0.02</v>
      </c>
      <c r="K29" s="3" t="n">
        <v>0.02</v>
      </c>
      <c r="L29" s="3" t="n">
        <v>0.02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1.65</v>
      </c>
      <c r="D31" s="3" t="n">
        <v>1.65</v>
      </c>
      <c r="E31" s="3" t="n">
        <v>1.62</v>
      </c>
      <c r="F31" s="3" t="n">
        <v>1.6</v>
      </c>
      <c r="G31" s="3" t="n">
        <v>1.58</v>
      </c>
      <c r="H31" s="3" t="n">
        <v>1.55</v>
      </c>
      <c r="I31" s="3" t="n">
        <v>1.55</v>
      </c>
      <c r="J31" s="3" t="n">
        <v>1.55</v>
      </c>
      <c r="K31" s="3" t="n">
        <v>1.55</v>
      </c>
      <c r="L31" s="3" t="n">
        <v>1.55</v>
      </c>
    </row>
    <row r="32" customFormat="false" ht="15" hidden="false" customHeight="false" outlineLevel="0" collapsed="false">
      <c r="A32" s="0" t="s">
        <v>102</v>
      </c>
      <c r="C32" s="3" t="n">
        <v>1.7</v>
      </c>
      <c r="D32" s="3" t="n">
        <v>1.65</v>
      </c>
      <c r="E32" s="3" t="n">
        <v>1.65</v>
      </c>
      <c r="F32" s="3" t="n">
        <v>1.6</v>
      </c>
      <c r="G32" s="3" t="n">
        <v>1.6</v>
      </c>
      <c r="H32" s="3" t="n">
        <v>1.55</v>
      </c>
      <c r="I32" s="3" t="n">
        <v>1.55</v>
      </c>
      <c r="J32" s="3" t="n">
        <v>1.55</v>
      </c>
      <c r="K32" s="3" t="n">
        <v>1.55</v>
      </c>
      <c r="L32" s="3" t="n">
        <v>1.55</v>
      </c>
    </row>
    <row r="33" customFormat="false" ht="15" hidden="false" customHeight="false" outlineLevel="0" collapsed="false">
      <c r="A33" s="0" t="s">
        <v>103</v>
      </c>
      <c r="C33" s="3" t="n">
        <v>32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10</v>
      </c>
    </row>
    <row r="37" customFormat="false" ht="15" hidden="false" customHeight="false" outlineLevel="0" collapsed="false">
      <c r="A37" s="0" t="s">
        <v>107</v>
      </c>
      <c r="B37" s="3" t="n">
        <v>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2.5</v>
      </c>
      <c r="D41" s="3" t="n">
        <v>2</v>
      </c>
      <c r="E41" s="3" t="n">
        <v>2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98</v>
      </c>
      <c r="C42" s="3" t="n">
        <v>3.7</v>
      </c>
      <c r="D42" s="3" t="n">
        <v>3.9</v>
      </c>
      <c r="E42" s="3" t="n">
        <v>4.1</v>
      </c>
      <c r="F42" s="3" t="n">
        <v>4.3</v>
      </c>
      <c r="G42" s="3" t="n">
        <v>4.45</v>
      </c>
      <c r="H42" s="3" t="n">
        <v>4.55</v>
      </c>
      <c r="I42" s="3" t="n">
        <v>4.6</v>
      </c>
      <c r="J42" s="3" t="n">
        <v>4.6</v>
      </c>
      <c r="K42" s="3" t="n">
        <v>4.6</v>
      </c>
      <c r="L42" s="3" t="n">
        <v>4.6</v>
      </c>
    </row>
    <row r="43" customFormat="false" ht="15" hidden="false" customHeight="false" outlineLevel="0" collapsed="false">
      <c r="A43" s="0" t="s">
        <v>99</v>
      </c>
      <c r="C43" s="3" t="n">
        <v>0.02</v>
      </c>
      <c r="D43" s="3" t="n">
        <v>0.02</v>
      </c>
      <c r="E43" s="3" t="n">
        <v>0.02</v>
      </c>
      <c r="F43" s="3" t="n">
        <v>0.02</v>
      </c>
      <c r="G43" s="3" t="n">
        <v>0.02</v>
      </c>
      <c r="H43" s="3" t="n">
        <v>0.02</v>
      </c>
      <c r="I43" s="3" t="n">
        <v>0.02</v>
      </c>
      <c r="J43" s="3" t="n">
        <v>0.02</v>
      </c>
      <c r="K43" s="3" t="n">
        <v>0.02</v>
      </c>
      <c r="L43" s="3" t="n">
        <v>0.02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1.65</v>
      </c>
      <c r="D45" s="3" t="n">
        <v>1.65</v>
      </c>
      <c r="E45" s="3" t="n">
        <v>1.62</v>
      </c>
      <c r="F45" s="3" t="n">
        <v>1.6</v>
      </c>
      <c r="G45" s="3" t="n">
        <v>1.58</v>
      </c>
      <c r="H45" s="3" t="n">
        <v>1.55</v>
      </c>
      <c r="I45" s="3" t="n">
        <v>1.55</v>
      </c>
      <c r="J45" s="3" t="n">
        <v>1.55</v>
      </c>
      <c r="K45" s="3" t="n">
        <v>1.55</v>
      </c>
      <c r="L45" s="3" t="n">
        <v>1.55</v>
      </c>
    </row>
    <row r="46" customFormat="false" ht="15" hidden="false" customHeight="false" outlineLevel="0" collapsed="false">
      <c r="A46" s="0" t="s">
        <v>102</v>
      </c>
      <c r="C46" s="3" t="n">
        <v>1.7</v>
      </c>
      <c r="D46" s="3" t="n">
        <v>1.65</v>
      </c>
      <c r="E46" s="3" t="n">
        <v>1.65</v>
      </c>
      <c r="F46" s="3" t="n">
        <v>1.6</v>
      </c>
      <c r="G46" s="3" t="n">
        <v>1.6</v>
      </c>
      <c r="H46" s="3" t="n">
        <v>1.55</v>
      </c>
      <c r="I46" s="3" t="n">
        <v>1.55</v>
      </c>
      <c r="J46" s="3" t="n">
        <v>1.55</v>
      </c>
      <c r="K46" s="3" t="n">
        <v>1.55</v>
      </c>
      <c r="L46" s="3" t="n">
        <v>1.55</v>
      </c>
    </row>
    <row r="47" customFormat="false" ht="15" hidden="false" customHeight="false" outlineLevel="0" collapsed="false">
      <c r="A47" s="0" t="s">
        <v>103</v>
      </c>
      <c r="C47" s="3" t="n">
        <v>32</v>
      </c>
      <c r="D47" s="3" t="n">
        <v>30</v>
      </c>
      <c r="E47" s="3" t="n">
        <v>30</v>
      </c>
      <c r="F47" s="3" t="n">
        <v>29</v>
      </c>
      <c r="G47" s="3" t="n">
        <v>29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</v>
      </c>
      <c r="D5" s="4" t="n">
        <f aca="false">Assumptions!D13</f>
        <v>0</v>
      </c>
      <c r="E5" s="4" t="n">
        <f aca="false">Assumptions!E13</f>
        <v>0.5</v>
      </c>
      <c r="F5" s="4" t="n">
        <f aca="false">Assumptions!F13</f>
        <v>0.5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81300</v>
      </c>
      <c r="C6" s="0" t="n">
        <f aca="false">B6*(1+C5/100)</f>
        <v>81300</v>
      </c>
      <c r="D6" s="0" t="n">
        <f aca="false">C6*(1+D5/100)</f>
        <v>81300</v>
      </c>
      <c r="E6" s="0" t="n">
        <f aca="false">D6*(1+E5/100)</f>
        <v>81706.5</v>
      </c>
      <c r="F6" s="0" t="n">
        <f aca="false">E6*(1+F5/100)</f>
        <v>82115.0325</v>
      </c>
      <c r="G6" s="0" t="n">
        <f aca="false">F6*(1+G5/100)</f>
        <v>82525.6076625</v>
      </c>
      <c r="H6" s="0" t="n">
        <f aca="false">G6*(1+H5/100)</f>
        <v>82938.2357008125</v>
      </c>
      <c r="I6" s="0" t="n">
        <f aca="false">H6*(1+I5/100)</f>
        <v>83352.9268793165</v>
      </c>
      <c r="J6" s="0" t="n">
        <f aca="false">I6*(1+J5/100)</f>
        <v>83769.6915137131</v>
      </c>
      <c r="K6" s="0" t="n">
        <f aca="false">J6*(1+K5/100)</f>
        <v>84188.5399712817</v>
      </c>
      <c r="L6" s="0" t="n">
        <f aca="false">K6*(1+L5/100)</f>
        <v>84609.4826711381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3.45</v>
      </c>
      <c r="D7" s="4" t="n">
        <f aca="false">Assumptions!D14</f>
        <v>3.3</v>
      </c>
      <c r="E7" s="4" t="n">
        <f aca="false">Assumptions!E14</f>
        <v>3.2</v>
      </c>
      <c r="F7" s="4" t="n">
        <f aca="false">Assumptions!F14</f>
        <v>3.1</v>
      </c>
      <c r="G7" s="4" t="n">
        <f aca="false">Assumptions!G14</f>
        <v>3.1</v>
      </c>
      <c r="H7" s="4" t="n">
        <f aca="false">Assumptions!H14</f>
        <v>3.1</v>
      </c>
      <c r="I7" s="4" t="n">
        <f aca="false">Assumptions!I14</f>
        <v>3.1</v>
      </c>
      <c r="J7" s="4" t="n">
        <f aca="false">Assumptions!J14</f>
        <v>3.1</v>
      </c>
      <c r="K7" s="4" t="n">
        <f aca="false">Assumptions!K14</f>
        <v>3.1</v>
      </c>
      <c r="L7" s="4" t="n">
        <f aca="false">Assumptions!L14</f>
        <v>3.1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2804.85</v>
      </c>
      <c r="D8" s="0" t="n">
        <f aca="false">D6*D7/100</f>
        <v>2682.9</v>
      </c>
      <c r="E8" s="0" t="n">
        <f aca="false">E6*E7/100</f>
        <v>2614.608</v>
      </c>
      <c r="F8" s="0" t="n">
        <f aca="false">F6*F7/100</f>
        <v>2545.5660075</v>
      </c>
      <c r="G8" s="0" t="n">
        <f aca="false">G6*G7/100</f>
        <v>2558.2938375375</v>
      </c>
      <c r="H8" s="0" t="n">
        <f aca="false">H6*H7/100</f>
        <v>2571.08530672519</v>
      </c>
      <c r="I8" s="0" t="n">
        <f aca="false">I6*I7/100</f>
        <v>2583.94073325881</v>
      </c>
      <c r="J8" s="0" t="n">
        <f aca="false">J6*J7/100</f>
        <v>2596.86043692511</v>
      </c>
      <c r="K8" s="0" t="n">
        <f aca="false">K6*K7/100</f>
        <v>2609.84473910973</v>
      </c>
      <c r="L8" s="0" t="n">
        <f aca="false">L6*L7/100</f>
        <v>2622.89396280528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0.02</v>
      </c>
      <c r="D9" s="4" t="n">
        <f aca="false">Assumptions!D15</f>
        <v>0.02</v>
      </c>
      <c r="E9" s="4" t="n">
        <f aca="false">Assumptions!E15</f>
        <v>0.02</v>
      </c>
      <c r="F9" s="4" t="n">
        <f aca="false">Assumptions!F15</f>
        <v>0.02</v>
      </c>
      <c r="G9" s="4" t="n">
        <f aca="false">Assumptions!G15</f>
        <v>0.02</v>
      </c>
      <c r="H9" s="4" t="n">
        <f aca="false">Assumptions!H15</f>
        <v>0.02</v>
      </c>
      <c r="I9" s="4" t="n">
        <f aca="false">Assumptions!I15</f>
        <v>0.02</v>
      </c>
      <c r="J9" s="4" t="n">
        <f aca="false">Assumptions!J15</f>
        <v>0.02</v>
      </c>
      <c r="K9" s="4" t="n">
        <f aca="false">Assumptions!K15</f>
        <v>0.02</v>
      </c>
      <c r="L9" s="4" t="n">
        <f aca="false">Assumptions!L15</f>
        <v>0.02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-16.26</v>
      </c>
      <c r="D10" s="0" t="n">
        <f aca="false">-D6*D9/100</f>
        <v>-16.26</v>
      </c>
      <c r="E10" s="0" t="n">
        <f aca="false">-E6*E9/100</f>
        <v>-16.3413</v>
      </c>
      <c r="F10" s="0" t="n">
        <f aca="false">-F6*F9/100</f>
        <v>-16.4230065</v>
      </c>
      <c r="G10" s="0" t="n">
        <f aca="false">-G6*G9/100</f>
        <v>-16.5051215325</v>
      </c>
      <c r="H10" s="0" t="n">
        <f aca="false">-H6*H9/100</f>
        <v>-16.5876471401625</v>
      </c>
      <c r="I10" s="0" t="n">
        <f aca="false">-I6*I9/100</f>
        <v>-16.6705853758633</v>
      </c>
      <c r="J10" s="0" t="n">
        <f aca="false">-J6*J9/100</f>
        <v>-16.7539383027426</v>
      </c>
      <c r="K10" s="0" t="n">
        <f aca="false">-K6*K9/100</f>
        <v>-16.8377079942563</v>
      </c>
      <c r="L10" s="0" t="n">
        <f aca="false">-L6*L9/100</f>
        <v>-16.9218965342276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2788.59</v>
      </c>
      <c r="D11" s="0" t="n">
        <f aca="false">D8+D10+D24</f>
        <v>2666.64</v>
      </c>
      <c r="E11" s="0" t="n">
        <f aca="false">E8+E10+E24</f>
        <v>2598.2667</v>
      </c>
      <c r="F11" s="0" t="n">
        <f aca="false">F8+F10+F24</f>
        <v>2529.143001</v>
      </c>
      <c r="G11" s="0" t="n">
        <f aca="false">G8+G10+G24</f>
        <v>2541.788716005</v>
      </c>
      <c r="H11" s="0" t="n">
        <f aca="false">H8+H10+H24</f>
        <v>2554.49765958502</v>
      </c>
      <c r="I11" s="0" t="n">
        <f aca="false">I8+I10+I24</f>
        <v>2567.27014788295</v>
      </c>
      <c r="J11" s="0" t="n">
        <f aca="false">J8+J10+J24</f>
        <v>2580.10649862236</v>
      </c>
      <c r="K11" s="0" t="n">
        <f aca="false">K8+K10+K24</f>
        <v>2593.00703111548</v>
      </c>
      <c r="L11" s="0" t="n">
        <f aca="false">L8+L10+L24</f>
        <v>2605.97206627105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-1341.45</v>
      </c>
      <c r="D12" s="4" t="n">
        <f aca="false">-D6*Assumptions!D17/100</f>
        <v>-1341.45</v>
      </c>
      <c r="E12" s="4" t="n">
        <f aca="false">-E6*Assumptions!E17/100</f>
        <v>-1348.15725</v>
      </c>
      <c r="F12" s="4" t="n">
        <f aca="false">-F6*Assumptions!F17/100</f>
        <v>-1354.89803625</v>
      </c>
      <c r="G12" s="4" t="n">
        <f aca="false">-G6*Assumptions!G17/100</f>
        <v>-1361.67252643125</v>
      </c>
      <c r="H12" s="4" t="n">
        <f aca="false">-H6*Assumptions!H17/100</f>
        <v>-1368.48088906341</v>
      </c>
      <c r="I12" s="4" t="n">
        <f aca="false">-I6*Assumptions!I17/100</f>
        <v>-1375.32329350872</v>
      </c>
      <c r="J12" s="4" t="n">
        <f aca="false">-J6*Assumptions!J17/100</f>
        <v>-1382.19990997627</v>
      </c>
      <c r="K12" s="4" t="n">
        <f aca="false">-K6*Assumptions!K17/100</f>
        <v>-1389.11090952615</v>
      </c>
      <c r="L12" s="4" t="n">
        <f aca="false">-L6*Assumptions!L17/100</f>
        <v>-1396.05646407378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1447.14</v>
      </c>
      <c r="D13" s="0" t="n">
        <f aca="false">D11+D12</f>
        <v>1325.19</v>
      </c>
      <c r="E13" s="0" t="n">
        <f aca="false">E11+E12</f>
        <v>1250.10945</v>
      </c>
      <c r="F13" s="0" t="n">
        <f aca="false">F11+F12</f>
        <v>1174.24496475</v>
      </c>
      <c r="G13" s="0" t="n">
        <f aca="false">G11+G12</f>
        <v>1180.11618957375</v>
      </c>
      <c r="H13" s="0" t="n">
        <f aca="false">H11+H12</f>
        <v>1186.01677052162</v>
      </c>
      <c r="I13" s="0" t="n">
        <f aca="false">I11+I12</f>
        <v>1191.94685437423</v>
      </c>
      <c r="J13" s="0" t="n">
        <f aca="false">J11+J12</f>
        <v>1197.9065886461</v>
      </c>
      <c r="K13" s="0" t="n">
        <f aca="false">K11+K12</f>
        <v>1203.89612158933</v>
      </c>
      <c r="L13" s="0" t="n">
        <f aca="false">L11+L12</f>
        <v>1209.91560219727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32</v>
      </c>
      <c r="D14" s="4" t="n">
        <f aca="false">Assumptions!D19</f>
        <v>32</v>
      </c>
      <c r="E14" s="4" t="n">
        <f aca="false">Assumptions!E19</f>
        <v>32</v>
      </c>
      <c r="F14" s="4" t="n">
        <f aca="false">Assumptions!F19</f>
        <v>32</v>
      </c>
      <c r="G14" s="4" t="n">
        <f aca="false">Assumptions!G19</f>
        <v>32</v>
      </c>
      <c r="H14" s="4" t="n">
        <f aca="false">Assumptions!H19</f>
        <v>32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984.0552</v>
      </c>
      <c r="D15" s="0" t="n">
        <f aca="false">D13-MAX(0,D13)*D14/100</f>
        <v>901.1292</v>
      </c>
      <c r="E15" s="0" t="n">
        <f aca="false">E13-MAX(0,E13)*E14/100</f>
        <v>850.074426</v>
      </c>
      <c r="F15" s="0" t="n">
        <f aca="false">F13-MAX(0,F13)*F14/100</f>
        <v>798.48657603</v>
      </c>
      <c r="G15" s="0" t="n">
        <f aca="false">G13-MAX(0,G13)*G14/100</f>
        <v>802.47900891015</v>
      </c>
      <c r="H15" s="0" t="n">
        <f aca="false">H13-MAX(0,H13)*H14/100</f>
        <v>806.4914039547</v>
      </c>
      <c r="I15" s="0" t="n">
        <f aca="false">I13-MAX(0,I13)*I14/100</f>
        <v>810.523860974474</v>
      </c>
      <c r="J15" s="0" t="n">
        <f aca="false">J13-MAX(0,J13)*J14/100</f>
        <v>814.576480279346</v>
      </c>
      <c r="K15" s="0" t="n">
        <f aca="false">K13-MAX(0,K13)*K14/100</f>
        <v>818.649362680743</v>
      </c>
      <c r="L15" s="0" t="n">
        <f aca="false">L13-MAX(0,L13)*L14/100</f>
        <v>822.742609494147</v>
      </c>
    </row>
    <row r="16" customFormat="false" ht="15" hidden="false" customHeight="false" outlineLevel="0" collapsed="false">
      <c r="A16" s="0" t="s">
        <v>119</v>
      </c>
      <c r="C16" s="0" t="n">
        <f aca="false">-C12</f>
        <v>1341.45</v>
      </c>
      <c r="D16" s="0" t="n">
        <f aca="false">-D12</f>
        <v>1341.45</v>
      </c>
      <c r="E16" s="0" t="n">
        <f aca="false">-E12</f>
        <v>1348.15725</v>
      </c>
      <c r="F16" s="0" t="n">
        <f aca="false">-F12</f>
        <v>1354.89803625</v>
      </c>
      <c r="G16" s="0" t="n">
        <f aca="false">-G12</f>
        <v>1361.67252643125</v>
      </c>
      <c r="H16" s="0" t="n">
        <f aca="false">-H12</f>
        <v>1368.48088906341</v>
      </c>
      <c r="I16" s="0" t="n">
        <f aca="false">-I12</f>
        <v>1375.32329350872</v>
      </c>
      <c r="J16" s="0" t="n">
        <f aca="false">-J12</f>
        <v>1382.19990997627</v>
      </c>
      <c r="K16" s="0" t="n">
        <f aca="false">-K12</f>
        <v>1389.11090952615</v>
      </c>
      <c r="L16" s="0" t="n">
        <f aca="false">-L12</f>
        <v>1396.05646407378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-1504.05</v>
      </c>
      <c r="D17" s="4" t="n">
        <f aca="false">-D6*Assumptions!D18/100</f>
        <v>-1504.05</v>
      </c>
      <c r="E17" s="4" t="n">
        <f aca="false">-E6*Assumptions!E18/100</f>
        <v>-1511.57025</v>
      </c>
      <c r="F17" s="4" t="n">
        <f aca="false">-F6*Assumptions!F18/100</f>
        <v>-1519.12810125</v>
      </c>
      <c r="G17" s="4" t="n">
        <f aca="false">-G6*Assumptions!G18/100</f>
        <v>-1526.72374175625</v>
      </c>
      <c r="H17" s="4" t="n">
        <f aca="false">-H6*Assumptions!H18/100</f>
        <v>-1534.35736046503</v>
      </c>
      <c r="I17" s="4" t="n">
        <f aca="false">-I6*Assumptions!I18/100</f>
        <v>-1542.02914726736</v>
      </c>
      <c r="J17" s="4" t="n">
        <f aca="false">-J6*Assumptions!J18/100</f>
        <v>-1549.73929300369</v>
      </c>
      <c r="K17" s="4" t="n">
        <f aca="false">-K6*Assumptions!K18/100</f>
        <v>-1557.48798946871</v>
      </c>
      <c r="L17" s="4" t="n">
        <f aca="false">-L6*Assumptions!L18/100</f>
        <v>-1565.27542941605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821.4552</v>
      </c>
      <c r="D19" s="0" t="n">
        <f aca="false">D15+D16+D17+D18</f>
        <v>738.5292</v>
      </c>
      <c r="E19" s="0" t="n">
        <f aca="false">E15+E16+E17+E18</f>
        <v>686.661425999999</v>
      </c>
      <c r="F19" s="0" t="n">
        <f aca="false">F15+F16+F17+F18</f>
        <v>634.25651103</v>
      </c>
      <c r="G19" s="0" t="n">
        <f aca="false">G15+G16+G17+G18</f>
        <v>637.427793585149</v>
      </c>
      <c r="H19" s="0" t="n">
        <f aca="false">H15+H16+H17+H18</f>
        <v>640.614932553075</v>
      </c>
      <c r="I19" s="0" t="n">
        <f aca="false">I15+I16+I17+I18</f>
        <v>643.818007215841</v>
      </c>
      <c r="J19" s="0" t="n">
        <f aca="false">J15+J16+J17+J18</f>
        <v>647.03709725192</v>
      </c>
      <c r="K19" s="0" t="n">
        <f aca="false">K15+K16+K17+K18</f>
        <v>650.27228273818</v>
      </c>
      <c r="L19" s="0" t="n">
        <f aca="false">L15+L16+L17+L18</f>
        <v>653.523644151871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753.628623853211</v>
      </c>
      <c r="D21" s="0" t="n">
        <f aca="false">D19*D20</f>
        <v>621.605252083158</v>
      </c>
      <c r="E21" s="0" t="n">
        <f aca="false">E19*E20</f>
        <v>530.228609552373</v>
      </c>
      <c r="F21" s="0" t="n">
        <f aca="false">F19*F20</f>
        <v>449.323302695902</v>
      </c>
      <c r="G21" s="0" t="n">
        <f aca="false">G19*G20</f>
        <v>414.284329549892</v>
      </c>
      <c r="H21" s="0" t="n">
        <f aca="false">H19*H20</f>
        <v>381.977753392331</v>
      </c>
      <c r="I21" s="0" t="n">
        <f aca="false">I19*I20</f>
        <v>352.190497393847</v>
      </c>
      <c r="J21" s="0" t="n">
        <f aca="false">J19*J20</f>
        <v>324.726100808088</v>
      </c>
      <c r="K21" s="0" t="n">
        <f aca="false">K19*K20</f>
        <v>299.403423222136</v>
      </c>
      <c r="L21" s="0" t="n">
        <f aca="false">L19*L20</f>
        <v>276.055449851603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4403.42334240254</v>
      </c>
    </row>
    <row r="31" customFormat="false" ht="15" hidden="false" customHeight="false" outlineLevel="0" collapsed="false">
      <c r="A31" s="0" t="s">
        <v>128</v>
      </c>
      <c r="B31" s="0" t="n">
        <f aca="false">L19</f>
        <v>653.523644151871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7726.95602791329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5228.18915321496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5228.18915321496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2208.44359881282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6611.86694121536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2884.86694121536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4.06662946323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-0.706062199983376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105.902128411319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84.5144932832305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4.33504872132776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4529.59491291469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1.23108302575795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1.5</v>
      </c>
      <c r="D5" s="4" t="n">
        <f aca="false">Assumptions!D27</f>
        <v>0.7</v>
      </c>
      <c r="E5" s="4" t="n">
        <f aca="false">Assumptions!E27</f>
        <v>0.7</v>
      </c>
      <c r="F5" s="4" t="n">
        <f aca="false">Assumptions!F27</f>
        <v>0.7</v>
      </c>
      <c r="G5" s="4" t="n">
        <f aca="false">Assumptions!G27</f>
        <v>0.7</v>
      </c>
      <c r="H5" s="4" t="n">
        <f aca="false">Assumptions!H27</f>
        <v>0.7</v>
      </c>
      <c r="I5" s="4" t="n">
        <f aca="false">Assumptions!I27</f>
        <v>0.7</v>
      </c>
      <c r="J5" s="4" t="n">
        <f aca="false">Assumptions!J27</f>
        <v>0.7</v>
      </c>
      <c r="K5" s="4" t="n">
        <f aca="false">Assumptions!K27</f>
        <v>0.7</v>
      </c>
      <c r="L5" s="4" t="n">
        <f aca="false">Assumptions!L27</f>
        <v>0.7</v>
      </c>
    </row>
    <row r="6" customFormat="false" ht="15" hidden="false" customHeight="false" outlineLevel="0" collapsed="false">
      <c r="A6" s="0" t="s">
        <v>37</v>
      </c>
      <c r="B6" s="3" t="n">
        <v>81300</v>
      </c>
      <c r="C6" s="0" t="n">
        <f aca="false">B6*(1+C5/100)</f>
        <v>82519.5</v>
      </c>
      <c r="D6" s="0" t="n">
        <f aca="false">C6*(1+D5/100)</f>
        <v>83097.1365</v>
      </c>
      <c r="E6" s="0" t="n">
        <f aca="false">D6*(1+E5/100)</f>
        <v>83678.8164555</v>
      </c>
      <c r="F6" s="0" t="n">
        <f aca="false">E6*(1+F5/100)</f>
        <v>84264.5681706885</v>
      </c>
      <c r="G6" s="0" t="n">
        <f aca="false">F6*(1+G5/100)</f>
        <v>84854.4201478833</v>
      </c>
      <c r="H6" s="0" t="n">
        <f aca="false">G6*(1+H5/100)</f>
        <v>85448.4010889184</v>
      </c>
      <c r="I6" s="0" t="n">
        <f aca="false">H6*(1+I5/100)</f>
        <v>86046.5398965409</v>
      </c>
      <c r="J6" s="0" t="n">
        <f aca="false">I6*(1+J5/100)</f>
        <v>86648.8656758167</v>
      </c>
      <c r="K6" s="0" t="n">
        <f aca="false">J6*(1+K5/100)</f>
        <v>87255.4077355474</v>
      </c>
      <c r="L6" s="0" t="n">
        <f aca="false">K6*(1+L5/100)</f>
        <v>87866.1955896962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3.6</v>
      </c>
      <c r="D7" s="4" t="n">
        <f aca="false">Assumptions!D28</f>
        <v>3.7</v>
      </c>
      <c r="E7" s="4" t="n">
        <f aca="false">Assumptions!E28</f>
        <v>3.8</v>
      </c>
      <c r="F7" s="4" t="n">
        <f aca="false">Assumptions!F28</f>
        <v>3.9</v>
      </c>
      <c r="G7" s="4" t="n">
        <f aca="false">Assumptions!G28</f>
        <v>4</v>
      </c>
      <c r="H7" s="4" t="n">
        <f aca="false">Assumptions!H28</f>
        <v>4.05</v>
      </c>
      <c r="I7" s="4" t="n">
        <f aca="false">Assumptions!I28</f>
        <v>4.1</v>
      </c>
      <c r="J7" s="4" t="n">
        <f aca="false">Assumptions!J28</f>
        <v>4.1</v>
      </c>
      <c r="K7" s="4" t="n">
        <f aca="false">Assumptions!K28</f>
        <v>4.1</v>
      </c>
      <c r="L7" s="4" t="n">
        <f aca="false">Assumptions!L28</f>
        <v>4.1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2970.702</v>
      </c>
      <c r="D8" s="0" t="n">
        <f aca="false">D6*D7/100</f>
        <v>3074.5940505</v>
      </c>
      <c r="E8" s="0" t="n">
        <f aca="false">E6*E7/100</f>
        <v>3179.795025309</v>
      </c>
      <c r="F8" s="0" t="n">
        <f aca="false">F6*F7/100</f>
        <v>3286.31815865685</v>
      </c>
      <c r="G8" s="0" t="n">
        <f aca="false">G6*G7/100</f>
        <v>3394.17680591533</v>
      </c>
      <c r="H8" s="0" t="n">
        <f aca="false">H6*H7/100</f>
        <v>3460.6602441012</v>
      </c>
      <c r="I8" s="0" t="n">
        <f aca="false">I6*I7/100</f>
        <v>3527.90813575818</v>
      </c>
      <c r="J8" s="0" t="n">
        <f aca="false">J6*J7/100</f>
        <v>3552.60349270848</v>
      </c>
      <c r="K8" s="0" t="n">
        <f aca="false">K6*K7/100</f>
        <v>3577.47171715744</v>
      </c>
      <c r="L8" s="0" t="n">
        <f aca="false">L6*L7/100</f>
        <v>3602.51401917754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0.02</v>
      </c>
      <c r="D9" s="4" t="n">
        <f aca="false">Assumptions!D29</f>
        <v>0.02</v>
      </c>
      <c r="E9" s="4" t="n">
        <f aca="false">Assumptions!E29</f>
        <v>0.02</v>
      </c>
      <c r="F9" s="4" t="n">
        <f aca="false">Assumptions!F29</f>
        <v>0.02</v>
      </c>
      <c r="G9" s="4" t="n">
        <f aca="false">Assumptions!G29</f>
        <v>0.02</v>
      </c>
      <c r="H9" s="4" t="n">
        <f aca="false">Assumptions!H29</f>
        <v>0.02</v>
      </c>
      <c r="I9" s="4" t="n">
        <f aca="false">Assumptions!I29</f>
        <v>0.02</v>
      </c>
      <c r="J9" s="4" t="n">
        <f aca="false">Assumptions!J29</f>
        <v>0.02</v>
      </c>
      <c r="K9" s="4" t="n">
        <f aca="false">Assumptions!K29</f>
        <v>0.02</v>
      </c>
      <c r="L9" s="4" t="n">
        <f aca="false">Assumptions!L29</f>
        <v>0.02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-16.5039</v>
      </c>
      <c r="D10" s="0" t="n">
        <f aca="false">-D6*D9/100</f>
        <v>-16.6194273</v>
      </c>
      <c r="E10" s="0" t="n">
        <f aca="false">-E6*E9/100</f>
        <v>-16.7357632911</v>
      </c>
      <c r="F10" s="0" t="n">
        <f aca="false">-F6*F9/100</f>
        <v>-16.8529136341377</v>
      </c>
      <c r="G10" s="0" t="n">
        <f aca="false">-G6*G9/100</f>
        <v>-16.9708840295767</v>
      </c>
      <c r="H10" s="0" t="n">
        <f aca="false">-H6*H9/100</f>
        <v>-17.0896802177837</v>
      </c>
      <c r="I10" s="0" t="n">
        <f aca="false">-I6*I9/100</f>
        <v>-17.2093079793082</v>
      </c>
      <c r="J10" s="0" t="n">
        <f aca="false">-J6*J9/100</f>
        <v>-17.3297731351633</v>
      </c>
      <c r="K10" s="0" t="n">
        <f aca="false">-K6*K9/100</f>
        <v>-17.4510815471095</v>
      </c>
      <c r="L10" s="0" t="n">
        <f aca="false">-L6*L9/100</f>
        <v>-17.5732391179392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2954.1981</v>
      </c>
      <c r="D11" s="0" t="n">
        <f aca="false">D8+D10+D24</f>
        <v>3057.9746232</v>
      </c>
      <c r="E11" s="0" t="n">
        <f aca="false">E8+E10+E24</f>
        <v>3163.0592620179</v>
      </c>
      <c r="F11" s="0" t="n">
        <f aca="false">F8+F10+F24</f>
        <v>3269.46524502271</v>
      </c>
      <c r="G11" s="0" t="n">
        <f aca="false">G8+G10+G24</f>
        <v>3377.20592188575</v>
      </c>
      <c r="H11" s="0" t="n">
        <f aca="false">H8+H10+H24</f>
        <v>3443.57056388341</v>
      </c>
      <c r="I11" s="0" t="n">
        <f aca="false">I8+I10+I24</f>
        <v>3510.69882777887</v>
      </c>
      <c r="J11" s="0" t="n">
        <f aca="false">J8+J10+J24</f>
        <v>3535.27371957332</v>
      </c>
      <c r="K11" s="0" t="n">
        <f aca="false">K8+K10+K24</f>
        <v>3560.02063561033</v>
      </c>
      <c r="L11" s="0" t="n">
        <f aca="false">L8+L10+L24</f>
        <v>3584.9407800596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-1361.57175</v>
      </c>
      <c r="D12" s="4" t="n">
        <f aca="false">-D6*Assumptions!D31/100</f>
        <v>-1371.10275225</v>
      </c>
      <c r="E12" s="4" t="n">
        <f aca="false">-E6*Assumptions!E31/100</f>
        <v>-1355.5968265791</v>
      </c>
      <c r="F12" s="4" t="n">
        <f aca="false">-F6*Assumptions!F31/100</f>
        <v>-1348.23309073102</v>
      </c>
      <c r="G12" s="4" t="n">
        <f aca="false">-G6*Assumptions!G31/100</f>
        <v>-1340.69983833656</v>
      </c>
      <c r="H12" s="4" t="n">
        <f aca="false">-H6*Assumptions!H31/100</f>
        <v>-1324.45021687824</v>
      </c>
      <c r="I12" s="4" t="n">
        <f aca="false">-I6*Assumptions!I31/100</f>
        <v>-1333.72136839638</v>
      </c>
      <c r="J12" s="4" t="n">
        <f aca="false">-J6*Assumptions!J31/100</f>
        <v>-1343.05741797516</v>
      </c>
      <c r="K12" s="4" t="n">
        <f aca="false">-K6*Assumptions!K31/100</f>
        <v>-1352.45881990098</v>
      </c>
      <c r="L12" s="4" t="n">
        <f aca="false">-L6*Assumptions!L31/100</f>
        <v>-1361.92603164029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1592.62635</v>
      </c>
      <c r="D13" s="0" t="n">
        <f aca="false">D11+D12</f>
        <v>1686.87187095</v>
      </c>
      <c r="E13" s="0" t="n">
        <f aca="false">E11+E12</f>
        <v>1807.4624354388</v>
      </c>
      <c r="F13" s="0" t="n">
        <f aca="false">F11+F12</f>
        <v>1921.2321542917</v>
      </c>
      <c r="G13" s="0" t="n">
        <f aca="false">G11+G12</f>
        <v>2036.5060835492</v>
      </c>
      <c r="H13" s="0" t="n">
        <f aca="false">H11+H12</f>
        <v>2119.12034700518</v>
      </c>
      <c r="I13" s="0" t="n">
        <f aca="false">I11+I12</f>
        <v>2176.97745938248</v>
      </c>
      <c r="J13" s="0" t="n">
        <f aca="false">J11+J12</f>
        <v>2192.21630159816</v>
      </c>
      <c r="K13" s="0" t="n">
        <f aca="false">K11+K12</f>
        <v>2207.56181570935</v>
      </c>
      <c r="L13" s="0" t="n">
        <f aca="false">L11+L12</f>
        <v>2223.01474841931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32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1082.985918</v>
      </c>
      <c r="D15" s="0" t="n">
        <f aca="false">D13-MAX(0,D13)*D14/100</f>
        <v>1180.810309665</v>
      </c>
      <c r="E15" s="0" t="n">
        <f aca="false">E13-MAX(0,E13)*E14/100</f>
        <v>1265.22370480716</v>
      </c>
      <c r="F15" s="0" t="n">
        <f aca="false">F13-MAX(0,F13)*F14/100</f>
        <v>1344.86250800419</v>
      </c>
      <c r="G15" s="0" t="n">
        <f aca="false">G13-MAX(0,G13)*G14/100</f>
        <v>1425.55425848444</v>
      </c>
      <c r="H15" s="0" t="n">
        <f aca="false">H13-MAX(0,H13)*H14/100</f>
        <v>1483.38424290362</v>
      </c>
      <c r="I15" s="0" t="n">
        <f aca="false">I13-MAX(0,I13)*I14/100</f>
        <v>1523.88422156774</v>
      </c>
      <c r="J15" s="0" t="n">
        <f aca="false">J13-MAX(0,J13)*J14/100</f>
        <v>1534.55141111871</v>
      </c>
      <c r="K15" s="0" t="n">
        <f aca="false">K13-MAX(0,K13)*K14/100</f>
        <v>1545.29327099654</v>
      </c>
      <c r="L15" s="0" t="n">
        <f aca="false">L13-MAX(0,L13)*L14/100</f>
        <v>1556.11032389352</v>
      </c>
    </row>
    <row r="16" customFormat="false" ht="15" hidden="false" customHeight="false" outlineLevel="0" collapsed="false">
      <c r="A16" s="0" t="s">
        <v>119</v>
      </c>
      <c r="C16" s="0" t="n">
        <f aca="false">-C12</f>
        <v>1361.57175</v>
      </c>
      <c r="D16" s="0" t="n">
        <f aca="false">-D12</f>
        <v>1371.10275225</v>
      </c>
      <c r="E16" s="0" t="n">
        <f aca="false">-E12</f>
        <v>1355.5968265791</v>
      </c>
      <c r="F16" s="0" t="n">
        <f aca="false">-F12</f>
        <v>1348.23309073102</v>
      </c>
      <c r="G16" s="0" t="n">
        <f aca="false">-G12</f>
        <v>1340.69983833656</v>
      </c>
      <c r="H16" s="0" t="n">
        <f aca="false">-H12</f>
        <v>1324.45021687824</v>
      </c>
      <c r="I16" s="0" t="n">
        <f aca="false">-I12</f>
        <v>1333.72136839638</v>
      </c>
      <c r="J16" s="0" t="n">
        <f aca="false">-J12</f>
        <v>1343.05741797516</v>
      </c>
      <c r="K16" s="0" t="n">
        <f aca="false">-K12</f>
        <v>1352.45881990098</v>
      </c>
      <c r="L16" s="0" t="n">
        <f aca="false">-L12</f>
        <v>1361.92603164029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-1402.8315</v>
      </c>
      <c r="D17" s="4" t="n">
        <f aca="false">-D6*Assumptions!D32/100</f>
        <v>-1371.10275225</v>
      </c>
      <c r="E17" s="4" t="n">
        <f aca="false">-E6*Assumptions!E32/100</f>
        <v>-1380.70047151575</v>
      </c>
      <c r="F17" s="4" t="n">
        <f aca="false">-F6*Assumptions!F32/100</f>
        <v>-1348.23309073102</v>
      </c>
      <c r="G17" s="4" t="n">
        <f aca="false">-G6*Assumptions!G32/100</f>
        <v>-1357.67072236613</v>
      </c>
      <c r="H17" s="4" t="n">
        <f aca="false">-H6*Assumptions!H32/100</f>
        <v>-1324.45021687824</v>
      </c>
      <c r="I17" s="4" t="n">
        <f aca="false">-I6*Assumptions!I32/100</f>
        <v>-1333.72136839638</v>
      </c>
      <c r="J17" s="4" t="n">
        <f aca="false">-J6*Assumptions!J32/100</f>
        <v>-1343.05741797516</v>
      </c>
      <c r="K17" s="4" t="n">
        <f aca="false">-K6*Assumptions!K32/100</f>
        <v>-1352.45881990098</v>
      </c>
      <c r="L17" s="4" t="n">
        <f aca="false">-L6*Assumptions!L32/100</f>
        <v>-1361.92603164029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60.9749999999993</v>
      </c>
      <c r="D18" s="4" t="n">
        <f aca="false">(D6-C6)*Assumptions!$B$37/100</f>
        <v>28.8818249999997</v>
      </c>
      <c r="E18" s="4" t="n">
        <f aca="false">(E6-D6)*Assumptions!$B$37/100</f>
        <v>29.0839977749994</v>
      </c>
      <c r="F18" s="4" t="n">
        <f aca="false">(F6-E6)*Assumptions!$B$37/100</f>
        <v>29.2875857594248</v>
      </c>
      <c r="G18" s="4" t="n">
        <f aca="false">(G6-F6)*Assumptions!$B$37/100</f>
        <v>29.4925988597402</v>
      </c>
      <c r="H18" s="4" t="n">
        <f aca="false">(H6-G6)*Assumptions!$B$37/100</f>
        <v>29.6990470517587</v>
      </c>
      <c r="I18" s="4" t="n">
        <f aca="false">(I6-H6)*Assumptions!$B$37/100</f>
        <v>29.9069403811212</v>
      </c>
      <c r="J18" s="4" t="n">
        <f aca="false">(J6-I6)*Assumptions!$B$37/100</f>
        <v>30.116288963789</v>
      </c>
      <c r="K18" s="4" t="n">
        <f aca="false">(K6-J6)*Assumptions!$B$37/100</f>
        <v>30.3271029865355</v>
      </c>
      <c r="L18" s="4" t="n">
        <f aca="false">(L6-K6)*Assumptions!$B$37/100</f>
        <v>30.5393927074409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1102.701168</v>
      </c>
      <c r="D19" s="0" t="n">
        <f aca="false">D15+D16+D17+D18</f>
        <v>1209.692134665</v>
      </c>
      <c r="E19" s="0" t="n">
        <f aca="false">E15+E16+E17+E18</f>
        <v>1269.20405764551</v>
      </c>
      <c r="F19" s="0" t="n">
        <f aca="false">F15+F16+F17+F18</f>
        <v>1374.15009376361</v>
      </c>
      <c r="G19" s="0" t="n">
        <f aca="false">G15+G16+G17+G18</f>
        <v>1438.0759733146</v>
      </c>
      <c r="H19" s="0" t="n">
        <f aca="false">H15+H16+H17+H18</f>
        <v>1513.08328995538</v>
      </c>
      <c r="I19" s="0" t="n">
        <f aca="false">I15+I16+I17+I18</f>
        <v>1553.79116194886</v>
      </c>
      <c r="J19" s="0" t="n">
        <f aca="false">J15+J16+J17+J18</f>
        <v>1564.6677000825</v>
      </c>
      <c r="K19" s="0" t="n">
        <f aca="false">K15+K16+K17+K18</f>
        <v>1575.62037398308</v>
      </c>
      <c r="L19" s="0" t="n">
        <f aca="false">L15+L16+L17+L18</f>
        <v>1586.64971660096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1011.65244770642</v>
      </c>
      <c r="D21" s="0" t="n">
        <f aca="false">D19*D20</f>
        <v>1018.17366775945</v>
      </c>
      <c r="E21" s="0" t="n">
        <f aca="false">E19*E20</f>
        <v>980.058406140333</v>
      </c>
      <c r="F21" s="0" t="n">
        <f aca="false">F19*F20</f>
        <v>973.482570209746</v>
      </c>
      <c r="G21" s="0" t="n">
        <f aca="false">G19*G20</f>
        <v>934.650710938702</v>
      </c>
      <c r="H21" s="0" t="n">
        <f aca="false">H19*H20</f>
        <v>902.202128647306</v>
      </c>
      <c r="I21" s="0" t="n">
        <f aca="false">I19*I20</f>
        <v>849.976974920915</v>
      </c>
      <c r="J21" s="0" t="n">
        <f aca="false">J19*J20</f>
        <v>785.253957564551</v>
      </c>
      <c r="K21" s="0" t="n">
        <f aca="false">K19*K20</f>
        <v>725.459390153673</v>
      </c>
      <c r="L21" s="0" t="n">
        <f aca="false">L19*L20</f>
        <v>670.217987050228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8851.12824109132</v>
      </c>
    </row>
    <row r="31" customFormat="false" ht="15" hidden="false" customHeight="false" outlineLevel="0" collapsed="false">
      <c r="A31" s="0" t="s">
        <v>128</v>
      </c>
      <c r="B31" s="0" t="n">
        <f aca="false">L19</f>
        <v>1586.64971660096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20031.4526720871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15866.4971660096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15866.4971660096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6702.17987050228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15553.3081115936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11826.3081115936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16.6708600388971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0.204977234470336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108.780867489293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93.7169672091924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16.9563094816635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11446.5443840498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8.31831188477015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2.5</v>
      </c>
      <c r="D5" s="4" t="n">
        <f aca="false">Assumptions!D41</f>
        <v>2</v>
      </c>
      <c r="E5" s="4" t="n">
        <f aca="false">Assumptions!E41</f>
        <v>2</v>
      </c>
      <c r="F5" s="4" t="n">
        <f aca="false">Assumptions!F41</f>
        <v>2</v>
      </c>
      <c r="G5" s="4" t="n">
        <f aca="false">Assumptions!G41</f>
        <v>2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81300</v>
      </c>
      <c r="C6" s="0" t="n">
        <f aca="false">B6*(1+C5/100)</f>
        <v>83332.5</v>
      </c>
      <c r="D6" s="0" t="n">
        <f aca="false">C6*(1+D5/100)</f>
        <v>84999.15</v>
      </c>
      <c r="E6" s="0" t="n">
        <f aca="false">D6*(1+E5/100)</f>
        <v>86699.133</v>
      </c>
      <c r="F6" s="0" t="n">
        <f aca="false">E6*(1+F5/100)</f>
        <v>88433.11566</v>
      </c>
      <c r="G6" s="0" t="n">
        <f aca="false">F6*(1+G5/100)</f>
        <v>90201.7779732</v>
      </c>
      <c r="H6" s="0" t="n">
        <f aca="false">G6*(1+H5/100)</f>
        <v>92005.813532664</v>
      </c>
      <c r="I6" s="0" t="n">
        <f aca="false">H6*(1+I5/100)</f>
        <v>93845.9298033173</v>
      </c>
      <c r="J6" s="0" t="n">
        <f aca="false">I6*(1+J5/100)</f>
        <v>95722.8483993836</v>
      </c>
      <c r="K6" s="0" t="n">
        <f aca="false">J6*(1+K5/100)</f>
        <v>97637.3053673713</v>
      </c>
      <c r="L6" s="0" t="n">
        <f aca="false">K6*(1+L5/100)</f>
        <v>99590.0514747187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3.7</v>
      </c>
      <c r="D7" s="4" t="n">
        <f aca="false">Assumptions!D42</f>
        <v>3.9</v>
      </c>
      <c r="E7" s="4" t="n">
        <f aca="false">Assumptions!E42</f>
        <v>4.1</v>
      </c>
      <c r="F7" s="4" t="n">
        <f aca="false">Assumptions!F42</f>
        <v>4.3</v>
      </c>
      <c r="G7" s="4" t="n">
        <f aca="false">Assumptions!G42</f>
        <v>4.45</v>
      </c>
      <c r="H7" s="4" t="n">
        <f aca="false">Assumptions!H42</f>
        <v>4.55</v>
      </c>
      <c r="I7" s="4" t="n">
        <f aca="false">Assumptions!I42</f>
        <v>4.6</v>
      </c>
      <c r="J7" s="4" t="n">
        <f aca="false">Assumptions!J42</f>
        <v>4.6</v>
      </c>
      <c r="K7" s="4" t="n">
        <f aca="false">Assumptions!K42</f>
        <v>4.6</v>
      </c>
      <c r="L7" s="4" t="n">
        <f aca="false">Assumptions!L42</f>
        <v>4.6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3083.3025</v>
      </c>
      <c r="D8" s="0" t="n">
        <f aca="false">D6*D7/100</f>
        <v>3314.96685</v>
      </c>
      <c r="E8" s="0" t="n">
        <f aca="false">E6*E7/100</f>
        <v>3554.664453</v>
      </c>
      <c r="F8" s="0" t="n">
        <f aca="false">F6*F7/100</f>
        <v>3802.62397338</v>
      </c>
      <c r="G8" s="0" t="n">
        <f aca="false">G6*G7/100</f>
        <v>4013.9791198074</v>
      </c>
      <c r="H8" s="0" t="n">
        <f aca="false">H6*H7/100</f>
        <v>4186.26451573621</v>
      </c>
      <c r="I8" s="0" t="n">
        <f aca="false">I6*I7/100</f>
        <v>4316.9127709526</v>
      </c>
      <c r="J8" s="0" t="n">
        <f aca="false">J6*J7/100</f>
        <v>4403.25102637165</v>
      </c>
      <c r="K8" s="0" t="n">
        <f aca="false">K6*K7/100</f>
        <v>4491.31604689908</v>
      </c>
      <c r="L8" s="0" t="n">
        <f aca="false">L6*L7/100</f>
        <v>4581.14236783706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0.02</v>
      </c>
      <c r="D9" s="4" t="n">
        <f aca="false">Assumptions!D43</f>
        <v>0.02</v>
      </c>
      <c r="E9" s="4" t="n">
        <f aca="false">Assumptions!E43</f>
        <v>0.02</v>
      </c>
      <c r="F9" s="4" t="n">
        <f aca="false">Assumptions!F43</f>
        <v>0.02</v>
      </c>
      <c r="G9" s="4" t="n">
        <f aca="false">Assumptions!G43</f>
        <v>0.02</v>
      </c>
      <c r="H9" s="4" t="n">
        <f aca="false">Assumptions!H43</f>
        <v>0.02</v>
      </c>
      <c r="I9" s="4" t="n">
        <f aca="false">Assumptions!I43</f>
        <v>0.02</v>
      </c>
      <c r="J9" s="4" t="n">
        <f aca="false">Assumptions!J43</f>
        <v>0.02</v>
      </c>
      <c r="K9" s="4" t="n">
        <f aca="false">Assumptions!K43</f>
        <v>0.02</v>
      </c>
      <c r="L9" s="4" t="n">
        <f aca="false">Assumptions!L43</f>
        <v>0.02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-16.6665</v>
      </c>
      <c r="D10" s="0" t="n">
        <f aca="false">-D6*D9/100</f>
        <v>-16.99983</v>
      </c>
      <c r="E10" s="0" t="n">
        <f aca="false">-E6*E9/100</f>
        <v>-17.3398266</v>
      </c>
      <c r="F10" s="0" t="n">
        <f aca="false">-F6*F9/100</f>
        <v>-17.686623132</v>
      </c>
      <c r="G10" s="0" t="n">
        <f aca="false">-G6*G9/100</f>
        <v>-18.04035559464</v>
      </c>
      <c r="H10" s="0" t="n">
        <f aca="false">-H6*H9/100</f>
        <v>-18.4011627065328</v>
      </c>
      <c r="I10" s="0" t="n">
        <f aca="false">-I6*I9/100</f>
        <v>-18.7691859606635</v>
      </c>
      <c r="J10" s="0" t="n">
        <f aca="false">-J6*J9/100</f>
        <v>-19.1445696798767</v>
      </c>
      <c r="K10" s="0" t="n">
        <f aca="false">-K6*K9/100</f>
        <v>-19.5274610734743</v>
      </c>
      <c r="L10" s="0" t="n">
        <f aca="false">-L6*L9/100</f>
        <v>-19.9180102949438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3066.636</v>
      </c>
      <c r="D11" s="0" t="n">
        <f aca="false">D8+D10+D24</f>
        <v>3297.96702</v>
      </c>
      <c r="E11" s="0" t="n">
        <f aca="false">E8+E10+E24</f>
        <v>3537.3246264</v>
      </c>
      <c r="F11" s="0" t="n">
        <f aca="false">F8+F10+F24</f>
        <v>3784.937350248</v>
      </c>
      <c r="G11" s="0" t="n">
        <f aca="false">G8+G10+G24</f>
        <v>3995.93876421276</v>
      </c>
      <c r="H11" s="0" t="n">
        <f aca="false">H8+H10+H24</f>
        <v>4167.86335302968</v>
      </c>
      <c r="I11" s="0" t="n">
        <f aca="false">I8+I10+I24</f>
        <v>4298.14358499193</v>
      </c>
      <c r="J11" s="0" t="n">
        <f aca="false">J8+J10+J24</f>
        <v>4384.10645669177</v>
      </c>
      <c r="K11" s="0" t="n">
        <f aca="false">K8+K10+K24</f>
        <v>4471.78858582561</v>
      </c>
      <c r="L11" s="0" t="n">
        <f aca="false">L8+L10+L24</f>
        <v>4561.22435754212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-1374.98625</v>
      </c>
      <c r="D12" s="4" t="n">
        <f aca="false">-D6*Assumptions!D45/100</f>
        <v>-1402.485975</v>
      </c>
      <c r="E12" s="4" t="n">
        <f aca="false">-E6*Assumptions!E45/100</f>
        <v>-1404.5259546</v>
      </c>
      <c r="F12" s="4" t="n">
        <f aca="false">-F6*Assumptions!F45/100</f>
        <v>-1414.92985056</v>
      </c>
      <c r="G12" s="4" t="n">
        <f aca="false">-G6*Assumptions!G45/100</f>
        <v>-1425.18809197656</v>
      </c>
      <c r="H12" s="4" t="n">
        <f aca="false">-H6*Assumptions!H45/100</f>
        <v>-1426.09010975629</v>
      </c>
      <c r="I12" s="4" t="n">
        <f aca="false">-I6*Assumptions!I45/100</f>
        <v>-1454.61191195142</v>
      </c>
      <c r="J12" s="4" t="n">
        <f aca="false">-J6*Assumptions!J45/100</f>
        <v>-1483.70415019045</v>
      </c>
      <c r="K12" s="4" t="n">
        <f aca="false">-K6*Assumptions!K45/100</f>
        <v>-1513.37823319426</v>
      </c>
      <c r="L12" s="4" t="n">
        <f aca="false">-L6*Assumptions!L45/100</f>
        <v>-1543.64579785814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1691.64975</v>
      </c>
      <c r="D13" s="0" t="n">
        <f aca="false">D11+D12</f>
        <v>1895.481045</v>
      </c>
      <c r="E13" s="0" t="n">
        <f aca="false">E11+E12</f>
        <v>2132.7986718</v>
      </c>
      <c r="F13" s="0" t="n">
        <f aca="false">F11+F12</f>
        <v>2370.007499688</v>
      </c>
      <c r="G13" s="0" t="n">
        <f aca="false">G11+G12</f>
        <v>2570.7506722362</v>
      </c>
      <c r="H13" s="0" t="n">
        <f aca="false">H11+H12</f>
        <v>2741.77324327339</v>
      </c>
      <c r="I13" s="0" t="n">
        <f aca="false">I11+I12</f>
        <v>2843.53167304051</v>
      </c>
      <c r="J13" s="0" t="n">
        <f aca="false">J11+J12</f>
        <v>2900.40230650132</v>
      </c>
      <c r="K13" s="0" t="n">
        <f aca="false">K11+K12</f>
        <v>2958.41035263135</v>
      </c>
      <c r="L13" s="0" t="n">
        <f aca="false">L11+L12</f>
        <v>3017.57855968398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32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29</v>
      </c>
      <c r="G14" s="4" t="n">
        <f aca="false">Assumptions!G47</f>
        <v>29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1150.32183</v>
      </c>
      <c r="D15" s="0" t="n">
        <f aca="false">D13-MAX(0,D13)*D14/100</f>
        <v>1326.8367315</v>
      </c>
      <c r="E15" s="0" t="n">
        <f aca="false">E13-MAX(0,E13)*E14/100</f>
        <v>1492.95907026</v>
      </c>
      <c r="F15" s="0" t="n">
        <f aca="false">F13-MAX(0,F13)*F14/100</f>
        <v>1682.70532477848</v>
      </c>
      <c r="G15" s="0" t="n">
        <f aca="false">G13-MAX(0,G13)*G14/100</f>
        <v>1825.2329772877</v>
      </c>
      <c r="H15" s="0" t="n">
        <f aca="false">H13-MAX(0,H13)*H14/100</f>
        <v>1974.07673515684</v>
      </c>
      <c r="I15" s="0" t="n">
        <f aca="false">I13-MAX(0,I13)*I14/100</f>
        <v>2047.34280458917</v>
      </c>
      <c r="J15" s="0" t="n">
        <f aca="false">J13-MAX(0,J13)*J14/100</f>
        <v>2088.28966068095</v>
      </c>
      <c r="K15" s="0" t="n">
        <f aca="false">K13-MAX(0,K13)*K14/100</f>
        <v>2130.05545389457</v>
      </c>
      <c r="L15" s="0" t="n">
        <f aca="false">L13-MAX(0,L13)*L14/100</f>
        <v>2172.65656297246</v>
      </c>
    </row>
    <row r="16" customFormat="false" ht="15" hidden="false" customHeight="false" outlineLevel="0" collapsed="false">
      <c r="A16" s="0" t="s">
        <v>119</v>
      </c>
      <c r="C16" s="0" t="n">
        <f aca="false">-C12</f>
        <v>1374.98625</v>
      </c>
      <c r="D16" s="0" t="n">
        <f aca="false">-D12</f>
        <v>1402.485975</v>
      </c>
      <c r="E16" s="0" t="n">
        <f aca="false">-E12</f>
        <v>1404.5259546</v>
      </c>
      <c r="F16" s="0" t="n">
        <f aca="false">-F12</f>
        <v>1414.92985056</v>
      </c>
      <c r="G16" s="0" t="n">
        <f aca="false">-G12</f>
        <v>1425.18809197656</v>
      </c>
      <c r="H16" s="0" t="n">
        <f aca="false">-H12</f>
        <v>1426.09010975629</v>
      </c>
      <c r="I16" s="0" t="n">
        <f aca="false">-I12</f>
        <v>1454.61191195142</v>
      </c>
      <c r="J16" s="0" t="n">
        <f aca="false">-J12</f>
        <v>1483.70415019045</v>
      </c>
      <c r="K16" s="0" t="n">
        <f aca="false">-K12</f>
        <v>1513.37823319426</v>
      </c>
      <c r="L16" s="0" t="n">
        <f aca="false">-L12</f>
        <v>1543.64579785814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-1416.6525</v>
      </c>
      <c r="D17" s="4" t="n">
        <f aca="false">-D6*Assumptions!D46/100</f>
        <v>-1402.485975</v>
      </c>
      <c r="E17" s="4" t="n">
        <f aca="false">-E6*Assumptions!E46/100</f>
        <v>-1430.5356945</v>
      </c>
      <c r="F17" s="4" t="n">
        <f aca="false">-F6*Assumptions!F46/100</f>
        <v>-1414.92985056</v>
      </c>
      <c r="G17" s="4" t="n">
        <f aca="false">-G6*Assumptions!G46/100</f>
        <v>-1443.2284475712</v>
      </c>
      <c r="H17" s="4" t="n">
        <f aca="false">-H6*Assumptions!H46/100</f>
        <v>-1426.09010975629</v>
      </c>
      <c r="I17" s="4" t="n">
        <f aca="false">-I6*Assumptions!I46/100</f>
        <v>-1454.61191195142</v>
      </c>
      <c r="J17" s="4" t="n">
        <f aca="false">-J6*Assumptions!J46/100</f>
        <v>-1483.70415019045</v>
      </c>
      <c r="K17" s="4" t="n">
        <f aca="false">-K6*Assumptions!K46/100</f>
        <v>-1513.37823319426</v>
      </c>
      <c r="L17" s="4" t="n">
        <f aca="false">-L6*Assumptions!L46/100</f>
        <v>-1543.64579785814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101.625</v>
      </c>
      <c r="D18" s="4" t="n">
        <f aca="false">(D6-C6)*Assumptions!$B$51/100</f>
        <v>83.3325000000004</v>
      </c>
      <c r="E18" s="4" t="n">
        <f aca="false">(E6-D6)*Assumptions!$B$51/100</f>
        <v>84.9991500000004</v>
      </c>
      <c r="F18" s="4" t="n">
        <f aca="false">(F6-E6)*Assumptions!$B$51/100</f>
        <v>86.6991330000004</v>
      </c>
      <c r="G18" s="4" t="n">
        <f aca="false">(G6-F6)*Assumptions!$B$51/100</f>
        <v>88.4331156599997</v>
      </c>
      <c r="H18" s="4" t="n">
        <f aca="false">(H6-G6)*Assumptions!$B$51/100</f>
        <v>90.2017779731999</v>
      </c>
      <c r="I18" s="4" t="n">
        <f aca="false">(I6-H6)*Assumptions!$B$51/100</f>
        <v>92.0058135326639</v>
      </c>
      <c r="J18" s="4" t="n">
        <f aca="false">(J6-I6)*Assumptions!$B$51/100</f>
        <v>93.8459298033173</v>
      </c>
      <c r="K18" s="4" t="n">
        <f aca="false">(K6-J6)*Assumptions!$B$51/100</f>
        <v>95.7228483993837</v>
      </c>
      <c r="L18" s="4" t="n">
        <f aca="false">(L6-K6)*Assumptions!$B$51/100</f>
        <v>97.6373053673713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1210.28058</v>
      </c>
      <c r="D19" s="0" t="n">
        <f aca="false">D15+D16+D17+D18</f>
        <v>1410.1692315</v>
      </c>
      <c r="E19" s="0" t="n">
        <f aca="false">E15+E16+E17+E18</f>
        <v>1551.94848036</v>
      </c>
      <c r="F19" s="0" t="n">
        <f aca="false">F15+F16+F17+F18</f>
        <v>1769.40445777848</v>
      </c>
      <c r="G19" s="0" t="n">
        <f aca="false">G15+G16+G17+G18</f>
        <v>1895.62573735306</v>
      </c>
      <c r="H19" s="0" t="n">
        <f aca="false">H15+H16+H17+H18</f>
        <v>2064.27851313004</v>
      </c>
      <c r="I19" s="0" t="n">
        <f aca="false">I15+I16+I17+I18</f>
        <v>2139.34861812183</v>
      </c>
      <c r="J19" s="0" t="n">
        <f aca="false">J15+J16+J17+J18</f>
        <v>2182.13559048427</v>
      </c>
      <c r="K19" s="0" t="n">
        <f aca="false">K15+K16+K17+K18</f>
        <v>2225.77830229396</v>
      </c>
      <c r="L19" s="0" t="n">
        <f aca="false">L15+L16+L17+L18</f>
        <v>2270.29386833984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1110.3491559633</v>
      </c>
      <c r="D21" s="0" t="n">
        <f aca="false">D19*D20</f>
        <v>1186.91122927363</v>
      </c>
      <c r="E21" s="0" t="n">
        <f aca="false">E19*E20</f>
        <v>1198.38897843987</v>
      </c>
      <c r="F21" s="0" t="n">
        <f aca="false">F19*F20</f>
        <v>1253.49072646142</v>
      </c>
      <c r="G21" s="0" t="n">
        <f aca="false">G19*G20</f>
        <v>1232.0266633807</v>
      </c>
      <c r="H21" s="0" t="n">
        <f aca="false">H19*H20</f>
        <v>1230.86183095825</v>
      </c>
      <c r="I21" s="0" t="n">
        <f aca="false">I19*I20</f>
        <v>1170.29695577087</v>
      </c>
      <c r="J21" s="0" t="n">
        <f aca="false">J19*J20</f>
        <v>1095.14027053788</v>
      </c>
      <c r="K21" s="0" t="n">
        <f aca="false">K19*K20</f>
        <v>1024.81016142077</v>
      </c>
      <c r="L21" s="0" t="n">
        <f aca="false">L19*L20</f>
        <v>958.996664815765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11461.2726370225</v>
      </c>
    </row>
    <row r="31" customFormat="false" ht="15" hidden="false" customHeight="false" outlineLevel="0" collapsed="false">
      <c r="A31" s="0" t="s">
        <v>128</v>
      </c>
      <c r="B31" s="0" t="n">
        <f aca="false">L19</f>
        <v>2270.29386833984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33081.4249386662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27243.526420078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27243.526420078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11507.9599777892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22969.2326148116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19242.2326148116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27.1246583236702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0.960582459246128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115.49493633639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122.597920806467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27.460284003319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17813.0749669741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13.2130239441153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4.06662946323</v>
      </c>
      <c r="C4" s="0" t="n">
        <f aca="false">B4/Assumptions!$B$2-1</f>
        <v>-0.706062199983376</v>
      </c>
      <c r="D4" s="4" t="n">
        <f aca="false">Assumptions!$B$24</f>
        <v>0.3</v>
      </c>
      <c r="E4" s="4" t="n">
        <f aca="false">DCF_Bear!$B$43</f>
        <v>4.33504872132776</v>
      </c>
      <c r="F4" s="4" t="n">
        <f aca="false">DCF_Bear!$B$47</f>
        <v>1.23108302575795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16.6708600388971</v>
      </c>
      <c r="C5" s="0" t="n">
        <f aca="false">B5/Assumptions!$B$2-1</f>
        <v>0.204977234470336</v>
      </c>
      <c r="D5" s="4" t="n">
        <f aca="false">Assumptions!$B$38</f>
        <v>0.5</v>
      </c>
      <c r="E5" s="4" t="n">
        <f aca="false">DCF_Base!$B$43</f>
        <v>16.9563094816635</v>
      </c>
      <c r="F5" s="4" t="n">
        <f aca="false">DCF_Base!$B$47</f>
        <v>8.31831188477015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27.1246583236702</v>
      </c>
      <c r="C6" s="0" t="n">
        <f aca="false">B6/Assumptions!$B$2-1</f>
        <v>0.960582459246128</v>
      </c>
      <c r="D6" s="4" t="n">
        <f aca="false">Assumptions!$B$52</f>
        <v>0.2</v>
      </c>
      <c r="E6" s="4" t="n">
        <f aca="false">DCF_Bull!$B$43</f>
        <v>27.460284003319</v>
      </c>
      <c r="F6" s="4" t="n">
        <f aca="false">DCF_Bull!$B$47</f>
        <v>13.2130239441153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14.9803505231516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15.2707261578939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0.0764568573600121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-394.437544378713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7.17108563893553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16.6708600388971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15.2788189518521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14.0032028279579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12.2436397035127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8.31831188477015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0</v>
      </c>
      <c r="C22" s="3" t="n">
        <v>0.5</v>
      </c>
      <c r="D22" s="3" t="n">
        <v>1</v>
      </c>
      <c r="E22" s="3" t="n">
        <v>1.5</v>
      </c>
      <c r="F22" s="3" t="n">
        <v>2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19.8557884470166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19.8557884470166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19.8557884470166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19.8557884470166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19.8557884470166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18.1918402670303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18.1918402670303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18.1918402670303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18.1918402670303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18.1918402670303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16.6708600388971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16.6708600388971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16.6708600388971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16.6708600388971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16.6708600388971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15.2788189518521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15.2788189518521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15.2788189518521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15.2788189518521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15.2788189518521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13.2871131703231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13.6656177036444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14.0032028279579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14.0032028279579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14.0032028279579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2026-10-25T11:07:52Z</dcterms:created>
  <dc:creator>openpyxl</dc:creator>
  <dc:description/>
  <dc:language>en-NZ</dc:language>
  <cp:lastModifiedBy/>
  <dcterms:modified xsi:type="dcterms:W3CDTF">2026-10-25T11:07:52Z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