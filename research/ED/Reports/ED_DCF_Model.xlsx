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<sst xmlns="http://schemas.openxmlformats.org/spreadsheetml/2006/main" count="384" uniqueCount="173">
  <si>
    <t xml:space="preserve">Ticker</t>
  </si>
  <si>
    <t xml:space="preserve">ED</t>
  </si>
  <si>
    <t xml:space="preserve">Company</t>
  </si>
  <si>
    <t xml:space="preserve">Consolidated Edison,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</si>
  <si>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</si>
  <si>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</si>
  <si>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</si>
  <si>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</si>
  <si>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2026-09-25T20:00:03Z regular close (Yahoo Finance chart API)</t>
  </si>
  <si>
    <t xml:space="preserve">Balance sheet date</t>
  </si>
  <si>
    <t xml:space="preserve">2025-12-31 for debt (FY2025 10-K); equity and cash refreshed to 2026-03-31 (Q1 2026 10-Q). The Q2 2026 10-Q (June 2026 balance sheet) is not yet in the SEC XBRL companyfacts API as of the valuation date.</t>
  </si>
  <si>
    <t xml:space="preserve">Model</t>
  </si>
  <si>
    <t xml:space="preserve">Regulated utility FCFE at cost of equity (rate-base reinvestment, 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</si>
  <si>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</si>
  <si>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</si>
  <si>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</si>
  <si>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</si>
  <si>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</si>
  <si>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</si>
  <si>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</si>
  <si>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</si>
  <si>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2026-09-28T07:23:01Z</t>
  </si>
  <si>
    <t xml:space="preserve">Drivers file</t>
  </si>
  <si>
    <t xml:space="preserve">ED_Drivers.json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</si>
  <si>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</si>
  <si>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</si>
  <si>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</si>
  <si>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regulated utility is a claim on rate base x allowed ROE, funded by a mix of retained earnings and new equity; the cash that actually reaches existing shareholders is dividends less the equity they are asked to put back in. This model values that free cash flow to equity directly at a 7.25% cost of equity, with net debt held at zero because the flows are already after interest. Through 2030 the FCFE is roughly nil -- every dollar of dividend is matched by a dollar of issuance -- so the value sits in the post-2030 slowdown when the payout becomes real; that makes the answer a function of terminal growth, cost of equity and the assumed terminal reinvestment rate far more than of any near-year. At the 2026-09-25 close the stock trades close to the probability-weighted value: the market is pricing roughly the base case at a ~7.2% cost of equity, i.e. a bond-proxy return of ~3.3% dividend yield plus ~3-4% growth. A 15% hurdle cannot be met at anything near today's price, which is the normal result for a slow-growing, terminal-heavy asset and not a defect.
key_risks_to_valuation: Cost of equity: +/-50bp moves the base value by roughly +/-10%; a higher-for-longer rate environment compresses the bond-proxy multiple directly; Terminal reinvestment rate and growth: the post-2030 payout assumption (60% of NI distributable at 3.5% growth) is where nearly all the value sits and is the least observable input; NYPSC regulatory/political risk on authorised ROE and cost recovery (2026 rate case cut ~87% of the year-one electric ask); Equity issuance price: ~$6B of issuance 2026-2029 at a lower share price raises the dilution cost of the same rate-base growth; Book effective tax rate used as the cash rate by design; if Con Edison were allowed to retain cash-tax benefits the model is conservative, if the rate rises toward 25% (Q1 2026 ran 24.7%) NI is ~2.5% lower; Steam segment stranded-asset risk under Local Law 97 and the CLCPA gas-transition mandate; FY0 balance-sheet anchors are the 2025-12-31 10-K (debt) and 2026-03-31 10-Q (equity, cash); the June 2026 10-Q was not yet in the XBRL API</t>
  </si>
  <si>
    <t xml:space="preserve">Data sources</t>
  </si>
  <si>
    <t xml:space="preserve">price: Yahoo Finance chart API regular close at inputs.price_as_of; 52-week range 94.96-116.23
financials: ED_Metrics.csv / core_metrics (SEC XBRL, FY2009-FY2025 and Q1 2026) plus SEC companyfacts API for FY2025 pre-tax income, income tax, interest expense, dividends paid, equity issuance and the diluted share count
qualitative: ED_Analysis.json (2026-09-28): Q2 2026 results, FY2026 guidance ($6.00-6.20 adj EPS, 6-7% EPS CAGR 2026-30, ~$38B 2026-30 capital plan, ~8% rate-base growth, $1.85B 2026 / $4.3B 2027-29 equity), 2026-28 NYPSC rate plan outcome</t>
  </si>
  <si>
    <t xml:space="preserve">Scenario narrative: bear</t>
  </si>
  <si>
    <t xml:space="preserve">The 2026 rate case -- where the NYPSC cut the original electric revenue request by ~87% in year one -- is the template rather than the exception: affordability politics in NYC compress earned ROE to ~8.25%, parts of the plan are disallowed or deferred, rate-base growth slows to ~6% and net income to 6%/yr, leaving EPS roughly flat after dilution. Management trims issuance with the plan, so near-term FCFE is slightly better than base, but the terminal earnings base is 19% smaller and terminal growth 3%. Steam (5% of revenue) decays under Local Law 97 electrification. No solvency element: the bear is a regulated-return squeeze, not a balance-sheet event.</t>
  </si>
  <si>
    <t xml:space="preserve">Scenario narrative: base</t>
  </si>
  <si>
    <t xml:space="preserve">Con Edison executes the approved 2026-2028 multi-year rate plans and the ~$38B 2026-2030 capital plan, growing rate base ~8%/yr and net income ~9%/yr; ~$1.4-1.85B/yr of equity issuance dilutes that to a 5.5-6% EPS CAGR, the low end of the 6-7% guide. Dividends grow ~3%/yr, so through 2030 the cash returned to shareholders roughly equals the cash raised from them -- value is almost entirely the post-2030 phase when growth slows toward 3.5% and 60% of earnings become distributable. The axes are earned ROE versus the 9.25% authorised, the pace of NYPSC-approved rate-base growth, and the cost of the equity needed to fund it; discounted at a 7.25% cost of equity with a terminal multiple of ~16x earnings.</t>
  </si>
  <si>
    <t xml:space="preserve">Scenario narrative: bull</t>
  </si>
  <si>
    <t xml:space="preserve">Earned ROE closes the gap to authorised as regulatory lag falls under the multi-year plans, electrification load (44% of new-business requests) and the CET transmission JVs add rate base beyond the plan, and net income compounds ~10.5%/yr to 2030 (EPS ~7%, top of guide). The payout is held at ~55% so dividends grow 4.5%/yr. Terminal growth of 4% reflects a multi-decade electrification capex runway in the densest service territory in the US. The terminal value hits the 30x-FCFE cap (~16.7x terminal earnings), so the bull case does not assume a re-rating above sector multiples.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</si>
  <si>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</si>
  <si>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</si>
  <si>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</si>
  <si>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</si>
  <si>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</si>
  <si>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</si>
  <si>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</si>
  <si>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</si>
  <si>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</si>
  <si>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</si>
  <si>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</si>
  <si>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</si>
  <si>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</si>
  <si>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</si>
  <si>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</si>
  <si>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</si>
  <si>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</si>
  <si>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</si>
  <si>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</si>
  <si>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</si>
  <si>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</si>
  <si>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</si>
  <si>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</si>
  <si>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</si>
  <si>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</si>
  <si>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</si>
  <si>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</si>
  <si>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</si>
  <si>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</si>
  <si>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</si>
  <si>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</si>
  <si>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</si>
  <si>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</si>
  <si>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</si>
  <si>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</si>
  <si>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</si>
  <si>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</si>
  <si>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</si>
  <si>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</si>
  <si>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</si>
  <si>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</si>
  <si>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</si>
  <si>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</si>
  <si>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</si>
  <si>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</si>
  <si>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</si>
  <si>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</si>
  <si>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</si>
  <si>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</si>
  <si>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</si>
  <si>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</si>
  <si>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</si>
  <si>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</si>
  <si>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</si>
  <si>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</si>
  <si>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</si>
  <si>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</si>
  <si>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</si>
  <si>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</si>
  <si>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</si>
  <si>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</si>
  <si>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</si>
  <si>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</si>
  <si>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</si>
  <si>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</si>
  <si>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</si>
  <si>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</si>
  <si>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</si>
  <si>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</si>
  <si>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</si>
  <si>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</si>
  <si>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</si>
  <si>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</si>
  <si>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</si>
  <si>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</si>
  <si>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</si>
  <si>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</si>
  <si>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</si>
  <si>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</si>
  <si>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</si>
  <si>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</si>
  <si>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</si>
  <si>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ED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</si>
  <si>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</si>
  <si>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</si>
  <si>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</si>
  <si>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</si>
  <si>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</si>
  <si>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</si>
  <si>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</si>
  <si>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</si>
  <si>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</si>
  <si>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</si>
  <si>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</si>
  <si>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</si>
  <si>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</si>
  <si>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</si>
  <si>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</si>
  <si>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</si>
  <si>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</si>
  <si>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</si>
  <si>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</si>
  <si>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</si>
  <si>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</si>
  <si>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</si>
  <si>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</si>
  <si>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</si>
  <si>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</si>
  <si>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</si>
  <si>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</si>
  <si>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</si>
  <si>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</si>
  <si>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</si>
  <si>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ED owner-FCF component DCF: base case (millions, USD)</t>
  </si>
  <si>
    <t xml:space="preserve">ED owner-FCF component DCF: bull case (millions, USD)</t>
  </si>
  <si>
    <t xml:space="preserve">ED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</si>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</sst>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103.1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74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13032</v>
      </c>
      <c r="F3" s="0" t="n">
        <v>1899</v>
      </c>
      <c r="G3" s="0" t="n">
        <v>14.5718232044199</v>
      </c>
      <c r="H3" s="0" t="n">
        <v>2690</v>
      </c>
      <c r="I3" s="0" t="n">
        <v>879</v>
      </c>
      <c r="J3" s="0" t="n">
        <v>6.74493554327808</v>
      </c>
      <c r="K3" s="0" t="n">
        <v>3.16</v>
      </c>
      <c r="L3" s="0" t="n">
        <v>2466</v>
      </c>
      <c r="M3" s="0" t="n">
        <v>9</v>
      </c>
      <c r="N3" s="0" t="n">
        <v>2457</v>
      </c>
      <c r="O3" s="0" t="n">
        <v>10462</v>
      </c>
      <c r="P3" s="0" t="n">
        <v>33873</v>
      </c>
      <c r="R3" s="0" t="n">
        <v>10585</v>
      </c>
      <c r="S3" s="0" t="n">
        <v>260</v>
      </c>
      <c r="T3" s="0" t="n">
        <v>276.3</v>
      </c>
      <c r="V3" s="0" t="n">
        <v>2.36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13325</v>
      </c>
      <c r="F4" s="0" t="n">
        <v>2120</v>
      </c>
      <c r="G4" s="0" t="n">
        <v>15.9099437148218</v>
      </c>
      <c r="H4" s="0" t="n">
        <v>2960</v>
      </c>
      <c r="I4" s="0" t="n">
        <v>1003</v>
      </c>
      <c r="J4" s="0" t="n">
        <v>7.52720450281426</v>
      </c>
      <c r="K4" s="0" t="n">
        <v>3.49</v>
      </c>
      <c r="L4" s="0" t="n">
        <v>2381</v>
      </c>
      <c r="M4" s="0" t="n">
        <v>28</v>
      </c>
      <c r="N4" s="0" t="n">
        <v>2353</v>
      </c>
      <c r="O4" s="0" t="n">
        <v>11274</v>
      </c>
      <c r="P4" s="0" t="n">
        <v>36348</v>
      </c>
      <c r="R4" s="0" t="n">
        <v>10681</v>
      </c>
      <c r="S4" s="0" t="n">
        <v>338</v>
      </c>
      <c r="T4" s="0" t="n">
        <v>285.9</v>
      </c>
      <c r="V4" s="0" t="n">
        <v>2.38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12886</v>
      </c>
      <c r="F5" s="0" t="n">
        <v>2239</v>
      </c>
      <c r="G5" s="0" t="n">
        <v>17.3754462207046</v>
      </c>
      <c r="H5" s="0" t="n">
        <v>3123</v>
      </c>
      <c r="I5" s="0" t="n">
        <v>1062</v>
      </c>
      <c r="J5" s="0" t="n">
        <v>8.24150240571163</v>
      </c>
      <c r="K5" s="0" t="n">
        <v>3.59</v>
      </c>
      <c r="L5" s="0" t="n">
        <v>3137</v>
      </c>
      <c r="M5" s="0" t="n">
        <v>80</v>
      </c>
      <c r="N5" s="0" t="n">
        <v>3057</v>
      </c>
      <c r="O5" s="0" t="n">
        <v>11436</v>
      </c>
      <c r="P5" s="0" t="n">
        <v>39214</v>
      </c>
      <c r="R5" s="0" t="n">
        <v>11203</v>
      </c>
      <c r="S5" s="0" t="n">
        <v>648</v>
      </c>
      <c r="T5" s="0" t="n">
        <v>294.4</v>
      </c>
      <c r="V5" s="0" t="n">
        <v>2.4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12188</v>
      </c>
      <c r="F6" s="0" t="n">
        <v>2339</v>
      </c>
      <c r="G6" s="0" t="n">
        <v>19.1910075484083</v>
      </c>
      <c r="H6" s="0" t="n">
        <v>3294</v>
      </c>
      <c r="I6" s="0" t="n">
        <v>1141</v>
      </c>
      <c r="J6" s="0" t="n">
        <v>9.36166721365277</v>
      </c>
      <c r="K6" s="0" t="n">
        <v>3.88</v>
      </c>
      <c r="L6" s="0" t="n">
        <v>2599</v>
      </c>
      <c r="M6" s="0" t="n">
        <v>152</v>
      </c>
      <c r="N6" s="0" t="n">
        <v>2447</v>
      </c>
      <c r="O6" s="0" t="n">
        <v>11869</v>
      </c>
      <c r="P6" s="0" t="n">
        <v>41209</v>
      </c>
      <c r="R6" s="0" t="n">
        <v>11474</v>
      </c>
      <c r="S6" s="0" t="n">
        <v>394</v>
      </c>
      <c r="T6" s="0" t="n">
        <v>294.5</v>
      </c>
      <c r="V6" s="0" t="n">
        <v>2.42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12354</v>
      </c>
      <c r="F7" s="0" t="n">
        <v>2244</v>
      </c>
      <c r="G7" s="0" t="n">
        <v>18.1641573579407</v>
      </c>
      <c r="H7" s="0" t="n">
        <v>3268</v>
      </c>
      <c r="I7" s="0" t="n">
        <v>1062</v>
      </c>
      <c r="J7" s="0" t="n">
        <v>8.59640602234094</v>
      </c>
      <c r="K7" s="0" t="n">
        <v>3.62</v>
      </c>
      <c r="L7" s="0" t="n">
        <v>2552</v>
      </c>
      <c r="M7" s="0" t="n">
        <v>199</v>
      </c>
      <c r="N7" s="0" t="n">
        <v>2353</v>
      </c>
      <c r="O7" s="0" t="n">
        <v>12245</v>
      </c>
      <c r="P7" s="0" t="n">
        <v>40451</v>
      </c>
      <c r="R7" s="0" t="n">
        <v>11459</v>
      </c>
      <c r="S7" s="0" t="n">
        <v>674</v>
      </c>
      <c r="T7" s="0" t="n">
        <v>294.4</v>
      </c>
      <c r="V7" s="0" t="n">
        <v>2.46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12919</v>
      </c>
      <c r="F8" s="0" t="n">
        <v>2209</v>
      </c>
      <c r="G8" s="0" t="n">
        <v>17.0988466599582</v>
      </c>
      <c r="H8" s="0" t="n">
        <v>3280</v>
      </c>
      <c r="I8" s="0" t="n">
        <v>1092</v>
      </c>
      <c r="J8" s="0" t="n">
        <v>8.45266661506309</v>
      </c>
      <c r="K8" s="0" t="n">
        <v>3.73</v>
      </c>
      <c r="L8" s="0" t="n">
        <v>2831</v>
      </c>
      <c r="M8" s="0" t="n">
        <v>180</v>
      </c>
      <c r="N8" s="0" t="n">
        <v>2651</v>
      </c>
      <c r="O8" s="0" t="n">
        <v>12585</v>
      </c>
      <c r="P8" s="0" t="n">
        <v>44071</v>
      </c>
      <c r="R8" s="0" t="n">
        <v>12666</v>
      </c>
      <c r="S8" s="0" t="n">
        <v>699</v>
      </c>
      <c r="T8" s="0" t="n">
        <v>294</v>
      </c>
      <c r="U8" s="0" t="n">
        <v>29</v>
      </c>
      <c r="V8" s="0" t="n">
        <v>2.52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12554</v>
      </c>
      <c r="F9" s="0" t="n">
        <v>2427</v>
      </c>
      <c r="G9" s="0" t="n">
        <v>19.3324836705433</v>
      </c>
      <c r="H9" s="0" t="n">
        <v>3557</v>
      </c>
      <c r="I9" s="0" t="n">
        <v>1193</v>
      </c>
      <c r="J9" s="0" t="n">
        <v>9.50294726780309</v>
      </c>
      <c r="K9" s="0" t="n">
        <v>4.07</v>
      </c>
      <c r="L9" s="0" t="n">
        <v>3277</v>
      </c>
      <c r="M9" s="0" t="n">
        <v>492</v>
      </c>
      <c r="N9" s="0" t="n">
        <v>2785</v>
      </c>
      <c r="O9" s="0" t="n">
        <v>13061</v>
      </c>
      <c r="P9" s="0" t="n">
        <v>45642</v>
      </c>
      <c r="R9" s="0" t="n">
        <v>13484</v>
      </c>
      <c r="S9" s="0" t="n">
        <v>944</v>
      </c>
      <c r="T9" s="0" t="n">
        <v>294.4</v>
      </c>
      <c r="U9" s="0" t="n">
        <v>34</v>
      </c>
      <c r="V9" s="0" t="n">
        <v>2.6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12075</v>
      </c>
      <c r="F10" s="0" t="n">
        <v>2780</v>
      </c>
      <c r="G10" s="0" t="n">
        <v>23.0227743271222</v>
      </c>
      <c r="H10" s="0" t="n">
        <v>3996</v>
      </c>
      <c r="I10" s="0" t="n">
        <v>1245</v>
      </c>
      <c r="J10" s="0" t="n">
        <v>10.3105590062112</v>
      </c>
      <c r="K10" s="0" t="n">
        <v>4.15</v>
      </c>
      <c r="L10" s="0" t="n">
        <v>3459</v>
      </c>
      <c r="M10" s="0" t="n">
        <v>5235</v>
      </c>
      <c r="N10" s="0" t="n">
        <v>-1776</v>
      </c>
      <c r="O10" s="0" t="n">
        <v>14306</v>
      </c>
      <c r="P10" s="0" t="n">
        <v>48255</v>
      </c>
      <c r="R10" s="0" t="n">
        <v>14813</v>
      </c>
      <c r="S10" s="0" t="n">
        <v>776</v>
      </c>
      <c r="T10" s="0" t="n">
        <v>301.9</v>
      </c>
      <c r="U10" s="0" t="n">
        <v>50</v>
      </c>
      <c r="V10" s="0" t="n">
        <v>2.68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12033</v>
      </c>
      <c r="F11" s="0" t="n">
        <v>2774</v>
      </c>
      <c r="G11" s="0" t="n">
        <v>23.053270173689</v>
      </c>
      <c r="H11" s="0" t="n">
        <v>4115</v>
      </c>
      <c r="I11" s="0" t="n">
        <v>1525</v>
      </c>
      <c r="J11" s="0" t="n">
        <v>12.6734812598687</v>
      </c>
      <c r="K11" s="0" t="n">
        <v>4.97</v>
      </c>
      <c r="L11" s="0" t="n">
        <v>3367</v>
      </c>
      <c r="M11" s="0" t="n">
        <v>3606</v>
      </c>
      <c r="N11" s="0" t="n">
        <v>-239</v>
      </c>
      <c r="O11" s="0" t="n">
        <v>15425</v>
      </c>
      <c r="P11" s="0" t="n">
        <v>48111</v>
      </c>
      <c r="R11" s="0" t="n">
        <v>17327</v>
      </c>
      <c r="S11" s="0" t="n">
        <v>797</v>
      </c>
      <c r="T11" s="0" t="n">
        <v>308.8</v>
      </c>
      <c r="U11" s="0" t="n">
        <v>63</v>
      </c>
      <c r="V11" s="0" t="n">
        <v>2.76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12337</v>
      </c>
      <c r="F12" s="0" t="n">
        <v>2664</v>
      </c>
      <c r="G12" s="0" t="n">
        <v>21.5935802869417</v>
      </c>
      <c r="H12" s="0" t="n">
        <v>4102</v>
      </c>
      <c r="I12" s="0" t="n">
        <v>1382</v>
      </c>
      <c r="J12" s="0" t="n">
        <v>11.2020750587663</v>
      </c>
      <c r="K12" s="0" t="n">
        <v>4.43</v>
      </c>
      <c r="L12" s="0" t="n">
        <v>2695</v>
      </c>
      <c r="M12" s="0" t="n">
        <v>5249</v>
      </c>
      <c r="N12" s="0" t="n">
        <v>-2554</v>
      </c>
      <c r="O12" s="0" t="n">
        <v>16839</v>
      </c>
      <c r="P12" s="0" t="n">
        <v>53920</v>
      </c>
      <c r="R12" s="0" t="n">
        <v>18795</v>
      </c>
      <c r="S12" s="0" t="n">
        <v>895</v>
      </c>
      <c r="T12" s="0" t="n">
        <v>320.960396</v>
      </c>
      <c r="U12" s="0" t="n">
        <v>14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12574</v>
      </c>
      <c r="F13" s="0" t="n">
        <v>2676</v>
      </c>
      <c r="G13" s="0" t="n">
        <v>21.2820104978527</v>
      </c>
      <c r="H13" s="0" t="n">
        <v>4360</v>
      </c>
      <c r="I13" s="0" t="n">
        <v>1440</v>
      </c>
      <c r="J13" s="0" t="n">
        <v>11.4522029584858</v>
      </c>
      <c r="K13" s="0" t="n">
        <v>4.09</v>
      </c>
      <c r="L13" s="0" t="n">
        <v>3134</v>
      </c>
      <c r="M13" s="0" t="n">
        <v>3676</v>
      </c>
      <c r="N13" s="0" t="n">
        <v>-542</v>
      </c>
      <c r="O13" s="0" t="n">
        <v>18213</v>
      </c>
      <c r="P13" s="0" t="n">
        <v>58079</v>
      </c>
      <c r="R13" s="0" t="n">
        <v>21419</v>
      </c>
      <c r="S13" s="0" t="n">
        <v>981</v>
      </c>
      <c r="T13" s="0" t="n">
        <v>332.629597</v>
      </c>
      <c r="U13" s="0" t="n">
        <v>47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12246</v>
      </c>
      <c r="F14" s="0" t="n">
        <v>2654</v>
      </c>
      <c r="G14" s="0" t="n">
        <v>21.6723828188796</v>
      </c>
      <c r="H14" s="0" t="n">
        <v>4574</v>
      </c>
      <c r="I14" s="0" t="n">
        <v>1144</v>
      </c>
      <c r="J14" s="0" t="n">
        <v>9.34182590233546</v>
      </c>
      <c r="K14" s="0" t="n">
        <v>3.29</v>
      </c>
      <c r="L14" s="0" t="n">
        <v>2198</v>
      </c>
      <c r="M14" s="0" t="n">
        <v>4085</v>
      </c>
      <c r="N14" s="0" t="n">
        <v>-1887</v>
      </c>
      <c r="O14" s="0" t="n">
        <v>19065</v>
      </c>
      <c r="P14" s="0" t="n">
        <v>62895</v>
      </c>
      <c r="R14" s="0" t="n">
        <v>24316</v>
      </c>
      <c r="S14" s="0" t="n">
        <v>1272</v>
      </c>
      <c r="T14" s="0" t="n">
        <v>342.297534</v>
      </c>
      <c r="U14" s="0" t="n">
        <v>17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13676</v>
      </c>
      <c r="F15" s="0" t="n">
        <v>2826</v>
      </c>
      <c r="G15" s="0" t="n">
        <v>20.6639368236326</v>
      </c>
      <c r="H15" s="0" t="n">
        <v>4858</v>
      </c>
      <c r="I15" s="0" t="n">
        <v>1346</v>
      </c>
      <c r="J15" s="0" t="n">
        <v>9.84205908160281</v>
      </c>
      <c r="K15" s="0" t="n">
        <v>3.86</v>
      </c>
      <c r="L15" s="0" t="n">
        <v>2733</v>
      </c>
      <c r="M15" s="0" t="n">
        <v>3964</v>
      </c>
      <c r="N15" s="0" t="n">
        <v>-1231</v>
      </c>
      <c r="O15" s="0" t="n">
        <v>20336</v>
      </c>
      <c r="P15" s="0" t="n">
        <v>63116</v>
      </c>
      <c r="R15" s="0" t="n">
        <v>23484</v>
      </c>
      <c r="S15" s="0" t="n">
        <v>992</v>
      </c>
      <c r="T15" s="0" t="n">
        <v>353.983712</v>
      </c>
      <c r="U15" s="0" t="n">
        <v>35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15670</v>
      </c>
      <c r="F16" s="0" t="n">
        <v>2624</v>
      </c>
      <c r="G16" s="0" t="n">
        <v>16.7453733248245</v>
      </c>
      <c r="H16" s="0" t="n">
        <v>4680</v>
      </c>
      <c r="I16" s="0" t="n">
        <v>1660</v>
      </c>
      <c r="J16" s="0" t="n">
        <v>10.5934907466497</v>
      </c>
      <c r="K16" s="0" t="n">
        <v>4.68</v>
      </c>
      <c r="L16" s="0" t="n">
        <v>3935</v>
      </c>
      <c r="M16" s="0" t="n">
        <v>4465</v>
      </c>
      <c r="N16" s="0" t="n">
        <v>-530</v>
      </c>
      <c r="O16" s="0" t="n">
        <v>20889</v>
      </c>
      <c r="P16" s="0" t="n">
        <v>69065</v>
      </c>
      <c r="R16" s="0" t="n">
        <v>24443</v>
      </c>
      <c r="S16" s="0" t="n">
        <v>1282</v>
      </c>
      <c r="T16" s="0" t="n">
        <v>355.8</v>
      </c>
      <c r="U16" s="0" t="n">
        <v>64</v>
      </c>
      <c r="V16" s="0" t="n">
        <v>3.16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14663</v>
      </c>
      <c r="F17" s="0" t="n">
        <v>3196</v>
      </c>
      <c r="G17" s="0" t="n">
        <v>21.7963581804542</v>
      </c>
      <c r="H17" s="0" t="n">
        <v>5227</v>
      </c>
      <c r="I17" s="0" t="n">
        <v>2519</v>
      </c>
      <c r="J17" s="0" t="n">
        <v>17.1792948237059</v>
      </c>
      <c r="K17" s="0" t="n">
        <v>7.25</v>
      </c>
      <c r="L17" s="0" t="n">
        <v>2156</v>
      </c>
      <c r="O17" s="0" t="n">
        <v>21158</v>
      </c>
      <c r="P17" s="0" t="n">
        <v>66331</v>
      </c>
      <c r="R17" s="0" t="n">
        <v>22491</v>
      </c>
      <c r="S17" s="0" t="n">
        <v>1189</v>
      </c>
      <c r="T17" s="0" t="n">
        <v>349.3</v>
      </c>
      <c r="U17" s="0" t="n">
        <v>53</v>
      </c>
      <c r="V17" s="0" t="n">
        <v>3.24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15469</v>
      </c>
      <c r="F18" s="0" t="n">
        <v>2670</v>
      </c>
      <c r="G18" s="0" t="n">
        <v>17.2603271058246</v>
      </c>
      <c r="H18" s="0" t="n">
        <v>4825</v>
      </c>
      <c r="I18" s="0" t="n">
        <v>1820</v>
      </c>
      <c r="J18" s="0" t="n">
        <v>11.7654664167044</v>
      </c>
      <c r="K18" s="0" t="n">
        <v>5.26</v>
      </c>
      <c r="L18" s="0" t="n">
        <v>3614</v>
      </c>
      <c r="O18" s="0" t="n">
        <v>21962</v>
      </c>
      <c r="P18" s="0" t="n">
        <v>70562</v>
      </c>
      <c r="R18" s="0" t="n">
        <v>24710</v>
      </c>
      <c r="S18" s="0" t="n">
        <v>1324</v>
      </c>
      <c r="T18" s="0" t="n">
        <v>347.3</v>
      </c>
      <c r="U18" s="0" t="n">
        <v>35</v>
      </c>
      <c r="V18" s="0" t="n">
        <v>3.32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17049</v>
      </c>
      <c r="F19" s="0" t="n">
        <v>2935</v>
      </c>
      <c r="G19" s="0" t="n">
        <v>17.2150859287935</v>
      </c>
      <c r="H19" s="0" t="n">
        <v>5256</v>
      </c>
      <c r="I19" s="0" t="n">
        <v>2023</v>
      </c>
      <c r="J19" s="0" t="n">
        <v>11.8657985805619</v>
      </c>
      <c r="K19" s="0" t="n">
        <v>5.66</v>
      </c>
      <c r="L19" s="0" t="n">
        <v>4800</v>
      </c>
      <c r="O19" s="0" t="n">
        <v>24190</v>
      </c>
      <c r="P19" s="0" t="n">
        <v>74603</v>
      </c>
      <c r="R19" s="0" t="n">
        <v>26051</v>
      </c>
      <c r="S19" s="0" t="n">
        <v>1629</v>
      </c>
      <c r="T19" s="0" t="n">
        <v>361.121447</v>
      </c>
      <c r="U19" s="0" t="n">
        <v>55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103.1</v>
      </c>
    </row>
    <row r="3" customFormat="false" ht="15" hidden="false" customHeight="false" outlineLevel="0" collapsed="false">
      <c r="A3" s="0" t="s">
        <v>84</v>
      </c>
      <c r="B3" s="3" t="n">
        <v>361.121</v>
      </c>
    </row>
    <row r="4" customFormat="false" ht="15" hidden="false" customHeight="false" outlineLevel="0" collapsed="false">
      <c r="A4" s="0" t="s">
        <v>85</v>
      </c>
      <c r="B4" s="3" t="n">
        <v>0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17049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6</v>
      </c>
      <c r="D13" s="3" t="n">
        <v>4</v>
      </c>
      <c r="E13" s="3" t="n">
        <v>4</v>
      </c>
      <c r="F13" s="3" t="n">
        <v>3.5</v>
      </c>
      <c r="G13" s="3" t="n">
        <v>3.5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105</v>
      </c>
      <c r="C14" s="3" t="n">
        <v>29.93</v>
      </c>
      <c r="D14" s="3" t="n">
        <v>30.53</v>
      </c>
      <c r="E14" s="3" t="n">
        <v>31.14</v>
      </c>
      <c r="F14" s="3" t="n">
        <v>31.94</v>
      </c>
      <c r="G14" s="3" t="n">
        <v>32.75</v>
      </c>
      <c r="H14" s="3" t="n">
        <v>33.48</v>
      </c>
      <c r="I14" s="3" t="n">
        <v>34.14</v>
      </c>
      <c r="J14" s="3" t="n">
        <v>34.71</v>
      </c>
      <c r="K14" s="3" t="n">
        <v>35.1</v>
      </c>
      <c r="L14" s="3" t="n">
        <v>35.4</v>
      </c>
    </row>
    <row r="15" customFormat="false" ht="15" hidden="false" customHeight="false" outlineLevel="0" collapsed="false">
      <c r="A15" s="0" t="s">
        <v>106</v>
      </c>
      <c r="C15" s="3" t="n">
        <v>0.32</v>
      </c>
      <c r="D15" s="3" t="n">
        <v>0.32</v>
      </c>
      <c r="E15" s="3" t="n">
        <v>0.32</v>
      </c>
      <c r="F15" s="3" t="n">
        <v>0.32</v>
      </c>
      <c r="G15" s="3" t="n">
        <v>0.32</v>
      </c>
      <c r="H15" s="3" t="n">
        <v>0.32</v>
      </c>
      <c r="I15" s="3" t="n">
        <v>0.32</v>
      </c>
      <c r="J15" s="3" t="n">
        <v>0.32</v>
      </c>
      <c r="K15" s="3" t="n">
        <v>0.32</v>
      </c>
      <c r="L15" s="3" t="n">
        <v>0.32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13.8</v>
      </c>
      <c r="D17" s="3" t="n">
        <v>14.1</v>
      </c>
      <c r="E17" s="3" t="n">
        <v>14.4</v>
      </c>
      <c r="F17" s="3" t="n">
        <v>14.8</v>
      </c>
      <c r="G17" s="3" t="n">
        <v>15.2</v>
      </c>
      <c r="H17" s="3" t="n">
        <v>15.6</v>
      </c>
      <c r="I17" s="3" t="n">
        <v>16</v>
      </c>
      <c r="J17" s="3" t="n">
        <v>16.4</v>
      </c>
      <c r="K17" s="3" t="n">
        <v>16.7</v>
      </c>
      <c r="L17" s="3" t="n">
        <v>17</v>
      </c>
    </row>
    <row r="18" customFormat="false" ht="15" hidden="false" customHeight="false" outlineLevel="0" collapsed="false">
      <c r="A18" s="0" t="s">
        <v>109</v>
      </c>
      <c r="C18" s="3" t="n">
        <v>29.29</v>
      </c>
      <c r="D18" s="3" t="n">
        <v>25.87</v>
      </c>
      <c r="E18" s="3" t="n">
        <v>26.13</v>
      </c>
      <c r="F18" s="3" t="n">
        <v>26.52</v>
      </c>
      <c r="G18" s="3" t="n">
        <v>26.51</v>
      </c>
      <c r="H18" s="3" t="n">
        <v>23.04</v>
      </c>
      <c r="I18" s="3" t="n">
        <v>22.59</v>
      </c>
      <c r="J18" s="3" t="n">
        <v>22.22</v>
      </c>
      <c r="K18" s="3" t="n">
        <v>21.71</v>
      </c>
      <c r="L18" s="3" t="n">
        <v>22.01</v>
      </c>
    </row>
    <row r="19" customFormat="false" ht="15" hidden="false" customHeight="false" outlineLevel="0" collapsed="false">
      <c r="A19" s="0" t="s">
        <v>110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111</v>
      </c>
      <c r="B20" s="3" t="n">
        <v>7.25</v>
      </c>
    </row>
    <row r="21" customFormat="false" ht="15" hidden="false" customHeight="false" outlineLevel="0" collapsed="false">
      <c r="A21" s="0" t="s">
        <v>112</v>
      </c>
      <c r="B21" s="3" t="n">
        <v>3</v>
      </c>
    </row>
    <row r="22" customFormat="false" ht="15" hidden="false" customHeight="false" outlineLevel="0" collapsed="false">
      <c r="A22" s="0" t="s">
        <v>113</v>
      </c>
      <c r="B22" s="3" t="n">
        <v>30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7</v>
      </c>
      <c r="D27" s="3" t="n">
        <v>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3.5</v>
      </c>
    </row>
    <row r="28" customFormat="false" ht="15" hidden="false" customHeight="false" outlineLevel="0" collapsed="false">
      <c r="A28" s="0" t="s">
        <v>105</v>
      </c>
      <c r="C28" s="3" t="n">
        <v>30.07</v>
      </c>
      <c r="D28" s="3" t="n">
        <v>30.97</v>
      </c>
      <c r="E28" s="3" t="n">
        <v>31.9</v>
      </c>
      <c r="F28" s="3" t="n">
        <v>33.05</v>
      </c>
      <c r="G28" s="3" t="n">
        <v>34.22</v>
      </c>
      <c r="H28" s="3" t="n">
        <v>35.25</v>
      </c>
      <c r="I28" s="3" t="n">
        <v>36.11</v>
      </c>
      <c r="J28" s="3" t="n">
        <v>36.89</v>
      </c>
      <c r="K28" s="3" t="n">
        <v>37.39</v>
      </c>
      <c r="L28" s="3" t="n">
        <v>37.79</v>
      </c>
    </row>
    <row r="29" customFormat="false" ht="15" hidden="false" customHeight="false" outlineLevel="0" collapsed="false">
      <c r="A29" s="0" t="s">
        <v>106</v>
      </c>
      <c r="C29" s="3" t="n">
        <v>0.32</v>
      </c>
      <c r="D29" s="3" t="n">
        <v>0.32</v>
      </c>
      <c r="E29" s="3" t="n">
        <v>0.32</v>
      </c>
      <c r="F29" s="3" t="n">
        <v>0.32</v>
      </c>
      <c r="G29" s="3" t="n">
        <v>0.32</v>
      </c>
      <c r="H29" s="3" t="n">
        <v>0.32</v>
      </c>
      <c r="I29" s="3" t="n">
        <v>0.32</v>
      </c>
      <c r="J29" s="3" t="n">
        <v>0.32</v>
      </c>
      <c r="K29" s="3" t="n">
        <v>0.32</v>
      </c>
      <c r="L29" s="3" t="n">
        <v>0.32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13.8</v>
      </c>
      <c r="D31" s="3" t="n">
        <v>14.1</v>
      </c>
      <c r="E31" s="3" t="n">
        <v>14.4</v>
      </c>
      <c r="F31" s="3" t="n">
        <v>14.8</v>
      </c>
      <c r="G31" s="3" t="n">
        <v>15.2</v>
      </c>
      <c r="H31" s="3" t="n">
        <v>15.6</v>
      </c>
      <c r="I31" s="3" t="n">
        <v>16</v>
      </c>
      <c r="J31" s="3" t="n">
        <v>16.4</v>
      </c>
      <c r="K31" s="3" t="n">
        <v>16.7</v>
      </c>
      <c r="L31" s="3" t="n">
        <v>17</v>
      </c>
    </row>
    <row r="32" customFormat="false" ht="15" hidden="false" customHeight="false" outlineLevel="0" collapsed="false">
      <c r="A32" s="0" t="s">
        <v>109</v>
      </c>
      <c r="C32" s="3" t="n">
        <v>29.37</v>
      </c>
      <c r="D32" s="3" t="n">
        <v>27.37</v>
      </c>
      <c r="E32" s="3" t="n">
        <v>27.63</v>
      </c>
      <c r="F32" s="3" t="n">
        <v>28.17</v>
      </c>
      <c r="G32" s="3" t="n">
        <v>28.64</v>
      </c>
      <c r="H32" s="3" t="n">
        <v>27.21</v>
      </c>
      <c r="I32" s="3" t="n">
        <v>25.91</v>
      </c>
      <c r="J32" s="3" t="n">
        <v>24.79</v>
      </c>
      <c r="K32" s="3" t="n">
        <v>23.91</v>
      </c>
      <c r="L32" s="3" t="n">
        <v>23.3</v>
      </c>
    </row>
    <row r="33" customFormat="false" ht="15" hidden="false" customHeight="false" outlineLevel="0" collapsed="false">
      <c r="A33" s="0" t="s">
        <v>110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111</v>
      </c>
      <c r="B34" s="3" t="n">
        <v>7.25</v>
      </c>
    </row>
    <row r="35" customFormat="false" ht="15" hidden="false" customHeight="false" outlineLevel="0" collapsed="false">
      <c r="A35" s="0" t="s">
        <v>112</v>
      </c>
      <c r="B35" s="3" t="n">
        <v>3.5</v>
      </c>
    </row>
    <row r="36" customFormat="false" ht="15" hidden="false" customHeight="false" outlineLevel="0" collapsed="false">
      <c r="A36" s="0" t="s">
        <v>113</v>
      </c>
      <c r="B36" s="3" t="n">
        <v>30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7.5</v>
      </c>
      <c r="D41" s="3" t="n">
        <v>5.5</v>
      </c>
      <c r="E41" s="3" t="n">
        <v>5.5</v>
      </c>
      <c r="F41" s="3" t="n">
        <v>5</v>
      </c>
      <c r="G41" s="3" t="n">
        <v>5</v>
      </c>
      <c r="H41" s="3" t="n">
        <v>4.5</v>
      </c>
      <c r="I41" s="3" t="n">
        <v>4.5</v>
      </c>
      <c r="J41" s="3" t="n">
        <v>4</v>
      </c>
      <c r="K41" s="3" t="n">
        <v>4</v>
      </c>
      <c r="L41" s="3" t="n">
        <v>4</v>
      </c>
    </row>
    <row r="42" customFormat="false" ht="15" hidden="false" customHeight="false" outlineLevel="0" collapsed="false">
      <c r="A42" s="0" t="s">
        <v>105</v>
      </c>
      <c r="C42" s="3" t="n">
        <v>30.21</v>
      </c>
      <c r="D42" s="3" t="n">
        <v>31.27</v>
      </c>
      <c r="E42" s="3" t="n">
        <v>32.37</v>
      </c>
      <c r="F42" s="3" t="n">
        <v>33.69</v>
      </c>
      <c r="G42" s="3" t="n">
        <v>35.06</v>
      </c>
      <c r="H42" s="3" t="n">
        <v>36.21</v>
      </c>
      <c r="I42" s="3" t="n">
        <v>37.19</v>
      </c>
      <c r="J42" s="3" t="n">
        <v>38.1</v>
      </c>
      <c r="K42" s="3" t="n">
        <v>38.7</v>
      </c>
      <c r="L42" s="3" t="n">
        <v>39.11</v>
      </c>
    </row>
    <row r="43" customFormat="false" ht="15" hidden="false" customHeight="false" outlineLevel="0" collapsed="false">
      <c r="A43" s="0" t="s">
        <v>106</v>
      </c>
      <c r="C43" s="3" t="n">
        <v>0.32</v>
      </c>
      <c r="D43" s="3" t="n">
        <v>0.32</v>
      </c>
      <c r="E43" s="3" t="n">
        <v>0.32</v>
      </c>
      <c r="F43" s="3" t="n">
        <v>0.32</v>
      </c>
      <c r="G43" s="3" t="n">
        <v>0.32</v>
      </c>
      <c r="H43" s="3" t="n">
        <v>0.32</v>
      </c>
      <c r="I43" s="3" t="n">
        <v>0.32</v>
      </c>
      <c r="J43" s="3" t="n">
        <v>0.32</v>
      </c>
      <c r="K43" s="3" t="n">
        <v>0.32</v>
      </c>
      <c r="L43" s="3" t="n">
        <v>0.32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13.8</v>
      </c>
      <c r="D45" s="3" t="n">
        <v>14.1</v>
      </c>
      <c r="E45" s="3" t="n">
        <v>14.4</v>
      </c>
      <c r="F45" s="3" t="n">
        <v>14.8</v>
      </c>
      <c r="G45" s="3" t="n">
        <v>15.2</v>
      </c>
      <c r="H45" s="3" t="n">
        <v>15.6</v>
      </c>
      <c r="I45" s="3" t="n">
        <v>16</v>
      </c>
      <c r="J45" s="3" t="n">
        <v>16.4</v>
      </c>
      <c r="K45" s="3" t="n">
        <v>16.7</v>
      </c>
      <c r="L45" s="3" t="n">
        <v>17</v>
      </c>
    </row>
    <row r="46" customFormat="false" ht="15" hidden="false" customHeight="false" outlineLevel="0" collapsed="false">
      <c r="A46" s="0" t="s">
        <v>109</v>
      </c>
      <c r="C46" s="3" t="n">
        <v>29.46</v>
      </c>
      <c r="D46" s="3" t="n">
        <v>27.49</v>
      </c>
      <c r="E46" s="3" t="n">
        <v>27.79</v>
      </c>
      <c r="F46" s="3" t="n">
        <v>28.35</v>
      </c>
      <c r="G46" s="3" t="n">
        <v>28.87</v>
      </c>
      <c r="H46" s="3" t="n">
        <v>27.94</v>
      </c>
      <c r="I46" s="3" t="n">
        <v>26.93</v>
      </c>
      <c r="J46" s="3" t="n">
        <v>25.95</v>
      </c>
      <c r="K46" s="3" t="n">
        <v>24.55</v>
      </c>
      <c r="L46" s="3" t="n">
        <v>24.05</v>
      </c>
    </row>
    <row r="47" customFormat="false" ht="15" hidden="false" customHeight="false" outlineLevel="0" collapsed="false">
      <c r="A47" s="0" t="s">
        <v>110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111</v>
      </c>
      <c r="B48" s="3" t="n">
        <v>7.25</v>
      </c>
    </row>
    <row r="49" customFormat="false" ht="15" hidden="false" customHeight="false" outlineLevel="0" collapsed="false">
      <c r="A49" s="0" t="s">
        <v>112</v>
      </c>
      <c r="B49" s="3" t="n">
        <v>4</v>
      </c>
    </row>
    <row r="50" customFormat="false" ht="15" hidden="false" customHeight="false" outlineLevel="0" collapsed="false">
      <c r="A50" s="0" t="s">
        <v>113</v>
      </c>
      <c r="B50" s="3" t="n">
        <v>30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6</v>
      </c>
      <c r="D5" s="4" t="n">
        <f aca="false">Assumptions!D13</f>
        <v>4</v>
      </c>
      <c r="E5" s="4" t="n">
        <f aca="false">Assumptions!E13</f>
        <v>4</v>
      </c>
      <c r="F5" s="4" t="n">
        <f aca="false">Assumptions!F13</f>
        <v>3.5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17049</v>
      </c>
      <c r="C6" s="0" t="n">
        <f aca="false">B6*(1+C5/100)</f>
        <v>18071.94</v>
      </c>
      <c r="D6" s="0" t="n">
        <f aca="false">C6*(1+D5/100)</f>
        <v>18794.8176</v>
      </c>
      <c r="E6" s="0" t="n">
        <f aca="false">D6*(1+E5/100)</f>
        <v>19546.610304</v>
      </c>
      <c r="F6" s="0" t="n">
        <f aca="false">E6*(1+F5/100)</f>
        <v>20230.74166464</v>
      </c>
      <c r="G6" s="0" t="n">
        <f aca="false">F6*(1+G5/100)</f>
        <v>20938.8176229024</v>
      </c>
      <c r="H6" s="0" t="n">
        <f aca="false">G6*(1+H5/100)</f>
        <v>21566.9821515895</v>
      </c>
      <c r="I6" s="0" t="n">
        <f aca="false">H6*(1+I5/100)</f>
        <v>22213.9916161372</v>
      </c>
      <c r="J6" s="0" t="n">
        <f aca="false">I6*(1+J5/100)</f>
        <v>22880.4113646213</v>
      </c>
      <c r="K6" s="0" t="n">
        <f aca="false">J6*(1+K5/100)</f>
        <v>23566.8237055599</v>
      </c>
      <c r="L6" s="0" t="n">
        <f aca="false">K6*(1+L5/100)</f>
        <v>24273.8284167267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29.93</v>
      </c>
      <c r="D7" s="4" t="n">
        <f aca="false">Assumptions!D14</f>
        <v>30.53</v>
      </c>
      <c r="E7" s="4" t="n">
        <f aca="false">Assumptions!E14</f>
        <v>31.14</v>
      </c>
      <c r="F7" s="4" t="n">
        <f aca="false">Assumptions!F14</f>
        <v>31.94</v>
      </c>
      <c r="G7" s="4" t="n">
        <f aca="false">Assumptions!G14</f>
        <v>32.75</v>
      </c>
      <c r="H7" s="4" t="n">
        <f aca="false">Assumptions!H14</f>
        <v>33.48</v>
      </c>
      <c r="I7" s="4" t="n">
        <f aca="false">Assumptions!I14</f>
        <v>34.14</v>
      </c>
      <c r="J7" s="4" t="n">
        <f aca="false">Assumptions!J14</f>
        <v>34.71</v>
      </c>
      <c r="K7" s="4" t="n">
        <f aca="false">Assumptions!K14</f>
        <v>35.1</v>
      </c>
      <c r="L7" s="4" t="n">
        <f aca="false">Assumptions!L14</f>
        <v>35.4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5408.931642</v>
      </c>
      <c r="D8" s="0" t="n">
        <f aca="false">D6*D7/100</f>
        <v>5738.05781328</v>
      </c>
      <c r="E8" s="0" t="n">
        <f aca="false">E6*E7/100</f>
        <v>6086.8144486656</v>
      </c>
      <c r="F8" s="0" t="n">
        <f aca="false">F6*F7/100</f>
        <v>6461.69888768602</v>
      </c>
      <c r="G8" s="0" t="n">
        <f aca="false">G6*G7/100</f>
        <v>6857.46277150054</v>
      </c>
      <c r="H8" s="0" t="n">
        <f aca="false">H6*H7/100</f>
        <v>7220.62562435216</v>
      </c>
      <c r="I8" s="0" t="n">
        <f aca="false">I6*I7/100</f>
        <v>7583.85673774923</v>
      </c>
      <c r="J8" s="0" t="n">
        <f aca="false">J6*J7/100</f>
        <v>7941.79078466005</v>
      </c>
      <c r="K8" s="0" t="n">
        <f aca="false">K6*K7/100</f>
        <v>8271.95512065153</v>
      </c>
      <c r="L8" s="0" t="n">
        <f aca="false">L6*L7/100</f>
        <v>8592.93525952126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0.32</v>
      </c>
      <c r="D9" s="4" t="n">
        <f aca="false">Assumptions!D15</f>
        <v>0.32</v>
      </c>
      <c r="E9" s="4" t="n">
        <f aca="false">Assumptions!E15</f>
        <v>0.32</v>
      </c>
      <c r="F9" s="4" t="n">
        <f aca="false">Assumptions!F15</f>
        <v>0.32</v>
      </c>
      <c r="G9" s="4" t="n">
        <f aca="false">Assumptions!G15</f>
        <v>0.32</v>
      </c>
      <c r="H9" s="4" t="n">
        <f aca="false">Assumptions!H15</f>
        <v>0.32</v>
      </c>
      <c r="I9" s="4" t="n">
        <f aca="false">Assumptions!I15</f>
        <v>0.32</v>
      </c>
      <c r="J9" s="4" t="n">
        <f aca="false">Assumptions!J15</f>
        <v>0.32</v>
      </c>
      <c r="K9" s="4" t="n">
        <f aca="false">Assumptions!K15</f>
        <v>0.32</v>
      </c>
      <c r="L9" s="4" t="n">
        <f aca="false">Assumptions!L15</f>
        <v>0.32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-57.830208</v>
      </c>
      <c r="D10" s="0" t="n">
        <f aca="false">-D6*D9/100</f>
        <v>-60.14341632</v>
      </c>
      <c r="E10" s="0" t="n">
        <f aca="false">-E6*E9/100</f>
        <v>-62.5491529728</v>
      </c>
      <c r="F10" s="0" t="n">
        <f aca="false">-F6*F9/100</f>
        <v>-64.738373326848</v>
      </c>
      <c r="G10" s="0" t="n">
        <f aca="false">-G6*G9/100</f>
        <v>-67.0042163932877</v>
      </c>
      <c r="H10" s="0" t="n">
        <f aca="false">-H6*H9/100</f>
        <v>-69.0143428850863</v>
      </c>
      <c r="I10" s="0" t="n">
        <f aca="false">-I6*I9/100</f>
        <v>-71.0847731716389</v>
      </c>
      <c r="J10" s="0" t="n">
        <f aca="false">-J6*J9/100</f>
        <v>-73.2173163667881</v>
      </c>
      <c r="K10" s="0" t="n">
        <f aca="false">-K6*K9/100</f>
        <v>-75.4138358577917</v>
      </c>
      <c r="L10" s="0" t="n">
        <f aca="false">-L6*L9/100</f>
        <v>-77.6762509335255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5351.101434</v>
      </c>
      <c r="D11" s="0" t="n">
        <f aca="false">D8+D10+D24</f>
        <v>5677.91439696</v>
      </c>
      <c r="E11" s="0" t="n">
        <f aca="false">E8+E10+E24</f>
        <v>6024.2652956928</v>
      </c>
      <c r="F11" s="0" t="n">
        <f aca="false">F8+F10+F24</f>
        <v>6396.96051435917</v>
      </c>
      <c r="G11" s="0" t="n">
        <f aca="false">G8+G10+G24</f>
        <v>6790.45855510725</v>
      </c>
      <c r="H11" s="0" t="n">
        <f aca="false">H8+H10+H24</f>
        <v>7151.61128146707</v>
      </c>
      <c r="I11" s="0" t="n">
        <f aca="false">I8+I10+I24</f>
        <v>7512.77196457759</v>
      </c>
      <c r="J11" s="0" t="n">
        <f aca="false">J8+J10+J24</f>
        <v>7868.57346829326</v>
      </c>
      <c r="K11" s="0" t="n">
        <f aca="false">K8+K10+K24</f>
        <v>8196.54128479374</v>
      </c>
      <c r="L11" s="0" t="n">
        <f aca="false">L8+L10+L24</f>
        <v>8515.25900858773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-2493.92772</v>
      </c>
      <c r="D12" s="4" t="n">
        <f aca="false">-D6*Assumptions!D17/100</f>
        <v>-2650.0692816</v>
      </c>
      <c r="E12" s="4" t="n">
        <f aca="false">-E6*Assumptions!E17/100</f>
        <v>-2814.711883776</v>
      </c>
      <c r="F12" s="4" t="n">
        <f aca="false">-F6*Assumptions!F17/100</f>
        <v>-2994.14976636672</v>
      </c>
      <c r="G12" s="4" t="n">
        <f aca="false">-G6*Assumptions!G17/100</f>
        <v>-3182.70027868116</v>
      </c>
      <c r="H12" s="4" t="n">
        <f aca="false">-H6*Assumptions!H17/100</f>
        <v>-3364.44921564796</v>
      </c>
      <c r="I12" s="4" t="n">
        <f aca="false">-I6*Assumptions!I17/100</f>
        <v>-3554.23865858195</v>
      </c>
      <c r="J12" s="4" t="n">
        <f aca="false">-J6*Assumptions!J17/100</f>
        <v>-3752.38746379789</v>
      </c>
      <c r="K12" s="4" t="n">
        <f aca="false">-K6*Assumptions!K17/100</f>
        <v>-3935.65955882851</v>
      </c>
      <c r="L12" s="4" t="n">
        <f aca="false">-L6*Assumptions!L17/100</f>
        <v>-4126.55083084354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2857.173714</v>
      </c>
      <c r="D13" s="0" t="n">
        <f aca="false">D11+D12</f>
        <v>3027.84511536</v>
      </c>
      <c r="E13" s="0" t="n">
        <f aca="false">E11+E12</f>
        <v>3209.5534119168</v>
      </c>
      <c r="F13" s="0" t="n">
        <f aca="false">F11+F12</f>
        <v>3402.81074799245</v>
      </c>
      <c r="G13" s="0" t="n">
        <f aca="false">G11+G12</f>
        <v>3607.75827642608</v>
      </c>
      <c r="H13" s="0" t="n">
        <f aca="false">H11+H12</f>
        <v>3787.16206581911</v>
      </c>
      <c r="I13" s="0" t="n">
        <f aca="false">I11+I12</f>
        <v>3958.53330599564</v>
      </c>
      <c r="J13" s="0" t="n">
        <f aca="false">J11+J12</f>
        <v>4116.18600449537</v>
      </c>
      <c r="K13" s="0" t="n">
        <f aca="false">K11+K12</f>
        <v>4260.88172596523</v>
      </c>
      <c r="L13" s="0" t="n">
        <f aca="false">L11+L12</f>
        <v>4388.70817774419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2200.02375978</v>
      </c>
      <c r="D15" s="0" t="n">
        <f aca="false">D13-MAX(0,D13)*D14/100</f>
        <v>2331.4407388272</v>
      </c>
      <c r="E15" s="0" t="n">
        <f aca="false">E13-MAX(0,E13)*E14/100</f>
        <v>2471.35612717594</v>
      </c>
      <c r="F15" s="0" t="n">
        <f aca="false">F13-MAX(0,F13)*F14/100</f>
        <v>2620.16427595419</v>
      </c>
      <c r="G15" s="0" t="n">
        <f aca="false">G13-MAX(0,G13)*G14/100</f>
        <v>2777.97387284808</v>
      </c>
      <c r="H15" s="0" t="n">
        <f aca="false">H13-MAX(0,H13)*H14/100</f>
        <v>2916.11479068072</v>
      </c>
      <c r="I15" s="0" t="n">
        <f aca="false">I13-MAX(0,I13)*I14/100</f>
        <v>3048.07064561664</v>
      </c>
      <c r="J15" s="0" t="n">
        <f aca="false">J13-MAX(0,J13)*J14/100</f>
        <v>3169.46322346143</v>
      </c>
      <c r="K15" s="0" t="n">
        <f aca="false">K13-MAX(0,K13)*K14/100</f>
        <v>3280.87892899323</v>
      </c>
      <c r="L15" s="0" t="n">
        <f aca="false">L13-MAX(0,L13)*L14/100</f>
        <v>3379.30529686303</v>
      </c>
    </row>
    <row r="16" customFormat="false" ht="15" hidden="false" customHeight="false" outlineLevel="0" collapsed="false">
      <c r="A16" s="0" t="s">
        <v>126</v>
      </c>
      <c r="C16" s="0" t="n">
        <f aca="false">-C12</f>
        <v>2493.92772</v>
      </c>
      <c r="D16" s="0" t="n">
        <f aca="false">-D12</f>
        <v>2650.0692816</v>
      </c>
      <c r="E16" s="0" t="n">
        <f aca="false">-E12</f>
        <v>2814.711883776</v>
      </c>
      <c r="F16" s="0" t="n">
        <f aca="false">-F12</f>
        <v>2994.14976636672</v>
      </c>
      <c r="G16" s="0" t="n">
        <f aca="false">-G12</f>
        <v>3182.70027868116</v>
      </c>
      <c r="H16" s="0" t="n">
        <f aca="false">-H12</f>
        <v>3364.44921564796</v>
      </c>
      <c r="I16" s="0" t="n">
        <f aca="false">-I12</f>
        <v>3554.23865858195</v>
      </c>
      <c r="J16" s="0" t="n">
        <f aca="false">-J12</f>
        <v>3752.38746379789</v>
      </c>
      <c r="K16" s="0" t="n">
        <f aca="false">-K12</f>
        <v>3935.65955882851</v>
      </c>
      <c r="L16" s="0" t="n">
        <f aca="false">-L12</f>
        <v>4126.55083084354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-5293.271226</v>
      </c>
      <c r="D17" s="4" t="n">
        <f aca="false">-D6*Assumptions!D18/100</f>
        <v>-4862.21931312</v>
      </c>
      <c r="E17" s="4" t="n">
        <f aca="false">-E6*Assumptions!E18/100</f>
        <v>-5107.5292724352</v>
      </c>
      <c r="F17" s="4" t="n">
        <f aca="false">-F6*Assumptions!F18/100</f>
        <v>-5365.19268946253</v>
      </c>
      <c r="G17" s="4" t="n">
        <f aca="false">-G6*Assumptions!G18/100</f>
        <v>-5550.88055183143</v>
      </c>
      <c r="H17" s="4" t="n">
        <f aca="false">-H6*Assumptions!H18/100</f>
        <v>-4969.03268772621</v>
      </c>
      <c r="I17" s="4" t="n">
        <f aca="false">-I6*Assumptions!I18/100</f>
        <v>-5018.14070608538</v>
      </c>
      <c r="J17" s="4" t="n">
        <f aca="false">-J6*Assumptions!J18/100</f>
        <v>-5084.02740521885</v>
      </c>
      <c r="K17" s="4" t="n">
        <f aca="false">-K6*Assumptions!K18/100</f>
        <v>-5116.35742647706</v>
      </c>
      <c r="L17" s="4" t="n">
        <f aca="false">-L6*Assumptions!L18/100</f>
        <v>-5342.66963452155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-599.319746219999</v>
      </c>
      <c r="D19" s="0" t="n">
        <f aca="false">D15+D16+D17+D18</f>
        <v>119.290707307199</v>
      </c>
      <c r="E19" s="0" t="n">
        <f aca="false">E15+E16+E17+E18</f>
        <v>178.538738516736</v>
      </c>
      <c r="F19" s="0" t="n">
        <f aca="false">F15+F16+F17+F18</f>
        <v>249.121352858378</v>
      </c>
      <c r="G19" s="0" t="n">
        <f aca="false">G15+G16+G17+G18</f>
        <v>409.793599697822</v>
      </c>
      <c r="H19" s="0" t="n">
        <f aca="false">H15+H16+H17+H18</f>
        <v>1311.53131860246</v>
      </c>
      <c r="I19" s="0" t="n">
        <f aca="false">I15+I16+I17+I18</f>
        <v>1584.16859811321</v>
      </c>
      <c r="J19" s="0" t="n">
        <f aca="false">J15+J16+J17+J18</f>
        <v>1837.82328204047</v>
      </c>
      <c r="K19" s="0" t="n">
        <f aca="false">K15+K16+K17+K18</f>
        <v>2100.18106134468</v>
      </c>
      <c r="L19" s="0" t="n">
        <f aca="false">L15+L16+L17+L18</f>
        <v>2163.18649318502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-558.806290181817</v>
      </c>
      <c r="D21" s="0" t="n">
        <f aca="false">D19*D20</f>
        <v>103.707940997668</v>
      </c>
      <c r="E21" s="0" t="n">
        <f aca="false">E19*E20</f>
        <v>144.724000641327</v>
      </c>
      <c r="F21" s="0" t="n">
        <f aca="false">F19*F20</f>
        <v>188.287613219362</v>
      </c>
      <c r="G21" s="0" t="n">
        <f aca="false">G19*G20</f>
        <v>288.787683362064</v>
      </c>
      <c r="H21" s="0" t="n">
        <f aca="false">H19*H20</f>
        <v>861.776923809766</v>
      </c>
      <c r="I21" s="0" t="n">
        <f aca="false">I19*I20</f>
        <v>970.555319653153</v>
      </c>
      <c r="J21" s="0" t="n">
        <f aca="false">J19*J20</f>
        <v>1049.84538177513</v>
      </c>
      <c r="K21" s="0" t="n">
        <f aca="false">K19*K20</f>
        <v>1118.61600830401</v>
      </c>
      <c r="L21" s="0" t="n">
        <f aca="false">L19*L20</f>
        <v>1074.2885674155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7.25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30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5241.78314899617</v>
      </c>
    </row>
    <row r="31" customFormat="false" ht="15" hidden="false" customHeight="false" outlineLevel="0" collapsed="false">
      <c r="A31" s="0" t="s">
        <v>135</v>
      </c>
      <c r="B31" s="0" t="n">
        <f aca="false">L19</f>
        <v>2163.18649318502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52425.4608936604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64895.5947955505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52425.4608936604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26035.6993985405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31277.4825475366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31277.4825475366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86.6121952130633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-0.159920511997446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462.525793425355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934.89651774462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90.4818741050966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18567.3507331714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20.8164078657729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7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17049</v>
      </c>
      <c r="C6" s="0" t="n">
        <f aca="false">B6*(1+C5/100)</f>
        <v>18242.43</v>
      </c>
      <c r="D6" s="0" t="n">
        <f aca="false">C6*(1+D5/100)</f>
        <v>19154.5515</v>
      </c>
      <c r="E6" s="0" t="n">
        <f aca="false">D6*(1+E5/100)</f>
        <v>20112.279075</v>
      </c>
      <c r="F6" s="0" t="n">
        <f aca="false">E6*(1+F5/100)</f>
        <v>21017.331633375</v>
      </c>
      <c r="G6" s="0" t="n">
        <f aca="false">F6*(1+G5/100)</f>
        <v>21963.1115568769</v>
      </c>
      <c r="H6" s="0" t="n">
        <f aca="false">G6*(1+H5/100)</f>
        <v>22841.636019152</v>
      </c>
      <c r="I6" s="0" t="n">
        <f aca="false">H6*(1+I5/100)</f>
        <v>23755.301459918</v>
      </c>
      <c r="J6" s="0" t="n">
        <f aca="false">I6*(1+J5/100)</f>
        <v>24586.7370110152</v>
      </c>
      <c r="K6" s="0" t="n">
        <f aca="false">J6*(1+K5/100)</f>
        <v>25447.2728064007</v>
      </c>
      <c r="L6" s="0" t="n">
        <f aca="false">K6*(1+L5/100)</f>
        <v>26337.9273546247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30.07</v>
      </c>
      <c r="D7" s="4" t="n">
        <f aca="false">Assumptions!D28</f>
        <v>30.97</v>
      </c>
      <c r="E7" s="4" t="n">
        <f aca="false">Assumptions!E28</f>
        <v>31.9</v>
      </c>
      <c r="F7" s="4" t="n">
        <f aca="false">Assumptions!F28</f>
        <v>33.05</v>
      </c>
      <c r="G7" s="4" t="n">
        <f aca="false">Assumptions!G28</f>
        <v>34.22</v>
      </c>
      <c r="H7" s="4" t="n">
        <f aca="false">Assumptions!H28</f>
        <v>35.25</v>
      </c>
      <c r="I7" s="4" t="n">
        <f aca="false">Assumptions!I28</f>
        <v>36.11</v>
      </c>
      <c r="J7" s="4" t="n">
        <f aca="false">Assumptions!J28</f>
        <v>36.89</v>
      </c>
      <c r="K7" s="4" t="n">
        <f aca="false">Assumptions!K28</f>
        <v>37.39</v>
      </c>
      <c r="L7" s="4" t="n">
        <f aca="false">Assumptions!L28</f>
        <v>37.79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5485.498701</v>
      </c>
      <c r="D8" s="0" t="n">
        <f aca="false">D6*D7/100</f>
        <v>5932.16459955</v>
      </c>
      <c r="E8" s="0" t="n">
        <f aca="false">E6*E7/100</f>
        <v>6415.817024925</v>
      </c>
      <c r="F8" s="0" t="n">
        <f aca="false">F6*F7/100</f>
        <v>6946.22810483044</v>
      </c>
      <c r="G8" s="0" t="n">
        <f aca="false">G6*G7/100</f>
        <v>7515.77677476327</v>
      </c>
      <c r="H8" s="0" t="n">
        <f aca="false">H6*H7/100</f>
        <v>8051.67669675106</v>
      </c>
      <c r="I8" s="0" t="n">
        <f aca="false">I6*I7/100</f>
        <v>8578.0393571764</v>
      </c>
      <c r="J8" s="0" t="n">
        <f aca="false">J6*J7/100</f>
        <v>9070.04728336349</v>
      </c>
      <c r="K8" s="0" t="n">
        <f aca="false">K6*K7/100</f>
        <v>9514.73530231322</v>
      </c>
      <c r="L8" s="0" t="n">
        <f aca="false">L6*L7/100</f>
        <v>9953.10274731268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0.32</v>
      </c>
      <c r="D9" s="4" t="n">
        <f aca="false">Assumptions!D29</f>
        <v>0.32</v>
      </c>
      <c r="E9" s="4" t="n">
        <f aca="false">Assumptions!E29</f>
        <v>0.32</v>
      </c>
      <c r="F9" s="4" t="n">
        <f aca="false">Assumptions!F29</f>
        <v>0.32</v>
      </c>
      <c r="G9" s="4" t="n">
        <f aca="false">Assumptions!G29</f>
        <v>0.32</v>
      </c>
      <c r="H9" s="4" t="n">
        <f aca="false">Assumptions!H29</f>
        <v>0.32</v>
      </c>
      <c r="I9" s="4" t="n">
        <f aca="false">Assumptions!I29</f>
        <v>0.32</v>
      </c>
      <c r="J9" s="4" t="n">
        <f aca="false">Assumptions!J29</f>
        <v>0.32</v>
      </c>
      <c r="K9" s="4" t="n">
        <f aca="false">Assumptions!K29</f>
        <v>0.32</v>
      </c>
      <c r="L9" s="4" t="n">
        <f aca="false">Assumptions!L29</f>
        <v>0.32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-58.375776</v>
      </c>
      <c r="D10" s="0" t="n">
        <f aca="false">-D6*D9/100</f>
        <v>-61.2945648</v>
      </c>
      <c r="E10" s="0" t="n">
        <f aca="false">-E6*E9/100</f>
        <v>-64.35929304</v>
      </c>
      <c r="F10" s="0" t="n">
        <f aca="false">-F6*F9/100</f>
        <v>-67.2554612268</v>
      </c>
      <c r="G10" s="0" t="n">
        <f aca="false">-G6*G9/100</f>
        <v>-70.281956982006</v>
      </c>
      <c r="H10" s="0" t="n">
        <f aca="false">-H6*H9/100</f>
        <v>-73.0932352612862</v>
      </c>
      <c r="I10" s="0" t="n">
        <f aca="false">-I6*I9/100</f>
        <v>-76.0169646717377</v>
      </c>
      <c r="J10" s="0" t="n">
        <f aca="false">-J6*J9/100</f>
        <v>-78.6775584352485</v>
      </c>
      <c r="K10" s="0" t="n">
        <f aca="false">-K6*K9/100</f>
        <v>-81.4312729804822</v>
      </c>
      <c r="L10" s="0" t="n">
        <f aca="false">-L6*L9/100</f>
        <v>-84.2813675347991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5427.122925</v>
      </c>
      <c r="D11" s="0" t="n">
        <f aca="false">D8+D10+D24</f>
        <v>5870.87003475</v>
      </c>
      <c r="E11" s="0" t="n">
        <f aca="false">E8+E10+E24</f>
        <v>6351.457731885</v>
      </c>
      <c r="F11" s="0" t="n">
        <f aca="false">F8+F10+F24</f>
        <v>6878.97264360364</v>
      </c>
      <c r="G11" s="0" t="n">
        <f aca="false">G8+G10+G24</f>
        <v>7445.49481778126</v>
      </c>
      <c r="H11" s="0" t="n">
        <f aca="false">H8+H10+H24</f>
        <v>7978.58346148978</v>
      </c>
      <c r="I11" s="0" t="n">
        <f aca="false">I8+I10+I24</f>
        <v>8502.02239250466</v>
      </c>
      <c r="J11" s="0" t="n">
        <f aca="false">J8+J10+J24</f>
        <v>8991.36972492824</v>
      </c>
      <c r="K11" s="0" t="n">
        <f aca="false">K8+K10+K24</f>
        <v>9433.30402933273</v>
      </c>
      <c r="L11" s="0" t="n">
        <f aca="false">L8+L10+L24</f>
        <v>9868.82137977788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-2517.45534</v>
      </c>
      <c r="D12" s="4" t="n">
        <f aca="false">-D6*Assumptions!D31/100</f>
        <v>-2700.7917615</v>
      </c>
      <c r="E12" s="4" t="n">
        <f aca="false">-E6*Assumptions!E31/100</f>
        <v>-2896.1681868</v>
      </c>
      <c r="F12" s="4" t="n">
        <f aca="false">-F6*Assumptions!F31/100</f>
        <v>-3110.5650817395</v>
      </c>
      <c r="G12" s="4" t="n">
        <f aca="false">-G6*Assumptions!G31/100</f>
        <v>-3338.39295664528</v>
      </c>
      <c r="H12" s="4" t="n">
        <f aca="false">-H6*Assumptions!H31/100</f>
        <v>-3563.2952189877</v>
      </c>
      <c r="I12" s="4" t="n">
        <f aca="false">-I6*Assumptions!I31/100</f>
        <v>-3800.84823358688</v>
      </c>
      <c r="J12" s="4" t="n">
        <f aca="false">-J6*Assumptions!J31/100</f>
        <v>-4032.22486980649</v>
      </c>
      <c r="K12" s="4" t="n">
        <f aca="false">-K6*Assumptions!K31/100</f>
        <v>-4249.69455866891</v>
      </c>
      <c r="L12" s="4" t="n">
        <f aca="false">-L6*Assumptions!L31/100</f>
        <v>-4477.4476502862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2909.667585</v>
      </c>
      <c r="D13" s="0" t="n">
        <f aca="false">D11+D12</f>
        <v>3170.07827325</v>
      </c>
      <c r="E13" s="0" t="n">
        <f aca="false">E11+E12</f>
        <v>3455.289545085</v>
      </c>
      <c r="F13" s="0" t="n">
        <f aca="false">F11+F12</f>
        <v>3768.40756186414</v>
      </c>
      <c r="G13" s="0" t="n">
        <f aca="false">G11+G12</f>
        <v>4107.10186113598</v>
      </c>
      <c r="H13" s="0" t="n">
        <f aca="false">H11+H12</f>
        <v>4415.28824250207</v>
      </c>
      <c r="I13" s="0" t="n">
        <f aca="false">I11+I12</f>
        <v>4701.17415891778</v>
      </c>
      <c r="J13" s="0" t="n">
        <f aca="false">J11+J12</f>
        <v>4959.14485512176</v>
      </c>
      <c r="K13" s="0" t="n">
        <f aca="false">K11+K12</f>
        <v>5183.60947066382</v>
      </c>
      <c r="L13" s="0" t="n">
        <f aca="false">L11+L12</f>
        <v>5391.37372949168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2240.44404045</v>
      </c>
      <c r="D15" s="0" t="n">
        <f aca="false">D13-MAX(0,D13)*D14/100</f>
        <v>2440.9602704025</v>
      </c>
      <c r="E15" s="0" t="n">
        <f aca="false">E13-MAX(0,E13)*E14/100</f>
        <v>2660.57294971545</v>
      </c>
      <c r="F15" s="0" t="n">
        <f aca="false">F13-MAX(0,F13)*F14/100</f>
        <v>2901.67382263538</v>
      </c>
      <c r="G15" s="0" t="n">
        <f aca="false">G13-MAX(0,G13)*G14/100</f>
        <v>3162.4684330747</v>
      </c>
      <c r="H15" s="0" t="n">
        <f aca="false">H13-MAX(0,H13)*H14/100</f>
        <v>3399.7719467266</v>
      </c>
      <c r="I15" s="0" t="n">
        <f aca="false">I13-MAX(0,I13)*I14/100</f>
        <v>3619.90410236669</v>
      </c>
      <c r="J15" s="0" t="n">
        <f aca="false">J13-MAX(0,J13)*J14/100</f>
        <v>3818.54153844375</v>
      </c>
      <c r="K15" s="0" t="n">
        <f aca="false">K13-MAX(0,K13)*K14/100</f>
        <v>3991.37929241114</v>
      </c>
      <c r="L15" s="0" t="n">
        <f aca="false">L13-MAX(0,L13)*L14/100</f>
        <v>4151.35777170859</v>
      </c>
    </row>
    <row r="16" customFormat="false" ht="15" hidden="false" customHeight="false" outlineLevel="0" collapsed="false">
      <c r="A16" s="0" t="s">
        <v>126</v>
      </c>
      <c r="C16" s="0" t="n">
        <f aca="false">-C12</f>
        <v>2517.45534</v>
      </c>
      <c r="D16" s="0" t="n">
        <f aca="false">-D12</f>
        <v>2700.7917615</v>
      </c>
      <c r="E16" s="0" t="n">
        <f aca="false">-E12</f>
        <v>2896.1681868</v>
      </c>
      <c r="F16" s="0" t="n">
        <f aca="false">-F12</f>
        <v>3110.5650817395</v>
      </c>
      <c r="G16" s="0" t="n">
        <f aca="false">-G12</f>
        <v>3338.39295664528</v>
      </c>
      <c r="H16" s="0" t="n">
        <f aca="false">-H12</f>
        <v>3563.2952189877</v>
      </c>
      <c r="I16" s="0" t="n">
        <f aca="false">-I12</f>
        <v>3800.84823358688</v>
      </c>
      <c r="J16" s="0" t="n">
        <f aca="false">-J12</f>
        <v>4032.22486980649</v>
      </c>
      <c r="K16" s="0" t="n">
        <f aca="false">-K12</f>
        <v>4249.69455866891</v>
      </c>
      <c r="L16" s="0" t="n">
        <f aca="false">-L12</f>
        <v>4477.4476502862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-5357.801691</v>
      </c>
      <c r="D17" s="4" t="n">
        <f aca="false">-D6*Assumptions!D32/100</f>
        <v>-5242.60074555</v>
      </c>
      <c r="E17" s="4" t="n">
        <f aca="false">-E6*Assumptions!E32/100</f>
        <v>-5557.0227084225</v>
      </c>
      <c r="F17" s="4" t="n">
        <f aca="false">-F6*Assumptions!F32/100</f>
        <v>-5920.58232112174</v>
      </c>
      <c r="G17" s="4" t="n">
        <f aca="false">-G6*Assumptions!G32/100</f>
        <v>-6290.23514988954</v>
      </c>
      <c r="H17" s="4" t="n">
        <f aca="false">-H6*Assumptions!H32/100</f>
        <v>-6215.20916081125</v>
      </c>
      <c r="I17" s="4" t="n">
        <f aca="false">-I6*Assumptions!I32/100</f>
        <v>-6154.99860826476</v>
      </c>
      <c r="J17" s="4" t="n">
        <f aca="false">-J6*Assumptions!J32/100</f>
        <v>-6095.05210503066</v>
      </c>
      <c r="K17" s="4" t="n">
        <f aca="false">-K6*Assumptions!K32/100</f>
        <v>-6084.4429280104</v>
      </c>
      <c r="L17" s="4" t="n">
        <f aca="false">-L6*Assumptions!L32/100</f>
        <v>-6136.73707362756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-599.90231055</v>
      </c>
      <c r="D19" s="0" t="n">
        <f aca="false">D15+D16+D17+D18</f>
        <v>-100.848713647501</v>
      </c>
      <c r="E19" s="0" t="n">
        <f aca="false">E15+E16+E17+E18</f>
        <v>-0.28157190705042</v>
      </c>
      <c r="F19" s="0" t="n">
        <f aca="false">F15+F16+F17+F18</f>
        <v>91.656583253146</v>
      </c>
      <c r="G19" s="0" t="n">
        <f aca="false">G15+G16+G17+G18</f>
        <v>210.62623983045</v>
      </c>
      <c r="H19" s="0" t="n">
        <f aca="false">H15+H16+H17+H18</f>
        <v>747.858004903053</v>
      </c>
      <c r="I19" s="0" t="n">
        <f aca="false">I15+I16+I17+I18</f>
        <v>1265.75372768881</v>
      </c>
      <c r="J19" s="0" t="n">
        <f aca="false">J15+J16+J17+J18</f>
        <v>1755.71430321958</v>
      </c>
      <c r="K19" s="0" t="n">
        <f aca="false">K15+K16+K17+K18</f>
        <v>2156.63092306965</v>
      </c>
      <c r="L19" s="0" t="n">
        <f aca="false">L15+L16+L17+L18</f>
        <v>2492.06834836723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-559.349473706294</v>
      </c>
      <c r="D21" s="0" t="n">
        <f aca="false">D19*D20</f>
        <v>-87.674997329944</v>
      </c>
      <c r="E21" s="0" t="n">
        <f aca="false">E19*E20</f>
        <v>-0.228242975138557</v>
      </c>
      <c r="F21" s="0" t="n">
        <f aca="false">F19*F20</f>
        <v>69.274669146436</v>
      </c>
      <c r="G21" s="0" t="n">
        <f aca="false">G19*G20</f>
        <v>148.431463792384</v>
      </c>
      <c r="H21" s="0" t="n">
        <f aca="false">H19*H20</f>
        <v>491.400214215711</v>
      </c>
      <c r="I21" s="0" t="n">
        <f aca="false">I19*I20</f>
        <v>775.475549283295</v>
      </c>
      <c r="J21" s="0" t="n">
        <f aca="false">J19*J20</f>
        <v>1002.9411265838</v>
      </c>
      <c r="K21" s="0" t="n">
        <f aca="false">K19*K20</f>
        <v>1148.68280595034</v>
      </c>
      <c r="L21" s="0" t="n">
        <f aca="false">L19*L20</f>
        <v>1237.61892204085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7.25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30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4226.57203700144</v>
      </c>
    </row>
    <row r="31" customFormat="false" ht="15" hidden="false" customHeight="false" outlineLevel="0" collapsed="false">
      <c r="A31" s="0" t="s">
        <v>135</v>
      </c>
      <c r="B31" s="0" t="n">
        <f aca="false">L19</f>
        <v>2492.06834836723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68781.0864149357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74762.050451017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68781.0864149357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34158.2822483274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38384.8542853288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38384.8542853288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106.293608749779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0.0309758365642934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485.021206654442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1155.22784213158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110.835712501114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22428.6151353051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21.3368881685285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7.5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17049</v>
      </c>
      <c r="C6" s="0" t="n">
        <f aca="false">B6*(1+C5/100)</f>
        <v>18327.675</v>
      </c>
      <c r="D6" s="0" t="n">
        <f aca="false">C6*(1+D5/100)</f>
        <v>19335.697125</v>
      </c>
      <c r="E6" s="0" t="n">
        <f aca="false">D6*(1+E5/100)</f>
        <v>20399.160466875</v>
      </c>
      <c r="F6" s="0" t="n">
        <f aca="false">E6*(1+F5/100)</f>
        <v>21419.1184902188</v>
      </c>
      <c r="G6" s="0" t="n">
        <f aca="false">F6*(1+G5/100)</f>
        <v>22490.0744147297</v>
      </c>
      <c r="H6" s="0" t="n">
        <f aca="false">G6*(1+H5/100)</f>
        <v>23502.1277633925</v>
      </c>
      <c r="I6" s="0" t="n">
        <f aca="false">H6*(1+I5/100)</f>
        <v>24559.7235127452</v>
      </c>
      <c r="J6" s="0" t="n">
        <f aca="false">I6*(1+J5/100)</f>
        <v>25542.112453255</v>
      </c>
      <c r="K6" s="0" t="n">
        <f aca="false">J6*(1+K5/100)</f>
        <v>26563.7969513852</v>
      </c>
      <c r="L6" s="0" t="n">
        <f aca="false">K6*(1+L5/100)</f>
        <v>27626.3488294406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30.21</v>
      </c>
      <c r="D7" s="4" t="n">
        <f aca="false">Assumptions!D42</f>
        <v>31.27</v>
      </c>
      <c r="E7" s="4" t="n">
        <f aca="false">Assumptions!E42</f>
        <v>32.37</v>
      </c>
      <c r="F7" s="4" t="n">
        <f aca="false">Assumptions!F42</f>
        <v>33.69</v>
      </c>
      <c r="G7" s="4" t="n">
        <f aca="false">Assumptions!G42</f>
        <v>35.06</v>
      </c>
      <c r="H7" s="4" t="n">
        <f aca="false">Assumptions!H42</f>
        <v>36.21</v>
      </c>
      <c r="I7" s="4" t="n">
        <f aca="false">Assumptions!I42</f>
        <v>37.19</v>
      </c>
      <c r="J7" s="4" t="n">
        <f aca="false">Assumptions!J42</f>
        <v>38.1</v>
      </c>
      <c r="K7" s="4" t="n">
        <f aca="false">Assumptions!K42</f>
        <v>38.7</v>
      </c>
      <c r="L7" s="4" t="n">
        <f aca="false">Assumptions!L42</f>
        <v>39.11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5536.7906175</v>
      </c>
      <c r="D8" s="0" t="n">
        <f aca="false">D6*D7/100</f>
        <v>6046.2724909875</v>
      </c>
      <c r="E8" s="0" t="n">
        <f aca="false">E6*E7/100</f>
        <v>6603.20824312744</v>
      </c>
      <c r="F8" s="0" t="n">
        <f aca="false">F6*F7/100</f>
        <v>7216.1010193547</v>
      </c>
      <c r="G8" s="0" t="n">
        <f aca="false">G6*G7/100</f>
        <v>7885.02008980423</v>
      </c>
      <c r="H8" s="0" t="n">
        <f aca="false">H6*H7/100</f>
        <v>8510.12046312443</v>
      </c>
      <c r="I8" s="0" t="n">
        <f aca="false">I6*I7/100</f>
        <v>9133.76117438993</v>
      </c>
      <c r="J8" s="0" t="n">
        <f aca="false">J6*J7/100</f>
        <v>9731.54484469015</v>
      </c>
      <c r="K8" s="0" t="n">
        <f aca="false">K6*K7/100</f>
        <v>10280.1894201861</v>
      </c>
      <c r="L8" s="0" t="n">
        <f aca="false">L6*L7/100</f>
        <v>10804.6650271942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0.32</v>
      </c>
      <c r="D9" s="4" t="n">
        <f aca="false">Assumptions!D43</f>
        <v>0.32</v>
      </c>
      <c r="E9" s="4" t="n">
        <f aca="false">Assumptions!E43</f>
        <v>0.32</v>
      </c>
      <c r="F9" s="4" t="n">
        <f aca="false">Assumptions!F43</f>
        <v>0.32</v>
      </c>
      <c r="G9" s="4" t="n">
        <f aca="false">Assumptions!G43</f>
        <v>0.32</v>
      </c>
      <c r="H9" s="4" t="n">
        <f aca="false">Assumptions!H43</f>
        <v>0.32</v>
      </c>
      <c r="I9" s="4" t="n">
        <f aca="false">Assumptions!I43</f>
        <v>0.32</v>
      </c>
      <c r="J9" s="4" t="n">
        <f aca="false">Assumptions!J43</f>
        <v>0.32</v>
      </c>
      <c r="K9" s="4" t="n">
        <f aca="false">Assumptions!K43</f>
        <v>0.32</v>
      </c>
      <c r="L9" s="4" t="n">
        <f aca="false">Assumptions!L43</f>
        <v>0.32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-58.64856</v>
      </c>
      <c r="D10" s="0" t="n">
        <f aca="false">-D6*D9/100</f>
        <v>-61.8742308</v>
      </c>
      <c r="E10" s="0" t="n">
        <f aca="false">-E6*E9/100</f>
        <v>-65.277313494</v>
      </c>
      <c r="F10" s="0" t="n">
        <f aca="false">-F6*F9/100</f>
        <v>-68.5411791687</v>
      </c>
      <c r="G10" s="0" t="n">
        <f aca="false">-G6*G9/100</f>
        <v>-71.968238127135</v>
      </c>
      <c r="H10" s="0" t="n">
        <f aca="false">-H6*H9/100</f>
        <v>-75.2068088428561</v>
      </c>
      <c r="I10" s="0" t="n">
        <f aca="false">-I6*I9/100</f>
        <v>-78.5911152407846</v>
      </c>
      <c r="J10" s="0" t="n">
        <f aca="false">-J6*J9/100</f>
        <v>-81.734759850416</v>
      </c>
      <c r="K10" s="0" t="n">
        <f aca="false">-K6*K9/100</f>
        <v>-85.0041502444326</v>
      </c>
      <c r="L10" s="0" t="n">
        <f aca="false">-L6*L9/100</f>
        <v>-88.4043162542099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5478.1420575</v>
      </c>
      <c r="D11" s="0" t="n">
        <f aca="false">D8+D10+D24</f>
        <v>5984.3982601875</v>
      </c>
      <c r="E11" s="0" t="n">
        <f aca="false">E8+E10+E24</f>
        <v>6537.93092963344</v>
      </c>
      <c r="F11" s="0" t="n">
        <f aca="false">F8+F10+F24</f>
        <v>7147.559840186</v>
      </c>
      <c r="G11" s="0" t="n">
        <f aca="false">G8+G10+G24</f>
        <v>7813.05185167709</v>
      </c>
      <c r="H11" s="0" t="n">
        <f aca="false">H8+H10+H24</f>
        <v>8434.91365428158</v>
      </c>
      <c r="I11" s="0" t="n">
        <f aca="false">I8+I10+I24</f>
        <v>9055.17005914915</v>
      </c>
      <c r="J11" s="0" t="n">
        <f aca="false">J8+J10+J24</f>
        <v>9649.81008483974</v>
      </c>
      <c r="K11" s="0" t="n">
        <f aca="false">K8+K10+K24</f>
        <v>10195.1852699416</v>
      </c>
      <c r="L11" s="0" t="n">
        <f aca="false">L8+L10+L24</f>
        <v>10716.26071094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-2529.21915</v>
      </c>
      <c r="D12" s="4" t="n">
        <f aca="false">-D6*Assumptions!D45/100</f>
        <v>-2726.333294625</v>
      </c>
      <c r="E12" s="4" t="n">
        <f aca="false">-E6*Assumptions!E45/100</f>
        <v>-2937.47910723</v>
      </c>
      <c r="F12" s="4" t="n">
        <f aca="false">-F6*Assumptions!F45/100</f>
        <v>-3170.02953655238</v>
      </c>
      <c r="G12" s="4" t="n">
        <f aca="false">-G6*Assumptions!G45/100</f>
        <v>-3418.49131103891</v>
      </c>
      <c r="H12" s="4" t="n">
        <f aca="false">-H6*Assumptions!H45/100</f>
        <v>-3666.33193108923</v>
      </c>
      <c r="I12" s="4" t="n">
        <f aca="false">-I6*Assumptions!I45/100</f>
        <v>-3929.55576203923</v>
      </c>
      <c r="J12" s="4" t="n">
        <f aca="false">-J6*Assumptions!J45/100</f>
        <v>-4188.90644233382</v>
      </c>
      <c r="K12" s="4" t="n">
        <f aca="false">-K6*Assumptions!K45/100</f>
        <v>-4436.15409088133</v>
      </c>
      <c r="L12" s="4" t="n">
        <f aca="false">-L6*Assumptions!L45/100</f>
        <v>-4696.4793010049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2948.9229075</v>
      </c>
      <c r="D13" s="0" t="n">
        <f aca="false">D11+D12</f>
        <v>3258.0649655625</v>
      </c>
      <c r="E13" s="0" t="n">
        <f aca="false">E11+E12</f>
        <v>3600.45182240344</v>
      </c>
      <c r="F13" s="0" t="n">
        <f aca="false">F11+F12</f>
        <v>3977.53030363362</v>
      </c>
      <c r="G13" s="0" t="n">
        <f aca="false">G11+G12</f>
        <v>4394.56054063818</v>
      </c>
      <c r="H13" s="0" t="n">
        <f aca="false">H11+H12</f>
        <v>4768.58172319234</v>
      </c>
      <c r="I13" s="0" t="n">
        <f aca="false">I11+I12</f>
        <v>5125.61429710992</v>
      </c>
      <c r="J13" s="0" t="n">
        <f aca="false">J11+J12</f>
        <v>5460.90364250592</v>
      </c>
      <c r="K13" s="0" t="n">
        <f aca="false">K11+K12</f>
        <v>5759.03117906031</v>
      </c>
      <c r="L13" s="0" t="n">
        <f aca="false">L11+L12</f>
        <v>6019.78140993511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2270.670638775</v>
      </c>
      <c r="D15" s="0" t="n">
        <f aca="false">D13-MAX(0,D13)*D14/100</f>
        <v>2508.71002348313</v>
      </c>
      <c r="E15" s="0" t="n">
        <f aca="false">E13-MAX(0,E13)*E14/100</f>
        <v>2772.34790325065</v>
      </c>
      <c r="F15" s="0" t="n">
        <f aca="false">F13-MAX(0,F13)*F14/100</f>
        <v>3062.69833379789</v>
      </c>
      <c r="G15" s="0" t="n">
        <f aca="false">G13-MAX(0,G13)*G14/100</f>
        <v>3383.8116162914</v>
      </c>
      <c r="H15" s="0" t="n">
        <f aca="false">H13-MAX(0,H13)*H14/100</f>
        <v>3671.8079268581</v>
      </c>
      <c r="I15" s="0" t="n">
        <f aca="false">I13-MAX(0,I13)*I14/100</f>
        <v>3946.72300877464</v>
      </c>
      <c r="J15" s="0" t="n">
        <f aca="false">J13-MAX(0,J13)*J14/100</f>
        <v>4204.89580472956</v>
      </c>
      <c r="K15" s="0" t="n">
        <f aca="false">K13-MAX(0,K13)*K14/100</f>
        <v>4434.45400787644</v>
      </c>
      <c r="L15" s="0" t="n">
        <f aca="false">L13-MAX(0,L13)*L14/100</f>
        <v>4635.23168565003</v>
      </c>
    </row>
    <row r="16" customFormat="false" ht="15" hidden="false" customHeight="false" outlineLevel="0" collapsed="false">
      <c r="A16" s="0" t="s">
        <v>126</v>
      </c>
      <c r="C16" s="0" t="n">
        <f aca="false">-C12</f>
        <v>2529.21915</v>
      </c>
      <c r="D16" s="0" t="n">
        <f aca="false">-D12</f>
        <v>2726.333294625</v>
      </c>
      <c r="E16" s="0" t="n">
        <f aca="false">-E12</f>
        <v>2937.47910723</v>
      </c>
      <c r="F16" s="0" t="n">
        <f aca="false">-F12</f>
        <v>3170.02953655238</v>
      </c>
      <c r="G16" s="0" t="n">
        <f aca="false">-G12</f>
        <v>3418.49131103891</v>
      </c>
      <c r="H16" s="0" t="n">
        <f aca="false">-H12</f>
        <v>3666.33193108923</v>
      </c>
      <c r="I16" s="0" t="n">
        <f aca="false">-I12</f>
        <v>3929.55576203923</v>
      </c>
      <c r="J16" s="0" t="n">
        <f aca="false">-J12</f>
        <v>4188.90644233382</v>
      </c>
      <c r="K16" s="0" t="n">
        <f aca="false">-K12</f>
        <v>4436.15409088133</v>
      </c>
      <c r="L16" s="0" t="n">
        <f aca="false">-L12</f>
        <v>4696.4793010049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-5399.333055</v>
      </c>
      <c r="D17" s="4" t="n">
        <f aca="false">-D6*Assumptions!D46/100</f>
        <v>-5315.3831396625</v>
      </c>
      <c r="E17" s="4" t="n">
        <f aca="false">-E6*Assumptions!E46/100</f>
        <v>-5668.92669374456</v>
      </c>
      <c r="F17" s="4" t="n">
        <f aca="false">-F6*Assumptions!F46/100</f>
        <v>-6072.32009197702</v>
      </c>
      <c r="G17" s="4" t="n">
        <f aca="false">-G6*Assumptions!G46/100</f>
        <v>-6492.88448353246</v>
      </c>
      <c r="H17" s="4" t="n">
        <f aca="false">-H6*Assumptions!H46/100</f>
        <v>-6566.49449709187</v>
      </c>
      <c r="I17" s="4" t="n">
        <f aca="false">-I6*Assumptions!I46/100</f>
        <v>-6613.93354198228</v>
      </c>
      <c r="J17" s="4" t="n">
        <f aca="false">-J6*Assumptions!J46/100</f>
        <v>-6628.17818161967</v>
      </c>
      <c r="K17" s="4" t="n">
        <f aca="false">-K6*Assumptions!K46/100</f>
        <v>-6521.41215156507</v>
      </c>
      <c r="L17" s="4" t="n">
        <f aca="false">-L6*Assumptions!L46/100</f>
        <v>-6644.13689348046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-599.443266225</v>
      </c>
      <c r="D19" s="0" t="n">
        <f aca="false">D15+D16+D17+D18</f>
        <v>-80.3398215543748</v>
      </c>
      <c r="E19" s="0" t="n">
        <f aca="false">E15+E16+E17+E18</f>
        <v>40.9003167360834</v>
      </c>
      <c r="F19" s="0" t="n">
        <f aca="false">F15+F16+F17+F18</f>
        <v>160.407778373246</v>
      </c>
      <c r="G19" s="0" t="n">
        <f aca="false">G15+G16+G17+G18</f>
        <v>309.418443797851</v>
      </c>
      <c r="H19" s="0" t="n">
        <f aca="false">H15+H16+H17+H18</f>
        <v>771.645360855467</v>
      </c>
      <c r="I19" s="0" t="n">
        <f aca="false">I15+I16+I17+I18</f>
        <v>1262.34522883159</v>
      </c>
      <c r="J19" s="0" t="n">
        <f aca="false">J15+J16+J17+J18</f>
        <v>1765.6240654437</v>
      </c>
      <c r="K19" s="0" t="n">
        <f aca="false">K15+K16+K17+K18</f>
        <v>2349.1959471927</v>
      </c>
      <c r="L19" s="0" t="n">
        <f aca="false">L15+L16+L17+L18</f>
        <v>2687.57409317447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-558.921460349651</v>
      </c>
      <c r="D21" s="0" t="n">
        <f aca="false">D19*D20</f>
        <v>-69.845151073402</v>
      </c>
      <c r="E21" s="0" t="n">
        <f aca="false">E19*E20</f>
        <v>33.15391110478</v>
      </c>
      <c r="F21" s="0" t="n">
        <f aca="false">F19*F20</f>
        <v>121.237290120566</v>
      </c>
      <c r="G21" s="0" t="n">
        <f aca="false">G19*G20</f>
        <v>218.051808617233</v>
      </c>
      <c r="H21" s="0" t="n">
        <f aca="false">H19*H20</f>
        <v>507.03033615598</v>
      </c>
      <c r="I21" s="0" t="n">
        <f aca="false">I19*I20</f>
        <v>773.387301415076</v>
      </c>
      <c r="J21" s="0" t="n">
        <f aca="false">J19*J20</f>
        <v>1008.60201803466</v>
      </c>
      <c r="K21" s="0" t="n">
        <f aca="false">K19*K20</f>
        <v>1251.24840021657</v>
      </c>
      <c r="L21" s="0" t="n">
        <f aca="false">L19*L20</f>
        <v>1334.71160784124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7.25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4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30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4618.65606208305</v>
      </c>
    </row>
    <row r="31" customFormat="false" ht="15" hidden="false" customHeight="false" outlineLevel="0" collapsed="false">
      <c r="A31" s="0" t="s">
        <v>135</v>
      </c>
      <c r="B31" s="0" t="n">
        <f aca="false">L19</f>
        <v>2687.57409317447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86002.3709815831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80627.2227952341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80627.2227952341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40041.3482352372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44660.0042973202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44660.0042973202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123.670471385824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0.19951960607007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497.346580277525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1404.91626124752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128.938131924882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25409.7914263768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24.0606809817856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86.6121952130633</v>
      </c>
      <c r="C4" s="0" t="n">
        <f aca="false">B4/Assumptions!$B$2-1</f>
        <v>-0.159920511997446</v>
      </c>
      <c r="D4" s="4" t="n">
        <f aca="false">Assumptions!$B$24</f>
        <v>0.25</v>
      </c>
      <c r="E4" s="4" t="n">
        <f aca="false">DCF_Bear!$B$43</f>
        <v>90.4818741050966</v>
      </c>
      <c r="F4" s="4" t="n">
        <f aca="false">DCF_Bear!$B$47</f>
        <v>20.8164078657729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106.293608749779</v>
      </c>
      <c r="C5" s="0" t="n">
        <f aca="false">B5/Assumptions!$B$2-1</f>
        <v>0.0309758365642934</v>
      </c>
      <c r="D5" s="4" t="n">
        <f aca="false">Assumptions!$B$38</f>
        <v>0.5</v>
      </c>
      <c r="E5" s="4" t="n">
        <f aca="false">DCF_Base!$B$43</f>
        <v>110.835712501114</v>
      </c>
      <c r="F5" s="4" t="n">
        <f aca="false">DCF_Base!$B$47</f>
        <v>21.3368881685285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123.670471385824</v>
      </c>
      <c r="C6" s="0" t="n">
        <f aca="false">B6/Assumptions!$B$2-1</f>
        <v>0.19951960607007</v>
      </c>
      <c r="D6" s="4" t="n">
        <f aca="false">Assumptions!$B$52</f>
        <v>0.25</v>
      </c>
      <c r="E6" s="4" t="n">
        <f aca="false">DCF_Bull!$B$43</f>
        <v>128.938131924882</v>
      </c>
      <c r="F6" s="4" t="n">
        <f aca="false">DCF_Bull!$B$47</f>
        <v>24.0606809817856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105.717471024611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110.272857758052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0.0247591150189532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-57.4588103661253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21.8877162961539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106.293608749779</v>
      </c>
      <c r="C15" s="3" t="n">
        <v>7.25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64.9115736518282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51.5880043364919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41.9991500086411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34.8147171828393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21.3368881685285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2.5</v>
      </c>
      <c r="C23" s="3" t="n">
        <v>3</v>
      </c>
      <c r="D23" s="3" t="n">
        <v>3.5</v>
      </c>
      <c r="E23" s="3" t="n">
        <v>4</v>
      </c>
      <c r="F23" s="3" t="n">
        <v>4.5</v>
      </c>
    </row>
    <row r="24" customFormat="false" ht="15" hidden="false" customHeight="false" outlineLevel="0" collapsed="false">
      <c r="A24" s="3" t="n">
        <v>5.25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138.044612008255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138.044612008255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138.044612008255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138.044612008255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138.044612008255</v>
      </c>
    </row>
    <row r="25" customFormat="false" ht="15" hidden="false" customHeight="false" outlineLevel="0" collapsed="false">
      <c r="A25" s="3" t="n">
        <v>6.25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115.643731232389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125.680329704541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125.680329704541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125.680329704541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125.680329704541</v>
      </c>
    </row>
    <row r="26" customFormat="false" ht="15" hidden="false" customHeight="false" outlineLevel="0" collapsed="false">
      <c r="A26" s="3" t="n">
        <v>7.25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85.6585067550291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94.762228223301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106.293608749779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114.518789265168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114.518789265168</v>
      </c>
    </row>
    <row r="27" customFormat="false" ht="15" hidden="false" customHeight="false" outlineLevel="0" collapsed="false">
      <c r="A27" s="3" t="n">
        <v>8.25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66.4091029015927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72.0092433101401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78.7883606468027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87.1625644156212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97.769889189458</v>
      </c>
    </row>
    <row r="28" customFormat="false" ht="15" hidden="false" customHeight="false" outlineLevel="0" collapsed="false">
      <c r="A28" s="3" t="n">
        <v>9.25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53.1035317350575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56.7924616842292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61.1229446680393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66.2782815535276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72.5189525201713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2026-09-28T07:23:01Z</dcterms:created>
  <dc:creator>openpyxl</dc:creator>
  <dc:description/>
  <dc:language>en-NZ</dc:language>
  <cp:lastModifiedBy/>
  <dcterms:modified xsi:type="dcterms:W3CDTF">2026-09-28T07:23:01Z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