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<sst xmlns="http://schemas.openxmlformats.org/spreadsheetml/2006/main" count="389" uniqueCount="175">
  <si>
    <t xml:space="preserve">Ticker</t>
  </si>
  <si>
    <t xml:space="preserve">NEM</t>
  </si>
  <si>
    <t xml:space="preserve">Company</t>
  </si>
  <si>
    <t xml:space="preserve">Newmont Corporation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</si>
  <si>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</si>
  <si>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</si>
  <si>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</si>
  <si>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</si>
  <si>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2026-10-01T20:00:02Z regular close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</si>
  <si>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</si>
  <si>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</si>
  <si>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</si>
  <si>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</si>
  <si>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</si>
  <si>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</si>
  <si>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</si>
  <si>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</si>
  <si>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</si>
  <si>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</si>
  <si>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</si>
  <si>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</si>
  <si>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2026-10-02T02:40:37Z</t>
  </si>
  <si>
    <t xml:space="preserve">Drivers file</t>
  </si>
  <si>
    <t xml:space="preserve">NEM_Drivers.json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</si>
  <si>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</si>
  <si>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</si>
  <si>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</si>
  <si>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Newmont is valued as a mid-cycle owner-FCF stream, not on trailing numbers. The TTM to June 2026 (revenue $25.8B, owner FCF $9.3B) was earned at ~$4,270/oz gold, double the 5-year average, with FY2025 further flattered by ~$1B of divestiture gains; none of that is carried forward. Each scenario is a gold price deck applied to ~5.1-5.25 Moz of consolidated ounces on a cash cost base of ~$9.4-10B that inflates 3%/yr, with sustaining capex treated as non-discretionary. SBC (~0.5% of revenue) is expensed and the 1,056M diluted count held flat; interest income is stripped and net cash ($3.4B incl. leases) plus the equity-method stakes (Lundin Gold at a haircut to market, Pueblo Viejo near book) are added in the bridge; NCI is charged as tax leakage; reclamation is charged in the flows. One 9% USD WACC for all scenarios with risk carried in the decks and 25/50/25 weights; a 12x cap on terminal FCF binds everywhere.
key_risks_to_valuation: Gold price deck: every $100/oz on ~5.1 Moz is ~$0.5B of revenue and ~$0.3B of owner FCF, roughly $3-4/share of value at a 12x cap; the base $3,800 deck is a judgment between spot ($4,350) and the 5-year average ($2,800).; Co-product prices (copper, silver, lead, zinc ~$3-3.8B of revenue) move AISC by-product credits by hundreds of dollars per ounce.; Cost inflation and currency: AUD, CAD, MXN, PGK, GHS cost bases against USD revenue; a weaker dollar lifts AISC.; Operational and jurisdictional shocks: Cadia seismic recovery, Peñasquito labor, Ghana/PNG/Suriname royalty and permitting regimes.; Reserve replacement: production is modelled flat in the base; failure to replace ~5 Moz/yr of depletion would lower the terminal value, which is 12x capped and ~45% of EV.; Reclamation: $6.5B of ARO is charged through cash spend inside the margin (~$650M/yr); Yanacocha water-treatment estimates have been revised upward before.; Equity-method stakes in the bridge ($6.1B, ~$5.8/share) are marked off a 32% Lundin Gold holding at a haircut to a market price that itself embeds $4,350 gold.</t>
  </si>
  <si>
    <t xml:space="preserve">Data sources</t>
  </si>
  <si>
    <t xml:space="preserve">price: Yahoo Finance chart API at inputs.price_as_of; 52-week range 76.05-135.29
financials: SEC XBRL companyfacts (CIK 1164727) via NEM_Metrics.csv and kpis (106 periods, FY2006-Q2 2026); Q2 2026 earnings release 8-K (2026-07-23) for the 2026 guidance table, adjusted EBITDA and net debt reconciliations, realized prices and unit costs; Q2 2026 10-Q cover page for shares outstanding.
qualitative: NEM_Analysis.json (2026-10-02): business model, competitive position, Cadia seismic event, Newcrest integration and divestiture program, enhanced capital allocation framework, bull/bear cases.
affiliate_marks: Lundin Gold LUG.TO C$86.69 and CAD/USD 0.7031 from Yahoo Finance, 2026-10-01.</t>
  </si>
  <si>
    <t xml:space="preserve">Scenario narrative: bear</t>
  </si>
  <si>
    <t xml:space="preserve">Gold reverts to the 5-year average $2,800/oz by Y2 on a hawkish Fed and a safe-haven unwind; sticky costs and sustaining capex compress owner FCF to ~$3B/yr; margins ~39-42%.</t>
  </si>
  <si>
    <t xml:space="preserve">Scenario narrative: base</t>
  </si>
  <si>
    <t xml:space="preserve">Gold normalizes to ~$3,800/oz by Y2 (down ~13% from $4,350 spot, still ~35% above the 5-year average) and inflates 2.5%/yr; Newmont holds ~5.1-5.25 Moz consolidated with Cadia recovered, cash-EBITDA margins ~55-57%, owner FCF ~$6-7.5B/yr, 12x terminal cap.</t>
  </si>
  <si>
    <t xml:space="preserve">Scenario narrative: bull</t>
  </si>
  <si>
    <t xml:space="preserve">Gold holds $4,500-4,700/oz and compounds 3%/yr with copper and silver strong; volumes +1%/yr from Cadia panel caves and Tanami 2; margins 64-67%; owner FCF $9-14B/yr.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</si>
  <si>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</si>
  <si>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</si>
  <si>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</si>
  <si>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</si>
  <si>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</si>
  <si>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</si>
  <si>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</si>
  <si>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</si>
  <si>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</si>
  <si>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</si>
  <si>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</si>
  <si>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</si>
  <si>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</si>
  <si>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</si>
  <si>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</si>
  <si>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</si>
  <si>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</si>
  <si>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</si>
  <si>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</si>
  <si>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</si>
  <si>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</si>
  <si>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</si>
  <si>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</si>
  <si>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</si>
  <si>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</si>
  <si>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</si>
  <si>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</si>
  <si>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</si>
  <si>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</si>
  <si>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</si>
  <si>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</si>
  <si>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</si>
  <si>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</si>
  <si>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</si>
  <si>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</si>
  <si>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</si>
  <si>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</si>
  <si>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</si>
  <si>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</si>
  <si>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</si>
  <si>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</si>
  <si>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</si>
  <si>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</si>
  <si>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</si>
  <si>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</si>
  <si>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</si>
  <si>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</si>
  <si>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</si>
  <si>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</si>
  <si>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</si>
  <si>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</si>
  <si>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</si>
  <si>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</si>
  <si>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</si>
  <si>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</si>
  <si>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</si>
  <si>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TTM Jun-2026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</si>
  <si>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</si>
  <si>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</si>
  <si>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</si>
  <si>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</si>
  <si>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TTM Jun-2027</t>
  </si>
  <si>
    <t xml:space="preserve">TTM Jun-2028</t>
  </si>
  <si>
    <t xml:space="preserve">TTM Jun-2029</t>
  </si>
  <si>
    <t xml:space="preserve">TTM Jun-2030</t>
  </si>
  <si>
    <t xml:space="preserve">TTM Jun-2031</t>
  </si>
  <si>
    <t xml:space="preserve">TTM Jun-2032</t>
  </si>
  <si>
    <t xml:space="preserve">TTM Jun-2033</t>
  </si>
  <si>
    <t xml:space="preserve">TTM Jun-2034</t>
  </si>
  <si>
    <t xml:space="preserve">TTM Jun-2035</t>
  </si>
  <si>
    <t xml:space="preserve">TTM Jun-2036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</si>
  <si>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</si>
  <si>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</si>
  <si>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</si>
  <si>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</si>
  <si>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</si>
  <si>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</si>
  <si>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</si>
  <si>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</si>
  <si>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</si>
  <si>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</si>
  <si>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</si>
  <si>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</si>
  <si>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</si>
  <si>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</si>
  <si>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NEM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</si>
  <si>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</si>
  <si>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</si>
  <si>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</si>
  <si>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</si>
  <si>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</si>
  <si>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</si>
  <si>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</si>
  <si>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</si>
  <si>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</si>
  <si>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</si>
  <si>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</si>
  <si>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</si>
  <si>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</si>
  <si>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</si>
  <si>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</si>
  <si>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</si>
  <si>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</si>
  <si>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</si>
  <si>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</si>
  <si>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</si>
  <si>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</si>
  <si>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</si>
  <si>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</si>
  <si>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</si>
  <si>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</si>
  <si>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</si>
  <si>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</si>
  <si>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</si>
  <si>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</si>
  <si>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</si>
  <si>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NEM owner-FCF component DCF: base case (millions, USD)</t>
  </si>
  <si>
    <t xml:space="preserve">NEM owner-FCF component DCF: bull case (millions, USD)</t>
  </si>
  <si>
    <t xml:space="preserve">NEM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</si>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</sst>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114.67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46.2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10435</v>
      </c>
      <c r="S2" s="0" t="n">
        <v>1163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I3" s="0" t="n">
        <v>-1895</v>
      </c>
      <c r="L3" s="0" t="n">
        <v>665</v>
      </c>
      <c r="M3" s="0" t="n">
        <v>1669</v>
      </c>
      <c r="N3" s="0" t="n">
        <v>-1004</v>
      </c>
      <c r="O3" s="0" t="n">
        <v>9208</v>
      </c>
      <c r="S3" s="0" t="n">
        <v>1230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I4" s="0" t="n">
        <v>1160</v>
      </c>
      <c r="K4" s="0" t="n">
        <v>1.83</v>
      </c>
      <c r="L4" s="0" t="n">
        <v>1293</v>
      </c>
      <c r="M4" s="0" t="n">
        <v>1870</v>
      </c>
      <c r="N4" s="0" t="n">
        <v>-577</v>
      </c>
      <c r="O4" s="0" t="n">
        <v>8661</v>
      </c>
      <c r="P4" s="0" t="n">
        <v>15727</v>
      </c>
      <c r="Q4" s="0" t="n">
        <v>7066</v>
      </c>
      <c r="R4" s="0" t="n">
        <v>3237</v>
      </c>
      <c r="S4" s="0" t="n">
        <v>435</v>
      </c>
      <c r="T4" s="0" t="n">
        <v>455</v>
      </c>
      <c r="U4" s="0" t="n">
        <v>34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I5" s="0" t="n">
        <v>2093</v>
      </c>
      <c r="K5" s="0" t="n">
        <v>2.66</v>
      </c>
      <c r="L5" s="0" t="n">
        <v>2947</v>
      </c>
      <c r="M5" s="0" t="n">
        <v>1769</v>
      </c>
      <c r="N5" s="0" t="n">
        <v>1178</v>
      </c>
      <c r="O5" s="0" t="n">
        <v>12613</v>
      </c>
      <c r="P5" s="0" t="n">
        <v>22299</v>
      </c>
      <c r="Q5" s="0" t="n">
        <v>9686</v>
      </c>
      <c r="R5" s="0" t="n">
        <v>4809</v>
      </c>
      <c r="S5" s="0" t="n">
        <v>3215</v>
      </c>
      <c r="T5" s="0" t="n">
        <v>487</v>
      </c>
      <c r="U5" s="0" t="n">
        <v>40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I6" s="0" t="n">
        <v>3116</v>
      </c>
      <c r="K6" s="0" t="n">
        <v>4.63</v>
      </c>
      <c r="L6" s="0" t="n">
        <v>3167</v>
      </c>
      <c r="M6" s="0" t="n">
        <v>1402</v>
      </c>
      <c r="N6" s="0" t="n">
        <v>1765</v>
      </c>
      <c r="O6" s="0" t="n">
        <v>15716</v>
      </c>
      <c r="P6" s="0" t="n">
        <v>25663</v>
      </c>
      <c r="Q6" s="0" t="n">
        <v>9947</v>
      </c>
      <c r="R6" s="0" t="n">
        <v>4441</v>
      </c>
      <c r="S6" s="0" t="n">
        <v>4056</v>
      </c>
      <c r="T6" s="0" t="n">
        <v>500</v>
      </c>
      <c r="U6" s="0" t="n">
        <v>52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10441</v>
      </c>
      <c r="I7" s="0" t="n">
        <v>972</v>
      </c>
      <c r="J7" s="0" t="n">
        <v>9.30945311751748</v>
      </c>
      <c r="K7" s="0" t="n">
        <v>0.74</v>
      </c>
      <c r="L7" s="0" t="n">
        <v>3584</v>
      </c>
      <c r="M7" s="0" t="n">
        <v>2787</v>
      </c>
      <c r="N7" s="0" t="n">
        <v>797</v>
      </c>
      <c r="O7" s="0" t="n">
        <v>15701</v>
      </c>
      <c r="P7" s="0" t="n">
        <v>26111</v>
      </c>
      <c r="Q7" s="0" t="n">
        <v>10340</v>
      </c>
      <c r="R7" s="0" t="n">
        <v>4313</v>
      </c>
      <c r="S7" s="0" t="n">
        <v>1760</v>
      </c>
      <c r="T7" s="0" t="n">
        <v>504</v>
      </c>
      <c r="U7" s="0" t="n">
        <v>58</v>
      </c>
      <c r="V7" s="0" t="n">
        <v>1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9964</v>
      </c>
      <c r="I8" s="0" t="n">
        <v>2111</v>
      </c>
      <c r="J8" s="0" t="n">
        <v>21.1862705740666</v>
      </c>
      <c r="K8" s="0" t="n">
        <v>3.64</v>
      </c>
      <c r="L8" s="0" t="n">
        <v>2372</v>
      </c>
      <c r="M8" s="0" t="n">
        <v>3210</v>
      </c>
      <c r="N8" s="0" t="n">
        <v>-838</v>
      </c>
      <c r="O8" s="0" t="n">
        <v>16871</v>
      </c>
      <c r="P8" s="0" t="n">
        <v>29573</v>
      </c>
      <c r="Q8" s="0" t="n">
        <v>12702</v>
      </c>
      <c r="R8" s="0" t="n">
        <v>6298</v>
      </c>
      <c r="S8" s="0" t="n">
        <v>1561</v>
      </c>
      <c r="T8" s="0" t="n">
        <v>499</v>
      </c>
      <c r="U8" s="0" t="n">
        <v>51</v>
      </c>
      <c r="V8" s="0" t="n">
        <v>1.4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8414</v>
      </c>
      <c r="I9" s="0" t="n">
        <v>-2795</v>
      </c>
      <c r="J9" s="0" t="n">
        <v>-33.2184454480628</v>
      </c>
      <c r="K9" s="0" t="n">
        <v>-5.09</v>
      </c>
      <c r="L9" s="0" t="n">
        <v>1543</v>
      </c>
      <c r="M9" s="0" t="n">
        <v>1900</v>
      </c>
      <c r="N9" s="0" t="n">
        <v>-357</v>
      </c>
      <c r="O9" s="0" t="n">
        <v>12909</v>
      </c>
      <c r="P9" s="0" t="n">
        <v>24607</v>
      </c>
      <c r="Q9" s="0" t="n">
        <v>11698</v>
      </c>
      <c r="R9" s="0" t="n">
        <v>6740</v>
      </c>
      <c r="S9" s="0" t="n">
        <v>1312</v>
      </c>
      <c r="T9" s="0" t="n">
        <v>498</v>
      </c>
      <c r="U9" s="0" t="n">
        <v>51</v>
      </c>
      <c r="V9" s="0" t="n">
        <v>1.225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6819</v>
      </c>
      <c r="I10" s="0" t="n">
        <v>508</v>
      </c>
      <c r="J10" s="0" t="n">
        <v>7.44977269394339</v>
      </c>
      <c r="K10" s="0" t="n">
        <v>1.02</v>
      </c>
      <c r="L10" s="0" t="n">
        <v>1438</v>
      </c>
      <c r="M10" s="0" t="n">
        <v>1040</v>
      </c>
      <c r="N10" s="0" t="n">
        <v>398</v>
      </c>
      <c r="O10" s="0" t="n">
        <v>13089</v>
      </c>
      <c r="P10" s="0" t="n">
        <v>24858</v>
      </c>
      <c r="Q10" s="0" t="n">
        <v>11827</v>
      </c>
      <c r="R10" s="0" t="n">
        <v>6646</v>
      </c>
      <c r="S10" s="0" t="n">
        <v>2231</v>
      </c>
      <c r="T10" s="0" t="n">
        <v>499</v>
      </c>
      <c r="U10" s="0" t="n">
        <v>51</v>
      </c>
      <c r="V10" s="0" t="n">
        <v>0.225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6085</v>
      </c>
      <c r="I11" s="0" t="n">
        <v>304</v>
      </c>
      <c r="J11" s="0" t="n">
        <v>4.99589153656532</v>
      </c>
      <c r="K11" s="0" t="n">
        <v>0.43</v>
      </c>
      <c r="L11" s="0" t="n">
        <v>2145</v>
      </c>
      <c r="M11" s="0" t="n">
        <v>1311</v>
      </c>
      <c r="N11" s="0" t="n">
        <v>834</v>
      </c>
      <c r="O11" s="0" t="n">
        <v>14218</v>
      </c>
      <c r="P11" s="0" t="n">
        <v>25130</v>
      </c>
      <c r="Q11" s="0" t="n">
        <v>10838</v>
      </c>
      <c r="R11" s="0" t="n">
        <v>5863</v>
      </c>
      <c r="S11" s="0" t="n">
        <v>2363</v>
      </c>
      <c r="T11" s="0" t="n">
        <v>516</v>
      </c>
      <c r="U11" s="0" t="n">
        <v>77</v>
      </c>
      <c r="V11" s="0" t="n">
        <v>0.1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6680</v>
      </c>
      <c r="I12" s="0" t="n">
        <v>-943</v>
      </c>
      <c r="J12" s="0" t="n">
        <v>-14.1167664670659</v>
      </c>
      <c r="K12" s="0" t="n">
        <v>-1.19</v>
      </c>
      <c r="L12" s="0" t="n">
        <v>2786</v>
      </c>
      <c r="M12" s="0" t="n">
        <v>1133</v>
      </c>
      <c r="N12" s="0" t="n">
        <v>1653</v>
      </c>
      <c r="O12" s="0" t="n">
        <v>11785</v>
      </c>
      <c r="P12" s="0" t="n">
        <v>21071</v>
      </c>
      <c r="Q12" s="0" t="n">
        <v>9157</v>
      </c>
      <c r="R12" s="0" t="n">
        <v>4615</v>
      </c>
      <c r="S12" s="0" t="n">
        <v>2756</v>
      </c>
      <c r="T12" s="0" t="n">
        <v>532</v>
      </c>
      <c r="U12" s="0" t="n">
        <v>70</v>
      </c>
      <c r="V12" s="0" t="n">
        <v>0.125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7379</v>
      </c>
      <c r="I13" s="0" t="n">
        <v>-114</v>
      </c>
      <c r="J13" s="0" t="n">
        <v>-1.54492478655644</v>
      </c>
      <c r="K13" s="0" t="n">
        <v>-0.21</v>
      </c>
      <c r="L13" s="0" t="n">
        <v>2124</v>
      </c>
      <c r="M13" s="0" t="n">
        <v>866</v>
      </c>
      <c r="N13" s="0" t="n">
        <v>1258</v>
      </c>
      <c r="O13" s="0" t="n">
        <v>11519</v>
      </c>
      <c r="P13" s="0" t="n">
        <v>20646</v>
      </c>
      <c r="Q13" s="0" t="n">
        <v>9127</v>
      </c>
      <c r="R13" s="0" t="n">
        <v>4044</v>
      </c>
      <c r="S13" s="0" t="n">
        <v>3259</v>
      </c>
      <c r="T13" s="0" t="n">
        <v>535</v>
      </c>
      <c r="U13" s="0" t="n">
        <v>70</v>
      </c>
      <c r="V13" s="0" t="n">
        <v>0.25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7253</v>
      </c>
      <c r="I14" s="0" t="n">
        <v>380</v>
      </c>
      <c r="J14" s="0" t="n">
        <v>5.23921136081621</v>
      </c>
      <c r="K14" s="0" t="n">
        <v>0.64</v>
      </c>
      <c r="L14" s="0" t="n">
        <v>1827</v>
      </c>
      <c r="M14" s="0" t="n">
        <v>1032</v>
      </c>
      <c r="N14" s="0" t="n">
        <v>795</v>
      </c>
      <c r="O14" s="0" t="n">
        <v>11465</v>
      </c>
      <c r="P14" s="0" t="n">
        <v>20715</v>
      </c>
      <c r="Q14" s="0" t="n">
        <v>9203</v>
      </c>
      <c r="R14" s="0" t="n">
        <v>4044</v>
      </c>
      <c r="S14" s="0" t="n">
        <v>3397</v>
      </c>
      <c r="T14" s="0" t="n">
        <v>535</v>
      </c>
      <c r="U14" s="0" t="n">
        <v>76</v>
      </c>
      <c r="V14" s="0" t="n">
        <v>0.56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9740</v>
      </c>
      <c r="I15" s="0" t="n">
        <v>2884</v>
      </c>
      <c r="J15" s="0" t="n">
        <v>29.6098562628337</v>
      </c>
      <c r="K15" s="0" t="n">
        <v>3.82</v>
      </c>
      <c r="L15" s="0" t="n">
        <v>2866</v>
      </c>
      <c r="M15" s="0" t="n">
        <v>1463</v>
      </c>
      <c r="N15" s="0" t="n">
        <v>1403</v>
      </c>
      <c r="O15" s="0" t="n">
        <v>22370</v>
      </c>
      <c r="P15" s="0" t="n">
        <v>39974</v>
      </c>
      <c r="Q15" s="0" t="n">
        <v>17557</v>
      </c>
      <c r="R15" s="0" t="n">
        <v>6138</v>
      </c>
      <c r="S15" s="0" t="n">
        <v>2243</v>
      </c>
      <c r="T15" s="0" t="n">
        <v>808</v>
      </c>
      <c r="U15" s="0" t="n">
        <v>121</v>
      </c>
      <c r="V15" s="0" t="n">
        <v>0.56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11497</v>
      </c>
      <c r="I16" s="0" t="n">
        <v>2829</v>
      </c>
      <c r="J16" s="0" t="n">
        <v>24.6064190658433</v>
      </c>
      <c r="K16" s="0" t="n">
        <v>3.52</v>
      </c>
      <c r="L16" s="0" t="n">
        <v>4882</v>
      </c>
      <c r="M16" s="0" t="n">
        <v>1302</v>
      </c>
      <c r="N16" s="0" t="n">
        <v>3580</v>
      </c>
      <c r="O16" s="0" t="n">
        <v>23845</v>
      </c>
      <c r="P16" s="0" t="n">
        <v>41369</v>
      </c>
      <c r="Q16" s="0" t="n">
        <v>17490</v>
      </c>
      <c r="R16" s="0" t="n">
        <v>6031</v>
      </c>
      <c r="S16" s="0" t="n">
        <v>5540</v>
      </c>
      <c r="T16" s="0" t="n">
        <v>806</v>
      </c>
      <c r="U16" s="0" t="n">
        <v>84</v>
      </c>
      <c r="V16" s="0" t="n">
        <v>1.04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12222</v>
      </c>
      <c r="I17" s="0" t="n">
        <v>1166</v>
      </c>
      <c r="J17" s="0" t="n">
        <v>9.54017345769923</v>
      </c>
      <c r="K17" s="0" t="n">
        <v>1.46</v>
      </c>
      <c r="L17" s="0" t="n">
        <v>4279</v>
      </c>
      <c r="M17" s="0" t="n">
        <v>1653</v>
      </c>
      <c r="N17" s="0" t="n">
        <v>2626</v>
      </c>
      <c r="O17" s="0" t="n">
        <v>21813</v>
      </c>
      <c r="P17" s="0" t="n">
        <v>40564</v>
      </c>
      <c r="Q17" s="0" t="n">
        <v>18703</v>
      </c>
      <c r="R17" s="0" t="n">
        <v>5652</v>
      </c>
      <c r="S17" s="0" t="n">
        <v>4992</v>
      </c>
      <c r="T17" s="0" t="n">
        <v>801</v>
      </c>
      <c r="U17" s="0" t="n">
        <v>72</v>
      </c>
      <c r="V17" s="0" t="n">
        <v>2.2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11915</v>
      </c>
      <c r="I18" s="0" t="n">
        <v>-429</v>
      </c>
      <c r="J18" s="0" t="n">
        <v>-3.60050356693244</v>
      </c>
      <c r="K18" s="0" t="n">
        <v>-0.54</v>
      </c>
      <c r="L18" s="0" t="n">
        <v>3220</v>
      </c>
      <c r="M18" s="0" t="n">
        <v>2131</v>
      </c>
      <c r="N18" s="0" t="n">
        <v>1089</v>
      </c>
      <c r="O18" s="0" t="n">
        <v>19533</v>
      </c>
      <c r="P18" s="0" t="n">
        <v>38482</v>
      </c>
      <c r="Q18" s="0" t="n">
        <v>18949</v>
      </c>
      <c r="R18" s="0" t="n">
        <v>5571</v>
      </c>
      <c r="S18" s="0" t="n">
        <v>2877</v>
      </c>
      <c r="T18" s="0" t="n">
        <v>795</v>
      </c>
      <c r="U18" s="0" t="n">
        <v>76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11812</v>
      </c>
      <c r="I19" s="0" t="n">
        <v>-2494</v>
      </c>
      <c r="J19" s="0" t="n">
        <v>-21.1141212326448</v>
      </c>
      <c r="K19" s="0" t="n">
        <v>-2.97</v>
      </c>
      <c r="L19" s="0" t="n">
        <v>2763</v>
      </c>
      <c r="M19" s="0" t="n">
        <v>2666</v>
      </c>
      <c r="N19" s="0" t="n">
        <v>97</v>
      </c>
      <c r="O19" s="0" t="n">
        <v>29205</v>
      </c>
      <c r="P19" s="0" t="n">
        <v>55506</v>
      </c>
      <c r="Q19" s="0" t="n">
        <v>26301</v>
      </c>
      <c r="R19" s="0" t="n">
        <v>8874</v>
      </c>
      <c r="S19" s="0" t="n">
        <v>3002</v>
      </c>
      <c r="T19" s="0" t="n">
        <v>1152</v>
      </c>
      <c r="U19" s="0" t="n">
        <v>80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18682</v>
      </c>
      <c r="I20" s="0" t="n">
        <v>3381</v>
      </c>
      <c r="J20" s="0" t="n">
        <v>18.0976340862863</v>
      </c>
      <c r="K20" s="0" t="n">
        <v>2.92</v>
      </c>
      <c r="L20" s="0" t="n">
        <v>6363</v>
      </c>
      <c r="M20" s="0" t="n">
        <v>3402</v>
      </c>
      <c r="N20" s="0" t="n">
        <v>2961</v>
      </c>
      <c r="O20" s="0" t="n">
        <v>30109</v>
      </c>
      <c r="P20" s="0" t="n">
        <v>56349</v>
      </c>
      <c r="Q20" s="0" t="n">
        <v>26240</v>
      </c>
      <c r="R20" s="0" t="n">
        <v>8476</v>
      </c>
      <c r="S20" s="0" t="n">
        <v>3619</v>
      </c>
      <c r="T20" s="0" t="n">
        <v>1148</v>
      </c>
      <c r="U20" s="0" t="n">
        <v>89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22669</v>
      </c>
      <c r="I21" s="0" t="n">
        <v>7167</v>
      </c>
      <c r="J21" s="0" t="n">
        <v>31.615863072919</v>
      </c>
      <c r="K21" s="0" t="n">
        <v>6.41</v>
      </c>
      <c r="L21" s="0" t="n">
        <v>10334</v>
      </c>
      <c r="M21" s="0" t="n">
        <v>3035</v>
      </c>
      <c r="N21" s="0" t="n">
        <v>7299</v>
      </c>
      <c r="O21" s="0" t="n">
        <v>34042</v>
      </c>
      <c r="P21" s="0" t="n">
        <v>57121</v>
      </c>
      <c r="Q21" s="0" t="n">
        <v>23079</v>
      </c>
      <c r="R21" s="0" t="n">
        <v>5115</v>
      </c>
      <c r="S21" s="0" t="n">
        <v>7647</v>
      </c>
      <c r="T21" s="0" t="n">
        <v>1108</v>
      </c>
      <c r="U21" s="0" t="n">
        <v>99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114.67</v>
      </c>
    </row>
    <row r="3" customFormat="false" ht="15" hidden="false" customHeight="false" outlineLevel="0" collapsed="false">
      <c r="A3" s="0" t="s">
        <v>86</v>
      </c>
      <c r="B3" s="3" t="n">
        <v>1056</v>
      </c>
    </row>
    <row r="4" customFormat="false" ht="15" hidden="false" customHeight="false" outlineLevel="0" collapsed="false">
      <c r="A4" s="0" t="s">
        <v>87</v>
      </c>
      <c r="B4" s="3" t="n">
        <v>-3411</v>
      </c>
    </row>
    <row r="5" customFormat="false" ht="15" hidden="false" customHeight="false" outlineLevel="0" collapsed="false">
      <c r="A5" s="0" t="s">
        <v>88</v>
      </c>
      <c r="B5" s="3" t="n">
        <v>6100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25767</v>
      </c>
    </row>
    <row r="8" customFormat="false" ht="15" hidden="false" customHeight="false" outlineLevel="0" collapsed="false">
      <c r="A8" s="0" t="s">
        <v>91</v>
      </c>
      <c r="B8" s="3" t="s">
        <v>92</v>
      </c>
    </row>
    <row r="9" customFormat="false" ht="15" hidden="false" customHeight="false" outlineLevel="0" collapsed="false">
      <c r="A9" s="0" t="s">
        <v>93</v>
      </c>
      <c r="B9" s="3" t="s">
        <v>94</v>
      </c>
    </row>
    <row r="10" customFormat="false" ht="15" hidden="false" customHeight="false" outlineLevel="0" collapsed="false">
      <c r="A10" s="0" t="s">
        <v>95</v>
      </c>
      <c r="B10" s="3" t="n">
        <v>1</v>
      </c>
    </row>
    <row r="12" customFormat="false" ht="15" hidden="false" customHeight="false" outlineLevel="0" collapsed="false">
      <c r="A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  <c r="H12" s="2" t="s">
        <v>102</v>
      </c>
      <c r="I12" s="2" t="s">
        <v>103</v>
      </c>
      <c r="J12" s="2" t="s">
        <v>104</v>
      </c>
      <c r="K12" s="2" t="s">
        <v>105</v>
      </c>
      <c r="L12" s="2" t="s">
        <v>106</v>
      </c>
    </row>
    <row r="13" customFormat="false" ht="15" hidden="false" customHeight="false" outlineLevel="0" collapsed="false">
      <c r="A13" s="0" t="s">
        <v>107</v>
      </c>
      <c r="C13" s="3" t="n">
        <v>-24</v>
      </c>
      <c r="D13" s="3" t="n">
        <v>-15.3</v>
      </c>
      <c r="E13" s="3" t="n">
        <v>2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108</v>
      </c>
      <c r="C14" s="3" t="n">
        <v>51.5</v>
      </c>
      <c r="D14" s="3" t="n">
        <v>42.2</v>
      </c>
      <c r="E14" s="3" t="n">
        <v>41.4</v>
      </c>
      <c r="F14" s="3" t="n">
        <v>41</v>
      </c>
      <c r="G14" s="3" t="n">
        <v>40.6</v>
      </c>
      <c r="H14" s="3" t="n">
        <v>40.2</v>
      </c>
      <c r="I14" s="3" t="n">
        <v>39.8</v>
      </c>
      <c r="J14" s="3" t="n">
        <v>39.4</v>
      </c>
      <c r="K14" s="3" t="n">
        <v>39</v>
      </c>
      <c r="L14" s="3" t="n">
        <v>38.6</v>
      </c>
    </row>
    <row r="15" customFormat="false" ht="15" hidden="false" customHeight="false" outlineLevel="0" collapsed="false">
      <c r="A15" s="0" t="s">
        <v>109</v>
      </c>
      <c r="C15" s="3" t="n">
        <v>0.5</v>
      </c>
      <c r="D15" s="3" t="n">
        <v>0.5</v>
      </c>
      <c r="E15" s="3" t="n">
        <v>0.5</v>
      </c>
      <c r="F15" s="3" t="n">
        <v>0.5</v>
      </c>
      <c r="G15" s="3" t="n">
        <v>0.5</v>
      </c>
      <c r="H15" s="3" t="n">
        <v>0.5</v>
      </c>
      <c r="I15" s="3" t="n">
        <v>0.5</v>
      </c>
      <c r="J15" s="3" t="n">
        <v>0.5</v>
      </c>
      <c r="K15" s="3" t="n">
        <v>0.5</v>
      </c>
      <c r="L15" s="3" t="n">
        <v>0.5</v>
      </c>
    </row>
    <row r="16" customFormat="false" ht="15" hidden="false" customHeight="false" outlineLevel="0" collapsed="false">
      <c r="A16" s="0" t="s">
        <v>110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111</v>
      </c>
      <c r="C17" s="3" t="n">
        <v>14</v>
      </c>
      <c r="D17" s="3" t="n">
        <v>16.5</v>
      </c>
      <c r="E17" s="3" t="n">
        <v>16.5</v>
      </c>
      <c r="F17" s="3" t="n">
        <v>16.5</v>
      </c>
      <c r="G17" s="3" t="n">
        <v>16.5</v>
      </c>
      <c r="H17" s="3" t="n">
        <v>16.5</v>
      </c>
      <c r="I17" s="3" t="n">
        <v>16.5</v>
      </c>
      <c r="J17" s="3" t="n">
        <v>16.5</v>
      </c>
      <c r="K17" s="3" t="n">
        <v>16.5</v>
      </c>
      <c r="L17" s="3" t="n">
        <v>16.5</v>
      </c>
    </row>
    <row r="18" customFormat="false" ht="15" hidden="false" customHeight="false" outlineLevel="0" collapsed="false">
      <c r="A18" s="0" t="s">
        <v>112</v>
      </c>
      <c r="C18" s="3" t="n">
        <v>14.8</v>
      </c>
      <c r="D18" s="3" t="n">
        <v>15.5</v>
      </c>
      <c r="E18" s="3" t="n">
        <v>15</v>
      </c>
      <c r="F18" s="3" t="n">
        <v>15</v>
      </c>
      <c r="G18" s="3" t="n">
        <v>15</v>
      </c>
      <c r="H18" s="3" t="n">
        <v>15</v>
      </c>
      <c r="I18" s="3" t="n">
        <v>15</v>
      </c>
      <c r="J18" s="3" t="n">
        <v>15</v>
      </c>
      <c r="K18" s="3" t="n">
        <v>15</v>
      </c>
      <c r="L18" s="3" t="n">
        <v>15</v>
      </c>
    </row>
    <row r="19" customFormat="false" ht="15" hidden="false" customHeight="false" outlineLevel="0" collapsed="false">
      <c r="A19" s="0" t="s">
        <v>113</v>
      </c>
      <c r="C19" s="3" t="n">
        <v>34.5</v>
      </c>
      <c r="D19" s="3" t="n">
        <v>34.5</v>
      </c>
      <c r="E19" s="3" t="n">
        <v>34.5</v>
      </c>
      <c r="F19" s="3" t="n">
        <v>34.5</v>
      </c>
      <c r="G19" s="3" t="n">
        <v>34.5</v>
      </c>
      <c r="H19" s="3" t="n">
        <v>34.5</v>
      </c>
      <c r="I19" s="3" t="n">
        <v>34.5</v>
      </c>
      <c r="J19" s="3" t="n">
        <v>34.5</v>
      </c>
      <c r="K19" s="3" t="n">
        <v>34.5</v>
      </c>
      <c r="L19" s="3" t="n">
        <v>34.5</v>
      </c>
    </row>
    <row r="20" customFormat="false" ht="15" hidden="false" customHeight="false" outlineLevel="0" collapsed="false">
      <c r="A20" s="0" t="s">
        <v>114</v>
      </c>
      <c r="B20" s="3" t="n">
        <v>9</v>
      </c>
    </row>
    <row r="21" customFormat="false" ht="15" hidden="false" customHeight="false" outlineLevel="0" collapsed="false">
      <c r="A21" s="0" t="s">
        <v>115</v>
      </c>
      <c r="B21" s="3" t="n">
        <v>2.5</v>
      </c>
    </row>
    <row r="22" customFormat="false" ht="15" hidden="false" customHeight="false" outlineLevel="0" collapsed="false">
      <c r="A22" s="0" t="s">
        <v>116</v>
      </c>
      <c r="B22" s="3" t="n">
        <v>12</v>
      </c>
    </row>
    <row r="23" customFormat="false" ht="15" hidden="false" customHeight="false" outlineLevel="0" collapsed="false">
      <c r="A23" s="0" t="s">
        <v>117</v>
      </c>
      <c r="B23" s="3" t="n">
        <v>0</v>
      </c>
    </row>
    <row r="24" customFormat="false" ht="15" hidden="false" customHeight="false" outlineLevel="0" collapsed="false">
      <c r="A24" s="0" t="s">
        <v>118</v>
      </c>
      <c r="B24" s="3" t="n">
        <v>0.25</v>
      </c>
    </row>
    <row r="26" customFormat="false" ht="15" hidden="false" customHeight="false" outlineLevel="0" collapsed="false">
      <c r="A26" s="2" t="s">
        <v>119</v>
      </c>
      <c r="C26" s="2" t="s">
        <v>97</v>
      </c>
      <c r="D26" s="2" t="s">
        <v>98</v>
      </c>
      <c r="E26" s="2" t="s">
        <v>99</v>
      </c>
      <c r="F26" s="2" t="s">
        <v>100</v>
      </c>
      <c r="G26" s="2" t="s">
        <v>101</v>
      </c>
      <c r="H26" s="2" t="s">
        <v>102</v>
      </c>
      <c r="I26" s="2" t="s">
        <v>103</v>
      </c>
      <c r="J26" s="2" t="s">
        <v>104</v>
      </c>
      <c r="K26" s="2" t="s">
        <v>105</v>
      </c>
      <c r="L26" s="2" t="s">
        <v>106</v>
      </c>
    </row>
    <row r="27" customFormat="false" ht="15" hidden="false" customHeight="false" outlineLevel="0" collapsed="false">
      <c r="A27" s="0" t="s">
        <v>107</v>
      </c>
      <c r="C27" s="3" t="n">
        <v>-5.7</v>
      </c>
      <c r="D27" s="3" t="n">
        <v>-5.8</v>
      </c>
      <c r="E27" s="3" t="n">
        <v>2.2</v>
      </c>
      <c r="F27" s="3" t="n">
        <v>2.5</v>
      </c>
      <c r="G27" s="3" t="n">
        <v>2.5</v>
      </c>
      <c r="H27" s="3" t="n">
        <v>2.5</v>
      </c>
      <c r="I27" s="3" t="n">
        <v>2.5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108</v>
      </c>
      <c r="C28" s="3" t="n">
        <v>60.5</v>
      </c>
      <c r="D28" s="3" t="n">
        <v>56.8</v>
      </c>
      <c r="E28" s="3" t="n">
        <v>56.4</v>
      </c>
      <c r="F28" s="3" t="n">
        <v>56.1</v>
      </c>
      <c r="G28" s="3" t="n">
        <v>55.8</v>
      </c>
      <c r="H28" s="3" t="n">
        <v>55.5</v>
      </c>
      <c r="I28" s="3" t="n">
        <v>55.2</v>
      </c>
      <c r="J28" s="3" t="n">
        <v>55</v>
      </c>
      <c r="K28" s="3" t="n">
        <v>54.8</v>
      </c>
      <c r="L28" s="3" t="n">
        <v>54.6</v>
      </c>
    </row>
    <row r="29" customFormat="false" ht="15" hidden="false" customHeight="false" outlineLevel="0" collapsed="false">
      <c r="A29" s="0" t="s">
        <v>109</v>
      </c>
      <c r="C29" s="3" t="n">
        <v>0.5</v>
      </c>
      <c r="D29" s="3" t="n">
        <v>0.5</v>
      </c>
      <c r="E29" s="3" t="n">
        <v>0.5</v>
      </c>
      <c r="F29" s="3" t="n">
        <v>0.5</v>
      </c>
      <c r="G29" s="3" t="n">
        <v>0.5</v>
      </c>
      <c r="H29" s="3" t="n">
        <v>0.5</v>
      </c>
      <c r="I29" s="3" t="n">
        <v>0.5</v>
      </c>
      <c r="J29" s="3" t="n">
        <v>0.5</v>
      </c>
      <c r="K29" s="3" t="n">
        <v>0.5</v>
      </c>
      <c r="L29" s="3" t="n">
        <v>0.5</v>
      </c>
    </row>
    <row r="30" customFormat="false" ht="15" hidden="false" customHeight="false" outlineLevel="0" collapsed="false">
      <c r="A30" s="0" t="s">
        <v>110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111</v>
      </c>
      <c r="C31" s="3" t="n">
        <v>11.7</v>
      </c>
      <c r="D31" s="3" t="n">
        <v>12.3</v>
      </c>
      <c r="E31" s="3" t="n">
        <v>12.5</v>
      </c>
      <c r="F31" s="3" t="n">
        <v>12.7</v>
      </c>
      <c r="G31" s="3" t="n">
        <v>12.9</v>
      </c>
      <c r="H31" s="3" t="n">
        <v>13</v>
      </c>
      <c r="I31" s="3" t="n">
        <v>13</v>
      </c>
      <c r="J31" s="3" t="n">
        <v>13</v>
      </c>
      <c r="K31" s="3" t="n">
        <v>13</v>
      </c>
      <c r="L31" s="3" t="n">
        <v>13</v>
      </c>
    </row>
    <row r="32" customFormat="false" ht="15" hidden="false" customHeight="false" outlineLevel="0" collapsed="false">
      <c r="A32" s="0" t="s">
        <v>112</v>
      </c>
      <c r="C32" s="3" t="n">
        <v>13.8</v>
      </c>
      <c r="D32" s="3" t="n">
        <v>14.5</v>
      </c>
      <c r="E32" s="3" t="n">
        <v>14</v>
      </c>
      <c r="F32" s="3" t="n">
        <v>13.5</v>
      </c>
      <c r="G32" s="3" t="n">
        <v>13.5</v>
      </c>
      <c r="H32" s="3" t="n">
        <v>13.5</v>
      </c>
      <c r="I32" s="3" t="n">
        <v>13.5</v>
      </c>
      <c r="J32" s="3" t="n">
        <v>13.5</v>
      </c>
      <c r="K32" s="3" t="n">
        <v>13.5</v>
      </c>
      <c r="L32" s="3" t="n">
        <v>13.5</v>
      </c>
    </row>
    <row r="33" customFormat="false" ht="15" hidden="false" customHeight="false" outlineLevel="0" collapsed="false">
      <c r="A33" s="0" t="s">
        <v>113</v>
      </c>
      <c r="C33" s="3" t="n">
        <v>34.5</v>
      </c>
      <c r="D33" s="3" t="n">
        <v>34.5</v>
      </c>
      <c r="E33" s="3" t="n">
        <v>34.5</v>
      </c>
      <c r="F33" s="3" t="n">
        <v>34.5</v>
      </c>
      <c r="G33" s="3" t="n">
        <v>34.5</v>
      </c>
      <c r="H33" s="3" t="n">
        <v>34.5</v>
      </c>
      <c r="I33" s="3" t="n">
        <v>34.5</v>
      </c>
      <c r="J33" s="3" t="n">
        <v>34.5</v>
      </c>
      <c r="K33" s="3" t="n">
        <v>34.5</v>
      </c>
      <c r="L33" s="3" t="n">
        <v>34.5</v>
      </c>
    </row>
    <row r="34" customFormat="false" ht="15" hidden="false" customHeight="false" outlineLevel="0" collapsed="false">
      <c r="A34" s="0" t="s">
        <v>114</v>
      </c>
      <c r="B34" s="3" t="n">
        <v>9</v>
      </c>
    </row>
    <row r="35" customFormat="false" ht="15" hidden="false" customHeight="false" outlineLevel="0" collapsed="false">
      <c r="A35" s="0" t="s">
        <v>115</v>
      </c>
      <c r="B35" s="3" t="n">
        <v>2.5</v>
      </c>
    </row>
    <row r="36" customFormat="false" ht="15" hidden="false" customHeight="false" outlineLevel="0" collapsed="false">
      <c r="A36" s="0" t="s">
        <v>116</v>
      </c>
      <c r="B36" s="3" t="n">
        <v>12</v>
      </c>
    </row>
    <row r="37" customFormat="false" ht="15" hidden="false" customHeight="false" outlineLevel="0" collapsed="false">
      <c r="A37" s="0" t="s">
        <v>117</v>
      </c>
      <c r="B37" s="3" t="n">
        <v>0</v>
      </c>
    </row>
    <row r="38" customFormat="false" ht="15" hidden="false" customHeight="false" outlineLevel="0" collapsed="false">
      <c r="A38" s="0" t="s">
        <v>118</v>
      </c>
      <c r="B38" s="3" t="n">
        <v>0.5</v>
      </c>
    </row>
    <row r="40" customFormat="false" ht="15" hidden="false" customHeight="false" outlineLevel="0" collapsed="false">
      <c r="A40" s="2" t="s">
        <v>120</v>
      </c>
      <c r="C40" s="2" t="s">
        <v>97</v>
      </c>
      <c r="D40" s="2" t="s">
        <v>98</v>
      </c>
      <c r="E40" s="2" t="s">
        <v>99</v>
      </c>
      <c r="F40" s="2" t="s">
        <v>100</v>
      </c>
      <c r="G40" s="2" t="s">
        <v>101</v>
      </c>
      <c r="H40" s="2" t="s">
        <v>102</v>
      </c>
      <c r="I40" s="2" t="s">
        <v>103</v>
      </c>
      <c r="J40" s="2" t="s">
        <v>104</v>
      </c>
      <c r="K40" s="2" t="s">
        <v>105</v>
      </c>
      <c r="L40" s="2" t="s">
        <v>106</v>
      </c>
    </row>
    <row r="41" customFormat="false" ht="15" hidden="false" customHeight="false" outlineLevel="0" collapsed="false">
      <c r="A41" s="0" t="s">
        <v>107</v>
      </c>
      <c r="C41" s="3" t="n">
        <v>4.4</v>
      </c>
      <c r="D41" s="3" t="n">
        <v>6</v>
      </c>
      <c r="E41" s="3" t="n">
        <v>4</v>
      </c>
      <c r="F41" s="3" t="n">
        <v>4</v>
      </c>
      <c r="G41" s="3" t="n">
        <v>4</v>
      </c>
      <c r="H41" s="3" t="n">
        <v>4</v>
      </c>
      <c r="I41" s="3" t="n">
        <v>4</v>
      </c>
      <c r="J41" s="3" t="n">
        <v>4</v>
      </c>
      <c r="K41" s="3" t="n">
        <v>4</v>
      </c>
      <c r="L41" s="3" t="n">
        <v>4</v>
      </c>
    </row>
    <row r="42" customFormat="false" ht="15" hidden="false" customHeight="false" outlineLevel="0" collapsed="false">
      <c r="A42" s="0" t="s">
        <v>108</v>
      </c>
      <c r="C42" s="3" t="n">
        <v>64</v>
      </c>
      <c r="D42" s="3" t="n">
        <v>64.9</v>
      </c>
      <c r="E42" s="3" t="n">
        <v>65.2</v>
      </c>
      <c r="F42" s="3" t="n">
        <v>65.5</v>
      </c>
      <c r="G42" s="3" t="n">
        <v>65.8</v>
      </c>
      <c r="H42" s="3" t="n">
        <v>66</v>
      </c>
      <c r="I42" s="3" t="n">
        <v>66.3</v>
      </c>
      <c r="J42" s="3" t="n">
        <v>66.5</v>
      </c>
      <c r="K42" s="3" t="n">
        <v>66.7</v>
      </c>
      <c r="L42" s="3" t="n">
        <v>67</v>
      </c>
    </row>
    <row r="43" customFormat="false" ht="15" hidden="false" customHeight="false" outlineLevel="0" collapsed="false">
      <c r="A43" s="0" t="s">
        <v>109</v>
      </c>
      <c r="C43" s="3" t="n">
        <v>0.5</v>
      </c>
      <c r="D43" s="3" t="n">
        <v>0.5</v>
      </c>
      <c r="E43" s="3" t="n">
        <v>0.5</v>
      </c>
      <c r="F43" s="3" t="n">
        <v>0.5</v>
      </c>
      <c r="G43" s="3" t="n">
        <v>0.5</v>
      </c>
      <c r="H43" s="3" t="n">
        <v>0.5</v>
      </c>
      <c r="I43" s="3" t="n">
        <v>0.5</v>
      </c>
      <c r="J43" s="3" t="n">
        <v>0.5</v>
      </c>
      <c r="K43" s="3" t="n">
        <v>0.5</v>
      </c>
      <c r="L43" s="3" t="n">
        <v>0.5</v>
      </c>
    </row>
    <row r="44" customFormat="false" ht="15" hidden="false" customHeight="false" outlineLevel="0" collapsed="false">
      <c r="A44" s="0" t="s">
        <v>110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111</v>
      </c>
      <c r="C45" s="3" t="n">
        <v>10.5</v>
      </c>
      <c r="D45" s="3" t="n">
        <v>10.8</v>
      </c>
      <c r="E45" s="3" t="n">
        <v>11</v>
      </c>
      <c r="F45" s="3" t="n">
        <v>11.3</v>
      </c>
      <c r="G45" s="3" t="n">
        <v>11.5</v>
      </c>
      <c r="H45" s="3" t="n">
        <v>11.8</v>
      </c>
      <c r="I45" s="3" t="n">
        <v>12</v>
      </c>
      <c r="J45" s="3" t="n">
        <v>12</v>
      </c>
      <c r="K45" s="3" t="n">
        <v>12</v>
      </c>
      <c r="L45" s="3" t="n">
        <v>12</v>
      </c>
    </row>
    <row r="46" customFormat="false" ht="15" hidden="false" customHeight="false" outlineLevel="0" collapsed="false">
      <c r="A46" s="0" t="s">
        <v>112</v>
      </c>
      <c r="C46" s="3" t="n">
        <v>13</v>
      </c>
      <c r="D46" s="3" t="n">
        <v>12.5</v>
      </c>
      <c r="E46" s="3" t="n">
        <v>12.5</v>
      </c>
      <c r="F46" s="3" t="n">
        <v>12.5</v>
      </c>
      <c r="G46" s="3" t="n">
        <v>12.5</v>
      </c>
      <c r="H46" s="3" t="n">
        <v>12.5</v>
      </c>
      <c r="I46" s="3" t="n">
        <v>12.5</v>
      </c>
      <c r="J46" s="3" t="n">
        <v>12.5</v>
      </c>
      <c r="K46" s="3" t="n">
        <v>12.5</v>
      </c>
      <c r="L46" s="3" t="n">
        <v>12.5</v>
      </c>
    </row>
    <row r="47" customFormat="false" ht="15" hidden="false" customHeight="false" outlineLevel="0" collapsed="false">
      <c r="A47" s="0" t="s">
        <v>113</v>
      </c>
      <c r="C47" s="3" t="n">
        <v>34.5</v>
      </c>
      <c r="D47" s="3" t="n">
        <v>34.5</v>
      </c>
      <c r="E47" s="3" t="n">
        <v>34.5</v>
      </c>
      <c r="F47" s="3" t="n">
        <v>34.5</v>
      </c>
      <c r="G47" s="3" t="n">
        <v>34.5</v>
      </c>
      <c r="H47" s="3" t="n">
        <v>34.5</v>
      </c>
      <c r="I47" s="3" t="n">
        <v>34.5</v>
      </c>
      <c r="J47" s="3" t="n">
        <v>34.5</v>
      </c>
      <c r="K47" s="3" t="n">
        <v>34.5</v>
      </c>
      <c r="L47" s="3" t="n">
        <v>34.5</v>
      </c>
    </row>
    <row r="48" customFormat="false" ht="15" hidden="false" customHeight="false" outlineLevel="0" collapsed="false">
      <c r="A48" s="0" t="s">
        <v>114</v>
      </c>
      <c r="B48" s="3" t="n">
        <v>9</v>
      </c>
    </row>
    <row r="49" customFormat="false" ht="15" hidden="false" customHeight="false" outlineLevel="0" collapsed="false">
      <c r="A49" s="0" t="s">
        <v>115</v>
      </c>
      <c r="B49" s="3" t="n">
        <v>2.5</v>
      </c>
    </row>
    <row r="50" customFormat="false" ht="15" hidden="false" customHeight="false" outlineLevel="0" collapsed="false">
      <c r="A50" s="0" t="s">
        <v>116</v>
      </c>
      <c r="B50" s="3" t="n">
        <v>12</v>
      </c>
    </row>
    <row r="51" customFormat="false" ht="15" hidden="false" customHeight="false" outlineLevel="0" collapsed="false">
      <c r="A51" s="0" t="s">
        <v>117</v>
      </c>
      <c r="B51" s="3" t="n">
        <v>0</v>
      </c>
    </row>
    <row r="52" customFormat="false" ht="15" hidden="false" customHeight="false" outlineLevel="0" collapsed="false">
      <c r="A52" s="0" t="s">
        <v>118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121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Assumptions!C13</f>
        <v>-24</v>
      </c>
      <c r="D5" s="4" t="n">
        <f aca="false">Assumptions!D13</f>
        <v>-15.3</v>
      </c>
      <c r="E5" s="4" t="n">
        <f aca="false">Assumptions!E13</f>
        <v>2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25767</v>
      </c>
      <c r="C6" s="0" t="n">
        <f aca="false">B6*(1+C5/100)</f>
        <v>19582.92</v>
      </c>
      <c r="D6" s="0" t="n">
        <f aca="false">C6*(1+D5/100)</f>
        <v>16586.73324</v>
      </c>
      <c r="E6" s="0" t="n">
        <f aca="false">D6*(1+E5/100)</f>
        <v>16918.4679048</v>
      </c>
      <c r="F6" s="0" t="n">
        <f aca="false">E6*(1+F5/100)</f>
        <v>17256.837262896</v>
      </c>
      <c r="G6" s="0" t="n">
        <f aca="false">F6*(1+G5/100)</f>
        <v>17601.9740081539</v>
      </c>
      <c r="H6" s="0" t="n">
        <f aca="false">G6*(1+H5/100)</f>
        <v>17954.013488317</v>
      </c>
      <c r="I6" s="0" t="n">
        <f aca="false">H6*(1+I5/100)</f>
        <v>18313.0937580833</v>
      </c>
      <c r="J6" s="0" t="n">
        <f aca="false">I6*(1+J5/100)</f>
        <v>18679.355633245</v>
      </c>
      <c r="K6" s="0" t="n">
        <f aca="false">J6*(1+K5/100)</f>
        <v>19052.9427459099</v>
      </c>
      <c r="L6" s="0" t="n">
        <f aca="false">K6*(1+L5/100)</f>
        <v>19434.0016008281</v>
      </c>
    </row>
    <row r="7" customFormat="false" ht="15" hidden="false" customHeight="false" outlineLevel="0" collapsed="false">
      <c r="A7" s="0" t="s">
        <v>108</v>
      </c>
      <c r="C7" s="4" t="n">
        <f aca="false">Assumptions!C14</f>
        <v>51.5</v>
      </c>
      <c r="D7" s="4" t="n">
        <f aca="false">Assumptions!D14</f>
        <v>42.2</v>
      </c>
      <c r="E7" s="4" t="n">
        <f aca="false">Assumptions!E14</f>
        <v>41.4</v>
      </c>
      <c r="F7" s="4" t="n">
        <f aca="false">Assumptions!F14</f>
        <v>41</v>
      </c>
      <c r="G7" s="4" t="n">
        <f aca="false">Assumptions!G14</f>
        <v>40.6</v>
      </c>
      <c r="H7" s="4" t="n">
        <f aca="false">Assumptions!H14</f>
        <v>40.2</v>
      </c>
      <c r="I7" s="4" t="n">
        <f aca="false">Assumptions!I14</f>
        <v>39.8</v>
      </c>
      <c r="J7" s="4" t="n">
        <f aca="false">Assumptions!J14</f>
        <v>39.4</v>
      </c>
      <c r="K7" s="4" t="n">
        <f aca="false">Assumptions!K14</f>
        <v>39</v>
      </c>
      <c r="L7" s="4" t="n">
        <f aca="false">Assumptions!L14</f>
        <v>38.6</v>
      </c>
    </row>
    <row r="8" customFormat="false" ht="15" hidden="false" customHeight="false" outlineLevel="0" collapsed="false">
      <c r="A8" s="0" t="s">
        <v>43</v>
      </c>
      <c r="C8" s="0" t="n">
        <f aca="false">C6*C7/100</f>
        <v>10085.2038</v>
      </c>
      <c r="D8" s="0" t="n">
        <f aca="false">D6*D7/100</f>
        <v>6999.60142728</v>
      </c>
      <c r="E8" s="0" t="n">
        <f aca="false">E6*E7/100</f>
        <v>7004.2457125872</v>
      </c>
      <c r="F8" s="0" t="n">
        <f aca="false">F6*F7/100</f>
        <v>7075.30327778736</v>
      </c>
      <c r="G8" s="0" t="n">
        <f aca="false">G6*G7/100</f>
        <v>7146.40144731049</v>
      </c>
      <c r="H8" s="0" t="n">
        <f aca="false">H6*H7/100</f>
        <v>7217.51342230344</v>
      </c>
      <c r="I8" s="0" t="n">
        <f aca="false">I6*I7/100</f>
        <v>7288.61131571717</v>
      </c>
      <c r="J8" s="0" t="n">
        <f aca="false">J6*J7/100</f>
        <v>7359.66611949853</v>
      </c>
      <c r="K8" s="0" t="n">
        <f aca="false">K6*K7/100</f>
        <v>7430.64767090487</v>
      </c>
      <c r="L8" s="0" t="n">
        <f aca="false">L6*L7/100</f>
        <v>7501.52461791965</v>
      </c>
    </row>
    <row r="9" customFormat="false" ht="15" hidden="false" customHeight="false" outlineLevel="0" collapsed="false">
      <c r="A9" s="0" t="s">
        <v>109</v>
      </c>
      <c r="C9" s="4" t="n">
        <f aca="false">Assumptions!C15</f>
        <v>0.5</v>
      </c>
      <c r="D9" s="4" t="n">
        <f aca="false">Assumptions!D15</f>
        <v>0.5</v>
      </c>
      <c r="E9" s="4" t="n">
        <f aca="false">Assumptions!E15</f>
        <v>0.5</v>
      </c>
      <c r="F9" s="4" t="n">
        <f aca="false">Assumptions!F15</f>
        <v>0.5</v>
      </c>
      <c r="G9" s="4" t="n">
        <f aca="false">Assumptions!G15</f>
        <v>0.5</v>
      </c>
      <c r="H9" s="4" t="n">
        <f aca="false">Assumptions!H15</f>
        <v>0.5</v>
      </c>
      <c r="I9" s="4" t="n">
        <f aca="false">Assumptions!I15</f>
        <v>0.5</v>
      </c>
      <c r="J9" s="4" t="n">
        <f aca="false">Assumptions!J15</f>
        <v>0.5</v>
      </c>
      <c r="K9" s="4" t="n">
        <f aca="false">Assumptions!K15</f>
        <v>0.5</v>
      </c>
      <c r="L9" s="4" t="n">
        <f aca="false">Assumptions!L15</f>
        <v>0.5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-97.9146</v>
      </c>
      <c r="D10" s="0" t="n">
        <f aca="false">-D6*D9/100</f>
        <v>-82.9336662</v>
      </c>
      <c r="E10" s="0" t="n">
        <f aca="false">-E6*E9/100</f>
        <v>-84.592339524</v>
      </c>
      <c r="F10" s="0" t="n">
        <f aca="false">-F6*F9/100</f>
        <v>-86.28418631448</v>
      </c>
      <c r="G10" s="0" t="n">
        <f aca="false">-G6*G9/100</f>
        <v>-88.0098700407696</v>
      </c>
      <c r="H10" s="0" t="n">
        <f aca="false">-H6*H9/100</f>
        <v>-89.770067441585</v>
      </c>
      <c r="I10" s="0" t="n">
        <f aca="false">-I6*I9/100</f>
        <v>-91.5654687904167</v>
      </c>
      <c r="J10" s="0" t="n">
        <f aca="false">-J6*J9/100</f>
        <v>-93.3967781662251</v>
      </c>
      <c r="K10" s="0" t="n">
        <f aca="false">-K6*K9/100</f>
        <v>-95.2647137295496</v>
      </c>
      <c r="L10" s="0" t="n">
        <f aca="false">-L6*L9/100</f>
        <v>-97.1700080041406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9987.2892</v>
      </c>
      <c r="D11" s="0" t="n">
        <f aca="false">D8+D10+D24</f>
        <v>6916.66776108</v>
      </c>
      <c r="E11" s="0" t="n">
        <f aca="false">E8+E10+E24</f>
        <v>6919.6533730632</v>
      </c>
      <c r="F11" s="0" t="n">
        <f aca="false">F8+F10+F24</f>
        <v>6989.01909147288</v>
      </c>
      <c r="G11" s="0" t="n">
        <f aca="false">G8+G10+G24</f>
        <v>7058.39157726972</v>
      </c>
      <c r="H11" s="0" t="n">
        <f aca="false">H8+H10+H24</f>
        <v>7127.74335486185</v>
      </c>
      <c r="I11" s="0" t="n">
        <f aca="false">I8+I10+I24</f>
        <v>7197.04584692675</v>
      </c>
      <c r="J11" s="0" t="n">
        <f aca="false">J8+J10+J24</f>
        <v>7266.26934133231</v>
      </c>
      <c r="K11" s="0" t="n">
        <f aca="false">K8+K10+K24</f>
        <v>7335.38295717532</v>
      </c>
      <c r="L11" s="0" t="n">
        <f aca="false">L8+L10+L24</f>
        <v>7404.35460991551</v>
      </c>
    </row>
    <row r="12" customFormat="false" ht="15" hidden="false" customHeight="false" outlineLevel="0" collapsed="false">
      <c r="A12" s="0" t="s">
        <v>126</v>
      </c>
      <c r="C12" s="4" t="n">
        <f aca="false">-C6*Assumptions!C17/100</f>
        <v>-2741.6088</v>
      </c>
      <c r="D12" s="4" t="n">
        <f aca="false">-D6*Assumptions!D17/100</f>
        <v>-2736.8109846</v>
      </c>
      <c r="E12" s="4" t="n">
        <f aca="false">-E6*Assumptions!E17/100</f>
        <v>-2791.547204292</v>
      </c>
      <c r="F12" s="4" t="n">
        <f aca="false">-F6*Assumptions!F17/100</f>
        <v>-2847.37814837784</v>
      </c>
      <c r="G12" s="4" t="n">
        <f aca="false">-G6*Assumptions!G17/100</f>
        <v>-2904.3257113454</v>
      </c>
      <c r="H12" s="4" t="n">
        <f aca="false">-H6*Assumptions!H17/100</f>
        <v>-2962.41222557231</v>
      </c>
      <c r="I12" s="4" t="n">
        <f aca="false">-I6*Assumptions!I17/100</f>
        <v>-3021.66047008375</v>
      </c>
      <c r="J12" s="4" t="n">
        <f aca="false">-J6*Assumptions!J17/100</f>
        <v>-3082.09367948543</v>
      </c>
      <c r="K12" s="4" t="n">
        <f aca="false">-K6*Assumptions!K17/100</f>
        <v>-3143.73555307514</v>
      </c>
      <c r="L12" s="4" t="n">
        <f aca="false">-L6*Assumptions!L17/100</f>
        <v>-3206.61026413664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7245.6804</v>
      </c>
      <c r="D13" s="0" t="n">
        <f aca="false">D11+D12</f>
        <v>4179.85677648</v>
      </c>
      <c r="E13" s="0" t="n">
        <f aca="false">E11+E12</f>
        <v>4128.1061687712</v>
      </c>
      <c r="F13" s="0" t="n">
        <f aca="false">F11+F12</f>
        <v>4141.64094309504</v>
      </c>
      <c r="G13" s="0" t="n">
        <f aca="false">G11+G12</f>
        <v>4154.06586592433</v>
      </c>
      <c r="H13" s="0" t="n">
        <f aca="false">H11+H12</f>
        <v>4165.33112928955</v>
      </c>
      <c r="I13" s="0" t="n">
        <f aca="false">I11+I12</f>
        <v>4175.385376843</v>
      </c>
      <c r="J13" s="0" t="n">
        <f aca="false">J11+J12</f>
        <v>4184.17566184688</v>
      </c>
      <c r="K13" s="0" t="n">
        <f aca="false">K11+K12</f>
        <v>4191.64740410018</v>
      </c>
      <c r="L13" s="0" t="n">
        <f aca="false">L11+L12</f>
        <v>4197.74434577887</v>
      </c>
    </row>
    <row r="14" customFormat="false" ht="15" hidden="false" customHeight="false" outlineLevel="0" collapsed="false">
      <c r="A14" s="0" t="s">
        <v>113</v>
      </c>
      <c r="C14" s="4" t="n">
        <f aca="false">Assumptions!C19</f>
        <v>34.5</v>
      </c>
      <c r="D14" s="4" t="n">
        <f aca="false">Assumptions!D19</f>
        <v>34.5</v>
      </c>
      <c r="E14" s="4" t="n">
        <f aca="false">Assumptions!E19</f>
        <v>34.5</v>
      </c>
      <c r="F14" s="4" t="n">
        <f aca="false">Assumptions!F19</f>
        <v>34.5</v>
      </c>
      <c r="G14" s="4" t="n">
        <f aca="false">Assumptions!G19</f>
        <v>34.5</v>
      </c>
      <c r="H14" s="4" t="n">
        <f aca="false">Assumptions!H19</f>
        <v>34.5</v>
      </c>
      <c r="I14" s="4" t="n">
        <f aca="false">Assumptions!I19</f>
        <v>34.5</v>
      </c>
      <c r="J14" s="4" t="n">
        <f aca="false">Assumptions!J19</f>
        <v>34.5</v>
      </c>
      <c r="K14" s="4" t="n">
        <f aca="false">Assumptions!K19</f>
        <v>34.5</v>
      </c>
      <c r="L14" s="4" t="n">
        <f aca="false">Assumptions!L19</f>
        <v>34.5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4745.920662</v>
      </c>
      <c r="D15" s="0" t="n">
        <f aca="false">D13-MAX(0,D13)*D14/100</f>
        <v>2737.8061885944</v>
      </c>
      <c r="E15" s="0" t="n">
        <f aca="false">E13-MAX(0,E13)*E14/100</f>
        <v>2703.90954054514</v>
      </c>
      <c r="F15" s="0" t="n">
        <f aca="false">F13-MAX(0,F13)*F14/100</f>
        <v>2712.77481772725</v>
      </c>
      <c r="G15" s="0" t="n">
        <f aca="false">G13-MAX(0,G13)*G14/100</f>
        <v>2720.91314218043</v>
      </c>
      <c r="H15" s="0" t="n">
        <f aca="false">H13-MAX(0,H13)*H14/100</f>
        <v>2728.29188968465</v>
      </c>
      <c r="I15" s="0" t="n">
        <f aca="false">I13-MAX(0,I13)*I14/100</f>
        <v>2734.87742183217</v>
      </c>
      <c r="J15" s="0" t="n">
        <f aca="false">J13-MAX(0,J13)*J14/100</f>
        <v>2740.63505850971</v>
      </c>
      <c r="K15" s="0" t="n">
        <f aca="false">K13-MAX(0,K13)*K14/100</f>
        <v>2745.52904968562</v>
      </c>
      <c r="L15" s="0" t="n">
        <f aca="false">L13-MAX(0,L13)*L14/100</f>
        <v>2749.52254648516</v>
      </c>
    </row>
    <row r="16" customFormat="false" ht="15" hidden="false" customHeight="false" outlineLevel="0" collapsed="false">
      <c r="A16" s="0" t="s">
        <v>129</v>
      </c>
      <c r="C16" s="0" t="n">
        <f aca="false">-C12</f>
        <v>2741.6088</v>
      </c>
      <c r="D16" s="0" t="n">
        <f aca="false">-D12</f>
        <v>2736.8109846</v>
      </c>
      <c r="E16" s="0" t="n">
        <f aca="false">-E12</f>
        <v>2791.547204292</v>
      </c>
      <c r="F16" s="0" t="n">
        <f aca="false">-F12</f>
        <v>2847.37814837784</v>
      </c>
      <c r="G16" s="0" t="n">
        <f aca="false">-G12</f>
        <v>2904.3257113454</v>
      </c>
      <c r="H16" s="0" t="n">
        <f aca="false">-H12</f>
        <v>2962.41222557231</v>
      </c>
      <c r="I16" s="0" t="n">
        <f aca="false">-I12</f>
        <v>3021.66047008375</v>
      </c>
      <c r="J16" s="0" t="n">
        <f aca="false">-J12</f>
        <v>3082.09367948543</v>
      </c>
      <c r="K16" s="0" t="n">
        <f aca="false">-K12</f>
        <v>3143.73555307514</v>
      </c>
      <c r="L16" s="0" t="n">
        <f aca="false">-L12</f>
        <v>3206.61026413664</v>
      </c>
    </row>
    <row r="17" customFormat="false" ht="15" hidden="false" customHeight="false" outlineLevel="0" collapsed="false">
      <c r="A17" s="0" t="s">
        <v>130</v>
      </c>
      <c r="C17" s="4" t="n">
        <f aca="false">-C6*Assumptions!C18/100</f>
        <v>-2898.27216</v>
      </c>
      <c r="D17" s="4" t="n">
        <f aca="false">-D6*Assumptions!D18/100</f>
        <v>-2570.9436522</v>
      </c>
      <c r="E17" s="4" t="n">
        <f aca="false">-E6*Assumptions!E18/100</f>
        <v>-2537.77018572</v>
      </c>
      <c r="F17" s="4" t="n">
        <f aca="false">-F6*Assumptions!F18/100</f>
        <v>-2588.5255894344</v>
      </c>
      <c r="G17" s="4" t="n">
        <f aca="false">-G6*Assumptions!G18/100</f>
        <v>-2640.29610122309</v>
      </c>
      <c r="H17" s="4" t="n">
        <f aca="false">-H6*Assumptions!H18/100</f>
        <v>-2693.10202324755</v>
      </c>
      <c r="I17" s="4" t="n">
        <f aca="false">-I6*Assumptions!I18/100</f>
        <v>-2746.9640637125</v>
      </c>
      <c r="J17" s="4" t="n">
        <f aca="false">-J6*Assumptions!J18/100</f>
        <v>-2801.90334498675</v>
      </c>
      <c r="K17" s="4" t="n">
        <f aca="false">-K6*Assumptions!K18/100</f>
        <v>-2857.94141188649</v>
      </c>
      <c r="L17" s="4" t="n">
        <f aca="false">-L6*Assumptions!L18/100</f>
        <v>-2915.10024012422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(C6-B6)*Assumptions!$B$23/100</f>
        <v>-0</v>
      </c>
      <c r="D18" s="4" t="n">
        <f aca="false">(D6-C6)*Assumptions!$B$23/100</f>
        <v>-0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4589.257302</v>
      </c>
      <c r="D19" s="0" t="n">
        <f aca="false">D15+D16+D17+D18</f>
        <v>2903.6735209944</v>
      </c>
      <c r="E19" s="0" t="n">
        <f aca="false">E15+E16+E17+E18</f>
        <v>2957.68655911714</v>
      </c>
      <c r="F19" s="0" t="n">
        <f aca="false">F15+F16+F17+F18</f>
        <v>2971.62737667069</v>
      </c>
      <c r="G19" s="0" t="n">
        <f aca="false">G15+G16+G17+G18</f>
        <v>2984.94275230274</v>
      </c>
      <c r="H19" s="0" t="n">
        <f aca="false">H15+H16+H17+H18</f>
        <v>2997.60209200941</v>
      </c>
      <c r="I19" s="0" t="n">
        <f aca="false">I15+I16+I17+I18</f>
        <v>3009.57382820342</v>
      </c>
      <c r="J19" s="0" t="n">
        <f aca="false">J15+J16+J17+J18</f>
        <v>3020.82539300838</v>
      </c>
      <c r="K19" s="0" t="n">
        <f aca="false">K15+K16+K17+K18</f>
        <v>3031.32319087427</v>
      </c>
      <c r="L19" s="0" t="n">
        <f aca="false">L15+L16+L17+L18</f>
        <v>3041.03257049758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4210.3278</v>
      </c>
      <c r="D21" s="0" t="n">
        <f aca="false">D19*D20</f>
        <v>2443.96390959886</v>
      </c>
      <c r="E21" s="0" t="n">
        <f aca="false">E19*E20</f>
        <v>2283.87670014891</v>
      </c>
      <c r="F21" s="0" t="n">
        <f aca="false">F19*F20</f>
        <v>2105.17575152505</v>
      </c>
      <c r="G21" s="0" t="n">
        <f aca="false">G19*G20</f>
        <v>1940.00798102532</v>
      </c>
      <c r="H21" s="0" t="n">
        <f aca="false">H19*H20</f>
        <v>1787.37218644999</v>
      </c>
      <c r="I21" s="0" t="n">
        <f aca="false">I19*I20</f>
        <v>1646.33994641147</v>
      </c>
      <c r="J21" s="0" t="n">
        <f aca="false">J19*J20</f>
        <v>1516.05040153014</v>
      </c>
      <c r="K21" s="0" t="n">
        <f aca="false">K19*K20</f>
        <v>1395.70540577051</v>
      </c>
      <c r="L21" s="0" t="n">
        <f aca="false">L19*L20</f>
        <v>1284.56502189996</v>
      </c>
    </row>
    <row r="23" customFormat="false" ht="15" hidden="false" customHeight="false" outlineLevel="0" collapsed="false">
      <c r="A23" s="0" t="s">
        <v>110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115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116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20613.3851043602</v>
      </c>
    </row>
    <row r="31" customFormat="false" ht="15" hidden="false" customHeight="false" outlineLevel="0" collapsed="false">
      <c r="A31" s="0" t="s">
        <v>138</v>
      </c>
      <c r="B31" s="0" t="n">
        <f aca="false">L19</f>
        <v>3041.03257049758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47954.7443809234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36492.390845971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36492.390845971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15414.7802627995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36028.1653671597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45539.1653671597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43.1242096279921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-0.623927708834114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578.677873638975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647.258508065643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44.2851342318791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24936.4670780802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30.3193487818692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Assumptions!C27</f>
        <v>-5.7</v>
      </c>
      <c r="D5" s="4" t="n">
        <f aca="false">Assumptions!D27</f>
        <v>-5.8</v>
      </c>
      <c r="E5" s="4" t="n">
        <f aca="false">Assumptions!E27</f>
        <v>2.2</v>
      </c>
      <c r="F5" s="4" t="n">
        <f aca="false">Assumptions!F27</f>
        <v>2.5</v>
      </c>
      <c r="G5" s="4" t="n">
        <f aca="false">Assumptions!G27</f>
        <v>2.5</v>
      </c>
      <c r="H5" s="4" t="n">
        <f aca="false">Assumptions!H27</f>
        <v>2.5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25767</v>
      </c>
      <c r="C6" s="0" t="n">
        <f aca="false">B6*(1+C5/100)</f>
        <v>24298.281</v>
      </c>
      <c r="D6" s="0" t="n">
        <f aca="false">C6*(1+D5/100)</f>
        <v>22888.980702</v>
      </c>
      <c r="E6" s="0" t="n">
        <f aca="false">D6*(1+E5/100)</f>
        <v>23392.538277444</v>
      </c>
      <c r="F6" s="0" t="n">
        <f aca="false">E6*(1+F5/100)</f>
        <v>23977.3517343801</v>
      </c>
      <c r="G6" s="0" t="n">
        <f aca="false">F6*(1+G5/100)</f>
        <v>24576.7855277396</v>
      </c>
      <c r="H6" s="0" t="n">
        <f aca="false">G6*(1+H5/100)</f>
        <v>25191.2051659331</v>
      </c>
      <c r="I6" s="0" t="n">
        <f aca="false">H6*(1+I5/100)</f>
        <v>25820.9852950814</v>
      </c>
      <c r="J6" s="0" t="n">
        <f aca="false">I6*(1+J5/100)</f>
        <v>26466.5099274584</v>
      </c>
      <c r="K6" s="0" t="n">
        <f aca="false">J6*(1+K5/100)</f>
        <v>27128.1726756449</v>
      </c>
      <c r="L6" s="0" t="n">
        <f aca="false">K6*(1+L5/100)</f>
        <v>27806.376992536</v>
      </c>
    </row>
    <row r="7" customFormat="false" ht="15" hidden="false" customHeight="false" outlineLevel="0" collapsed="false">
      <c r="A7" s="0" t="s">
        <v>108</v>
      </c>
      <c r="C7" s="4" t="n">
        <f aca="false">Assumptions!C28</f>
        <v>60.5</v>
      </c>
      <c r="D7" s="4" t="n">
        <f aca="false">Assumptions!D28</f>
        <v>56.8</v>
      </c>
      <c r="E7" s="4" t="n">
        <f aca="false">Assumptions!E28</f>
        <v>56.4</v>
      </c>
      <c r="F7" s="4" t="n">
        <f aca="false">Assumptions!F28</f>
        <v>56.1</v>
      </c>
      <c r="G7" s="4" t="n">
        <f aca="false">Assumptions!G28</f>
        <v>55.8</v>
      </c>
      <c r="H7" s="4" t="n">
        <f aca="false">Assumptions!H28</f>
        <v>55.5</v>
      </c>
      <c r="I7" s="4" t="n">
        <f aca="false">Assumptions!I28</f>
        <v>55.2</v>
      </c>
      <c r="J7" s="4" t="n">
        <f aca="false">Assumptions!J28</f>
        <v>55</v>
      </c>
      <c r="K7" s="4" t="n">
        <f aca="false">Assumptions!K28</f>
        <v>54.8</v>
      </c>
      <c r="L7" s="4" t="n">
        <f aca="false">Assumptions!L28</f>
        <v>54.6</v>
      </c>
    </row>
    <row r="8" customFormat="false" ht="15" hidden="false" customHeight="false" outlineLevel="0" collapsed="false">
      <c r="A8" s="0" t="s">
        <v>43</v>
      </c>
      <c r="C8" s="0" t="n">
        <f aca="false">C6*C7/100</f>
        <v>14700.460005</v>
      </c>
      <c r="D8" s="0" t="n">
        <f aca="false">D6*D7/100</f>
        <v>13000.941038736</v>
      </c>
      <c r="E8" s="0" t="n">
        <f aca="false">E6*E7/100</f>
        <v>13193.3915884784</v>
      </c>
      <c r="F8" s="0" t="n">
        <f aca="false">F6*F7/100</f>
        <v>13451.2943229872</v>
      </c>
      <c r="G8" s="0" t="n">
        <f aca="false">G6*G7/100</f>
        <v>13713.8463244787</v>
      </c>
      <c r="H8" s="0" t="n">
        <f aca="false">H6*H7/100</f>
        <v>13981.1188670929</v>
      </c>
      <c r="I8" s="0" t="n">
        <f aca="false">I6*I7/100</f>
        <v>14253.1838828849</v>
      </c>
      <c r="J8" s="0" t="n">
        <f aca="false">J6*J7/100</f>
        <v>14556.5804601021</v>
      </c>
      <c r="K8" s="0" t="n">
        <f aca="false">K6*K7/100</f>
        <v>14866.2386262534</v>
      </c>
      <c r="L8" s="0" t="n">
        <f aca="false">L6*L7/100</f>
        <v>15182.2818379247</v>
      </c>
    </row>
    <row r="9" customFormat="false" ht="15" hidden="false" customHeight="false" outlineLevel="0" collapsed="false">
      <c r="A9" s="0" t="s">
        <v>109</v>
      </c>
      <c r="C9" s="4" t="n">
        <f aca="false">Assumptions!C29</f>
        <v>0.5</v>
      </c>
      <c r="D9" s="4" t="n">
        <f aca="false">Assumptions!D29</f>
        <v>0.5</v>
      </c>
      <c r="E9" s="4" t="n">
        <f aca="false">Assumptions!E29</f>
        <v>0.5</v>
      </c>
      <c r="F9" s="4" t="n">
        <f aca="false">Assumptions!F29</f>
        <v>0.5</v>
      </c>
      <c r="G9" s="4" t="n">
        <f aca="false">Assumptions!G29</f>
        <v>0.5</v>
      </c>
      <c r="H9" s="4" t="n">
        <f aca="false">Assumptions!H29</f>
        <v>0.5</v>
      </c>
      <c r="I9" s="4" t="n">
        <f aca="false">Assumptions!I29</f>
        <v>0.5</v>
      </c>
      <c r="J9" s="4" t="n">
        <f aca="false">Assumptions!J29</f>
        <v>0.5</v>
      </c>
      <c r="K9" s="4" t="n">
        <f aca="false">Assumptions!K29</f>
        <v>0.5</v>
      </c>
      <c r="L9" s="4" t="n">
        <f aca="false">Assumptions!L29</f>
        <v>0.5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-121.491405</v>
      </c>
      <c r="D10" s="0" t="n">
        <f aca="false">-D6*D9/100</f>
        <v>-114.44490351</v>
      </c>
      <c r="E10" s="0" t="n">
        <f aca="false">-E6*E9/100</f>
        <v>-116.96269138722</v>
      </c>
      <c r="F10" s="0" t="n">
        <f aca="false">-F6*F9/100</f>
        <v>-119.8867586719</v>
      </c>
      <c r="G10" s="0" t="n">
        <f aca="false">-G6*G9/100</f>
        <v>-122.883927638698</v>
      </c>
      <c r="H10" s="0" t="n">
        <f aca="false">-H6*H9/100</f>
        <v>-125.956025829665</v>
      </c>
      <c r="I10" s="0" t="n">
        <f aca="false">-I6*I9/100</f>
        <v>-129.104926475407</v>
      </c>
      <c r="J10" s="0" t="n">
        <f aca="false">-J6*J9/100</f>
        <v>-132.332549637292</v>
      </c>
      <c r="K10" s="0" t="n">
        <f aca="false">-K6*K9/100</f>
        <v>-135.640863378225</v>
      </c>
      <c r="L10" s="0" t="n">
        <f aca="false">-L6*L9/100</f>
        <v>-139.03188496268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14578.9686</v>
      </c>
      <c r="D11" s="0" t="n">
        <f aca="false">D8+D10+D24</f>
        <v>12886.496135226</v>
      </c>
      <c r="E11" s="0" t="n">
        <f aca="false">E8+E10+E24</f>
        <v>13076.4288970912</v>
      </c>
      <c r="F11" s="0" t="n">
        <f aca="false">F8+F10+F24</f>
        <v>13331.4075643153</v>
      </c>
      <c r="G11" s="0" t="n">
        <f aca="false">G8+G10+G24</f>
        <v>13590.96239684</v>
      </c>
      <c r="H11" s="0" t="n">
        <f aca="false">H8+H10+H24</f>
        <v>13855.1628412632</v>
      </c>
      <c r="I11" s="0" t="n">
        <f aca="false">I8+I10+I24</f>
        <v>14124.0789564095</v>
      </c>
      <c r="J11" s="0" t="n">
        <f aca="false">J8+J10+J24</f>
        <v>14424.2479104649</v>
      </c>
      <c r="K11" s="0" t="n">
        <f aca="false">K8+K10+K24</f>
        <v>14730.5977628752</v>
      </c>
      <c r="L11" s="0" t="n">
        <f aca="false">L8+L10+L24</f>
        <v>15043.249952962</v>
      </c>
    </row>
    <row r="12" customFormat="false" ht="15" hidden="false" customHeight="false" outlineLevel="0" collapsed="false">
      <c r="A12" s="0" t="s">
        <v>126</v>
      </c>
      <c r="C12" s="4" t="n">
        <f aca="false">-C6*Assumptions!C31/100</f>
        <v>-2842.898877</v>
      </c>
      <c r="D12" s="4" t="n">
        <f aca="false">-D6*Assumptions!D31/100</f>
        <v>-2815.344626346</v>
      </c>
      <c r="E12" s="4" t="n">
        <f aca="false">-E6*Assumptions!E31/100</f>
        <v>-2924.0672846805</v>
      </c>
      <c r="F12" s="4" t="n">
        <f aca="false">-F6*Assumptions!F31/100</f>
        <v>-3045.12367026627</v>
      </c>
      <c r="G12" s="4" t="n">
        <f aca="false">-G6*Assumptions!G31/100</f>
        <v>-3170.40533307841</v>
      </c>
      <c r="H12" s="4" t="n">
        <f aca="false">-H6*Assumptions!H31/100</f>
        <v>-3274.8566715713</v>
      </c>
      <c r="I12" s="4" t="n">
        <f aca="false">-I6*Assumptions!I31/100</f>
        <v>-3356.72808836058</v>
      </c>
      <c r="J12" s="4" t="n">
        <f aca="false">-J6*Assumptions!J31/100</f>
        <v>-3440.6462905696</v>
      </c>
      <c r="K12" s="4" t="n">
        <f aca="false">-K6*Assumptions!K31/100</f>
        <v>-3526.66244783384</v>
      </c>
      <c r="L12" s="4" t="n">
        <f aca="false">-L6*Assumptions!L31/100</f>
        <v>-3614.82900902968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11736.069723</v>
      </c>
      <c r="D13" s="0" t="n">
        <f aca="false">D11+D12</f>
        <v>10071.15150888</v>
      </c>
      <c r="E13" s="0" t="n">
        <f aca="false">E11+E12</f>
        <v>10152.3616124107</v>
      </c>
      <c r="F13" s="0" t="n">
        <f aca="false">F11+F12</f>
        <v>10286.2838940491</v>
      </c>
      <c r="G13" s="0" t="n">
        <f aca="false">G11+G12</f>
        <v>10420.5570637616</v>
      </c>
      <c r="H13" s="0" t="n">
        <f aca="false">H11+H12</f>
        <v>10580.3061696919</v>
      </c>
      <c r="I13" s="0" t="n">
        <f aca="false">I11+I12</f>
        <v>10767.3508680489</v>
      </c>
      <c r="J13" s="0" t="n">
        <f aca="false">J11+J12</f>
        <v>10983.6016198953</v>
      </c>
      <c r="K13" s="0" t="n">
        <f aca="false">K11+K12</f>
        <v>11203.9353150413</v>
      </c>
      <c r="L13" s="0" t="n">
        <f aca="false">L11+L12</f>
        <v>11428.4209439323</v>
      </c>
    </row>
    <row r="14" customFormat="false" ht="15" hidden="false" customHeight="false" outlineLevel="0" collapsed="false">
      <c r="A14" s="0" t="s">
        <v>113</v>
      </c>
      <c r="C14" s="4" t="n">
        <f aca="false">Assumptions!C33</f>
        <v>34.5</v>
      </c>
      <c r="D14" s="4" t="n">
        <f aca="false">Assumptions!D33</f>
        <v>34.5</v>
      </c>
      <c r="E14" s="4" t="n">
        <f aca="false">Assumptions!E33</f>
        <v>34.5</v>
      </c>
      <c r="F14" s="4" t="n">
        <f aca="false">Assumptions!F33</f>
        <v>34.5</v>
      </c>
      <c r="G14" s="4" t="n">
        <f aca="false">Assumptions!G33</f>
        <v>34.5</v>
      </c>
      <c r="H14" s="4" t="n">
        <f aca="false">Assumptions!H33</f>
        <v>34.5</v>
      </c>
      <c r="I14" s="4" t="n">
        <f aca="false">Assumptions!I33</f>
        <v>34.5</v>
      </c>
      <c r="J14" s="4" t="n">
        <f aca="false">Assumptions!J33</f>
        <v>34.5</v>
      </c>
      <c r="K14" s="4" t="n">
        <f aca="false">Assumptions!K33</f>
        <v>34.5</v>
      </c>
      <c r="L14" s="4" t="n">
        <f aca="false">Assumptions!L33</f>
        <v>34.5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7687.125668565</v>
      </c>
      <c r="D15" s="0" t="n">
        <f aca="false">D13-MAX(0,D13)*D14/100</f>
        <v>6596.6042383164</v>
      </c>
      <c r="E15" s="0" t="n">
        <f aca="false">E13-MAX(0,E13)*E14/100</f>
        <v>6649.79685612901</v>
      </c>
      <c r="F15" s="0" t="n">
        <f aca="false">F13-MAX(0,F13)*F14/100</f>
        <v>6737.51595060214</v>
      </c>
      <c r="G15" s="0" t="n">
        <f aca="false">G13-MAX(0,G13)*G14/100</f>
        <v>6825.46487676384</v>
      </c>
      <c r="H15" s="0" t="n">
        <f aca="false">H13-MAX(0,H13)*H14/100</f>
        <v>6930.10054114819</v>
      </c>
      <c r="I15" s="0" t="n">
        <f aca="false">I13-MAX(0,I13)*I14/100</f>
        <v>7052.61481857206</v>
      </c>
      <c r="J15" s="0" t="n">
        <f aca="false">J13-MAX(0,J13)*J14/100</f>
        <v>7194.25906103139</v>
      </c>
      <c r="K15" s="0" t="n">
        <f aca="false">K13-MAX(0,K13)*K14/100</f>
        <v>7338.57763135208</v>
      </c>
      <c r="L15" s="0" t="n">
        <f aca="false">L13-MAX(0,L13)*L14/100</f>
        <v>7485.61571827566</v>
      </c>
    </row>
    <row r="16" customFormat="false" ht="15" hidden="false" customHeight="false" outlineLevel="0" collapsed="false">
      <c r="A16" s="0" t="s">
        <v>129</v>
      </c>
      <c r="C16" s="0" t="n">
        <f aca="false">-C12</f>
        <v>2842.898877</v>
      </c>
      <c r="D16" s="0" t="n">
        <f aca="false">-D12</f>
        <v>2815.344626346</v>
      </c>
      <c r="E16" s="0" t="n">
        <f aca="false">-E12</f>
        <v>2924.0672846805</v>
      </c>
      <c r="F16" s="0" t="n">
        <f aca="false">-F12</f>
        <v>3045.12367026627</v>
      </c>
      <c r="G16" s="0" t="n">
        <f aca="false">-G12</f>
        <v>3170.40533307841</v>
      </c>
      <c r="H16" s="0" t="n">
        <f aca="false">-H12</f>
        <v>3274.8566715713</v>
      </c>
      <c r="I16" s="0" t="n">
        <f aca="false">-I12</f>
        <v>3356.72808836058</v>
      </c>
      <c r="J16" s="0" t="n">
        <f aca="false">-J12</f>
        <v>3440.6462905696</v>
      </c>
      <c r="K16" s="0" t="n">
        <f aca="false">-K12</f>
        <v>3526.66244783384</v>
      </c>
      <c r="L16" s="0" t="n">
        <f aca="false">-L12</f>
        <v>3614.82900902968</v>
      </c>
    </row>
    <row r="17" customFormat="false" ht="15" hidden="false" customHeight="false" outlineLevel="0" collapsed="false">
      <c r="A17" s="0" t="s">
        <v>130</v>
      </c>
      <c r="C17" s="4" t="n">
        <f aca="false">-C6*Assumptions!C32/100</f>
        <v>-3353.162778</v>
      </c>
      <c r="D17" s="4" t="n">
        <f aca="false">-D6*Assumptions!D32/100</f>
        <v>-3318.90220179</v>
      </c>
      <c r="E17" s="4" t="n">
        <f aca="false">-E6*Assumptions!E32/100</f>
        <v>-3274.95535884216</v>
      </c>
      <c r="F17" s="4" t="n">
        <f aca="false">-F6*Assumptions!F32/100</f>
        <v>-3236.94248414131</v>
      </c>
      <c r="G17" s="4" t="n">
        <f aca="false">-G6*Assumptions!G32/100</f>
        <v>-3317.86604624485</v>
      </c>
      <c r="H17" s="4" t="n">
        <f aca="false">-H6*Assumptions!H32/100</f>
        <v>-3400.81269740097</v>
      </c>
      <c r="I17" s="4" t="n">
        <f aca="false">-I6*Assumptions!I32/100</f>
        <v>-3485.83301483599</v>
      </c>
      <c r="J17" s="4" t="n">
        <f aca="false">-J6*Assumptions!J32/100</f>
        <v>-3572.97884020689</v>
      </c>
      <c r="K17" s="4" t="n">
        <f aca="false">-K6*Assumptions!K32/100</f>
        <v>-3662.30331121206</v>
      </c>
      <c r="L17" s="4" t="n">
        <f aca="false">-L6*Assumptions!L32/100</f>
        <v>-3753.86089399236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(C6-B6)*Assumptions!$B$37/100</f>
        <v>-0</v>
      </c>
      <c r="D18" s="4" t="n">
        <f aca="false">(D6-C6)*Assumptions!$B$37/100</f>
        <v>-0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7176.861767565</v>
      </c>
      <c r="D19" s="0" t="n">
        <f aca="false">D15+D16+D17+D18</f>
        <v>6093.0466628724</v>
      </c>
      <c r="E19" s="0" t="n">
        <f aca="false">E15+E16+E17+E18</f>
        <v>6298.90878196735</v>
      </c>
      <c r="F19" s="0" t="n">
        <f aca="false">F15+F16+F17+F18</f>
        <v>6545.69713672709</v>
      </c>
      <c r="G19" s="0" t="n">
        <f aca="false">G15+G16+G17+G18</f>
        <v>6678.0041635974</v>
      </c>
      <c r="H19" s="0" t="n">
        <f aca="false">H15+H16+H17+H18</f>
        <v>6804.14451531853</v>
      </c>
      <c r="I19" s="0" t="n">
        <f aca="false">I15+I16+I17+I18</f>
        <v>6923.50989209665</v>
      </c>
      <c r="J19" s="0" t="n">
        <f aca="false">J15+J16+J17+J18</f>
        <v>7061.9265113941</v>
      </c>
      <c r="K19" s="0" t="n">
        <f aca="false">K15+K16+K17+K18</f>
        <v>7202.93676797386</v>
      </c>
      <c r="L19" s="0" t="n">
        <f aca="false">L15+L16+L17+L18</f>
        <v>7346.58383331298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6584.27685097706</v>
      </c>
      <c r="D21" s="0" t="n">
        <f aca="false">D19*D20</f>
        <v>5128.39547417928</v>
      </c>
      <c r="E21" s="0" t="n">
        <f aca="false">E19*E20</f>
        <v>4863.91330384674</v>
      </c>
      <c r="F21" s="0" t="n">
        <f aca="false">F19*F20</f>
        <v>4637.13687565474</v>
      </c>
      <c r="G21" s="0" t="n">
        <f aca="false">G19*G20</f>
        <v>4340.24450375298</v>
      </c>
      <c r="H21" s="0" t="n">
        <f aca="false">H19*H20</f>
        <v>4057.08906184886</v>
      </c>
      <c r="I21" s="0" t="n">
        <f aca="false">I19*I20</f>
        <v>3787.39700548833</v>
      </c>
      <c r="J21" s="0" t="n">
        <f aca="false">J19*J20</f>
        <v>3544.14278559585</v>
      </c>
      <c r="K21" s="0" t="n">
        <f aca="false">K19*K20</f>
        <v>3316.43218207452</v>
      </c>
      <c r="L21" s="0" t="n">
        <f aca="false">L19*L20</f>
        <v>3103.27640495656</v>
      </c>
    </row>
    <row r="23" customFormat="false" ht="15" hidden="false" customHeight="false" outlineLevel="0" collapsed="false">
      <c r="A23" s="0" t="s">
        <v>110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115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116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43362.3044483749</v>
      </c>
    </row>
    <row r="31" customFormat="false" ht="15" hidden="false" customHeight="false" outlineLevel="0" collapsed="false">
      <c r="A31" s="0" t="s">
        <v>138</v>
      </c>
      <c r="B31" s="0" t="n">
        <f aca="false">L19</f>
        <v>7346.58383331298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115849.975833012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88159.0059997558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88159.0059997558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37239.3168594787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80601.6213078536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90112.6213078536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85.3339216930432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-0.255830455279993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796.222487435719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926.104384293802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86.9649130488477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60241.9874331664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55.0858328950996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Assumptions!C41</f>
        <v>4.4</v>
      </c>
      <c r="D5" s="4" t="n">
        <f aca="false">Assumptions!D41</f>
        <v>6</v>
      </c>
      <c r="E5" s="4" t="n">
        <f aca="false">Assumptions!E41</f>
        <v>4</v>
      </c>
      <c r="F5" s="4" t="n">
        <f aca="false">Assumptions!F41</f>
        <v>4</v>
      </c>
      <c r="G5" s="4" t="n">
        <f aca="false">Assumptions!G41</f>
        <v>4</v>
      </c>
      <c r="H5" s="4" t="n">
        <f aca="false">Assumptions!H41</f>
        <v>4</v>
      </c>
      <c r="I5" s="4" t="n">
        <f aca="false">Assumptions!I41</f>
        <v>4</v>
      </c>
      <c r="J5" s="4" t="n">
        <f aca="false">Assumptions!J41</f>
        <v>4</v>
      </c>
      <c r="K5" s="4" t="n">
        <f aca="false">Assumptions!K41</f>
        <v>4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37</v>
      </c>
      <c r="B6" s="3" t="n">
        <v>25767</v>
      </c>
      <c r="C6" s="0" t="n">
        <f aca="false">B6*(1+C5/100)</f>
        <v>26900.748</v>
      </c>
      <c r="D6" s="0" t="n">
        <f aca="false">C6*(1+D5/100)</f>
        <v>28514.79288</v>
      </c>
      <c r="E6" s="0" t="n">
        <f aca="false">D6*(1+E5/100)</f>
        <v>29655.3845952</v>
      </c>
      <c r="F6" s="0" t="n">
        <f aca="false">E6*(1+F5/100)</f>
        <v>30841.599979008</v>
      </c>
      <c r="G6" s="0" t="n">
        <f aca="false">F6*(1+G5/100)</f>
        <v>32075.2639781683</v>
      </c>
      <c r="H6" s="0" t="n">
        <f aca="false">G6*(1+H5/100)</f>
        <v>33358.2745372951</v>
      </c>
      <c r="I6" s="0" t="n">
        <f aca="false">H6*(1+I5/100)</f>
        <v>34692.6055187869</v>
      </c>
      <c r="J6" s="0" t="n">
        <f aca="false">I6*(1+J5/100)</f>
        <v>36080.3097395383</v>
      </c>
      <c r="K6" s="0" t="n">
        <f aca="false">J6*(1+K5/100)</f>
        <v>37523.5221291199</v>
      </c>
      <c r="L6" s="0" t="n">
        <f aca="false">K6*(1+L5/100)</f>
        <v>39024.4630142847</v>
      </c>
    </row>
    <row r="7" customFormat="false" ht="15" hidden="false" customHeight="false" outlineLevel="0" collapsed="false">
      <c r="A7" s="0" t="s">
        <v>108</v>
      </c>
      <c r="C7" s="4" t="n">
        <f aca="false">Assumptions!C42</f>
        <v>64</v>
      </c>
      <c r="D7" s="4" t="n">
        <f aca="false">Assumptions!D42</f>
        <v>64.9</v>
      </c>
      <c r="E7" s="4" t="n">
        <f aca="false">Assumptions!E42</f>
        <v>65.2</v>
      </c>
      <c r="F7" s="4" t="n">
        <f aca="false">Assumptions!F42</f>
        <v>65.5</v>
      </c>
      <c r="G7" s="4" t="n">
        <f aca="false">Assumptions!G42</f>
        <v>65.8</v>
      </c>
      <c r="H7" s="4" t="n">
        <f aca="false">Assumptions!H42</f>
        <v>66</v>
      </c>
      <c r="I7" s="4" t="n">
        <f aca="false">Assumptions!I42</f>
        <v>66.3</v>
      </c>
      <c r="J7" s="4" t="n">
        <f aca="false">Assumptions!J42</f>
        <v>66.5</v>
      </c>
      <c r="K7" s="4" t="n">
        <f aca="false">Assumptions!K42</f>
        <v>66.7</v>
      </c>
      <c r="L7" s="4" t="n">
        <f aca="false">Assumptions!L42</f>
        <v>67</v>
      </c>
    </row>
    <row r="8" customFormat="false" ht="15" hidden="false" customHeight="false" outlineLevel="0" collapsed="false">
      <c r="A8" s="0" t="s">
        <v>43</v>
      </c>
      <c r="C8" s="0" t="n">
        <f aca="false">C6*C7/100</f>
        <v>17216.47872</v>
      </c>
      <c r="D8" s="0" t="n">
        <f aca="false">D6*D7/100</f>
        <v>18506.10057912</v>
      </c>
      <c r="E8" s="0" t="n">
        <f aca="false">E6*E7/100</f>
        <v>19335.3107560704</v>
      </c>
      <c r="F8" s="0" t="n">
        <f aca="false">F6*F7/100</f>
        <v>20201.2479862502</v>
      </c>
      <c r="G8" s="0" t="n">
        <f aca="false">G6*G7/100</f>
        <v>21105.5236976348</v>
      </c>
      <c r="H8" s="0" t="n">
        <f aca="false">H6*H7/100</f>
        <v>22016.4611946147</v>
      </c>
      <c r="I8" s="0" t="n">
        <f aca="false">I6*I7/100</f>
        <v>23001.1974589557</v>
      </c>
      <c r="J8" s="0" t="n">
        <f aca="false">J6*J7/100</f>
        <v>23993.405976793</v>
      </c>
      <c r="K8" s="0" t="n">
        <f aca="false">K6*K7/100</f>
        <v>25028.189260123</v>
      </c>
      <c r="L8" s="0" t="n">
        <f aca="false">L6*L7/100</f>
        <v>26146.3902195707</v>
      </c>
    </row>
    <row r="9" customFormat="false" ht="15" hidden="false" customHeight="false" outlineLevel="0" collapsed="false">
      <c r="A9" s="0" t="s">
        <v>109</v>
      </c>
      <c r="C9" s="4" t="n">
        <f aca="false">Assumptions!C43</f>
        <v>0.5</v>
      </c>
      <c r="D9" s="4" t="n">
        <f aca="false">Assumptions!D43</f>
        <v>0.5</v>
      </c>
      <c r="E9" s="4" t="n">
        <f aca="false">Assumptions!E43</f>
        <v>0.5</v>
      </c>
      <c r="F9" s="4" t="n">
        <f aca="false">Assumptions!F43</f>
        <v>0.5</v>
      </c>
      <c r="G9" s="4" t="n">
        <f aca="false">Assumptions!G43</f>
        <v>0.5</v>
      </c>
      <c r="H9" s="4" t="n">
        <f aca="false">Assumptions!H43</f>
        <v>0.5</v>
      </c>
      <c r="I9" s="4" t="n">
        <f aca="false">Assumptions!I43</f>
        <v>0.5</v>
      </c>
      <c r="J9" s="4" t="n">
        <f aca="false">Assumptions!J43</f>
        <v>0.5</v>
      </c>
      <c r="K9" s="4" t="n">
        <f aca="false">Assumptions!K43</f>
        <v>0.5</v>
      </c>
      <c r="L9" s="4" t="n">
        <f aca="false">Assumptions!L43</f>
        <v>0.5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-134.50374</v>
      </c>
      <c r="D10" s="0" t="n">
        <f aca="false">-D6*D9/100</f>
        <v>-142.5739644</v>
      </c>
      <c r="E10" s="0" t="n">
        <f aca="false">-E6*E9/100</f>
        <v>-148.276922976</v>
      </c>
      <c r="F10" s="0" t="n">
        <f aca="false">-F6*F9/100</f>
        <v>-154.20799989504</v>
      </c>
      <c r="G10" s="0" t="n">
        <f aca="false">-G6*G9/100</f>
        <v>-160.376319890842</v>
      </c>
      <c r="H10" s="0" t="n">
        <f aca="false">-H6*H9/100</f>
        <v>-166.791372686475</v>
      </c>
      <c r="I10" s="0" t="n">
        <f aca="false">-I6*I9/100</f>
        <v>-173.463027593934</v>
      </c>
      <c r="J10" s="0" t="n">
        <f aca="false">-J6*J9/100</f>
        <v>-180.401548697692</v>
      </c>
      <c r="K10" s="0" t="n">
        <f aca="false">-K6*K9/100</f>
        <v>-187.617610645599</v>
      </c>
      <c r="L10" s="0" t="n">
        <f aca="false">-L6*L9/100</f>
        <v>-195.122315071423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17081.97498</v>
      </c>
      <c r="D11" s="0" t="n">
        <f aca="false">D8+D10+D24</f>
        <v>18363.52661472</v>
      </c>
      <c r="E11" s="0" t="n">
        <f aca="false">E8+E10+E24</f>
        <v>19187.0338330944</v>
      </c>
      <c r="F11" s="0" t="n">
        <f aca="false">F8+F10+F24</f>
        <v>20047.0399863552</v>
      </c>
      <c r="G11" s="0" t="n">
        <f aca="false">G8+G10+G24</f>
        <v>20945.1473777439</v>
      </c>
      <c r="H11" s="0" t="n">
        <f aca="false">H8+H10+H24</f>
        <v>21849.6698219283</v>
      </c>
      <c r="I11" s="0" t="n">
        <f aca="false">I8+I10+I24</f>
        <v>22827.7344313618</v>
      </c>
      <c r="J11" s="0" t="n">
        <f aca="false">J8+J10+J24</f>
        <v>23813.0044280953</v>
      </c>
      <c r="K11" s="0" t="n">
        <f aca="false">K8+K10+K24</f>
        <v>24840.5716494774</v>
      </c>
      <c r="L11" s="0" t="n">
        <f aca="false">L8+L10+L24</f>
        <v>25951.2679044993</v>
      </c>
    </row>
    <row r="12" customFormat="false" ht="15" hidden="false" customHeight="false" outlineLevel="0" collapsed="false">
      <c r="A12" s="0" t="s">
        <v>126</v>
      </c>
      <c r="C12" s="4" t="n">
        <f aca="false">-C6*Assumptions!C45/100</f>
        <v>-2824.57854</v>
      </c>
      <c r="D12" s="4" t="n">
        <f aca="false">-D6*Assumptions!D45/100</f>
        <v>-3079.59763104</v>
      </c>
      <c r="E12" s="4" t="n">
        <f aca="false">-E6*Assumptions!E45/100</f>
        <v>-3262.092305472</v>
      </c>
      <c r="F12" s="4" t="n">
        <f aca="false">-F6*Assumptions!F45/100</f>
        <v>-3485.1007976279</v>
      </c>
      <c r="G12" s="4" t="n">
        <f aca="false">-G6*Assumptions!G45/100</f>
        <v>-3688.65535748936</v>
      </c>
      <c r="H12" s="4" t="n">
        <f aca="false">-H6*Assumptions!H45/100</f>
        <v>-3936.27639540082</v>
      </c>
      <c r="I12" s="4" t="n">
        <f aca="false">-I6*Assumptions!I45/100</f>
        <v>-4163.11266225442</v>
      </c>
      <c r="J12" s="4" t="n">
        <f aca="false">-J6*Assumptions!J45/100</f>
        <v>-4329.6371687446</v>
      </c>
      <c r="K12" s="4" t="n">
        <f aca="false">-K6*Assumptions!K45/100</f>
        <v>-4502.82265549438</v>
      </c>
      <c r="L12" s="4" t="n">
        <f aca="false">-L6*Assumptions!L45/100</f>
        <v>-4682.93556171416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14257.39644</v>
      </c>
      <c r="D13" s="0" t="n">
        <f aca="false">D11+D12</f>
        <v>15283.92898368</v>
      </c>
      <c r="E13" s="0" t="n">
        <f aca="false">E11+E12</f>
        <v>15924.9415276224</v>
      </c>
      <c r="F13" s="0" t="n">
        <f aca="false">F11+F12</f>
        <v>16561.9391887273</v>
      </c>
      <c r="G13" s="0" t="n">
        <f aca="false">G11+G12</f>
        <v>17256.4920202546</v>
      </c>
      <c r="H13" s="0" t="n">
        <f aca="false">H11+H12</f>
        <v>17913.3934265274</v>
      </c>
      <c r="I13" s="0" t="n">
        <f aca="false">I11+I12</f>
        <v>18664.6217691073</v>
      </c>
      <c r="J13" s="0" t="n">
        <f aca="false">J11+J12</f>
        <v>19483.3672593507</v>
      </c>
      <c r="K13" s="0" t="n">
        <f aca="false">K11+K12</f>
        <v>20337.748993983</v>
      </c>
      <c r="L13" s="0" t="n">
        <f aca="false">L11+L12</f>
        <v>21268.3323427851</v>
      </c>
    </row>
    <row r="14" customFormat="false" ht="15" hidden="false" customHeight="false" outlineLevel="0" collapsed="false">
      <c r="A14" s="0" t="s">
        <v>113</v>
      </c>
      <c r="C14" s="4" t="n">
        <f aca="false">Assumptions!C47</f>
        <v>34.5</v>
      </c>
      <c r="D14" s="4" t="n">
        <f aca="false">Assumptions!D47</f>
        <v>34.5</v>
      </c>
      <c r="E14" s="4" t="n">
        <f aca="false">Assumptions!E47</f>
        <v>34.5</v>
      </c>
      <c r="F14" s="4" t="n">
        <f aca="false">Assumptions!F47</f>
        <v>34.5</v>
      </c>
      <c r="G14" s="4" t="n">
        <f aca="false">Assumptions!G47</f>
        <v>34.5</v>
      </c>
      <c r="H14" s="4" t="n">
        <f aca="false">Assumptions!H47</f>
        <v>34.5</v>
      </c>
      <c r="I14" s="4" t="n">
        <f aca="false">Assumptions!I47</f>
        <v>34.5</v>
      </c>
      <c r="J14" s="4" t="n">
        <f aca="false">Assumptions!J47</f>
        <v>34.5</v>
      </c>
      <c r="K14" s="4" t="n">
        <f aca="false">Assumptions!K47</f>
        <v>34.5</v>
      </c>
      <c r="L14" s="4" t="n">
        <f aca="false">Assumptions!L47</f>
        <v>34.5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9338.5946682</v>
      </c>
      <c r="D15" s="0" t="n">
        <f aca="false">D13-MAX(0,D13)*D14/100</f>
        <v>10010.9734843104</v>
      </c>
      <c r="E15" s="0" t="n">
        <f aca="false">E13-MAX(0,E13)*E14/100</f>
        <v>10430.8367005927</v>
      </c>
      <c r="F15" s="0" t="n">
        <f aca="false">F13-MAX(0,F13)*F14/100</f>
        <v>10848.0701686164</v>
      </c>
      <c r="G15" s="0" t="n">
        <f aca="false">G13-MAX(0,G13)*G14/100</f>
        <v>11303.0022732667</v>
      </c>
      <c r="H15" s="0" t="n">
        <f aca="false">H13-MAX(0,H13)*H14/100</f>
        <v>11733.2726943755</v>
      </c>
      <c r="I15" s="0" t="n">
        <f aca="false">I13-MAX(0,I13)*I14/100</f>
        <v>12225.3272587653</v>
      </c>
      <c r="J15" s="0" t="n">
        <f aca="false">J13-MAX(0,J13)*J14/100</f>
        <v>12761.6055548747</v>
      </c>
      <c r="K15" s="0" t="n">
        <f aca="false">K13-MAX(0,K13)*K14/100</f>
        <v>13321.2255910588</v>
      </c>
      <c r="L15" s="0" t="n">
        <f aca="false">L13-MAX(0,L13)*L14/100</f>
        <v>13930.7576845243</v>
      </c>
    </row>
    <row r="16" customFormat="false" ht="15" hidden="false" customHeight="false" outlineLevel="0" collapsed="false">
      <c r="A16" s="0" t="s">
        <v>129</v>
      </c>
      <c r="C16" s="0" t="n">
        <f aca="false">-C12</f>
        <v>2824.57854</v>
      </c>
      <c r="D16" s="0" t="n">
        <f aca="false">-D12</f>
        <v>3079.59763104</v>
      </c>
      <c r="E16" s="0" t="n">
        <f aca="false">-E12</f>
        <v>3262.092305472</v>
      </c>
      <c r="F16" s="0" t="n">
        <f aca="false">-F12</f>
        <v>3485.1007976279</v>
      </c>
      <c r="G16" s="0" t="n">
        <f aca="false">-G12</f>
        <v>3688.65535748936</v>
      </c>
      <c r="H16" s="0" t="n">
        <f aca="false">-H12</f>
        <v>3936.27639540082</v>
      </c>
      <c r="I16" s="0" t="n">
        <f aca="false">-I12</f>
        <v>4163.11266225442</v>
      </c>
      <c r="J16" s="0" t="n">
        <f aca="false">-J12</f>
        <v>4329.6371687446</v>
      </c>
      <c r="K16" s="0" t="n">
        <f aca="false">-K12</f>
        <v>4502.82265549438</v>
      </c>
      <c r="L16" s="0" t="n">
        <f aca="false">-L12</f>
        <v>4682.93556171416</v>
      </c>
    </row>
    <row r="17" customFormat="false" ht="15" hidden="false" customHeight="false" outlineLevel="0" collapsed="false">
      <c r="A17" s="0" t="s">
        <v>130</v>
      </c>
      <c r="C17" s="4" t="n">
        <f aca="false">-C6*Assumptions!C46/100</f>
        <v>-3497.09724</v>
      </c>
      <c r="D17" s="4" t="n">
        <f aca="false">-D6*Assumptions!D46/100</f>
        <v>-3564.34911</v>
      </c>
      <c r="E17" s="4" t="n">
        <f aca="false">-E6*Assumptions!E46/100</f>
        <v>-3706.9230744</v>
      </c>
      <c r="F17" s="4" t="n">
        <f aca="false">-F6*Assumptions!F46/100</f>
        <v>-3855.199997376</v>
      </c>
      <c r="G17" s="4" t="n">
        <f aca="false">-G6*Assumptions!G46/100</f>
        <v>-4009.40799727104</v>
      </c>
      <c r="H17" s="4" t="n">
        <f aca="false">-H6*Assumptions!H46/100</f>
        <v>-4169.78431716188</v>
      </c>
      <c r="I17" s="4" t="n">
        <f aca="false">-I6*Assumptions!I46/100</f>
        <v>-4336.57568984836</v>
      </c>
      <c r="J17" s="4" t="n">
        <f aca="false">-J6*Assumptions!J46/100</f>
        <v>-4510.03871744229</v>
      </c>
      <c r="K17" s="4" t="n">
        <f aca="false">-K6*Assumptions!K46/100</f>
        <v>-4690.44026613998</v>
      </c>
      <c r="L17" s="4" t="n">
        <f aca="false">-L6*Assumptions!L46/100</f>
        <v>-4878.05787678558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8666.0759682</v>
      </c>
      <c r="D19" s="0" t="n">
        <f aca="false">D15+D16+D17+D18</f>
        <v>9526.2220053504</v>
      </c>
      <c r="E19" s="0" t="n">
        <f aca="false">E15+E16+E17+E18</f>
        <v>9986.00593166467</v>
      </c>
      <c r="F19" s="0" t="n">
        <f aca="false">F15+F16+F17+F18</f>
        <v>10477.9709688683</v>
      </c>
      <c r="G19" s="0" t="n">
        <f aca="false">G15+G16+G17+G18</f>
        <v>10982.2496334851</v>
      </c>
      <c r="H19" s="0" t="n">
        <f aca="false">H15+H16+H17+H18</f>
        <v>11499.7647726144</v>
      </c>
      <c r="I19" s="0" t="n">
        <f aca="false">I15+I16+I17+I18</f>
        <v>12051.8642311714</v>
      </c>
      <c r="J19" s="0" t="n">
        <f aca="false">J15+J16+J17+J18</f>
        <v>12581.204006177</v>
      </c>
      <c r="K19" s="0" t="n">
        <f aca="false">K15+K16+K17+K18</f>
        <v>13133.6079804132</v>
      </c>
      <c r="L19" s="0" t="n">
        <f aca="false">L15+L16+L17+L18</f>
        <v>13735.6353694528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7950.52841119266</v>
      </c>
      <c r="D21" s="0" t="n">
        <f aca="false">D19*D20</f>
        <v>8018.03047331908</v>
      </c>
      <c r="E21" s="0" t="n">
        <f aca="false">E19*E20</f>
        <v>7711.02881222326</v>
      </c>
      <c r="F21" s="0" t="n">
        <f aca="false">F19*F20</f>
        <v>7422.85879515552</v>
      </c>
      <c r="G21" s="0" t="n">
        <f aca="false">G19*G20</f>
        <v>7137.70872896544</v>
      </c>
      <c r="H21" s="0" t="n">
        <f aca="false">H19*H20</f>
        <v>6856.93400070657</v>
      </c>
      <c r="I21" s="0" t="n">
        <f aca="false">I19*I20</f>
        <v>6592.78244865302</v>
      </c>
      <c r="J21" s="0" t="n">
        <f aca="false">J19*J20</f>
        <v>6314.08204838418</v>
      </c>
      <c r="K21" s="0" t="n">
        <f aca="false">K19*K20</f>
        <v>6047.07795945924</v>
      </c>
      <c r="L21" s="0" t="n">
        <f aca="false">L19*L20</f>
        <v>5802.08081963554</v>
      </c>
    </row>
    <row r="23" customFormat="false" ht="15" hidden="false" customHeight="false" outlineLevel="0" collapsed="false">
      <c r="A23" s="0" t="s">
        <v>110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115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116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69853.1124976945</v>
      </c>
    </row>
    <row r="31" customFormat="false" ht="15" hidden="false" customHeight="false" outlineLevel="0" collapsed="false">
      <c r="A31" s="0" t="s">
        <v>138</v>
      </c>
      <c r="B31" s="0" t="n">
        <f aca="false">L19</f>
        <v>13735.6353694528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216600.40390291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164827.624433434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164827.624433434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69624.9698356265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139478.082333321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148989.082333321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141.088146148978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0.230384112226198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1025.06105994657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1299.72798333064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143.289650924809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112632.210029513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86.0337311944109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154</v>
      </c>
    </row>
    <row r="3" customFormat="false" ht="15" hidden="false" customHeight="false" outlineLevel="0" collapsed="false">
      <c r="A3" s="2" t="s">
        <v>155</v>
      </c>
      <c r="B3" s="2" t="s">
        <v>156</v>
      </c>
      <c r="C3" s="2" t="s">
        <v>146</v>
      </c>
      <c r="D3" s="2" t="s">
        <v>157</v>
      </c>
      <c r="E3" s="2" t="s">
        <v>149</v>
      </c>
      <c r="F3" s="2" t="s">
        <v>158</v>
      </c>
    </row>
    <row r="4" customFormat="false" ht="15" hidden="false" customHeight="false" outlineLevel="0" collapsed="false">
      <c r="A4" s="0" t="s">
        <v>159</v>
      </c>
      <c r="B4" s="4" t="n">
        <f aca="false">DCF_Bear!$B$38</f>
        <v>43.1242096279921</v>
      </c>
      <c r="C4" s="0" t="n">
        <f aca="false">B4/Assumptions!$B$2-1</f>
        <v>-0.623927708834114</v>
      </c>
      <c r="D4" s="4" t="n">
        <f aca="false">Assumptions!$B$24</f>
        <v>0.25</v>
      </c>
      <c r="E4" s="4" t="n">
        <f aca="false">DCF_Bear!$B$43</f>
        <v>44.2851342318791</v>
      </c>
      <c r="F4" s="4" t="n">
        <f aca="false">DCF_Bear!$B$47</f>
        <v>30.3193487818692</v>
      </c>
    </row>
    <row r="5" customFormat="false" ht="15" hidden="false" customHeight="false" outlineLevel="0" collapsed="false">
      <c r="A5" s="0" t="s">
        <v>160</v>
      </c>
      <c r="B5" s="4" t="n">
        <f aca="false">DCF_Base!$B$38</f>
        <v>85.3339216930432</v>
      </c>
      <c r="C5" s="0" t="n">
        <f aca="false">B5/Assumptions!$B$2-1</f>
        <v>-0.255830455279993</v>
      </c>
      <c r="D5" s="4" t="n">
        <f aca="false">Assumptions!$B$38</f>
        <v>0.5</v>
      </c>
      <c r="E5" s="4" t="n">
        <f aca="false">DCF_Base!$B$43</f>
        <v>86.9649130488477</v>
      </c>
      <c r="F5" s="4" t="n">
        <f aca="false">DCF_Base!$B$47</f>
        <v>55.0858328950996</v>
      </c>
    </row>
    <row r="6" customFormat="false" ht="15" hidden="false" customHeight="false" outlineLevel="0" collapsed="false">
      <c r="A6" s="0" t="s">
        <v>161</v>
      </c>
      <c r="B6" s="4" t="n">
        <f aca="false">DCF_Bull!$B$38</f>
        <v>141.088146148978</v>
      </c>
      <c r="C6" s="0" t="n">
        <f aca="false">B6/Assumptions!$B$2-1</f>
        <v>0.230384112226198</v>
      </c>
      <c r="D6" s="4" t="n">
        <f aca="false">Assumptions!$B$52</f>
        <v>0.25</v>
      </c>
      <c r="E6" s="4" t="n">
        <f aca="false">DCF_Bull!$B$43</f>
        <v>143.289650924809</v>
      </c>
      <c r="F6" s="4" t="n">
        <f aca="false">DCF_Bull!$B$47</f>
        <v>86.0337311944109</v>
      </c>
    </row>
    <row r="8" customFormat="false" ht="15" hidden="false" customHeight="false" outlineLevel="0" collapsed="false">
      <c r="A8" s="0" t="s">
        <v>162</v>
      </c>
      <c r="B8" s="0" t="n">
        <f aca="false">SUMPRODUCT(B4:B6,D4:D6)</f>
        <v>88.7200497907642</v>
      </c>
    </row>
    <row r="9" customFormat="false" ht="15" hidden="false" customHeight="false" outlineLevel="0" collapsed="false">
      <c r="A9" s="0" t="s">
        <v>163</v>
      </c>
      <c r="B9" s="0" t="n">
        <f aca="false">SUMPRODUCT(E4:E6,D4:D6)</f>
        <v>90.3761528135958</v>
      </c>
    </row>
    <row r="10" customFormat="false" ht="15" hidden="false" customHeight="false" outlineLevel="0" collapsed="false">
      <c r="A10" s="0" t="s">
        <v>164</v>
      </c>
      <c r="B10" s="0" t="n">
        <f aca="false">1-Assumptions!$B$2/B8</f>
        <v>-0.292492511787761</v>
      </c>
    </row>
    <row r="11" customFormat="false" ht="15" hidden="false" customHeight="false" outlineLevel="0" collapsed="false">
      <c r="A11" s="0" t="s">
        <v>165</v>
      </c>
      <c r="B11" s="0" t="n">
        <f aca="false">IF(ABS(B9-B8)&gt;0.01*ABS(B8),(Assumptions!$B$2-B8)/(B9-B8)*100,"n/a")</f>
        <v>1566.92849729034</v>
      </c>
    </row>
    <row r="12" customFormat="false" ht="15" hidden="false" customHeight="false" outlineLevel="0" collapsed="false">
      <c r="A12" s="0" t="s">
        <v>166</v>
      </c>
      <c r="B12" s="0" t="n">
        <f aca="false">SUMPRODUCT(F4:F6,D4:D6)</f>
        <v>56.6311864416198</v>
      </c>
    </row>
    <row r="14" customFormat="false" ht="15" hidden="false" customHeight="false" outlineLevel="0" collapsed="false">
      <c r="A14" s="2" t="s">
        <v>167</v>
      </c>
      <c r="C14" s="0" t="s">
        <v>168</v>
      </c>
    </row>
    <row r="15" customFormat="false" ht="15" hidden="false" customHeight="false" outlineLevel="0" collapsed="false">
      <c r="A15" s="0" t="s">
        <v>169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85.3339216930432</v>
      </c>
      <c r="C15" s="3" t="n">
        <v>9</v>
      </c>
    </row>
    <row r="16" customFormat="false" ht="15" hidden="false" customHeight="false" outlineLevel="0" collapsed="false">
      <c r="A16" s="0" t="s">
        <v>170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80.4783326431204</v>
      </c>
      <c r="C16" s="3" t="n">
        <v>10</v>
      </c>
    </row>
    <row r="17" customFormat="false" ht="15" hidden="false" customHeight="false" outlineLevel="0" collapsed="false">
      <c r="A17" s="0" t="s">
        <v>171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76.0329700688314</v>
      </c>
      <c r="C17" s="3" t="n">
        <v>11</v>
      </c>
    </row>
    <row r="18" customFormat="false" ht="15" hidden="false" customHeight="false" outlineLevel="0" collapsed="false">
      <c r="A18" s="0" t="s">
        <v>172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69.2466096266704</v>
      </c>
      <c r="C18" s="3" t="n">
        <v>12</v>
      </c>
    </row>
    <row r="19" customFormat="false" ht="15" hidden="false" customHeight="false" outlineLevel="0" collapsed="false">
      <c r="A19" s="0" t="s">
        <v>173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55.0858328950996</v>
      </c>
      <c r="C19" s="3" t="n">
        <v>15</v>
      </c>
    </row>
    <row r="21" customFormat="false" ht="15" hidden="false" customHeight="false" outlineLevel="0" collapsed="false">
      <c r="A21" s="2" t="s">
        <v>174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96.4590620947892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96.4590620947892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96.4590620947892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96.4590620947892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96.4590620947892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90.6442043311373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90.6442043311373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90.6442043311373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90.6442043311373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90.6442043311373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85.3339216930432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85.3339216930432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85.3339216930432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85.3339216930432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85.3339216930432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80.3205548970662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80.4783326431204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80.4783326431204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80.4783326431204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80.4783326431204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72.8090954699126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74.3995402720458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76.0329700688314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76.0329700688314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76.0329700688314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2026-10-02T02:40:37Z</dcterms:created>
  <dc:creator>openpyxl</dc:creator>
  <dc:description/>
  <dc:language>en-NZ</dc:language>
  <cp:lastModifiedBy/>
  <dcterms:modified xsi:type="dcterms:W3CDTF">2026-10-02T02:40:37Z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