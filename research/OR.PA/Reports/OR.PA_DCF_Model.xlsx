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<sst xmlns="http://schemas.openxmlformats.org/spreadsheetml/2006/main" count="374" uniqueCount="173">
  <si>
    <t xml:space="preserve">Ticker</t>
  </si>
  <si>
    <t xml:space="preserve">OR.PA</t>
  </si>
  <si>
    <t xml:space="preserve">Company</t>
  </si>
  <si>
    <t xml:space="preserve">L'Oréal S.A.</t>
  </si>
  <si>
    <t xml:space="preserve">Valuation date</t>
  </si>
  <si>
    <t xml:space="preserve">2026-10-26</t>
  </si>
  <si>
    <t xml:space="preserve">Current price</t>
  </si>
  <si>
    <t xml:space="preserve">Price as of</t>
  </si>
  <si>
    <t xml:space="preserve">2026-10-23T15:37:31Z regular close (Euronext Paris); valuation written Monday 2026-10-26 before the open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</si>
  <si>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</si>
  <si>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</si>
  <si>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</si>
  <si>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</si>
  <si>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</si>
  <si>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</si>
  <si>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</si>
  <si>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</si>
  <si>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</si>
  <si>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</si>
  <si>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</si>
  <si>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</si>
  <si>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2026-10-25T16:47:08Z</t>
  </si>
  <si>
    <t xml:space="preserve">Drivers file</t>
  </si>
  <si>
    <t xml:space="preserve">OR.PA_Drivers.json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</si>
  <si>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</si>
  <si>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</si>
  <si>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</si>
  <si>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L'Oréal as what it is: a very high-quality, slow-compounding consumer franchise whose owner cash flow (after SBC, leases, a recurring restructuring/litigation charge and normalised tax) is ~13.5% of sales and grows mid-single digits. The house model refuses to pay more than 20x owner FCF at exit for the base case and discounts at a EUR-built 7.25%; the Sanofi and Galderma stakes are added at market because their dividends are not in the flows. The result is deliberately well below a market that pays 33x earnings for the same cash flows; the gap between house IV and price is the premium the market attaches to L'Oréal's duration and defensiveness, and the required-return table shows which discount rate the current price implies.
key_risks_to_valuation: Terminal multiple: the 20x owner-FCF cap binds in the base case; L'Oréal has traded at 25-40x earnings for a decade, so a reader who believes the premium is permanent should look at the bull case (22x) and the required-return table rather than the base IV; China / North Asia and Travel Retail: the highest-margin Luxe division's recovery from the 2023-25 trough is gradual and the single biggest swing between bear and bull; Currency: ~1pp/yr of structural FX drag is assumed in the growth path; a weaker euro would add directly to reported growth and margin; Non-operating stakes (~EUR30/share): Sanofi (EUR6.5bn) and Galderma (EUR9.8bn) are marked at 23 Oct 2026 prices and move with those shares; refresh_price.py does not update them; M&amp;A cadence: 2025-26 outflows (Kering Beauté ~EUR4bn, Galderma EUR2.3bn, Dr.G, Medik8, Color Wow, Innovist) are financed with debt that sits in the bridge while their contribution is only partly in FY0 revenue; further large deals would raise net debt ahead of the flows; Timing: FY0 is calendar 2025 while the balance sheet is 30 June 2026, overstating value by roughly EUR4/share (see inputs.timing_note)</t>
  </si>
  <si>
    <t xml:space="preserve">Data sources</t>
  </si>
  <si>
    <t xml:space="preserve">price: Yahoo Finance chart API regularMarketPrice at inputs.price_as_of; 52-week range 338.85-438.65; Sanofi (SAN.PA), Galderma (GALD.SW) and EURCHF=X from the same endpoint on the same date for the equity bridge
financials: OR.PA_Metrics.csv / core_metrics via make dcf-context (FY2013-FY2025 annuals, H1 FY2013-H1 FY2026); OR.PA_Annual_FY2025.txt (URD 2025: cash flow statement, note 3.2 D&amp;A incl ROU, note 6.2 tax analysis, EPS note); OR.PA_HalfYear_H1-2026.txt (30 June 2026 balance sheet, note 8.1 borrowings and lease debt, note 9.1 investments, note 10.3 share count)
qualitative: OR.PA_Analysis.json (2026-10-26): divisions, geographic mix, guidance (no numerical FY2026 target; 'another year of growth in sales and profit'), bull/bear points</t>
  </si>
  <si>
    <t xml:space="preserve">Scenario narrative: bear</t>
  </si>
  <si>
    <t xml:space="preserve">China recovery stalls, strong euro, indie/DTC and Chinese-champion share loss force A&amp;P up: 2.5% reported growth after FY2026, adjusted EBITDA margin back to 23%, 18x exit. A de-rating, not a solvency event.</t>
  </si>
  <si>
    <t xml:space="preserve">Scenario narrative: base</t>
  </si>
  <si>
    <t xml:space="preserve">L'Oréal keeps outperforming a mid-single-digit beauty market by 1-2pp LFL, with ~1pp of that given back to currency on a 66%-ex-eurozone sales base: reported growth 6% in FY2026 (H1 +5.8% reported, Kering Beauté consolidated from April), ~5% through the Gucci-licence years (from July 2027) and decelerating to 3% by year 10. The adjusted EBITDA margin rises ~15-20bp a year to a 25% plateau as Dermatological Beauty and Professional Products outgrow Consumer Products. Tax normalises to 25% after the French surcharge, capex stays 3.5% of sales, leases are an operating cost and the Sanofi and Galderma stakes are carried at market in the bridge. Terminal value at the 20x house cap (Gordon at 7.25%/2.5% would give 21.6x).</t>
  </si>
  <si>
    <t xml:space="preserve">Scenario narrative: bull</t>
  </si>
  <si>
    <t xml:space="preserve">Full China/Travel Retail recovery, double-digit derm and professional, Luxe re-accelerating on Creed/Kering Beauté/Gucci, emerging markets at 40% of growth: 6.5-7% reported growth for three years, adjusted EBITDA margin to 26.5%, 22x exit.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</si>
  <si>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</si>
  <si>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</si>
  <si>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</si>
  <si>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</si>
  <si>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</si>
  <si>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</si>
  <si>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</si>
  <si>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</si>
  <si>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</si>
  <si>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</si>
  <si>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</si>
  <si>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</si>
  <si>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</si>
  <si>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</si>
  <si>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</si>
  <si>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</si>
  <si>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</si>
  <si>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</si>
  <si>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</si>
  <si>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</si>
  <si>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</si>
  <si>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</si>
  <si>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</si>
  <si>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</si>
  <si>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</si>
  <si>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</si>
  <si>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</si>
  <si>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EPSBasic</t>
  </si>
  <si>
    <t xml:space="preserve">SegmentRevenueEurope</t>
  </si>
  <si>
    <t xml:space="preserve">SegmentRevenueLatinAmerica</t>
  </si>
  <si>
    <t xml:space="preserve">SegmentRevenueNorthAmerica</t>
  </si>
  <si>
    <t xml:space="preserve">TotalEquityInclNCI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</si>
  <si>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</si>
  <si>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</si>
  <si>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</si>
  <si>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</si>
  <si>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</si>
  <si>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</si>
  <si>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</si>
  <si>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</si>
  <si>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</si>
  <si>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</si>
  <si>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</si>
  <si>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</si>
  <si>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</si>
  <si>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</si>
  <si>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</si>
  <si>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</si>
  <si>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</si>
  <si>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</si>
  <si>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</si>
  <si>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</si>
  <si>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</si>
  <si>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</si>
  <si>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</si>
  <si>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</si>
  <si>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</si>
  <si>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</si>
  <si>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</si>
  <si>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</si>
  <si>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</si>
  <si>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</si>
  <si>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</si>
  <si>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</si>
  <si>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</si>
  <si>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</si>
  <si>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</si>
  <si>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</si>
  <si>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</si>
  <si>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</si>
  <si>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</si>
  <si>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</si>
  <si>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</si>
  <si>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</si>
  <si>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</si>
  <si>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</si>
  <si>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</si>
  <si>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</si>
  <si>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</si>
  <si>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</si>
  <si>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</si>
  <si>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</si>
  <si>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OR.PA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</si>
  <si>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</si>
  <si>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</si>
  <si>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</si>
  <si>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</si>
  <si>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</si>
  <si>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</si>
  <si>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</si>
  <si>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</si>
  <si>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</si>
  <si>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</si>
  <si>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</si>
  <si>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</si>
  <si>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</si>
  <si>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</si>
  <si>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</si>
  <si>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</si>
  <si>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</si>
  <si>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</si>
  <si>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</si>
  <si>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</si>
  <si>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</si>
  <si>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</si>
  <si>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</si>
  <si>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</si>
  <si>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</si>
  <si>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</si>
  <si>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</si>
  <si>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</si>
  <si>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</si>
  <si>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</si>
  <si>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OR.PA owner-FCF component DCF: base case (millions, EUR)</t>
  </si>
  <si>
    <t xml:space="preserve">OR.PA owner-FCF component DCF: bull case (millions, EUR)</t>
  </si>
  <si>
    <t xml:space="preserve">OR.PA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</si>
  <si>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</si>
  <si>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</si>
  <si>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</si>
  <si>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</si>
  <si>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</si>
  <si>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</si>
  <si>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</si>
  <si>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</si>
  <si>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</si>
  <si>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</si>
  <si>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</si>
  <si>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</si>
  <si>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</si>
  <si>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</si>
  <si>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7.25%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</si>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</sst>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436.3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  <c r="AG1" s="2" t="s">
        <v>67</v>
      </c>
    </row>
    <row r="2" customFormat="false" ht="15" hidden="false" customHeight="false" outlineLevel="0" collapsed="false">
      <c r="A2" s="0" t="s">
        <v>68</v>
      </c>
      <c r="B2" s="0" t="n">
        <v>22124.2</v>
      </c>
      <c r="C2" s="0" t="n">
        <v>6379.4</v>
      </c>
      <c r="D2" s="0" t="n">
        <v>15744.8</v>
      </c>
      <c r="E2" s="0" t="n">
        <v>71.2</v>
      </c>
      <c r="F2" s="0" t="n">
        <v>3760.4</v>
      </c>
      <c r="G2" s="0" t="n">
        <v>17</v>
      </c>
      <c r="I2" s="0" t="n">
        <v>2958.2</v>
      </c>
      <c r="J2" s="0" t="n">
        <v>13.4</v>
      </c>
      <c r="K2" s="0" t="n">
        <v>4.87</v>
      </c>
      <c r="L2" s="0" t="n">
        <v>3690.3</v>
      </c>
      <c r="M2" s="0" t="n">
        <v>1018.8</v>
      </c>
      <c r="N2" s="0" t="n">
        <v>2671.5</v>
      </c>
      <c r="O2" s="0" t="n">
        <v>22637</v>
      </c>
      <c r="P2" s="0" t="n">
        <v>30878.9</v>
      </c>
      <c r="Q2" s="0" t="n">
        <v>8236.1</v>
      </c>
      <c r="R2" s="0" t="n">
        <v>339.1</v>
      </c>
      <c r="S2" s="0" t="n">
        <v>2659.3</v>
      </c>
      <c r="T2" s="0" t="n">
        <v>599.794</v>
      </c>
      <c r="U2" s="0" t="n">
        <v>97.2</v>
      </c>
      <c r="AA2" s="0" t="s">
        <v>17</v>
      </c>
      <c r="AB2" s="0" t="s">
        <v>14</v>
      </c>
      <c r="AC2" s="0" t="n">
        <v>4.95</v>
      </c>
      <c r="AF2" s="0" t="n">
        <v>5538.2</v>
      </c>
      <c r="AG2" s="0" t="n">
        <v>22642.8</v>
      </c>
    </row>
    <row r="3" customFormat="false" ht="15" hidden="false" customHeight="false" outlineLevel="0" collapsed="false">
      <c r="A3" s="0" t="s">
        <v>69</v>
      </c>
      <c r="B3" s="0" t="n">
        <v>22532</v>
      </c>
      <c r="C3" s="0" t="n">
        <v>6500.7</v>
      </c>
      <c r="D3" s="0" t="n">
        <v>16031.3</v>
      </c>
      <c r="E3" s="0" t="n">
        <v>71.1</v>
      </c>
      <c r="F3" s="0" t="n">
        <v>3890.7</v>
      </c>
      <c r="G3" s="0" t="n">
        <v>17.3</v>
      </c>
      <c r="I3" s="0" t="n">
        <v>4910.2</v>
      </c>
      <c r="J3" s="0" t="n">
        <v>21.8</v>
      </c>
      <c r="K3" s="0" t="n">
        <v>8.39</v>
      </c>
      <c r="L3" s="0" t="n">
        <v>3864.1</v>
      </c>
      <c r="M3" s="0" t="n">
        <v>1008.2</v>
      </c>
      <c r="N3" s="0" t="n">
        <v>2855.9</v>
      </c>
      <c r="O3" s="0" t="n">
        <v>20193.3</v>
      </c>
      <c r="P3" s="0" t="n">
        <v>32058.8</v>
      </c>
      <c r="Q3" s="0" t="n">
        <v>11861.9</v>
      </c>
      <c r="R3" s="0" t="n">
        <v>2588.3</v>
      </c>
      <c r="S3" s="0" t="n">
        <v>1917</v>
      </c>
      <c r="T3" s="0" t="n">
        <v>554.242</v>
      </c>
      <c r="U3" s="0" t="n">
        <v>113.5</v>
      </c>
      <c r="AA3" s="0" t="s">
        <v>17</v>
      </c>
      <c r="AB3" s="0" t="s">
        <v>14</v>
      </c>
      <c r="AC3" s="0" t="n">
        <v>8.51</v>
      </c>
      <c r="AF3" s="0" t="n">
        <v>5577.5</v>
      </c>
      <c r="AG3" s="0" t="n">
        <v>20196.9</v>
      </c>
    </row>
    <row r="4" customFormat="false" ht="15" hidden="false" customHeight="false" outlineLevel="0" collapsed="false">
      <c r="A4" s="0" t="s">
        <v>70</v>
      </c>
      <c r="B4" s="0" t="n">
        <v>25257.4</v>
      </c>
      <c r="C4" s="0" t="n">
        <v>7277.4</v>
      </c>
      <c r="D4" s="0" t="n">
        <v>17980</v>
      </c>
      <c r="E4" s="0" t="n">
        <v>71.2</v>
      </c>
      <c r="F4" s="0" t="n">
        <v>4387.7</v>
      </c>
      <c r="G4" s="0" t="n">
        <v>17.4</v>
      </c>
      <c r="I4" s="0" t="n">
        <v>3297.4</v>
      </c>
      <c r="J4" s="0" t="n">
        <v>13.1</v>
      </c>
      <c r="K4" s="0" t="n">
        <v>5.84</v>
      </c>
      <c r="L4" s="0" t="n">
        <v>4203.1</v>
      </c>
      <c r="M4" s="0" t="n">
        <v>1172.1</v>
      </c>
      <c r="N4" s="0" t="n">
        <v>3031</v>
      </c>
      <c r="O4" s="0" t="n">
        <v>23613.9</v>
      </c>
      <c r="P4" s="0" t="n">
        <v>33711.3</v>
      </c>
      <c r="Q4" s="0" t="n">
        <v>10094.3</v>
      </c>
      <c r="R4" s="0" t="n">
        <v>781.8</v>
      </c>
      <c r="S4" s="0" t="n">
        <v>1399.8</v>
      </c>
      <c r="T4" s="0" t="n">
        <v>559.988</v>
      </c>
      <c r="U4" s="0" t="n">
        <v>117.6</v>
      </c>
      <c r="AA4" s="0" t="s">
        <v>17</v>
      </c>
      <c r="AB4" s="0" t="s">
        <v>14</v>
      </c>
      <c r="AC4" s="0" t="n">
        <v>5.92</v>
      </c>
      <c r="AF4" s="0" t="n">
        <v>6848.4</v>
      </c>
      <c r="AG4" s="0" t="n">
        <v>23617</v>
      </c>
    </row>
    <row r="5" customFormat="false" ht="15" hidden="false" customHeight="false" outlineLevel="0" collapsed="false">
      <c r="A5" s="0" t="s">
        <v>71</v>
      </c>
      <c r="B5" s="0" t="n">
        <v>25837.1</v>
      </c>
      <c r="C5" s="0" t="n">
        <v>7341.7</v>
      </c>
      <c r="D5" s="0" t="n">
        <v>18495.4</v>
      </c>
      <c r="E5" s="0" t="n">
        <v>71.6</v>
      </c>
      <c r="F5" s="0" t="n">
        <v>4539.9</v>
      </c>
      <c r="G5" s="0" t="n">
        <v>17.6</v>
      </c>
      <c r="I5" s="0" t="n">
        <v>3105.8</v>
      </c>
      <c r="J5" s="0" t="n">
        <v>12</v>
      </c>
      <c r="K5" s="0" t="n">
        <v>5.5</v>
      </c>
      <c r="L5" s="0" t="n">
        <v>4704.6</v>
      </c>
      <c r="M5" s="0" t="n">
        <v>1386.5</v>
      </c>
      <c r="N5" s="0" t="n">
        <v>3318.1</v>
      </c>
      <c r="O5" s="0" t="n">
        <v>24501.9</v>
      </c>
      <c r="P5" s="0" t="n">
        <v>35630.2</v>
      </c>
      <c r="Q5" s="0" t="n">
        <v>11126.2</v>
      </c>
      <c r="R5" s="0" t="n">
        <v>1264.6</v>
      </c>
      <c r="S5" s="0" t="n">
        <v>1746</v>
      </c>
      <c r="T5" s="0" t="n">
        <v>560.098</v>
      </c>
      <c r="U5" s="0" t="n">
        <v>120.4</v>
      </c>
      <c r="AA5" s="0" t="s">
        <v>17</v>
      </c>
      <c r="AB5" s="0" t="s">
        <v>14</v>
      </c>
      <c r="AC5" s="0" t="n">
        <v>5.55</v>
      </c>
      <c r="AG5" s="0" t="n">
        <v>24504</v>
      </c>
    </row>
    <row r="6" customFormat="false" ht="15" hidden="false" customHeight="false" outlineLevel="0" collapsed="false">
      <c r="A6" s="0" t="s">
        <v>72</v>
      </c>
      <c r="B6" s="0" t="n">
        <v>26023.7</v>
      </c>
      <c r="C6" s="0" t="n">
        <v>7359.2</v>
      </c>
      <c r="D6" s="0" t="n">
        <v>18664.5</v>
      </c>
      <c r="E6" s="0" t="n">
        <v>71.7</v>
      </c>
      <c r="F6" s="0" t="n">
        <v>4676.3</v>
      </c>
      <c r="G6" s="0" t="n">
        <v>18</v>
      </c>
      <c r="I6" s="0" t="n">
        <v>3581.4</v>
      </c>
      <c r="J6" s="0" t="n">
        <v>13.8</v>
      </c>
      <c r="K6" s="0" t="n">
        <v>6.36</v>
      </c>
      <c r="L6" s="0" t="n">
        <v>5196.6</v>
      </c>
      <c r="M6" s="0" t="n">
        <v>1263.5</v>
      </c>
      <c r="N6" s="0" t="n">
        <v>3933.1</v>
      </c>
      <c r="O6" s="0" t="n">
        <v>24815.7</v>
      </c>
      <c r="P6" s="0" t="n">
        <v>35339.1</v>
      </c>
      <c r="Q6" s="0" t="n">
        <v>10520.6</v>
      </c>
      <c r="R6" s="0" t="n">
        <v>1174.4</v>
      </c>
      <c r="S6" s="0" t="n">
        <v>3046.6</v>
      </c>
      <c r="T6" s="0" t="n">
        <v>559.748</v>
      </c>
      <c r="U6" s="0" t="n">
        <v>126.7</v>
      </c>
      <c r="AA6" s="0" t="s">
        <v>17</v>
      </c>
      <c r="AB6" s="0" t="s">
        <v>14</v>
      </c>
      <c r="AC6" s="0" t="n">
        <v>6.4</v>
      </c>
      <c r="AE6" s="0" t="n">
        <v>1952.9</v>
      </c>
      <c r="AF6" s="0" t="n">
        <v>7350.5</v>
      </c>
      <c r="AG6" s="0" t="n">
        <v>24818.5</v>
      </c>
    </row>
    <row r="7" customFormat="false" ht="15" hidden="false" customHeight="false" outlineLevel="0" collapsed="false">
      <c r="A7" s="0" t="s">
        <v>73</v>
      </c>
      <c r="B7" s="0" t="n">
        <v>26937.4</v>
      </c>
      <c r="C7" s="0" t="n">
        <v>7331.6</v>
      </c>
      <c r="D7" s="0" t="n">
        <v>19605.8</v>
      </c>
      <c r="E7" s="0" t="n">
        <v>72.8</v>
      </c>
      <c r="F7" s="0" t="n">
        <v>4922</v>
      </c>
      <c r="G7" s="0" t="n">
        <v>18.3</v>
      </c>
      <c r="I7" s="0" t="n">
        <v>3895.4</v>
      </c>
      <c r="J7" s="0" t="n">
        <v>14.5</v>
      </c>
      <c r="K7" s="0" t="n">
        <v>6.92</v>
      </c>
      <c r="L7" s="0" t="n">
        <v>5291.9</v>
      </c>
      <c r="M7" s="0" t="n">
        <v>1416.1</v>
      </c>
      <c r="N7" s="0" t="n">
        <v>3875.8</v>
      </c>
      <c r="O7" s="0" t="n">
        <v>26928.4</v>
      </c>
      <c r="P7" s="0" t="n">
        <v>38457.5</v>
      </c>
      <c r="Q7" s="0" t="n">
        <v>11523.9</v>
      </c>
      <c r="R7" s="0" t="n">
        <v>1241.3</v>
      </c>
      <c r="S7" s="0" t="n">
        <v>3992</v>
      </c>
      <c r="T7" s="0" t="n">
        <v>559.626</v>
      </c>
      <c r="U7" s="0" t="n">
        <v>126.4</v>
      </c>
      <c r="AA7" s="0" t="s">
        <v>17</v>
      </c>
      <c r="AB7" s="0" t="s">
        <v>14</v>
      </c>
      <c r="AC7" s="0" t="n">
        <v>6.96</v>
      </c>
      <c r="AE7" s="0" t="n">
        <v>1784.8</v>
      </c>
      <c r="AF7" s="0" t="n">
        <v>7234.3</v>
      </c>
      <c r="AG7" s="0" t="n">
        <v>26933.6</v>
      </c>
    </row>
    <row r="8" customFormat="false" ht="15" hidden="false" customHeight="false" outlineLevel="0" collapsed="false">
      <c r="A8" s="0" t="s">
        <v>74</v>
      </c>
      <c r="B8" s="0" t="n">
        <v>29873.6</v>
      </c>
      <c r="C8" s="0" t="n">
        <v>8064.7</v>
      </c>
      <c r="D8" s="0" t="n">
        <v>21808.9</v>
      </c>
      <c r="E8" s="0" t="n">
        <v>73</v>
      </c>
      <c r="F8" s="0" t="n">
        <v>5547.5</v>
      </c>
      <c r="G8" s="0" t="n">
        <v>18.6</v>
      </c>
      <c r="I8" s="0" t="n">
        <v>3750</v>
      </c>
      <c r="J8" s="0" t="n">
        <v>12.6</v>
      </c>
      <c r="K8" s="0" t="n">
        <v>6.66</v>
      </c>
      <c r="L8" s="0" t="n">
        <v>6262.8</v>
      </c>
      <c r="M8" s="0" t="n">
        <v>1231</v>
      </c>
      <c r="N8" s="0" t="n">
        <v>5031.8</v>
      </c>
      <c r="O8" s="0" t="n">
        <v>29419.3</v>
      </c>
      <c r="P8" s="0" t="n">
        <v>43809.8</v>
      </c>
      <c r="Q8" s="0" t="n">
        <v>14383.8</v>
      </c>
      <c r="R8" s="0" t="n">
        <v>850.8</v>
      </c>
      <c r="S8" s="0" t="n">
        <v>5286</v>
      </c>
      <c r="T8" s="0" t="n">
        <v>558.117</v>
      </c>
      <c r="U8" s="0" t="n">
        <v>144.4</v>
      </c>
      <c r="AA8" s="0" t="s">
        <v>17</v>
      </c>
      <c r="AB8" s="0" t="s">
        <v>14</v>
      </c>
      <c r="AC8" s="0" t="n">
        <v>6.7</v>
      </c>
      <c r="AF8" s="0" t="n">
        <v>7567</v>
      </c>
      <c r="AG8" s="0" t="n">
        <v>29426</v>
      </c>
    </row>
    <row r="9" customFormat="false" ht="15" hidden="false" customHeight="false" outlineLevel="0" collapsed="false">
      <c r="A9" s="0" t="s">
        <v>75</v>
      </c>
      <c r="B9" s="0" t="n">
        <v>27992.1</v>
      </c>
      <c r="C9" s="0" t="n">
        <v>7532.3</v>
      </c>
      <c r="D9" s="0" t="n">
        <v>20459.8</v>
      </c>
      <c r="E9" s="0" t="n">
        <v>73.1</v>
      </c>
      <c r="F9" s="0" t="n">
        <v>5209</v>
      </c>
      <c r="G9" s="0" t="n">
        <v>18.6</v>
      </c>
      <c r="I9" s="0" t="n">
        <v>3563.4</v>
      </c>
      <c r="J9" s="0" t="n">
        <v>12.7</v>
      </c>
      <c r="K9" s="0" t="n">
        <v>6.34</v>
      </c>
      <c r="L9" s="0" t="n">
        <v>6453.3</v>
      </c>
      <c r="M9" s="0" t="n">
        <v>972.4</v>
      </c>
      <c r="N9" s="0" t="n">
        <v>5480.9</v>
      </c>
      <c r="O9" s="0" t="n">
        <v>28993</v>
      </c>
      <c r="P9" s="0" t="n">
        <v>43606.9</v>
      </c>
      <c r="Q9" s="0" t="n">
        <v>14608.1</v>
      </c>
      <c r="R9" s="0" t="n">
        <v>864.9</v>
      </c>
      <c r="S9" s="0" t="n">
        <v>6405.9</v>
      </c>
      <c r="T9" s="0" t="n">
        <v>559.872</v>
      </c>
      <c r="U9" s="0" t="n">
        <v>129.7</v>
      </c>
      <c r="AA9" s="0" t="s">
        <v>17</v>
      </c>
      <c r="AB9" s="0" t="s">
        <v>14</v>
      </c>
      <c r="AC9" s="0" t="n">
        <v>6.37</v>
      </c>
      <c r="AD9" s="0" t="n">
        <v>9199.3</v>
      </c>
      <c r="AE9" s="0" t="n">
        <v>1469.3</v>
      </c>
      <c r="AF9" s="0" t="n">
        <v>6903.4</v>
      </c>
      <c r="AG9" s="0" t="n">
        <v>28998.8</v>
      </c>
    </row>
    <row r="10" customFormat="false" ht="15" hidden="false" customHeight="false" outlineLevel="0" collapsed="false">
      <c r="A10" s="0" t="s">
        <v>76</v>
      </c>
      <c r="B10" s="0" t="n">
        <v>32287.6</v>
      </c>
      <c r="C10" s="0" t="n">
        <v>8433.3</v>
      </c>
      <c r="D10" s="0" t="n">
        <v>23854.3</v>
      </c>
      <c r="E10" s="0" t="n">
        <v>73.9</v>
      </c>
      <c r="F10" s="0" t="n">
        <v>6160.3</v>
      </c>
      <c r="G10" s="0" t="n">
        <v>19.1</v>
      </c>
      <c r="I10" s="0" t="n">
        <v>4597.1</v>
      </c>
      <c r="J10" s="0" t="n">
        <v>14.2</v>
      </c>
      <c r="K10" s="0" t="n">
        <v>8.21</v>
      </c>
      <c r="L10" s="0" t="n">
        <v>6728.4</v>
      </c>
      <c r="M10" s="0" t="n">
        <v>1075.2</v>
      </c>
      <c r="N10" s="0" t="n">
        <v>5653.2</v>
      </c>
      <c r="O10" s="0" t="n">
        <v>23585.7</v>
      </c>
      <c r="P10" s="0" t="n">
        <v>43013.4</v>
      </c>
      <c r="Q10" s="0" t="n">
        <v>19420.8</v>
      </c>
      <c r="R10" s="0" t="n">
        <v>4630.1</v>
      </c>
      <c r="S10" s="0" t="n">
        <v>2713.8</v>
      </c>
      <c r="T10" s="0" t="n">
        <v>535.412</v>
      </c>
      <c r="U10" s="0" t="n">
        <v>155.2</v>
      </c>
      <c r="AA10" s="0" t="s">
        <v>17</v>
      </c>
      <c r="AB10" s="0" t="s">
        <v>14</v>
      </c>
      <c r="AC10" s="0" t="n">
        <v>8.24</v>
      </c>
      <c r="AD10" s="0" t="n">
        <v>10184.8</v>
      </c>
      <c r="AE10" s="0" t="n">
        <v>1771.5</v>
      </c>
      <c r="AF10" s="0" t="n">
        <v>8155.9</v>
      </c>
      <c r="AG10" s="0" t="n">
        <v>23592.6</v>
      </c>
    </row>
    <row r="11" customFormat="false" ht="15" hidden="false" customHeight="false" outlineLevel="0" collapsed="false">
      <c r="A11" s="0" t="s">
        <v>77</v>
      </c>
      <c r="B11" s="0" t="n">
        <v>38260.6</v>
      </c>
      <c r="C11" s="0" t="n">
        <v>10577.4</v>
      </c>
      <c r="D11" s="0" t="n">
        <v>27683.3</v>
      </c>
      <c r="E11" s="0" t="n">
        <v>72.4</v>
      </c>
      <c r="F11" s="0" t="n">
        <v>7456.9</v>
      </c>
      <c r="G11" s="0" t="n">
        <v>19.5</v>
      </c>
      <c r="I11" s="0" t="n">
        <v>5706.6</v>
      </c>
      <c r="J11" s="0" t="n">
        <v>14.9</v>
      </c>
      <c r="K11" s="0" t="n">
        <v>10.61</v>
      </c>
      <c r="L11" s="0" t="n">
        <v>6278.3</v>
      </c>
      <c r="M11" s="0" t="n">
        <v>1343.2</v>
      </c>
      <c r="N11" s="0" t="n">
        <v>4935.1</v>
      </c>
      <c r="O11" s="0" t="n">
        <v>27178.5</v>
      </c>
      <c r="P11" s="0" t="n">
        <v>46844.2</v>
      </c>
      <c r="Q11" s="0" t="n">
        <v>19657.7</v>
      </c>
      <c r="R11" s="0" t="n">
        <v>4030.4</v>
      </c>
      <c r="S11" s="0" t="n">
        <v>2617.7</v>
      </c>
      <c r="T11" s="0" t="n">
        <v>535.187</v>
      </c>
      <c r="U11" s="0" t="n">
        <v>169</v>
      </c>
      <c r="AA11" s="0" t="s">
        <v>17</v>
      </c>
      <c r="AB11" s="0" t="s">
        <v>14</v>
      </c>
      <c r="AC11" s="0" t="n">
        <v>10.65</v>
      </c>
      <c r="AD11" s="0" t="n">
        <v>11436.7</v>
      </c>
      <c r="AE11" s="0" t="n">
        <v>2376.2</v>
      </c>
      <c r="AF11" s="0" t="n">
        <v>10164</v>
      </c>
      <c r="AG11" s="0" t="n">
        <v>27186.5</v>
      </c>
    </row>
    <row r="12" customFormat="false" ht="15" hidden="false" customHeight="false" outlineLevel="0" collapsed="false">
      <c r="A12" s="0" t="s">
        <v>78</v>
      </c>
      <c r="B12" s="0" t="n">
        <v>41182.5</v>
      </c>
      <c r="C12" s="0" t="n">
        <v>10767</v>
      </c>
      <c r="D12" s="0" t="n">
        <v>30415.5</v>
      </c>
      <c r="E12" s="0" t="n">
        <v>73.9</v>
      </c>
      <c r="F12" s="0" t="n">
        <v>8143.3</v>
      </c>
      <c r="G12" s="0" t="n">
        <v>19.8</v>
      </c>
      <c r="I12" s="0" t="n">
        <v>6184</v>
      </c>
      <c r="J12" s="0" t="n">
        <v>15</v>
      </c>
      <c r="K12" s="0" t="n">
        <v>11.52</v>
      </c>
      <c r="L12" s="0" t="n">
        <v>7604.6</v>
      </c>
      <c r="M12" s="0" t="n">
        <v>1488.7</v>
      </c>
      <c r="N12" s="0" t="n">
        <v>6115.9</v>
      </c>
      <c r="O12" s="0" t="n">
        <v>29074.3</v>
      </c>
      <c r="P12" s="0" t="n">
        <v>51855.1</v>
      </c>
      <c r="Q12" s="0" t="n">
        <v>22773.5</v>
      </c>
      <c r="R12" s="0" t="n">
        <v>6838.2</v>
      </c>
      <c r="S12" s="0" t="n">
        <v>4288.1</v>
      </c>
      <c r="T12" s="0" t="n">
        <v>534.725</v>
      </c>
      <c r="U12" s="0" t="n">
        <v>168.5</v>
      </c>
      <c r="AA12" s="0" t="s">
        <v>17</v>
      </c>
      <c r="AB12" s="0" t="s">
        <v>14</v>
      </c>
      <c r="AC12" s="0" t="n">
        <v>11.55</v>
      </c>
      <c r="AD12" s="0" t="n">
        <v>13007.8</v>
      </c>
      <c r="AE12" s="0" t="n">
        <v>2916.9</v>
      </c>
      <c r="AF12" s="0" t="n">
        <v>11147.2</v>
      </c>
      <c r="AG12" s="0" t="n">
        <v>29081.6</v>
      </c>
    </row>
    <row r="13" customFormat="false" ht="15" hidden="false" customHeight="false" outlineLevel="0" collapsed="false">
      <c r="A13" s="0" t="s">
        <v>79</v>
      </c>
      <c r="B13" s="0" t="n">
        <v>43486.8</v>
      </c>
      <c r="C13" s="0" t="n">
        <v>11227</v>
      </c>
      <c r="D13" s="0" t="n">
        <v>32259.8</v>
      </c>
      <c r="E13" s="0" t="n">
        <v>74.2</v>
      </c>
      <c r="F13" s="0" t="n">
        <v>8687.5</v>
      </c>
      <c r="G13" s="0" t="n">
        <v>20</v>
      </c>
      <c r="I13" s="0" t="n">
        <v>6408.7</v>
      </c>
      <c r="J13" s="0" t="n">
        <v>14.7</v>
      </c>
      <c r="K13" s="0" t="n">
        <v>11.95</v>
      </c>
      <c r="L13" s="0" t="n">
        <v>8286</v>
      </c>
      <c r="M13" s="0" t="n">
        <v>1641.7</v>
      </c>
      <c r="N13" s="0" t="n">
        <v>6644.3</v>
      </c>
      <c r="O13" s="0" t="n">
        <v>33133.3</v>
      </c>
      <c r="P13" s="0" t="n">
        <v>56353.4</v>
      </c>
      <c r="Q13" s="0" t="n">
        <v>23215.6</v>
      </c>
      <c r="R13" s="0" t="n">
        <v>6568.4</v>
      </c>
      <c r="S13" s="0" t="n">
        <v>4052.3</v>
      </c>
      <c r="T13" s="0" t="n">
        <v>534.312</v>
      </c>
      <c r="U13" s="0" t="n">
        <v>239.1</v>
      </c>
      <c r="AA13" s="0" t="s">
        <v>17</v>
      </c>
      <c r="AB13" s="0" t="s">
        <v>14</v>
      </c>
      <c r="AC13" s="0" t="n">
        <v>11.99</v>
      </c>
      <c r="AD13" s="0" t="n">
        <v>14211.4</v>
      </c>
      <c r="AE13" s="0" t="n">
        <v>3303.9</v>
      </c>
      <c r="AF13" s="0" t="n">
        <v>11805.2</v>
      </c>
      <c r="AG13" s="0" t="n">
        <v>33137.8</v>
      </c>
    </row>
    <row r="14" customFormat="false" ht="15" hidden="false" customHeight="false" outlineLevel="0" collapsed="false">
      <c r="A14" s="0" t="s">
        <v>80</v>
      </c>
      <c r="B14" s="0" t="n">
        <v>44052</v>
      </c>
      <c r="C14" s="0" t="n">
        <v>11313.4</v>
      </c>
      <c r="D14" s="0" t="n">
        <v>32738.6</v>
      </c>
      <c r="E14" s="0" t="n">
        <v>74.3</v>
      </c>
      <c r="F14" s="0" t="n">
        <v>8891.9</v>
      </c>
      <c r="G14" s="0" t="n">
        <v>20.2</v>
      </c>
      <c r="I14" s="0" t="n">
        <v>6127.2</v>
      </c>
      <c r="J14" s="0" t="n">
        <v>13.9</v>
      </c>
      <c r="K14" s="0" t="n">
        <v>11.44</v>
      </c>
      <c r="L14" s="0" t="n">
        <v>8656.9</v>
      </c>
      <c r="M14" s="0" t="n">
        <v>1495.3</v>
      </c>
      <c r="N14" s="0" t="n">
        <v>7161.6</v>
      </c>
      <c r="O14" s="0" t="n">
        <v>34953.2</v>
      </c>
      <c r="P14" s="0" t="n">
        <v>61821.2</v>
      </c>
      <c r="Q14" s="0" t="n">
        <v>26817.4</v>
      </c>
      <c r="R14" s="0" t="n">
        <v>10118.6</v>
      </c>
      <c r="S14" s="0" t="n">
        <v>9865</v>
      </c>
      <c r="T14" s="0" t="n">
        <v>533.783</v>
      </c>
      <c r="U14" s="0" t="n">
        <v>248.3</v>
      </c>
      <c r="AA14" s="0" t="s">
        <v>17</v>
      </c>
      <c r="AB14" s="0" t="s">
        <v>14</v>
      </c>
      <c r="AC14" s="0" t="n">
        <v>11.48</v>
      </c>
      <c r="AD14" s="0" t="n">
        <v>14864.5</v>
      </c>
      <c r="AE14" s="0" t="n">
        <v>3279.9</v>
      </c>
      <c r="AG14" s="0" t="n">
        <v>35003.8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81</v>
      </c>
      <c r="B1" s="2" t="s">
        <v>82</v>
      </c>
    </row>
    <row r="2" customFormat="false" ht="15" hidden="false" customHeight="false" outlineLevel="0" collapsed="false">
      <c r="A2" s="0" t="s">
        <v>83</v>
      </c>
      <c r="B2" s="3" t="n">
        <v>436.3</v>
      </c>
    </row>
    <row r="3" customFormat="false" ht="15" hidden="false" customHeight="false" outlineLevel="0" collapsed="false">
      <c r="A3" s="0" t="s">
        <v>84</v>
      </c>
      <c r="B3" s="3" t="n">
        <v>533.8</v>
      </c>
    </row>
    <row r="4" customFormat="false" ht="15" hidden="false" customHeight="false" outlineLevel="0" collapsed="false">
      <c r="A4" s="0" t="s">
        <v>85</v>
      </c>
      <c r="B4" s="3" t="n">
        <v>10288.4</v>
      </c>
    </row>
    <row r="5" customFormat="false" ht="15" hidden="false" customHeight="false" outlineLevel="0" collapsed="false">
      <c r="A5" s="0" t="s">
        <v>86</v>
      </c>
      <c r="B5" s="3" t="n">
        <v>16884.1</v>
      </c>
    </row>
    <row r="6" customFormat="false" ht="15" hidden="false" customHeight="false" outlineLevel="0" collapsed="false">
      <c r="A6" s="0" t="s">
        <v>87</v>
      </c>
      <c r="B6" s="3" t="n">
        <v>15</v>
      </c>
    </row>
    <row r="7" customFormat="false" ht="15" hidden="false" customHeight="false" outlineLevel="0" collapsed="false">
      <c r="A7" s="0" t="s">
        <v>88</v>
      </c>
      <c r="B7" s="3" t="n">
        <v>44052</v>
      </c>
    </row>
    <row r="8" customFormat="false" ht="15" hidden="false" customHeight="false" outlineLevel="0" collapsed="false">
      <c r="A8" s="0" t="s">
        <v>89</v>
      </c>
      <c r="B8" s="3" t="s">
        <v>80</v>
      </c>
    </row>
    <row r="9" customFormat="false" ht="15" hidden="false" customHeight="false" outlineLevel="0" collapsed="false">
      <c r="A9" s="0" t="s">
        <v>90</v>
      </c>
      <c r="B9" s="3" t="s">
        <v>91</v>
      </c>
    </row>
    <row r="10" customFormat="false" ht="15" hidden="false" customHeight="false" outlineLevel="0" collapsed="false">
      <c r="A10" s="0" t="s">
        <v>92</v>
      </c>
      <c r="B10" s="3" t="n">
        <v>1</v>
      </c>
    </row>
    <row r="12" customFormat="false" ht="15" hidden="false" customHeight="false" outlineLevel="0" collapsed="false">
      <c r="A12" s="2" t="s">
        <v>93</v>
      </c>
      <c r="C12" s="2" t="s">
        <v>94</v>
      </c>
      <c r="D12" s="2" t="s">
        <v>95</v>
      </c>
      <c r="E12" s="2" t="s">
        <v>96</v>
      </c>
      <c r="F12" s="2" t="s">
        <v>97</v>
      </c>
      <c r="G12" s="2" t="s">
        <v>98</v>
      </c>
      <c r="H12" s="2" t="s">
        <v>99</v>
      </c>
      <c r="I12" s="2" t="s">
        <v>100</v>
      </c>
      <c r="J12" s="2" t="s">
        <v>101</v>
      </c>
      <c r="K12" s="2" t="s">
        <v>102</v>
      </c>
      <c r="L12" s="2" t="s">
        <v>103</v>
      </c>
    </row>
    <row r="13" customFormat="false" ht="15" hidden="false" customHeight="false" outlineLevel="0" collapsed="false">
      <c r="A13" s="0" t="s">
        <v>104</v>
      </c>
      <c r="C13" s="3" t="n">
        <v>5</v>
      </c>
      <c r="D13" s="3" t="n">
        <v>3</v>
      </c>
      <c r="E13" s="3" t="n">
        <v>2.5</v>
      </c>
      <c r="F13" s="3" t="n">
        <v>2.5</v>
      </c>
      <c r="G13" s="3" t="n">
        <v>2.5</v>
      </c>
      <c r="H13" s="3" t="n">
        <v>2.5</v>
      </c>
      <c r="I13" s="3" t="n">
        <v>2.5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105</v>
      </c>
      <c r="C14" s="3" t="n">
        <v>23.8</v>
      </c>
      <c r="D14" s="3" t="n">
        <v>23.5</v>
      </c>
      <c r="E14" s="3" t="n">
        <v>23.3</v>
      </c>
      <c r="F14" s="3" t="n">
        <v>23</v>
      </c>
      <c r="G14" s="3" t="n">
        <v>23</v>
      </c>
      <c r="H14" s="3" t="n">
        <v>23</v>
      </c>
      <c r="I14" s="3" t="n">
        <v>23</v>
      </c>
      <c r="J14" s="3" t="n">
        <v>23</v>
      </c>
      <c r="K14" s="3" t="n">
        <v>23</v>
      </c>
      <c r="L14" s="3" t="n">
        <v>23</v>
      </c>
    </row>
    <row r="15" customFormat="false" ht="15" hidden="false" customHeight="false" outlineLevel="0" collapsed="false">
      <c r="A15" s="0" t="s">
        <v>106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107</v>
      </c>
      <c r="C16" s="3" t="n">
        <v>1.15</v>
      </c>
      <c r="D16" s="3" t="n">
        <v>1.15</v>
      </c>
      <c r="E16" s="3" t="n">
        <v>1.15</v>
      </c>
      <c r="F16" s="3" t="n">
        <v>1.15</v>
      </c>
      <c r="G16" s="3" t="n">
        <v>1.15</v>
      </c>
      <c r="H16" s="3" t="n">
        <v>1.15</v>
      </c>
      <c r="I16" s="3" t="n">
        <v>1.15</v>
      </c>
      <c r="J16" s="3" t="n">
        <v>1.15</v>
      </c>
      <c r="K16" s="3" t="n">
        <v>1.15</v>
      </c>
      <c r="L16" s="3" t="n">
        <v>1.15</v>
      </c>
    </row>
    <row r="17" customFormat="false" ht="15" hidden="false" customHeight="false" outlineLevel="0" collapsed="false">
      <c r="A17" s="0" t="s">
        <v>108</v>
      </c>
      <c r="C17" s="3" t="n">
        <v>2.7</v>
      </c>
      <c r="D17" s="3" t="n">
        <v>2.7</v>
      </c>
      <c r="E17" s="3" t="n">
        <v>2.7</v>
      </c>
      <c r="F17" s="3" t="n">
        <v>2.7</v>
      </c>
      <c r="G17" s="3" t="n">
        <v>2.7</v>
      </c>
      <c r="H17" s="3" t="n">
        <v>2.7</v>
      </c>
      <c r="I17" s="3" t="n">
        <v>2.7</v>
      </c>
      <c r="J17" s="3" t="n">
        <v>2.7</v>
      </c>
      <c r="K17" s="3" t="n">
        <v>2.7</v>
      </c>
      <c r="L17" s="3" t="n">
        <v>2.7</v>
      </c>
    </row>
    <row r="18" customFormat="false" ht="15" hidden="false" customHeight="false" outlineLevel="0" collapsed="false">
      <c r="A18" s="0" t="s">
        <v>109</v>
      </c>
      <c r="C18" s="3" t="n">
        <v>3.5</v>
      </c>
      <c r="D18" s="3" t="n">
        <v>3.5</v>
      </c>
      <c r="E18" s="3" t="n">
        <v>3.5</v>
      </c>
      <c r="F18" s="3" t="n">
        <v>3.5</v>
      </c>
      <c r="G18" s="3" t="n">
        <v>3.5</v>
      </c>
      <c r="H18" s="3" t="n">
        <v>3.5</v>
      </c>
      <c r="I18" s="3" t="n">
        <v>3.5</v>
      </c>
      <c r="J18" s="3" t="n">
        <v>3.5</v>
      </c>
      <c r="K18" s="3" t="n">
        <v>3.5</v>
      </c>
      <c r="L18" s="3" t="n">
        <v>3.5</v>
      </c>
    </row>
    <row r="19" customFormat="false" ht="15" hidden="false" customHeight="false" outlineLevel="0" collapsed="false">
      <c r="A19" s="0" t="s">
        <v>110</v>
      </c>
      <c r="C19" s="3" t="n">
        <v>27.5</v>
      </c>
      <c r="D19" s="3" t="n">
        <v>25.5</v>
      </c>
      <c r="E19" s="3" t="n">
        <v>25.5</v>
      </c>
      <c r="F19" s="3" t="n">
        <v>25.5</v>
      </c>
      <c r="G19" s="3" t="n">
        <v>25.5</v>
      </c>
      <c r="H19" s="3" t="n">
        <v>25.5</v>
      </c>
      <c r="I19" s="3" t="n">
        <v>25.5</v>
      </c>
      <c r="J19" s="3" t="n">
        <v>25.5</v>
      </c>
      <c r="K19" s="3" t="n">
        <v>25.5</v>
      </c>
      <c r="L19" s="3" t="n">
        <v>25.5</v>
      </c>
    </row>
    <row r="20" customFormat="false" ht="15" hidden="false" customHeight="false" outlineLevel="0" collapsed="false">
      <c r="A20" s="0" t="s">
        <v>111</v>
      </c>
      <c r="B20" s="3" t="n">
        <v>7.25</v>
      </c>
    </row>
    <row r="21" customFormat="false" ht="15" hidden="false" customHeight="false" outlineLevel="0" collapsed="false">
      <c r="A21" s="0" t="s">
        <v>112</v>
      </c>
      <c r="B21" s="3" t="n">
        <v>2</v>
      </c>
    </row>
    <row r="22" customFormat="false" ht="15" hidden="false" customHeight="false" outlineLevel="0" collapsed="false">
      <c r="A22" s="0" t="s">
        <v>113</v>
      </c>
      <c r="B22" s="3" t="n">
        <v>18</v>
      </c>
    </row>
    <row r="23" customFormat="false" ht="15" hidden="false" customHeight="false" outlineLevel="0" collapsed="false">
      <c r="A23" s="0" t="s">
        <v>114</v>
      </c>
      <c r="B23" s="3" t="n">
        <v>-3</v>
      </c>
    </row>
    <row r="24" customFormat="false" ht="15" hidden="false" customHeight="false" outlineLevel="0" collapsed="false">
      <c r="A24" s="0" t="s">
        <v>115</v>
      </c>
      <c r="B24" s="3" t="n">
        <v>0.2</v>
      </c>
    </row>
    <row r="26" customFormat="false" ht="15" hidden="false" customHeight="false" outlineLevel="0" collapsed="false">
      <c r="A26" s="2" t="s">
        <v>116</v>
      </c>
      <c r="C26" s="2" t="s">
        <v>94</v>
      </c>
      <c r="D26" s="2" t="s">
        <v>95</v>
      </c>
      <c r="E26" s="2" t="s">
        <v>96</v>
      </c>
      <c r="F26" s="2" t="s">
        <v>97</v>
      </c>
      <c r="G26" s="2" t="s">
        <v>98</v>
      </c>
      <c r="H26" s="2" t="s">
        <v>99</v>
      </c>
      <c r="I26" s="2" t="s">
        <v>100</v>
      </c>
      <c r="J26" s="2" t="s">
        <v>101</v>
      </c>
      <c r="K26" s="2" t="s">
        <v>102</v>
      </c>
      <c r="L26" s="2" t="s">
        <v>103</v>
      </c>
    </row>
    <row r="27" customFormat="false" ht="15" hidden="false" customHeight="false" outlineLevel="0" collapsed="false">
      <c r="A27" s="0" t="s">
        <v>104</v>
      </c>
      <c r="C27" s="3" t="n">
        <v>6</v>
      </c>
      <c r="D27" s="3" t="n">
        <v>5.5</v>
      </c>
      <c r="E27" s="3" t="n">
        <v>5</v>
      </c>
      <c r="F27" s="3" t="n">
        <v>5</v>
      </c>
      <c r="G27" s="3" t="n">
        <v>4.5</v>
      </c>
      <c r="H27" s="3" t="n">
        <v>4.5</v>
      </c>
      <c r="I27" s="3" t="n">
        <v>4</v>
      </c>
      <c r="J27" s="3" t="n">
        <v>4</v>
      </c>
      <c r="K27" s="3" t="n">
        <v>3.5</v>
      </c>
      <c r="L27" s="3" t="n">
        <v>3</v>
      </c>
    </row>
    <row r="28" customFormat="false" ht="15" hidden="false" customHeight="false" outlineLevel="0" collapsed="false">
      <c r="A28" s="0" t="s">
        <v>105</v>
      </c>
      <c r="C28" s="3" t="n">
        <v>24</v>
      </c>
      <c r="D28" s="3" t="n">
        <v>24.2</v>
      </c>
      <c r="E28" s="3" t="n">
        <v>24.4</v>
      </c>
      <c r="F28" s="3" t="n">
        <v>24.5</v>
      </c>
      <c r="G28" s="3" t="n">
        <v>24.7</v>
      </c>
      <c r="H28" s="3" t="n">
        <v>24.8</v>
      </c>
      <c r="I28" s="3" t="n">
        <v>25</v>
      </c>
      <c r="J28" s="3" t="n">
        <v>25</v>
      </c>
      <c r="K28" s="3" t="n">
        <v>25</v>
      </c>
      <c r="L28" s="3" t="n">
        <v>25</v>
      </c>
    </row>
    <row r="29" customFormat="false" ht="15" hidden="false" customHeight="false" outlineLevel="0" collapsed="false">
      <c r="A29" s="0" t="s">
        <v>106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107</v>
      </c>
      <c r="C30" s="3" t="n">
        <v>1.15</v>
      </c>
      <c r="D30" s="3" t="n">
        <v>1.15</v>
      </c>
      <c r="E30" s="3" t="n">
        <v>1.15</v>
      </c>
      <c r="F30" s="3" t="n">
        <v>1.15</v>
      </c>
      <c r="G30" s="3" t="n">
        <v>1.15</v>
      </c>
      <c r="H30" s="3" t="n">
        <v>1.15</v>
      </c>
      <c r="I30" s="3" t="n">
        <v>1.15</v>
      </c>
      <c r="J30" s="3" t="n">
        <v>1.15</v>
      </c>
      <c r="K30" s="3" t="n">
        <v>1.15</v>
      </c>
      <c r="L30" s="3" t="n">
        <v>1.15</v>
      </c>
    </row>
    <row r="31" customFormat="false" ht="15" hidden="false" customHeight="false" outlineLevel="0" collapsed="false">
      <c r="A31" s="0" t="s">
        <v>108</v>
      </c>
      <c r="C31" s="3" t="n">
        <v>2.7</v>
      </c>
      <c r="D31" s="3" t="n">
        <v>2.7</v>
      </c>
      <c r="E31" s="3" t="n">
        <v>2.7</v>
      </c>
      <c r="F31" s="3" t="n">
        <v>2.7</v>
      </c>
      <c r="G31" s="3" t="n">
        <v>2.7</v>
      </c>
      <c r="H31" s="3" t="n">
        <v>2.7</v>
      </c>
      <c r="I31" s="3" t="n">
        <v>2.7</v>
      </c>
      <c r="J31" s="3" t="n">
        <v>2.7</v>
      </c>
      <c r="K31" s="3" t="n">
        <v>2.7</v>
      </c>
      <c r="L31" s="3" t="n">
        <v>2.7</v>
      </c>
    </row>
    <row r="32" customFormat="false" ht="15" hidden="false" customHeight="false" outlineLevel="0" collapsed="false">
      <c r="A32" s="0" t="s">
        <v>109</v>
      </c>
      <c r="C32" s="3" t="n">
        <v>3.5</v>
      </c>
      <c r="D32" s="3" t="n">
        <v>3.5</v>
      </c>
      <c r="E32" s="3" t="n">
        <v>3.5</v>
      </c>
      <c r="F32" s="3" t="n">
        <v>3.5</v>
      </c>
      <c r="G32" s="3" t="n">
        <v>3.5</v>
      </c>
      <c r="H32" s="3" t="n">
        <v>3.5</v>
      </c>
      <c r="I32" s="3" t="n">
        <v>3.5</v>
      </c>
      <c r="J32" s="3" t="n">
        <v>3.5</v>
      </c>
      <c r="K32" s="3" t="n">
        <v>3.5</v>
      </c>
      <c r="L32" s="3" t="n">
        <v>3.5</v>
      </c>
    </row>
    <row r="33" customFormat="false" ht="15" hidden="false" customHeight="false" outlineLevel="0" collapsed="false">
      <c r="A33" s="0" t="s">
        <v>110</v>
      </c>
      <c r="C33" s="3" t="n">
        <v>27.5</v>
      </c>
      <c r="D33" s="3" t="n">
        <v>25</v>
      </c>
      <c r="E33" s="3" t="n">
        <v>25</v>
      </c>
      <c r="F33" s="3" t="n">
        <v>25</v>
      </c>
      <c r="G33" s="3" t="n">
        <v>25</v>
      </c>
      <c r="H33" s="3" t="n">
        <v>25</v>
      </c>
      <c r="I33" s="3" t="n">
        <v>25</v>
      </c>
      <c r="J33" s="3" t="n">
        <v>25</v>
      </c>
      <c r="K33" s="3" t="n">
        <v>25</v>
      </c>
      <c r="L33" s="3" t="n">
        <v>25</v>
      </c>
    </row>
    <row r="34" customFormat="false" ht="15" hidden="false" customHeight="false" outlineLevel="0" collapsed="false">
      <c r="A34" s="0" t="s">
        <v>111</v>
      </c>
      <c r="B34" s="3" t="n">
        <v>7.25</v>
      </c>
    </row>
    <row r="35" customFormat="false" ht="15" hidden="false" customHeight="false" outlineLevel="0" collapsed="false">
      <c r="A35" s="0" t="s">
        <v>112</v>
      </c>
      <c r="B35" s="3" t="n">
        <v>2.5</v>
      </c>
    </row>
    <row r="36" customFormat="false" ht="15" hidden="false" customHeight="false" outlineLevel="0" collapsed="false">
      <c r="A36" s="0" t="s">
        <v>113</v>
      </c>
      <c r="B36" s="3" t="n">
        <v>20</v>
      </c>
    </row>
    <row r="37" customFormat="false" ht="15" hidden="false" customHeight="false" outlineLevel="0" collapsed="false">
      <c r="A37" s="0" t="s">
        <v>114</v>
      </c>
      <c r="B37" s="3" t="n">
        <v>-3</v>
      </c>
    </row>
    <row r="38" customFormat="false" ht="15" hidden="false" customHeight="false" outlineLevel="0" collapsed="false">
      <c r="A38" s="0" t="s">
        <v>115</v>
      </c>
      <c r="B38" s="3" t="n">
        <v>0.5</v>
      </c>
    </row>
    <row r="40" customFormat="false" ht="15" hidden="false" customHeight="false" outlineLevel="0" collapsed="false">
      <c r="A40" s="2" t="s">
        <v>117</v>
      </c>
      <c r="C40" s="2" t="s">
        <v>94</v>
      </c>
      <c r="D40" s="2" t="s">
        <v>95</v>
      </c>
      <c r="E40" s="2" t="s">
        <v>96</v>
      </c>
      <c r="F40" s="2" t="s">
        <v>97</v>
      </c>
      <c r="G40" s="2" t="s">
        <v>98</v>
      </c>
      <c r="H40" s="2" t="s">
        <v>99</v>
      </c>
      <c r="I40" s="2" t="s">
        <v>100</v>
      </c>
      <c r="J40" s="2" t="s">
        <v>101</v>
      </c>
      <c r="K40" s="2" t="s">
        <v>102</v>
      </c>
      <c r="L40" s="2" t="s">
        <v>103</v>
      </c>
    </row>
    <row r="41" customFormat="false" ht="15" hidden="false" customHeight="false" outlineLevel="0" collapsed="false">
      <c r="A41" s="0" t="s">
        <v>104</v>
      </c>
      <c r="C41" s="3" t="n">
        <v>6.5</v>
      </c>
      <c r="D41" s="3" t="n">
        <v>7</v>
      </c>
      <c r="E41" s="3" t="n">
        <v>7</v>
      </c>
      <c r="F41" s="3" t="n">
        <v>6.5</v>
      </c>
      <c r="G41" s="3" t="n">
        <v>6</v>
      </c>
      <c r="H41" s="3" t="n">
        <v>5.5</v>
      </c>
      <c r="I41" s="3" t="n">
        <v>5</v>
      </c>
      <c r="J41" s="3" t="n">
        <v>4.5</v>
      </c>
      <c r="K41" s="3" t="n">
        <v>4</v>
      </c>
      <c r="L41" s="3" t="n">
        <v>3.5</v>
      </c>
    </row>
    <row r="42" customFormat="false" ht="15" hidden="false" customHeight="false" outlineLevel="0" collapsed="false">
      <c r="A42" s="0" t="s">
        <v>105</v>
      </c>
      <c r="C42" s="3" t="n">
        <v>24.1</v>
      </c>
      <c r="D42" s="3" t="n">
        <v>24.5</v>
      </c>
      <c r="E42" s="3" t="n">
        <v>24.9</v>
      </c>
      <c r="F42" s="3" t="n">
        <v>25.2</v>
      </c>
      <c r="G42" s="3" t="n">
        <v>25.5</v>
      </c>
      <c r="H42" s="3" t="n">
        <v>25.8</v>
      </c>
      <c r="I42" s="3" t="n">
        <v>26</v>
      </c>
      <c r="J42" s="3" t="n">
        <v>26.2</v>
      </c>
      <c r="K42" s="3" t="n">
        <v>26.3</v>
      </c>
      <c r="L42" s="3" t="n">
        <v>26.5</v>
      </c>
    </row>
    <row r="43" customFormat="false" ht="15" hidden="false" customHeight="false" outlineLevel="0" collapsed="false">
      <c r="A43" s="0" t="s">
        <v>106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107</v>
      </c>
      <c r="C44" s="3" t="n">
        <v>1.15</v>
      </c>
      <c r="D44" s="3" t="n">
        <v>1.15</v>
      </c>
      <c r="E44" s="3" t="n">
        <v>1.15</v>
      </c>
      <c r="F44" s="3" t="n">
        <v>1.15</v>
      </c>
      <c r="G44" s="3" t="n">
        <v>1.15</v>
      </c>
      <c r="H44" s="3" t="n">
        <v>1.15</v>
      </c>
      <c r="I44" s="3" t="n">
        <v>1.15</v>
      </c>
      <c r="J44" s="3" t="n">
        <v>1.15</v>
      </c>
      <c r="K44" s="3" t="n">
        <v>1.15</v>
      </c>
      <c r="L44" s="3" t="n">
        <v>1.15</v>
      </c>
    </row>
    <row r="45" customFormat="false" ht="15" hidden="false" customHeight="false" outlineLevel="0" collapsed="false">
      <c r="A45" s="0" t="s">
        <v>108</v>
      </c>
      <c r="C45" s="3" t="n">
        <v>2.7</v>
      </c>
      <c r="D45" s="3" t="n">
        <v>2.7</v>
      </c>
      <c r="E45" s="3" t="n">
        <v>2.7</v>
      </c>
      <c r="F45" s="3" t="n">
        <v>2.7</v>
      </c>
      <c r="G45" s="3" t="n">
        <v>2.7</v>
      </c>
      <c r="H45" s="3" t="n">
        <v>2.7</v>
      </c>
      <c r="I45" s="3" t="n">
        <v>2.7</v>
      </c>
      <c r="J45" s="3" t="n">
        <v>2.7</v>
      </c>
      <c r="K45" s="3" t="n">
        <v>2.7</v>
      </c>
      <c r="L45" s="3" t="n">
        <v>2.7</v>
      </c>
    </row>
    <row r="46" customFormat="false" ht="15" hidden="false" customHeight="false" outlineLevel="0" collapsed="false">
      <c r="A46" s="0" t="s">
        <v>109</v>
      </c>
      <c r="C46" s="3" t="n">
        <v>3.5</v>
      </c>
      <c r="D46" s="3" t="n">
        <v>3.5</v>
      </c>
      <c r="E46" s="3" t="n">
        <v>3.5</v>
      </c>
      <c r="F46" s="3" t="n">
        <v>3.5</v>
      </c>
      <c r="G46" s="3" t="n">
        <v>3.5</v>
      </c>
      <c r="H46" s="3" t="n">
        <v>3.5</v>
      </c>
      <c r="I46" s="3" t="n">
        <v>3.5</v>
      </c>
      <c r="J46" s="3" t="n">
        <v>3.5</v>
      </c>
      <c r="K46" s="3" t="n">
        <v>3.5</v>
      </c>
      <c r="L46" s="3" t="n">
        <v>3.5</v>
      </c>
    </row>
    <row r="47" customFormat="false" ht="15" hidden="false" customHeight="false" outlineLevel="0" collapsed="false">
      <c r="A47" s="0" t="s">
        <v>110</v>
      </c>
      <c r="C47" s="3" t="n">
        <v>27.5</v>
      </c>
      <c r="D47" s="3" t="n">
        <v>25</v>
      </c>
      <c r="E47" s="3" t="n">
        <v>25</v>
      </c>
      <c r="F47" s="3" t="n">
        <v>25</v>
      </c>
      <c r="G47" s="3" t="n">
        <v>25</v>
      </c>
      <c r="H47" s="3" t="n">
        <v>25</v>
      </c>
      <c r="I47" s="3" t="n">
        <v>25</v>
      </c>
      <c r="J47" s="3" t="n">
        <v>25</v>
      </c>
      <c r="K47" s="3" t="n">
        <v>25</v>
      </c>
      <c r="L47" s="3" t="n">
        <v>25</v>
      </c>
    </row>
    <row r="48" customFormat="false" ht="15" hidden="false" customHeight="false" outlineLevel="0" collapsed="false">
      <c r="A48" s="0" t="s">
        <v>111</v>
      </c>
      <c r="B48" s="3" t="n">
        <v>7.25</v>
      </c>
    </row>
    <row r="49" customFormat="false" ht="15" hidden="false" customHeight="false" outlineLevel="0" collapsed="false">
      <c r="A49" s="0" t="s">
        <v>112</v>
      </c>
      <c r="B49" s="3" t="n">
        <v>3</v>
      </c>
    </row>
    <row r="50" customFormat="false" ht="15" hidden="false" customHeight="false" outlineLevel="0" collapsed="false">
      <c r="A50" s="0" t="s">
        <v>113</v>
      </c>
      <c r="B50" s="3" t="n">
        <v>22</v>
      </c>
    </row>
    <row r="51" customFormat="false" ht="15" hidden="false" customHeight="false" outlineLevel="0" collapsed="false">
      <c r="A51" s="0" t="s">
        <v>114</v>
      </c>
      <c r="B51" s="3" t="n">
        <v>-3</v>
      </c>
    </row>
    <row r="52" customFormat="false" ht="15" hidden="false" customHeight="false" outlineLevel="0" collapsed="false">
      <c r="A52" s="0" t="s">
        <v>115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118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Assumptions!C13</f>
        <v>5</v>
      </c>
      <c r="D5" s="4" t="n">
        <f aca="false">Assumptions!D13</f>
        <v>3</v>
      </c>
      <c r="E5" s="4" t="n">
        <f aca="false">Assumptions!E13</f>
        <v>2.5</v>
      </c>
      <c r="F5" s="4" t="n">
        <f aca="false">Assumptions!F13</f>
        <v>2.5</v>
      </c>
      <c r="G5" s="4" t="n">
        <f aca="false">Assumptions!G13</f>
        <v>2.5</v>
      </c>
      <c r="H5" s="4" t="n">
        <f aca="false">Assumptions!H13</f>
        <v>2.5</v>
      </c>
      <c r="I5" s="4" t="n">
        <f aca="false">Assumptions!I13</f>
        <v>2.5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44052</v>
      </c>
      <c r="C6" s="0" t="n">
        <f aca="false">B6*(1+C5/100)</f>
        <v>46254.6</v>
      </c>
      <c r="D6" s="0" t="n">
        <f aca="false">C6*(1+D5/100)</f>
        <v>47642.238</v>
      </c>
      <c r="E6" s="0" t="n">
        <f aca="false">D6*(1+E5/100)</f>
        <v>48833.29395</v>
      </c>
      <c r="F6" s="0" t="n">
        <f aca="false">E6*(1+F5/100)</f>
        <v>50054.12629875</v>
      </c>
      <c r="G6" s="0" t="n">
        <f aca="false">F6*(1+G5/100)</f>
        <v>51305.4794562187</v>
      </c>
      <c r="H6" s="0" t="n">
        <f aca="false">G6*(1+H5/100)</f>
        <v>52588.1164426242</v>
      </c>
      <c r="I6" s="0" t="n">
        <f aca="false">H6*(1+I5/100)</f>
        <v>53902.8193536898</v>
      </c>
      <c r="J6" s="0" t="n">
        <f aca="false">I6*(1+J5/100)</f>
        <v>55250.389837532</v>
      </c>
      <c r="K6" s="0" t="n">
        <f aca="false">J6*(1+K5/100)</f>
        <v>56631.6495834703</v>
      </c>
      <c r="L6" s="0" t="n">
        <f aca="false">K6*(1+L5/100)</f>
        <v>58047.4408230571</v>
      </c>
    </row>
    <row r="7" customFormat="false" ht="15" hidden="false" customHeight="false" outlineLevel="0" collapsed="false">
      <c r="A7" s="0" t="s">
        <v>105</v>
      </c>
      <c r="C7" s="4" t="n">
        <f aca="false">Assumptions!C14</f>
        <v>23.8</v>
      </c>
      <c r="D7" s="4" t="n">
        <f aca="false">Assumptions!D14</f>
        <v>23.5</v>
      </c>
      <c r="E7" s="4" t="n">
        <f aca="false">Assumptions!E14</f>
        <v>23.3</v>
      </c>
      <c r="F7" s="4" t="n">
        <f aca="false">Assumptions!F14</f>
        <v>23</v>
      </c>
      <c r="G7" s="4" t="n">
        <f aca="false">Assumptions!G14</f>
        <v>23</v>
      </c>
      <c r="H7" s="4" t="n">
        <f aca="false">Assumptions!H14</f>
        <v>23</v>
      </c>
      <c r="I7" s="4" t="n">
        <f aca="false">Assumptions!I14</f>
        <v>23</v>
      </c>
      <c r="J7" s="4" t="n">
        <f aca="false">Assumptions!J14</f>
        <v>23</v>
      </c>
      <c r="K7" s="4" t="n">
        <f aca="false">Assumptions!K14</f>
        <v>23</v>
      </c>
      <c r="L7" s="4" t="n">
        <f aca="false">Assumptions!L14</f>
        <v>23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11008.5948</v>
      </c>
      <c r="D8" s="0" t="n">
        <f aca="false">D6*D7/100</f>
        <v>11195.92593</v>
      </c>
      <c r="E8" s="0" t="n">
        <f aca="false">E6*E7/100</f>
        <v>11378.15749035</v>
      </c>
      <c r="F8" s="0" t="n">
        <f aca="false">F6*F7/100</f>
        <v>11512.4490487125</v>
      </c>
      <c r="G8" s="0" t="n">
        <f aca="false">G6*G7/100</f>
        <v>11800.2602749303</v>
      </c>
      <c r="H8" s="0" t="n">
        <f aca="false">H6*H7/100</f>
        <v>12095.2667818036</v>
      </c>
      <c r="I8" s="0" t="n">
        <f aca="false">I6*I7/100</f>
        <v>12397.6484513487</v>
      </c>
      <c r="J8" s="0" t="n">
        <f aca="false">J6*J7/100</f>
        <v>12707.5896626324</v>
      </c>
      <c r="K8" s="0" t="n">
        <f aca="false">K6*K7/100</f>
        <v>13025.2794041982</v>
      </c>
      <c r="L8" s="0" t="n">
        <f aca="false">L6*L7/100</f>
        <v>13350.9113893031</v>
      </c>
    </row>
    <row r="9" customFormat="false" ht="15" hidden="false" customHeight="false" outlineLevel="0" collapsed="false">
      <c r="A9" s="0" t="s">
        <v>106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-277.5276</v>
      </c>
      <c r="D10" s="0" t="n">
        <f aca="false">-D6*D9/100</f>
        <v>-285.853428</v>
      </c>
      <c r="E10" s="0" t="n">
        <f aca="false">-E6*E9/100</f>
        <v>-292.9997637</v>
      </c>
      <c r="F10" s="0" t="n">
        <f aca="false">-F6*F9/100</f>
        <v>-300.3247577925</v>
      </c>
      <c r="G10" s="0" t="n">
        <f aca="false">-G6*G9/100</f>
        <v>-307.832876737312</v>
      </c>
      <c r="H10" s="0" t="n">
        <f aca="false">-H6*H9/100</f>
        <v>-315.528698655745</v>
      </c>
      <c r="I10" s="0" t="n">
        <f aca="false">-I6*I9/100</f>
        <v>-323.416916122139</v>
      </c>
      <c r="J10" s="0" t="n">
        <f aca="false">-J6*J9/100</f>
        <v>-331.502339025192</v>
      </c>
      <c r="K10" s="0" t="n">
        <f aca="false">-K6*K9/100</f>
        <v>-339.789897500822</v>
      </c>
      <c r="L10" s="0" t="n">
        <f aca="false">-L6*L9/100</f>
        <v>-348.284644938342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10199.1393</v>
      </c>
      <c r="D11" s="0" t="n">
        <f aca="false">D8+D10+D24</f>
        <v>10362.186765</v>
      </c>
      <c r="E11" s="0" t="n">
        <f aca="false">E8+E10+E24</f>
        <v>10523.574846225</v>
      </c>
      <c r="F11" s="0" t="n">
        <f aca="false">F8+F10+F24</f>
        <v>10636.5018384844</v>
      </c>
      <c r="G11" s="0" t="n">
        <f aca="false">G8+G10+G24</f>
        <v>10902.4143844465</v>
      </c>
      <c r="H11" s="0" t="n">
        <f aca="false">H8+H10+H24</f>
        <v>11174.9747440576</v>
      </c>
      <c r="I11" s="0" t="n">
        <f aca="false">I8+I10+I24</f>
        <v>11454.3491126591</v>
      </c>
      <c r="J11" s="0" t="n">
        <f aca="false">J8+J10+J24</f>
        <v>11740.7078404756</v>
      </c>
      <c r="K11" s="0" t="n">
        <f aca="false">K8+K10+K24</f>
        <v>12034.2255364874</v>
      </c>
      <c r="L11" s="0" t="n">
        <f aca="false">L8+L10+L24</f>
        <v>12335.0811748996</v>
      </c>
    </row>
    <row r="12" customFormat="false" ht="15" hidden="false" customHeight="false" outlineLevel="0" collapsed="false">
      <c r="A12" s="0" t="s">
        <v>123</v>
      </c>
      <c r="C12" s="4" t="n">
        <f aca="false">-C6*Assumptions!C17/100</f>
        <v>-1248.8742</v>
      </c>
      <c r="D12" s="4" t="n">
        <f aca="false">-D6*Assumptions!D17/100</f>
        <v>-1286.340426</v>
      </c>
      <c r="E12" s="4" t="n">
        <f aca="false">-E6*Assumptions!E17/100</f>
        <v>-1318.49893665</v>
      </c>
      <c r="F12" s="4" t="n">
        <f aca="false">-F6*Assumptions!F17/100</f>
        <v>-1351.46141006625</v>
      </c>
      <c r="G12" s="4" t="n">
        <f aca="false">-G6*Assumptions!G17/100</f>
        <v>-1385.24794531791</v>
      </c>
      <c r="H12" s="4" t="n">
        <f aca="false">-H6*Assumptions!H17/100</f>
        <v>-1419.87914395085</v>
      </c>
      <c r="I12" s="4" t="n">
        <f aca="false">-I6*Assumptions!I17/100</f>
        <v>-1455.37612254962</v>
      </c>
      <c r="J12" s="4" t="n">
        <f aca="false">-J6*Assumptions!J17/100</f>
        <v>-1491.76052561337</v>
      </c>
      <c r="K12" s="4" t="n">
        <f aca="false">-K6*Assumptions!K17/100</f>
        <v>-1529.0545387537</v>
      </c>
      <c r="L12" s="4" t="n">
        <f aca="false">-L6*Assumptions!L17/100</f>
        <v>-1567.28090222254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8950.2651</v>
      </c>
      <c r="D13" s="0" t="n">
        <f aca="false">D11+D12</f>
        <v>9075.846339</v>
      </c>
      <c r="E13" s="0" t="n">
        <f aca="false">E11+E12</f>
        <v>9205.075909575</v>
      </c>
      <c r="F13" s="0" t="n">
        <f aca="false">F11+F12</f>
        <v>9285.04042841813</v>
      </c>
      <c r="G13" s="0" t="n">
        <f aca="false">G11+G12</f>
        <v>9517.16643912857</v>
      </c>
      <c r="H13" s="0" t="n">
        <f aca="false">H11+H12</f>
        <v>9755.09560010679</v>
      </c>
      <c r="I13" s="0" t="n">
        <f aca="false">I11+I12</f>
        <v>9998.97299010946</v>
      </c>
      <c r="J13" s="0" t="n">
        <f aca="false">J11+J12</f>
        <v>10248.9473148622</v>
      </c>
      <c r="K13" s="0" t="n">
        <f aca="false">K11+K12</f>
        <v>10505.1709977337</v>
      </c>
      <c r="L13" s="0" t="n">
        <f aca="false">L11+L12</f>
        <v>10767.8002726771</v>
      </c>
    </row>
    <row r="14" customFormat="false" ht="15" hidden="false" customHeight="false" outlineLevel="0" collapsed="false">
      <c r="A14" s="0" t="s">
        <v>110</v>
      </c>
      <c r="C14" s="4" t="n">
        <f aca="false">Assumptions!C19</f>
        <v>27.5</v>
      </c>
      <c r="D14" s="4" t="n">
        <f aca="false">Assumptions!D19</f>
        <v>25.5</v>
      </c>
      <c r="E14" s="4" t="n">
        <f aca="false">Assumptions!E19</f>
        <v>25.5</v>
      </c>
      <c r="F14" s="4" t="n">
        <f aca="false">Assumptions!F19</f>
        <v>25.5</v>
      </c>
      <c r="G14" s="4" t="n">
        <f aca="false">Assumptions!G19</f>
        <v>25.5</v>
      </c>
      <c r="H14" s="4" t="n">
        <f aca="false">Assumptions!H19</f>
        <v>25.5</v>
      </c>
      <c r="I14" s="4" t="n">
        <f aca="false">Assumptions!I19</f>
        <v>25.5</v>
      </c>
      <c r="J14" s="4" t="n">
        <f aca="false">Assumptions!J19</f>
        <v>25.5</v>
      </c>
      <c r="K14" s="4" t="n">
        <f aca="false">Assumptions!K19</f>
        <v>25.5</v>
      </c>
      <c r="L14" s="4" t="n">
        <f aca="false">Assumptions!L19</f>
        <v>25.5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6488.9421975</v>
      </c>
      <c r="D15" s="0" t="n">
        <f aca="false">D13-MAX(0,D13)*D14/100</f>
        <v>6761.505522555</v>
      </c>
      <c r="E15" s="0" t="n">
        <f aca="false">E13-MAX(0,E13)*E14/100</f>
        <v>6857.78155263337</v>
      </c>
      <c r="F15" s="0" t="n">
        <f aca="false">F13-MAX(0,F13)*F14/100</f>
        <v>6917.3551191715</v>
      </c>
      <c r="G15" s="0" t="n">
        <f aca="false">G13-MAX(0,G13)*G14/100</f>
        <v>7090.28899715079</v>
      </c>
      <c r="H15" s="0" t="n">
        <f aca="false">H13-MAX(0,H13)*H14/100</f>
        <v>7267.54622207956</v>
      </c>
      <c r="I15" s="0" t="n">
        <f aca="false">I13-MAX(0,I13)*I14/100</f>
        <v>7449.23487763155</v>
      </c>
      <c r="J15" s="0" t="n">
        <f aca="false">J13-MAX(0,J13)*J14/100</f>
        <v>7635.46574957233</v>
      </c>
      <c r="K15" s="0" t="n">
        <f aca="false">K13-MAX(0,K13)*K14/100</f>
        <v>7826.35239331164</v>
      </c>
      <c r="L15" s="0" t="n">
        <f aca="false">L13-MAX(0,L13)*L14/100</f>
        <v>8022.01120314443</v>
      </c>
    </row>
    <row r="16" customFormat="false" ht="15" hidden="false" customHeight="false" outlineLevel="0" collapsed="false">
      <c r="A16" s="0" t="s">
        <v>126</v>
      </c>
      <c r="C16" s="0" t="n">
        <f aca="false">-C12</f>
        <v>1248.8742</v>
      </c>
      <c r="D16" s="0" t="n">
        <f aca="false">-D12</f>
        <v>1286.340426</v>
      </c>
      <c r="E16" s="0" t="n">
        <f aca="false">-E12</f>
        <v>1318.49893665</v>
      </c>
      <c r="F16" s="0" t="n">
        <f aca="false">-F12</f>
        <v>1351.46141006625</v>
      </c>
      <c r="G16" s="0" t="n">
        <f aca="false">-G12</f>
        <v>1385.24794531791</v>
      </c>
      <c r="H16" s="0" t="n">
        <f aca="false">-H12</f>
        <v>1419.87914395085</v>
      </c>
      <c r="I16" s="0" t="n">
        <f aca="false">-I12</f>
        <v>1455.37612254962</v>
      </c>
      <c r="J16" s="0" t="n">
        <f aca="false">-J12</f>
        <v>1491.76052561337</v>
      </c>
      <c r="K16" s="0" t="n">
        <f aca="false">-K12</f>
        <v>1529.0545387537</v>
      </c>
      <c r="L16" s="0" t="n">
        <f aca="false">-L12</f>
        <v>1567.28090222254</v>
      </c>
    </row>
    <row r="17" customFormat="false" ht="15" hidden="false" customHeight="false" outlineLevel="0" collapsed="false">
      <c r="A17" s="0" t="s">
        <v>127</v>
      </c>
      <c r="C17" s="4" t="n">
        <f aca="false">-C6*Assumptions!C18/100</f>
        <v>-1618.911</v>
      </c>
      <c r="D17" s="4" t="n">
        <f aca="false">-D6*Assumptions!D18/100</f>
        <v>-1667.47833</v>
      </c>
      <c r="E17" s="4" t="n">
        <f aca="false">-E6*Assumptions!E18/100</f>
        <v>-1709.16528825</v>
      </c>
      <c r="F17" s="4" t="n">
        <f aca="false">-F6*Assumptions!F18/100</f>
        <v>-1751.89442045625</v>
      </c>
      <c r="G17" s="4" t="n">
        <f aca="false">-G6*Assumptions!G18/100</f>
        <v>-1795.69178096766</v>
      </c>
      <c r="H17" s="4" t="n">
        <f aca="false">-H6*Assumptions!H18/100</f>
        <v>-1840.58407549185</v>
      </c>
      <c r="I17" s="4" t="n">
        <f aca="false">-I6*Assumptions!I18/100</f>
        <v>-1886.59867737914</v>
      </c>
      <c r="J17" s="4" t="n">
        <f aca="false">-J6*Assumptions!J18/100</f>
        <v>-1933.76364431362</v>
      </c>
      <c r="K17" s="4" t="n">
        <f aca="false">-K6*Assumptions!K18/100</f>
        <v>-1982.10773542146</v>
      </c>
      <c r="L17" s="4" t="n">
        <f aca="false">-L6*Assumptions!L18/100</f>
        <v>-2031.660428807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(C6-B6)*Assumptions!$B$23/100</f>
        <v>-66.078</v>
      </c>
      <c r="D18" s="4" t="n">
        <f aca="false">(D6-C6)*Assumptions!$B$23/100</f>
        <v>-41.62914</v>
      </c>
      <c r="E18" s="4" t="n">
        <f aca="false">(E6-D6)*Assumptions!$B$23/100</f>
        <v>-35.7316784999998</v>
      </c>
      <c r="F18" s="4" t="n">
        <f aca="false">(F6-E6)*Assumptions!$B$23/100</f>
        <v>-36.6249704624998</v>
      </c>
      <c r="G18" s="4" t="n">
        <f aca="false">(G6-F6)*Assumptions!$B$23/100</f>
        <v>-37.5405947240623</v>
      </c>
      <c r="H18" s="4" t="n">
        <f aca="false">(H6-G6)*Assumptions!$B$23/100</f>
        <v>-38.479109592164</v>
      </c>
      <c r="I18" s="4" t="n">
        <f aca="false">(I6-H6)*Assumptions!$B$23/100</f>
        <v>-39.441087331968</v>
      </c>
      <c r="J18" s="4" t="n">
        <f aca="false">(J6-I6)*Assumptions!$B$23/100</f>
        <v>-40.4271145152672</v>
      </c>
      <c r="K18" s="4" t="n">
        <f aca="false">(K6-J6)*Assumptions!$B$23/100</f>
        <v>-41.4377923781489</v>
      </c>
      <c r="L18" s="4" t="n">
        <f aca="false">(L6-K6)*Assumptions!$B$23/100</f>
        <v>-42.4737371876026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6052.8273975</v>
      </c>
      <c r="D19" s="0" t="n">
        <f aca="false">D15+D16+D17+D18</f>
        <v>6338.738478555</v>
      </c>
      <c r="E19" s="0" t="n">
        <f aca="false">E15+E16+E17+E18</f>
        <v>6431.38352253337</v>
      </c>
      <c r="F19" s="0" t="n">
        <f aca="false">F15+F16+F17+F18</f>
        <v>6480.297138319</v>
      </c>
      <c r="G19" s="0" t="n">
        <f aca="false">G15+G16+G17+G18</f>
        <v>6642.30456677698</v>
      </c>
      <c r="H19" s="0" t="n">
        <f aca="false">H15+H16+H17+H18</f>
        <v>6808.3621809464</v>
      </c>
      <c r="I19" s="0" t="n">
        <f aca="false">I15+I16+I17+I18</f>
        <v>6978.57123547006</v>
      </c>
      <c r="J19" s="0" t="n">
        <f aca="false">J15+J16+J17+J18</f>
        <v>7153.03551635681</v>
      </c>
      <c r="K19" s="0" t="n">
        <f aca="false">K15+K16+K17+K18</f>
        <v>7331.86140426573</v>
      </c>
      <c r="L19" s="0" t="n">
        <f aca="false">L15+L16+L17+L18</f>
        <v>7515.15793937237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5643.66190909091</v>
      </c>
      <c r="D21" s="0" t="n">
        <f aca="false">D19*D20</f>
        <v>5510.71857123576</v>
      </c>
      <c r="E21" s="0" t="n">
        <f aca="false">E19*E20</f>
        <v>5213.29746570654</v>
      </c>
      <c r="F21" s="0" t="n">
        <f aca="false">F19*F20</f>
        <v>4897.85266146975</v>
      </c>
      <c r="G21" s="0" t="n">
        <f aca="false">G19*G20</f>
        <v>4680.9314480247</v>
      </c>
      <c r="H21" s="0" t="n">
        <f aca="false">H19*H20</f>
        <v>4473.61746780916</v>
      </c>
      <c r="I21" s="0" t="n">
        <f aca="false">I19*I20</f>
        <v>4275.48522564511</v>
      </c>
      <c r="J21" s="0" t="n">
        <f aca="false">J19*J20</f>
        <v>4086.12807112936</v>
      </c>
      <c r="K21" s="0" t="n">
        <f aca="false">K19*K20</f>
        <v>3905.15736401641</v>
      </c>
      <c r="L21" s="0" t="n">
        <f aca="false">L19*L20</f>
        <v>3732.20167656579</v>
      </c>
    </row>
    <row r="23" customFormat="false" ht="15" hidden="false" customHeight="false" outlineLevel="0" collapsed="false">
      <c r="A23" s="0" t="s">
        <v>107</v>
      </c>
      <c r="C23" s="4" t="n">
        <f aca="false">Assumptions!C16</f>
        <v>1.15</v>
      </c>
      <c r="D23" s="4" t="n">
        <f aca="false">Assumptions!D16</f>
        <v>1.15</v>
      </c>
      <c r="E23" s="4" t="n">
        <f aca="false">Assumptions!E16</f>
        <v>1.15</v>
      </c>
      <c r="F23" s="4" t="n">
        <f aca="false">Assumptions!F16</f>
        <v>1.15</v>
      </c>
      <c r="G23" s="4" t="n">
        <f aca="false">Assumptions!G16</f>
        <v>1.15</v>
      </c>
      <c r="H23" s="4" t="n">
        <f aca="false">Assumptions!H16</f>
        <v>1.15</v>
      </c>
      <c r="I23" s="4" t="n">
        <f aca="false">Assumptions!I16</f>
        <v>1.15</v>
      </c>
      <c r="J23" s="4" t="n">
        <f aca="false">Assumptions!J16</f>
        <v>1.15</v>
      </c>
      <c r="K23" s="4" t="n">
        <f aca="false">Assumptions!K16</f>
        <v>1.15</v>
      </c>
      <c r="L23" s="4" t="n">
        <f aca="false">Assumptions!L16</f>
        <v>1.15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-531.9279</v>
      </c>
      <c r="D24" s="0" t="n">
        <f aca="false">-D6*D23/100</f>
        <v>-547.885737</v>
      </c>
      <c r="E24" s="0" t="n">
        <f aca="false">-E6*E23/100</f>
        <v>-561.582880425</v>
      </c>
      <c r="F24" s="0" t="n">
        <f aca="false">-F6*F23/100</f>
        <v>-575.622452435625</v>
      </c>
      <c r="G24" s="0" t="n">
        <f aca="false">-G6*G23/100</f>
        <v>-590.013013746515</v>
      </c>
      <c r="H24" s="0" t="n">
        <f aca="false">-H6*H23/100</f>
        <v>-604.763339090178</v>
      </c>
      <c r="I24" s="0" t="n">
        <f aca="false">-I6*I23/100</f>
        <v>-619.882422567433</v>
      </c>
      <c r="J24" s="0" t="n">
        <f aca="false">-J6*J23/100</f>
        <v>-635.379483131618</v>
      </c>
      <c r="K24" s="0" t="n">
        <f aca="false">-K6*K23/100</f>
        <v>-651.263970209909</v>
      </c>
      <c r="L24" s="0" t="n">
        <f aca="false">-L6*L23/100</f>
        <v>-667.545569465156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Assumptions!$B$20</f>
        <v>7.25</v>
      </c>
    </row>
    <row r="28" customFormat="false" ht="15" hidden="false" customHeight="false" outlineLevel="0" collapsed="false">
      <c r="A28" s="0" t="s">
        <v>112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113</v>
      </c>
      <c r="B29" s="4" t="n">
        <f aca="false">Assumptions!$B$22</f>
        <v>18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46419.0518606935</v>
      </c>
    </row>
    <row r="31" customFormat="false" ht="15" hidden="false" customHeight="false" outlineLevel="0" collapsed="false">
      <c r="A31" s="0" t="s">
        <v>135</v>
      </c>
      <c r="B31" s="0" t="n">
        <f aca="false">L19</f>
        <v>7515.15793937237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146008.782822092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135272.842908703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135272.842908703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67179.6301781843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113598.682038878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120194.382038878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225.167444808688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-0.48391601006489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2137.49577543703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3360.48675204481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235.467149805844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58965.0853704601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101.743448282523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149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Assumptions!C27</f>
        <v>6</v>
      </c>
      <c r="D5" s="4" t="n">
        <f aca="false">Assumptions!D27</f>
        <v>5.5</v>
      </c>
      <c r="E5" s="4" t="n">
        <f aca="false">Assumptions!E27</f>
        <v>5</v>
      </c>
      <c r="F5" s="4" t="n">
        <f aca="false">Assumptions!F27</f>
        <v>5</v>
      </c>
      <c r="G5" s="4" t="n">
        <f aca="false">Assumptions!G27</f>
        <v>4.5</v>
      </c>
      <c r="H5" s="4" t="n">
        <f aca="false">Assumptions!H27</f>
        <v>4.5</v>
      </c>
      <c r="I5" s="4" t="n">
        <f aca="false">Assumptions!I27</f>
        <v>4</v>
      </c>
      <c r="J5" s="4" t="n">
        <f aca="false">Assumptions!J27</f>
        <v>4</v>
      </c>
      <c r="K5" s="4" t="n">
        <f aca="false">Assumptions!K27</f>
        <v>3.5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44052</v>
      </c>
      <c r="C6" s="0" t="n">
        <f aca="false">B6*(1+C5/100)</f>
        <v>46695.12</v>
      </c>
      <c r="D6" s="0" t="n">
        <f aca="false">C6*(1+D5/100)</f>
        <v>49263.3516</v>
      </c>
      <c r="E6" s="0" t="n">
        <f aca="false">D6*(1+E5/100)</f>
        <v>51726.51918</v>
      </c>
      <c r="F6" s="0" t="n">
        <f aca="false">E6*(1+F5/100)</f>
        <v>54312.845139</v>
      </c>
      <c r="G6" s="0" t="n">
        <f aca="false">F6*(1+G5/100)</f>
        <v>56756.923170255</v>
      </c>
      <c r="H6" s="0" t="n">
        <f aca="false">G6*(1+H5/100)</f>
        <v>59310.9847129165</v>
      </c>
      <c r="I6" s="0" t="n">
        <f aca="false">H6*(1+I5/100)</f>
        <v>61683.4241014331</v>
      </c>
      <c r="J6" s="0" t="n">
        <f aca="false">I6*(1+J5/100)</f>
        <v>64150.7610654905</v>
      </c>
      <c r="K6" s="0" t="n">
        <f aca="false">J6*(1+K5/100)</f>
        <v>66396.0377027826</v>
      </c>
      <c r="L6" s="0" t="n">
        <f aca="false">K6*(1+L5/100)</f>
        <v>68387.9188338661</v>
      </c>
    </row>
    <row r="7" customFormat="false" ht="15" hidden="false" customHeight="false" outlineLevel="0" collapsed="false">
      <c r="A7" s="0" t="s">
        <v>105</v>
      </c>
      <c r="C7" s="4" t="n">
        <f aca="false">Assumptions!C28</f>
        <v>24</v>
      </c>
      <c r="D7" s="4" t="n">
        <f aca="false">Assumptions!D28</f>
        <v>24.2</v>
      </c>
      <c r="E7" s="4" t="n">
        <f aca="false">Assumptions!E28</f>
        <v>24.4</v>
      </c>
      <c r="F7" s="4" t="n">
        <f aca="false">Assumptions!F28</f>
        <v>24.5</v>
      </c>
      <c r="G7" s="4" t="n">
        <f aca="false">Assumptions!G28</f>
        <v>24.7</v>
      </c>
      <c r="H7" s="4" t="n">
        <f aca="false">Assumptions!H28</f>
        <v>24.8</v>
      </c>
      <c r="I7" s="4" t="n">
        <f aca="false">Assumptions!I28</f>
        <v>25</v>
      </c>
      <c r="J7" s="4" t="n">
        <f aca="false">Assumptions!J28</f>
        <v>25</v>
      </c>
      <c r="K7" s="4" t="n">
        <f aca="false">Assumptions!K28</f>
        <v>25</v>
      </c>
      <c r="L7" s="4" t="n">
        <f aca="false">Assumptions!L28</f>
        <v>25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11206.8288</v>
      </c>
      <c r="D8" s="0" t="n">
        <f aca="false">D6*D7/100</f>
        <v>11921.7310872</v>
      </c>
      <c r="E8" s="0" t="n">
        <f aca="false">E6*E7/100</f>
        <v>12621.27067992</v>
      </c>
      <c r="F8" s="0" t="n">
        <f aca="false">F6*F7/100</f>
        <v>13306.647059055</v>
      </c>
      <c r="G8" s="0" t="n">
        <f aca="false">G6*G7/100</f>
        <v>14018.960023053</v>
      </c>
      <c r="H8" s="0" t="n">
        <f aca="false">H6*H7/100</f>
        <v>14709.1242088033</v>
      </c>
      <c r="I8" s="0" t="n">
        <f aca="false">I6*I7/100</f>
        <v>15420.8560253583</v>
      </c>
      <c r="J8" s="0" t="n">
        <f aca="false">J6*J7/100</f>
        <v>16037.6902663726</v>
      </c>
      <c r="K8" s="0" t="n">
        <f aca="false">K6*K7/100</f>
        <v>16599.0094256957</v>
      </c>
      <c r="L8" s="0" t="n">
        <f aca="false">L6*L7/100</f>
        <v>17096.9797084665</v>
      </c>
    </row>
    <row r="9" customFormat="false" ht="15" hidden="false" customHeight="false" outlineLevel="0" collapsed="false">
      <c r="A9" s="0" t="s">
        <v>106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-280.17072</v>
      </c>
      <c r="D10" s="0" t="n">
        <f aca="false">-D6*D9/100</f>
        <v>-295.5801096</v>
      </c>
      <c r="E10" s="0" t="n">
        <f aca="false">-E6*E9/100</f>
        <v>-310.35911508</v>
      </c>
      <c r="F10" s="0" t="n">
        <f aca="false">-F6*F9/100</f>
        <v>-325.877070834</v>
      </c>
      <c r="G10" s="0" t="n">
        <f aca="false">-G6*G9/100</f>
        <v>-340.54153902153</v>
      </c>
      <c r="H10" s="0" t="n">
        <f aca="false">-H6*H9/100</f>
        <v>-355.865908277499</v>
      </c>
      <c r="I10" s="0" t="n">
        <f aca="false">-I6*I9/100</f>
        <v>-370.100544608599</v>
      </c>
      <c r="J10" s="0" t="n">
        <f aca="false">-J6*J9/100</f>
        <v>-384.904566392943</v>
      </c>
      <c r="K10" s="0" t="n">
        <f aca="false">-K6*K9/100</f>
        <v>-398.376226216696</v>
      </c>
      <c r="L10" s="0" t="n">
        <f aca="false">-L6*L9/100</f>
        <v>-410.327513003197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10389.6642</v>
      </c>
      <c r="D11" s="0" t="n">
        <f aca="false">D8+D10+D24</f>
        <v>11059.6224342</v>
      </c>
      <c r="E11" s="0" t="n">
        <f aca="false">E8+E10+E24</f>
        <v>11716.05659427</v>
      </c>
      <c r="F11" s="0" t="n">
        <f aca="false">F8+F10+F24</f>
        <v>12356.1722691225</v>
      </c>
      <c r="G11" s="0" t="n">
        <f aca="false">G8+G10+G24</f>
        <v>13025.7138675735</v>
      </c>
      <c r="H11" s="0" t="n">
        <f aca="false">H8+H10+H24</f>
        <v>13671.1819763272</v>
      </c>
      <c r="I11" s="0" t="n">
        <f aca="false">I8+I10+I24</f>
        <v>14341.3961035832</v>
      </c>
      <c r="J11" s="0" t="n">
        <f aca="false">J8+J10+J24</f>
        <v>14915.0519477265</v>
      </c>
      <c r="K11" s="0" t="n">
        <f aca="false">K8+K10+K24</f>
        <v>15437.078765897</v>
      </c>
      <c r="L11" s="0" t="n">
        <f aca="false">L8+L10+L24</f>
        <v>15900.1911288739</v>
      </c>
    </row>
    <row r="12" customFormat="false" ht="15" hidden="false" customHeight="false" outlineLevel="0" collapsed="false">
      <c r="A12" s="0" t="s">
        <v>123</v>
      </c>
      <c r="C12" s="4" t="n">
        <f aca="false">-C6*Assumptions!C31/100</f>
        <v>-1260.76824</v>
      </c>
      <c r="D12" s="4" t="n">
        <f aca="false">-D6*Assumptions!D31/100</f>
        <v>-1330.1104932</v>
      </c>
      <c r="E12" s="4" t="n">
        <f aca="false">-E6*Assumptions!E31/100</f>
        <v>-1396.61601786</v>
      </c>
      <c r="F12" s="4" t="n">
        <f aca="false">-F6*Assumptions!F31/100</f>
        <v>-1466.446818753</v>
      </c>
      <c r="G12" s="4" t="n">
        <f aca="false">-G6*Assumptions!G31/100</f>
        <v>-1532.43692559689</v>
      </c>
      <c r="H12" s="4" t="n">
        <f aca="false">-H6*Assumptions!H31/100</f>
        <v>-1601.39658724875</v>
      </c>
      <c r="I12" s="4" t="n">
        <f aca="false">-I6*Assumptions!I31/100</f>
        <v>-1665.45245073869</v>
      </c>
      <c r="J12" s="4" t="n">
        <f aca="false">-J6*Assumptions!J31/100</f>
        <v>-1732.07054876824</v>
      </c>
      <c r="K12" s="4" t="n">
        <f aca="false">-K6*Assumptions!K31/100</f>
        <v>-1792.69301797513</v>
      </c>
      <c r="L12" s="4" t="n">
        <f aca="false">-L6*Assumptions!L31/100</f>
        <v>-1846.47380851439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9128.89596</v>
      </c>
      <c r="D13" s="0" t="n">
        <f aca="false">D11+D12</f>
        <v>9729.511941</v>
      </c>
      <c r="E13" s="0" t="n">
        <f aca="false">E11+E12</f>
        <v>10319.44057641</v>
      </c>
      <c r="F13" s="0" t="n">
        <f aca="false">F11+F12</f>
        <v>10889.7254503695</v>
      </c>
      <c r="G13" s="0" t="n">
        <f aca="false">G11+G12</f>
        <v>11493.2769419766</v>
      </c>
      <c r="H13" s="0" t="n">
        <f aca="false">H11+H12</f>
        <v>12069.7853890785</v>
      </c>
      <c r="I13" s="0" t="n">
        <f aca="false">I11+I12</f>
        <v>12675.9436528445</v>
      </c>
      <c r="J13" s="0" t="n">
        <f aca="false">J11+J12</f>
        <v>13182.9813989583</v>
      </c>
      <c r="K13" s="0" t="n">
        <f aca="false">K11+K12</f>
        <v>13644.3857479218</v>
      </c>
      <c r="L13" s="0" t="n">
        <f aca="false">L11+L12</f>
        <v>14053.7173203595</v>
      </c>
    </row>
    <row r="14" customFormat="false" ht="15" hidden="false" customHeight="false" outlineLevel="0" collapsed="false">
      <c r="A14" s="0" t="s">
        <v>110</v>
      </c>
      <c r="C14" s="4" t="n">
        <f aca="false">Assumptions!C33</f>
        <v>27.5</v>
      </c>
      <c r="D14" s="4" t="n">
        <f aca="false">Assumptions!D33</f>
        <v>25</v>
      </c>
      <c r="E14" s="4" t="n">
        <f aca="false">Assumptions!E33</f>
        <v>25</v>
      </c>
      <c r="F14" s="4" t="n">
        <f aca="false">Assumptions!F33</f>
        <v>25</v>
      </c>
      <c r="G14" s="4" t="n">
        <f aca="false">Assumptions!G33</f>
        <v>25</v>
      </c>
      <c r="H14" s="4" t="n">
        <f aca="false">Assumptions!H33</f>
        <v>25</v>
      </c>
      <c r="I14" s="4" t="n">
        <f aca="false">Assumptions!I33</f>
        <v>25</v>
      </c>
      <c r="J14" s="4" t="n">
        <f aca="false">Assumptions!J33</f>
        <v>25</v>
      </c>
      <c r="K14" s="4" t="n">
        <f aca="false">Assumptions!K33</f>
        <v>25</v>
      </c>
      <c r="L14" s="4" t="n">
        <f aca="false">Assumptions!L33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6618.449571</v>
      </c>
      <c r="D15" s="0" t="n">
        <f aca="false">D13-MAX(0,D13)*D14/100</f>
        <v>7297.13395575</v>
      </c>
      <c r="E15" s="0" t="n">
        <f aca="false">E13-MAX(0,E13)*E14/100</f>
        <v>7739.5804323075</v>
      </c>
      <c r="F15" s="0" t="n">
        <f aca="false">F13-MAX(0,F13)*F14/100</f>
        <v>8167.29408777713</v>
      </c>
      <c r="G15" s="0" t="n">
        <f aca="false">G13-MAX(0,G13)*G14/100</f>
        <v>8619.95770648248</v>
      </c>
      <c r="H15" s="0" t="n">
        <f aca="false">H13-MAX(0,H13)*H14/100</f>
        <v>9052.33904180888</v>
      </c>
      <c r="I15" s="0" t="n">
        <f aca="false">I13-MAX(0,I13)*I14/100</f>
        <v>9506.95773963338</v>
      </c>
      <c r="J15" s="0" t="n">
        <f aca="false">J13-MAX(0,J13)*J14/100</f>
        <v>9887.23604921872</v>
      </c>
      <c r="K15" s="0" t="n">
        <f aca="false">K13-MAX(0,K13)*K14/100</f>
        <v>10233.2893109414</v>
      </c>
      <c r="L15" s="0" t="n">
        <f aca="false">L13-MAX(0,L13)*L14/100</f>
        <v>10540.2879902696</v>
      </c>
    </row>
    <row r="16" customFormat="false" ht="15" hidden="false" customHeight="false" outlineLevel="0" collapsed="false">
      <c r="A16" s="0" t="s">
        <v>126</v>
      </c>
      <c r="C16" s="0" t="n">
        <f aca="false">-C12</f>
        <v>1260.76824</v>
      </c>
      <c r="D16" s="0" t="n">
        <f aca="false">-D12</f>
        <v>1330.1104932</v>
      </c>
      <c r="E16" s="0" t="n">
        <f aca="false">-E12</f>
        <v>1396.61601786</v>
      </c>
      <c r="F16" s="0" t="n">
        <f aca="false">-F12</f>
        <v>1466.446818753</v>
      </c>
      <c r="G16" s="0" t="n">
        <f aca="false">-G12</f>
        <v>1532.43692559689</v>
      </c>
      <c r="H16" s="0" t="n">
        <f aca="false">-H12</f>
        <v>1601.39658724875</v>
      </c>
      <c r="I16" s="0" t="n">
        <f aca="false">-I12</f>
        <v>1665.45245073869</v>
      </c>
      <c r="J16" s="0" t="n">
        <f aca="false">-J12</f>
        <v>1732.07054876824</v>
      </c>
      <c r="K16" s="0" t="n">
        <f aca="false">-K12</f>
        <v>1792.69301797513</v>
      </c>
      <c r="L16" s="0" t="n">
        <f aca="false">-L12</f>
        <v>1846.47380851439</v>
      </c>
    </row>
    <row r="17" customFormat="false" ht="15" hidden="false" customHeight="false" outlineLevel="0" collapsed="false">
      <c r="A17" s="0" t="s">
        <v>127</v>
      </c>
      <c r="C17" s="4" t="n">
        <f aca="false">-C6*Assumptions!C32/100</f>
        <v>-1634.3292</v>
      </c>
      <c r="D17" s="4" t="n">
        <f aca="false">-D6*Assumptions!D32/100</f>
        <v>-1724.217306</v>
      </c>
      <c r="E17" s="4" t="n">
        <f aca="false">-E6*Assumptions!E32/100</f>
        <v>-1810.4281713</v>
      </c>
      <c r="F17" s="4" t="n">
        <f aca="false">-F6*Assumptions!F32/100</f>
        <v>-1900.949579865</v>
      </c>
      <c r="G17" s="4" t="n">
        <f aca="false">-G6*Assumptions!G32/100</f>
        <v>-1986.49231095893</v>
      </c>
      <c r="H17" s="4" t="n">
        <f aca="false">-H6*Assumptions!H32/100</f>
        <v>-2075.88446495208</v>
      </c>
      <c r="I17" s="4" t="n">
        <f aca="false">-I6*Assumptions!I32/100</f>
        <v>-2158.91984355016</v>
      </c>
      <c r="J17" s="4" t="n">
        <f aca="false">-J6*Assumptions!J32/100</f>
        <v>-2245.27663729217</v>
      </c>
      <c r="K17" s="4" t="n">
        <f aca="false">-K6*Assumptions!K32/100</f>
        <v>-2323.86131959739</v>
      </c>
      <c r="L17" s="4" t="n">
        <f aca="false">-L6*Assumptions!L32/100</f>
        <v>-2393.57715918531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(C6-B6)*Assumptions!$B$37/100</f>
        <v>-79.2936000000001</v>
      </c>
      <c r="D18" s="4" t="n">
        <f aca="false">(D6-C6)*Assumptions!$B$37/100</f>
        <v>-77.046948</v>
      </c>
      <c r="E18" s="4" t="n">
        <f aca="false">(E6-D6)*Assumptions!$B$37/100</f>
        <v>-73.8950274</v>
      </c>
      <c r="F18" s="4" t="n">
        <f aca="false">(F6-E6)*Assumptions!$B$37/100</f>
        <v>-77.5897787700001</v>
      </c>
      <c r="G18" s="4" t="n">
        <f aca="false">(G6-F6)*Assumptions!$B$37/100</f>
        <v>-73.3223409376499</v>
      </c>
      <c r="H18" s="4" t="n">
        <f aca="false">(H6-G6)*Assumptions!$B$37/100</f>
        <v>-76.621846279844</v>
      </c>
      <c r="I18" s="4" t="n">
        <f aca="false">(I6-H6)*Assumptions!$B$37/100</f>
        <v>-71.1731816554997</v>
      </c>
      <c r="J18" s="4" t="n">
        <f aca="false">(J6-I6)*Assumptions!$B$37/100</f>
        <v>-74.0201089217199</v>
      </c>
      <c r="K18" s="4" t="n">
        <f aca="false">(K6-J6)*Assumptions!$B$37/100</f>
        <v>-67.3582991187649</v>
      </c>
      <c r="L18" s="4" t="n">
        <f aca="false">(L6-K6)*Assumptions!$B$37/100</f>
        <v>-59.7564339325046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6165.595011</v>
      </c>
      <c r="D19" s="0" t="n">
        <f aca="false">D15+D16+D17+D18</f>
        <v>6825.98019495</v>
      </c>
      <c r="E19" s="0" t="n">
        <f aca="false">E15+E16+E17+E18</f>
        <v>7251.8732514675</v>
      </c>
      <c r="F19" s="0" t="n">
        <f aca="false">F15+F16+F17+F18</f>
        <v>7655.20154789513</v>
      </c>
      <c r="G19" s="0" t="n">
        <f aca="false">G15+G16+G17+G18</f>
        <v>8092.57998018279</v>
      </c>
      <c r="H19" s="0" t="n">
        <f aca="false">H15+H16+H17+H18</f>
        <v>8501.2293178257</v>
      </c>
      <c r="I19" s="0" t="n">
        <f aca="false">I15+I16+I17+I18</f>
        <v>8942.31716516642</v>
      </c>
      <c r="J19" s="0" t="n">
        <f aca="false">J15+J16+J17+J18</f>
        <v>9300.00985177307</v>
      </c>
      <c r="K19" s="0" t="n">
        <f aca="false">K15+K16+K17+K18</f>
        <v>9634.76271020034</v>
      </c>
      <c r="L19" s="0" t="n">
        <f aca="false">L15+L16+L17+L18</f>
        <v>9933.42820566618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5748.80653706294</v>
      </c>
      <c r="D21" s="0" t="n">
        <f aca="false">D19*D20</f>
        <v>5934.31263246777</v>
      </c>
      <c r="E21" s="0" t="n">
        <f aca="false">E19*E20</f>
        <v>5878.3887340944</v>
      </c>
      <c r="F21" s="0" t="n">
        <f aca="false">F19*F20</f>
        <v>5785.85340689663</v>
      </c>
      <c r="G21" s="0" t="n">
        <f aca="false">G19*G20</f>
        <v>5702.9622390943</v>
      </c>
      <c r="H21" s="0" t="n">
        <f aca="false">H19*H20</f>
        <v>5585.96134625579</v>
      </c>
      <c r="I21" s="0" t="n">
        <f aca="false">I19*I20</f>
        <v>5478.59205454201</v>
      </c>
      <c r="J21" s="0" t="n">
        <f aca="false">J19*J20</f>
        <v>5312.57411349529</v>
      </c>
      <c r="K21" s="0" t="n">
        <f aca="false">K19*K20</f>
        <v>5131.74792507656</v>
      </c>
      <c r="L21" s="0" t="n">
        <f aca="false">L19*L20</f>
        <v>4933.17075999197</v>
      </c>
    </row>
    <row r="23" customFormat="false" ht="15" hidden="false" customHeight="false" outlineLevel="0" collapsed="false">
      <c r="A23" s="0" t="s">
        <v>107</v>
      </c>
      <c r="C23" s="4" t="n">
        <f aca="false">Assumptions!C30</f>
        <v>1.15</v>
      </c>
      <c r="D23" s="4" t="n">
        <f aca="false">Assumptions!D30</f>
        <v>1.15</v>
      </c>
      <c r="E23" s="4" t="n">
        <f aca="false">Assumptions!E30</f>
        <v>1.15</v>
      </c>
      <c r="F23" s="4" t="n">
        <f aca="false">Assumptions!F30</f>
        <v>1.15</v>
      </c>
      <c r="G23" s="4" t="n">
        <f aca="false">Assumptions!G30</f>
        <v>1.15</v>
      </c>
      <c r="H23" s="4" t="n">
        <f aca="false">Assumptions!H30</f>
        <v>1.15</v>
      </c>
      <c r="I23" s="4" t="n">
        <f aca="false">Assumptions!I30</f>
        <v>1.15</v>
      </c>
      <c r="J23" s="4" t="n">
        <f aca="false">Assumptions!J30</f>
        <v>1.15</v>
      </c>
      <c r="K23" s="4" t="n">
        <f aca="false">Assumptions!K30</f>
        <v>1.15</v>
      </c>
      <c r="L23" s="4" t="n">
        <f aca="false">Assumptions!L30</f>
        <v>1.15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-536.99388</v>
      </c>
      <c r="D24" s="0" t="n">
        <f aca="false">-D6*D23/100</f>
        <v>-566.5285434</v>
      </c>
      <c r="E24" s="0" t="n">
        <f aca="false">-E6*E23/100</f>
        <v>-594.85497057</v>
      </c>
      <c r="F24" s="0" t="n">
        <f aca="false">-F6*F23/100</f>
        <v>-624.5977190985</v>
      </c>
      <c r="G24" s="0" t="n">
        <f aca="false">-G6*G23/100</f>
        <v>-652.704616457933</v>
      </c>
      <c r="H24" s="0" t="n">
        <f aca="false">-H6*H23/100</f>
        <v>-682.076324198539</v>
      </c>
      <c r="I24" s="0" t="n">
        <f aca="false">-I6*I23/100</f>
        <v>-709.359377166481</v>
      </c>
      <c r="J24" s="0" t="n">
        <f aca="false">-J6*J23/100</f>
        <v>-737.73375225314</v>
      </c>
      <c r="K24" s="0" t="n">
        <f aca="false">-K6*K23/100</f>
        <v>-763.554433582</v>
      </c>
      <c r="L24" s="0" t="n">
        <f aca="false">-L6*L23/100</f>
        <v>-786.46106658946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Assumptions!$B$34</f>
        <v>7.25</v>
      </c>
    </row>
    <row r="28" customFormat="false" ht="15" hidden="false" customHeight="false" outlineLevel="0" collapsed="false">
      <c r="A28" s="0" t="s">
        <v>112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113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55492.3697489777</v>
      </c>
    </row>
    <row r="31" customFormat="false" ht="15" hidden="false" customHeight="false" outlineLevel="0" collapsed="false">
      <c r="A31" s="0" t="s">
        <v>135</v>
      </c>
      <c r="B31" s="0" t="n">
        <f aca="false">L19</f>
        <v>9933.42820566618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214352.92443806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198668.564113324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198668.564113324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98663.4151998394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154155.784948817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160751.484948817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301.145531938586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-0.309774164706428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2352.47892118641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4397.31811762264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313.790337181765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81454.1112864627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123.066164936419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150</v>
      </c>
    </row>
    <row r="3" customFormat="false" ht="15" hidden="false" customHeight="false" outlineLevel="0" collapsed="false">
      <c r="A3" s="0" t="s">
        <v>119</v>
      </c>
      <c r="B3" s="0" t="s">
        <v>80</v>
      </c>
      <c r="C3" s="2" t="s">
        <v>94</v>
      </c>
      <c r="D3" s="2" t="s">
        <v>95</v>
      </c>
      <c r="E3" s="2" t="s">
        <v>96</v>
      </c>
      <c r="F3" s="2" t="s">
        <v>97</v>
      </c>
      <c r="G3" s="2" t="s">
        <v>98</v>
      </c>
      <c r="H3" s="2" t="s">
        <v>99</v>
      </c>
      <c r="I3" s="2" t="s">
        <v>100</v>
      </c>
      <c r="J3" s="2" t="s">
        <v>101</v>
      </c>
      <c r="K3" s="2" t="s">
        <v>102</v>
      </c>
      <c r="L3" s="2" t="s">
        <v>103</v>
      </c>
    </row>
    <row r="4" customFormat="false" ht="15" hidden="false" customHeight="false" outlineLevel="0" collapsed="false">
      <c r="A4" s="0" t="s">
        <v>120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104</v>
      </c>
      <c r="C5" s="4" t="n">
        <f aca="false">Assumptions!C41</f>
        <v>6.5</v>
      </c>
      <c r="D5" s="4" t="n">
        <f aca="false">Assumptions!D41</f>
        <v>7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5.5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44052</v>
      </c>
      <c r="C6" s="0" t="n">
        <f aca="false">B6*(1+C5/100)</f>
        <v>46915.38</v>
      </c>
      <c r="D6" s="0" t="n">
        <f aca="false">C6*(1+D5/100)</f>
        <v>50199.4566</v>
      </c>
      <c r="E6" s="0" t="n">
        <f aca="false">D6*(1+E5/100)</f>
        <v>53713.418562</v>
      </c>
      <c r="F6" s="0" t="n">
        <f aca="false">E6*(1+F5/100)</f>
        <v>57204.79076853</v>
      </c>
      <c r="G6" s="0" t="n">
        <f aca="false">F6*(1+G5/100)</f>
        <v>60637.0782146418</v>
      </c>
      <c r="H6" s="0" t="n">
        <f aca="false">G6*(1+H5/100)</f>
        <v>63972.1175164471</v>
      </c>
      <c r="I6" s="0" t="n">
        <f aca="false">H6*(1+I5/100)</f>
        <v>67170.7233922694</v>
      </c>
      <c r="J6" s="0" t="n">
        <f aca="false">I6*(1+J5/100)</f>
        <v>70193.4059449216</v>
      </c>
      <c r="K6" s="0" t="n">
        <f aca="false">J6*(1+K5/100)</f>
        <v>73001.1421827184</v>
      </c>
      <c r="L6" s="0" t="n">
        <f aca="false">K6*(1+L5/100)</f>
        <v>75556.1821591136</v>
      </c>
    </row>
    <row r="7" customFormat="false" ht="15" hidden="false" customHeight="false" outlineLevel="0" collapsed="false">
      <c r="A7" s="0" t="s">
        <v>105</v>
      </c>
      <c r="C7" s="4" t="n">
        <f aca="false">Assumptions!C42</f>
        <v>24.1</v>
      </c>
      <c r="D7" s="4" t="n">
        <f aca="false">Assumptions!D42</f>
        <v>24.5</v>
      </c>
      <c r="E7" s="4" t="n">
        <f aca="false">Assumptions!E42</f>
        <v>24.9</v>
      </c>
      <c r="F7" s="4" t="n">
        <f aca="false">Assumptions!F42</f>
        <v>25.2</v>
      </c>
      <c r="G7" s="4" t="n">
        <f aca="false">Assumptions!G42</f>
        <v>25.5</v>
      </c>
      <c r="H7" s="4" t="n">
        <f aca="false">Assumptions!H42</f>
        <v>25.8</v>
      </c>
      <c r="I7" s="4" t="n">
        <f aca="false">Assumptions!I42</f>
        <v>26</v>
      </c>
      <c r="J7" s="4" t="n">
        <f aca="false">Assumptions!J42</f>
        <v>26.2</v>
      </c>
      <c r="K7" s="4" t="n">
        <f aca="false">Assumptions!K42</f>
        <v>26.3</v>
      </c>
      <c r="L7" s="4" t="n">
        <f aca="false">Assumptions!L42</f>
        <v>26.5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11306.60658</v>
      </c>
      <c r="D8" s="0" t="n">
        <f aca="false">D6*D7/100</f>
        <v>12298.866867</v>
      </c>
      <c r="E8" s="0" t="n">
        <f aca="false">E6*E7/100</f>
        <v>13374.641221938</v>
      </c>
      <c r="F8" s="0" t="n">
        <f aca="false">F6*F7/100</f>
        <v>14415.6072736696</v>
      </c>
      <c r="G8" s="0" t="n">
        <f aca="false">G6*G7/100</f>
        <v>15462.4549447337</v>
      </c>
      <c r="H8" s="0" t="n">
        <f aca="false">H6*H7/100</f>
        <v>16504.8063192433</v>
      </c>
      <c r="I8" s="0" t="n">
        <f aca="false">I6*I7/100</f>
        <v>17464.3880819901</v>
      </c>
      <c r="J8" s="0" t="n">
        <f aca="false">J6*J7/100</f>
        <v>18390.6723575694</v>
      </c>
      <c r="K8" s="0" t="n">
        <f aca="false">K6*K7/100</f>
        <v>19199.3003940549</v>
      </c>
      <c r="L8" s="0" t="n">
        <f aca="false">L6*L7/100</f>
        <v>20022.3882721651</v>
      </c>
    </row>
    <row r="9" customFormat="false" ht="15" hidden="false" customHeight="false" outlineLevel="0" collapsed="false">
      <c r="A9" s="0" t="s">
        <v>106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121</v>
      </c>
      <c r="C10" s="0" t="n">
        <f aca="false">-C6*C9/100</f>
        <v>-281.49228</v>
      </c>
      <c r="D10" s="0" t="n">
        <f aca="false">-D6*D9/100</f>
        <v>-301.1967396</v>
      </c>
      <c r="E10" s="0" t="n">
        <f aca="false">-E6*E9/100</f>
        <v>-322.280511372</v>
      </c>
      <c r="F10" s="0" t="n">
        <f aca="false">-F6*F9/100</f>
        <v>-343.22874461118</v>
      </c>
      <c r="G10" s="0" t="n">
        <f aca="false">-G6*G9/100</f>
        <v>-363.822469287851</v>
      </c>
      <c r="H10" s="0" t="n">
        <f aca="false">-H6*H9/100</f>
        <v>-383.832705098683</v>
      </c>
      <c r="I10" s="0" t="n">
        <f aca="false">-I6*I9/100</f>
        <v>-403.024340353617</v>
      </c>
      <c r="J10" s="0" t="n">
        <f aca="false">-J6*J9/100</f>
        <v>-421.160435669529</v>
      </c>
      <c r="K10" s="0" t="n">
        <f aca="false">-K6*K9/100</f>
        <v>-438.006853096311</v>
      </c>
      <c r="L10" s="0" t="n">
        <f aca="false">-L6*L9/100</f>
        <v>-453.337092954681</v>
      </c>
    </row>
    <row r="11" customFormat="false" ht="15" hidden="false" customHeight="false" outlineLevel="0" collapsed="false">
      <c r="A11" s="0" t="s">
        <v>122</v>
      </c>
      <c r="C11" s="0" t="n">
        <f aca="false">C8+C10+C24</f>
        <v>10485.58743</v>
      </c>
      <c r="D11" s="0" t="n">
        <f aca="false">D8+D10+D24</f>
        <v>11420.3763765</v>
      </c>
      <c r="E11" s="0" t="n">
        <f aca="false">E8+E10+E24</f>
        <v>12434.656397103</v>
      </c>
      <c r="F11" s="0" t="n">
        <f aca="false">F8+F10+F24</f>
        <v>13414.5234352203</v>
      </c>
      <c r="G11" s="0" t="n">
        <f aca="false">G8+G10+G24</f>
        <v>14401.3060759774</v>
      </c>
      <c r="H11" s="0" t="n">
        <f aca="false">H8+H10+H24</f>
        <v>15385.2942627055</v>
      </c>
      <c r="I11" s="0" t="n">
        <f aca="false">I8+I10+I24</f>
        <v>16288.9004226253</v>
      </c>
      <c r="J11" s="0" t="n">
        <f aca="false">J8+J10+J24</f>
        <v>17162.2877535333</v>
      </c>
      <c r="K11" s="0" t="n">
        <f aca="false">K8+K10+K24</f>
        <v>17921.7804058574</v>
      </c>
      <c r="L11" s="0" t="n">
        <f aca="false">L8+L10+L24</f>
        <v>18700.1550843806</v>
      </c>
    </row>
    <row r="12" customFormat="false" ht="15" hidden="false" customHeight="false" outlineLevel="0" collapsed="false">
      <c r="A12" s="0" t="s">
        <v>123</v>
      </c>
      <c r="C12" s="4" t="n">
        <f aca="false">-C6*Assumptions!C45/100</f>
        <v>-1266.71526</v>
      </c>
      <c r="D12" s="4" t="n">
        <f aca="false">-D6*Assumptions!D45/100</f>
        <v>-1355.3853282</v>
      </c>
      <c r="E12" s="4" t="n">
        <f aca="false">-E6*Assumptions!E45/100</f>
        <v>-1450.262301174</v>
      </c>
      <c r="F12" s="4" t="n">
        <f aca="false">-F6*Assumptions!F45/100</f>
        <v>-1544.52935075031</v>
      </c>
      <c r="G12" s="4" t="n">
        <f aca="false">-G6*Assumptions!G45/100</f>
        <v>-1637.20111179533</v>
      </c>
      <c r="H12" s="4" t="n">
        <f aca="false">-H6*Assumptions!H45/100</f>
        <v>-1727.24717294407</v>
      </c>
      <c r="I12" s="4" t="n">
        <f aca="false">-I6*Assumptions!I45/100</f>
        <v>-1813.60953159128</v>
      </c>
      <c r="J12" s="4" t="n">
        <f aca="false">-J6*Assumptions!J45/100</f>
        <v>-1895.22196051288</v>
      </c>
      <c r="K12" s="4" t="n">
        <f aca="false">-K6*Assumptions!K45/100</f>
        <v>-1971.0308389334</v>
      </c>
      <c r="L12" s="4" t="n">
        <f aca="false">-L6*Assumptions!L45/100</f>
        <v>-2040.01691829607</v>
      </c>
    </row>
    <row r="13" customFormat="false" ht="15" hidden="false" customHeight="false" outlineLevel="0" collapsed="false">
      <c r="A13" s="0" t="s">
        <v>124</v>
      </c>
      <c r="C13" s="0" t="n">
        <f aca="false">C11+C12</f>
        <v>9218.87217</v>
      </c>
      <c r="D13" s="0" t="n">
        <f aca="false">D11+D12</f>
        <v>10064.9910483</v>
      </c>
      <c r="E13" s="0" t="n">
        <f aca="false">E11+E12</f>
        <v>10984.394095929</v>
      </c>
      <c r="F13" s="0" t="n">
        <f aca="false">F11+F12</f>
        <v>11869.99408447</v>
      </c>
      <c r="G13" s="0" t="n">
        <f aca="false">G11+G12</f>
        <v>12764.1049641821</v>
      </c>
      <c r="H13" s="0" t="n">
        <f aca="false">H11+H12</f>
        <v>13658.0470897615</v>
      </c>
      <c r="I13" s="0" t="n">
        <f aca="false">I11+I12</f>
        <v>14475.2908910341</v>
      </c>
      <c r="J13" s="0" t="n">
        <f aca="false">J11+J12</f>
        <v>15267.0657930204</v>
      </c>
      <c r="K13" s="0" t="n">
        <f aca="false">K11+K12</f>
        <v>15950.749566924</v>
      </c>
      <c r="L13" s="0" t="n">
        <f aca="false">L11+L12</f>
        <v>16660.1381660845</v>
      </c>
    </row>
    <row r="14" customFormat="false" ht="15" hidden="false" customHeight="false" outlineLevel="0" collapsed="false">
      <c r="A14" s="0" t="s">
        <v>110</v>
      </c>
      <c r="C14" s="4" t="n">
        <f aca="false">Assumptions!C47</f>
        <v>27.5</v>
      </c>
      <c r="D14" s="4" t="n">
        <f aca="false">Assumptions!D47</f>
        <v>25</v>
      </c>
      <c r="E14" s="4" t="n">
        <f aca="false">Assumptions!E47</f>
        <v>25</v>
      </c>
      <c r="F14" s="4" t="n">
        <f aca="false">Assumptions!F47</f>
        <v>25</v>
      </c>
      <c r="G14" s="4" t="n">
        <f aca="false">Assumptions!G47</f>
        <v>25</v>
      </c>
      <c r="H14" s="4" t="n">
        <f aca="false">Assumptions!H47</f>
        <v>25</v>
      </c>
      <c r="I14" s="4" t="n">
        <f aca="false">Assumptions!I47</f>
        <v>25</v>
      </c>
      <c r="J14" s="4" t="n">
        <f aca="false">Assumptions!J47</f>
        <v>25</v>
      </c>
      <c r="K14" s="4" t="n">
        <f aca="false">Assumptions!K47</f>
        <v>25</v>
      </c>
      <c r="L14" s="4" t="n">
        <f aca="false">Assumptions!L47</f>
        <v>25</v>
      </c>
    </row>
    <row r="15" customFormat="false" ht="15" hidden="false" customHeight="false" outlineLevel="0" collapsed="false">
      <c r="A15" s="0" t="s">
        <v>125</v>
      </c>
      <c r="C15" s="0" t="n">
        <f aca="false">C13-MAX(0,C13)*C14/100</f>
        <v>6683.68232325</v>
      </c>
      <c r="D15" s="0" t="n">
        <f aca="false">D13-MAX(0,D13)*D14/100</f>
        <v>7548.743286225</v>
      </c>
      <c r="E15" s="0" t="n">
        <f aca="false">E13-MAX(0,E13)*E14/100</f>
        <v>8238.29557194675</v>
      </c>
      <c r="F15" s="0" t="n">
        <f aca="false">F13-MAX(0,F13)*F14/100</f>
        <v>8902.49556335248</v>
      </c>
      <c r="G15" s="0" t="n">
        <f aca="false">G13-MAX(0,G13)*G14/100</f>
        <v>9573.07872313657</v>
      </c>
      <c r="H15" s="0" t="n">
        <f aca="false">H13-MAX(0,H13)*H14/100</f>
        <v>10243.5353173211</v>
      </c>
      <c r="I15" s="0" t="n">
        <f aca="false">I13-MAX(0,I13)*I14/100</f>
        <v>10856.4681682755</v>
      </c>
      <c r="J15" s="0" t="n">
        <f aca="false">J13-MAX(0,J13)*J14/100</f>
        <v>11450.2993447653</v>
      </c>
      <c r="K15" s="0" t="n">
        <f aca="false">K13-MAX(0,K13)*K14/100</f>
        <v>11963.062175193</v>
      </c>
      <c r="L15" s="0" t="n">
        <f aca="false">L13-MAX(0,L13)*L14/100</f>
        <v>12495.1036245634</v>
      </c>
    </row>
    <row r="16" customFormat="false" ht="15" hidden="false" customHeight="false" outlineLevel="0" collapsed="false">
      <c r="A16" s="0" t="s">
        <v>126</v>
      </c>
      <c r="C16" s="0" t="n">
        <f aca="false">-C12</f>
        <v>1266.71526</v>
      </c>
      <c r="D16" s="0" t="n">
        <f aca="false">-D12</f>
        <v>1355.3853282</v>
      </c>
      <c r="E16" s="0" t="n">
        <f aca="false">-E12</f>
        <v>1450.262301174</v>
      </c>
      <c r="F16" s="0" t="n">
        <f aca="false">-F12</f>
        <v>1544.52935075031</v>
      </c>
      <c r="G16" s="0" t="n">
        <f aca="false">-G12</f>
        <v>1637.20111179533</v>
      </c>
      <c r="H16" s="0" t="n">
        <f aca="false">-H12</f>
        <v>1727.24717294407</v>
      </c>
      <c r="I16" s="0" t="n">
        <f aca="false">-I12</f>
        <v>1813.60953159128</v>
      </c>
      <c r="J16" s="0" t="n">
        <f aca="false">-J12</f>
        <v>1895.22196051288</v>
      </c>
      <c r="K16" s="0" t="n">
        <f aca="false">-K12</f>
        <v>1971.0308389334</v>
      </c>
      <c r="L16" s="0" t="n">
        <f aca="false">-L12</f>
        <v>2040.01691829607</v>
      </c>
    </row>
    <row r="17" customFormat="false" ht="15" hidden="false" customHeight="false" outlineLevel="0" collapsed="false">
      <c r="A17" s="0" t="s">
        <v>127</v>
      </c>
      <c r="C17" s="4" t="n">
        <f aca="false">-C6*Assumptions!C46/100</f>
        <v>-1642.0383</v>
      </c>
      <c r="D17" s="4" t="n">
        <f aca="false">-D6*Assumptions!D46/100</f>
        <v>-1756.980981</v>
      </c>
      <c r="E17" s="4" t="n">
        <f aca="false">-E6*Assumptions!E46/100</f>
        <v>-1879.96964967</v>
      </c>
      <c r="F17" s="4" t="n">
        <f aca="false">-F6*Assumptions!F46/100</f>
        <v>-2002.16767689855</v>
      </c>
      <c r="G17" s="4" t="n">
        <f aca="false">-G6*Assumptions!G46/100</f>
        <v>-2122.29773751246</v>
      </c>
      <c r="H17" s="4" t="n">
        <f aca="false">-H6*Assumptions!H46/100</f>
        <v>-2239.02411307565</v>
      </c>
      <c r="I17" s="4" t="n">
        <f aca="false">-I6*Assumptions!I46/100</f>
        <v>-2350.97531872943</v>
      </c>
      <c r="J17" s="4" t="n">
        <f aca="false">-J6*Assumptions!J46/100</f>
        <v>-2456.76920807225</v>
      </c>
      <c r="K17" s="4" t="n">
        <f aca="false">-K6*Assumptions!K46/100</f>
        <v>-2555.03997639514</v>
      </c>
      <c r="L17" s="4" t="n">
        <f aca="false">-L6*Assumptions!L46/100</f>
        <v>-2644.46637556898</v>
      </c>
    </row>
    <row r="18" customFormat="false" ht="15" hidden="false" customHeight="false" outlineLevel="0" collapsed="false">
      <c r="A18" s="0" t="s">
        <v>128</v>
      </c>
      <c r="C18" s="4" t="n">
        <f aca="false">(C6-B6)*Assumptions!$B$51/100</f>
        <v>-85.9013999999999</v>
      </c>
      <c r="D18" s="4" t="n">
        <f aca="false">(D6-C6)*Assumptions!$B$51/100</f>
        <v>-98.522298</v>
      </c>
      <c r="E18" s="4" t="n">
        <f aca="false">(E6-D6)*Assumptions!$B$51/100</f>
        <v>-105.41885886</v>
      </c>
      <c r="F18" s="4" t="n">
        <f aca="false">(F6-E6)*Assumptions!$B$51/100</f>
        <v>-104.7411661959</v>
      </c>
      <c r="G18" s="4" t="n">
        <f aca="false">(G6-F6)*Assumptions!$B$51/100</f>
        <v>-102.968623383354</v>
      </c>
      <c r="H18" s="4" t="n">
        <f aca="false">(H6-G6)*Assumptions!$B$51/100</f>
        <v>-100.051179054159</v>
      </c>
      <c r="I18" s="4" t="n">
        <f aca="false">(I6-H6)*Assumptions!$B$51/100</f>
        <v>-95.9581762746706</v>
      </c>
      <c r="J18" s="4" t="n">
        <f aca="false">(J6-I6)*Assumptions!$B$51/100</f>
        <v>-90.6804765795634</v>
      </c>
      <c r="K18" s="4" t="n">
        <f aca="false">(K6-J6)*Assumptions!$B$51/100</f>
        <v>-84.232087133906</v>
      </c>
      <c r="L18" s="4" t="n">
        <f aca="false">(L6-K6)*Assumptions!$B$51/100</f>
        <v>-76.6511992918543</v>
      </c>
    </row>
    <row r="19" customFormat="false" ht="15" hidden="false" customHeight="false" outlineLevel="0" collapsed="false">
      <c r="A19" s="0" t="s">
        <v>129</v>
      </c>
      <c r="C19" s="0" t="n">
        <f aca="false">C15+C16+C17+C18</f>
        <v>6222.45788325</v>
      </c>
      <c r="D19" s="0" t="n">
        <f aca="false">D15+D16+D17+D18</f>
        <v>7048.625335425</v>
      </c>
      <c r="E19" s="0" t="n">
        <f aca="false">E15+E16+E17+E18</f>
        <v>7703.16936459075</v>
      </c>
      <c r="F19" s="0" t="n">
        <f aca="false">F15+F16+F17+F18</f>
        <v>8340.11607100834</v>
      </c>
      <c r="G19" s="0" t="n">
        <f aca="false">G15+G16+G17+G18</f>
        <v>8985.01347403609</v>
      </c>
      <c r="H19" s="0" t="n">
        <f aca="false">H15+H16+H17+H18</f>
        <v>9631.70719813536</v>
      </c>
      <c r="I19" s="0" t="n">
        <f aca="false">I15+I16+I17+I18</f>
        <v>10223.1442048627</v>
      </c>
      <c r="J19" s="0" t="n">
        <f aca="false">J15+J16+J17+J18</f>
        <v>10798.0716206264</v>
      </c>
      <c r="K19" s="0" t="n">
        <f aca="false">K15+K16+K17+K18</f>
        <v>11294.8209505973</v>
      </c>
      <c r="L19" s="0" t="n">
        <f aca="false">L15+L16+L17+L18</f>
        <v>11814.0029679986</v>
      </c>
    </row>
    <row r="20" customFormat="false" ht="15" hidden="false" customHeight="false" outlineLevel="0" collapsed="false">
      <c r="A20" s="0" t="s">
        <v>130</v>
      </c>
      <c r="C20" s="0" t="n">
        <f aca="false">1/(1+$B$27/100)^C4</f>
        <v>0.932400932400932</v>
      </c>
      <c r="D20" s="0" t="n">
        <f aca="false">1/(1+$B$27/100)^D4</f>
        <v>0.869371498742128</v>
      </c>
      <c r="E20" s="0" t="n">
        <f aca="false">1/(1+$B$27/100)^E4</f>
        <v>0.810602796029956</v>
      </c>
      <c r="F20" s="0" t="n">
        <f aca="false">1/(1+$B$27/100)^F4</f>
        <v>0.755806802825134</v>
      </c>
      <c r="G20" s="0" t="n">
        <f aca="false">1/(1+$B$27/100)^G4</f>
        <v>0.704714967669123</v>
      </c>
      <c r="H20" s="0" t="n">
        <f aca="false">1/(1+$B$27/100)^H4</f>
        <v>0.657076892931583</v>
      </c>
      <c r="I20" s="0" t="n">
        <f aca="false">1/(1+$B$27/100)^I4</f>
        <v>0.612659107628516</v>
      </c>
      <c r="J20" s="0" t="n">
        <f aca="false">1/(1+$B$27/100)^J4</f>
        <v>0.571243923196751</v>
      </c>
      <c r="K20" s="0" t="n">
        <f aca="false">1/(1+$B$27/100)^K4</f>
        <v>0.532628366617017</v>
      </c>
      <c r="L20" s="0" t="n">
        <f aca="false">1/(1+$B$27/100)^L4</f>
        <v>0.496623185656893</v>
      </c>
    </row>
    <row r="21" customFormat="false" ht="15" hidden="false" customHeight="false" outlineLevel="0" collapsed="false">
      <c r="A21" s="0" t="s">
        <v>131</v>
      </c>
      <c r="C21" s="0" t="n">
        <f aca="false">C19*C20</f>
        <v>5801.82553216783</v>
      </c>
      <c r="D21" s="0" t="n">
        <f aca="false">D19*D20</f>
        <v>6127.87397193017</v>
      </c>
      <c r="E21" s="0" t="n">
        <f aca="false">E19*E20</f>
        <v>6244.21062522956</v>
      </c>
      <c r="F21" s="0" t="n">
        <f aca="false">F19*F20</f>
        <v>6303.51646281933</v>
      </c>
      <c r="G21" s="0" t="n">
        <f aca="false">G19*G20</f>
        <v>6331.87347986197</v>
      </c>
      <c r="H21" s="0" t="n">
        <f aca="false">H19*H20</f>
        <v>6328.77223937754</v>
      </c>
      <c r="I21" s="0" t="n">
        <f aca="false">I19*I20</f>
        <v>6263.30240570883</v>
      </c>
      <c r="J21" s="0" t="n">
        <f aca="false">J19*J20</f>
        <v>6168.33279552612</v>
      </c>
      <c r="K21" s="0" t="n">
        <f aca="false">K19*K20</f>
        <v>6015.94203414832</v>
      </c>
      <c r="L21" s="0" t="n">
        <f aca="false">L19*L20</f>
        <v>5867.10778932747</v>
      </c>
    </row>
    <row r="23" customFormat="false" ht="15" hidden="false" customHeight="false" outlineLevel="0" collapsed="false">
      <c r="A23" s="0" t="s">
        <v>107</v>
      </c>
      <c r="C23" s="4" t="n">
        <f aca="false">Assumptions!C44</f>
        <v>1.15</v>
      </c>
      <c r="D23" s="4" t="n">
        <f aca="false">Assumptions!D44</f>
        <v>1.15</v>
      </c>
      <c r="E23" s="4" t="n">
        <f aca="false">Assumptions!E44</f>
        <v>1.15</v>
      </c>
      <c r="F23" s="4" t="n">
        <f aca="false">Assumptions!F44</f>
        <v>1.15</v>
      </c>
      <c r="G23" s="4" t="n">
        <f aca="false">Assumptions!G44</f>
        <v>1.15</v>
      </c>
      <c r="H23" s="4" t="n">
        <f aca="false">Assumptions!H44</f>
        <v>1.15</v>
      </c>
      <c r="I23" s="4" t="n">
        <f aca="false">Assumptions!I44</f>
        <v>1.15</v>
      </c>
      <c r="J23" s="4" t="n">
        <f aca="false">Assumptions!J44</f>
        <v>1.15</v>
      </c>
      <c r="K23" s="4" t="n">
        <f aca="false">Assumptions!K44</f>
        <v>1.15</v>
      </c>
      <c r="L23" s="4" t="n">
        <f aca="false">Assumptions!L44</f>
        <v>1.15</v>
      </c>
    </row>
    <row r="24" customFormat="false" ht="15" hidden="false" customHeight="false" outlineLevel="0" collapsed="false">
      <c r="A24" s="0" t="s">
        <v>132</v>
      </c>
      <c r="C24" s="0" t="n">
        <f aca="false">-C6*C23/100</f>
        <v>-539.52687</v>
      </c>
      <c r="D24" s="0" t="n">
        <f aca="false">-D6*D23/100</f>
        <v>-577.2937509</v>
      </c>
      <c r="E24" s="0" t="n">
        <f aca="false">-E6*E23/100</f>
        <v>-617.704313463</v>
      </c>
      <c r="F24" s="0" t="n">
        <f aca="false">-F6*F23/100</f>
        <v>-657.855093838095</v>
      </c>
      <c r="G24" s="0" t="n">
        <f aca="false">-G6*G23/100</f>
        <v>-697.326399468381</v>
      </c>
      <c r="H24" s="0" t="n">
        <f aca="false">-H6*H23/100</f>
        <v>-735.679351439141</v>
      </c>
      <c r="I24" s="0" t="n">
        <f aca="false">-I6*I23/100</f>
        <v>-772.463319011099</v>
      </c>
      <c r="J24" s="0" t="n">
        <f aca="false">-J6*J23/100</f>
        <v>-807.224168366598</v>
      </c>
      <c r="K24" s="0" t="n">
        <f aca="false">-K6*K23/100</f>
        <v>-839.513135101262</v>
      </c>
      <c r="L24" s="0" t="n">
        <f aca="false">-L6*L23/100</f>
        <v>-868.896094829806</v>
      </c>
    </row>
    <row r="26" customFormat="false" ht="15" hidden="false" customHeight="false" outlineLevel="0" collapsed="false">
      <c r="A26" s="2" t="s">
        <v>133</v>
      </c>
    </row>
    <row r="27" customFormat="false" ht="15" hidden="false" customHeight="false" outlineLevel="0" collapsed="false">
      <c r="A27" s="0" t="s">
        <v>111</v>
      </c>
      <c r="B27" s="4" t="n">
        <f aca="false">Assumptions!$B$48</f>
        <v>7.25</v>
      </c>
    </row>
    <row r="28" customFormat="false" ht="15" hidden="false" customHeight="false" outlineLevel="0" collapsed="false">
      <c r="A28" s="0" t="s">
        <v>112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113</v>
      </c>
      <c r="B29" s="4" t="n">
        <f aca="false">Assumptions!$B$50</f>
        <v>22</v>
      </c>
    </row>
    <row r="30" customFormat="false" ht="15" hidden="false" customHeight="false" outlineLevel="0" collapsed="false">
      <c r="A30" s="0" t="s">
        <v>134</v>
      </c>
      <c r="B30" s="0" t="n">
        <f aca="false">SUM(C21:L21)</f>
        <v>61452.7573360971</v>
      </c>
    </row>
    <row r="31" customFormat="false" ht="15" hidden="false" customHeight="false" outlineLevel="0" collapsed="false">
      <c r="A31" s="0" t="s">
        <v>135</v>
      </c>
      <c r="B31" s="0" t="n">
        <f aca="false">L19</f>
        <v>11814.0029679986</v>
      </c>
    </row>
    <row r="32" customFormat="false" ht="15" hidden="false" customHeight="false" outlineLevel="0" collapsed="false">
      <c r="A32" s="0" t="s">
        <v>136</v>
      </c>
      <c r="B32" s="0" t="n">
        <f aca="false">IF(B27&gt;B28,B31*(1+B28/100)/((B27-B28)/100),B31*B29)</f>
        <v>286315.836636202</v>
      </c>
    </row>
    <row r="33" customFormat="false" ht="15" hidden="false" customHeight="false" outlineLevel="0" collapsed="false">
      <c r="A33" s="0" t="s">
        <v>137</v>
      </c>
      <c r="B33" s="0" t="n">
        <f aca="false">B31*B29</f>
        <v>259908.06529597</v>
      </c>
    </row>
    <row r="34" customFormat="false" ht="15" hidden="false" customHeight="false" outlineLevel="0" collapsed="false">
      <c r="A34" s="0" t="s">
        <v>138</v>
      </c>
      <c r="B34" s="0" t="n">
        <f aca="false">MAX(0,MIN(B32,B33))</f>
        <v>259908.06529597</v>
      </c>
    </row>
    <row r="35" customFormat="false" ht="15" hidden="false" customHeight="false" outlineLevel="0" collapsed="false">
      <c r="A35" s="0" t="s">
        <v>139</v>
      </c>
      <c r="B35" s="0" t="n">
        <f aca="false">B34/(1+B27/100)^L4</f>
        <v>129076.371365204</v>
      </c>
    </row>
    <row r="36" customFormat="false" ht="15" hidden="false" customHeight="false" outlineLevel="0" collapsed="false">
      <c r="A36" s="0" t="s">
        <v>140</v>
      </c>
      <c r="B36" s="0" t="n">
        <f aca="false">B30+B35</f>
        <v>190529.128701302</v>
      </c>
    </row>
    <row r="37" customFormat="false" ht="15" hidden="false" customHeight="false" outlineLevel="0" collapsed="false">
      <c r="A37" s="0" t="s">
        <v>141</v>
      </c>
      <c r="B37" s="0" t="n">
        <f aca="false">B36+Assumptions!$B$5-Assumptions!$B$4</f>
        <v>197124.828701302</v>
      </c>
    </row>
    <row r="38" customFormat="false" ht="15" hidden="false" customHeight="false" outlineLevel="0" collapsed="false">
      <c r="A38" s="0" t="s">
        <v>142</v>
      </c>
      <c r="B38" s="0" t="n">
        <f aca="false">B37/Assumptions!$B$3*Assumptions!$B$10</f>
        <v>369.285928627391</v>
      </c>
    </row>
    <row r="39" customFormat="false" ht="15" hidden="false" customHeight="false" outlineLevel="0" collapsed="false">
      <c r="A39" s="0" t="s">
        <v>143</v>
      </c>
      <c r="B39" s="4" t="n">
        <f aca="false">B38/Assumptions!$B$2-1</f>
        <v>-0.153596313024544</v>
      </c>
    </row>
    <row r="41" customFormat="false" ht="15" hidden="false" customHeight="false" outlineLevel="0" collapsed="false">
      <c r="A41" s="0" t="s">
        <v>144</v>
      </c>
      <c r="B41" s="0" t="n">
        <f aca="false">SUMPRODUCT(-C10:L10/(1+$B$27/100)^C4:L4)</f>
        <v>2499.50482822965</v>
      </c>
    </row>
    <row r="42" customFormat="false" ht="15" hidden="false" customHeight="false" outlineLevel="0" collapsed="false">
      <c r="A42" s="0" t="s">
        <v>145</v>
      </c>
      <c r="B42" s="0" t="n">
        <f aca="false">IF(B27&gt;B28,-L10*(1+B28/100)/((B27-B28)/100),-L10*20)/(1+B27/100)^L4</f>
        <v>5456.27864983474</v>
      </c>
    </row>
    <row r="43" customFormat="false" ht="15" hidden="false" customHeight="false" outlineLevel="0" collapsed="false">
      <c r="A43" s="0" t="s">
        <v>146</v>
      </c>
      <c r="B43" s="0" t="n">
        <f aca="false">(B37+B41+B42)/Assumptions!$B$3*Assumptions!$B$10</f>
        <v>384.189981602409</v>
      </c>
    </row>
    <row r="45" customFormat="false" ht="15" hidden="false" customHeight="false" outlineLevel="0" collapsed="false">
      <c r="A45" s="0" t="s">
        <v>87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147</v>
      </c>
      <c r="B46" s="0" t="n">
        <f aca="false">MAX(0,MIN(IF(B45&gt;B28,B31*(1+B28/100)/((B45-B28)/100),B31*B29),B31*B29))</f>
        <v>101403.525475322</v>
      </c>
    </row>
    <row r="47" customFormat="false" ht="15" hidden="false" customHeight="false" outlineLevel="0" collapsed="false">
      <c r="A47" s="0" t="s">
        <v>148</v>
      </c>
      <c r="B47" s="0" t="n">
        <f aca="false">(SUMPRODUCT(C19:L19/(1+B45/100)^C4:L4)+B46/(1+B45/100)^L4+Assumptions!$B$5-Assumptions!$B$4)/Assumptions!$B$3*Assumptions!$B$10</f>
        <v>139.322682741276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2" t="s">
        <v>152</v>
      </c>
      <c r="B3" s="2" t="s">
        <v>153</v>
      </c>
      <c r="C3" s="2" t="s">
        <v>143</v>
      </c>
      <c r="D3" s="2" t="s">
        <v>154</v>
      </c>
      <c r="E3" s="2" t="s">
        <v>146</v>
      </c>
      <c r="F3" s="2" t="s">
        <v>155</v>
      </c>
    </row>
    <row r="4" customFormat="false" ht="15" hidden="false" customHeight="false" outlineLevel="0" collapsed="false">
      <c r="A4" s="0" t="s">
        <v>156</v>
      </c>
      <c r="B4" s="4" t="n">
        <f aca="false">DCF_Bear!$B$38</f>
        <v>225.167444808688</v>
      </c>
      <c r="C4" s="0" t="n">
        <f aca="false">B4/Assumptions!$B$2-1</f>
        <v>-0.48391601006489</v>
      </c>
      <c r="D4" s="4" t="n">
        <f aca="false">Assumptions!$B$24</f>
        <v>0.2</v>
      </c>
      <c r="E4" s="4" t="n">
        <f aca="false">DCF_Bear!$B$43</f>
        <v>235.467149805844</v>
      </c>
      <c r="F4" s="4" t="n">
        <f aca="false">DCF_Bear!$B$47</f>
        <v>101.743448282523</v>
      </c>
    </row>
    <row r="5" customFormat="false" ht="15" hidden="false" customHeight="false" outlineLevel="0" collapsed="false">
      <c r="A5" s="0" t="s">
        <v>157</v>
      </c>
      <c r="B5" s="4" t="n">
        <f aca="false">DCF_Base!$B$38</f>
        <v>301.145531938586</v>
      </c>
      <c r="C5" s="0" t="n">
        <f aca="false">B5/Assumptions!$B$2-1</f>
        <v>-0.309774164706428</v>
      </c>
      <c r="D5" s="4" t="n">
        <f aca="false">Assumptions!$B$38</f>
        <v>0.5</v>
      </c>
      <c r="E5" s="4" t="n">
        <f aca="false">DCF_Base!$B$43</f>
        <v>313.790337181765</v>
      </c>
      <c r="F5" s="4" t="n">
        <f aca="false">DCF_Base!$B$47</f>
        <v>123.066164936419</v>
      </c>
    </row>
    <row r="6" customFormat="false" ht="15" hidden="false" customHeight="false" outlineLevel="0" collapsed="false">
      <c r="A6" s="0" t="s">
        <v>158</v>
      </c>
      <c r="B6" s="4" t="n">
        <f aca="false">DCF_Bull!$B$38</f>
        <v>369.285928627391</v>
      </c>
      <c r="C6" s="0" t="n">
        <f aca="false">B6/Assumptions!$B$2-1</f>
        <v>-0.153596313024544</v>
      </c>
      <c r="D6" s="4" t="n">
        <f aca="false">Assumptions!$B$52</f>
        <v>0.3</v>
      </c>
      <c r="E6" s="4" t="n">
        <f aca="false">DCF_Bull!$B$43</f>
        <v>384.189981602409</v>
      </c>
      <c r="F6" s="4" t="n">
        <f aca="false">DCF_Bull!$B$47</f>
        <v>139.322682741276</v>
      </c>
    </row>
    <row r="8" customFormat="false" ht="15" hidden="false" customHeight="false" outlineLevel="0" collapsed="false">
      <c r="A8" s="0" t="s">
        <v>159</v>
      </c>
      <c r="B8" s="0" t="n">
        <f aca="false">SUMPRODUCT(B4:B6,D4:D6)</f>
        <v>306.392033519248</v>
      </c>
    </row>
    <row r="9" customFormat="false" ht="15" hidden="false" customHeight="false" outlineLevel="0" collapsed="false">
      <c r="A9" s="0" t="s">
        <v>160</v>
      </c>
      <c r="B9" s="0" t="n">
        <f aca="false">SUMPRODUCT(E4:E6,D4:D6)</f>
        <v>319.245593032774</v>
      </c>
    </row>
    <row r="10" customFormat="false" ht="15" hidden="false" customHeight="false" outlineLevel="0" collapsed="false">
      <c r="A10" s="0" t="s">
        <v>161</v>
      </c>
      <c r="B10" s="0" t="n">
        <f aca="false">1-Assumptions!$B$2/B8</f>
        <v>-0.4239926377609</v>
      </c>
    </row>
    <row r="11" customFormat="false" ht="15" hidden="false" customHeight="false" outlineLevel="0" collapsed="false">
      <c r="A11" s="0" t="s">
        <v>162</v>
      </c>
      <c r="B11" s="0" t="n">
        <f aca="false">IF(ABS(B9-B8)&gt;0.01*ABS(B8),(Assumptions!$B$2-B8)/(B9-B8)*100,"n/a")</f>
        <v>1010.67697507486</v>
      </c>
    </row>
    <row r="12" customFormat="false" ht="15" hidden="false" customHeight="false" outlineLevel="0" collapsed="false">
      <c r="A12" s="0" t="s">
        <v>163</v>
      </c>
      <c r="B12" s="0" t="n">
        <f aca="false">SUMPRODUCT(F4:F6,D4:D6)</f>
        <v>123.678576947097</v>
      </c>
    </row>
    <row r="14" customFormat="false" ht="15" hidden="false" customHeight="false" outlineLevel="0" collapsed="false">
      <c r="A14" s="2" t="s">
        <v>164</v>
      </c>
      <c r="C14" s="0" t="s">
        <v>165</v>
      </c>
    </row>
    <row r="15" customFormat="false" ht="15" hidden="false" customHeight="false" outlineLevel="0" collapsed="false">
      <c r="A15" s="0" t="s">
        <v>166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301.145531938586</v>
      </c>
      <c r="C15" s="3" t="n">
        <v>7.25</v>
      </c>
    </row>
    <row r="16" customFormat="false" ht="15" hidden="false" customHeight="false" outlineLevel="0" collapsed="false">
      <c r="A16" s="0" t="s">
        <v>167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231.749251641096</v>
      </c>
      <c r="C16" s="3" t="n">
        <v>9</v>
      </c>
    </row>
    <row r="17" customFormat="false" ht="15" hidden="false" customHeight="false" outlineLevel="0" collapsed="false">
      <c r="A17" s="0" t="s">
        <v>168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201.435090303866</v>
      </c>
      <c r="C17" s="3" t="n">
        <v>10</v>
      </c>
    </row>
    <row r="18" customFormat="false" ht="15" hidden="false" customHeight="false" outlineLevel="0" collapsed="false">
      <c r="A18" s="0" t="s">
        <v>169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178.301610447858</v>
      </c>
      <c r="C18" s="3" t="n">
        <v>11</v>
      </c>
    </row>
    <row r="19" customFormat="false" ht="15" hidden="false" customHeight="false" outlineLevel="0" collapsed="false">
      <c r="A19" s="0" t="s">
        <v>170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160.078361683863</v>
      </c>
      <c r="C19" s="3" t="n">
        <v>12</v>
      </c>
    </row>
    <row r="20" customFormat="false" ht="15" hidden="false" customHeight="false" outlineLevel="0" collapsed="false">
      <c r="A20" s="0" t="s">
        <v>171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123.066164936419</v>
      </c>
      <c r="C20" s="3" t="n">
        <v>15</v>
      </c>
    </row>
    <row r="22" customFormat="false" ht="15" hidden="false" customHeight="false" outlineLevel="0" collapsed="false">
      <c r="A22" s="2" t="s">
        <v>172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5.25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350.604983981133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350.604983981133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350.604983981133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350.604983981133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350.604983981133</v>
      </c>
    </row>
    <row r="25" customFormat="false" ht="15" hidden="false" customHeight="false" outlineLevel="0" collapsed="false">
      <c r="A25" s="3" t="n">
        <v>6.25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324.677065665274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324.677065665274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324.677065665274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324.677065665274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324.677065665274</v>
      </c>
    </row>
    <row r="26" customFormat="false" ht="15" hidden="false" customHeight="false" outlineLevel="0" collapsed="false">
      <c r="A26" s="3" t="n">
        <v>7.25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279.447841789241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295.864612642978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301.145531938586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301.145531938586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301.145531938586</v>
      </c>
    </row>
    <row r="27" customFormat="false" ht="15" hidden="false" customHeight="false" outlineLevel="0" collapsed="false">
      <c r="A27" s="3" t="n">
        <v>8.25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237.963194987986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248.768963429107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261.453995946944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276.555225134846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279.76380038955</v>
      </c>
    </row>
    <row r="28" customFormat="false" ht="15" hidden="false" customHeight="false" outlineLevel="0" collapsed="false">
      <c r="A28" s="3" t="n">
        <v>9.25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207.278409319243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214.747330429454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223.322758370808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233.270254782779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244.947750570744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2026-10-25T16:47:08Z</dcterms:created>
  <dc:creator>openpyxl</dc:creator>
  <dc:description/>
  <dc:language>en-NZ</dc:language>
  <cp:lastModifiedBy/>
  <dcterms:modified xsi:type="dcterms:W3CDTF">2026-10-25T16:47:08Z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