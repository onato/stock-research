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<sst xmlns="http://schemas.openxmlformats.org/spreadsheetml/2006/main" count="367" uniqueCount="172">
  <si>
    <t xml:space="preserve">Ticker</t>
  </si>
  <si>
    <t xml:space="preserve">U14.SI</t>
  </si>
  <si>
    <t xml:space="preserve">Company</t>
  </si>
  <si>
    <t xml:space="preserve">UOL Group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</si>
  <si>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</si>
  <si>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</si>
  <si>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</si>
  <si>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</si>
  <si>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2026-10-23T09:04:18Z (SGX regular close, Yahoo regularMarketTime)</t>
  </si>
  <si>
    <t xml:space="preserve">Balance sheet date</t>
  </si>
  <si>
    <t xml:space="preserve">2026-06-30</t>
  </si>
  <si>
    <t xml:space="preserve">Model</t>
  </si>
  <si>
    <t xml:space="preserve">Sum of parts: core Operating PATMI capitalisation at cost of equity plus listed securities at market (engine route)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</si>
  <si>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</si>
  <si>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</si>
  <si>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</si>
  <si>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</si>
  <si>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</si>
  <si>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</si>
  <si>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</si>
  <si>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</si>
  <si>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2026-10-24T09:53:40Z</t>
  </si>
  <si>
    <t xml:space="preserve">Drivers file</t>
  </si>
  <si>
    <t xml:space="preserve">U14.SI_Drivers.json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</si>
  <si>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</si>
  <si>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</si>
  <si>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</si>
  <si>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UOL is valued as what an outside minority shareholder actually owns: a claim on the attributable, post-interest, ex-revaluation earnings of a Singapore developer-landlord-hotelier, less what must be retained to keep the landbank and portfolio growing, plus a liquid UOB stake worth its market price. The S$14.16 book NAV is a cross-check, not the answer -- the hotels are at cost, the investment property at appraisal, and management has shown no intent to liquidate, so the NAV discount is a persistent feature, not a mispricing that closes by itself.
nav_cross_check: NTA/share S$14.16 at 30 Jun 2026; P/NAV at current price 0.56x. Historical P/NAV ~0.40x (2024 low) to ~0.83x (Feb-2026 high, S$11.48 vs S$13.88).
key_risks_to_valuation: Terminal value dominates and the cap binds in every scenario: the exit multiple, not the discount rate, is the main lever.; FY0/FY2026 core earnings sit near a cyclical peak; the base already assumes a ~7% give-back but a deeper or longer residential downturn would cut further.; The UOB stake (~S$1.45bn, ~S$1.71/share) is marked at today's UOB price; a 20% fall in UOB moves IV by ~S$0.34/share.; Reinvestment share (30-40%) is inferred from ten years of cash conversion, not guided; at 25% throughout the base value rises roughly 7-10%.; Marina Square SDI and hidden hotel revaluation upside are not in the base numbers; a sale or REIT spin-off of hotels at market would crystallise NAV the model does not count.</t>
  </si>
  <si>
    <t xml:space="preserve">Data sources</t>
  </si>
  <si>
    <t xml:space="preserve">price: Yahoo Finance chart API at inputs.price_as_of; 52-week range 7.58-11.48. UOB (U11.SI) and Haw Par (H02.SI) marked from the same API, same close.
financials: U14.SI_Metrics.csv (core_metrics) and kpis; Operating PATMI from FY2025 SGX full-year results (Quarterly_FY2025-SGXFinStatement.txt lines 86, 1292) and H1 FY2026 results (HalfYear_H1-2026.txt lines 83, 1034); securities from FY2025 AR Investments page (line 2026) and note 13 (line 8291); share count and borrowings from H1 FY2026 results (lines 142, 648).
qualitative: U14.SI_Analysis.json (2026-10-24): segment mix, launch pipeline, gearing and occupancy commentary.</t>
  </si>
  <si>
    <t xml:space="preserve">Scenario narrative: bear</t>
  </si>
  <si>
    <t xml:space="preserve">The cycle turns: renewed price spikes trigger further cooling measures, or a correction leaves the 2025-26 land bought at full GLS prices (Hougang Central S$1.5bn) earning thin margins. UK office occupancy (already ~50% at 110 High Holborn/120 Holborn) and Australian office stay weak and drag rents and valuations; gearing that rose from 0.20x to 0.26x is refinanced at higher rates with fixed cover down to 66% and a 2-year average maturity; China residential (THE PUYUAN) disappoints. Core earnings fall ~20% from the FY2026 peak to roughly the FY2016-24 average and retention rises to 38-40% just to hold the landbank. Exit at 12x FCFE (~7.5x earnings).</t>
  </si>
  <si>
    <t xml:space="preserve">Scenario narrative: base</t>
  </si>
  <si>
    <t xml:space="preserve">The 2025-26 Singapore residential upcycle (10,815 new-home sales in 2025, ABSD unchanged) delivers a record FY2026, then development profit normalises as the current recognition wave completes and the replenished landbank (Thomson View, Dorset Road, Hougang Central) is launched at moderating price growth of 3-4%/yr. Singapore office stays resilient on tight CBD supply, offsetting weak UK/Australian office occupancy; hotels grow moderately under manpower-cost pressure. The Clifford (2028) and asset-light PPHG fee growth add recurring income. Marina Square SDI is treated as a long-dated option, not in the numbers. Core earnings end the decade ~10% above FY2025 and the market keeps paying a mid-cycle developer multiple.</t>
  </si>
  <si>
    <t xml:space="preserve">Scenario narrative: bull</t>
  </si>
  <si>
    <t xml:space="preserve">Lower rates keep Singapore household demand strong through the next three launches, sold at healthy margins; Marina Square SDI moves from Written Permission to a phased hyper-mixed-use redevelopment that adds residential sales and lifts recurring rent from an under-used downtown asset; The Clifford leases up at Grade-A CBD rents; PPHG's management pipeline (~1,463 rooms in SE Asia) compounds fee income with little capital. Lower reinvestment intensity (higher incremental returns) and an 18x exit multiple (still below the 20.6x Gordon multiple at 8%/3%) reflect a partial closing of the NAV discount.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</si>
  <si>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</si>
  <si>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</si>
  <si>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</si>
  <si>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</si>
  <si>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</si>
  <si>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</si>
  <si>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</si>
  <si>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</si>
  <si>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</si>
  <si>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</si>
  <si>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</si>
  <si>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</si>
  <si>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</si>
  <si>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</si>
  <si>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</si>
  <si>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</si>
  <si>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</si>
  <si>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</si>
  <si>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</si>
  <si>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</si>
  <si>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</si>
  <si>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</si>
  <si>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</si>
  <si>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</si>
  <si>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</si>
  <si>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</si>
  <si>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</si>
  <si>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DividendsPaidToNCI</t>
  </si>
  <si>
    <t xml:space="preserve">Gearing</t>
  </si>
  <si>
    <t xml:space="preserve">InterestCoverageRatio</t>
  </si>
  <si>
    <t xml:space="preserve">InvestmentPropertyRevaluation</t>
  </si>
  <si>
    <t xml:space="preserve">NAVPerShare</t>
  </si>
  <si>
    <t xml:space="preserve">NonControllingInterestProfit</t>
  </si>
  <si>
    <t xml:space="preserve">NonControllingInterests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</si>
  <si>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</si>
  <si>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</si>
  <si>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</si>
  <si>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</si>
  <si>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</si>
  <si>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</si>
  <si>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</si>
  <si>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</si>
  <si>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</si>
  <si>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</si>
  <si>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</si>
  <si>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</si>
  <si>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</si>
  <si>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</si>
  <si>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</si>
  <si>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</si>
  <si>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</si>
  <si>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</si>
  <si>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</si>
  <si>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</si>
  <si>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</si>
  <si>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</si>
  <si>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</si>
  <si>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</si>
  <si>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</si>
  <si>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</si>
  <si>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</si>
  <si>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</si>
  <si>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</si>
  <si>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</si>
  <si>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</si>
  <si>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</si>
  <si>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</si>
  <si>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</si>
  <si>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</si>
  <si>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</si>
  <si>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</si>
  <si>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</si>
  <si>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</si>
  <si>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</si>
  <si>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</si>
  <si>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</si>
  <si>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</si>
  <si>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</si>
  <si>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</si>
  <si>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</si>
  <si>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</si>
  <si>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U14.SI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</si>
  <si>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</si>
  <si>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</si>
  <si>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</si>
  <si>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</si>
  <si>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</si>
  <si>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</si>
  <si>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</si>
  <si>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</si>
  <si>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</si>
  <si>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</si>
  <si>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</si>
  <si>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</si>
  <si>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</si>
  <si>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</si>
  <si>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</si>
  <si>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</si>
  <si>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</si>
  <si>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</si>
  <si>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</si>
  <si>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</si>
  <si>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</si>
  <si>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</si>
  <si>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</si>
  <si>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</si>
  <si>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</si>
  <si>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</si>
  <si>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</si>
  <si>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</si>
  <si>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</si>
  <si>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</si>
  <si>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U14.SI owner-FCF component DCF: base case (millions, SGD)</t>
  </si>
  <si>
    <t xml:space="preserve">U14.SI owner-FCF component DCF: bull case (millions, SGD)</t>
  </si>
  <si>
    <t xml:space="preserve">U14.SI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</si>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</sst>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1440.739</v>
      </c>
      <c r="C2" s="0" t="n">
        <v>955.729</v>
      </c>
      <c r="D2" s="0" t="n">
        <v>485.01</v>
      </c>
      <c r="E2" s="0" t="n">
        <v>33.7</v>
      </c>
      <c r="F2" s="0" t="n">
        <v>279.841</v>
      </c>
      <c r="G2" s="0" t="n">
        <v>19.4</v>
      </c>
      <c r="H2" s="0" t="n">
        <v>346.445</v>
      </c>
      <c r="I2" s="0" t="n">
        <v>287.04</v>
      </c>
      <c r="J2" s="0" t="n">
        <v>19.9</v>
      </c>
      <c r="K2" s="0" t="n">
        <v>0.3582</v>
      </c>
      <c r="L2" s="0" t="n">
        <v>538.515</v>
      </c>
      <c r="M2" s="0" t="n">
        <v>66.337</v>
      </c>
      <c r="N2" s="0" t="n">
        <v>472.178</v>
      </c>
      <c r="O2" s="0" t="n">
        <v>8127.154</v>
      </c>
      <c r="P2" s="0" t="n">
        <v>11558.14</v>
      </c>
      <c r="Q2" s="0" t="n">
        <v>2922.776</v>
      </c>
      <c r="R2" s="0" t="n">
        <v>2346.434</v>
      </c>
      <c r="S2" s="0" t="n">
        <v>301.512</v>
      </c>
      <c r="T2" s="0" t="n">
        <v>801.34</v>
      </c>
      <c r="U2" s="0" t="n">
        <v>1.102</v>
      </c>
      <c r="AA2" s="0" t="s">
        <v>17</v>
      </c>
      <c r="AB2" s="0" t="s">
        <v>14</v>
      </c>
      <c r="AC2" s="0" t="n">
        <v>2</v>
      </c>
      <c r="AF2" s="0" t="n">
        <v>-9.7</v>
      </c>
      <c r="AH2" s="0" t="n">
        <v>18.56</v>
      </c>
      <c r="AI2" s="0" t="n">
        <v>508.21</v>
      </c>
    </row>
    <row r="3" customFormat="false" ht="15" hidden="false" customHeight="false" outlineLevel="0" collapsed="false">
      <c r="A3" s="0" t="s">
        <v>71</v>
      </c>
      <c r="B3" s="0" t="n">
        <v>2103.152</v>
      </c>
      <c r="C3" s="0" t="n">
        <v>1403.111</v>
      </c>
      <c r="D3" s="0" t="n">
        <v>700.041</v>
      </c>
      <c r="E3" s="0" t="n">
        <v>33.3</v>
      </c>
      <c r="F3" s="0" t="n">
        <v>417.454</v>
      </c>
      <c r="G3" s="0" t="n">
        <v>19.8</v>
      </c>
      <c r="H3" s="0" t="n">
        <v>548.731</v>
      </c>
      <c r="I3" s="0" t="n">
        <v>891.009</v>
      </c>
      <c r="J3" s="0" t="n">
        <v>42.4</v>
      </c>
      <c r="K3" s="0" t="n">
        <v>1.0882</v>
      </c>
      <c r="L3" s="0" t="n">
        <v>936.29</v>
      </c>
      <c r="M3" s="0" t="n">
        <v>123.861</v>
      </c>
      <c r="N3" s="0" t="n">
        <v>812.429</v>
      </c>
      <c r="O3" s="0" t="n">
        <v>9445.12</v>
      </c>
      <c r="P3" s="0" t="n">
        <v>19623.446</v>
      </c>
      <c r="Q3" s="0" t="n">
        <v>5477.155</v>
      </c>
      <c r="R3" s="0" t="n">
        <v>3783.975</v>
      </c>
      <c r="S3" s="0" t="n">
        <v>816.446</v>
      </c>
      <c r="T3" s="0" t="n">
        <v>818.792</v>
      </c>
      <c r="U3" s="0" t="n">
        <v>1.442</v>
      </c>
      <c r="AA3" s="0" t="s">
        <v>17</v>
      </c>
      <c r="AB3" s="0" t="s">
        <v>14</v>
      </c>
      <c r="AC3" s="0" t="n">
        <v>3.775</v>
      </c>
      <c r="AF3" s="0" t="n">
        <v>15.593</v>
      </c>
      <c r="AH3" s="0" t="n">
        <v>95.981</v>
      </c>
      <c r="AI3" s="0" t="n">
        <v>4701.171</v>
      </c>
    </row>
    <row r="4" customFormat="false" ht="15" hidden="false" customHeight="false" outlineLevel="0" collapsed="false">
      <c r="A4" s="0" t="s">
        <v>72</v>
      </c>
      <c r="B4" s="0" t="n">
        <v>2397.343</v>
      </c>
      <c r="C4" s="0" t="n">
        <v>1365.711</v>
      </c>
      <c r="D4" s="0" t="n">
        <v>1031.632</v>
      </c>
      <c r="E4" s="0" t="n">
        <v>43</v>
      </c>
      <c r="F4" s="0" t="n">
        <v>648.397</v>
      </c>
      <c r="G4" s="0" t="n">
        <v>27</v>
      </c>
      <c r="H4" s="0" t="n">
        <v>824.802</v>
      </c>
      <c r="I4" s="0" t="n">
        <v>418.304</v>
      </c>
      <c r="J4" s="0" t="n">
        <v>17.4</v>
      </c>
      <c r="K4" s="0" t="n">
        <v>0.4966</v>
      </c>
      <c r="L4" s="0" t="n">
        <v>-477.205</v>
      </c>
      <c r="M4" s="0" t="n">
        <v>310.076</v>
      </c>
      <c r="N4" s="0" t="n">
        <v>-787.281</v>
      </c>
      <c r="O4" s="0" t="n">
        <v>9621.051</v>
      </c>
      <c r="P4" s="0" t="n">
        <v>20620.359</v>
      </c>
      <c r="Q4" s="0" t="n">
        <v>6186.711</v>
      </c>
      <c r="R4" s="0" t="n">
        <v>4528.087</v>
      </c>
      <c r="S4" s="0" t="n">
        <v>677.172</v>
      </c>
      <c r="T4" s="0" t="n">
        <v>842.336</v>
      </c>
      <c r="U4" s="0" t="n">
        <v>2.167</v>
      </c>
      <c r="AA4" s="0" t="s">
        <v>17</v>
      </c>
      <c r="AB4" s="0" t="s">
        <v>14</v>
      </c>
      <c r="AC4" s="0" t="n">
        <v>27.378</v>
      </c>
      <c r="AF4" s="0" t="n">
        <v>149.279</v>
      </c>
      <c r="AH4" s="0" t="n">
        <v>173.653</v>
      </c>
      <c r="AI4" s="0" t="n">
        <v>4812.597</v>
      </c>
    </row>
    <row r="5" customFormat="false" ht="15" hidden="false" customHeight="false" outlineLevel="0" collapsed="false">
      <c r="A5" s="0" t="s">
        <v>73</v>
      </c>
      <c r="B5" s="0" t="n">
        <v>2283.341</v>
      </c>
      <c r="C5" s="0" t="n">
        <v>1237.716</v>
      </c>
      <c r="D5" s="0" t="n">
        <v>1045.625</v>
      </c>
      <c r="E5" s="0" t="n">
        <v>45.8</v>
      </c>
      <c r="F5" s="0" t="n">
        <v>638.241</v>
      </c>
      <c r="G5" s="0" t="n">
        <v>28</v>
      </c>
      <c r="H5" s="0" t="n">
        <v>828.894</v>
      </c>
      <c r="I5" s="0" t="n">
        <v>478.817</v>
      </c>
      <c r="J5" s="0" t="n">
        <v>21</v>
      </c>
      <c r="K5" s="0" t="n">
        <v>0.5679</v>
      </c>
      <c r="L5" s="0" t="n">
        <v>1044.046</v>
      </c>
      <c r="M5" s="0" t="n">
        <v>330.113</v>
      </c>
      <c r="N5" s="0" t="n">
        <v>713.933</v>
      </c>
      <c r="O5" s="0" t="n">
        <v>10047.48</v>
      </c>
      <c r="P5" s="0" t="n">
        <v>20653.774</v>
      </c>
      <c r="Q5" s="0" t="n">
        <v>6319.485</v>
      </c>
      <c r="R5" s="0" t="n">
        <v>4844.223</v>
      </c>
      <c r="S5" s="0" t="n">
        <v>717.377</v>
      </c>
      <c r="T5" s="0" t="n">
        <v>843.15</v>
      </c>
      <c r="U5" s="0" t="n">
        <v>1.385</v>
      </c>
      <c r="AA5" s="0" t="s">
        <v>17</v>
      </c>
      <c r="AB5" s="0" t="s">
        <v>14</v>
      </c>
      <c r="AC5" s="0" t="n">
        <v>42.122</v>
      </c>
      <c r="AF5" s="0" t="n">
        <v>220.331</v>
      </c>
      <c r="AH5" s="0" t="n">
        <v>199.952</v>
      </c>
      <c r="AI5" s="0" t="n">
        <v>4286.809</v>
      </c>
    </row>
    <row r="6" customFormat="false" ht="15" hidden="false" customHeight="false" outlineLevel="0" collapsed="false">
      <c r="A6" s="0" t="s">
        <v>74</v>
      </c>
      <c r="B6" s="0" t="n">
        <v>1977.148</v>
      </c>
      <c r="C6" s="0" t="n">
        <v>1249.563</v>
      </c>
      <c r="D6" s="0" t="n">
        <v>727.585</v>
      </c>
      <c r="E6" s="0" t="n">
        <v>36.8</v>
      </c>
      <c r="F6" s="0" t="n">
        <v>523.637</v>
      </c>
      <c r="G6" s="0" t="n">
        <v>26.5</v>
      </c>
      <c r="H6" s="0" t="n">
        <v>641.517</v>
      </c>
      <c r="I6" s="0" t="n">
        <v>13.141</v>
      </c>
      <c r="J6" s="0" t="n">
        <v>0.7</v>
      </c>
      <c r="K6" s="0" t="n">
        <v>0.0156</v>
      </c>
      <c r="L6" s="0" t="n">
        <v>579.594</v>
      </c>
      <c r="M6" s="0" t="n">
        <v>205.559</v>
      </c>
      <c r="N6" s="0" t="n">
        <v>374.035</v>
      </c>
      <c r="O6" s="0" t="n">
        <v>9788.141</v>
      </c>
      <c r="P6" s="0" t="n">
        <v>20373.494</v>
      </c>
      <c r="Q6" s="0" t="n">
        <v>6272.346</v>
      </c>
      <c r="R6" s="0" t="n">
        <v>4995.094</v>
      </c>
      <c r="S6" s="0" t="n">
        <v>976.942</v>
      </c>
      <c r="T6" s="0" t="n">
        <v>843.595</v>
      </c>
      <c r="U6" s="0" t="n">
        <v>1.101</v>
      </c>
      <c r="AA6" s="0" t="s">
        <v>17</v>
      </c>
      <c r="AB6" s="0" t="s">
        <v>14</v>
      </c>
      <c r="AC6" s="0" t="n">
        <v>42.642</v>
      </c>
      <c r="AF6" s="0" t="n">
        <v>-293.295</v>
      </c>
      <c r="AH6" s="0" t="n">
        <v>72.208</v>
      </c>
      <c r="AI6" s="0" t="n">
        <v>4313.007</v>
      </c>
    </row>
    <row r="7" customFormat="false" ht="15" hidden="false" customHeight="false" outlineLevel="0" collapsed="false">
      <c r="A7" s="0" t="s">
        <v>75</v>
      </c>
      <c r="B7" s="0" t="n">
        <v>2606.836</v>
      </c>
      <c r="C7" s="0" t="n">
        <v>1799.254</v>
      </c>
      <c r="D7" s="0" t="n">
        <v>807.582</v>
      </c>
      <c r="E7" s="0" t="n">
        <v>31</v>
      </c>
      <c r="F7" s="0" t="n">
        <v>506.735</v>
      </c>
      <c r="G7" s="0" t="n">
        <v>19.4</v>
      </c>
      <c r="H7" s="0" t="n">
        <v>617.955</v>
      </c>
      <c r="I7" s="0" t="n">
        <v>307.411</v>
      </c>
      <c r="J7" s="0" t="n">
        <v>11.8</v>
      </c>
      <c r="K7" s="0" t="n">
        <v>0.3641</v>
      </c>
      <c r="L7" s="0" t="n">
        <v>751.259</v>
      </c>
      <c r="M7" s="0" t="n">
        <v>229.559</v>
      </c>
      <c r="N7" s="0" t="n">
        <v>521.7</v>
      </c>
      <c r="O7" s="0" t="n">
        <v>10168.323</v>
      </c>
      <c r="P7" s="0" t="n">
        <v>21274.971</v>
      </c>
      <c r="Q7" s="0" t="n">
        <v>6658.896</v>
      </c>
      <c r="R7" s="0" t="n">
        <v>5110.258</v>
      </c>
      <c r="S7" s="0" t="n">
        <v>1489.683</v>
      </c>
      <c r="T7" s="0" t="n">
        <v>844.304</v>
      </c>
      <c r="U7" s="0" t="n">
        <v>1.886</v>
      </c>
      <c r="AA7" s="0" t="s">
        <v>17</v>
      </c>
      <c r="AB7" s="0" t="s">
        <v>14</v>
      </c>
      <c r="AC7" s="0" t="n">
        <v>42.987</v>
      </c>
      <c r="AF7" s="0" t="n">
        <v>114.205</v>
      </c>
      <c r="AH7" s="0" t="n">
        <v>191.994</v>
      </c>
      <c r="AI7" s="0" t="n">
        <v>4447.752</v>
      </c>
    </row>
    <row r="8" customFormat="false" ht="15" hidden="false" customHeight="false" outlineLevel="0" collapsed="false">
      <c r="A8" s="0" t="s">
        <v>76</v>
      </c>
      <c r="B8" s="0" t="n">
        <v>3201.711</v>
      </c>
      <c r="C8" s="0" t="n">
        <v>2129.425</v>
      </c>
      <c r="D8" s="0" t="n">
        <v>1072.286</v>
      </c>
      <c r="E8" s="0" t="n">
        <v>33.5</v>
      </c>
      <c r="F8" s="0" t="n">
        <v>710.249</v>
      </c>
      <c r="G8" s="0" t="n">
        <v>22.2</v>
      </c>
      <c r="H8" s="0" t="n">
        <v>837.068</v>
      </c>
      <c r="I8" s="0" t="n">
        <v>491.869</v>
      </c>
      <c r="J8" s="0" t="n">
        <v>15.4</v>
      </c>
      <c r="K8" s="0" t="n">
        <v>0.5824</v>
      </c>
      <c r="L8" s="0" t="n">
        <v>141.711</v>
      </c>
      <c r="M8" s="0" t="n">
        <v>244.572</v>
      </c>
      <c r="N8" s="0" t="n">
        <v>-102.861</v>
      </c>
      <c r="O8" s="0" t="n">
        <v>10638.386</v>
      </c>
      <c r="P8" s="0" t="n">
        <v>21938.463</v>
      </c>
      <c r="Q8" s="0" t="n">
        <v>6645.85</v>
      </c>
      <c r="R8" s="0" t="n">
        <v>5216.251</v>
      </c>
      <c r="S8" s="0" t="n">
        <v>1467.898</v>
      </c>
      <c r="T8" s="0" t="n">
        <v>844.555</v>
      </c>
      <c r="U8" s="0" t="n">
        <v>1.674</v>
      </c>
      <c r="AA8" s="0" t="s">
        <v>17</v>
      </c>
      <c r="AB8" s="0" t="s">
        <v>14</v>
      </c>
      <c r="AC8" s="0" t="n">
        <v>36.486</v>
      </c>
      <c r="AF8" s="0" t="n">
        <v>268.192</v>
      </c>
      <c r="AH8" s="0" t="n">
        <v>277.083</v>
      </c>
      <c r="AI8" s="0" t="n">
        <v>4654.227</v>
      </c>
    </row>
    <row r="9" customFormat="false" ht="15" hidden="false" customHeight="false" outlineLevel="0" collapsed="false">
      <c r="A9" s="0" t="s">
        <v>77</v>
      </c>
      <c r="B9" s="0" t="n">
        <v>2681.701</v>
      </c>
      <c r="C9" s="0" t="n">
        <v>1625.839</v>
      </c>
      <c r="D9" s="0" t="n">
        <v>1055.862</v>
      </c>
      <c r="E9" s="0" t="n">
        <v>39.4</v>
      </c>
      <c r="F9" s="0" t="n">
        <v>648.287</v>
      </c>
      <c r="G9" s="0" t="n">
        <v>24.2</v>
      </c>
      <c r="H9" s="0" t="n">
        <v>775.779</v>
      </c>
      <c r="I9" s="0" t="n">
        <v>707.708</v>
      </c>
      <c r="J9" s="0" t="n">
        <v>26.4</v>
      </c>
      <c r="K9" s="0" t="n">
        <v>0.8376</v>
      </c>
      <c r="L9" s="0" t="n">
        <v>808.801</v>
      </c>
      <c r="M9" s="0" t="n">
        <v>523.582</v>
      </c>
      <c r="N9" s="0" t="n">
        <v>285.219</v>
      </c>
      <c r="O9" s="0" t="n">
        <v>11041.82</v>
      </c>
      <c r="P9" s="0" t="n">
        <v>22198.975</v>
      </c>
      <c r="Q9" s="0" t="n">
        <v>6399.251</v>
      </c>
      <c r="R9" s="0" t="n">
        <v>5048.994</v>
      </c>
      <c r="S9" s="0" t="n">
        <v>1390.146</v>
      </c>
      <c r="T9" s="0" t="n">
        <v>844.924</v>
      </c>
      <c r="U9" s="0" t="n">
        <v>3.307</v>
      </c>
      <c r="AA9" s="0" t="s">
        <v>17</v>
      </c>
      <c r="AB9" s="0" t="s">
        <v>14</v>
      </c>
      <c r="AC9" s="0" t="n">
        <v>35.488</v>
      </c>
      <c r="AD9" s="0" t="n">
        <v>0.24</v>
      </c>
      <c r="AE9" s="0" t="n">
        <v>5</v>
      </c>
      <c r="AF9" s="0" t="n">
        <v>20.201</v>
      </c>
      <c r="AH9" s="0" t="n">
        <v>154.765</v>
      </c>
      <c r="AI9" s="0" t="n">
        <v>4757.904</v>
      </c>
    </row>
    <row r="10" customFormat="false" ht="15" hidden="false" customHeight="false" outlineLevel="0" collapsed="false">
      <c r="A10" s="0" t="s">
        <v>78</v>
      </c>
      <c r="B10" s="0" t="n">
        <v>2794.764</v>
      </c>
      <c r="C10" s="0" t="n">
        <v>1680.135</v>
      </c>
      <c r="D10" s="0" t="n">
        <v>1114.629</v>
      </c>
      <c r="E10" s="0" t="n">
        <v>39.9</v>
      </c>
      <c r="F10" s="0" t="n">
        <v>688.358</v>
      </c>
      <c r="G10" s="0" t="n">
        <v>24.6</v>
      </c>
      <c r="H10" s="0" t="n">
        <v>820.266</v>
      </c>
      <c r="I10" s="0" t="n">
        <v>358.185</v>
      </c>
      <c r="J10" s="0" t="n">
        <v>12.8</v>
      </c>
      <c r="K10" s="0" t="n">
        <v>0.4239</v>
      </c>
      <c r="L10" s="0" t="n">
        <v>811.262</v>
      </c>
      <c r="M10" s="0" t="n">
        <v>351.881</v>
      </c>
      <c r="N10" s="0" t="n">
        <v>459.381</v>
      </c>
      <c r="O10" s="0" t="n">
        <v>11534.843</v>
      </c>
      <c r="P10" s="0" t="n">
        <v>22836.191</v>
      </c>
      <c r="Q10" s="0" t="n">
        <v>6436.409</v>
      </c>
      <c r="R10" s="0" t="n">
        <v>5106.607</v>
      </c>
      <c r="S10" s="0" t="n">
        <v>1509.897</v>
      </c>
      <c r="T10" s="0" t="n">
        <v>844.975</v>
      </c>
      <c r="U10" s="0" t="n">
        <v>2.446</v>
      </c>
      <c r="AA10" s="0" t="s">
        <v>17</v>
      </c>
      <c r="AB10" s="0" t="s">
        <v>14</v>
      </c>
      <c r="AC10" s="0" t="n">
        <v>56.085</v>
      </c>
      <c r="AD10" s="0" t="n">
        <v>0.23</v>
      </c>
      <c r="AE10" s="0" t="n">
        <v>6</v>
      </c>
      <c r="AF10" s="0" t="n">
        <v>45.396</v>
      </c>
      <c r="AG10" s="0" t="n">
        <v>13.65</v>
      </c>
      <c r="AH10" s="0" t="n">
        <v>164.931</v>
      </c>
      <c r="AI10" s="0" t="n">
        <v>4864.939</v>
      </c>
    </row>
    <row r="11" customFormat="false" ht="15" hidden="false" customHeight="false" outlineLevel="0" collapsed="false">
      <c r="A11" s="0" t="s">
        <v>79</v>
      </c>
      <c r="B11" s="0" t="n">
        <v>3234.085</v>
      </c>
      <c r="C11" s="0" t="n">
        <v>1957.921</v>
      </c>
      <c r="D11" s="0" t="n">
        <v>1276.164</v>
      </c>
      <c r="E11" s="0" t="n">
        <v>39.5</v>
      </c>
      <c r="F11" s="0" t="n">
        <v>810.127</v>
      </c>
      <c r="G11" s="0" t="n">
        <v>25</v>
      </c>
      <c r="H11" s="0" t="n">
        <v>944.601</v>
      </c>
      <c r="I11" s="0" t="n">
        <v>481.729</v>
      </c>
      <c r="J11" s="0" t="n">
        <v>14.9</v>
      </c>
      <c r="K11" s="0" t="n">
        <v>0.57</v>
      </c>
      <c r="L11" s="0" t="n">
        <v>1291.974</v>
      </c>
      <c r="M11" s="0" t="n">
        <v>711.337</v>
      </c>
      <c r="N11" s="0" t="n">
        <v>580.637</v>
      </c>
      <c r="O11" s="0" t="n">
        <v>11775.503</v>
      </c>
      <c r="P11" s="0" t="n">
        <v>22479.755</v>
      </c>
      <c r="Q11" s="0" t="n">
        <v>5812.208</v>
      </c>
      <c r="R11" s="0" t="n">
        <v>4563.158</v>
      </c>
      <c r="S11" s="0" t="n">
        <v>1246.936</v>
      </c>
      <c r="T11" s="0" t="n">
        <v>845.139</v>
      </c>
      <c r="U11" s="0" t="n">
        <v>8.731</v>
      </c>
      <c r="AA11" s="0" t="s">
        <v>17</v>
      </c>
      <c r="AB11" s="0" t="s">
        <v>14</v>
      </c>
      <c r="AC11" s="0" t="n">
        <v>44.322</v>
      </c>
      <c r="AD11" s="0" t="n">
        <v>0.2</v>
      </c>
      <c r="AE11" s="0" t="n">
        <v>8</v>
      </c>
      <c r="AF11" s="0" t="n">
        <v>-4.455</v>
      </c>
      <c r="AG11" s="0" t="n">
        <v>13.92</v>
      </c>
      <c r="AH11" s="0" t="n">
        <v>132.241</v>
      </c>
      <c r="AI11" s="0" t="n">
        <v>4892.044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7.92</v>
      </c>
    </row>
    <row r="3" customFormat="false" ht="15" hidden="false" customHeight="false" outlineLevel="0" collapsed="false">
      <c r="A3" s="0" t="s">
        <v>83</v>
      </c>
      <c r="B3" s="3" t="n">
        <v>847.393</v>
      </c>
    </row>
    <row r="4" customFormat="false" ht="15" hidden="false" customHeight="false" outlineLevel="0" collapsed="false">
      <c r="A4" s="0" t="s">
        <v>84</v>
      </c>
      <c r="B4" s="3" t="n">
        <v>0</v>
      </c>
    </row>
    <row r="5" customFormat="false" ht="15" hidden="false" customHeight="false" outlineLevel="0" collapsed="false">
      <c r="A5" s="0" t="s">
        <v>85</v>
      </c>
      <c r="B5" s="3" t="n">
        <v>1550.9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383.7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8</v>
      </c>
      <c r="D13" s="3" t="n">
        <v>-10</v>
      </c>
      <c r="E13" s="3" t="n">
        <v>-10</v>
      </c>
      <c r="F13" s="3" t="n">
        <v>-4</v>
      </c>
      <c r="G13" s="3" t="n">
        <v>0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108</v>
      </c>
      <c r="C18" s="3" t="n">
        <v>40</v>
      </c>
      <c r="D18" s="3" t="n">
        <v>40</v>
      </c>
      <c r="E18" s="3" t="n">
        <v>40</v>
      </c>
      <c r="F18" s="3" t="n">
        <v>38</v>
      </c>
      <c r="G18" s="3" t="n">
        <v>38</v>
      </c>
      <c r="H18" s="3" t="n">
        <v>38</v>
      </c>
      <c r="I18" s="3" t="n">
        <v>38</v>
      </c>
      <c r="J18" s="3" t="n">
        <v>38</v>
      </c>
      <c r="K18" s="3" t="n">
        <v>38</v>
      </c>
      <c r="L18" s="3" t="n">
        <v>38</v>
      </c>
    </row>
    <row r="19" customFormat="false" ht="15" hidden="false" customHeight="false" outlineLevel="0" collapsed="false">
      <c r="A19" s="0" t="s">
        <v>109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110</v>
      </c>
      <c r="B20" s="3" t="n">
        <v>8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12</v>
      </c>
      <c r="D27" s="3" t="n">
        <v>-3</v>
      </c>
      <c r="E27" s="3" t="n">
        <v>-4</v>
      </c>
      <c r="F27" s="3" t="n">
        <v>1</v>
      </c>
      <c r="G27" s="3" t="n">
        <v>2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108</v>
      </c>
      <c r="C32" s="3" t="n">
        <v>35</v>
      </c>
      <c r="D32" s="3" t="n">
        <v>35</v>
      </c>
      <c r="E32" s="3" t="n">
        <v>35</v>
      </c>
      <c r="F32" s="3" t="n">
        <v>30</v>
      </c>
      <c r="G32" s="3" t="n">
        <v>30</v>
      </c>
      <c r="H32" s="3" t="n">
        <v>30</v>
      </c>
      <c r="I32" s="3" t="n">
        <v>30</v>
      </c>
      <c r="J32" s="3" t="n">
        <v>30</v>
      </c>
      <c r="K32" s="3" t="n">
        <v>30</v>
      </c>
      <c r="L32" s="3" t="n">
        <v>30</v>
      </c>
    </row>
    <row r="33" customFormat="false" ht="15" hidden="false" customHeight="false" outlineLevel="0" collapsed="false">
      <c r="A33" s="0" t="s">
        <v>109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110</v>
      </c>
      <c r="B34" s="3" t="n">
        <v>8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15</v>
      </c>
      <c r="D41" s="3" t="n">
        <v>4</v>
      </c>
      <c r="E41" s="3" t="n">
        <v>3</v>
      </c>
      <c r="F41" s="3" t="n">
        <v>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108</v>
      </c>
      <c r="C46" s="3" t="n">
        <v>32</v>
      </c>
      <c r="D46" s="3" t="n">
        <v>32</v>
      </c>
      <c r="E46" s="3" t="n">
        <v>30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</v>
      </c>
    </row>
    <row r="47" customFormat="false" ht="15" hidden="false" customHeight="false" outlineLevel="0" collapsed="false">
      <c r="A47" s="0" t="s">
        <v>109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110</v>
      </c>
      <c r="B48" s="3" t="n">
        <v>8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18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8</v>
      </c>
      <c r="D5" s="4" t="n">
        <f aca="false">Assumptions!D13</f>
        <v>-10</v>
      </c>
      <c r="E5" s="4" t="n">
        <f aca="false">Assumptions!E13</f>
        <v>-10</v>
      </c>
      <c r="F5" s="4" t="n">
        <f aca="false">Assumptions!F13</f>
        <v>-4</v>
      </c>
      <c r="G5" s="4" t="n">
        <f aca="false">Assumptions!G13</f>
        <v>0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383.7</v>
      </c>
      <c r="C6" s="0" t="n">
        <f aca="false">B6*(1+C5/100)</f>
        <v>414.396</v>
      </c>
      <c r="D6" s="0" t="n">
        <f aca="false">C6*(1+D5/100)</f>
        <v>372.9564</v>
      </c>
      <c r="E6" s="0" t="n">
        <f aca="false">D6*(1+E5/100)</f>
        <v>335.66076</v>
      </c>
      <c r="F6" s="0" t="n">
        <f aca="false">E6*(1+F5/100)</f>
        <v>322.2343296</v>
      </c>
      <c r="G6" s="0" t="n">
        <f aca="false">F6*(1+G5/100)</f>
        <v>322.2343296</v>
      </c>
      <c r="H6" s="0" t="n">
        <f aca="false">G6*(1+H5/100)</f>
        <v>328.679016192</v>
      </c>
      <c r="I6" s="0" t="n">
        <f aca="false">H6*(1+I5/100)</f>
        <v>335.25259651584</v>
      </c>
      <c r="J6" s="0" t="n">
        <f aca="false">I6*(1+J5/100)</f>
        <v>341.957648446157</v>
      </c>
      <c r="K6" s="0" t="n">
        <f aca="false">J6*(1+K5/100)</f>
        <v>348.79680141508</v>
      </c>
      <c r="L6" s="0" t="n">
        <f aca="false">K6*(1+L5/100)</f>
        <v>355.772737443382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414.396</v>
      </c>
      <c r="D8" s="0" t="n">
        <f aca="false">D6*D7/100</f>
        <v>372.9564</v>
      </c>
      <c r="E8" s="0" t="n">
        <f aca="false">E6*E7/100</f>
        <v>335.66076</v>
      </c>
      <c r="F8" s="0" t="n">
        <f aca="false">F6*F7/100</f>
        <v>322.2343296</v>
      </c>
      <c r="G8" s="0" t="n">
        <f aca="false">G6*G7/100</f>
        <v>322.2343296</v>
      </c>
      <c r="H8" s="0" t="n">
        <f aca="false">H6*H7/100</f>
        <v>328.679016192</v>
      </c>
      <c r="I8" s="0" t="n">
        <f aca="false">I6*I7/100</f>
        <v>335.25259651584</v>
      </c>
      <c r="J8" s="0" t="n">
        <f aca="false">J6*J7/100</f>
        <v>341.957648446157</v>
      </c>
      <c r="K8" s="0" t="n">
        <f aca="false">K6*K7/100</f>
        <v>348.79680141508</v>
      </c>
      <c r="L8" s="0" t="n">
        <f aca="false">L6*L7/100</f>
        <v>355.772737443382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414.396</v>
      </c>
      <c r="D11" s="0" t="n">
        <f aca="false">D8+D10+D24</f>
        <v>372.9564</v>
      </c>
      <c r="E11" s="0" t="n">
        <f aca="false">E8+E10+E24</f>
        <v>335.66076</v>
      </c>
      <c r="F11" s="0" t="n">
        <f aca="false">F8+F10+F24</f>
        <v>322.2343296</v>
      </c>
      <c r="G11" s="0" t="n">
        <f aca="false">G8+G10+G24</f>
        <v>322.2343296</v>
      </c>
      <c r="H11" s="0" t="n">
        <f aca="false">H8+H10+H24</f>
        <v>328.679016192</v>
      </c>
      <c r="I11" s="0" t="n">
        <f aca="false">I8+I10+I24</f>
        <v>335.25259651584</v>
      </c>
      <c r="J11" s="0" t="n">
        <f aca="false">J8+J10+J24</f>
        <v>341.957648446157</v>
      </c>
      <c r="K11" s="0" t="n">
        <f aca="false">K8+K10+K24</f>
        <v>348.79680141508</v>
      </c>
      <c r="L11" s="0" t="n">
        <f aca="false">L8+L10+L24</f>
        <v>355.772737443382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414.396</v>
      </c>
      <c r="D13" s="0" t="n">
        <f aca="false">D11+D12</f>
        <v>372.9564</v>
      </c>
      <c r="E13" s="0" t="n">
        <f aca="false">E11+E12</f>
        <v>335.66076</v>
      </c>
      <c r="F13" s="0" t="n">
        <f aca="false">F11+F12</f>
        <v>322.2343296</v>
      </c>
      <c r="G13" s="0" t="n">
        <f aca="false">G11+G12</f>
        <v>322.2343296</v>
      </c>
      <c r="H13" s="0" t="n">
        <f aca="false">H11+H12</f>
        <v>328.679016192</v>
      </c>
      <c r="I13" s="0" t="n">
        <f aca="false">I11+I12</f>
        <v>335.25259651584</v>
      </c>
      <c r="J13" s="0" t="n">
        <f aca="false">J11+J12</f>
        <v>341.957648446157</v>
      </c>
      <c r="K13" s="0" t="n">
        <f aca="false">K11+K12</f>
        <v>348.79680141508</v>
      </c>
      <c r="L13" s="0" t="n">
        <f aca="false">L11+L12</f>
        <v>355.772737443382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414.396</v>
      </c>
      <c r="D15" s="0" t="n">
        <f aca="false">D13-MAX(0,D13)*D14/100</f>
        <v>372.9564</v>
      </c>
      <c r="E15" s="0" t="n">
        <f aca="false">E13-MAX(0,E13)*E14/100</f>
        <v>335.66076</v>
      </c>
      <c r="F15" s="0" t="n">
        <f aca="false">F13-MAX(0,F13)*F14/100</f>
        <v>322.2343296</v>
      </c>
      <c r="G15" s="0" t="n">
        <f aca="false">G13-MAX(0,G13)*G14/100</f>
        <v>322.2343296</v>
      </c>
      <c r="H15" s="0" t="n">
        <f aca="false">H13-MAX(0,H13)*H14/100</f>
        <v>328.679016192</v>
      </c>
      <c r="I15" s="0" t="n">
        <f aca="false">I13-MAX(0,I13)*I14/100</f>
        <v>335.25259651584</v>
      </c>
      <c r="J15" s="0" t="n">
        <f aca="false">J13-MAX(0,J13)*J14/100</f>
        <v>341.957648446157</v>
      </c>
      <c r="K15" s="0" t="n">
        <f aca="false">K13-MAX(0,K13)*K14/100</f>
        <v>348.79680141508</v>
      </c>
      <c r="L15" s="0" t="n">
        <f aca="false">L13-MAX(0,L13)*L14/100</f>
        <v>355.772737443382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-165.7584</v>
      </c>
      <c r="D17" s="4" t="n">
        <f aca="false">-D6*Assumptions!D18/100</f>
        <v>-149.18256</v>
      </c>
      <c r="E17" s="4" t="n">
        <f aca="false">-E6*Assumptions!E18/100</f>
        <v>-134.264304</v>
      </c>
      <c r="F17" s="4" t="n">
        <f aca="false">-F6*Assumptions!F18/100</f>
        <v>-122.449045248</v>
      </c>
      <c r="G17" s="4" t="n">
        <f aca="false">-G6*Assumptions!G18/100</f>
        <v>-122.449045248</v>
      </c>
      <c r="H17" s="4" t="n">
        <f aca="false">-H6*Assumptions!H18/100</f>
        <v>-124.89802615296</v>
      </c>
      <c r="I17" s="4" t="n">
        <f aca="false">-I6*Assumptions!I18/100</f>
        <v>-127.395986676019</v>
      </c>
      <c r="J17" s="4" t="n">
        <f aca="false">-J6*Assumptions!J18/100</f>
        <v>-129.94390640954</v>
      </c>
      <c r="K17" s="4" t="n">
        <f aca="false">-K6*Assumptions!K18/100</f>
        <v>-132.54278453773</v>
      </c>
      <c r="L17" s="4" t="n">
        <f aca="false">-L6*Assumptions!L18/100</f>
        <v>-135.193640228485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248.6376</v>
      </c>
      <c r="D19" s="0" t="n">
        <f aca="false">D15+D16+D17+D18</f>
        <v>223.77384</v>
      </c>
      <c r="E19" s="0" t="n">
        <f aca="false">E15+E16+E17+E18</f>
        <v>201.396456</v>
      </c>
      <c r="F19" s="0" t="n">
        <f aca="false">F15+F16+F17+F18</f>
        <v>199.785284352</v>
      </c>
      <c r="G19" s="0" t="n">
        <f aca="false">G15+G16+G17+G18</f>
        <v>199.785284352</v>
      </c>
      <c r="H19" s="0" t="n">
        <f aca="false">H15+H16+H17+H18</f>
        <v>203.78099003904</v>
      </c>
      <c r="I19" s="0" t="n">
        <f aca="false">I15+I16+I17+I18</f>
        <v>207.856609839821</v>
      </c>
      <c r="J19" s="0" t="n">
        <f aca="false">J15+J16+J17+J18</f>
        <v>212.013742036617</v>
      </c>
      <c r="K19" s="0" t="n">
        <f aca="false">K15+K16+K17+K18</f>
        <v>216.25401687735</v>
      </c>
      <c r="L19" s="0" t="n">
        <f aca="false">L15+L16+L17+L18</f>
        <v>220.579097214897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230.22</v>
      </c>
      <c r="D21" s="0" t="n">
        <f aca="false">D19*D20</f>
        <v>191.85</v>
      </c>
      <c r="E21" s="0" t="n">
        <f aca="false">E19*E20</f>
        <v>159.875</v>
      </c>
      <c r="F21" s="0" t="n">
        <f aca="false">F19*F20</f>
        <v>146.848148148148</v>
      </c>
      <c r="G21" s="0" t="n">
        <f aca="false">G19*G20</f>
        <v>135.970507544582</v>
      </c>
      <c r="H21" s="0" t="n">
        <f aca="false">H19*H20</f>
        <v>128.416590458771</v>
      </c>
      <c r="I21" s="0" t="n">
        <f aca="false">I19*I20</f>
        <v>121.282335433284</v>
      </c>
      <c r="J21" s="0" t="n">
        <f aca="false">J19*J20</f>
        <v>114.544427909213</v>
      </c>
      <c r="K21" s="0" t="n">
        <f aca="false">K19*K20</f>
        <v>108.180848580923</v>
      </c>
      <c r="L21" s="0" t="n">
        <f aca="false">L19*L20</f>
        <v>102.170801437539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1439.35865951246</v>
      </c>
    </row>
    <row r="31" customFormat="false" ht="15" hidden="false" customHeight="false" outlineLevel="0" collapsed="false">
      <c r="A31" s="0" t="s">
        <v>134</v>
      </c>
      <c r="B31" s="0" t="n">
        <f aca="false">L19</f>
        <v>220.579097214897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3749.84465265324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2646.94916657876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2646.94916657876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1226.04961725046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2665.40827676292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4216.30827676292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4.97562320760606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-0.371764746514386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4.97562320760606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1730.6975319938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3.61300735429833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12</v>
      </c>
      <c r="D5" s="4" t="n">
        <f aca="false">Assumptions!D27</f>
        <v>-3</v>
      </c>
      <c r="E5" s="4" t="n">
        <f aca="false">Assumptions!E27</f>
        <v>-4</v>
      </c>
      <c r="F5" s="4" t="n">
        <f aca="false">Assumptions!F27</f>
        <v>1</v>
      </c>
      <c r="G5" s="4" t="n">
        <f aca="false">Assumptions!G27</f>
        <v>2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383.7</v>
      </c>
      <c r="C6" s="0" t="n">
        <f aca="false">B6*(1+C5/100)</f>
        <v>429.744</v>
      </c>
      <c r="D6" s="0" t="n">
        <f aca="false">C6*(1+D5/100)</f>
        <v>416.85168</v>
      </c>
      <c r="E6" s="0" t="n">
        <f aca="false">D6*(1+E5/100)</f>
        <v>400.1776128</v>
      </c>
      <c r="F6" s="0" t="n">
        <f aca="false">E6*(1+F5/100)</f>
        <v>404.179388928</v>
      </c>
      <c r="G6" s="0" t="n">
        <f aca="false">F6*(1+G5/100)</f>
        <v>412.26297670656</v>
      </c>
      <c r="H6" s="0" t="n">
        <f aca="false">G6*(1+H5/100)</f>
        <v>422.569551124224</v>
      </c>
      <c r="I6" s="0" t="n">
        <f aca="false">H6*(1+I5/100)</f>
        <v>433.13378990233</v>
      </c>
      <c r="J6" s="0" t="n">
        <f aca="false">I6*(1+J5/100)</f>
        <v>443.962134649888</v>
      </c>
      <c r="K6" s="0" t="n">
        <f aca="false">J6*(1+K5/100)</f>
        <v>455.061188016135</v>
      </c>
      <c r="L6" s="0" t="n">
        <f aca="false">K6*(1+L5/100)</f>
        <v>466.437717716538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429.744</v>
      </c>
      <c r="D8" s="0" t="n">
        <f aca="false">D6*D7/100</f>
        <v>416.85168</v>
      </c>
      <c r="E8" s="0" t="n">
        <f aca="false">E6*E7/100</f>
        <v>400.1776128</v>
      </c>
      <c r="F8" s="0" t="n">
        <f aca="false">F6*F7/100</f>
        <v>404.179388928</v>
      </c>
      <c r="G8" s="0" t="n">
        <f aca="false">G6*G7/100</f>
        <v>412.26297670656</v>
      </c>
      <c r="H8" s="0" t="n">
        <f aca="false">H6*H7/100</f>
        <v>422.569551124224</v>
      </c>
      <c r="I8" s="0" t="n">
        <f aca="false">I6*I7/100</f>
        <v>433.13378990233</v>
      </c>
      <c r="J8" s="0" t="n">
        <f aca="false">J6*J7/100</f>
        <v>443.962134649888</v>
      </c>
      <c r="K8" s="0" t="n">
        <f aca="false">K6*K7/100</f>
        <v>455.061188016135</v>
      </c>
      <c r="L8" s="0" t="n">
        <f aca="false">L6*L7/100</f>
        <v>466.437717716538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429.744</v>
      </c>
      <c r="D11" s="0" t="n">
        <f aca="false">D8+D10+D24</f>
        <v>416.85168</v>
      </c>
      <c r="E11" s="0" t="n">
        <f aca="false">E8+E10+E24</f>
        <v>400.1776128</v>
      </c>
      <c r="F11" s="0" t="n">
        <f aca="false">F8+F10+F24</f>
        <v>404.179388928</v>
      </c>
      <c r="G11" s="0" t="n">
        <f aca="false">G8+G10+G24</f>
        <v>412.26297670656</v>
      </c>
      <c r="H11" s="0" t="n">
        <f aca="false">H8+H10+H24</f>
        <v>422.569551124224</v>
      </c>
      <c r="I11" s="0" t="n">
        <f aca="false">I8+I10+I24</f>
        <v>433.13378990233</v>
      </c>
      <c r="J11" s="0" t="n">
        <f aca="false">J8+J10+J24</f>
        <v>443.962134649888</v>
      </c>
      <c r="K11" s="0" t="n">
        <f aca="false">K8+K10+K24</f>
        <v>455.061188016135</v>
      </c>
      <c r="L11" s="0" t="n">
        <f aca="false">L8+L10+L24</f>
        <v>466.437717716538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429.744</v>
      </c>
      <c r="D13" s="0" t="n">
        <f aca="false">D11+D12</f>
        <v>416.85168</v>
      </c>
      <c r="E13" s="0" t="n">
        <f aca="false">E11+E12</f>
        <v>400.1776128</v>
      </c>
      <c r="F13" s="0" t="n">
        <f aca="false">F11+F12</f>
        <v>404.179388928</v>
      </c>
      <c r="G13" s="0" t="n">
        <f aca="false">G11+G12</f>
        <v>412.26297670656</v>
      </c>
      <c r="H13" s="0" t="n">
        <f aca="false">H11+H12</f>
        <v>422.569551124224</v>
      </c>
      <c r="I13" s="0" t="n">
        <f aca="false">I11+I12</f>
        <v>433.13378990233</v>
      </c>
      <c r="J13" s="0" t="n">
        <f aca="false">J11+J12</f>
        <v>443.962134649888</v>
      </c>
      <c r="K13" s="0" t="n">
        <f aca="false">K11+K12</f>
        <v>455.061188016135</v>
      </c>
      <c r="L13" s="0" t="n">
        <f aca="false">L11+L12</f>
        <v>466.437717716538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429.744</v>
      </c>
      <c r="D15" s="0" t="n">
        <f aca="false">D13-MAX(0,D13)*D14/100</f>
        <v>416.85168</v>
      </c>
      <c r="E15" s="0" t="n">
        <f aca="false">E13-MAX(0,E13)*E14/100</f>
        <v>400.1776128</v>
      </c>
      <c r="F15" s="0" t="n">
        <f aca="false">F13-MAX(0,F13)*F14/100</f>
        <v>404.179388928</v>
      </c>
      <c r="G15" s="0" t="n">
        <f aca="false">G13-MAX(0,G13)*G14/100</f>
        <v>412.26297670656</v>
      </c>
      <c r="H15" s="0" t="n">
        <f aca="false">H13-MAX(0,H13)*H14/100</f>
        <v>422.569551124224</v>
      </c>
      <c r="I15" s="0" t="n">
        <f aca="false">I13-MAX(0,I13)*I14/100</f>
        <v>433.13378990233</v>
      </c>
      <c r="J15" s="0" t="n">
        <f aca="false">J13-MAX(0,J13)*J14/100</f>
        <v>443.962134649888</v>
      </c>
      <c r="K15" s="0" t="n">
        <f aca="false">K13-MAX(0,K13)*K14/100</f>
        <v>455.061188016135</v>
      </c>
      <c r="L15" s="0" t="n">
        <f aca="false">L13-MAX(0,L13)*L14/100</f>
        <v>466.437717716538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-150.4104</v>
      </c>
      <c r="D17" s="4" t="n">
        <f aca="false">-D6*Assumptions!D32/100</f>
        <v>-145.898088</v>
      </c>
      <c r="E17" s="4" t="n">
        <f aca="false">-E6*Assumptions!E32/100</f>
        <v>-140.06216448</v>
      </c>
      <c r="F17" s="4" t="n">
        <f aca="false">-F6*Assumptions!F32/100</f>
        <v>-121.2538166784</v>
      </c>
      <c r="G17" s="4" t="n">
        <f aca="false">-G6*Assumptions!G32/100</f>
        <v>-123.678893011968</v>
      </c>
      <c r="H17" s="4" t="n">
        <f aca="false">-H6*Assumptions!H32/100</f>
        <v>-126.770865337267</v>
      </c>
      <c r="I17" s="4" t="n">
        <f aca="false">-I6*Assumptions!I32/100</f>
        <v>-129.940136970699</v>
      </c>
      <c r="J17" s="4" t="n">
        <f aca="false">-J6*Assumptions!J32/100</f>
        <v>-133.188640394966</v>
      </c>
      <c r="K17" s="4" t="n">
        <f aca="false">-K6*Assumptions!K32/100</f>
        <v>-136.51835640484</v>
      </c>
      <c r="L17" s="4" t="n">
        <f aca="false">-L6*Assumptions!L32/100</f>
        <v>-139.931315314962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279.3336</v>
      </c>
      <c r="D19" s="0" t="n">
        <f aca="false">D15+D16+D17+D18</f>
        <v>270.953592</v>
      </c>
      <c r="E19" s="0" t="n">
        <f aca="false">E15+E16+E17+E18</f>
        <v>260.11544832</v>
      </c>
      <c r="F19" s="0" t="n">
        <f aca="false">F15+F16+F17+F18</f>
        <v>282.9255722496</v>
      </c>
      <c r="G19" s="0" t="n">
        <f aca="false">G15+G16+G17+G18</f>
        <v>288.584083694592</v>
      </c>
      <c r="H19" s="0" t="n">
        <f aca="false">H15+H16+H17+H18</f>
        <v>295.798685786957</v>
      </c>
      <c r="I19" s="0" t="n">
        <f aca="false">I15+I16+I17+I18</f>
        <v>303.193652931631</v>
      </c>
      <c r="J19" s="0" t="n">
        <f aca="false">J15+J16+J17+J18</f>
        <v>310.773494254921</v>
      </c>
      <c r="K19" s="0" t="n">
        <f aca="false">K15+K16+K17+K18</f>
        <v>318.542831611294</v>
      </c>
      <c r="L19" s="0" t="n">
        <f aca="false">L15+L16+L17+L18</f>
        <v>326.506402401577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258.642222222222</v>
      </c>
      <c r="D21" s="0" t="n">
        <f aca="false">D19*D20</f>
        <v>232.299032921811</v>
      </c>
      <c r="E21" s="0" t="n">
        <f aca="false">E19*E20</f>
        <v>206.488029263832</v>
      </c>
      <c r="F21" s="0" t="n">
        <f aca="false">F19*F20</f>
        <v>207.958741722976</v>
      </c>
      <c r="G21" s="0" t="n">
        <f aca="false">G19*G20</f>
        <v>196.405478293922</v>
      </c>
      <c r="H21" s="0" t="n">
        <f aca="false">H19*H20</f>
        <v>186.403347454879</v>
      </c>
      <c r="I21" s="0" t="n">
        <f aca="false">I19*I20</f>
        <v>176.910584390047</v>
      </c>
      <c r="J21" s="0" t="n">
        <f aca="false">J19*J20</f>
        <v>167.901249073888</v>
      </c>
      <c r="K21" s="0" t="n">
        <f aca="false">K19*K20</f>
        <v>159.35072250068</v>
      </c>
      <c r="L21" s="0" t="n">
        <f aca="false">L19*L20</f>
        <v>151.235639410368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1943.59504725462</v>
      </c>
    </row>
    <row r="31" customFormat="false" ht="15" hidden="false" customHeight="false" outlineLevel="0" collapsed="false">
      <c r="A31" s="0" t="s">
        <v>134</v>
      </c>
      <c r="B31" s="0" t="n">
        <f aca="false">L19</f>
        <v>326.506402401577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6084.89204475666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4897.59603602365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4897.59603602365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2268.53459115552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4212.12963841014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5763.02963841014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6.80089360947063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-0.141301311935527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6.80089360947063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2677.35249969293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4.3090554924734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15</v>
      </c>
      <c r="D5" s="4" t="n">
        <f aca="false">Assumptions!D41</f>
        <v>4</v>
      </c>
      <c r="E5" s="4" t="n">
        <f aca="false">Assumptions!E41</f>
        <v>3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383.7</v>
      </c>
      <c r="C6" s="0" t="n">
        <f aca="false">B6*(1+C5/100)</f>
        <v>441.255</v>
      </c>
      <c r="D6" s="0" t="n">
        <f aca="false">C6*(1+D5/100)</f>
        <v>458.9052</v>
      </c>
      <c r="E6" s="0" t="n">
        <f aca="false">D6*(1+E5/100)</f>
        <v>472.672356</v>
      </c>
      <c r="F6" s="0" t="n">
        <f aca="false">E6*(1+F5/100)</f>
        <v>496.3059738</v>
      </c>
      <c r="G6" s="0" t="n">
        <f aca="false">F6*(1+G5/100)</f>
        <v>516.158212752</v>
      </c>
      <c r="H6" s="0" t="n">
        <f aca="false">G6*(1+H5/100)</f>
        <v>536.80454126208</v>
      </c>
      <c r="I6" s="0" t="n">
        <f aca="false">H6*(1+I5/100)</f>
        <v>555.592700206253</v>
      </c>
      <c r="J6" s="0" t="n">
        <f aca="false">I6*(1+J5/100)</f>
        <v>572.260481212441</v>
      </c>
      <c r="K6" s="0" t="n">
        <f aca="false">J6*(1+K5/100)</f>
        <v>589.428295648814</v>
      </c>
      <c r="L6" s="0" t="n">
        <f aca="false">K6*(1+L5/100)</f>
        <v>607.111144518278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441.255</v>
      </c>
      <c r="D8" s="0" t="n">
        <f aca="false">D6*D7/100</f>
        <v>458.9052</v>
      </c>
      <c r="E8" s="0" t="n">
        <f aca="false">E6*E7/100</f>
        <v>472.672356</v>
      </c>
      <c r="F8" s="0" t="n">
        <f aca="false">F6*F7/100</f>
        <v>496.3059738</v>
      </c>
      <c r="G8" s="0" t="n">
        <f aca="false">G6*G7/100</f>
        <v>516.158212752</v>
      </c>
      <c r="H8" s="0" t="n">
        <f aca="false">H6*H7/100</f>
        <v>536.80454126208</v>
      </c>
      <c r="I8" s="0" t="n">
        <f aca="false">I6*I7/100</f>
        <v>555.592700206253</v>
      </c>
      <c r="J8" s="0" t="n">
        <f aca="false">J6*J7/100</f>
        <v>572.260481212441</v>
      </c>
      <c r="K8" s="0" t="n">
        <f aca="false">K6*K7/100</f>
        <v>589.428295648814</v>
      </c>
      <c r="L8" s="0" t="n">
        <f aca="false">L6*L7/100</f>
        <v>607.111144518278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441.255</v>
      </c>
      <c r="D11" s="0" t="n">
        <f aca="false">D8+D10+D24</f>
        <v>458.9052</v>
      </c>
      <c r="E11" s="0" t="n">
        <f aca="false">E8+E10+E24</f>
        <v>472.672356</v>
      </c>
      <c r="F11" s="0" t="n">
        <f aca="false">F8+F10+F24</f>
        <v>496.3059738</v>
      </c>
      <c r="G11" s="0" t="n">
        <f aca="false">G8+G10+G24</f>
        <v>516.158212752</v>
      </c>
      <c r="H11" s="0" t="n">
        <f aca="false">H8+H10+H24</f>
        <v>536.80454126208</v>
      </c>
      <c r="I11" s="0" t="n">
        <f aca="false">I8+I10+I24</f>
        <v>555.592700206253</v>
      </c>
      <c r="J11" s="0" t="n">
        <f aca="false">J8+J10+J24</f>
        <v>572.260481212441</v>
      </c>
      <c r="K11" s="0" t="n">
        <f aca="false">K8+K10+K24</f>
        <v>589.428295648814</v>
      </c>
      <c r="L11" s="0" t="n">
        <f aca="false">L8+L10+L24</f>
        <v>607.111144518278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441.255</v>
      </c>
      <c r="D13" s="0" t="n">
        <f aca="false">D11+D12</f>
        <v>458.9052</v>
      </c>
      <c r="E13" s="0" t="n">
        <f aca="false">E11+E12</f>
        <v>472.672356</v>
      </c>
      <c r="F13" s="0" t="n">
        <f aca="false">F11+F12</f>
        <v>496.3059738</v>
      </c>
      <c r="G13" s="0" t="n">
        <f aca="false">G11+G12</f>
        <v>516.158212752</v>
      </c>
      <c r="H13" s="0" t="n">
        <f aca="false">H11+H12</f>
        <v>536.80454126208</v>
      </c>
      <c r="I13" s="0" t="n">
        <f aca="false">I11+I12</f>
        <v>555.592700206253</v>
      </c>
      <c r="J13" s="0" t="n">
        <f aca="false">J11+J12</f>
        <v>572.260481212441</v>
      </c>
      <c r="K13" s="0" t="n">
        <f aca="false">K11+K12</f>
        <v>589.428295648814</v>
      </c>
      <c r="L13" s="0" t="n">
        <f aca="false">L11+L12</f>
        <v>607.111144518278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441.255</v>
      </c>
      <c r="D15" s="0" t="n">
        <f aca="false">D13-MAX(0,D13)*D14/100</f>
        <v>458.9052</v>
      </c>
      <c r="E15" s="0" t="n">
        <f aca="false">E13-MAX(0,E13)*E14/100</f>
        <v>472.672356</v>
      </c>
      <c r="F15" s="0" t="n">
        <f aca="false">F13-MAX(0,F13)*F14/100</f>
        <v>496.3059738</v>
      </c>
      <c r="G15" s="0" t="n">
        <f aca="false">G13-MAX(0,G13)*G14/100</f>
        <v>516.158212752</v>
      </c>
      <c r="H15" s="0" t="n">
        <f aca="false">H13-MAX(0,H13)*H14/100</f>
        <v>536.80454126208</v>
      </c>
      <c r="I15" s="0" t="n">
        <f aca="false">I13-MAX(0,I13)*I14/100</f>
        <v>555.592700206253</v>
      </c>
      <c r="J15" s="0" t="n">
        <f aca="false">J13-MAX(0,J13)*J14/100</f>
        <v>572.260481212441</v>
      </c>
      <c r="K15" s="0" t="n">
        <f aca="false">K13-MAX(0,K13)*K14/100</f>
        <v>589.428295648814</v>
      </c>
      <c r="L15" s="0" t="n">
        <f aca="false">L13-MAX(0,L13)*L14/100</f>
        <v>607.111144518278</v>
      </c>
    </row>
    <row r="16" customFormat="false" ht="15" hidden="false" customHeight="false" outlineLevel="0" collapsed="false">
      <c r="A16" s="0" t="s">
        <v>125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-141.2016</v>
      </c>
      <c r="D17" s="4" t="n">
        <f aca="false">-D6*Assumptions!D46/100</f>
        <v>-146.849664</v>
      </c>
      <c r="E17" s="4" t="n">
        <f aca="false">-E6*Assumptions!E46/100</f>
        <v>-141.8017068</v>
      </c>
      <c r="F17" s="4" t="n">
        <f aca="false">-F6*Assumptions!F46/100</f>
        <v>-138.965672664</v>
      </c>
      <c r="G17" s="4" t="n">
        <f aca="false">-G6*Assumptions!G46/100</f>
        <v>-144.52429957056</v>
      </c>
      <c r="H17" s="4" t="n">
        <f aca="false">-H6*Assumptions!H46/100</f>
        <v>-150.305271553382</v>
      </c>
      <c r="I17" s="4" t="n">
        <f aca="false">-I6*Assumptions!I46/100</f>
        <v>-155.565956057751</v>
      </c>
      <c r="J17" s="4" t="n">
        <f aca="false">-J6*Assumptions!J46/100</f>
        <v>-160.232934739483</v>
      </c>
      <c r="K17" s="4" t="n">
        <f aca="false">-K6*Assumptions!K46/100</f>
        <v>-165.039922781668</v>
      </c>
      <c r="L17" s="4" t="n">
        <f aca="false">-L6*Assumptions!L46/100</f>
        <v>-169.991120465118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300.0534</v>
      </c>
      <c r="D19" s="0" t="n">
        <f aca="false">D15+D16+D17+D18</f>
        <v>312.055536</v>
      </c>
      <c r="E19" s="0" t="n">
        <f aca="false">E15+E16+E17+E18</f>
        <v>330.8706492</v>
      </c>
      <c r="F19" s="0" t="n">
        <f aca="false">F15+F16+F17+F18</f>
        <v>357.340301136</v>
      </c>
      <c r="G19" s="0" t="n">
        <f aca="false">G15+G16+G17+G18</f>
        <v>371.63391318144</v>
      </c>
      <c r="H19" s="0" t="n">
        <f aca="false">H15+H16+H17+H18</f>
        <v>386.499269708698</v>
      </c>
      <c r="I19" s="0" t="n">
        <f aca="false">I15+I16+I17+I18</f>
        <v>400.026744148502</v>
      </c>
      <c r="J19" s="0" t="n">
        <f aca="false">J15+J16+J17+J18</f>
        <v>412.027546472957</v>
      </c>
      <c r="K19" s="0" t="n">
        <f aca="false">K15+K16+K17+K18</f>
        <v>424.388372867146</v>
      </c>
      <c r="L19" s="0" t="n">
        <f aca="false">L15+L16+L17+L18</f>
        <v>437.12002405316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277.827222222222</v>
      </c>
      <c r="D21" s="0" t="n">
        <f aca="false">D19*D20</f>
        <v>267.537325102881</v>
      </c>
      <c r="E21" s="0" t="n">
        <f aca="false">E19*E20</f>
        <v>262.655788942234</v>
      </c>
      <c r="F21" s="0" t="n">
        <f aca="false">F19*F20</f>
        <v>262.655788942234</v>
      </c>
      <c r="G21" s="0" t="n">
        <f aca="false">G19*G20</f>
        <v>252.927796759189</v>
      </c>
      <c r="H21" s="0" t="n">
        <f aca="false">H19*H20</f>
        <v>243.560100582922</v>
      </c>
      <c r="I21" s="0" t="n">
        <f aca="false">I19*I20</f>
        <v>233.411763058634</v>
      </c>
      <c r="J21" s="0" t="n">
        <f aca="false">J19*J20</f>
        <v>222.605662917031</v>
      </c>
      <c r="K21" s="0" t="n">
        <f aca="false">K19*K20</f>
        <v>212.29984518939</v>
      </c>
      <c r="L21" s="0" t="n">
        <f aca="false">L19*L20</f>
        <v>202.471148652844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2437.95244236958</v>
      </c>
    </row>
    <row r="31" customFormat="false" ht="15" hidden="false" customHeight="false" outlineLevel="0" collapsed="false">
      <c r="A31" s="0" t="s">
        <v>134</v>
      </c>
      <c r="B31" s="0" t="n">
        <f aca="false">L19</f>
        <v>437.12002405316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9004.6724954951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7868.16043295688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7868.16043295688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3644.4806757512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6082.43311812078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7633.33311812078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9.00802003099008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0.137376266539152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9.00802003099008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3751.94687312296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5.03035603447846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4.97562320760606</v>
      </c>
      <c r="C4" s="0" t="n">
        <f aca="false">B4/Assumptions!$B$2-1</f>
        <v>-0.371764746514386</v>
      </c>
      <c r="D4" s="4" t="n">
        <f aca="false">Assumptions!$B$24</f>
        <v>0.25</v>
      </c>
      <c r="E4" s="4" t="n">
        <f aca="false">DCF_Bear!$B$43</f>
        <v>4.97562320760606</v>
      </c>
      <c r="F4" s="4" t="n">
        <f aca="false">DCF_Bear!$B$47</f>
        <v>3.61300735429833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6.80089360947063</v>
      </c>
      <c r="C5" s="0" t="n">
        <f aca="false">B5/Assumptions!$B$2-1</f>
        <v>-0.141301311935527</v>
      </c>
      <c r="D5" s="4" t="n">
        <f aca="false">Assumptions!$B$38</f>
        <v>0.5</v>
      </c>
      <c r="E5" s="4" t="n">
        <f aca="false">DCF_Base!$B$43</f>
        <v>6.80089360947063</v>
      </c>
      <c r="F5" s="4" t="n">
        <f aca="false">DCF_Base!$B$47</f>
        <v>4.3090554924734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9.00802003099008</v>
      </c>
      <c r="C6" s="0" t="n">
        <f aca="false">B6/Assumptions!$B$2-1</f>
        <v>0.137376266539152</v>
      </c>
      <c r="D6" s="4" t="n">
        <f aca="false">Assumptions!$B$52</f>
        <v>0.25</v>
      </c>
      <c r="E6" s="4" t="n">
        <f aca="false">DCF_Bull!$B$43</f>
        <v>9.00802003099008</v>
      </c>
      <c r="F6" s="4" t="n">
        <f aca="false">DCF_Bull!$B$47</f>
        <v>5.03035603447846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6.89635761438435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6.89635761438435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-0.148432323677727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4.3153685934309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6.80089360947063</v>
      </c>
      <c r="C15" s="3" t="n">
        <v>8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6.46176723691379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5.95417900864664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5.47029769082657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5.08829722423341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4.3090554924734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7.58151822242801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7.58151822242801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7.58151822242801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7.58151822242801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7.58151822242801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7.17291317428866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7.17291317428866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7.17291317428866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7.17291317428866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7.17291317428866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6.80089360947063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6.80089360947063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6.80089360947063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6.80089360947063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6.80089360947063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6.22305577531401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6.39201388774502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6.46176723691379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6.46176723691379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6.46176723691379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5.69785311861872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5.81800587956931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5.95417900864664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6.10980544187788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6.15224901457731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2026-10-24T09:53:40Z</dcterms:created>
  <dc:creator>openpyxl</dc:creator>
  <dc:description/>
  <dc:language>en-NZ</dc:language>
  <cp:lastModifiedBy/>
  <dcterms:modified xsi:type="dcterms:W3CDTF">2026-10-24T09:53:40Z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