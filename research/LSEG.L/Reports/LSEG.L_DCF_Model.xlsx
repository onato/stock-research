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<sst xmlns="http://schemas.openxmlformats.org/spreadsheetml/2006/main" count="358" uniqueCount="168">
  <si>
    <t xml:space="preserve">Ticker</t>
  </si>
  <si>
    <t xml:space="preserve">LSEG.L</t>
  </si>
  <si>
    <t xml:space="preserve">Company</t>
  </si>
  <si>
    <t xml:space="preserve">London Stock Exchange Group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</si>
  <si>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</si>
  <si>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</si>
  <si>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</si>
  <si>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</si>
  <si>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2026-10-09T16:00:15Z regular close (Yahoo Finance chart API, LSEG.L)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</si>
  <si>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</si>
  <si>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</si>
  <si>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</si>
  <si>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</si>
  <si>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</si>
  <si>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</si>
  <si>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</si>
  <si>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</si>
  <si>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</si>
  <si>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</si>
  <si>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</si>
  <si>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</si>
  <si>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</si>
  <si>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2026-10-10T00:54:29Z</t>
  </si>
  <si>
    <t xml:space="preserve">Drivers file</t>
  </si>
  <si>
    <t xml:space="preserve">LSEG.L_Drivers.json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</si>
  <si>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</si>
  <si>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</si>
  <si>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</si>
  <si>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LSEG is valued as an operating company on fully SBC-expensed, unlevered owner free cash flow, with the clearing house treated as an operating business (collateral balances ignored, net treasury income kept as revenue) and the Tradeweb/LCH/PTS minorities charged as a leakage on EBIT rather than deducted at book or market. The headline is the 25/50/25 probability-weighted value; the terminal value is bounded by the lower of Gordon at 8%/2.5% and 20x year-10 FCF. The entry price demands a 15% IRR with the terminal value rebuilt at that rate. House and street bases differ only by the ~1.9%-of-income SBC charge, so the band is narrow.
key_risks_to_valuation: AI disintermediation of desktop/terminal data (Workspace) and content licensing: the bear axis on the ~70% subscription base; retention 92.8% and ASV +6.1% are the KPIs to watch.; Net treasury income (£257m FY2025, ~6% of EBITDA) is a function of policy rates and clearing-member cash balances; a 200bp rate cut takes a meaningful slice of margin.; NCI treatment: Tradeweb's minority is charged at ~10% of EBIT in the flows; valuing it at market (~£9-11bn) instead would lower the weighted value by roughly £8-10/share (800-1,000p).; Cash tax runs ~12% of EBIT against a 24-25% underlying rate; the model ramps it to 24.5% by 2033 as US tax amortisation of acquired intangibles expires. If the shelter ends sooner, or the OECD Pillar Two top-up bites, value falls; if it persists longer the model is conservative.; Translation: ~45% of income is USD; the FY2026 guide is struck at GBPUSD 1.32. Each 5% move in GBPUSD is ~2% of income.; Markets volumes (Tradeweb ADV, LCH SwapClear/RepoClear) were elevated in 2025-26 on rate volatility; the base case assumes normalisation, not a step down.; Capex basis: the CSV capex (£985m) runs ~7% above the company's 'cash capex' (£919m); the projection is scaled to the CSV basis, which is the conservative side.; Terminal value is ~60% of EV at 8% WACC; each 50bp of WACC is worth roughly 8-9% of value (see sensitivity grid).</t>
  </si>
  <si>
    <t xml:space="preserve">Data sources</t>
  </si>
  <si>
    <t xml:space="preserve">price: Yahoo Finance chart API at inputs.price_as_of; 52-week range 6,684-10,140p
financials: LSEG.L_Metrics.csv / core_metrics and kpis (FY2018-FY2025 annual, H1 FY2025, H1 FY2026, Q1 FY2025, Q1 FY2026) derived from the annual reports and the H1 2026 interim (LSEG.L_HalfYear_H1-2026.txt: results table p.1, capital allocation p.8, outlook p.9, cash flow p.21, net debt p.22, notes 7 and 7.2); FY2025 Annual Report PPE note for ROU depreciation and the non-underlying D&amp;A footnote
qualitative: LSEG.L_Analysis.json (2026-10-10: business model, moat, growth drivers, bull/bear cases, Elliott activism) plus the FY2025 Annual Report strategic report and the H1 2026 interim narrative (LSEG Everywhere, Workspace, Tradeweb, Post Trade Solutions)</t>
  </si>
  <si>
    <t xml:space="preserve">Scenario narrative: bear</t>
  </si>
  <si>
    <t xml:space="preserve">AI disintermediation of the terminal and desktop data model: Workspace seats and content licensing come under price pressure as customers route LLM agents to raw data, retention slips below 92% and D&amp;A growth falls to low single digits. Lower rates compress net treasury income on clearing collateral; Tradeweb and LCH volumes normalise after a strong 2025-26; a stronger pound shrinks reported USD income. Income grows 5% then 2.5-3%, margin stalls around 50.5% as investment in AI and platform capacity continues without the revenue, capex intensity stays at 9%. Cash tax and NCI leakage ramp as in base. No solvency axis: leverage sits mid-range at 2.1x on A-rated debt, so the bear case is a multiple de-rating on slower growth, not distress.</t>
  </si>
  <si>
    <t xml:space="preserve">Scenario narrative: base</t>
  </si>
  <si>
    <t xml:space="preserve">Guidance delivered and the medium-term framework met at its midpoint. Subscription businesses (D&amp;A, FTSE Russell, Risk Intelligence; ASV +6.1%) accelerate modestly as Workspace migration completes and AI-ready data (LSEG Everywhere, MCP, Microsoft/Google/Amazon integrations) is monetised through usage-based pricing; Markets (Tradeweb, LCH) grows above group but normalises from 2025-26's elevated volumes; net treasury income is roughly flat as rates settle. EBITDA margin reaches 53-54% on operating leverage and the end of Refinitiv integration costs; capex intensity falls to ~8.4%. Cash tax rises toward the 24-25% underlying rate as the US intangible tax amortisation runs off, and Tradeweb's minority takes a slowly rising ~10-10.5% of EBIT. Growth fades to 3% by year 10; Gordon at 8%/2.5% (18.6x) binds below the 20x cap.</t>
  </si>
  <si>
    <t xml:space="preserve">Scenario narrative: bull</t>
  </si>
  <si>
    <t xml:space="preserve">AI monetisation is real and visible: usage-based data access and agentic workflows lift D&amp;A to high-single-digit growth, FTSE Russell and Risk Intelligence sustain ~10%, Tradeweb keeps compounding ADV and expands into prediction markets and new asset classes, and LCH SwapClear's larger revenue share plus RepoClear volumes carry Post Trade. Income grows 8% for three years, fading to 4.5%; margin reaches 56% as the product-led operating model takes out cost faster than guided. Elliott Management's activism adds a capital-discipline and portfolio-simplification catalyst toward the multiples of S&amp;P Global, MSCI and ICE, though no re-rating is modelled. Terminal growth 3%; the 20x cap binds (Gordon would be 20.6x). Weight is held at 25% because this needs three independent things to go right: AI pricing power, continued Tradeweb outgrowth and above-guidance cost-out.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</si>
  <si>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</si>
  <si>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</si>
  <si>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</si>
  <si>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</si>
  <si>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</si>
  <si>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</si>
  <si>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</si>
  <si>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</si>
  <si>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</si>
  <si>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</si>
  <si>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</si>
  <si>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</si>
  <si>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</si>
  <si>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</si>
  <si>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</si>
  <si>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</si>
  <si>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</si>
  <si>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</si>
  <si>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</si>
  <si>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</si>
  <si>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</si>
  <si>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</si>
  <si>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</si>
  <si>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</si>
  <si>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</si>
  <si>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</si>
  <si>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</si>
  <si>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</si>
  <si>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AdjustedEPS</t>
  </si>
  <si>
    <t xml:space="preserve">AdjustedOperatingProfit</t>
  </si>
  <si>
    <t xml:space="preserve">TotalEquityInclNCI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</si>
  <si>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</si>
  <si>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</si>
  <si>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</si>
  <si>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</si>
  <si>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</si>
  <si>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</si>
  <si>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</si>
  <si>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</si>
  <si>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</si>
  <si>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</si>
  <si>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</si>
  <si>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</si>
  <si>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</si>
  <si>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</si>
  <si>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</si>
  <si>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</si>
  <si>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</si>
  <si>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</si>
  <si>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</si>
  <si>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</si>
  <si>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</si>
  <si>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</si>
  <si>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</si>
  <si>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</si>
  <si>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</si>
  <si>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</si>
  <si>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</si>
  <si>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</si>
  <si>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</si>
  <si>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</si>
  <si>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</si>
  <si>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</si>
  <si>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</si>
  <si>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</si>
  <si>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</si>
  <si>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</si>
  <si>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</si>
  <si>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</si>
  <si>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</si>
  <si>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</si>
  <si>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</si>
  <si>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</si>
  <si>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</si>
  <si>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</si>
  <si>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</si>
  <si>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LSEG.L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</si>
  <si>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</si>
  <si>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</si>
  <si>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</si>
  <si>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</si>
  <si>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</si>
  <si>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</si>
  <si>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</si>
  <si>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</si>
  <si>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</si>
  <si>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</si>
  <si>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</si>
  <si>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</si>
  <si>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</si>
  <si>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</si>
  <si>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</si>
  <si>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</si>
  <si>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</si>
  <si>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</si>
  <si>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</si>
  <si>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</si>
  <si>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</si>
  <si>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</si>
  <si>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</si>
  <si>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</si>
  <si>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</si>
  <si>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</si>
  <si>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</si>
  <si>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</si>
  <si>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</si>
  <si>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</si>
  <si>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LSEG.L owner-FCF component DCF: base case (millions, GBP)</t>
  </si>
  <si>
    <t xml:space="preserve">LSEG.L owner-FCF component DCF: bull case (millions, GBP)</t>
  </si>
  <si>
    <t xml:space="preserve">LSEG.L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</si>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</sst>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8694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2135</v>
      </c>
      <c r="C2" s="0" t="n">
        <v>227</v>
      </c>
      <c r="D2" s="0" t="n">
        <v>1908</v>
      </c>
      <c r="E2" s="0" t="n">
        <v>89.4</v>
      </c>
      <c r="F2" s="0" t="n">
        <v>751</v>
      </c>
      <c r="G2" s="0" t="n">
        <v>35.2</v>
      </c>
      <c r="H2" s="0" t="n">
        <v>1045</v>
      </c>
      <c r="I2" s="0" t="n">
        <v>480</v>
      </c>
      <c r="J2" s="0" t="n">
        <v>22.5</v>
      </c>
      <c r="K2" s="0" t="n">
        <v>1.36</v>
      </c>
      <c r="L2" s="0" t="n">
        <v>722</v>
      </c>
      <c r="M2" s="0" t="n">
        <v>194</v>
      </c>
      <c r="N2" s="0" t="n">
        <v>528</v>
      </c>
      <c r="O2" s="0" t="n">
        <v>3343</v>
      </c>
      <c r="P2" s="0" t="n">
        <v>842846</v>
      </c>
      <c r="Q2" s="0" t="n">
        <v>839148</v>
      </c>
      <c r="R2" s="0" t="n">
        <v>2203</v>
      </c>
      <c r="S2" s="0" t="n">
        <v>1510</v>
      </c>
      <c r="T2" s="0" t="n">
        <v>352.9</v>
      </c>
      <c r="U2" s="0" t="n">
        <v>36</v>
      </c>
      <c r="AA2" s="0" t="s">
        <v>18</v>
      </c>
      <c r="AB2" s="0" t="s">
        <v>14</v>
      </c>
      <c r="AC2" s="0" t="n">
        <v>1066</v>
      </c>
      <c r="AE2" s="0" t="n">
        <v>931</v>
      </c>
    </row>
    <row r="3" customFormat="false" ht="15" hidden="false" customHeight="false" outlineLevel="0" collapsed="false">
      <c r="A3" s="0" t="s">
        <v>69</v>
      </c>
      <c r="B3" s="0" t="n">
        <v>2314</v>
      </c>
      <c r="C3" s="0" t="n">
        <v>210</v>
      </c>
      <c r="D3" s="0" t="n">
        <v>2104</v>
      </c>
      <c r="E3" s="0" t="n">
        <v>90.9</v>
      </c>
      <c r="F3" s="0" t="n">
        <v>738</v>
      </c>
      <c r="G3" s="0" t="n">
        <v>31.9</v>
      </c>
      <c r="H3" s="0" t="n">
        <v>1133</v>
      </c>
      <c r="I3" s="0" t="n">
        <v>417</v>
      </c>
      <c r="J3" s="0" t="n">
        <v>18</v>
      </c>
      <c r="K3" s="0" t="n">
        <v>1.181</v>
      </c>
      <c r="L3" s="0" t="n">
        <v>837</v>
      </c>
      <c r="M3" s="0" t="n">
        <v>195</v>
      </c>
      <c r="N3" s="0" t="n">
        <v>642</v>
      </c>
      <c r="O3" s="0" t="n">
        <v>3455</v>
      </c>
      <c r="P3" s="0" t="n">
        <v>803651</v>
      </c>
      <c r="Q3" s="0" t="n">
        <v>799850</v>
      </c>
      <c r="R3" s="0" t="n">
        <v>2085</v>
      </c>
      <c r="S3" s="0" t="n">
        <v>1493</v>
      </c>
      <c r="T3" s="0" t="n">
        <v>353.1</v>
      </c>
      <c r="U3" s="0" t="n">
        <v>35</v>
      </c>
      <c r="V3" s="0" t="n">
        <v>0.7</v>
      </c>
      <c r="AA3" s="0" t="s">
        <v>18</v>
      </c>
      <c r="AB3" s="0" t="s">
        <v>14</v>
      </c>
      <c r="AC3" s="0" t="n">
        <v>1265</v>
      </c>
      <c r="AE3" s="0" t="n">
        <v>1065</v>
      </c>
    </row>
    <row r="4" customFormat="false" ht="15" hidden="false" customHeight="false" outlineLevel="0" collapsed="false">
      <c r="A4" s="0" t="s">
        <v>70</v>
      </c>
      <c r="B4" s="0" t="n">
        <v>2444</v>
      </c>
      <c r="C4" s="0" t="n">
        <v>224</v>
      </c>
      <c r="D4" s="0" t="n">
        <v>2220</v>
      </c>
      <c r="E4" s="0" t="n">
        <v>90.8</v>
      </c>
      <c r="F4" s="0" t="n">
        <v>755</v>
      </c>
      <c r="G4" s="0" t="n">
        <v>30.9</v>
      </c>
      <c r="H4" s="0" t="n">
        <v>1161</v>
      </c>
      <c r="I4" s="0" t="n">
        <v>421</v>
      </c>
      <c r="J4" s="0" t="n">
        <v>17.2</v>
      </c>
      <c r="K4" s="0" t="n">
        <v>1.189</v>
      </c>
      <c r="L4" s="0" t="n">
        <v>972</v>
      </c>
      <c r="M4" s="0" t="n">
        <v>222</v>
      </c>
      <c r="N4" s="0" t="n">
        <v>750</v>
      </c>
      <c r="O4" s="0" t="n">
        <v>3711</v>
      </c>
      <c r="P4" s="0" t="n">
        <v>849141</v>
      </c>
      <c r="Q4" s="0" t="n">
        <v>845016</v>
      </c>
      <c r="R4" s="0" t="n">
        <v>1951</v>
      </c>
      <c r="S4" s="0" t="n">
        <v>1785</v>
      </c>
      <c r="T4" s="0" t="n">
        <v>354.1</v>
      </c>
      <c r="U4" s="0" t="n">
        <v>44</v>
      </c>
      <c r="V4" s="0" t="n">
        <v>0.75</v>
      </c>
      <c r="AA4" s="0" t="s">
        <v>18</v>
      </c>
      <c r="AB4" s="0" t="s">
        <v>14</v>
      </c>
      <c r="AC4" s="0" t="n">
        <v>1329</v>
      </c>
      <c r="AE4" s="0" t="n">
        <v>1118</v>
      </c>
    </row>
    <row r="5" customFormat="false" ht="15" hidden="false" customHeight="false" outlineLevel="0" collapsed="false">
      <c r="A5" s="0" t="s">
        <v>71</v>
      </c>
      <c r="B5" s="0" t="n">
        <v>6740</v>
      </c>
      <c r="C5" s="0" t="n">
        <v>862</v>
      </c>
      <c r="D5" s="0" t="n">
        <v>5878</v>
      </c>
      <c r="E5" s="0" t="n">
        <v>87.2</v>
      </c>
      <c r="F5" s="0" t="n">
        <v>1158</v>
      </c>
      <c r="G5" s="0" t="n">
        <v>17.2</v>
      </c>
      <c r="H5" s="0" t="n">
        <v>2766</v>
      </c>
      <c r="I5" s="0" t="n">
        <v>3129</v>
      </c>
      <c r="J5" s="0" t="n">
        <v>46.4</v>
      </c>
      <c r="K5" s="0" t="n">
        <v>5.781</v>
      </c>
      <c r="L5" s="0" t="n">
        <v>2602</v>
      </c>
      <c r="M5" s="0" t="n">
        <v>662</v>
      </c>
      <c r="N5" s="0" t="n">
        <v>1940</v>
      </c>
      <c r="O5" s="0" t="n">
        <v>23640</v>
      </c>
      <c r="P5" s="0" t="n">
        <v>787109</v>
      </c>
      <c r="Q5" s="0" t="n">
        <v>761590</v>
      </c>
      <c r="R5" s="0" t="n">
        <v>7654</v>
      </c>
      <c r="S5" s="0" t="n">
        <v>2665</v>
      </c>
      <c r="T5" s="0" t="n">
        <v>541.3</v>
      </c>
      <c r="U5" s="0" t="n">
        <v>141</v>
      </c>
      <c r="V5" s="0" t="n">
        <v>0.95</v>
      </c>
      <c r="AA5" s="0" t="s">
        <v>18</v>
      </c>
      <c r="AB5" s="0" t="s">
        <v>14</v>
      </c>
      <c r="AC5" s="0" t="n">
        <v>3105</v>
      </c>
      <c r="AE5" s="0" t="n">
        <v>2384</v>
      </c>
    </row>
    <row r="6" customFormat="false" ht="15" hidden="false" customHeight="false" outlineLevel="0" collapsed="false">
      <c r="A6" s="0" t="s">
        <v>72</v>
      </c>
      <c r="B6" s="0" t="n">
        <v>7743</v>
      </c>
      <c r="C6" s="0" t="n">
        <v>1064</v>
      </c>
      <c r="D6" s="0" t="n">
        <v>6679</v>
      </c>
      <c r="E6" s="0" t="n">
        <v>86.3</v>
      </c>
      <c r="F6" s="0" t="n">
        <v>1417</v>
      </c>
      <c r="G6" s="0" t="n">
        <v>18.3</v>
      </c>
      <c r="H6" s="0" t="n">
        <v>3317</v>
      </c>
      <c r="I6" s="0" t="n">
        <v>1302</v>
      </c>
      <c r="J6" s="0" t="n">
        <v>16.8</v>
      </c>
      <c r="K6" s="0" t="n">
        <v>2.325</v>
      </c>
      <c r="L6" s="0" t="n">
        <v>2737</v>
      </c>
      <c r="M6" s="0" t="n">
        <v>966</v>
      </c>
      <c r="N6" s="0" t="n">
        <v>1771</v>
      </c>
      <c r="O6" s="0" t="n">
        <v>25996</v>
      </c>
      <c r="P6" s="0" t="n">
        <v>835156</v>
      </c>
      <c r="Q6" s="0" t="n">
        <v>807005</v>
      </c>
      <c r="R6" s="0" t="n">
        <v>8823</v>
      </c>
      <c r="S6" s="0" t="n">
        <v>3209</v>
      </c>
      <c r="T6" s="0" t="n">
        <v>560</v>
      </c>
      <c r="U6" s="0" t="n">
        <v>158</v>
      </c>
      <c r="V6" s="0" t="n">
        <v>1.07</v>
      </c>
      <c r="AA6" s="0" t="s">
        <v>18</v>
      </c>
      <c r="AB6" s="0" t="s">
        <v>14</v>
      </c>
      <c r="AC6" s="0" t="n">
        <v>3550</v>
      </c>
      <c r="AE6" s="0" t="n">
        <v>2728</v>
      </c>
    </row>
    <row r="7" customFormat="false" ht="15" hidden="false" customHeight="false" outlineLevel="0" collapsed="false">
      <c r="A7" s="0" t="s">
        <v>73</v>
      </c>
      <c r="B7" s="0" t="n">
        <v>8379</v>
      </c>
      <c r="C7" s="0" t="n">
        <v>1143</v>
      </c>
      <c r="D7" s="0" t="n">
        <v>7236</v>
      </c>
      <c r="E7" s="0" t="n">
        <v>86.4</v>
      </c>
      <c r="F7" s="0" t="n">
        <v>1371</v>
      </c>
      <c r="G7" s="0" t="n">
        <v>16.4</v>
      </c>
      <c r="H7" s="0" t="n">
        <v>3514</v>
      </c>
      <c r="I7" s="0" t="n">
        <v>761</v>
      </c>
      <c r="J7" s="0" t="n">
        <v>9.1</v>
      </c>
      <c r="K7" s="0" t="n">
        <v>1.381</v>
      </c>
      <c r="L7" s="0" t="n">
        <v>2942</v>
      </c>
      <c r="M7" s="0" t="n">
        <v>1084</v>
      </c>
      <c r="N7" s="0" t="n">
        <v>1858</v>
      </c>
      <c r="O7" s="0" t="n">
        <v>23807</v>
      </c>
      <c r="P7" s="0" t="n">
        <v>805010</v>
      </c>
      <c r="Q7" s="0" t="n">
        <v>779066</v>
      </c>
      <c r="R7" s="0" t="n">
        <v>9699</v>
      </c>
      <c r="S7" s="0" t="n">
        <v>3580</v>
      </c>
      <c r="T7" s="0" t="n">
        <v>551</v>
      </c>
      <c r="U7" s="0" t="n">
        <v>143</v>
      </c>
      <c r="V7" s="0" t="n">
        <v>1.15</v>
      </c>
      <c r="AA7" s="0" t="s">
        <v>18</v>
      </c>
      <c r="AB7" s="0" t="s">
        <v>14</v>
      </c>
      <c r="AC7" s="0" t="n">
        <v>3777</v>
      </c>
      <c r="AE7" s="0" t="n">
        <v>2862</v>
      </c>
    </row>
    <row r="8" customFormat="false" ht="15" hidden="false" customHeight="false" outlineLevel="0" collapsed="false">
      <c r="A8" s="0" t="s">
        <v>74</v>
      </c>
      <c r="B8" s="0" t="n">
        <v>8858</v>
      </c>
      <c r="C8" s="0" t="n">
        <v>1173</v>
      </c>
      <c r="D8" s="0" t="n">
        <v>7685</v>
      </c>
      <c r="E8" s="0" t="n">
        <v>86.8</v>
      </c>
      <c r="F8" s="0" t="n">
        <v>1463</v>
      </c>
      <c r="G8" s="0" t="n">
        <v>16.5</v>
      </c>
      <c r="H8" s="0" t="n">
        <v>3945</v>
      </c>
      <c r="I8" s="0" t="n">
        <v>685</v>
      </c>
      <c r="J8" s="0" t="n">
        <v>7.7</v>
      </c>
      <c r="K8" s="0" t="n">
        <v>1.28</v>
      </c>
      <c r="L8" s="0" t="n">
        <v>3396</v>
      </c>
      <c r="M8" s="0" t="n">
        <v>1008</v>
      </c>
      <c r="N8" s="0" t="n">
        <v>2388</v>
      </c>
      <c r="O8" s="0" t="n">
        <v>23013</v>
      </c>
      <c r="P8" s="0" t="n">
        <v>732819</v>
      </c>
      <c r="Q8" s="0" t="n">
        <v>707666</v>
      </c>
      <c r="R8" s="0" t="n">
        <v>9965</v>
      </c>
      <c r="S8" s="0" t="n">
        <v>3475</v>
      </c>
      <c r="T8" s="0" t="n">
        <v>535.2</v>
      </c>
      <c r="U8" s="0" t="n">
        <v>162</v>
      </c>
      <c r="V8" s="0" t="n">
        <v>1.3</v>
      </c>
      <c r="AA8" s="0" t="s">
        <v>18</v>
      </c>
      <c r="AB8" s="0" t="s">
        <v>14</v>
      </c>
      <c r="AC8" s="0" t="n">
        <v>4148</v>
      </c>
      <c r="AD8" s="0" t="n">
        <v>3.635</v>
      </c>
      <c r="AE8" s="0" t="n">
        <v>3165</v>
      </c>
      <c r="AF8" s="0" t="n">
        <v>25153</v>
      </c>
    </row>
    <row r="9" customFormat="false" ht="15" hidden="false" customHeight="false" outlineLevel="0" collapsed="false">
      <c r="A9" s="0" t="s">
        <v>75</v>
      </c>
      <c r="B9" s="0" t="n">
        <v>9346</v>
      </c>
      <c r="C9" s="0" t="n">
        <v>1113</v>
      </c>
      <c r="D9" s="0" t="n">
        <v>8233</v>
      </c>
      <c r="E9" s="0" t="n">
        <v>88.1</v>
      </c>
      <c r="F9" s="0" t="n">
        <v>2127</v>
      </c>
      <c r="G9" s="0" t="n">
        <v>22.8</v>
      </c>
      <c r="H9" s="0" t="n">
        <v>4365</v>
      </c>
      <c r="I9" s="0" t="n">
        <v>1249</v>
      </c>
      <c r="J9" s="0" t="n">
        <v>13.4</v>
      </c>
      <c r="K9" s="0" t="n">
        <v>2.37</v>
      </c>
      <c r="L9" s="0" t="n">
        <v>3622</v>
      </c>
      <c r="M9" s="0" t="n">
        <v>985</v>
      </c>
      <c r="N9" s="0" t="n">
        <v>2637</v>
      </c>
      <c r="O9" s="0" t="n">
        <v>19779</v>
      </c>
      <c r="P9" s="0" t="n">
        <v>796704</v>
      </c>
      <c r="Q9" s="0" t="n">
        <v>774536</v>
      </c>
      <c r="R9" s="0" t="n">
        <v>11718</v>
      </c>
      <c r="S9" s="0" t="n">
        <v>3949</v>
      </c>
      <c r="T9" s="0" t="n">
        <v>527</v>
      </c>
      <c r="U9" s="0" t="n">
        <v>176</v>
      </c>
      <c r="V9" s="0" t="n">
        <v>1.5</v>
      </c>
      <c r="AA9" s="0" t="s">
        <v>18</v>
      </c>
      <c r="AB9" s="0" t="s">
        <v>14</v>
      </c>
      <c r="AC9" s="0" t="n">
        <v>4523</v>
      </c>
      <c r="AD9" s="0" t="n">
        <v>4.206</v>
      </c>
      <c r="AE9" s="0" t="n">
        <v>3506</v>
      </c>
      <c r="AF9" s="0" t="n">
        <v>22168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8694</v>
      </c>
    </row>
    <row r="3" customFormat="false" ht="15" hidden="false" customHeight="false" outlineLevel="0" collapsed="false">
      <c r="A3" s="0" t="s">
        <v>79</v>
      </c>
      <c r="B3" s="3" t="n">
        <v>490</v>
      </c>
    </row>
    <row r="4" customFormat="false" ht="15" hidden="false" customHeight="false" outlineLevel="0" collapsed="false">
      <c r="A4" s="0" t="s">
        <v>80</v>
      </c>
      <c r="B4" s="3" t="n">
        <v>9982</v>
      </c>
    </row>
    <row r="5" customFormat="false" ht="15" hidden="false" customHeight="false" outlineLevel="0" collapsed="false">
      <c r="A5" s="0" t="s">
        <v>81</v>
      </c>
      <c r="B5" s="3" t="n">
        <v>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9346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100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5</v>
      </c>
      <c r="D13" s="3" t="n">
        <v>4</v>
      </c>
      <c r="E13" s="3" t="n">
        <v>3.5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100</v>
      </c>
      <c r="C14" s="3" t="n">
        <v>51.2</v>
      </c>
      <c r="D14" s="3" t="n">
        <v>51.2</v>
      </c>
      <c r="E14" s="3" t="n">
        <v>51</v>
      </c>
      <c r="F14" s="3" t="n">
        <v>50.8</v>
      </c>
      <c r="G14" s="3" t="n">
        <v>50.5</v>
      </c>
      <c r="H14" s="3" t="n">
        <v>50.5</v>
      </c>
      <c r="I14" s="3" t="n">
        <v>50.5</v>
      </c>
      <c r="J14" s="3" t="n">
        <v>50.5</v>
      </c>
      <c r="K14" s="3" t="n">
        <v>50.5</v>
      </c>
      <c r="L14" s="3" t="n">
        <v>50.5</v>
      </c>
    </row>
    <row r="15" customFormat="false" ht="15" hidden="false" customHeight="false" outlineLevel="0" collapsed="false">
      <c r="A15" s="0" t="s">
        <v>101</v>
      </c>
      <c r="C15" s="3" t="n">
        <v>1.9</v>
      </c>
      <c r="D15" s="3" t="n">
        <v>1.9</v>
      </c>
      <c r="E15" s="3" t="n">
        <v>1.9</v>
      </c>
      <c r="F15" s="3" t="n">
        <v>1.9</v>
      </c>
      <c r="G15" s="3" t="n">
        <v>1.9</v>
      </c>
      <c r="H15" s="3" t="n">
        <v>1.9</v>
      </c>
      <c r="I15" s="3" t="n">
        <v>1.9</v>
      </c>
      <c r="J15" s="3" t="n">
        <v>1.9</v>
      </c>
      <c r="K15" s="3" t="n">
        <v>1.9</v>
      </c>
      <c r="L15" s="3" t="n">
        <v>1.9</v>
      </c>
    </row>
    <row r="16" customFormat="false" ht="15" hidden="false" customHeight="false" outlineLevel="0" collapsed="false">
      <c r="A16" s="0" t="s">
        <v>102</v>
      </c>
      <c r="C16" s="3" t="n">
        <v>1.9</v>
      </c>
      <c r="D16" s="3" t="n">
        <v>1.9</v>
      </c>
      <c r="E16" s="3" t="n">
        <v>1.9</v>
      </c>
      <c r="F16" s="3" t="n">
        <v>1.9</v>
      </c>
      <c r="G16" s="3" t="n">
        <v>1.9</v>
      </c>
      <c r="H16" s="3" t="n">
        <v>1.9</v>
      </c>
      <c r="I16" s="3" t="n">
        <v>1.9</v>
      </c>
      <c r="J16" s="3" t="n">
        <v>1.9</v>
      </c>
      <c r="K16" s="3" t="n">
        <v>1.9</v>
      </c>
      <c r="L16" s="3" t="n">
        <v>1.9</v>
      </c>
    </row>
    <row r="17" customFormat="false" ht="15" hidden="false" customHeight="false" outlineLevel="0" collapsed="false">
      <c r="A17" s="0" t="s">
        <v>103</v>
      </c>
      <c r="C17" s="3" t="n">
        <v>9.4</v>
      </c>
      <c r="D17" s="3" t="n">
        <v>9.3</v>
      </c>
      <c r="E17" s="3" t="n">
        <v>9.2</v>
      </c>
      <c r="F17" s="3" t="n">
        <v>9.1</v>
      </c>
      <c r="G17" s="3" t="n">
        <v>9</v>
      </c>
      <c r="H17" s="3" t="n">
        <v>9</v>
      </c>
      <c r="I17" s="3" t="n">
        <v>9</v>
      </c>
      <c r="J17" s="3" t="n">
        <v>9</v>
      </c>
      <c r="K17" s="3" t="n">
        <v>9</v>
      </c>
      <c r="L17" s="3" t="n">
        <v>9</v>
      </c>
    </row>
    <row r="18" customFormat="false" ht="15" hidden="false" customHeight="false" outlineLevel="0" collapsed="false">
      <c r="A18" s="0" t="s">
        <v>104</v>
      </c>
      <c r="C18" s="3" t="n">
        <v>9.8</v>
      </c>
      <c r="D18" s="3" t="n">
        <v>9.6</v>
      </c>
      <c r="E18" s="3" t="n">
        <v>9.4</v>
      </c>
      <c r="F18" s="3" t="n">
        <v>9.2</v>
      </c>
      <c r="G18" s="3" t="n">
        <v>9</v>
      </c>
      <c r="H18" s="3" t="n">
        <v>9</v>
      </c>
      <c r="I18" s="3" t="n">
        <v>9</v>
      </c>
      <c r="J18" s="3" t="n">
        <v>9</v>
      </c>
      <c r="K18" s="3" t="n">
        <v>9</v>
      </c>
      <c r="L18" s="3" t="n">
        <v>9</v>
      </c>
    </row>
    <row r="19" customFormat="false" ht="15" hidden="false" customHeight="false" outlineLevel="0" collapsed="false">
      <c r="A19" s="0" t="s">
        <v>105</v>
      </c>
      <c r="C19" s="3" t="n">
        <v>22.5</v>
      </c>
      <c r="D19" s="3" t="n">
        <v>24</v>
      </c>
      <c r="E19" s="3" t="n">
        <v>25.5</v>
      </c>
      <c r="F19" s="3" t="n">
        <v>27</v>
      </c>
      <c r="G19" s="3" t="n">
        <v>28.5</v>
      </c>
      <c r="H19" s="3" t="n">
        <v>30</v>
      </c>
      <c r="I19" s="3" t="n">
        <v>31.5</v>
      </c>
      <c r="J19" s="3" t="n">
        <v>33.5</v>
      </c>
      <c r="K19" s="3" t="n">
        <v>35</v>
      </c>
      <c r="L19" s="3" t="n">
        <v>35</v>
      </c>
    </row>
    <row r="20" customFormat="false" ht="15" hidden="false" customHeight="false" outlineLevel="0" collapsed="false">
      <c r="A20" s="0" t="s">
        <v>106</v>
      </c>
      <c r="B20" s="3" t="n">
        <v>8</v>
      </c>
    </row>
    <row r="21" customFormat="false" ht="15" hidden="false" customHeight="false" outlineLevel="0" collapsed="false">
      <c r="A21" s="0" t="s">
        <v>107</v>
      </c>
      <c r="B21" s="3" t="n">
        <v>2</v>
      </c>
    </row>
    <row r="22" customFormat="false" ht="15" hidden="false" customHeight="false" outlineLevel="0" collapsed="false">
      <c r="A22" s="0" t="s">
        <v>108</v>
      </c>
      <c r="B22" s="3" t="n">
        <v>20</v>
      </c>
    </row>
    <row r="23" customFormat="false" ht="15" hidden="false" customHeight="false" outlineLevel="0" collapsed="false">
      <c r="A23" s="0" t="s">
        <v>109</v>
      </c>
      <c r="B23" s="3" t="n">
        <v>0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6.5</v>
      </c>
      <c r="D27" s="3" t="n">
        <v>6.5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100</v>
      </c>
      <c r="C28" s="3" t="n">
        <v>51.6</v>
      </c>
      <c r="D28" s="3" t="n">
        <v>52.1</v>
      </c>
      <c r="E28" s="3" t="n">
        <v>52.6</v>
      </c>
      <c r="F28" s="3" t="n">
        <v>53.1</v>
      </c>
      <c r="G28" s="3" t="n">
        <v>53.4</v>
      </c>
      <c r="H28" s="3" t="n">
        <v>53.7</v>
      </c>
      <c r="I28" s="3" t="n">
        <v>54</v>
      </c>
      <c r="J28" s="3" t="n">
        <v>54</v>
      </c>
      <c r="K28" s="3" t="n">
        <v>54</v>
      </c>
      <c r="L28" s="3" t="n">
        <v>54</v>
      </c>
    </row>
    <row r="29" customFormat="false" ht="15" hidden="false" customHeight="false" outlineLevel="0" collapsed="false">
      <c r="A29" s="0" t="s">
        <v>101</v>
      </c>
      <c r="C29" s="3" t="n">
        <v>1.9</v>
      </c>
      <c r="D29" s="3" t="n">
        <v>1.9</v>
      </c>
      <c r="E29" s="3" t="n">
        <v>1.9</v>
      </c>
      <c r="F29" s="3" t="n">
        <v>1.9</v>
      </c>
      <c r="G29" s="3" t="n">
        <v>1.85</v>
      </c>
      <c r="H29" s="3" t="n">
        <v>1.85</v>
      </c>
      <c r="I29" s="3" t="n">
        <v>1.8</v>
      </c>
      <c r="J29" s="3" t="n">
        <v>1.8</v>
      </c>
      <c r="K29" s="3" t="n">
        <v>1.8</v>
      </c>
      <c r="L29" s="3" t="n">
        <v>1.8</v>
      </c>
    </row>
    <row r="30" customFormat="false" ht="15" hidden="false" customHeight="false" outlineLevel="0" collapsed="false">
      <c r="A30" s="0" t="s">
        <v>102</v>
      </c>
      <c r="C30" s="3" t="n">
        <v>1.9</v>
      </c>
      <c r="D30" s="3" t="n">
        <v>1.9</v>
      </c>
      <c r="E30" s="3" t="n">
        <v>1.9</v>
      </c>
      <c r="F30" s="3" t="n">
        <v>1.85</v>
      </c>
      <c r="G30" s="3" t="n">
        <v>1.85</v>
      </c>
      <c r="H30" s="3" t="n">
        <v>1.8</v>
      </c>
      <c r="I30" s="3" t="n">
        <v>1.8</v>
      </c>
      <c r="J30" s="3" t="n">
        <v>1.8</v>
      </c>
      <c r="K30" s="3" t="n">
        <v>1.8</v>
      </c>
      <c r="L30" s="3" t="n">
        <v>1.8</v>
      </c>
    </row>
    <row r="31" customFormat="false" ht="15" hidden="false" customHeight="false" outlineLevel="0" collapsed="false">
      <c r="A31" s="0" t="s">
        <v>103</v>
      </c>
      <c r="C31" s="3" t="n">
        <v>9.4</v>
      </c>
      <c r="D31" s="3" t="n">
        <v>9.2</v>
      </c>
      <c r="E31" s="3" t="n">
        <v>9</v>
      </c>
      <c r="F31" s="3" t="n">
        <v>8.8</v>
      </c>
      <c r="G31" s="3" t="n">
        <v>8.6</v>
      </c>
      <c r="H31" s="3" t="n">
        <v>8.4</v>
      </c>
      <c r="I31" s="3" t="n">
        <v>8.4</v>
      </c>
      <c r="J31" s="3" t="n">
        <v>8.4</v>
      </c>
      <c r="K31" s="3" t="n">
        <v>8.4</v>
      </c>
      <c r="L31" s="3" t="n">
        <v>8.4</v>
      </c>
    </row>
    <row r="32" customFormat="false" ht="15" hidden="false" customHeight="false" outlineLevel="0" collapsed="false">
      <c r="A32" s="0" t="s">
        <v>104</v>
      </c>
      <c r="C32" s="3" t="n">
        <v>9.8</v>
      </c>
      <c r="D32" s="3" t="n">
        <v>9.3</v>
      </c>
      <c r="E32" s="3" t="n">
        <v>8.8</v>
      </c>
      <c r="F32" s="3" t="n">
        <v>8.4</v>
      </c>
      <c r="G32" s="3" t="n">
        <v>8.4</v>
      </c>
      <c r="H32" s="3" t="n">
        <v>8.4</v>
      </c>
      <c r="I32" s="3" t="n">
        <v>8.4</v>
      </c>
      <c r="J32" s="3" t="n">
        <v>8.4</v>
      </c>
      <c r="K32" s="3" t="n">
        <v>8.4</v>
      </c>
      <c r="L32" s="3" t="n">
        <v>8.4</v>
      </c>
    </row>
    <row r="33" customFormat="false" ht="15" hidden="false" customHeight="false" outlineLevel="0" collapsed="false">
      <c r="A33" s="0" t="s">
        <v>105</v>
      </c>
      <c r="C33" s="3" t="n">
        <v>22.5</v>
      </c>
      <c r="D33" s="3" t="n">
        <v>24</v>
      </c>
      <c r="E33" s="3" t="n">
        <v>25.5</v>
      </c>
      <c r="F33" s="3" t="n">
        <v>27</v>
      </c>
      <c r="G33" s="3" t="n">
        <v>28.5</v>
      </c>
      <c r="H33" s="3" t="n">
        <v>30</v>
      </c>
      <c r="I33" s="3" t="n">
        <v>31.5</v>
      </c>
      <c r="J33" s="3" t="n">
        <v>33.5</v>
      </c>
      <c r="K33" s="3" t="n">
        <v>35</v>
      </c>
      <c r="L33" s="3" t="n">
        <v>35</v>
      </c>
    </row>
    <row r="34" customFormat="false" ht="15" hidden="false" customHeight="false" outlineLevel="0" collapsed="false">
      <c r="A34" s="0" t="s">
        <v>106</v>
      </c>
      <c r="B34" s="3" t="n">
        <v>8</v>
      </c>
    </row>
    <row r="35" customFormat="false" ht="15" hidden="false" customHeight="false" outlineLevel="0" collapsed="false">
      <c r="A35" s="0" t="s">
        <v>107</v>
      </c>
      <c r="B35" s="3" t="n">
        <v>2.5</v>
      </c>
    </row>
    <row r="36" customFormat="false" ht="15" hidden="false" customHeight="false" outlineLevel="0" collapsed="false">
      <c r="A36" s="0" t="s">
        <v>108</v>
      </c>
      <c r="B36" s="3" t="n">
        <v>20</v>
      </c>
    </row>
    <row r="37" customFormat="false" ht="15" hidden="false" customHeight="false" outlineLevel="0" collapsed="false">
      <c r="A37" s="0" t="s">
        <v>109</v>
      </c>
      <c r="B37" s="3" t="n">
        <v>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8</v>
      </c>
      <c r="D41" s="3" t="n">
        <v>8</v>
      </c>
      <c r="E41" s="3" t="n">
        <v>8</v>
      </c>
      <c r="F41" s="3" t="n">
        <v>7.5</v>
      </c>
      <c r="G41" s="3" t="n">
        <v>7</v>
      </c>
      <c r="H41" s="3" t="n">
        <v>6.5</v>
      </c>
      <c r="I41" s="3" t="n">
        <v>6</v>
      </c>
      <c r="J41" s="3" t="n">
        <v>5.5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100</v>
      </c>
      <c r="C42" s="3" t="n">
        <v>51.8</v>
      </c>
      <c r="D42" s="3" t="n">
        <v>52.6</v>
      </c>
      <c r="E42" s="3" t="n">
        <v>53.4</v>
      </c>
      <c r="F42" s="3" t="n">
        <v>54.2</v>
      </c>
      <c r="G42" s="3" t="n">
        <v>54.8</v>
      </c>
      <c r="H42" s="3" t="n">
        <v>55.3</v>
      </c>
      <c r="I42" s="3" t="n">
        <v>55.7</v>
      </c>
      <c r="J42" s="3" t="n">
        <v>56</v>
      </c>
      <c r="K42" s="3" t="n">
        <v>56</v>
      </c>
      <c r="L42" s="3" t="n">
        <v>56</v>
      </c>
    </row>
    <row r="43" customFormat="false" ht="15" hidden="false" customHeight="false" outlineLevel="0" collapsed="false">
      <c r="A43" s="0" t="s">
        <v>101</v>
      </c>
      <c r="C43" s="3" t="n">
        <v>1.9</v>
      </c>
      <c r="D43" s="3" t="n">
        <v>1.9</v>
      </c>
      <c r="E43" s="3" t="n">
        <v>1.9</v>
      </c>
      <c r="F43" s="3" t="n">
        <v>1.9</v>
      </c>
      <c r="G43" s="3" t="n">
        <v>1.85</v>
      </c>
      <c r="H43" s="3" t="n">
        <v>1.85</v>
      </c>
      <c r="I43" s="3" t="n">
        <v>1.8</v>
      </c>
      <c r="J43" s="3" t="n">
        <v>1.8</v>
      </c>
      <c r="K43" s="3" t="n">
        <v>1.8</v>
      </c>
      <c r="L43" s="3" t="n">
        <v>1.8</v>
      </c>
    </row>
    <row r="44" customFormat="false" ht="15" hidden="false" customHeight="false" outlineLevel="0" collapsed="false">
      <c r="A44" s="0" t="s">
        <v>102</v>
      </c>
      <c r="C44" s="3" t="n">
        <v>1.9</v>
      </c>
      <c r="D44" s="3" t="n">
        <v>1.9</v>
      </c>
      <c r="E44" s="3" t="n">
        <v>1.9</v>
      </c>
      <c r="F44" s="3" t="n">
        <v>1.85</v>
      </c>
      <c r="G44" s="3" t="n">
        <v>1.85</v>
      </c>
      <c r="H44" s="3" t="n">
        <v>1.8</v>
      </c>
      <c r="I44" s="3" t="n">
        <v>1.8</v>
      </c>
      <c r="J44" s="3" t="n">
        <v>1.8</v>
      </c>
      <c r="K44" s="3" t="n">
        <v>1.8</v>
      </c>
      <c r="L44" s="3" t="n">
        <v>1.8</v>
      </c>
    </row>
    <row r="45" customFormat="false" ht="15" hidden="false" customHeight="false" outlineLevel="0" collapsed="false">
      <c r="A45" s="0" t="s">
        <v>103</v>
      </c>
      <c r="C45" s="3" t="n">
        <v>9.4</v>
      </c>
      <c r="D45" s="3" t="n">
        <v>9.2</v>
      </c>
      <c r="E45" s="3" t="n">
        <v>9</v>
      </c>
      <c r="F45" s="3" t="n">
        <v>8.8</v>
      </c>
      <c r="G45" s="3" t="n">
        <v>8.6</v>
      </c>
      <c r="H45" s="3" t="n">
        <v>8.4</v>
      </c>
      <c r="I45" s="3" t="n">
        <v>8.4</v>
      </c>
      <c r="J45" s="3" t="n">
        <v>8.4</v>
      </c>
      <c r="K45" s="3" t="n">
        <v>8.4</v>
      </c>
      <c r="L45" s="3" t="n">
        <v>8.4</v>
      </c>
    </row>
    <row r="46" customFormat="false" ht="15" hidden="false" customHeight="false" outlineLevel="0" collapsed="false">
      <c r="A46" s="0" t="s">
        <v>104</v>
      </c>
      <c r="C46" s="3" t="n">
        <v>9.8</v>
      </c>
      <c r="D46" s="3" t="n">
        <v>9.3</v>
      </c>
      <c r="E46" s="3" t="n">
        <v>8.8</v>
      </c>
      <c r="F46" s="3" t="n">
        <v>8.4</v>
      </c>
      <c r="G46" s="3" t="n">
        <v>8.4</v>
      </c>
      <c r="H46" s="3" t="n">
        <v>8.4</v>
      </c>
      <c r="I46" s="3" t="n">
        <v>8.4</v>
      </c>
      <c r="J46" s="3" t="n">
        <v>8.4</v>
      </c>
      <c r="K46" s="3" t="n">
        <v>8.4</v>
      </c>
      <c r="L46" s="3" t="n">
        <v>8.4</v>
      </c>
    </row>
    <row r="47" customFormat="false" ht="15" hidden="false" customHeight="false" outlineLevel="0" collapsed="false">
      <c r="A47" s="0" t="s">
        <v>105</v>
      </c>
      <c r="C47" s="3" t="n">
        <v>22.5</v>
      </c>
      <c r="D47" s="3" t="n">
        <v>24</v>
      </c>
      <c r="E47" s="3" t="n">
        <v>25.5</v>
      </c>
      <c r="F47" s="3" t="n">
        <v>27</v>
      </c>
      <c r="G47" s="3" t="n">
        <v>28.5</v>
      </c>
      <c r="H47" s="3" t="n">
        <v>30</v>
      </c>
      <c r="I47" s="3" t="n">
        <v>31.5</v>
      </c>
      <c r="J47" s="3" t="n">
        <v>33.5</v>
      </c>
      <c r="K47" s="3" t="n">
        <v>35</v>
      </c>
      <c r="L47" s="3" t="n">
        <v>35</v>
      </c>
    </row>
    <row r="48" customFormat="false" ht="15" hidden="false" customHeight="false" outlineLevel="0" collapsed="false">
      <c r="A48" s="0" t="s">
        <v>106</v>
      </c>
      <c r="B48" s="3" t="n">
        <v>8</v>
      </c>
    </row>
    <row r="49" customFormat="false" ht="15" hidden="false" customHeight="false" outlineLevel="0" collapsed="false">
      <c r="A49" s="0" t="s">
        <v>107</v>
      </c>
      <c r="B49" s="3" t="n">
        <v>3</v>
      </c>
    </row>
    <row r="50" customFormat="false" ht="15" hidden="false" customHeight="false" outlineLevel="0" collapsed="false">
      <c r="A50" s="0" t="s">
        <v>108</v>
      </c>
      <c r="B50" s="3" t="n">
        <v>20</v>
      </c>
    </row>
    <row r="51" customFormat="false" ht="15" hidden="false" customHeight="false" outlineLevel="0" collapsed="false">
      <c r="A51" s="0" t="s">
        <v>109</v>
      </c>
      <c r="B51" s="3" t="n">
        <v>0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5</v>
      </c>
      <c r="D5" s="4" t="n">
        <f aca="false">Assumptions!D13</f>
        <v>4</v>
      </c>
      <c r="E5" s="4" t="n">
        <f aca="false">Assumptions!E13</f>
        <v>3.5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9346</v>
      </c>
      <c r="C6" s="0" t="n">
        <f aca="false">B6*(1+C5/100)</f>
        <v>9813.3</v>
      </c>
      <c r="D6" s="0" t="n">
        <f aca="false">C6*(1+D5/100)</f>
        <v>10205.832</v>
      </c>
      <c r="E6" s="0" t="n">
        <f aca="false">D6*(1+E5/100)</f>
        <v>10563.03612</v>
      </c>
      <c r="F6" s="0" t="n">
        <f aca="false">E6*(1+F5/100)</f>
        <v>10879.9272036</v>
      </c>
      <c r="G6" s="0" t="n">
        <f aca="false">F6*(1+G5/100)</f>
        <v>11206.325019708</v>
      </c>
      <c r="H6" s="0" t="n">
        <f aca="false">G6*(1+H5/100)</f>
        <v>11486.4831452007</v>
      </c>
      <c r="I6" s="0" t="n">
        <f aca="false">H6*(1+I5/100)</f>
        <v>11773.6452238307</v>
      </c>
      <c r="J6" s="0" t="n">
        <f aca="false">I6*(1+J5/100)</f>
        <v>12067.9863544265</v>
      </c>
      <c r="K6" s="0" t="n">
        <f aca="false">J6*(1+K5/100)</f>
        <v>12369.6860132871</v>
      </c>
      <c r="L6" s="0" t="n">
        <f aca="false">K6*(1+L5/100)</f>
        <v>12678.9281636193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51.2</v>
      </c>
      <c r="D7" s="4" t="n">
        <f aca="false">Assumptions!D14</f>
        <v>51.2</v>
      </c>
      <c r="E7" s="4" t="n">
        <f aca="false">Assumptions!E14</f>
        <v>51</v>
      </c>
      <c r="F7" s="4" t="n">
        <f aca="false">Assumptions!F14</f>
        <v>50.8</v>
      </c>
      <c r="G7" s="4" t="n">
        <f aca="false">Assumptions!G14</f>
        <v>50.5</v>
      </c>
      <c r="H7" s="4" t="n">
        <f aca="false">Assumptions!H14</f>
        <v>50.5</v>
      </c>
      <c r="I7" s="4" t="n">
        <f aca="false">Assumptions!I14</f>
        <v>50.5</v>
      </c>
      <c r="J7" s="4" t="n">
        <f aca="false">Assumptions!J14</f>
        <v>50.5</v>
      </c>
      <c r="K7" s="4" t="n">
        <f aca="false">Assumptions!K14</f>
        <v>50.5</v>
      </c>
      <c r="L7" s="4" t="n">
        <f aca="false">Assumptions!L14</f>
        <v>50.5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5024.4096</v>
      </c>
      <c r="D8" s="0" t="n">
        <f aca="false">D6*D7/100</f>
        <v>5225.385984</v>
      </c>
      <c r="E8" s="0" t="n">
        <f aca="false">E6*E7/100</f>
        <v>5387.1484212</v>
      </c>
      <c r="F8" s="0" t="n">
        <f aca="false">F6*F7/100</f>
        <v>5527.0030194288</v>
      </c>
      <c r="G8" s="0" t="n">
        <f aca="false">G6*G7/100</f>
        <v>5659.19413495254</v>
      </c>
      <c r="H8" s="0" t="n">
        <f aca="false">H6*H7/100</f>
        <v>5800.67398832635</v>
      </c>
      <c r="I8" s="0" t="n">
        <f aca="false">I6*I7/100</f>
        <v>5945.69083803451</v>
      </c>
      <c r="J8" s="0" t="n">
        <f aca="false">J6*J7/100</f>
        <v>6094.33310898537</v>
      </c>
      <c r="K8" s="0" t="n">
        <f aca="false">K6*K7/100</f>
        <v>6246.69143671001</v>
      </c>
      <c r="L8" s="0" t="n">
        <f aca="false">L6*L7/100</f>
        <v>6402.85872262776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1.9</v>
      </c>
      <c r="D9" s="4" t="n">
        <f aca="false">Assumptions!D15</f>
        <v>1.9</v>
      </c>
      <c r="E9" s="4" t="n">
        <f aca="false">Assumptions!E15</f>
        <v>1.9</v>
      </c>
      <c r="F9" s="4" t="n">
        <f aca="false">Assumptions!F15</f>
        <v>1.9</v>
      </c>
      <c r="G9" s="4" t="n">
        <f aca="false">Assumptions!G15</f>
        <v>1.9</v>
      </c>
      <c r="H9" s="4" t="n">
        <f aca="false">Assumptions!H15</f>
        <v>1.9</v>
      </c>
      <c r="I9" s="4" t="n">
        <f aca="false">Assumptions!I15</f>
        <v>1.9</v>
      </c>
      <c r="J9" s="4" t="n">
        <f aca="false">Assumptions!J15</f>
        <v>1.9</v>
      </c>
      <c r="K9" s="4" t="n">
        <f aca="false">Assumptions!K15</f>
        <v>1.9</v>
      </c>
      <c r="L9" s="4" t="n">
        <f aca="false">Assumptions!L15</f>
        <v>1.9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-186.4527</v>
      </c>
      <c r="D10" s="0" t="n">
        <f aca="false">-D6*D9/100</f>
        <v>-193.910808</v>
      </c>
      <c r="E10" s="0" t="n">
        <f aca="false">-E6*E9/100</f>
        <v>-200.69768628</v>
      </c>
      <c r="F10" s="0" t="n">
        <f aca="false">-F6*F9/100</f>
        <v>-206.7186168684</v>
      </c>
      <c r="G10" s="0" t="n">
        <f aca="false">-G6*G9/100</f>
        <v>-212.920175374452</v>
      </c>
      <c r="H10" s="0" t="n">
        <f aca="false">-H6*H9/100</f>
        <v>-218.243179758813</v>
      </c>
      <c r="I10" s="0" t="n">
        <f aca="false">-I6*I9/100</f>
        <v>-223.699259252784</v>
      </c>
      <c r="J10" s="0" t="n">
        <f aca="false">-J6*J9/100</f>
        <v>-229.291740734103</v>
      </c>
      <c r="K10" s="0" t="n">
        <f aca="false">-K6*K9/100</f>
        <v>-235.024034252456</v>
      </c>
      <c r="L10" s="0" t="n">
        <f aca="false">-L6*L9/100</f>
        <v>-240.899635108767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4651.5042</v>
      </c>
      <c r="D11" s="0" t="n">
        <f aca="false">D8+D10+D24</f>
        <v>4837.564368</v>
      </c>
      <c r="E11" s="0" t="n">
        <f aca="false">E8+E10+E24</f>
        <v>4985.75304864</v>
      </c>
      <c r="F11" s="0" t="n">
        <f aca="false">F8+F10+F24</f>
        <v>5113.565785692</v>
      </c>
      <c r="G11" s="0" t="n">
        <f aca="false">G8+G10+G24</f>
        <v>5233.35378420364</v>
      </c>
      <c r="H11" s="0" t="n">
        <f aca="false">H8+H10+H24</f>
        <v>5364.18762880873</v>
      </c>
      <c r="I11" s="0" t="n">
        <f aca="false">I8+I10+I24</f>
        <v>5498.29231952894</v>
      </c>
      <c r="J11" s="0" t="n">
        <f aca="false">J8+J10+J24</f>
        <v>5635.74962751717</v>
      </c>
      <c r="K11" s="0" t="n">
        <f aca="false">K8+K10+K24</f>
        <v>5776.6433682051</v>
      </c>
      <c r="L11" s="0" t="n">
        <f aca="false">L8+L10+L24</f>
        <v>5921.05945241022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-922.4502</v>
      </c>
      <c r="D12" s="4" t="n">
        <f aca="false">-D6*Assumptions!D17/100</f>
        <v>-949.142376</v>
      </c>
      <c r="E12" s="4" t="n">
        <f aca="false">-E6*Assumptions!E17/100</f>
        <v>-971.79932304</v>
      </c>
      <c r="F12" s="4" t="n">
        <f aca="false">-F6*Assumptions!F17/100</f>
        <v>-990.0733755276</v>
      </c>
      <c r="G12" s="4" t="n">
        <f aca="false">-G6*Assumptions!G17/100</f>
        <v>-1008.56925177372</v>
      </c>
      <c r="H12" s="4" t="n">
        <f aca="false">-H6*Assumptions!H17/100</f>
        <v>-1033.78348306806</v>
      </c>
      <c r="I12" s="4" t="n">
        <f aca="false">-I6*Assumptions!I17/100</f>
        <v>-1059.62807014476</v>
      </c>
      <c r="J12" s="4" t="n">
        <f aca="false">-J6*Assumptions!J17/100</f>
        <v>-1086.11877189838</v>
      </c>
      <c r="K12" s="4" t="n">
        <f aca="false">-K6*Assumptions!K17/100</f>
        <v>-1113.27174119584</v>
      </c>
      <c r="L12" s="4" t="n">
        <f aca="false">-L6*Assumptions!L17/100</f>
        <v>-1141.10353472574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3729.054</v>
      </c>
      <c r="D13" s="0" t="n">
        <f aca="false">D11+D12</f>
        <v>3888.421992</v>
      </c>
      <c r="E13" s="0" t="n">
        <f aca="false">E11+E12</f>
        <v>4013.9537256</v>
      </c>
      <c r="F13" s="0" t="n">
        <f aca="false">F11+F12</f>
        <v>4123.4924101644</v>
      </c>
      <c r="G13" s="0" t="n">
        <f aca="false">G11+G12</f>
        <v>4224.78453242992</v>
      </c>
      <c r="H13" s="0" t="n">
        <f aca="false">H11+H12</f>
        <v>4330.40414574066</v>
      </c>
      <c r="I13" s="0" t="n">
        <f aca="false">I11+I12</f>
        <v>4438.66424938418</v>
      </c>
      <c r="J13" s="0" t="n">
        <f aca="false">J11+J12</f>
        <v>4549.63085561879</v>
      </c>
      <c r="K13" s="0" t="n">
        <f aca="false">K11+K12</f>
        <v>4663.37162700925</v>
      </c>
      <c r="L13" s="0" t="n">
        <f aca="false">L11+L12</f>
        <v>4779.95591768448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22.5</v>
      </c>
      <c r="D14" s="4" t="n">
        <f aca="false">Assumptions!D19</f>
        <v>24</v>
      </c>
      <c r="E14" s="4" t="n">
        <f aca="false">Assumptions!E19</f>
        <v>25.5</v>
      </c>
      <c r="F14" s="4" t="n">
        <f aca="false">Assumptions!F19</f>
        <v>27</v>
      </c>
      <c r="G14" s="4" t="n">
        <f aca="false">Assumptions!G19</f>
        <v>28.5</v>
      </c>
      <c r="H14" s="4" t="n">
        <f aca="false">Assumptions!H19</f>
        <v>30</v>
      </c>
      <c r="I14" s="4" t="n">
        <f aca="false">Assumptions!I19</f>
        <v>31.5</v>
      </c>
      <c r="J14" s="4" t="n">
        <f aca="false">Assumptions!J19</f>
        <v>33.5</v>
      </c>
      <c r="K14" s="4" t="n">
        <f aca="false">Assumptions!K19</f>
        <v>35</v>
      </c>
      <c r="L14" s="4" t="n">
        <f aca="false">Assumptions!L19</f>
        <v>35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2890.01685</v>
      </c>
      <c r="D15" s="0" t="n">
        <f aca="false">D13-MAX(0,D13)*D14/100</f>
        <v>2955.20071392</v>
      </c>
      <c r="E15" s="0" t="n">
        <f aca="false">E13-MAX(0,E13)*E14/100</f>
        <v>2990.395525572</v>
      </c>
      <c r="F15" s="0" t="n">
        <f aca="false">F13-MAX(0,F13)*F14/100</f>
        <v>3010.14945942001</v>
      </c>
      <c r="G15" s="0" t="n">
        <f aca="false">G13-MAX(0,G13)*G14/100</f>
        <v>3020.72094068739</v>
      </c>
      <c r="H15" s="0" t="n">
        <f aca="false">H13-MAX(0,H13)*H14/100</f>
        <v>3031.28290201846</v>
      </c>
      <c r="I15" s="0" t="n">
        <f aca="false">I13-MAX(0,I13)*I14/100</f>
        <v>3040.48501082816</v>
      </c>
      <c r="J15" s="0" t="n">
        <f aca="false">J13-MAX(0,J13)*J14/100</f>
        <v>3025.50451898649</v>
      </c>
      <c r="K15" s="0" t="n">
        <f aca="false">K13-MAX(0,K13)*K14/100</f>
        <v>3031.19155755602</v>
      </c>
      <c r="L15" s="0" t="n">
        <f aca="false">L13-MAX(0,L13)*L14/100</f>
        <v>3106.97134649491</v>
      </c>
    </row>
    <row r="16" customFormat="false" ht="15" hidden="false" customHeight="false" outlineLevel="0" collapsed="false">
      <c r="A16" s="0" t="s">
        <v>121</v>
      </c>
      <c r="C16" s="0" t="n">
        <f aca="false">-C12</f>
        <v>922.4502</v>
      </c>
      <c r="D16" s="0" t="n">
        <f aca="false">-D12</f>
        <v>949.142376</v>
      </c>
      <c r="E16" s="0" t="n">
        <f aca="false">-E12</f>
        <v>971.79932304</v>
      </c>
      <c r="F16" s="0" t="n">
        <f aca="false">-F12</f>
        <v>990.0733755276</v>
      </c>
      <c r="G16" s="0" t="n">
        <f aca="false">-G12</f>
        <v>1008.56925177372</v>
      </c>
      <c r="H16" s="0" t="n">
        <f aca="false">-H12</f>
        <v>1033.78348306806</v>
      </c>
      <c r="I16" s="0" t="n">
        <f aca="false">-I12</f>
        <v>1059.62807014476</v>
      </c>
      <c r="J16" s="0" t="n">
        <f aca="false">-J12</f>
        <v>1086.11877189838</v>
      </c>
      <c r="K16" s="0" t="n">
        <f aca="false">-K12</f>
        <v>1113.27174119584</v>
      </c>
      <c r="L16" s="0" t="n">
        <f aca="false">-L12</f>
        <v>1141.10353472574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-961.7034</v>
      </c>
      <c r="D17" s="4" t="n">
        <f aca="false">-D6*Assumptions!D18/100</f>
        <v>-979.759872</v>
      </c>
      <c r="E17" s="4" t="n">
        <f aca="false">-E6*Assumptions!E18/100</f>
        <v>-992.92539528</v>
      </c>
      <c r="F17" s="4" t="n">
        <f aca="false">-F6*Assumptions!F18/100</f>
        <v>-1000.9533027312</v>
      </c>
      <c r="G17" s="4" t="n">
        <f aca="false">-G6*Assumptions!G18/100</f>
        <v>-1008.56925177372</v>
      </c>
      <c r="H17" s="4" t="n">
        <f aca="false">-H6*Assumptions!H18/100</f>
        <v>-1033.78348306806</v>
      </c>
      <c r="I17" s="4" t="n">
        <f aca="false">-I6*Assumptions!I18/100</f>
        <v>-1059.62807014476</v>
      </c>
      <c r="J17" s="4" t="n">
        <f aca="false">-J6*Assumptions!J18/100</f>
        <v>-1086.11877189838</v>
      </c>
      <c r="K17" s="4" t="n">
        <f aca="false">-K6*Assumptions!K18/100</f>
        <v>-1113.27174119584</v>
      </c>
      <c r="L17" s="4" t="n">
        <f aca="false">-L6*Assumptions!L18/100</f>
        <v>-1141.10353472574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2850.76365</v>
      </c>
      <c r="D19" s="0" t="n">
        <f aca="false">D15+D16+D17+D18</f>
        <v>2924.58321792</v>
      </c>
      <c r="E19" s="0" t="n">
        <f aca="false">E15+E16+E17+E18</f>
        <v>2969.269453332</v>
      </c>
      <c r="F19" s="0" t="n">
        <f aca="false">F15+F16+F17+F18</f>
        <v>2999.26953221641</v>
      </c>
      <c r="G19" s="0" t="n">
        <f aca="false">G15+G16+G17+G18</f>
        <v>3020.72094068739</v>
      </c>
      <c r="H19" s="0" t="n">
        <f aca="false">H15+H16+H17+H18</f>
        <v>3031.28290201846</v>
      </c>
      <c r="I19" s="0" t="n">
        <f aca="false">I15+I16+I17+I18</f>
        <v>3040.48501082816</v>
      </c>
      <c r="J19" s="0" t="n">
        <f aca="false">J15+J16+J17+J18</f>
        <v>3025.50451898649</v>
      </c>
      <c r="K19" s="0" t="n">
        <f aca="false">K15+K16+K17+K18</f>
        <v>3031.19155755602</v>
      </c>
      <c r="L19" s="0" t="n">
        <f aca="false">L15+L16+L17+L18</f>
        <v>3106.97134649491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2639.59597222222</v>
      </c>
      <c r="D21" s="0" t="n">
        <f aca="false">D19*D20</f>
        <v>2507.35872592593</v>
      </c>
      <c r="E21" s="0" t="n">
        <f aca="false">E19*E20</f>
        <v>2357.10182433128</v>
      </c>
      <c r="F21" s="0" t="n">
        <f aca="false">F19*F20</f>
        <v>2204.55264276192</v>
      </c>
      <c r="G21" s="0" t="n">
        <f aca="false">G19*G20</f>
        <v>2055.85191515983</v>
      </c>
      <c r="H21" s="0" t="n">
        <f aca="false">H19*H20</f>
        <v>1910.22241534211</v>
      </c>
      <c r="I21" s="0" t="n">
        <f aca="false">I19*I20</f>
        <v>1774.09380075672</v>
      </c>
      <c r="J21" s="0" t="n">
        <f aca="false">J19*J20</f>
        <v>1634.58595152852</v>
      </c>
      <c r="K21" s="0" t="n">
        <f aca="false">K19*K20</f>
        <v>1516.350445845</v>
      </c>
      <c r="L21" s="0" t="n">
        <f aca="false">L19*L20</f>
        <v>1439.12889536215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1.9</v>
      </c>
      <c r="D23" s="4" t="n">
        <f aca="false">Assumptions!D16</f>
        <v>1.9</v>
      </c>
      <c r="E23" s="4" t="n">
        <f aca="false">Assumptions!E16</f>
        <v>1.9</v>
      </c>
      <c r="F23" s="4" t="n">
        <f aca="false">Assumptions!F16</f>
        <v>1.9</v>
      </c>
      <c r="G23" s="4" t="n">
        <f aca="false">Assumptions!G16</f>
        <v>1.9</v>
      </c>
      <c r="H23" s="4" t="n">
        <f aca="false">Assumptions!H16</f>
        <v>1.9</v>
      </c>
      <c r="I23" s="4" t="n">
        <f aca="false">Assumptions!I16</f>
        <v>1.9</v>
      </c>
      <c r="J23" s="4" t="n">
        <f aca="false">Assumptions!J16</f>
        <v>1.9</v>
      </c>
      <c r="K23" s="4" t="n">
        <f aca="false">Assumptions!K16</f>
        <v>1.9</v>
      </c>
      <c r="L23" s="4" t="n">
        <f aca="false">Assumptions!L16</f>
        <v>1.9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-186.4527</v>
      </c>
      <c r="D24" s="0" t="n">
        <f aca="false">-D6*D23/100</f>
        <v>-193.910808</v>
      </c>
      <c r="E24" s="0" t="n">
        <f aca="false">-E6*E23/100</f>
        <v>-200.69768628</v>
      </c>
      <c r="F24" s="0" t="n">
        <f aca="false">-F6*F23/100</f>
        <v>-206.7186168684</v>
      </c>
      <c r="G24" s="0" t="n">
        <f aca="false">-G6*G23/100</f>
        <v>-212.920175374452</v>
      </c>
      <c r="H24" s="0" t="n">
        <f aca="false">-H6*H23/100</f>
        <v>-218.243179758813</v>
      </c>
      <c r="I24" s="0" t="n">
        <f aca="false">-I6*I23/100</f>
        <v>-223.699259252784</v>
      </c>
      <c r="J24" s="0" t="n">
        <f aca="false">-J6*J23/100</f>
        <v>-229.291740734103</v>
      </c>
      <c r="K24" s="0" t="n">
        <f aca="false">-K6*K23/100</f>
        <v>-235.024034252456</v>
      </c>
      <c r="L24" s="0" t="n">
        <f aca="false">-L6*L23/100</f>
        <v>-240.899635108767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20038.8425892357</v>
      </c>
    </row>
    <row r="31" customFormat="false" ht="15" hidden="false" customHeight="false" outlineLevel="0" collapsed="false">
      <c r="A31" s="0" t="s">
        <v>130</v>
      </c>
      <c r="B31" s="0" t="n">
        <f aca="false">L19</f>
        <v>3106.97134649491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52818.5128904135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62139.4269298983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52818.5128904135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24465.1912211565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44504.0338103922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34522.0338103922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7045.31302252901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-0.189635033065446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1416.15265252878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1896.91341849408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7721.44895539082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24377.7751801909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2239.87569730856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6.5</v>
      </c>
      <c r="D5" s="4" t="n">
        <f aca="false">Assumptions!D27</f>
        <v>6.5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9346</v>
      </c>
      <c r="C6" s="0" t="n">
        <f aca="false">B6*(1+C5/100)</f>
        <v>9953.49</v>
      </c>
      <c r="D6" s="0" t="n">
        <f aca="false">C6*(1+D5/100)</f>
        <v>10600.46685</v>
      </c>
      <c r="E6" s="0" t="n">
        <f aca="false">D6*(1+E5/100)</f>
        <v>11289.49719525</v>
      </c>
      <c r="F6" s="0" t="n">
        <f aca="false">E6*(1+F5/100)</f>
        <v>11966.867026965</v>
      </c>
      <c r="G6" s="0" t="n">
        <f aca="false">F6*(1+G5/100)</f>
        <v>12625.0447134481</v>
      </c>
      <c r="H6" s="0" t="n">
        <f aca="false">G6*(1+H5/100)</f>
        <v>13256.2969491205</v>
      </c>
      <c r="I6" s="0" t="n">
        <f aca="false">H6*(1+I5/100)</f>
        <v>13852.8303118309</v>
      </c>
      <c r="J6" s="0" t="n">
        <f aca="false">I6*(1+J5/100)</f>
        <v>14406.9435243041</v>
      </c>
      <c r="K6" s="0" t="n">
        <f aca="false">J6*(1+K5/100)</f>
        <v>14911.1865476548</v>
      </c>
      <c r="L6" s="0" t="n">
        <f aca="false">K6*(1+L5/100)</f>
        <v>15358.5221440844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51.6</v>
      </c>
      <c r="D7" s="4" t="n">
        <f aca="false">Assumptions!D28</f>
        <v>52.1</v>
      </c>
      <c r="E7" s="4" t="n">
        <f aca="false">Assumptions!E28</f>
        <v>52.6</v>
      </c>
      <c r="F7" s="4" t="n">
        <f aca="false">Assumptions!F28</f>
        <v>53.1</v>
      </c>
      <c r="G7" s="4" t="n">
        <f aca="false">Assumptions!G28</f>
        <v>53.4</v>
      </c>
      <c r="H7" s="4" t="n">
        <f aca="false">Assumptions!H28</f>
        <v>53.7</v>
      </c>
      <c r="I7" s="4" t="n">
        <f aca="false">Assumptions!I28</f>
        <v>54</v>
      </c>
      <c r="J7" s="4" t="n">
        <f aca="false">Assumptions!J28</f>
        <v>54</v>
      </c>
      <c r="K7" s="4" t="n">
        <f aca="false">Assumptions!K28</f>
        <v>54</v>
      </c>
      <c r="L7" s="4" t="n">
        <f aca="false">Assumptions!L28</f>
        <v>54</v>
      </c>
    </row>
    <row r="8" customFormat="false" ht="15" hidden="false" customHeight="false" outlineLevel="0" collapsed="false">
      <c r="A8" s="0" t="s">
        <v>44</v>
      </c>
      <c r="C8" s="0" t="n">
        <f aca="false">C6*C7/100</f>
        <v>5136.00084</v>
      </c>
      <c r="D8" s="0" t="n">
        <f aca="false">D6*D7/100</f>
        <v>5522.84322885</v>
      </c>
      <c r="E8" s="0" t="n">
        <f aca="false">E6*E7/100</f>
        <v>5938.2755247015</v>
      </c>
      <c r="F8" s="0" t="n">
        <f aca="false">F6*F7/100</f>
        <v>6354.40639131841</v>
      </c>
      <c r="G8" s="0" t="n">
        <f aca="false">G6*G7/100</f>
        <v>6741.77387698127</v>
      </c>
      <c r="H8" s="0" t="n">
        <f aca="false">H6*H7/100</f>
        <v>7118.6314616777</v>
      </c>
      <c r="I8" s="0" t="n">
        <f aca="false">I6*I7/100</f>
        <v>7480.52836838869</v>
      </c>
      <c r="J8" s="0" t="n">
        <f aca="false">J6*J7/100</f>
        <v>7779.74950312423</v>
      </c>
      <c r="K8" s="0" t="n">
        <f aca="false">K6*K7/100</f>
        <v>8052.04073573358</v>
      </c>
      <c r="L8" s="0" t="n">
        <f aca="false">L6*L7/100</f>
        <v>8293.60195780559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1.9</v>
      </c>
      <c r="D9" s="4" t="n">
        <f aca="false">Assumptions!D29</f>
        <v>1.9</v>
      </c>
      <c r="E9" s="4" t="n">
        <f aca="false">Assumptions!E29</f>
        <v>1.9</v>
      </c>
      <c r="F9" s="4" t="n">
        <f aca="false">Assumptions!F29</f>
        <v>1.9</v>
      </c>
      <c r="G9" s="4" t="n">
        <f aca="false">Assumptions!G29</f>
        <v>1.85</v>
      </c>
      <c r="H9" s="4" t="n">
        <f aca="false">Assumptions!H29</f>
        <v>1.85</v>
      </c>
      <c r="I9" s="4" t="n">
        <f aca="false">Assumptions!I29</f>
        <v>1.8</v>
      </c>
      <c r="J9" s="4" t="n">
        <f aca="false">Assumptions!J29</f>
        <v>1.8</v>
      </c>
      <c r="K9" s="4" t="n">
        <f aca="false">Assumptions!K29</f>
        <v>1.8</v>
      </c>
      <c r="L9" s="4" t="n">
        <f aca="false">Assumptions!L29</f>
        <v>1.8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-189.11631</v>
      </c>
      <c r="D10" s="0" t="n">
        <f aca="false">-D6*D9/100</f>
        <v>-201.40887015</v>
      </c>
      <c r="E10" s="0" t="n">
        <f aca="false">-E6*E9/100</f>
        <v>-214.50044670975</v>
      </c>
      <c r="F10" s="0" t="n">
        <f aca="false">-F6*F9/100</f>
        <v>-227.370473512335</v>
      </c>
      <c r="G10" s="0" t="n">
        <f aca="false">-G6*G9/100</f>
        <v>-233.563327198789</v>
      </c>
      <c r="H10" s="0" t="n">
        <f aca="false">-H6*H9/100</f>
        <v>-245.241493558729</v>
      </c>
      <c r="I10" s="0" t="n">
        <f aca="false">-I6*I9/100</f>
        <v>-249.350945612956</v>
      </c>
      <c r="J10" s="0" t="n">
        <f aca="false">-J6*J9/100</f>
        <v>-259.324983437474</v>
      </c>
      <c r="K10" s="0" t="n">
        <f aca="false">-K6*K9/100</f>
        <v>-268.401357857786</v>
      </c>
      <c r="L10" s="0" t="n">
        <f aca="false">-L6*L9/100</f>
        <v>-276.45339859352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4757.76822</v>
      </c>
      <c r="D11" s="0" t="n">
        <f aca="false">D8+D10+D24</f>
        <v>5120.02548855</v>
      </c>
      <c r="E11" s="0" t="n">
        <f aca="false">E8+E10+E24</f>
        <v>5509.274631282</v>
      </c>
      <c r="F11" s="0" t="n">
        <f aca="false">F8+F10+F24</f>
        <v>5905.64887780723</v>
      </c>
      <c r="G11" s="0" t="n">
        <f aca="false">G8+G10+G24</f>
        <v>6274.64722258369</v>
      </c>
      <c r="H11" s="0" t="n">
        <f aca="false">H8+H10+H24</f>
        <v>6634.7766230348</v>
      </c>
      <c r="I11" s="0" t="n">
        <f aca="false">I8+I10+I24</f>
        <v>6981.82647716277</v>
      </c>
      <c r="J11" s="0" t="n">
        <f aca="false">J8+J10+J24</f>
        <v>7261.09953624928</v>
      </c>
      <c r="K11" s="0" t="n">
        <f aca="false">K8+K10+K24</f>
        <v>7515.23802001801</v>
      </c>
      <c r="L11" s="0" t="n">
        <f aca="false">L8+L10+L24</f>
        <v>7740.69516061855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-935.62806</v>
      </c>
      <c r="D12" s="4" t="n">
        <f aca="false">-D6*Assumptions!D31/100</f>
        <v>-975.2429502</v>
      </c>
      <c r="E12" s="4" t="n">
        <f aca="false">-E6*Assumptions!E31/100</f>
        <v>-1016.0547475725</v>
      </c>
      <c r="F12" s="4" t="n">
        <f aca="false">-F6*Assumptions!F31/100</f>
        <v>-1053.08429837292</v>
      </c>
      <c r="G12" s="4" t="n">
        <f aca="false">-G6*Assumptions!G31/100</f>
        <v>-1085.75384535653</v>
      </c>
      <c r="H12" s="4" t="n">
        <f aca="false">-H6*Assumptions!H31/100</f>
        <v>-1113.52894372612</v>
      </c>
      <c r="I12" s="4" t="n">
        <f aca="false">-I6*Assumptions!I31/100</f>
        <v>-1163.6377461938</v>
      </c>
      <c r="J12" s="4" t="n">
        <f aca="false">-J6*Assumptions!J31/100</f>
        <v>-1210.18325604155</v>
      </c>
      <c r="K12" s="4" t="n">
        <f aca="false">-K6*Assumptions!K31/100</f>
        <v>-1252.539670003</v>
      </c>
      <c r="L12" s="4" t="n">
        <f aca="false">-L6*Assumptions!L31/100</f>
        <v>-1290.11586010309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3822.14016</v>
      </c>
      <c r="D13" s="0" t="n">
        <f aca="false">D11+D12</f>
        <v>4144.78253835</v>
      </c>
      <c r="E13" s="0" t="n">
        <f aca="false">E11+E12</f>
        <v>4493.2198837095</v>
      </c>
      <c r="F13" s="0" t="n">
        <f aca="false">F11+F12</f>
        <v>4852.56457943431</v>
      </c>
      <c r="G13" s="0" t="n">
        <f aca="false">G11+G12</f>
        <v>5188.89337722716</v>
      </c>
      <c r="H13" s="0" t="n">
        <f aca="false">H11+H12</f>
        <v>5521.24767930868</v>
      </c>
      <c r="I13" s="0" t="n">
        <f aca="false">I11+I12</f>
        <v>5818.18873096898</v>
      </c>
      <c r="J13" s="0" t="n">
        <f aca="false">J11+J12</f>
        <v>6050.91628020774</v>
      </c>
      <c r="K13" s="0" t="n">
        <f aca="false">K11+K12</f>
        <v>6262.69835001501</v>
      </c>
      <c r="L13" s="0" t="n">
        <f aca="false">L11+L12</f>
        <v>6450.57930051546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22.5</v>
      </c>
      <c r="D14" s="4" t="n">
        <f aca="false">Assumptions!D33</f>
        <v>24</v>
      </c>
      <c r="E14" s="4" t="n">
        <f aca="false">Assumptions!E33</f>
        <v>25.5</v>
      </c>
      <c r="F14" s="4" t="n">
        <f aca="false">Assumptions!F33</f>
        <v>27</v>
      </c>
      <c r="G14" s="4" t="n">
        <f aca="false">Assumptions!G33</f>
        <v>28.5</v>
      </c>
      <c r="H14" s="4" t="n">
        <f aca="false">Assumptions!H33</f>
        <v>30</v>
      </c>
      <c r="I14" s="4" t="n">
        <f aca="false">Assumptions!I33</f>
        <v>31.5</v>
      </c>
      <c r="J14" s="4" t="n">
        <f aca="false">Assumptions!J33</f>
        <v>33.5</v>
      </c>
      <c r="K14" s="4" t="n">
        <f aca="false">Assumptions!K33</f>
        <v>35</v>
      </c>
      <c r="L14" s="4" t="n">
        <f aca="false">Assumptions!L33</f>
        <v>35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2962.158624</v>
      </c>
      <c r="D15" s="0" t="n">
        <f aca="false">D13-MAX(0,D13)*D14/100</f>
        <v>3150.034729146</v>
      </c>
      <c r="E15" s="0" t="n">
        <f aca="false">E13-MAX(0,E13)*E14/100</f>
        <v>3347.44881336358</v>
      </c>
      <c r="F15" s="0" t="n">
        <f aca="false">F13-MAX(0,F13)*F14/100</f>
        <v>3542.37214298704</v>
      </c>
      <c r="G15" s="0" t="n">
        <f aca="false">G13-MAX(0,G13)*G14/100</f>
        <v>3710.05876471742</v>
      </c>
      <c r="H15" s="0" t="n">
        <f aca="false">H13-MAX(0,H13)*H14/100</f>
        <v>3864.87337551608</v>
      </c>
      <c r="I15" s="0" t="n">
        <f aca="false">I13-MAX(0,I13)*I14/100</f>
        <v>3985.45928071375</v>
      </c>
      <c r="J15" s="0" t="n">
        <f aca="false">J13-MAX(0,J13)*J14/100</f>
        <v>4023.85932633814</v>
      </c>
      <c r="K15" s="0" t="n">
        <f aca="false">K13-MAX(0,K13)*K14/100</f>
        <v>4070.75392750975</v>
      </c>
      <c r="L15" s="0" t="n">
        <f aca="false">L13-MAX(0,L13)*L14/100</f>
        <v>4192.87654533505</v>
      </c>
    </row>
    <row r="16" customFormat="false" ht="15" hidden="false" customHeight="false" outlineLevel="0" collapsed="false">
      <c r="A16" s="0" t="s">
        <v>121</v>
      </c>
      <c r="C16" s="0" t="n">
        <f aca="false">-C12</f>
        <v>935.62806</v>
      </c>
      <c r="D16" s="0" t="n">
        <f aca="false">-D12</f>
        <v>975.2429502</v>
      </c>
      <c r="E16" s="0" t="n">
        <f aca="false">-E12</f>
        <v>1016.0547475725</v>
      </c>
      <c r="F16" s="0" t="n">
        <f aca="false">-F12</f>
        <v>1053.08429837292</v>
      </c>
      <c r="G16" s="0" t="n">
        <f aca="false">-G12</f>
        <v>1085.75384535653</v>
      </c>
      <c r="H16" s="0" t="n">
        <f aca="false">-H12</f>
        <v>1113.52894372612</v>
      </c>
      <c r="I16" s="0" t="n">
        <f aca="false">-I12</f>
        <v>1163.6377461938</v>
      </c>
      <c r="J16" s="0" t="n">
        <f aca="false">-J12</f>
        <v>1210.18325604155</v>
      </c>
      <c r="K16" s="0" t="n">
        <f aca="false">-K12</f>
        <v>1252.539670003</v>
      </c>
      <c r="L16" s="0" t="n">
        <f aca="false">-L12</f>
        <v>1290.11586010309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-975.44202</v>
      </c>
      <c r="D17" s="4" t="n">
        <f aca="false">-D6*Assumptions!D32/100</f>
        <v>-985.84341705</v>
      </c>
      <c r="E17" s="4" t="n">
        <f aca="false">-E6*Assumptions!E32/100</f>
        <v>-993.475753182</v>
      </c>
      <c r="F17" s="4" t="n">
        <f aca="false">-F6*Assumptions!F32/100</f>
        <v>-1005.21683026506</v>
      </c>
      <c r="G17" s="4" t="n">
        <f aca="false">-G6*Assumptions!G32/100</f>
        <v>-1060.50375592964</v>
      </c>
      <c r="H17" s="4" t="n">
        <f aca="false">-H6*Assumptions!H32/100</f>
        <v>-1113.52894372612</v>
      </c>
      <c r="I17" s="4" t="n">
        <f aca="false">-I6*Assumptions!I32/100</f>
        <v>-1163.6377461938</v>
      </c>
      <c r="J17" s="4" t="n">
        <f aca="false">-J6*Assumptions!J32/100</f>
        <v>-1210.18325604155</v>
      </c>
      <c r="K17" s="4" t="n">
        <f aca="false">-K6*Assumptions!K32/100</f>
        <v>-1252.539670003</v>
      </c>
      <c r="L17" s="4" t="n">
        <f aca="false">-L6*Assumptions!L32/100</f>
        <v>-1290.11586010309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2922.344664</v>
      </c>
      <c r="D19" s="0" t="n">
        <f aca="false">D15+D16+D17+D18</f>
        <v>3139.434262296</v>
      </c>
      <c r="E19" s="0" t="n">
        <f aca="false">E15+E16+E17+E18</f>
        <v>3370.02780775408</v>
      </c>
      <c r="F19" s="0" t="n">
        <f aca="false">F15+F16+F17+F18</f>
        <v>3590.23961109491</v>
      </c>
      <c r="G19" s="0" t="n">
        <f aca="false">G15+G16+G17+G18</f>
        <v>3735.30885414432</v>
      </c>
      <c r="H19" s="0" t="n">
        <f aca="false">H15+H16+H17+H18</f>
        <v>3864.87337551608</v>
      </c>
      <c r="I19" s="0" t="n">
        <f aca="false">I15+I16+I17+I18</f>
        <v>3985.45928071375</v>
      </c>
      <c r="J19" s="0" t="n">
        <f aca="false">J15+J16+J17+J18</f>
        <v>4023.85932633814</v>
      </c>
      <c r="K19" s="0" t="n">
        <f aca="false">K15+K16+K17+K18</f>
        <v>4070.75392750975</v>
      </c>
      <c r="L19" s="0" t="n">
        <f aca="false">L15+L16+L17+L18</f>
        <v>4192.87654533505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2705.87468888889</v>
      </c>
      <c r="D21" s="0" t="n">
        <f aca="false">D19*D20</f>
        <v>2691.55886685185</v>
      </c>
      <c r="E21" s="0" t="n">
        <f aca="false">E19*E20</f>
        <v>2675.23672692971</v>
      </c>
      <c r="F21" s="0" t="n">
        <f aca="false">F19*F20</f>
        <v>2638.93329284708</v>
      </c>
      <c r="G21" s="0" t="n">
        <f aca="false">G19*G20</f>
        <v>2542.18844186202</v>
      </c>
      <c r="H21" s="0" t="n">
        <f aca="false">H19*H20</f>
        <v>2435.52581299941</v>
      </c>
      <c r="I21" s="0" t="n">
        <f aca="false">I19*I20</f>
        <v>2325.47721100481</v>
      </c>
      <c r="J21" s="0" t="n">
        <f aca="false">J19*J20</f>
        <v>2173.96598963358</v>
      </c>
      <c r="K21" s="0" t="n">
        <f aca="false">K19*K20</f>
        <v>2036.39044768308</v>
      </c>
      <c r="L21" s="0" t="n">
        <f aca="false">L19*L20</f>
        <v>1942.1131121422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1.9</v>
      </c>
      <c r="D23" s="4" t="n">
        <f aca="false">Assumptions!D30</f>
        <v>1.9</v>
      </c>
      <c r="E23" s="4" t="n">
        <f aca="false">Assumptions!E30</f>
        <v>1.9</v>
      </c>
      <c r="F23" s="4" t="n">
        <f aca="false">Assumptions!F30</f>
        <v>1.85</v>
      </c>
      <c r="G23" s="4" t="n">
        <f aca="false">Assumptions!G30</f>
        <v>1.85</v>
      </c>
      <c r="H23" s="4" t="n">
        <f aca="false">Assumptions!H30</f>
        <v>1.8</v>
      </c>
      <c r="I23" s="4" t="n">
        <f aca="false">Assumptions!I30</f>
        <v>1.8</v>
      </c>
      <c r="J23" s="4" t="n">
        <f aca="false">Assumptions!J30</f>
        <v>1.8</v>
      </c>
      <c r="K23" s="4" t="n">
        <f aca="false">Assumptions!K30</f>
        <v>1.8</v>
      </c>
      <c r="L23" s="4" t="n">
        <f aca="false">Assumptions!L30</f>
        <v>1.8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-189.11631</v>
      </c>
      <c r="D24" s="0" t="n">
        <f aca="false">-D6*D23/100</f>
        <v>-201.40887015</v>
      </c>
      <c r="E24" s="0" t="n">
        <f aca="false">-E6*E23/100</f>
        <v>-214.50044670975</v>
      </c>
      <c r="F24" s="0" t="n">
        <f aca="false">-F6*F23/100</f>
        <v>-221.387039998853</v>
      </c>
      <c r="G24" s="0" t="n">
        <f aca="false">-G6*G23/100</f>
        <v>-233.563327198789</v>
      </c>
      <c r="H24" s="0" t="n">
        <f aca="false">-H6*H23/100</f>
        <v>-238.613345084169</v>
      </c>
      <c r="I24" s="0" t="n">
        <f aca="false">-I6*I23/100</f>
        <v>-249.350945612956</v>
      </c>
      <c r="J24" s="0" t="n">
        <f aca="false">-J6*J23/100</f>
        <v>-259.324983437474</v>
      </c>
      <c r="K24" s="0" t="n">
        <f aca="false">-K6*K23/100</f>
        <v>-268.401357857786</v>
      </c>
      <c r="L24" s="0" t="n">
        <f aca="false">-L6*L23/100</f>
        <v>-276.45339859352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24167.2645908426</v>
      </c>
    </row>
    <row r="31" customFormat="false" ht="15" hidden="false" customHeight="false" outlineLevel="0" collapsed="false">
      <c r="A31" s="0" t="s">
        <v>130</v>
      </c>
      <c r="B31" s="0" t="n">
        <f aca="false">L19</f>
        <v>4192.87654533505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78139.9719812441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83857.5309067009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78139.9719812441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36193.9261808319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60361.1907716746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50379.1907716746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10281.4675044234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0.182593455765284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1546.60582736396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2386.41271521969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11084.1243498486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34381.5876717474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3313.36332060597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8</v>
      </c>
      <c r="D5" s="4" t="n">
        <f aca="false">Assumptions!D41</f>
        <v>8</v>
      </c>
      <c r="E5" s="4" t="n">
        <f aca="false">Assumptions!E41</f>
        <v>8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5.5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38</v>
      </c>
      <c r="B6" s="3" t="n">
        <v>9346</v>
      </c>
      <c r="C6" s="0" t="n">
        <f aca="false">B6*(1+C5/100)</f>
        <v>10093.68</v>
      </c>
      <c r="D6" s="0" t="n">
        <f aca="false">C6*(1+D5/100)</f>
        <v>10901.1744</v>
      </c>
      <c r="E6" s="0" t="n">
        <f aca="false">D6*(1+E5/100)</f>
        <v>11773.268352</v>
      </c>
      <c r="F6" s="0" t="n">
        <f aca="false">E6*(1+F5/100)</f>
        <v>12656.2634784</v>
      </c>
      <c r="G6" s="0" t="n">
        <f aca="false">F6*(1+G5/100)</f>
        <v>13542.201921888</v>
      </c>
      <c r="H6" s="0" t="n">
        <f aca="false">G6*(1+H5/100)</f>
        <v>14422.4450468107</v>
      </c>
      <c r="I6" s="0" t="n">
        <f aca="false">H6*(1+I5/100)</f>
        <v>15287.7917496194</v>
      </c>
      <c r="J6" s="0" t="n">
        <f aca="false">I6*(1+J5/100)</f>
        <v>16128.6202958484</v>
      </c>
      <c r="K6" s="0" t="n">
        <f aca="false">J6*(1+K5/100)</f>
        <v>16935.0513106409</v>
      </c>
      <c r="L6" s="0" t="n">
        <f aca="false">K6*(1+L5/100)</f>
        <v>17697.1286196197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51.8</v>
      </c>
      <c r="D7" s="4" t="n">
        <f aca="false">Assumptions!D42</f>
        <v>52.6</v>
      </c>
      <c r="E7" s="4" t="n">
        <f aca="false">Assumptions!E42</f>
        <v>53.4</v>
      </c>
      <c r="F7" s="4" t="n">
        <f aca="false">Assumptions!F42</f>
        <v>54.2</v>
      </c>
      <c r="G7" s="4" t="n">
        <f aca="false">Assumptions!G42</f>
        <v>54.8</v>
      </c>
      <c r="H7" s="4" t="n">
        <f aca="false">Assumptions!H42</f>
        <v>55.3</v>
      </c>
      <c r="I7" s="4" t="n">
        <f aca="false">Assumptions!I42</f>
        <v>55.7</v>
      </c>
      <c r="J7" s="4" t="n">
        <f aca="false">Assumptions!J42</f>
        <v>56</v>
      </c>
      <c r="K7" s="4" t="n">
        <f aca="false">Assumptions!K42</f>
        <v>56</v>
      </c>
      <c r="L7" s="4" t="n">
        <f aca="false">Assumptions!L42</f>
        <v>56</v>
      </c>
    </row>
    <row r="8" customFormat="false" ht="15" hidden="false" customHeight="false" outlineLevel="0" collapsed="false">
      <c r="A8" s="0" t="s">
        <v>44</v>
      </c>
      <c r="C8" s="0" t="n">
        <f aca="false">C6*C7/100</f>
        <v>5228.52624</v>
      </c>
      <c r="D8" s="0" t="n">
        <f aca="false">D6*D7/100</f>
        <v>5734.0177344</v>
      </c>
      <c r="E8" s="0" t="n">
        <f aca="false">E6*E7/100</f>
        <v>6286.925299968</v>
      </c>
      <c r="F8" s="0" t="n">
        <f aca="false">F6*F7/100</f>
        <v>6859.6948052928</v>
      </c>
      <c r="G8" s="0" t="n">
        <f aca="false">G6*G7/100</f>
        <v>7421.12665319463</v>
      </c>
      <c r="H8" s="0" t="n">
        <f aca="false">H6*H7/100</f>
        <v>7975.61211088633</v>
      </c>
      <c r="I8" s="0" t="n">
        <f aca="false">I6*I7/100</f>
        <v>8515.30000453799</v>
      </c>
      <c r="J8" s="0" t="n">
        <f aca="false">J6*J7/100</f>
        <v>9032.02736567512</v>
      </c>
      <c r="K8" s="0" t="n">
        <f aca="false">K6*K7/100</f>
        <v>9483.62873395888</v>
      </c>
      <c r="L8" s="0" t="n">
        <f aca="false">L6*L7/100</f>
        <v>9910.39202698703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1.9</v>
      </c>
      <c r="D9" s="4" t="n">
        <f aca="false">Assumptions!D43</f>
        <v>1.9</v>
      </c>
      <c r="E9" s="4" t="n">
        <f aca="false">Assumptions!E43</f>
        <v>1.9</v>
      </c>
      <c r="F9" s="4" t="n">
        <f aca="false">Assumptions!F43</f>
        <v>1.9</v>
      </c>
      <c r="G9" s="4" t="n">
        <f aca="false">Assumptions!G43</f>
        <v>1.85</v>
      </c>
      <c r="H9" s="4" t="n">
        <f aca="false">Assumptions!H43</f>
        <v>1.85</v>
      </c>
      <c r="I9" s="4" t="n">
        <f aca="false">Assumptions!I43</f>
        <v>1.8</v>
      </c>
      <c r="J9" s="4" t="n">
        <f aca="false">Assumptions!J43</f>
        <v>1.8</v>
      </c>
      <c r="K9" s="4" t="n">
        <f aca="false">Assumptions!K43</f>
        <v>1.8</v>
      </c>
      <c r="L9" s="4" t="n">
        <f aca="false">Assumptions!L43</f>
        <v>1.8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-191.77992</v>
      </c>
      <c r="D10" s="0" t="n">
        <f aca="false">-D6*D9/100</f>
        <v>-207.1223136</v>
      </c>
      <c r="E10" s="0" t="n">
        <f aca="false">-E6*E9/100</f>
        <v>-223.692098688</v>
      </c>
      <c r="F10" s="0" t="n">
        <f aca="false">-F6*F9/100</f>
        <v>-240.4690060896</v>
      </c>
      <c r="G10" s="0" t="n">
        <f aca="false">-G6*G9/100</f>
        <v>-250.530735554928</v>
      </c>
      <c r="H10" s="0" t="n">
        <f aca="false">-H6*H9/100</f>
        <v>-266.815233365998</v>
      </c>
      <c r="I10" s="0" t="n">
        <f aca="false">-I6*I9/100</f>
        <v>-275.180251493149</v>
      </c>
      <c r="J10" s="0" t="n">
        <f aca="false">-J6*J9/100</f>
        <v>-290.315165325272</v>
      </c>
      <c r="K10" s="0" t="n">
        <f aca="false">-K6*K9/100</f>
        <v>-304.830923591535</v>
      </c>
      <c r="L10" s="0" t="n">
        <f aca="false">-L6*L9/100</f>
        <v>-318.548315153154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4844.9664</v>
      </c>
      <c r="D11" s="0" t="n">
        <f aca="false">D8+D10+D24</f>
        <v>5319.7731072</v>
      </c>
      <c r="E11" s="0" t="n">
        <f aca="false">E8+E10+E24</f>
        <v>5839.541102592</v>
      </c>
      <c r="F11" s="0" t="n">
        <f aca="false">F8+F10+F24</f>
        <v>6385.0849248528</v>
      </c>
      <c r="G11" s="0" t="n">
        <f aca="false">G8+G10+G24</f>
        <v>6920.06518208477</v>
      </c>
      <c r="H11" s="0" t="n">
        <f aca="false">H8+H10+H24</f>
        <v>7449.19286667774</v>
      </c>
      <c r="I11" s="0" t="n">
        <f aca="false">I8+I10+I24</f>
        <v>7964.93950155169</v>
      </c>
      <c r="J11" s="0" t="n">
        <f aca="false">J8+J10+J24</f>
        <v>8451.39703502458</v>
      </c>
      <c r="K11" s="0" t="n">
        <f aca="false">K8+K10+K24</f>
        <v>8873.96688677581</v>
      </c>
      <c r="L11" s="0" t="n">
        <f aca="false">L8+L10+L24</f>
        <v>9273.29539668071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-948.80592</v>
      </c>
      <c r="D12" s="4" t="n">
        <f aca="false">-D6*Assumptions!D45/100</f>
        <v>-1002.9080448</v>
      </c>
      <c r="E12" s="4" t="n">
        <f aca="false">-E6*Assumptions!E45/100</f>
        <v>-1059.59415168</v>
      </c>
      <c r="F12" s="4" t="n">
        <f aca="false">-F6*Assumptions!F45/100</f>
        <v>-1113.7511860992</v>
      </c>
      <c r="G12" s="4" t="n">
        <f aca="false">-G6*Assumptions!G45/100</f>
        <v>-1164.62936528237</v>
      </c>
      <c r="H12" s="4" t="n">
        <f aca="false">-H6*Assumptions!H45/100</f>
        <v>-1211.4853839321</v>
      </c>
      <c r="I12" s="4" t="n">
        <f aca="false">-I6*Assumptions!I45/100</f>
        <v>-1284.17450696803</v>
      </c>
      <c r="J12" s="4" t="n">
        <f aca="false">-J6*Assumptions!J45/100</f>
        <v>-1354.80410485127</v>
      </c>
      <c r="K12" s="4" t="n">
        <f aca="false">-K6*Assumptions!K45/100</f>
        <v>-1422.54431009383</v>
      </c>
      <c r="L12" s="4" t="n">
        <f aca="false">-L6*Assumptions!L45/100</f>
        <v>-1486.55880404805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3896.16048</v>
      </c>
      <c r="D13" s="0" t="n">
        <f aca="false">D11+D12</f>
        <v>4316.8650624</v>
      </c>
      <c r="E13" s="0" t="n">
        <f aca="false">E11+E12</f>
        <v>4779.946950912</v>
      </c>
      <c r="F13" s="0" t="n">
        <f aca="false">F11+F12</f>
        <v>5271.3337387536</v>
      </c>
      <c r="G13" s="0" t="n">
        <f aca="false">G11+G12</f>
        <v>5755.4358168024</v>
      </c>
      <c r="H13" s="0" t="n">
        <f aca="false">H11+H12</f>
        <v>6237.70748274564</v>
      </c>
      <c r="I13" s="0" t="n">
        <f aca="false">I11+I12</f>
        <v>6680.76499458366</v>
      </c>
      <c r="J13" s="0" t="n">
        <f aca="false">J11+J12</f>
        <v>7096.59293017331</v>
      </c>
      <c r="K13" s="0" t="n">
        <f aca="false">K11+K12</f>
        <v>7451.42257668197</v>
      </c>
      <c r="L13" s="0" t="n">
        <f aca="false">L11+L12</f>
        <v>7786.73659263266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22.5</v>
      </c>
      <c r="D14" s="4" t="n">
        <f aca="false">Assumptions!D47</f>
        <v>24</v>
      </c>
      <c r="E14" s="4" t="n">
        <f aca="false">Assumptions!E47</f>
        <v>25.5</v>
      </c>
      <c r="F14" s="4" t="n">
        <f aca="false">Assumptions!F47</f>
        <v>27</v>
      </c>
      <c r="G14" s="4" t="n">
        <f aca="false">Assumptions!G47</f>
        <v>28.5</v>
      </c>
      <c r="H14" s="4" t="n">
        <f aca="false">Assumptions!H47</f>
        <v>30</v>
      </c>
      <c r="I14" s="4" t="n">
        <f aca="false">Assumptions!I47</f>
        <v>31.5</v>
      </c>
      <c r="J14" s="4" t="n">
        <f aca="false">Assumptions!J47</f>
        <v>33.5</v>
      </c>
      <c r="K14" s="4" t="n">
        <f aca="false">Assumptions!K47</f>
        <v>35</v>
      </c>
      <c r="L14" s="4" t="n">
        <f aca="false">Assumptions!L47</f>
        <v>35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3019.524372</v>
      </c>
      <c r="D15" s="0" t="n">
        <f aca="false">D13-MAX(0,D13)*D14/100</f>
        <v>3280.817447424</v>
      </c>
      <c r="E15" s="0" t="n">
        <f aca="false">E13-MAX(0,E13)*E14/100</f>
        <v>3561.06047842944</v>
      </c>
      <c r="F15" s="0" t="n">
        <f aca="false">F13-MAX(0,F13)*F14/100</f>
        <v>3848.07362929013</v>
      </c>
      <c r="G15" s="0" t="n">
        <f aca="false">G13-MAX(0,G13)*G14/100</f>
        <v>4115.13660901372</v>
      </c>
      <c r="H15" s="0" t="n">
        <f aca="false">H13-MAX(0,H13)*H14/100</f>
        <v>4366.39523792195</v>
      </c>
      <c r="I15" s="0" t="n">
        <f aca="false">I13-MAX(0,I13)*I14/100</f>
        <v>4576.32402128981</v>
      </c>
      <c r="J15" s="0" t="n">
        <f aca="false">J13-MAX(0,J13)*J14/100</f>
        <v>4719.23429856525</v>
      </c>
      <c r="K15" s="0" t="n">
        <f aca="false">K13-MAX(0,K13)*K14/100</f>
        <v>4843.42467484328</v>
      </c>
      <c r="L15" s="0" t="n">
        <f aca="false">L13-MAX(0,L13)*L14/100</f>
        <v>5061.37878521123</v>
      </c>
    </row>
    <row r="16" customFormat="false" ht="15" hidden="false" customHeight="false" outlineLevel="0" collapsed="false">
      <c r="A16" s="0" t="s">
        <v>121</v>
      </c>
      <c r="C16" s="0" t="n">
        <f aca="false">-C12</f>
        <v>948.80592</v>
      </c>
      <c r="D16" s="0" t="n">
        <f aca="false">-D12</f>
        <v>1002.9080448</v>
      </c>
      <c r="E16" s="0" t="n">
        <f aca="false">-E12</f>
        <v>1059.59415168</v>
      </c>
      <c r="F16" s="0" t="n">
        <f aca="false">-F12</f>
        <v>1113.7511860992</v>
      </c>
      <c r="G16" s="0" t="n">
        <f aca="false">-G12</f>
        <v>1164.62936528237</v>
      </c>
      <c r="H16" s="0" t="n">
        <f aca="false">-H12</f>
        <v>1211.4853839321</v>
      </c>
      <c r="I16" s="0" t="n">
        <f aca="false">-I12</f>
        <v>1284.17450696803</v>
      </c>
      <c r="J16" s="0" t="n">
        <f aca="false">-J12</f>
        <v>1354.80410485127</v>
      </c>
      <c r="K16" s="0" t="n">
        <f aca="false">-K12</f>
        <v>1422.54431009383</v>
      </c>
      <c r="L16" s="0" t="n">
        <f aca="false">-L12</f>
        <v>1486.55880404805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-989.18064</v>
      </c>
      <c r="D17" s="4" t="n">
        <f aca="false">-D6*Assumptions!D46/100</f>
        <v>-1013.8092192</v>
      </c>
      <c r="E17" s="4" t="n">
        <f aca="false">-E6*Assumptions!E46/100</f>
        <v>-1036.047614976</v>
      </c>
      <c r="F17" s="4" t="n">
        <f aca="false">-F6*Assumptions!F46/100</f>
        <v>-1063.1261321856</v>
      </c>
      <c r="G17" s="4" t="n">
        <f aca="false">-G6*Assumptions!G46/100</f>
        <v>-1137.54496143859</v>
      </c>
      <c r="H17" s="4" t="n">
        <f aca="false">-H6*Assumptions!H46/100</f>
        <v>-1211.4853839321</v>
      </c>
      <c r="I17" s="4" t="n">
        <f aca="false">-I6*Assumptions!I46/100</f>
        <v>-1284.17450696803</v>
      </c>
      <c r="J17" s="4" t="n">
        <f aca="false">-J6*Assumptions!J46/100</f>
        <v>-1354.80410485127</v>
      </c>
      <c r="K17" s="4" t="n">
        <f aca="false">-K6*Assumptions!K46/100</f>
        <v>-1422.54431009383</v>
      </c>
      <c r="L17" s="4" t="n">
        <f aca="false">-L6*Assumptions!L46/100</f>
        <v>-1486.55880404805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2979.149652</v>
      </c>
      <c r="D19" s="0" t="n">
        <f aca="false">D15+D16+D17+D18</f>
        <v>3269.916273024</v>
      </c>
      <c r="E19" s="0" t="n">
        <f aca="false">E15+E16+E17+E18</f>
        <v>3584.60701513344</v>
      </c>
      <c r="F19" s="0" t="n">
        <f aca="false">F15+F16+F17+F18</f>
        <v>3898.69868320373</v>
      </c>
      <c r="G19" s="0" t="n">
        <f aca="false">G15+G16+G17+G18</f>
        <v>4142.22101285749</v>
      </c>
      <c r="H19" s="0" t="n">
        <f aca="false">H15+H16+H17+H18</f>
        <v>4366.39523792195</v>
      </c>
      <c r="I19" s="0" t="n">
        <f aca="false">I15+I16+I17+I18</f>
        <v>4576.32402128981</v>
      </c>
      <c r="J19" s="0" t="n">
        <f aca="false">J15+J16+J17+J18</f>
        <v>4719.23429856525</v>
      </c>
      <c r="K19" s="0" t="n">
        <f aca="false">K15+K16+K17+K18</f>
        <v>4843.42467484328</v>
      </c>
      <c r="L19" s="0" t="n">
        <f aca="false">L15+L16+L17+L18</f>
        <v>5061.37878521123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2758.4719</v>
      </c>
      <c r="D21" s="0" t="n">
        <f aca="false">D19*D20</f>
        <v>2803.42616</v>
      </c>
      <c r="E21" s="0" t="n">
        <f aca="false">E19*E20</f>
        <v>2845.57662</v>
      </c>
      <c r="F21" s="0" t="n">
        <f aca="false">F19*F20</f>
        <v>2865.65991921296</v>
      </c>
      <c r="G21" s="0" t="n">
        <f aca="false">G19*G20</f>
        <v>2819.12601975094</v>
      </c>
      <c r="H21" s="0" t="n">
        <f aca="false">H19*H20</f>
        <v>2751.56965790544</v>
      </c>
      <c r="I21" s="0" t="n">
        <f aca="false">I19*I20</f>
        <v>2670.24111202999</v>
      </c>
      <c r="J21" s="0" t="n">
        <f aca="false">J19*J20</f>
        <v>2549.65545018931</v>
      </c>
      <c r="K21" s="0" t="n">
        <f aca="false">K19*K20</f>
        <v>2422.91819096938</v>
      </c>
      <c r="L21" s="0" t="n">
        <f aca="false">L19*L20</f>
        <v>2344.39769403981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1.9</v>
      </c>
      <c r="D23" s="4" t="n">
        <f aca="false">Assumptions!D44</f>
        <v>1.9</v>
      </c>
      <c r="E23" s="4" t="n">
        <f aca="false">Assumptions!E44</f>
        <v>1.9</v>
      </c>
      <c r="F23" s="4" t="n">
        <f aca="false">Assumptions!F44</f>
        <v>1.85</v>
      </c>
      <c r="G23" s="4" t="n">
        <f aca="false">Assumptions!G44</f>
        <v>1.85</v>
      </c>
      <c r="H23" s="4" t="n">
        <f aca="false">Assumptions!H44</f>
        <v>1.8</v>
      </c>
      <c r="I23" s="4" t="n">
        <f aca="false">Assumptions!I44</f>
        <v>1.8</v>
      </c>
      <c r="J23" s="4" t="n">
        <f aca="false">Assumptions!J44</f>
        <v>1.8</v>
      </c>
      <c r="K23" s="4" t="n">
        <f aca="false">Assumptions!K44</f>
        <v>1.8</v>
      </c>
      <c r="L23" s="4" t="n">
        <f aca="false">Assumptions!L44</f>
        <v>1.8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-191.77992</v>
      </c>
      <c r="D24" s="0" t="n">
        <f aca="false">-D6*D23/100</f>
        <v>-207.1223136</v>
      </c>
      <c r="E24" s="0" t="n">
        <f aca="false">-E6*E23/100</f>
        <v>-223.692098688</v>
      </c>
      <c r="F24" s="0" t="n">
        <f aca="false">-F6*F23/100</f>
        <v>-234.1408743504</v>
      </c>
      <c r="G24" s="0" t="n">
        <f aca="false">-G6*G23/100</f>
        <v>-250.530735554928</v>
      </c>
      <c r="H24" s="0" t="n">
        <f aca="false">-H6*H23/100</f>
        <v>-259.604010842593</v>
      </c>
      <c r="I24" s="0" t="n">
        <f aca="false">-I6*I23/100</f>
        <v>-275.180251493149</v>
      </c>
      <c r="J24" s="0" t="n">
        <f aca="false">-J6*J23/100</f>
        <v>-290.315165325272</v>
      </c>
      <c r="K24" s="0" t="n">
        <f aca="false">-K6*K23/100</f>
        <v>-304.830923591535</v>
      </c>
      <c r="L24" s="0" t="n">
        <f aca="false">-L6*L23/100</f>
        <v>-318.548315153154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26831.0427240978</v>
      </c>
    </row>
    <row r="31" customFormat="false" ht="15" hidden="false" customHeight="false" outlineLevel="0" collapsed="false">
      <c r="A31" s="0" t="s">
        <v>130</v>
      </c>
      <c r="B31" s="0" t="n">
        <f aca="false">L19</f>
        <v>5061.37878521123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104264.402975351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101227.575704225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101227.575704225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46887.9538807962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73718.996604894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63736.996604894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13007.5503275294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0.496152556651644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1665.57390729636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3039.51980751735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13967.7735346342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43443.5012397297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4131.39903328052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7045.31302252901</v>
      </c>
      <c r="C4" s="0" t="n">
        <f aca="false">B4/Assumptions!$B$2-1</f>
        <v>-0.189635033065446</v>
      </c>
      <c r="D4" s="4" t="n">
        <f aca="false">Assumptions!$B$24</f>
        <v>0.25</v>
      </c>
      <c r="E4" s="4" t="n">
        <f aca="false">DCF_Bear!$B$43</f>
        <v>7721.44895539082</v>
      </c>
      <c r="F4" s="4" t="n">
        <f aca="false">DCF_Bear!$B$47</f>
        <v>2239.87569730856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10281.4675044234</v>
      </c>
      <c r="C5" s="0" t="n">
        <f aca="false">B5/Assumptions!$B$2-1</f>
        <v>0.182593455765284</v>
      </c>
      <c r="D5" s="4" t="n">
        <f aca="false">Assumptions!$B$38</f>
        <v>0.5</v>
      </c>
      <c r="E5" s="4" t="n">
        <f aca="false">DCF_Base!$B$43</f>
        <v>11084.1243498486</v>
      </c>
      <c r="F5" s="4" t="n">
        <f aca="false">DCF_Base!$B$47</f>
        <v>3313.36332060597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13007.5503275294</v>
      </c>
      <c r="C6" s="0" t="n">
        <f aca="false">B6/Assumptions!$B$2-1</f>
        <v>0.496152556651644</v>
      </c>
      <c r="D6" s="4" t="n">
        <f aca="false">Assumptions!$B$52</f>
        <v>0.25</v>
      </c>
      <c r="E6" s="4" t="n">
        <f aca="false">DCF_Bull!$B$43</f>
        <v>13967.7735346342</v>
      </c>
      <c r="F6" s="4" t="n">
        <f aca="false">DCF_Bull!$B$47</f>
        <v>4131.39903328052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10153.9495897263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10964.3677974306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0.14378144945721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-180.147678796849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3249.50034295026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10281.4675044234</v>
      </c>
      <c r="C15" s="3" t="n">
        <v>8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8366.02176352174</v>
      </c>
      <c r="C16" s="3" t="n">
        <v>9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6961.684009638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5888.06686154072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5040.73421169112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3313.36332060597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12961.1676948404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12961.1676948404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12961.1676948404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12961.1676948404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12961.1676948404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11168.191500835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11840.4471410038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11840.4471410038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11840.4471410038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11840.4471410038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9084.10363337239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9632.89540760409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10281.4675044234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10821.9442517728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10821.9442517728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7557.85144952715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7933.07338102464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8366.02176352174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8871.12820976837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9468.07219169619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6392.43584412973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6659.27092171173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6961.684009638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7307.29896726802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7706.08545684111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2026-10-10T00:54:29Z</dcterms:created>
  <dc:creator>openpyxl</dc:creator>
  <dc:description/>
  <dc:language>en-NZ</dc:language>
  <cp:lastModifiedBy/>
  <dcterms:modified xsi:type="dcterms:W3CDTF">2026-10-10T00:54:29Z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