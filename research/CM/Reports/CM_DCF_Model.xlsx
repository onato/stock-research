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<sst xmlns="http://schemas.openxmlformats.org/spreadsheetml/2006/main" count="368" uniqueCount="173">
  <si>
    <t xml:space="preserve">Ticker</t>
  </si>
  <si>
    <t xml:space="preserve">CM</t>
  </si>
  <si>
    <t xml:space="preserve">Company</t>
  </si>
  <si>
    <t xml:space="preserve">Canadian Imperial Bank of Commerce (CIBC)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</si>
  <si>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</si>
  <si>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</si>
  <si>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</si>
  <si>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</si>
  <si>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(NYSE)</t>
  </si>
  <si>
    <t xml:space="preserve">Balance sheet date</t>
  </si>
  <si>
    <t xml:space="preserve">2026-07-31</t>
  </si>
  <si>
    <t xml:space="preserve">Model</t>
  </si>
  <si>
    <t xml:space="preserve">Bank FCFE at cost of equity (engine route), net debt zero, retention from CET1 growth</t>
  </si>
  <si>
    <t xml:space="preserve">Currency (model)</t>
  </si>
  <si>
    <t xml:space="preserve">CAD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</si>
  <si>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</si>
  <si>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</si>
  <si>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</si>
  <si>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</si>
  <si>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</si>
  <si>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</si>
  <si>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</si>
  <si>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2026-10-03T21:37:04Z</t>
  </si>
  <si>
    <t xml:space="preserve">Drivers file</t>
  </si>
  <si>
    <t xml:space="preserve">CM_Drivers.json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</si>
  <si>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</si>
  <si>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</si>
  <si>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</si>
  <si>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bank is valued on the cash it can distribute to common shareholders after retaining enough capital to grow its balance sheet at a constant CET1 ratio, discounted at the cost of equity with deposits treated as operating funding (net debt zero). CIBC is a high-quality oligopoly franchise currently earning above its own ROE target on a favourable rate, fee and buyback cycle; the valuation asks what it is worth if that profitability partly normalises rather than extrapolating peak quarters.
key_risks_to_valuation: Credit: Canadian mortgage renewal wall and unemployment; every +10bp of loan-loss ratio is ~C$600M pre-tax (~5% of earnings); Capital-markets and wealth fee normalisation from a cyclical high (Capital Markets ~21% of revenue); Terminal value carries most of the value; the 14x FCFE cap binds in the base case, so the exit multiple is the single most important assumption; CAD/USD: the NYSE quote converts a CAD valuation at a dated FX rate (0.7019); FX moves the USD value one-for-one; Caribbean sale (close H1 2027) treated as value-neutral; CET1 release at close is unmodelled upside; Automated multiples check mis-scales CM (USD-quoted/CAD-reported): its P/B and P/E bands are not usable for this ticker until it compares like currencies; see sanity_check_response
sanity_check_response: 2026-10-04 sanity trip ('implied P/B 1.43x exceeds 1.5x the 10yr max 0.85x') reviewed; NO driver changed, because the trip is a units artefact on both sides of the comparison, not an over-valuation. (1) The historical band divides a USD NYSE price series that is also adjusted below the actual close (FY2025 'price' 58.17 vs a US$82-86 NYSE close and C$116.21 on the TSX) by CAD book and CAD EPS. That is why it shows CIBC at 0.43-0.85x book and 4.6-6.5x earnings, which it never traded at. (2) The implied 1.43x divides the USD IV (97.13 weighted) by CAD book. On a consistent CAD basis (TSX October close / common equity net of preferreds and other equity instruments / period-end shares): FY2017 ~1.7x, FY2020 ~1.2x, FY2023 ~0.95x (trough), FY2025 ~1.9x, today 2.43x (C$158.27 / C$65.15 = (67,194 - 8,048) / 907.9M at 2026-07-31). FY2020/FY2023 preferred balances are approximate. The model's weighted IV C$138.37 is 2.12x book (base 2.13x, bull 2.52x, bear 1.60x) and ~13.3x TTM adjusted EPS to common (C$10.41), against a FY-end P/E range of ~9.5-13.6x. Both sit inside 1.5x the genuine 10-year maximum and BELOW today's market multiple. Levers rejected: (a) raising CoE above 9.5% would charge the mortgage-renewal, tariff and capital-markets risks twice, since they already sit in the 20%-weighted bear flows (PCL ~0.70%, margin 30.5%, 12x exit); (b) the 'projected growth 8.5%' flag reads historical_growth.selected_growth_rate (the FY22-25 equity CAGR), not the forecast. The base revenue path is 7.0% fading to 3.0% (about 4.5% average), already below the 7.7% through-cycle CAGR; (c) an exit-P/B cap keyed to a 0.85x band would value a 15%-ROE bank at roughly a third of its market price on a mis-scaled history. The defect to fix is the price/currency basis of the multiples check for CAD-filers quoted in USD, not this valuation.</t>
  </si>
  <si>
    <t xml:space="preserve">Data sources</t>
  </si>
  <si>
    <t xml:space="preserve">price: Yahoo Finance chart API for NYSE CM at inputs.price_as_of; 52-week range 79.32-124.86 USD; TSX CM.TO and CADUSD=X used for the parity check in inputs.fx_note
financials: CM_Metrics.csv / CM.duckdb core_metrics and kpis (FY2015-Q3 FY2026); Q3 FY2026 Report to Shareholders (CM_Quarterly_Q3-2026.txt) for adjusted earnings, items of note, pref/LRCN distributions, RWA, CET1, shares and goodwill; FY2025 Annual Report for Q4 FY25 derivation
qualitative: CM_Analysis.json (2026-10-04)</t>
  </si>
  <si>
    <t xml:space="preserve">Scenario narrative: bear</t>
  </si>
  <si>
    <t xml:space="preserve">The Canadian mortgage renewal wall (~6% of the book facing 40%+ payment shocks in 2026) meets rising unemployment and U.S. tariffs: impaired loans climb, PCLs roughly double to ~0.70% of loans (~C$4.3bn vs C$2.3bn TTM), and capital-markets/wealth revenue (~a quarter of the total) reverses from a cyclical peak. Revenue growth drops to 1-3%, margin falls to ~30.5% in year two before recovering only to 34%, tax edges to 24%, and the exit multiple de-rates to 12x FCFE. Solvency is not in question (CET1 13.4%, LCR 127%); this is an earnings and multiple reset.</t>
  </si>
  <si>
    <t xml:space="preserve">Scenario narrative: base</t>
  </si>
  <si>
    <t xml:space="preserve">CIBC's earnings settle from a cyclical high rather than keep compounding at the 9-quarter double-digit pace. Revenue grows 7% next year on the current run-rate (Q3 FY26 +15% YoY, NIM stable to gently rising, wealth AUM +19%), fading to 3% as capital-markets and wealth fees normalise and the domestic mortgage book grows low-single-digit. The pre-tax-to-common margin eases from 37.9% to 37.0% as positive operating leverage is offset by loan-loss provisions drifting toward a ~0.40% through-the-cycle ratio. Retention keeps CET1 at ~13%; everything else (~65-75% of earnings) goes out as dividends and buybacks. Terminal at 14x FCFE (~11x earnings), in line with the Canadian-bank long-run range, not today's ~14.5x forward P/E.</t>
  </si>
  <si>
    <t xml:space="preserve">Scenario narrative: bull</t>
  </si>
  <si>
    <t xml:space="preserve">The U.S. Commercial Banking/Wealth and U.S. Capital Markets build-out keeps delivering (U.S. segment NI nearly doubled in FY25, U.S. capital-markets revenue +39%), the mortgage renewal wall passes with losses contained, and AI-driven efficiency (adjusted efficiency already 52%) takes the margin to ~39.5%. Revenue grows 9% then fades to 3%; ROE holds above the 15% target, and the market keeps paying a 15x FCFE exit multiple.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</si>
  <si>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</si>
  <si>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</si>
  <si>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</si>
  <si>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</si>
  <si>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</si>
  <si>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</si>
  <si>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</si>
  <si>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</si>
  <si>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</si>
  <si>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</si>
  <si>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</si>
  <si>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</si>
  <si>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</si>
  <si>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</si>
  <si>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</si>
  <si>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</si>
  <si>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</si>
  <si>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</si>
  <si>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</si>
  <si>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</si>
  <si>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</si>
  <si>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</si>
  <si>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</si>
  <si>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</si>
  <si>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</si>
  <si>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</si>
  <si>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</si>
  <si>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CreditImpairmentCharge</t>
  </si>
  <si>
    <t xml:space="preserve">InterestPaid</t>
  </si>
  <si>
    <t xml:space="preserve">NetInterestIncome</t>
  </si>
  <si>
    <t xml:space="preserve">NonInterestIncome</t>
  </si>
  <si>
    <t xml:space="preserve">TotalEquityInclNCI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</si>
  <si>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</si>
  <si>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</si>
  <si>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</si>
  <si>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</si>
  <si>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</si>
  <si>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</si>
  <si>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</si>
  <si>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</si>
  <si>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</si>
  <si>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</si>
  <si>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</si>
  <si>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</si>
  <si>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</si>
  <si>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</si>
  <si>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</si>
  <si>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</si>
  <si>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</si>
  <si>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</si>
  <si>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</si>
  <si>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</si>
  <si>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to Q3 FY2026 (12 months to 2026-07-31)</t>
  </si>
  <si>
    <t xml:space="preserve">Currency / units</t>
  </si>
  <si>
    <t xml:space="preserve">CAD millions</t>
  </si>
  <si>
    <t xml:space="preserve">FX rate (model -&gt; quote)</t>
  </si>
  <si>
    <t xml:space="preserve">BEAR</t>
  </si>
  <si>
    <t xml:space="preserve">TTM to Q3 FY2027</t>
  </si>
  <si>
    <t xml:space="preserve">TTM to Q3 FY2028</t>
  </si>
  <si>
    <t xml:space="preserve">TTM to Q3 FY2029</t>
  </si>
  <si>
    <t xml:space="preserve">TTM to Q3 FY2030</t>
  </si>
  <si>
    <t xml:space="preserve">TTM to Q3 FY2031</t>
  </si>
  <si>
    <t xml:space="preserve">TTM to Q3 FY2032</t>
  </si>
  <si>
    <t xml:space="preserve">TTM to Q3 FY2033</t>
  </si>
  <si>
    <t xml:space="preserve">TTM to Q3 FY2034</t>
  </si>
  <si>
    <t xml:space="preserve">TTM to Q3 FY2035</t>
  </si>
  <si>
    <t xml:space="preserve">TTM to Q3 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</si>
  <si>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</si>
  <si>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</si>
  <si>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</si>
  <si>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</si>
  <si>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</si>
  <si>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</si>
  <si>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</si>
  <si>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</si>
  <si>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</si>
  <si>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</si>
  <si>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</si>
  <si>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</si>
  <si>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</si>
  <si>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</si>
  <si>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CM owner-FCF component DCF: bear case (millions, CAD)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</si>
  <si>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</si>
  <si>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</si>
  <si>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</si>
  <si>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</si>
  <si>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</si>
  <si>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</si>
  <si>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</si>
  <si>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</si>
  <si>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</si>
  <si>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</si>
  <si>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</si>
  <si>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</si>
  <si>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</si>
  <si>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</si>
  <si>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</si>
  <si>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</si>
  <si>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</si>
  <si>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</si>
  <si>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</si>
  <si>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</si>
  <si>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</si>
  <si>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</si>
  <si>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</si>
  <si>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</si>
  <si>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</si>
  <si>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</si>
  <si>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</si>
  <si>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</si>
  <si>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</si>
  <si>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</si>
  <si>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CM owner-FCF component DCF: base case (millions, CAD)</t>
  </si>
  <si>
    <t xml:space="preserve">CM owner-FCF component DCF: bull case (millions, CAD)</t>
  </si>
  <si>
    <t xml:space="preserve">CM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</si>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</sst>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111.02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35.0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</row>
    <row r="2" customFormat="false" ht="15" hidden="false" customHeight="false" outlineLevel="0" collapsed="false">
      <c r="A2" s="0" t="s">
        <v>69</v>
      </c>
      <c r="B2" s="0" t="n">
        <v>13856</v>
      </c>
      <c r="I2" s="0" t="n">
        <v>3576</v>
      </c>
      <c r="J2" s="0" t="n">
        <v>25.8</v>
      </c>
      <c r="K2" s="0" t="n">
        <v>4.435</v>
      </c>
      <c r="M2" s="0" t="n">
        <v>256</v>
      </c>
      <c r="O2" s="0" t="n">
        <v>21360</v>
      </c>
      <c r="P2" s="0" t="n">
        <v>463309</v>
      </c>
      <c r="S2" s="0" t="n">
        <v>3053</v>
      </c>
      <c r="V2" s="0" t="n">
        <v>2.15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70</v>
      </c>
      <c r="B3" s="0" t="n">
        <v>15035</v>
      </c>
      <c r="I3" s="0" t="n">
        <v>4275</v>
      </c>
      <c r="J3" s="0" t="n">
        <v>28.4</v>
      </c>
      <c r="K3" s="0" t="n">
        <v>5.35</v>
      </c>
      <c r="L3" s="0" t="n">
        <v>10211</v>
      </c>
      <c r="M3" s="0" t="n">
        <v>170</v>
      </c>
      <c r="O3" s="0" t="n">
        <v>23472</v>
      </c>
      <c r="P3" s="0" t="n">
        <v>501357</v>
      </c>
      <c r="Q3" s="0" t="n">
        <v>477684</v>
      </c>
      <c r="R3" s="0" t="n">
        <v>3366</v>
      </c>
      <c r="S3" s="0" t="n">
        <v>3500</v>
      </c>
      <c r="T3" s="0" t="n">
        <v>791.838</v>
      </c>
      <c r="V3" s="0" t="n">
        <v>2.375</v>
      </c>
      <c r="AA3" s="0" t="s">
        <v>18</v>
      </c>
      <c r="AB3" s="0" t="s">
        <v>14</v>
      </c>
      <c r="AC3" s="0" t="n">
        <v>1051</v>
      </c>
      <c r="AD3" s="0" t="n">
        <v>3798</v>
      </c>
      <c r="AE3" s="0" t="n">
        <v>8366</v>
      </c>
      <c r="AF3" s="0" t="n">
        <v>6669</v>
      </c>
      <c r="AG3" s="0" t="n">
        <v>23673</v>
      </c>
    </row>
    <row r="4" customFormat="false" ht="15" hidden="false" customHeight="false" outlineLevel="0" collapsed="false">
      <c r="A4" s="0" t="s">
        <v>71</v>
      </c>
      <c r="B4" s="0" t="n">
        <v>16280</v>
      </c>
      <c r="I4" s="0" t="n">
        <v>4699</v>
      </c>
      <c r="J4" s="0" t="n">
        <v>28.9</v>
      </c>
      <c r="K4" s="0" t="n">
        <v>5.62</v>
      </c>
      <c r="L4" s="0" t="n">
        <v>2457</v>
      </c>
      <c r="M4" s="0" t="n">
        <v>-201</v>
      </c>
      <c r="O4" s="0" t="n">
        <v>31035</v>
      </c>
      <c r="P4" s="0" t="n">
        <v>565264</v>
      </c>
      <c r="Q4" s="0" t="n">
        <v>534027</v>
      </c>
      <c r="R4" s="0" t="n">
        <v>3209</v>
      </c>
      <c r="S4" s="0" t="n">
        <v>3440</v>
      </c>
      <c r="T4" s="0" t="n">
        <v>827.126</v>
      </c>
      <c r="U4" s="0" t="n">
        <v>7</v>
      </c>
      <c r="V4" s="0" t="n">
        <v>2.54</v>
      </c>
      <c r="AA4" s="0" t="s">
        <v>18</v>
      </c>
      <c r="AB4" s="0" t="s">
        <v>14</v>
      </c>
      <c r="AC4" s="0" t="n">
        <v>829</v>
      </c>
      <c r="AD4" s="0" t="n">
        <v>4526</v>
      </c>
      <c r="AE4" s="0" t="n">
        <v>8977</v>
      </c>
      <c r="AF4" s="0" t="n">
        <v>7303</v>
      </c>
      <c r="AG4" s="0" t="n">
        <v>31237</v>
      </c>
    </row>
    <row r="5" customFormat="false" ht="15" hidden="false" customHeight="false" outlineLevel="0" collapsed="false">
      <c r="A5" s="0" t="s">
        <v>72</v>
      </c>
      <c r="B5" s="0" t="n">
        <v>17834</v>
      </c>
      <c r="I5" s="0" t="n">
        <v>5267</v>
      </c>
      <c r="J5" s="0" t="n">
        <v>29.5</v>
      </c>
      <c r="K5" s="0" t="n">
        <v>5.825</v>
      </c>
      <c r="L5" s="0" t="n">
        <v>9867</v>
      </c>
      <c r="M5" s="0" t="n">
        <v>255</v>
      </c>
      <c r="O5" s="0" t="n">
        <v>34943</v>
      </c>
      <c r="P5" s="0" t="n">
        <v>597099</v>
      </c>
      <c r="Q5" s="0" t="n">
        <v>561983</v>
      </c>
      <c r="R5" s="0" t="n">
        <v>4080</v>
      </c>
      <c r="S5" s="0" t="n">
        <v>4380</v>
      </c>
      <c r="T5" s="0" t="n">
        <v>889.254</v>
      </c>
      <c r="U5" s="0" t="n">
        <v>31</v>
      </c>
      <c r="V5" s="0" t="n">
        <v>2.66</v>
      </c>
      <c r="AA5" s="0" t="s">
        <v>18</v>
      </c>
      <c r="AB5" s="0" t="s">
        <v>14</v>
      </c>
      <c r="AC5" s="0" t="n">
        <v>870</v>
      </c>
      <c r="AD5" s="0" t="n">
        <v>7235</v>
      </c>
      <c r="AE5" s="0" t="n">
        <v>10065</v>
      </c>
      <c r="AF5" s="0" t="n">
        <v>7769</v>
      </c>
      <c r="AG5" s="0" t="n">
        <v>35116</v>
      </c>
    </row>
    <row r="6" customFormat="false" ht="15" hidden="false" customHeight="false" outlineLevel="0" collapsed="false">
      <c r="A6" s="0" t="s">
        <v>73</v>
      </c>
      <c r="B6" s="0" t="n">
        <v>18611</v>
      </c>
      <c r="I6" s="0" t="n">
        <v>5096</v>
      </c>
      <c r="J6" s="0" t="n">
        <v>27.4</v>
      </c>
      <c r="K6" s="0" t="n">
        <v>5.595</v>
      </c>
      <c r="L6" s="0" t="n">
        <v>18635</v>
      </c>
      <c r="M6" s="0" t="n">
        <v>272</v>
      </c>
      <c r="O6" s="0" t="n">
        <v>38394</v>
      </c>
      <c r="P6" s="0" t="n">
        <v>651604</v>
      </c>
      <c r="Q6" s="0" t="n">
        <v>613024</v>
      </c>
      <c r="R6" s="0" t="n">
        <v>4684</v>
      </c>
      <c r="S6" s="0" t="n">
        <v>3840</v>
      </c>
      <c r="T6" s="0" t="n">
        <v>890.914</v>
      </c>
      <c r="U6" s="0" t="n">
        <v>16</v>
      </c>
      <c r="V6" s="0" t="n">
        <v>2.8</v>
      </c>
      <c r="AA6" s="0" t="s">
        <v>18</v>
      </c>
      <c r="AB6" s="0" t="s">
        <v>14</v>
      </c>
      <c r="AC6" s="0" t="n">
        <v>1286</v>
      </c>
      <c r="AD6" s="0" t="n">
        <v>10008</v>
      </c>
      <c r="AE6" s="0" t="n">
        <v>10551</v>
      </c>
      <c r="AF6" s="0" t="n">
        <v>8060</v>
      </c>
      <c r="AG6" s="0" t="n">
        <v>38580</v>
      </c>
    </row>
    <row r="7" customFormat="false" ht="15" hidden="false" customHeight="false" outlineLevel="0" collapsed="false">
      <c r="A7" s="0" t="s">
        <v>74</v>
      </c>
      <c r="B7" s="0" t="n">
        <v>18741</v>
      </c>
      <c r="I7" s="0" t="n">
        <v>3790</v>
      </c>
      <c r="J7" s="0" t="n">
        <v>20.2</v>
      </c>
      <c r="K7" s="0" t="n">
        <v>4.11</v>
      </c>
      <c r="L7" s="0" t="n">
        <v>60295</v>
      </c>
      <c r="M7" s="0" t="n">
        <v>309</v>
      </c>
      <c r="O7" s="0" t="n">
        <v>41154</v>
      </c>
      <c r="P7" s="0" t="n">
        <v>769551</v>
      </c>
      <c r="Q7" s="0" t="n">
        <v>728216</v>
      </c>
      <c r="R7" s="0" t="n">
        <v>5712</v>
      </c>
      <c r="S7" s="0" t="n">
        <v>43531</v>
      </c>
      <c r="T7" s="0" t="n">
        <v>892.042</v>
      </c>
      <c r="U7" s="0" t="n">
        <v>14</v>
      </c>
      <c r="V7" s="0" t="n">
        <v>2.91</v>
      </c>
      <c r="AA7" s="0" t="s">
        <v>18</v>
      </c>
      <c r="AB7" s="0" t="s">
        <v>14</v>
      </c>
      <c r="AC7" s="0" t="n">
        <v>2489</v>
      </c>
      <c r="AD7" s="0" t="n">
        <v>6716</v>
      </c>
      <c r="AE7" s="0" t="n">
        <v>11044</v>
      </c>
      <c r="AF7" s="0" t="n">
        <v>7697</v>
      </c>
      <c r="AG7" s="0" t="n">
        <v>41335</v>
      </c>
    </row>
    <row r="8" customFormat="false" ht="15" hidden="false" customHeight="false" outlineLevel="0" collapsed="false">
      <c r="A8" s="0" t="s">
        <v>75</v>
      </c>
      <c r="B8" s="0" t="n">
        <v>20015</v>
      </c>
      <c r="I8" s="0" t="n">
        <v>6429</v>
      </c>
      <c r="J8" s="0" t="n">
        <v>32.1</v>
      </c>
      <c r="K8" s="0" t="n">
        <v>6.965</v>
      </c>
      <c r="L8" s="0" t="n">
        <v>-3332</v>
      </c>
      <c r="M8" s="0" t="n">
        <v>839</v>
      </c>
      <c r="O8" s="0" t="n">
        <v>45648</v>
      </c>
      <c r="P8" s="0" t="n">
        <v>837683</v>
      </c>
      <c r="Q8" s="0" t="n">
        <v>791853</v>
      </c>
      <c r="R8" s="0" t="n">
        <v>5539</v>
      </c>
      <c r="S8" s="0" t="n">
        <v>34573</v>
      </c>
      <c r="T8" s="0" t="n">
        <v>900.366</v>
      </c>
      <c r="U8" s="0" t="n">
        <v>19</v>
      </c>
      <c r="V8" s="0" t="n">
        <v>2.92</v>
      </c>
      <c r="AA8" s="0" t="s">
        <v>18</v>
      </c>
      <c r="AB8" s="0" t="s">
        <v>14</v>
      </c>
      <c r="AC8" s="0" t="n">
        <v>158</v>
      </c>
      <c r="AD8" s="0" t="n">
        <v>3701</v>
      </c>
      <c r="AE8" s="0" t="n">
        <v>11459</v>
      </c>
      <c r="AF8" s="0" t="n">
        <v>8556</v>
      </c>
      <c r="AG8" s="0" t="n">
        <v>45830</v>
      </c>
    </row>
    <row r="9" customFormat="false" ht="15" hidden="false" customHeight="false" outlineLevel="0" collapsed="false">
      <c r="A9" s="0" t="s">
        <v>76</v>
      </c>
      <c r="B9" s="0" t="n">
        <v>21833</v>
      </c>
      <c r="I9" s="0" t="n">
        <v>6220</v>
      </c>
      <c r="J9" s="0" t="n">
        <v>28.5</v>
      </c>
      <c r="K9" s="0" t="n">
        <v>6.68</v>
      </c>
      <c r="L9" s="0" t="n">
        <v>22715</v>
      </c>
      <c r="M9" s="0" t="n">
        <v>1109</v>
      </c>
      <c r="O9" s="0" t="n">
        <v>50181</v>
      </c>
      <c r="P9" s="0" t="n">
        <v>943597</v>
      </c>
      <c r="Q9" s="0" t="n">
        <v>893215</v>
      </c>
      <c r="R9" s="0" t="n">
        <v>6292</v>
      </c>
      <c r="S9" s="0" t="n">
        <v>31535</v>
      </c>
      <c r="T9" s="0" t="n">
        <v>905.684</v>
      </c>
      <c r="U9" s="0" t="n">
        <v>24</v>
      </c>
      <c r="V9" s="0" t="n">
        <v>3.27</v>
      </c>
      <c r="AA9" s="0" t="s">
        <v>18</v>
      </c>
      <c r="AB9" s="0" t="s">
        <v>14</v>
      </c>
      <c r="AC9" s="0" t="n">
        <v>1057</v>
      </c>
      <c r="AD9" s="0" t="n">
        <v>8310</v>
      </c>
      <c r="AE9" s="0" t="n">
        <v>12641</v>
      </c>
      <c r="AF9" s="0" t="n">
        <v>9192</v>
      </c>
      <c r="AG9" s="0" t="n">
        <v>50382</v>
      </c>
    </row>
    <row r="10" customFormat="false" ht="15" hidden="false" customHeight="false" outlineLevel="0" collapsed="false">
      <c r="A10" s="0" t="s">
        <v>77</v>
      </c>
      <c r="B10" s="0" t="n">
        <v>23323</v>
      </c>
      <c r="I10" s="0" t="n">
        <v>4995</v>
      </c>
      <c r="J10" s="0" t="n">
        <v>21.4</v>
      </c>
      <c r="K10" s="0" t="n">
        <v>5.16</v>
      </c>
      <c r="L10" s="0" t="n">
        <v>12154</v>
      </c>
      <c r="M10" s="0" t="n">
        <v>1014</v>
      </c>
      <c r="O10" s="0" t="n">
        <v>52981</v>
      </c>
      <c r="P10" s="0" t="n">
        <v>975719</v>
      </c>
      <c r="Q10" s="0" t="n">
        <v>922506</v>
      </c>
      <c r="R10" s="0" t="n">
        <v>6483</v>
      </c>
      <c r="S10" s="0" t="n">
        <v>20816</v>
      </c>
      <c r="T10" s="0" t="n">
        <v>916.223</v>
      </c>
      <c r="U10" s="0" t="n">
        <v>13</v>
      </c>
      <c r="V10" s="0" t="n">
        <v>3.44</v>
      </c>
      <c r="AA10" s="0" t="s">
        <v>18</v>
      </c>
      <c r="AB10" s="0" t="s">
        <v>14</v>
      </c>
      <c r="AC10" s="0" t="n">
        <v>2010</v>
      </c>
      <c r="AD10" s="0" t="n">
        <v>29673</v>
      </c>
      <c r="AE10" s="0" t="n">
        <v>12825</v>
      </c>
      <c r="AF10" s="0" t="n">
        <v>10498</v>
      </c>
      <c r="AG10" s="0" t="n">
        <v>53213</v>
      </c>
    </row>
    <row r="11" customFormat="false" ht="15" hidden="false" customHeight="false" outlineLevel="0" collapsed="false">
      <c r="A11" s="0" t="s">
        <v>78</v>
      </c>
      <c r="B11" s="0" t="n">
        <v>25606</v>
      </c>
      <c r="I11" s="0" t="n">
        <v>7115</v>
      </c>
      <c r="J11" s="0" t="n">
        <v>27.8</v>
      </c>
      <c r="K11" s="0" t="n">
        <v>7.28</v>
      </c>
      <c r="L11" s="0" t="n">
        <v>11088</v>
      </c>
      <c r="M11" s="0" t="n">
        <v>1089</v>
      </c>
      <c r="O11" s="0" t="n">
        <v>58735</v>
      </c>
      <c r="P11" s="0" t="n">
        <v>1041985</v>
      </c>
      <c r="Q11" s="0" t="n">
        <v>982978</v>
      </c>
      <c r="R11" s="0" t="n">
        <v>7465</v>
      </c>
      <c r="S11" s="0" t="n">
        <v>8565</v>
      </c>
      <c r="T11" s="0" t="n">
        <v>941.712</v>
      </c>
      <c r="U11" s="0" t="n">
        <v>16</v>
      </c>
      <c r="V11" s="0" t="n">
        <v>3.6</v>
      </c>
      <c r="AA11" s="0" t="s">
        <v>18</v>
      </c>
      <c r="AB11" s="0" t="s">
        <v>14</v>
      </c>
      <c r="AC11" s="0" t="n">
        <v>2001</v>
      </c>
      <c r="AD11" s="0" t="n">
        <v>38038</v>
      </c>
      <c r="AE11" s="0" t="n">
        <v>13695</v>
      </c>
      <c r="AF11" s="0" t="n">
        <v>11911</v>
      </c>
      <c r="AG11" s="0" t="n">
        <v>59007</v>
      </c>
    </row>
    <row r="12" customFormat="false" ht="15" hidden="false" customHeight="false" outlineLevel="0" collapsed="false">
      <c r="A12" s="0" t="s">
        <v>79</v>
      </c>
      <c r="B12" s="0" t="n">
        <v>29133</v>
      </c>
      <c r="I12" s="0" t="n">
        <v>8429</v>
      </c>
      <c r="J12" s="0" t="n">
        <v>28.9</v>
      </c>
      <c r="K12" s="0" t="n">
        <v>8.57</v>
      </c>
      <c r="L12" s="0" t="n">
        <v>13838</v>
      </c>
      <c r="M12" s="0" t="n">
        <v>1109</v>
      </c>
      <c r="O12" s="0" t="n">
        <v>64129</v>
      </c>
      <c r="P12" s="0" t="n">
        <v>1116938</v>
      </c>
      <c r="Q12" s="0" t="n">
        <v>1052525</v>
      </c>
      <c r="R12" s="0" t="n">
        <v>7819</v>
      </c>
      <c r="S12" s="0" t="n">
        <v>12379</v>
      </c>
      <c r="T12" s="0" t="n">
        <v>940.675</v>
      </c>
      <c r="U12" s="0" t="n">
        <v>20</v>
      </c>
      <c r="V12" s="0" t="n">
        <v>3.88</v>
      </c>
      <c r="AA12" s="0" t="s">
        <v>18</v>
      </c>
      <c r="AB12" s="0" t="s">
        <v>14</v>
      </c>
      <c r="AC12" s="0" t="n">
        <v>2342</v>
      </c>
      <c r="AD12" s="0" t="n">
        <v>33975</v>
      </c>
      <c r="AE12" s="0" t="n">
        <v>15769</v>
      </c>
      <c r="AF12" s="0" t="n">
        <v>13364</v>
      </c>
      <c r="AG12" s="0" t="n">
        <v>64413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111.02</v>
      </c>
    </row>
    <row r="3" customFormat="false" ht="15" hidden="false" customHeight="false" outlineLevel="0" collapsed="false">
      <c r="A3" s="0" t="s">
        <v>83</v>
      </c>
      <c r="B3" s="3" t="n">
        <v>915.4</v>
      </c>
    </row>
    <row r="4" customFormat="false" ht="15" hidden="false" customHeight="false" outlineLevel="0" collapsed="false">
      <c r="A4" s="0" t="s">
        <v>84</v>
      </c>
      <c r="B4" s="3" t="n">
        <v>0</v>
      </c>
    </row>
    <row r="5" customFormat="false" ht="15" hidden="false" customHeight="false" outlineLevel="0" collapsed="false">
      <c r="A5" s="0" t="s">
        <v>85</v>
      </c>
      <c r="B5" s="3" t="n">
        <v>1477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32348</v>
      </c>
    </row>
    <row r="8" customFormat="false" ht="15" hidden="false" customHeight="false" outlineLevel="0" collapsed="false">
      <c r="A8" s="0" t="s">
        <v>88</v>
      </c>
      <c r="B8" s="3" t="s">
        <v>89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0.7019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3</v>
      </c>
      <c r="D13" s="3" t="n">
        <v>1</v>
      </c>
      <c r="E13" s="3" t="n">
        <v>2</v>
      </c>
      <c r="F13" s="3" t="n">
        <v>3</v>
      </c>
      <c r="G13" s="3" t="n">
        <v>3.5</v>
      </c>
      <c r="H13" s="3" t="n">
        <v>3.5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105</v>
      </c>
      <c r="C14" s="3" t="n">
        <v>35</v>
      </c>
      <c r="D14" s="3" t="n">
        <v>30.5</v>
      </c>
      <c r="E14" s="3" t="n">
        <v>31</v>
      </c>
      <c r="F14" s="3" t="n">
        <v>32.5</v>
      </c>
      <c r="G14" s="3" t="n">
        <v>33.5</v>
      </c>
      <c r="H14" s="3" t="n">
        <v>34</v>
      </c>
      <c r="I14" s="3" t="n">
        <v>34</v>
      </c>
      <c r="J14" s="3" t="n">
        <v>34</v>
      </c>
      <c r="K14" s="3" t="n">
        <v>34</v>
      </c>
      <c r="L14" s="3" t="n">
        <v>34</v>
      </c>
    </row>
    <row r="15" customFormat="false" ht="15" hidden="false" customHeight="false" outlineLevel="0" collapsed="false">
      <c r="A15" s="0" t="s">
        <v>106</v>
      </c>
      <c r="C15" s="3" t="n">
        <v>0.12</v>
      </c>
      <c r="D15" s="3" t="n">
        <v>0.12</v>
      </c>
      <c r="E15" s="3" t="n">
        <v>0.12</v>
      </c>
      <c r="F15" s="3" t="n">
        <v>0.12</v>
      </c>
      <c r="G15" s="3" t="n">
        <v>0.12</v>
      </c>
      <c r="H15" s="3" t="n">
        <v>0.12</v>
      </c>
      <c r="I15" s="3" t="n">
        <v>0.12</v>
      </c>
      <c r="J15" s="3" t="n">
        <v>0.12</v>
      </c>
      <c r="K15" s="3" t="n">
        <v>0.12</v>
      </c>
      <c r="L15" s="3" t="n">
        <v>0.12</v>
      </c>
    </row>
    <row r="16" customFormat="false" ht="15" hidden="false" customHeight="false" outlineLevel="0" collapsed="false">
      <c r="A16" s="0" t="s">
        <v>107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108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109</v>
      </c>
      <c r="C18" s="3" t="n">
        <v>4.32</v>
      </c>
      <c r="D18" s="3" t="n">
        <v>1.47</v>
      </c>
      <c r="E18" s="3" t="n">
        <v>2.91</v>
      </c>
      <c r="F18" s="3" t="n">
        <v>4.32</v>
      </c>
      <c r="G18" s="3" t="n">
        <v>5.02</v>
      </c>
      <c r="H18" s="3" t="n">
        <v>5.02</v>
      </c>
      <c r="I18" s="3" t="n">
        <v>4.32</v>
      </c>
      <c r="J18" s="3" t="n">
        <v>4.32</v>
      </c>
      <c r="K18" s="3" t="n">
        <v>3.62</v>
      </c>
      <c r="L18" s="3" t="n">
        <v>3.62</v>
      </c>
    </row>
    <row r="19" customFormat="false" ht="15" hidden="false" customHeight="false" outlineLevel="0" collapsed="false">
      <c r="A19" s="0" t="s">
        <v>110</v>
      </c>
      <c r="C19" s="3" t="n">
        <v>24</v>
      </c>
      <c r="D19" s="3" t="n">
        <v>24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111</v>
      </c>
      <c r="B20" s="3" t="n">
        <v>9.5</v>
      </c>
    </row>
    <row r="21" customFormat="false" ht="15" hidden="false" customHeight="false" outlineLevel="0" collapsed="false">
      <c r="A21" s="0" t="s">
        <v>112</v>
      </c>
      <c r="B21" s="3" t="n">
        <v>2.5</v>
      </c>
    </row>
    <row r="22" customFormat="false" ht="15" hidden="false" customHeight="false" outlineLevel="0" collapsed="false">
      <c r="A22" s="0" t="s">
        <v>113</v>
      </c>
      <c r="B22" s="3" t="n">
        <v>12</v>
      </c>
    </row>
    <row r="23" customFormat="false" ht="15" hidden="false" customHeight="false" outlineLevel="0" collapsed="false">
      <c r="A23" s="0" t="s">
        <v>114</v>
      </c>
      <c r="B23" s="3" t="n">
        <v>0</v>
      </c>
    </row>
    <row r="24" customFormat="false" ht="15" hidden="false" customHeight="false" outlineLevel="0" collapsed="false">
      <c r="A24" s="0" t="s">
        <v>115</v>
      </c>
      <c r="B24" s="3" t="n">
        <v>0.2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7</v>
      </c>
      <c r="D27" s="3" t="n">
        <v>6</v>
      </c>
      <c r="E27" s="3" t="n">
        <v>5.5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105</v>
      </c>
      <c r="C28" s="3" t="n">
        <v>37.8</v>
      </c>
      <c r="D28" s="3" t="n">
        <v>37.6</v>
      </c>
      <c r="E28" s="3" t="n">
        <v>37.4</v>
      </c>
      <c r="F28" s="3" t="n">
        <v>37.2</v>
      </c>
      <c r="G28" s="3" t="n">
        <v>37</v>
      </c>
      <c r="H28" s="3" t="n">
        <v>37</v>
      </c>
      <c r="I28" s="3" t="n">
        <v>37</v>
      </c>
      <c r="J28" s="3" t="n">
        <v>37</v>
      </c>
      <c r="K28" s="3" t="n">
        <v>37</v>
      </c>
      <c r="L28" s="3" t="n">
        <v>37</v>
      </c>
    </row>
    <row r="29" customFormat="false" ht="15" hidden="false" customHeight="false" outlineLevel="0" collapsed="false">
      <c r="A29" s="0" t="s">
        <v>106</v>
      </c>
      <c r="C29" s="3" t="n">
        <v>0.12</v>
      </c>
      <c r="D29" s="3" t="n">
        <v>0.12</v>
      </c>
      <c r="E29" s="3" t="n">
        <v>0.12</v>
      </c>
      <c r="F29" s="3" t="n">
        <v>0.12</v>
      </c>
      <c r="G29" s="3" t="n">
        <v>0.12</v>
      </c>
      <c r="H29" s="3" t="n">
        <v>0.12</v>
      </c>
      <c r="I29" s="3" t="n">
        <v>0.12</v>
      </c>
      <c r="J29" s="3" t="n">
        <v>0.12</v>
      </c>
      <c r="K29" s="3" t="n">
        <v>0.12</v>
      </c>
      <c r="L29" s="3" t="n">
        <v>0.12</v>
      </c>
    </row>
    <row r="30" customFormat="false" ht="15" hidden="false" customHeight="false" outlineLevel="0" collapsed="false">
      <c r="A30" s="0" t="s">
        <v>107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108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109</v>
      </c>
      <c r="C32" s="3" t="n">
        <v>9.71</v>
      </c>
      <c r="D32" s="3" t="n">
        <v>8.4</v>
      </c>
      <c r="E32" s="3" t="n">
        <v>7.74</v>
      </c>
      <c r="F32" s="3" t="n">
        <v>7.07</v>
      </c>
      <c r="G32" s="3" t="n">
        <v>6.39</v>
      </c>
      <c r="H32" s="3" t="n">
        <v>5.71</v>
      </c>
      <c r="I32" s="3" t="n">
        <v>5.02</v>
      </c>
      <c r="J32" s="3" t="n">
        <v>5.02</v>
      </c>
      <c r="K32" s="3" t="n">
        <v>4.32</v>
      </c>
      <c r="L32" s="3" t="n">
        <v>4.32</v>
      </c>
    </row>
    <row r="33" customFormat="false" ht="15" hidden="false" customHeight="false" outlineLevel="0" collapsed="false">
      <c r="A33" s="0" t="s">
        <v>110</v>
      </c>
      <c r="C33" s="3" t="n">
        <v>23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111</v>
      </c>
      <c r="B34" s="3" t="n">
        <v>9.5</v>
      </c>
    </row>
    <row r="35" customFormat="false" ht="15" hidden="false" customHeight="false" outlineLevel="0" collapsed="false">
      <c r="A35" s="0" t="s">
        <v>112</v>
      </c>
      <c r="B35" s="3" t="n">
        <v>3</v>
      </c>
    </row>
    <row r="36" customFormat="false" ht="15" hidden="false" customHeight="false" outlineLevel="0" collapsed="false">
      <c r="A36" s="0" t="s">
        <v>113</v>
      </c>
      <c r="B36" s="3" t="n">
        <v>14</v>
      </c>
    </row>
    <row r="37" customFormat="false" ht="15" hidden="false" customHeight="false" outlineLevel="0" collapsed="false">
      <c r="A37" s="0" t="s">
        <v>114</v>
      </c>
      <c r="B37" s="3" t="n">
        <v>0</v>
      </c>
    </row>
    <row r="38" customFormat="false" ht="15" hidden="false" customHeight="false" outlineLevel="0" collapsed="false">
      <c r="A38" s="0" t="s">
        <v>115</v>
      </c>
      <c r="B38" s="3" t="n">
        <v>0.55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9</v>
      </c>
      <c r="D41" s="3" t="n">
        <v>8</v>
      </c>
      <c r="E41" s="3" t="n">
        <v>7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105</v>
      </c>
      <c r="C42" s="3" t="n">
        <v>38.5</v>
      </c>
      <c r="D42" s="3" t="n">
        <v>38.8</v>
      </c>
      <c r="E42" s="3" t="n">
        <v>39</v>
      </c>
      <c r="F42" s="3" t="n">
        <v>39.2</v>
      </c>
      <c r="G42" s="3" t="n">
        <v>39.4</v>
      </c>
      <c r="H42" s="3" t="n">
        <v>39.5</v>
      </c>
      <c r="I42" s="3" t="n">
        <v>39.5</v>
      </c>
      <c r="J42" s="3" t="n">
        <v>39.5</v>
      </c>
      <c r="K42" s="3" t="n">
        <v>39.5</v>
      </c>
      <c r="L42" s="3" t="n">
        <v>39.5</v>
      </c>
    </row>
    <row r="43" customFormat="false" ht="15" hidden="false" customHeight="false" outlineLevel="0" collapsed="false">
      <c r="A43" s="0" t="s">
        <v>106</v>
      </c>
      <c r="C43" s="3" t="n">
        <v>0.12</v>
      </c>
      <c r="D43" s="3" t="n">
        <v>0.12</v>
      </c>
      <c r="E43" s="3" t="n">
        <v>0.12</v>
      </c>
      <c r="F43" s="3" t="n">
        <v>0.12</v>
      </c>
      <c r="G43" s="3" t="n">
        <v>0.12</v>
      </c>
      <c r="H43" s="3" t="n">
        <v>0.12</v>
      </c>
      <c r="I43" s="3" t="n">
        <v>0.12</v>
      </c>
      <c r="J43" s="3" t="n">
        <v>0.12</v>
      </c>
      <c r="K43" s="3" t="n">
        <v>0.12</v>
      </c>
      <c r="L43" s="3" t="n">
        <v>0.12</v>
      </c>
    </row>
    <row r="44" customFormat="false" ht="15" hidden="false" customHeight="false" outlineLevel="0" collapsed="false">
      <c r="A44" s="0" t="s">
        <v>107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108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109</v>
      </c>
      <c r="C46" s="3" t="n">
        <v>12.25</v>
      </c>
      <c r="D46" s="3" t="n">
        <v>10.99</v>
      </c>
      <c r="E46" s="3" t="n">
        <v>9.71</v>
      </c>
      <c r="F46" s="3" t="n">
        <v>8.4</v>
      </c>
      <c r="G46" s="3" t="n">
        <v>7.74</v>
      </c>
      <c r="H46" s="3" t="n">
        <v>7.07</v>
      </c>
      <c r="I46" s="3" t="n">
        <v>6.39</v>
      </c>
      <c r="J46" s="3" t="n">
        <v>5.71</v>
      </c>
      <c r="K46" s="3" t="n">
        <v>5.02</v>
      </c>
      <c r="L46" s="3" t="n">
        <v>4.32</v>
      </c>
    </row>
    <row r="47" customFormat="false" ht="15" hidden="false" customHeight="false" outlineLevel="0" collapsed="false">
      <c r="A47" s="0" t="s">
        <v>110</v>
      </c>
      <c r="C47" s="3" t="n">
        <v>23</v>
      </c>
      <c r="D47" s="3" t="n">
        <v>23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111</v>
      </c>
      <c r="B48" s="3" t="n">
        <v>9.5</v>
      </c>
    </row>
    <row r="49" customFormat="false" ht="15" hidden="false" customHeight="false" outlineLevel="0" collapsed="false">
      <c r="A49" s="0" t="s">
        <v>112</v>
      </c>
      <c r="B49" s="3" t="n">
        <v>3</v>
      </c>
    </row>
    <row r="50" customFormat="false" ht="15" hidden="false" customHeight="false" outlineLevel="0" collapsed="false">
      <c r="A50" s="0" t="s">
        <v>113</v>
      </c>
      <c r="B50" s="3" t="n">
        <v>15</v>
      </c>
    </row>
    <row r="51" customFormat="false" ht="15" hidden="false" customHeight="false" outlineLevel="0" collapsed="false">
      <c r="A51" s="0" t="s">
        <v>114</v>
      </c>
      <c r="B51" s="3" t="n">
        <v>0</v>
      </c>
    </row>
    <row r="52" customFormat="false" ht="15" hidden="false" customHeight="false" outlineLevel="0" collapsed="false">
      <c r="A52" s="0" t="s">
        <v>115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89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3</v>
      </c>
      <c r="D5" s="4" t="n">
        <f aca="false">Assumptions!D13</f>
        <v>1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3.5</v>
      </c>
      <c r="H5" s="4" t="n">
        <f aca="false">Assumptions!H13</f>
        <v>3.5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32348</v>
      </c>
      <c r="C6" s="0" t="n">
        <f aca="false">B6*(1+C5/100)</f>
        <v>33318.44</v>
      </c>
      <c r="D6" s="0" t="n">
        <f aca="false">C6*(1+D5/100)</f>
        <v>33651.6244</v>
      </c>
      <c r="E6" s="0" t="n">
        <f aca="false">D6*(1+E5/100)</f>
        <v>34324.656888</v>
      </c>
      <c r="F6" s="0" t="n">
        <f aca="false">E6*(1+F5/100)</f>
        <v>35354.39659464</v>
      </c>
      <c r="G6" s="0" t="n">
        <f aca="false">F6*(1+G5/100)</f>
        <v>36591.8004754524</v>
      </c>
      <c r="H6" s="0" t="n">
        <f aca="false">G6*(1+H5/100)</f>
        <v>37872.5134920932</v>
      </c>
      <c r="I6" s="0" t="n">
        <f aca="false">H6*(1+I5/100)</f>
        <v>39008.688896856</v>
      </c>
      <c r="J6" s="0" t="n">
        <f aca="false">I6*(1+J5/100)</f>
        <v>40178.9495637617</v>
      </c>
      <c r="K6" s="0" t="n">
        <f aca="false">J6*(1+K5/100)</f>
        <v>41183.4233028558</v>
      </c>
      <c r="L6" s="0" t="n">
        <f aca="false">K6*(1+L5/100)</f>
        <v>42213.0088854271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35</v>
      </c>
      <c r="D7" s="4" t="n">
        <f aca="false">Assumptions!D14</f>
        <v>30.5</v>
      </c>
      <c r="E7" s="4" t="n">
        <f aca="false">Assumptions!E14</f>
        <v>31</v>
      </c>
      <c r="F7" s="4" t="n">
        <f aca="false">Assumptions!F14</f>
        <v>32.5</v>
      </c>
      <c r="G7" s="4" t="n">
        <f aca="false">Assumptions!G14</f>
        <v>33.5</v>
      </c>
      <c r="H7" s="4" t="n">
        <f aca="false">Assumptions!H14</f>
        <v>34</v>
      </c>
      <c r="I7" s="4" t="n">
        <f aca="false">Assumptions!I14</f>
        <v>34</v>
      </c>
      <c r="J7" s="4" t="n">
        <f aca="false">Assumptions!J14</f>
        <v>34</v>
      </c>
      <c r="K7" s="4" t="n">
        <f aca="false">Assumptions!K14</f>
        <v>34</v>
      </c>
      <c r="L7" s="4" t="n">
        <f aca="false">Assumptions!L14</f>
        <v>34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11661.454</v>
      </c>
      <c r="D8" s="0" t="n">
        <f aca="false">D6*D7/100</f>
        <v>10263.745442</v>
      </c>
      <c r="E8" s="0" t="n">
        <f aca="false">E6*E7/100</f>
        <v>10640.64363528</v>
      </c>
      <c r="F8" s="0" t="n">
        <f aca="false">F6*F7/100</f>
        <v>11490.178893258</v>
      </c>
      <c r="G8" s="0" t="n">
        <f aca="false">G6*G7/100</f>
        <v>12258.2531592766</v>
      </c>
      <c r="H8" s="0" t="n">
        <f aca="false">H6*H7/100</f>
        <v>12876.6545873117</v>
      </c>
      <c r="I8" s="0" t="n">
        <f aca="false">I6*I7/100</f>
        <v>13262.954224931</v>
      </c>
      <c r="J8" s="0" t="n">
        <f aca="false">J6*J7/100</f>
        <v>13660.842851679</v>
      </c>
      <c r="K8" s="0" t="n">
        <f aca="false">K6*K7/100</f>
        <v>14002.363922971</v>
      </c>
      <c r="L8" s="0" t="n">
        <f aca="false">L6*L7/100</f>
        <v>14352.4230210452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0.12</v>
      </c>
      <c r="D9" s="4" t="n">
        <f aca="false">Assumptions!D15</f>
        <v>0.12</v>
      </c>
      <c r="E9" s="4" t="n">
        <f aca="false">Assumptions!E15</f>
        <v>0.12</v>
      </c>
      <c r="F9" s="4" t="n">
        <f aca="false">Assumptions!F15</f>
        <v>0.12</v>
      </c>
      <c r="G9" s="4" t="n">
        <f aca="false">Assumptions!G15</f>
        <v>0.12</v>
      </c>
      <c r="H9" s="4" t="n">
        <f aca="false">Assumptions!H15</f>
        <v>0.12</v>
      </c>
      <c r="I9" s="4" t="n">
        <f aca="false">Assumptions!I15</f>
        <v>0.12</v>
      </c>
      <c r="J9" s="4" t="n">
        <f aca="false">Assumptions!J15</f>
        <v>0.12</v>
      </c>
      <c r="K9" s="4" t="n">
        <f aca="false">Assumptions!K15</f>
        <v>0.12</v>
      </c>
      <c r="L9" s="4" t="n">
        <f aca="false">Assumptions!L15</f>
        <v>0.12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-39.982128</v>
      </c>
      <c r="D10" s="0" t="n">
        <f aca="false">-D6*D9/100</f>
        <v>-40.38194928</v>
      </c>
      <c r="E10" s="0" t="n">
        <f aca="false">-E6*E9/100</f>
        <v>-41.1895882656</v>
      </c>
      <c r="F10" s="0" t="n">
        <f aca="false">-F6*F9/100</f>
        <v>-42.425275913568</v>
      </c>
      <c r="G10" s="0" t="n">
        <f aca="false">-G6*G9/100</f>
        <v>-43.9101605705429</v>
      </c>
      <c r="H10" s="0" t="n">
        <f aca="false">-H6*H9/100</f>
        <v>-45.4470161905119</v>
      </c>
      <c r="I10" s="0" t="n">
        <f aca="false">-I6*I9/100</f>
        <v>-46.8104266762272</v>
      </c>
      <c r="J10" s="0" t="n">
        <f aca="false">-J6*J9/100</f>
        <v>-48.2147394765141</v>
      </c>
      <c r="K10" s="0" t="n">
        <f aca="false">-K6*K9/100</f>
        <v>-49.4201079634269</v>
      </c>
      <c r="L10" s="0" t="n">
        <f aca="false">-L6*L9/100</f>
        <v>-50.6556106625126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11621.471872</v>
      </c>
      <c r="D11" s="0" t="n">
        <f aca="false">D8+D10+D24</f>
        <v>10223.36349272</v>
      </c>
      <c r="E11" s="0" t="n">
        <f aca="false">E8+E10+E24</f>
        <v>10599.4540470144</v>
      </c>
      <c r="F11" s="0" t="n">
        <f aca="false">F8+F10+F24</f>
        <v>11447.7536173444</v>
      </c>
      <c r="G11" s="0" t="n">
        <f aca="false">G8+G10+G24</f>
        <v>12214.342998706</v>
      </c>
      <c r="H11" s="0" t="n">
        <f aca="false">H8+H10+H24</f>
        <v>12831.2075711212</v>
      </c>
      <c r="I11" s="0" t="n">
        <f aca="false">I8+I10+I24</f>
        <v>13216.1437982548</v>
      </c>
      <c r="J11" s="0" t="n">
        <f aca="false">J8+J10+J24</f>
        <v>13612.6281122025</v>
      </c>
      <c r="K11" s="0" t="n">
        <f aca="false">K8+K10+K24</f>
        <v>13952.9438150075</v>
      </c>
      <c r="L11" s="0" t="n">
        <f aca="false">L8+L10+L24</f>
        <v>14301.7674103827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11621.471872</v>
      </c>
      <c r="D13" s="0" t="n">
        <f aca="false">D11+D12</f>
        <v>10223.36349272</v>
      </c>
      <c r="E13" s="0" t="n">
        <f aca="false">E11+E12</f>
        <v>10599.4540470144</v>
      </c>
      <c r="F13" s="0" t="n">
        <f aca="false">F11+F12</f>
        <v>11447.7536173444</v>
      </c>
      <c r="G13" s="0" t="n">
        <f aca="false">G11+G12</f>
        <v>12214.342998706</v>
      </c>
      <c r="H13" s="0" t="n">
        <f aca="false">H11+H12</f>
        <v>12831.2075711212</v>
      </c>
      <c r="I13" s="0" t="n">
        <f aca="false">I11+I12</f>
        <v>13216.1437982548</v>
      </c>
      <c r="J13" s="0" t="n">
        <f aca="false">J11+J12</f>
        <v>13612.6281122025</v>
      </c>
      <c r="K13" s="0" t="n">
        <f aca="false">K11+K12</f>
        <v>13952.9438150075</v>
      </c>
      <c r="L13" s="0" t="n">
        <f aca="false">L11+L12</f>
        <v>14301.7674103827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24</v>
      </c>
      <c r="D14" s="4" t="n">
        <f aca="false">Assumptions!D19</f>
        <v>24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8832.31862272</v>
      </c>
      <c r="D15" s="0" t="n">
        <f aca="false">D13-MAX(0,D13)*D14/100</f>
        <v>7769.7562544672</v>
      </c>
      <c r="E15" s="0" t="n">
        <f aca="false">E13-MAX(0,E13)*E14/100</f>
        <v>8055.58507573094</v>
      </c>
      <c r="F15" s="0" t="n">
        <f aca="false">F13-MAX(0,F13)*F14/100</f>
        <v>8700.29274918177</v>
      </c>
      <c r="G15" s="0" t="n">
        <f aca="false">G13-MAX(0,G13)*G14/100</f>
        <v>9282.90067901657</v>
      </c>
      <c r="H15" s="0" t="n">
        <f aca="false">H13-MAX(0,H13)*H14/100</f>
        <v>9751.7177540521</v>
      </c>
      <c r="I15" s="0" t="n">
        <f aca="false">I13-MAX(0,I13)*I14/100</f>
        <v>10044.2692866737</v>
      </c>
      <c r="J15" s="0" t="n">
        <f aca="false">J13-MAX(0,J13)*J14/100</f>
        <v>10345.5973652739</v>
      </c>
      <c r="K15" s="0" t="n">
        <f aca="false">K13-MAX(0,K13)*K14/100</f>
        <v>10604.2372994057</v>
      </c>
      <c r="L15" s="0" t="n">
        <f aca="false">L13-MAX(0,L13)*L14/100</f>
        <v>10869.3432318909</v>
      </c>
    </row>
    <row r="16" customFormat="false" ht="15" hidden="false" customHeight="false" outlineLevel="0" collapsed="false">
      <c r="A16" s="0" t="s">
        <v>126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-1439.356608</v>
      </c>
      <c r="D17" s="4" t="n">
        <f aca="false">-D6*Assumptions!D18/100</f>
        <v>-494.67887868</v>
      </c>
      <c r="E17" s="4" t="n">
        <f aca="false">-E6*Assumptions!E18/100</f>
        <v>-998.8475154408</v>
      </c>
      <c r="F17" s="4" t="n">
        <f aca="false">-F6*Assumptions!F18/100</f>
        <v>-1527.30993288845</v>
      </c>
      <c r="G17" s="4" t="n">
        <f aca="false">-G6*Assumptions!G18/100</f>
        <v>-1836.90838386771</v>
      </c>
      <c r="H17" s="4" t="n">
        <f aca="false">-H6*Assumptions!H18/100</f>
        <v>-1901.20017730308</v>
      </c>
      <c r="I17" s="4" t="n">
        <f aca="false">-I6*Assumptions!I18/100</f>
        <v>-1685.17536034418</v>
      </c>
      <c r="J17" s="4" t="n">
        <f aca="false">-J6*Assumptions!J18/100</f>
        <v>-1735.73062115451</v>
      </c>
      <c r="K17" s="4" t="n">
        <f aca="false">-K6*Assumptions!K18/100</f>
        <v>-1490.83992356338</v>
      </c>
      <c r="L17" s="4" t="n">
        <f aca="false">-L6*Assumptions!L18/100</f>
        <v>-1528.11092165246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7392.96201472</v>
      </c>
      <c r="D19" s="0" t="n">
        <f aca="false">D15+D16+D17+D18</f>
        <v>7275.0773757872</v>
      </c>
      <c r="E19" s="0" t="n">
        <f aca="false">E15+E16+E17+E18</f>
        <v>7056.73756029014</v>
      </c>
      <c r="F19" s="0" t="n">
        <f aca="false">F15+F16+F17+F18</f>
        <v>7172.98281629332</v>
      </c>
      <c r="G19" s="0" t="n">
        <f aca="false">G15+G16+G17+G18</f>
        <v>7445.99229514886</v>
      </c>
      <c r="H19" s="0" t="n">
        <f aca="false">H15+H16+H17+H18</f>
        <v>7850.51757674902</v>
      </c>
      <c r="I19" s="0" t="n">
        <f aca="false">I15+I16+I17+I18</f>
        <v>8359.09392632949</v>
      </c>
      <c r="J19" s="0" t="n">
        <f aca="false">J15+J16+J17+J18</f>
        <v>8609.86674411937</v>
      </c>
      <c r="K19" s="0" t="n">
        <f aca="false">K15+K16+K17+K18</f>
        <v>9113.39737584234</v>
      </c>
      <c r="L19" s="0" t="n">
        <f aca="false">L15+L16+L17+L18</f>
        <v>9341.2323102384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6751.56348376256</v>
      </c>
      <c r="D21" s="0" t="n">
        <f aca="false">D19*D20</f>
        <v>6067.49431895682</v>
      </c>
      <c r="E21" s="0" t="n">
        <f aca="false">E19*E20</f>
        <v>5374.7913408641</v>
      </c>
      <c r="F21" s="0" t="n">
        <f aca="false">F19*F20</f>
        <v>4989.3424546135</v>
      </c>
      <c r="G21" s="0" t="n">
        <f aca="false">G19*G20</f>
        <v>4729.90030135414</v>
      </c>
      <c r="H21" s="0" t="n">
        <f aca="false">H19*H20</f>
        <v>4554.21548085159</v>
      </c>
      <c r="I21" s="0" t="n">
        <f aca="false">I19*I20</f>
        <v>4428.53795266493</v>
      </c>
      <c r="J21" s="0" t="n">
        <f aca="false">J19*J20</f>
        <v>4165.65670433322</v>
      </c>
      <c r="K21" s="0" t="n">
        <f aca="false">K19*K20</f>
        <v>4026.73671794832</v>
      </c>
      <c r="L21" s="0" t="n">
        <f aca="false">L19*L20</f>
        <v>3769.31975881007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48857.5585141593</v>
      </c>
    </row>
    <row r="31" customFormat="false" ht="15" hidden="false" customHeight="false" outlineLevel="0" collapsed="false">
      <c r="A31" s="0" t="s">
        <v>135</v>
      </c>
      <c r="B31" s="0" t="n">
        <f aca="false">L19</f>
        <v>9341.2323102384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136782.330257062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112094.787722861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112094.787722861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45231.8371057209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94089.3956198801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95566.3956198801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73.2773138361305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-0.339962945089799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275.735415980444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299.303771125436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73.7182358433728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76598.1049439549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45.2656425040511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89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7</v>
      </c>
      <c r="D5" s="4" t="n">
        <f aca="false">Assumptions!D27</f>
        <v>6</v>
      </c>
      <c r="E5" s="4" t="n">
        <f aca="false">Assumptions!E27</f>
        <v>5.5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32348</v>
      </c>
      <c r="C6" s="0" t="n">
        <f aca="false">B6*(1+C5/100)</f>
        <v>34612.36</v>
      </c>
      <c r="D6" s="0" t="n">
        <f aca="false">C6*(1+D5/100)</f>
        <v>36689.1016</v>
      </c>
      <c r="E6" s="0" t="n">
        <f aca="false">D6*(1+E5/100)</f>
        <v>38707.002188</v>
      </c>
      <c r="F6" s="0" t="n">
        <f aca="false">E6*(1+F5/100)</f>
        <v>40642.3522974</v>
      </c>
      <c r="G6" s="0" t="n">
        <f aca="false">F6*(1+G5/100)</f>
        <v>42471.258150783</v>
      </c>
      <c r="H6" s="0" t="n">
        <f aca="false">G6*(1+H5/100)</f>
        <v>44170.1084768143</v>
      </c>
      <c r="I6" s="0" t="n">
        <f aca="false">H6*(1+I5/100)</f>
        <v>45716.0622735028</v>
      </c>
      <c r="J6" s="0" t="n">
        <f aca="false">I6*(1+J5/100)</f>
        <v>47316.1244530754</v>
      </c>
      <c r="K6" s="0" t="n">
        <f aca="false">J6*(1+K5/100)</f>
        <v>48735.6081866677</v>
      </c>
      <c r="L6" s="0" t="n">
        <f aca="false">K6*(1+L5/100)</f>
        <v>50197.6764322677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37.8</v>
      </c>
      <c r="D7" s="4" t="n">
        <f aca="false">Assumptions!D28</f>
        <v>37.6</v>
      </c>
      <c r="E7" s="4" t="n">
        <f aca="false">Assumptions!E28</f>
        <v>37.4</v>
      </c>
      <c r="F7" s="4" t="n">
        <f aca="false">Assumptions!F28</f>
        <v>37.2</v>
      </c>
      <c r="G7" s="4" t="n">
        <f aca="false">Assumptions!G28</f>
        <v>37</v>
      </c>
      <c r="H7" s="4" t="n">
        <f aca="false">Assumptions!H28</f>
        <v>37</v>
      </c>
      <c r="I7" s="4" t="n">
        <f aca="false">Assumptions!I28</f>
        <v>37</v>
      </c>
      <c r="J7" s="4" t="n">
        <f aca="false">Assumptions!J28</f>
        <v>37</v>
      </c>
      <c r="K7" s="4" t="n">
        <f aca="false">Assumptions!K28</f>
        <v>37</v>
      </c>
      <c r="L7" s="4" t="n">
        <f aca="false">Assumptions!L28</f>
        <v>37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13083.47208</v>
      </c>
      <c r="D8" s="0" t="n">
        <f aca="false">D6*D7/100</f>
        <v>13795.1022016</v>
      </c>
      <c r="E8" s="0" t="n">
        <f aca="false">E6*E7/100</f>
        <v>14476.418818312</v>
      </c>
      <c r="F8" s="0" t="n">
        <f aca="false">F6*F7/100</f>
        <v>15118.9550546328</v>
      </c>
      <c r="G8" s="0" t="n">
        <f aca="false">G6*G7/100</f>
        <v>15714.3655157897</v>
      </c>
      <c r="H8" s="0" t="n">
        <f aca="false">H6*H7/100</f>
        <v>16342.9401364213</v>
      </c>
      <c r="I8" s="0" t="n">
        <f aca="false">I6*I7/100</f>
        <v>16914.943041196</v>
      </c>
      <c r="J8" s="0" t="n">
        <f aca="false">J6*J7/100</f>
        <v>17506.9660476379</v>
      </c>
      <c r="K8" s="0" t="n">
        <f aca="false">K6*K7/100</f>
        <v>18032.175029067</v>
      </c>
      <c r="L8" s="0" t="n">
        <f aca="false">L6*L7/100</f>
        <v>18573.1402799391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0.12</v>
      </c>
      <c r="D9" s="4" t="n">
        <f aca="false">Assumptions!D29</f>
        <v>0.12</v>
      </c>
      <c r="E9" s="4" t="n">
        <f aca="false">Assumptions!E29</f>
        <v>0.12</v>
      </c>
      <c r="F9" s="4" t="n">
        <f aca="false">Assumptions!F29</f>
        <v>0.12</v>
      </c>
      <c r="G9" s="4" t="n">
        <f aca="false">Assumptions!G29</f>
        <v>0.12</v>
      </c>
      <c r="H9" s="4" t="n">
        <f aca="false">Assumptions!H29</f>
        <v>0.12</v>
      </c>
      <c r="I9" s="4" t="n">
        <f aca="false">Assumptions!I29</f>
        <v>0.12</v>
      </c>
      <c r="J9" s="4" t="n">
        <f aca="false">Assumptions!J29</f>
        <v>0.12</v>
      </c>
      <c r="K9" s="4" t="n">
        <f aca="false">Assumptions!K29</f>
        <v>0.12</v>
      </c>
      <c r="L9" s="4" t="n">
        <f aca="false">Assumptions!L29</f>
        <v>0.12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-41.534832</v>
      </c>
      <c r="D10" s="0" t="n">
        <f aca="false">-D6*D9/100</f>
        <v>-44.02692192</v>
      </c>
      <c r="E10" s="0" t="n">
        <f aca="false">-E6*E9/100</f>
        <v>-46.4484026256</v>
      </c>
      <c r="F10" s="0" t="n">
        <f aca="false">-F6*F9/100</f>
        <v>-48.77082275688</v>
      </c>
      <c r="G10" s="0" t="n">
        <f aca="false">-G6*G9/100</f>
        <v>-50.9655097809396</v>
      </c>
      <c r="H10" s="0" t="n">
        <f aca="false">-H6*H9/100</f>
        <v>-53.0041301721772</v>
      </c>
      <c r="I10" s="0" t="n">
        <f aca="false">-I6*I9/100</f>
        <v>-54.8592747282034</v>
      </c>
      <c r="J10" s="0" t="n">
        <f aca="false">-J6*J9/100</f>
        <v>-56.7793493436905</v>
      </c>
      <c r="K10" s="0" t="n">
        <f aca="false">-K6*K9/100</f>
        <v>-58.4827298240012</v>
      </c>
      <c r="L10" s="0" t="n">
        <f aca="false">-L6*L9/100</f>
        <v>-60.2372117187213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13041.937248</v>
      </c>
      <c r="D11" s="0" t="n">
        <f aca="false">D8+D10+D24</f>
        <v>13751.07527968</v>
      </c>
      <c r="E11" s="0" t="n">
        <f aca="false">E8+E10+E24</f>
        <v>14429.9704156864</v>
      </c>
      <c r="F11" s="0" t="n">
        <f aca="false">F8+F10+F24</f>
        <v>15070.1842318759</v>
      </c>
      <c r="G11" s="0" t="n">
        <f aca="false">G8+G10+G24</f>
        <v>15663.4000060088</v>
      </c>
      <c r="H11" s="0" t="n">
        <f aca="false">H8+H10+H24</f>
        <v>16289.9360062491</v>
      </c>
      <c r="I11" s="0" t="n">
        <f aca="false">I8+I10+I24</f>
        <v>16860.0837664678</v>
      </c>
      <c r="J11" s="0" t="n">
        <f aca="false">J8+J10+J24</f>
        <v>17450.1866982942</v>
      </c>
      <c r="K11" s="0" t="n">
        <f aca="false">K8+K10+K24</f>
        <v>17973.692299243</v>
      </c>
      <c r="L11" s="0" t="n">
        <f aca="false">L8+L10+L24</f>
        <v>18512.9030682203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13041.937248</v>
      </c>
      <c r="D13" s="0" t="n">
        <f aca="false">D11+D12</f>
        <v>13751.07527968</v>
      </c>
      <c r="E13" s="0" t="n">
        <f aca="false">E11+E12</f>
        <v>14429.9704156864</v>
      </c>
      <c r="F13" s="0" t="n">
        <f aca="false">F11+F12</f>
        <v>15070.1842318759</v>
      </c>
      <c r="G13" s="0" t="n">
        <f aca="false">G11+G12</f>
        <v>15663.4000060088</v>
      </c>
      <c r="H13" s="0" t="n">
        <f aca="false">H11+H12</f>
        <v>16289.9360062491</v>
      </c>
      <c r="I13" s="0" t="n">
        <f aca="false">I11+I12</f>
        <v>16860.0837664678</v>
      </c>
      <c r="J13" s="0" t="n">
        <f aca="false">J11+J12</f>
        <v>17450.1866982942</v>
      </c>
      <c r="K13" s="0" t="n">
        <f aca="false">K11+K12</f>
        <v>17973.692299243</v>
      </c>
      <c r="L13" s="0" t="n">
        <f aca="false">L11+L12</f>
        <v>18512.9030682203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23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10042.29168096</v>
      </c>
      <c r="D15" s="0" t="n">
        <f aca="false">D13-MAX(0,D13)*D14/100</f>
        <v>10588.3279653536</v>
      </c>
      <c r="E15" s="0" t="n">
        <f aca="false">E13-MAX(0,E13)*E14/100</f>
        <v>11111.0772200785</v>
      </c>
      <c r="F15" s="0" t="n">
        <f aca="false">F13-MAX(0,F13)*F14/100</f>
        <v>11604.0418585445</v>
      </c>
      <c r="G15" s="0" t="n">
        <f aca="false">G13-MAX(0,G13)*G14/100</f>
        <v>12060.8180046268</v>
      </c>
      <c r="H15" s="0" t="n">
        <f aca="false">H13-MAX(0,H13)*H14/100</f>
        <v>12543.2507248118</v>
      </c>
      <c r="I15" s="0" t="n">
        <f aca="false">I13-MAX(0,I13)*I14/100</f>
        <v>12982.2645001802</v>
      </c>
      <c r="J15" s="0" t="n">
        <f aca="false">J13-MAX(0,J13)*J14/100</f>
        <v>13436.6437576865</v>
      </c>
      <c r="K15" s="0" t="n">
        <f aca="false">K13-MAX(0,K13)*K14/100</f>
        <v>13839.7430704171</v>
      </c>
      <c r="L15" s="0" t="n">
        <f aca="false">L13-MAX(0,L13)*L14/100</f>
        <v>14254.9353625297</v>
      </c>
    </row>
    <row r="16" customFormat="false" ht="15" hidden="false" customHeight="false" outlineLevel="0" collapsed="false">
      <c r="A16" s="0" t="s">
        <v>126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-3360.860156</v>
      </c>
      <c r="D17" s="4" t="n">
        <f aca="false">-D6*Assumptions!D32/100</f>
        <v>-3081.8845344</v>
      </c>
      <c r="E17" s="4" t="n">
        <f aca="false">-E6*Assumptions!E32/100</f>
        <v>-2995.9219693512</v>
      </c>
      <c r="F17" s="4" t="n">
        <f aca="false">-F6*Assumptions!F32/100</f>
        <v>-2873.41430742618</v>
      </c>
      <c r="G17" s="4" t="n">
        <f aca="false">-G6*Assumptions!G32/100</f>
        <v>-2713.91339583503</v>
      </c>
      <c r="H17" s="4" t="n">
        <f aca="false">-H6*Assumptions!H32/100</f>
        <v>-2522.1131940261</v>
      </c>
      <c r="I17" s="4" t="n">
        <f aca="false">-I6*Assumptions!I32/100</f>
        <v>-2294.94632612984</v>
      </c>
      <c r="J17" s="4" t="n">
        <f aca="false">-J6*Assumptions!J32/100</f>
        <v>-2375.26944754439</v>
      </c>
      <c r="K17" s="4" t="n">
        <f aca="false">-K6*Assumptions!K32/100</f>
        <v>-2105.37827366404</v>
      </c>
      <c r="L17" s="4" t="n">
        <f aca="false">-L6*Assumptions!L32/100</f>
        <v>-2168.53962187397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6681.43152496</v>
      </c>
      <c r="D19" s="0" t="n">
        <f aca="false">D15+D16+D17+D18</f>
        <v>7506.4434309536</v>
      </c>
      <c r="E19" s="0" t="n">
        <f aca="false">E15+E16+E17+E18</f>
        <v>8115.15525072733</v>
      </c>
      <c r="F19" s="0" t="n">
        <f aca="false">F15+F16+F17+F18</f>
        <v>8730.62755111828</v>
      </c>
      <c r="G19" s="0" t="n">
        <f aca="false">G15+G16+G17+G18</f>
        <v>9346.90460879172</v>
      </c>
      <c r="H19" s="0" t="n">
        <f aca="false">H15+H16+H17+H18</f>
        <v>10021.1375307857</v>
      </c>
      <c r="I19" s="0" t="n">
        <f aca="false">I15+I16+I17+I18</f>
        <v>10687.3181740504</v>
      </c>
      <c r="J19" s="0" t="n">
        <f aca="false">J15+J16+J17+J18</f>
        <v>11061.3743101422</v>
      </c>
      <c r="K19" s="0" t="n">
        <f aca="false">K15+K16+K17+K18</f>
        <v>11734.3647967531</v>
      </c>
      <c r="L19" s="0" t="n">
        <f aca="false">L15+L16+L17+L18</f>
        <v>12086.3957406557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6101.76394973516</v>
      </c>
      <c r="D21" s="0" t="n">
        <f aca="false">D19*D20</f>
        <v>6260.45614641363</v>
      </c>
      <c r="E21" s="0" t="n">
        <f aca="false">E19*E20</f>
        <v>6180.93925113799</v>
      </c>
      <c r="F21" s="0" t="n">
        <f aca="false">F19*F20</f>
        <v>6072.80009053789</v>
      </c>
      <c r="G21" s="0" t="n">
        <f aca="false">G19*G20</f>
        <v>5937.41239225504</v>
      </c>
      <c r="H21" s="0" t="n">
        <f aca="false">H19*H20</f>
        <v>5813.42812525064</v>
      </c>
      <c r="I21" s="0" t="n">
        <f aca="false">I19*I20</f>
        <v>5662.00051861007</v>
      </c>
      <c r="J21" s="0" t="n">
        <f aca="false">J19*J20</f>
        <v>5351.75391485061</v>
      </c>
      <c r="K21" s="0" t="n">
        <f aca="false">K19*K20</f>
        <v>5184.80602131304</v>
      </c>
      <c r="L21" s="0" t="n">
        <f aca="false">L19*L20</f>
        <v>4877.03214790177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57442.3925580058</v>
      </c>
    </row>
    <row r="31" customFormat="false" ht="15" hidden="false" customHeight="false" outlineLevel="0" collapsed="false">
      <c r="A31" s="0" t="s">
        <v>135</v>
      </c>
      <c r="B31" s="0" t="n">
        <f aca="false">L19</f>
        <v>12086.3957406557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191522.886351929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169209.54036918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169209.54036918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68278.4500706247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125720.842628631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127197.842628631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97.5313149891149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-0.121497793288462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313.756861070822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385.165639739623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98.0672268345583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103741.563440628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55.1078600428461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89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9</v>
      </c>
      <c r="D5" s="4" t="n">
        <f aca="false">Assumptions!D41</f>
        <v>8</v>
      </c>
      <c r="E5" s="4" t="n">
        <f aca="false">Assumptions!E41</f>
        <v>7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32348</v>
      </c>
      <c r="C6" s="0" t="n">
        <f aca="false">B6*(1+C5/100)</f>
        <v>35259.32</v>
      </c>
      <c r="D6" s="0" t="n">
        <f aca="false">C6*(1+D5/100)</f>
        <v>38080.0656</v>
      </c>
      <c r="E6" s="0" t="n">
        <f aca="false">D6*(1+E5/100)</f>
        <v>40745.670192</v>
      </c>
      <c r="F6" s="0" t="n">
        <f aca="false">E6*(1+F5/100)</f>
        <v>43190.41040352</v>
      </c>
      <c r="G6" s="0" t="n">
        <f aca="false">F6*(1+G5/100)</f>
        <v>45565.8829757136</v>
      </c>
      <c r="H6" s="0" t="n">
        <f aca="false">G6*(1+H5/100)</f>
        <v>47844.1771244993</v>
      </c>
      <c r="I6" s="0" t="n">
        <f aca="false">H6*(1+I5/100)</f>
        <v>49997.1650951018</v>
      </c>
      <c r="J6" s="0" t="n">
        <f aca="false">I6*(1+J5/100)</f>
        <v>51997.0516989058</v>
      </c>
      <c r="K6" s="0" t="n">
        <f aca="false">J6*(1+K5/100)</f>
        <v>53816.9485083675</v>
      </c>
      <c r="L6" s="0" t="n">
        <f aca="false">K6*(1+L5/100)</f>
        <v>55431.4569636186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38.5</v>
      </c>
      <c r="D7" s="4" t="n">
        <f aca="false">Assumptions!D42</f>
        <v>38.8</v>
      </c>
      <c r="E7" s="4" t="n">
        <f aca="false">Assumptions!E42</f>
        <v>39</v>
      </c>
      <c r="F7" s="4" t="n">
        <f aca="false">Assumptions!F42</f>
        <v>39.2</v>
      </c>
      <c r="G7" s="4" t="n">
        <f aca="false">Assumptions!G42</f>
        <v>39.4</v>
      </c>
      <c r="H7" s="4" t="n">
        <f aca="false">Assumptions!H42</f>
        <v>39.5</v>
      </c>
      <c r="I7" s="4" t="n">
        <f aca="false">Assumptions!I42</f>
        <v>39.5</v>
      </c>
      <c r="J7" s="4" t="n">
        <f aca="false">Assumptions!J42</f>
        <v>39.5</v>
      </c>
      <c r="K7" s="4" t="n">
        <f aca="false">Assumptions!K42</f>
        <v>39.5</v>
      </c>
      <c r="L7" s="4" t="n">
        <f aca="false">Assumptions!L42</f>
        <v>39.5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13574.8382</v>
      </c>
      <c r="D8" s="0" t="n">
        <f aca="false">D6*D7/100</f>
        <v>14775.0654528</v>
      </c>
      <c r="E8" s="0" t="n">
        <f aca="false">E6*E7/100</f>
        <v>15890.81137488</v>
      </c>
      <c r="F8" s="0" t="n">
        <f aca="false">F6*F7/100</f>
        <v>16930.6408781798</v>
      </c>
      <c r="G8" s="0" t="n">
        <f aca="false">G6*G7/100</f>
        <v>17952.9578924312</v>
      </c>
      <c r="H8" s="0" t="n">
        <f aca="false">H6*H7/100</f>
        <v>18898.4499641772</v>
      </c>
      <c r="I8" s="0" t="n">
        <f aca="false">I6*I7/100</f>
        <v>19748.8802125652</v>
      </c>
      <c r="J8" s="0" t="n">
        <f aca="false">J6*J7/100</f>
        <v>20538.8354210678</v>
      </c>
      <c r="K8" s="0" t="n">
        <f aca="false">K6*K7/100</f>
        <v>21257.6946608052</v>
      </c>
      <c r="L8" s="0" t="n">
        <f aca="false">L6*L7/100</f>
        <v>21895.4255006293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0.12</v>
      </c>
      <c r="D9" s="4" t="n">
        <f aca="false">Assumptions!D43</f>
        <v>0.12</v>
      </c>
      <c r="E9" s="4" t="n">
        <f aca="false">Assumptions!E43</f>
        <v>0.12</v>
      </c>
      <c r="F9" s="4" t="n">
        <f aca="false">Assumptions!F43</f>
        <v>0.12</v>
      </c>
      <c r="G9" s="4" t="n">
        <f aca="false">Assumptions!G43</f>
        <v>0.12</v>
      </c>
      <c r="H9" s="4" t="n">
        <f aca="false">Assumptions!H43</f>
        <v>0.12</v>
      </c>
      <c r="I9" s="4" t="n">
        <f aca="false">Assumptions!I43</f>
        <v>0.12</v>
      </c>
      <c r="J9" s="4" t="n">
        <f aca="false">Assumptions!J43</f>
        <v>0.12</v>
      </c>
      <c r="K9" s="4" t="n">
        <f aca="false">Assumptions!K43</f>
        <v>0.12</v>
      </c>
      <c r="L9" s="4" t="n">
        <f aca="false">Assumptions!L43</f>
        <v>0.12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-42.311184</v>
      </c>
      <c r="D10" s="0" t="n">
        <f aca="false">-D6*D9/100</f>
        <v>-45.69607872</v>
      </c>
      <c r="E10" s="0" t="n">
        <f aca="false">-E6*E9/100</f>
        <v>-48.8948042304</v>
      </c>
      <c r="F10" s="0" t="n">
        <f aca="false">-F6*F9/100</f>
        <v>-51.828492484224</v>
      </c>
      <c r="G10" s="0" t="n">
        <f aca="false">-G6*G9/100</f>
        <v>-54.6790595708563</v>
      </c>
      <c r="H10" s="0" t="n">
        <f aca="false">-H6*H9/100</f>
        <v>-57.4130125493991</v>
      </c>
      <c r="I10" s="0" t="n">
        <f aca="false">-I6*I9/100</f>
        <v>-59.9965981141221</v>
      </c>
      <c r="J10" s="0" t="n">
        <f aca="false">-J6*J9/100</f>
        <v>-62.396462038687</v>
      </c>
      <c r="K10" s="0" t="n">
        <f aca="false">-K6*K9/100</f>
        <v>-64.580338210041</v>
      </c>
      <c r="L10" s="0" t="n">
        <f aca="false">-L6*L9/100</f>
        <v>-66.5177483563423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13532.527016</v>
      </c>
      <c r="D11" s="0" t="n">
        <f aca="false">D8+D10+D24</f>
        <v>14729.36937408</v>
      </c>
      <c r="E11" s="0" t="n">
        <f aca="false">E8+E10+E24</f>
        <v>15841.9165706496</v>
      </c>
      <c r="F11" s="0" t="n">
        <f aca="false">F8+F10+F24</f>
        <v>16878.8123856956</v>
      </c>
      <c r="G11" s="0" t="n">
        <f aca="false">G8+G10+G24</f>
        <v>17898.2788328603</v>
      </c>
      <c r="H11" s="0" t="n">
        <f aca="false">H8+H10+H24</f>
        <v>18841.0369516278</v>
      </c>
      <c r="I11" s="0" t="n">
        <f aca="false">I8+I10+I24</f>
        <v>19688.8836144511</v>
      </c>
      <c r="J11" s="0" t="n">
        <f aca="false">J8+J10+J24</f>
        <v>20476.4389590291</v>
      </c>
      <c r="K11" s="0" t="n">
        <f aca="false">K8+K10+K24</f>
        <v>21193.1143225951</v>
      </c>
      <c r="L11" s="0" t="n">
        <f aca="false">L8+L10+L24</f>
        <v>21828.907752273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13532.527016</v>
      </c>
      <c r="D13" s="0" t="n">
        <f aca="false">D11+D12</f>
        <v>14729.36937408</v>
      </c>
      <c r="E13" s="0" t="n">
        <f aca="false">E11+E12</f>
        <v>15841.9165706496</v>
      </c>
      <c r="F13" s="0" t="n">
        <f aca="false">F11+F12</f>
        <v>16878.8123856956</v>
      </c>
      <c r="G13" s="0" t="n">
        <f aca="false">G11+G12</f>
        <v>17898.2788328603</v>
      </c>
      <c r="H13" s="0" t="n">
        <f aca="false">H11+H12</f>
        <v>18841.0369516278</v>
      </c>
      <c r="I13" s="0" t="n">
        <f aca="false">I11+I12</f>
        <v>19688.8836144511</v>
      </c>
      <c r="J13" s="0" t="n">
        <f aca="false">J11+J12</f>
        <v>20476.4389590291</v>
      </c>
      <c r="K13" s="0" t="n">
        <f aca="false">K11+K12</f>
        <v>21193.1143225951</v>
      </c>
      <c r="L13" s="0" t="n">
        <f aca="false">L11+L12</f>
        <v>21828.907752273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23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10420.04580232</v>
      </c>
      <c r="D15" s="0" t="n">
        <f aca="false">D13-MAX(0,D13)*D14/100</f>
        <v>11341.6144180416</v>
      </c>
      <c r="E15" s="0" t="n">
        <f aca="false">E13-MAX(0,E13)*E14/100</f>
        <v>12198.2757594002</v>
      </c>
      <c r="F15" s="0" t="n">
        <f aca="false">F13-MAX(0,F13)*F14/100</f>
        <v>12996.6855369856</v>
      </c>
      <c r="G15" s="0" t="n">
        <f aca="false">G13-MAX(0,G13)*G14/100</f>
        <v>13781.6747013024</v>
      </c>
      <c r="H15" s="0" t="n">
        <f aca="false">H13-MAX(0,H13)*H14/100</f>
        <v>14507.5984527534</v>
      </c>
      <c r="I15" s="0" t="n">
        <f aca="false">I13-MAX(0,I13)*I14/100</f>
        <v>15160.4403831273</v>
      </c>
      <c r="J15" s="0" t="n">
        <f aca="false">J13-MAX(0,J13)*J14/100</f>
        <v>15766.8579984524</v>
      </c>
      <c r="K15" s="0" t="n">
        <f aca="false">K13-MAX(0,K13)*K14/100</f>
        <v>16318.6980283982</v>
      </c>
      <c r="L15" s="0" t="n">
        <f aca="false">L13-MAX(0,L13)*L14/100</f>
        <v>16808.2589692502</v>
      </c>
    </row>
    <row r="16" customFormat="false" ht="15" hidden="false" customHeight="false" outlineLevel="0" collapsed="false">
      <c r="A16" s="0" t="s">
        <v>126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-4319.2667</v>
      </c>
      <c r="D17" s="4" t="n">
        <f aca="false">-D6*Assumptions!D46/100</f>
        <v>-4184.99920944</v>
      </c>
      <c r="E17" s="4" t="n">
        <f aca="false">-E6*Assumptions!E46/100</f>
        <v>-3956.4045756432</v>
      </c>
      <c r="F17" s="4" t="n">
        <f aca="false">-F6*Assumptions!F46/100</f>
        <v>-3627.99447389568</v>
      </c>
      <c r="G17" s="4" t="n">
        <f aca="false">-G6*Assumptions!G46/100</f>
        <v>-3526.79934232023</v>
      </c>
      <c r="H17" s="4" t="n">
        <f aca="false">-H6*Assumptions!H46/100</f>
        <v>-3382.5833227021</v>
      </c>
      <c r="I17" s="4" t="n">
        <f aca="false">-I6*Assumptions!I46/100</f>
        <v>-3194.818849577</v>
      </c>
      <c r="J17" s="4" t="n">
        <f aca="false">-J6*Assumptions!J46/100</f>
        <v>-2969.03165200752</v>
      </c>
      <c r="K17" s="4" t="n">
        <f aca="false">-K6*Assumptions!K46/100</f>
        <v>-2701.61081512005</v>
      </c>
      <c r="L17" s="4" t="n">
        <f aca="false">-L6*Assumptions!L46/100</f>
        <v>-2394.63894082832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6100.77910232</v>
      </c>
      <c r="D19" s="0" t="n">
        <f aca="false">D15+D16+D17+D18</f>
        <v>7156.6152086016</v>
      </c>
      <c r="E19" s="0" t="n">
        <f aca="false">E15+E16+E17+E18</f>
        <v>8241.87118375699</v>
      </c>
      <c r="F19" s="0" t="n">
        <f aca="false">F15+F16+F17+F18</f>
        <v>9368.69106308995</v>
      </c>
      <c r="G19" s="0" t="n">
        <f aca="false">G15+G16+G17+G18</f>
        <v>10254.8753589822</v>
      </c>
      <c r="H19" s="0" t="n">
        <f aca="false">H15+H16+H17+H18</f>
        <v>11125.0151300513</v>
      </c>
      <c r="I19" s="0" t="n">
        <f aca="false">I15+I16+I17+I18</f>
        <v>11965.6215335503</v>
      </c>
      <c r="J19" s="0" t="n">
        <f aca="false">J15+J16+J17+J18</f>
        <v>12797.8263464449</v>
      </c>
      <c r="K19" s="0" t="n">
        <f aca="false">K15+K16+K17+K18</f>
        <v>13617.0872132782</v>
      </c>
      <c r="L19" s="0" t="n">
        <f aca="false">L15+L16+L17+L18</f>
        <v>14413.6200284219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5571.4877646758</v>
      </c>
      <c r="D21" s="0" t="n">
        <f aca="false">D19*D20</f>
        <v>5968.69557232051</v>
      </c>
      <c r="E21" s="0" t="n">
        <f aca="false">E19*E20</f>
        <v>6277.4529295593</v>
      </c>
      <c r="F21" s="0" t="n">
        <f aca="false">F19*F20</f>
        <v>6516.62066707527</v>
      </c>
      <c r="G21" s="0" t="n">
        <f aca="false">G19*G20</f>
        <v>6514.18053204276</v>
      </c>
      <c r="H21" s="0" t="n">
        <f aca="false">H19*H20</f>
        <v>6453.80583313962</v>
      </c>
      <c r="I21" s="0" t="n">
        <f aca="false">I19*I20</f>
        <v>6339.22881541547</v>
      </c>
      <c r="J21" s="0" t="n">
        <f aca="false">J19*J20</f>
        <v>6191.89038638406</v>
      </c>
      <c r="K21" s="0" t="n">
        <f aca="false">K19*K20</f>
        <v>6016.68322052552</v>
      </c>
      <c r="L21" s="0" t="n">
        <f aca="false">L19*L20</f>
        <v>5816.10016374002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61666.1458848783</v>
      </c>
    </row>
    <row r="31" customFormat="false" ht="15" hidden="false" customHeight="false" outlineLevel="0" collapsed="false">
      <c r="A31" s="0" t="s">
        <v>135</v>
      </c>
      <c r="B31" s="0" t="n">
        <f aca="false">L19</f>
        <v>14413.6200284219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228400.440450377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216204.300426328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216204.300426328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87241.5024561004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148907.648340979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150384.648340979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115.310230140412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0.0386437591462059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335.432596350616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425.324319780014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115.893554675513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123716.905243954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61.0147442690019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73.2773138361305</v>
      </c>
      <c r="C4" s="0" t="n">
        <f aca="false">B4/Assumptions!$B$2-1</f>
        <v>-0.339962945089799</v>
      </c>
      <c r="D4" s="4" t="n">
        <f aca="false">Assumptions!$B$24</f>
        <v>0.2</v>
      </c>
      <c r="E4" s="4" t="n">
        <f aca="false">DCF_Bear!$B$43</f>
        <v>73.7182358433728</v>
      </c>
      <c r="F4" s="4" t="n">
        <f aca="false">DCF_Bear!$B$47</f>
        <v>45.2656425040511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97.5313149891149</v>
      </c>
      <c r="C5" s="0" t="n">
        <f aca="false">B5/Assumptions!$B$2-1</f>
        <v>-0.121497793288462</v>
      </c>
      <c r="D5" s="4" t="n">
        <f aca="false">Assumptions!$B$38</f>
        <v>0.55</v>
      </c>
      <c r="E5" s="4" t="n">
        <f aca="false">DCF_Base!$B$43</f>
        <v>98.0672268345583</v>
      </c>
      <c r="F5" s="4" t="n">
        <f aca="false">DCF_Base!$B$47</f>
        <v>55.1078600428461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115.310230140412</v>
      </c>
      <c r="C6" s="0" t="n">
        <f aca="false">B6/Assumptions!$B$2-1</f>
        <v>0.0386437591462059</v>
      </c>
      <c r="D6" s="4" t="n">
        <f aca="false">Assumptions!$B$52</f>
        <v>0.25</v>
      </c>
      <c r="E6" s="4" t="n">
        <f aca="false">DCF_Bull!$B$43</f>
        <v>115.893554675513</v>
      </c>
      <c r="F6" s="4" t="n">
        <f aca="false">DCF_Bull!$B$47</f>
        <v>61.0147442690019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97.1252435463423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97.65401059656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-0.143060196776011</v>
      </c>
    </row>
    <row r="11" customFormat="false" ht="15" hidden="false" customHeight="false" outlineLevel="0" collapsed="false">
      <c r="A11" s="0" t="s">
        <v>162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54.6161375916261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101.066343287533</v>
      </c>
      <c r="C15" s="3" t="n">
        <v>9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97.5313149891149</v>
      </c>
      <c r="C16" s="3" t="n">
        <v>9.5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94.1543420955568</v>
      </c>
      <c r="C17" s="3" t="n">
        <v>10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84.1711225230811</v>
      </c>
      <c r="C18" s="3" t="n">
        <v>11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74.4478482817546</v>
      </c>
      <c r="C19" s="3" t="n">
        <v>12</v>
      </c>
    </row>
    <row r="20" customFormat="false" ht="15" hidden="false" customHeight="false" outlineLevel="0" collapsed="false">
      <c r="A20" s="0" t="s">
        <v>171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55.1078600428461</v>
      </c>
      <c r="C20" s="3" t="n">
        <v>15</v>
      </c>
    </row>
    <row r="22" customFormat="false" ht="15" hidden="false" customHeight="false" outlineLevel="0" collapsed="false">
      <c r="A22" s="2" t="s">
        <v>172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112.707183358844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112.707183358844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112.707183358844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112.707183358844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112.707183358844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104.767913140002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104.767913140002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104.767913140002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104.767913140002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104.767913140002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96.0354928940254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97.5313149891149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97.5313149891149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97.5313149891149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97.5313149891149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84.0982364937411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86.8725895916994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90.0168564360522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90.9274133502539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90.9274133502539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74.7114375203861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76.7460946172392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79.0201231372514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81.5784052222651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84.4777915852807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2026-10-03T21:37:04Z</dcterms:created>
  <dc:creator>openpyxl</dc:creator>
  <dc:description/>
  <dc:language>en-NZ</dc:language>
  <cp:lastModifiedBy/>
  <dcterms:modified xsi:type="dcterms:W3CDTF">2026-10-03T21:37:04Z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