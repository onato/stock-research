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<sst xmlns="http://schemas.openxmlformats.org/spreadsheetml/2006/main" count="354" uniqueCount="169">
  <si>
    <t xml:space="preserve">Ticker</t>
  </si>
  <si>
    <t xml:space="preserve">TD</t>
  </si>
  <si>
    <t xml:space="preserve">Company</t>
  </si>
  <si>
    <t xml:space="preserve">The Toronto-Dominion Bank</t>
  </si>
  <si>
    <t xml:space="preserve">Valuation date</t>
  </si>
  <si>
    <t xml:space="preserve">2026-10-04</t>
  </si>
  <si>
    <t xml:space="preserve">Current price</t>
  </si>
  <si>
    <t xml:space="preserve">Price as of</t>
  </si>
  <si>
    <t xml:space="preserve">2026-10-02T20:00:02Z regular close (Yahoo Finance chart API, NYSE TD)</t>
  </si>
  <si>
    <t xml:space="preserve">Balance sheet date</t>
  </si>
  <si>
    <t xml:space="preserve">2026-07-31</t>
  </si>
  <si>
    <t xml:space="preserve">Model</t>
  </si>
  <si>
    <t xml:space="preserve">Bank FCFE at cost of equity (engine route), net_debt = 0</t>
  </si>
  <si>
    <t xml:space="preserve">Currency (model)</t>
  </si>
  <si>
    <t xml:space="preserve">CAD</t>
  </si>
  <si>
    <t xml:space="preserve">Currency (quote)</t>
  </si>
  <si>
    <t xml:space="preserve">USD</t>
  </si>
  <si>
    <t xml:space="preserve">Units</t>
  </si>
  <si>
    <t xml:space="preserve">millions</t>
  </si>
  <si>
    <t xml:space="preserve">Engine</t>
  </si>
  <si>
    <t xml:space="preserve">dcf_engine v1</t>
  </si>
  <si>
    <t xml:space="preserve">Built at</t>
  </si>
  <si>
    <t xml:space="preserve">2026-10-04T08:58:34Z</t>
  </si>
  <si>
    <t xml:space="preserve">Drivers file</t>
  </si>
  <si>
    <t xml:space="preserve">TD_Drivers.json</t>
  </si>
  <si>
    <t xml:space="preserve">Convention</t>
  </si>
  <si>
    <t xml:space="preserve">Percents stored as percents; formulas divide by 100. Blue = input, green = link, black = formula.</t>
  </si>
  <si>
    <t xml:space="preserve">Methodology</t>
  </si>
  <si>
    <t xml:space="preserve">summary: A bank is valued on what common shareholders can take out: adjusted net income to common less the earnings that must be retained to hold CET1 at ~13% as the balance sheet grows, discounted at the CAD cost of equity. Deposits and wholesale funding are operating funding, so there is no net-debt deduction; preferred/AT1 distributions are removed inside the flow. The base is TTM ADJUSTED earnings to 2026-07-31, which excludes the one-time C$8.6B Schwab gain and the balance-sheet-restructuring losses but keeps the ~US$550M/yr AML remediation spend and the asset-cap NII drag as real costs of doing business until they roll off. Flows and the bridge are in CAD; the per-share result is converted to USD at 0.7019 for comparison with the NYSE quote.
key_risks_to_valuation: Remediation timeline: the SAR lookback and monitor/regulator validation decide when the asset cap lifts; the base case assumes remediation spend fades after calendar 2027 but does NOT assume the cap lifts inside the horizon. An extension costs margin (bear), a clean 2028 lift adds US growth (bull).; Credit cycle: PCL is 6.0% of revenue at 0.40% of loans, at the low end of the 40-50bp guidance; a 0.80% year takes ~C$4B pre-tax out of one year's earnings and the model assumes it does not recur.; Fee-cycle peak: Wholesale Banking (+25% revenue YoY, +87% net income) and Wealth (AUM +23%) made FY2026 a record; a reversal hits year-1 growth and margin directly.; Adjusted vs reported: the model uses adjusted earnings; restructuring (C$686M FY25, C$200M 9M-FY26) and the FHN hedge unwind (C$205M/yr) are excluded as items of note but have recurred for three years. If restructuring is a permanent feature the margin path is ~0.3pt too high.; Capital run-rate: retention is set for 13.0% CET1 and the ~130bp surplus (~US$3.6/share) is not credited; if OSFI, the OCC or the DOJ plea agreement pin more capital inside the group, FCFE falls one-for-one and the surplus never reaches shareholders.; FX: the CAD-&gt;USD conversion at 0.7019 moves the USD value one-for-one; ~40% of earnings are USD-denominated, which partly hedges the translation.; Terminal value carries most of the value; the 13x FCFE cap (vs a 15.3x Gordon multiple at 9.75%/3%) and 3% CAD nominal terminal growth drive it.</t>
  </si>
  <si>
    <t xml:space="preserve">Data sources</t>
  </si>
  <si>
    <t xml:space="preserve">price: Yahoo Finance chart API at inputs.price_as_of (NYSE TD, USD); TSX TD.TO and CADUSD=X fetched for the parity check; 52-week range 77.95-125.47 USD
financials: TD Q3-2026 Report to Shareholders (Aug 27, 2026; Table 1 highlights, shares, CET1 14.3%, RWA 653.4B; Table 2/3 reported and adjusted results incl. NI to common adjusted and items of note; Table 6 average common equity 113,810; Note 12 share capital 1,638,511 thousand common shares, preferred and other equity 12,829; Note 13 stock-option expense; cash flow statement buybacks C$2,394M quarter / C$7,445M 9M; AML remediation update and US$550M guidance); FY2025 Annual Report MD&amp;A (Table 1 and Table 3 adjusted results, BVPS 68.78, adjusted ETR 21.3%, Q4-25 adjusted NIE 8,540 and NI 3,905) and Financial Statements (Note 21 stock-option expense C$22.9M; cash flow buybacks 6,206 and dividends 7,663); FY2021/FY2022 Annual MD&amp;A for FY2020/FY2022 adjusted EPS, adjusted NI to common, adjusted revenue and BVPS; TD_Metrics.csv / TD.duckdb kpis for revenue, NI, EPS, dividends, PreferredEquity and TotalCommonEquity history.
qualitative: TD_Analysis.json (2026-10-04): Oct-2024 Global Resolution (US$3.09B penalties, guilty pleas, US$434B asset cap, monitorship), Feb-2025 Schwab exit (C$21.0B proceeds, C$8.6B net gain, +238bp CET1), US balance-sheet restructuring (US$382B vs cap), Sept-2025 Investor Day targets (FY26 ~13% ROE / 6-8% EPS growth; FY29 ~16% ROE / 7-10% EPS growth, mid-50s efficiency, 40-50% payout), C$10B NCIB announced 2026-09-30, CUSMA/tariff and FINTRAC risk framing.</t>
  </si>
  <si>
    <t xml:space="preserve">Scenario narrative: bear</t>
  </si>
  <si>
    <t xml:space="preserve">The remediation timeline extends beyond 2027 after additional findings widen the lookback; the asset cap persists into 2029 or later, the OCC imposes the further 7% US asset reduction, and remediation/monitorship costs stay elevated so the efficiency target slips. On top of that the CUSMA review fails or broad US tariffs return and Canada enters recession in FY2028 with PCL at ~0.80% of loans and revenue down 2%. No solvency or funding case (CET1 14.3%, TLAC 31.1%), but earnings power resets to a ~30% pre-tax margin and the market re-rates TD from 17x adjusted earnings back to a discounted Big Six multiple (10x FCFE).</t>
  </si>
  <si>
    <t xml:space="preserve">Scenario narrative: base</t>
  </si>
  <si>
    <t xml:space="preserve">TD executes the September-2025 Investor Day plan roughly on schedule: the Canadian P&amp;C and Wealth franchises compound at mid-single digits, Wholesale (TD Securities/TD Cowen) normalises from a record year, US Banking grows modestly inside the US$434B cap and lifts its ROE from ~10% as the balance-sheet restructuring drag annualises away, the C$825M restructuring programme and the fading of US$550M/yr remediation spend after the calendar-2027 lookback take efficiency to the mid-50s by FY2029, and PCL settles at ~0.45% of loans. Revenue growth 5% fading to 3%, adjusted ROE ~15% rising to ~16-17%, CET1 run at ~13% with the surplus returned through the C$10B NCIB and a dividend at a 40-50% payout. The asset cap is NOT assumed to lift inside the explicit horizon; its lift is upside to this case.</t>
  </si>
  <si>
    <t xml:space="preserve">Scenario narrative: bull</t>
  </si>
  <si>
    <t xml:space="preserve">The remediation lands cleanly: the SAR lookback completes in 2027, the monitor and the OCC validate the programme and the asset cap lifts in 2028, releasing ~US$52B of headroom plus uncapped growth in a Maine-to-Florida franchise that has been shrinking for three years. Remediation spend (~C$750M/yr) falls away, AI/branch-format productivity takes efficiency to ~52-53%, credit stays benign at ~0.38%, and TD closes the ROE gap to RY (19-20%). Revenue 7% fading to 3.5%; terminal multiple 14x FCFE.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</si>
  <si>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</si>
  <si>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</si>
  <si>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</si>
  <si>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</si>
  <si>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</si>
  <si>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</si>
  <si>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</si>
  <si>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</si>
  <si>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</si>
  <si>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</si>
  <si>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</si>
  <si>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</si>
  <si>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</si>
  <si>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</si>
  <si>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</si>
  <si>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</si>
  <si>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</si>
  <si>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</si>
  <si>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</si>
  <si>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</si>
  <si>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</si>
  <si>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</si>
  <si>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</si>
  <si>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</si>
  <si>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</si>
  <si>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</si>
  <si>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</si>
  <si>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NetInterestIncome</t>
  </si>
  <si>
    <t xml:space="preserve">AdjustedEPS</t>
  </si>
  <si>
    <t xml:space="preserve">AdjustedNetIncome</t>
  </si>
  <si>
    <t xml:space="preserve">BookValuePerShare</t>
  </si>
  <si>
    <t xml:space="preserve">NetProfitAttributable</t>
  </si>
  <si>
    <t xml:space="preserve">TotalCommonEquity</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</si>
  <si>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</si>
  <si>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</si>
  <si>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</si>
  <si>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</si>
  <si>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</si>
  <si>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</si>
  <si>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</si>
  <si>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</si>
  <si>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</si>
  <si>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</si>
  <si>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</si>
  <si>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</si>
  <si>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</si>
  <si>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</si>
  <si>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</si>
  <si>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TTM to 2026-07-31 (adjusted basis)</t>
  </si>
  <si>
    <t xml:space="preserve">Currency / units</t>
  </si>
  <si>
    <t xml:space="preserve">CAD millions</t>
  </si>
  <si>
    <t xml:space="preserve">FX rate (model -&gt; quote)</t>
  </si>
  <si>
    <t xml:space="preserve">BEAR</t>
  </si>
  <si>
    <t xml:space="preserve">TTM to 2027</t>
  </si>
  <si>
    <t xml:space="preserve">TTM to 2028</t>
  </si>
  <si>
    <t xml:space="preserve">TTM to 2029</t>
  </si>
  <si>
    <t xml:space="preserve">TTM to 2030</t>
  </si>
  <si>
    <t xml:space="preserve">TTM to 2031</t>
  </si>
  <si>
    <t xml:space="preserve">TTM to 2032</t>
  </si>
  <si>
    <t xml:space="preserve">TTM to 2033</t>
  </si>
  <si>
    <t xml:space="preserve">TTM to 2034</t>
  </si>
  <si>
    <t xml:space="preserve">TTM to 2035</t>
  </si>
  <si>
    <t xml:space="preserve">TTM to 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</si>
  <si>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</si>
  <si>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</si>
  <si>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</si>
  <si>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</si>
  <si>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</si>
  <si>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</si>
  <si>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</si>
  <si>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</si>
  <si>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</si>
  <si>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</si>
  <si>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</si>
  <si>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</si>
  <si>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</si>
  <si>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</si>
  <si>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TD owner-FCF component DCF: bear case (millions, CAD)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</si>
  <si>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</si>
  <si>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</si>
  <si>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</si>
  <si>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</si>
  <si>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</si>
  <si>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</si>
  <si>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</si>
  <si>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</si>
  <si>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</si>
  <si>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</si>
  <si>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</si>
  <si>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</si>
  <si>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</si>
  <si>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</si>
  <si>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</si>
  <si>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</si>
  <si>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</si>
  <si>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</si>
  <si>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</si>
  <si>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</si>
  <si>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</si>
  <si>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</si>
  <si>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</si>
  <si>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</si>
  <si>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</si>
  <si>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</si>
  <si>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</si>
  <si>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</si>
  <si>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</si>
  <si>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</si>
  <si>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TD owner-FCF component DCF: base case (millions, CAD)</t>
  </si>
  <si>
    <t xml:space="preserve">TD owner-FCF component DCF: bull case (millions, CAD)</t>
  </si>
  <si>
    <t xml:space="preserve">TD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</si>
  <si>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</si>
  <si>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</si>
  <si>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</si>
  <si>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</si>
  <si>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</si>
  <si>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</si>
  <si>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</si>
  <si>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</si>
  <si>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</si>
  <si>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</si>
  <si>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</si>
  <si>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</si>
  <si>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</si>
  <si>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</si>
  <si>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</si>
  <si>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9.75%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</si>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</sst>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117.88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row>
    <row r="2" customFormat="false" ht="15" hidden="false" customHeight="false" outlineLevel="0" collapsed="false">
      <c r="A2" s="0" t="s">
        <v>70</v>
      </c>
      <c r="B2" s="0" t="n">
        <v>43646</v>
      </c>
      <c r="I2" s="0" t="n">
        <v>11895</v>
      </c>
      <c r="J2" s="0" t="n">
        <v>27.3</v>
      </c>
      <c r="K2" s="0" t="n">
        <v>6.43</v>
      </c>
      <c r="L2" s="0" t="n">
        <v>229607</v>
      </c>
      <c r="O2" s="0" t="n">
        <v>95499</v>
      </c>
      <c r="P2" s="0" t="n">
        <v>1715865</v>
      </c>
      <c r="Q2" s="0" t="n">
        <v>1620366</v>
      </c>
      <c r="R2" s="0" t="n">
        <v>11477</v>
      </c>
      <c r="S2" s="0" t="n">
        <v>6445</v>
      </c>
      <c r="T2" s="0" t="n">
        <v>1808.8</v>
      </c>
      <c r="U2" s="0" t="n">
        <v>511.2</v>
      </c>
      <c r="V2" s="0" t="n">
        <v>3.11</v>
      </c>
      <c r="AA2" s="0" t="s">
        <v>18</v>
      </c>
      <c r="AB2" s="0" t="s">
        <v>14</v>
      </c>
      <c r="AC2" s="0" t="n">
        <v>24497</v>
      </c>
      <c r="AG2" s="0" t="n">
        <v>11628</v>
      </c>
      <c r="AH2" s="0" t="n">
        <v>89849</v>
      </c>
    </row>
    <row r="3" customFormat="false" ht="15" hidden="false" customHeight="false" outlineLevel="0" collapsed="false">
      <c r="A3" s="0" t="s">
        <v>71</v>
      </c>
      <c r="B3" s="0" t="n">
        <v>42693</v>
      </c>
      <c r="I3" s="0" t="n">
        <v>14298</v>
      </c>
      <c r="J3" s="0" t="n">
        <v>33.5</v>
      </c>
      <c r="K3" s="0" t="n">
        <v>7.72</v>
      </c>
      <c r="L3" s="0" t="n">
        <v>50129</v>
      </c>
      <c r="O3" s="0" t="n">
        <v>99818</v>
      </c>
      <c r="P3" s="0" t="n">
        <v>1728672</v>
      </c>
      <c r="Q3" s="0" t="n">
        <v>1628854</v>
      </c>
      <c r="R3" s="0" t="n">
        <v>11230</v>
      </c>
      <c r="S3" s="0" t="n">
        <v>5931</v>
      </c>
      <c r="T3" s="0" t="n">
        <v>1820.2</v>
      </c>
      <c r="U3" s="0" t="n">
        <v>536.6</v>
      </c>
      <c r="V3" s="0" t="n">
        <v>3.16</v>
      </c>
      <c r="AA3" s="0" t="s">
        <v>18</v>
      </c>
      <c r="AB3" s="0" t="s">
        <v>14</v>
      </c>
      <c r="AC3" s="0" t="n">
        <v>24131</v>
      </c>
      <c r="AG3" s="0" t="n">
        <v>14049</v>
      </c>
      <c r="AH3" s="0" t="n">
        <v>94118</v>
      </c>
    </row>
    <row r="4" customFormat="false" ht="15" hidden="false" customHeight="false" outlineLevel="0" collapsed="false">
      <c r="A4" s="0" t="s">
        <v>72</v>
      </c>
      <c r="B4" s="0" t="n">
        <v>49032</v>
      </c>
      <c r="I4" s="0" t="n">
        <v>17429</v>
      </c>
      <c r="J4" s="0" t="n">
        <v>35.5</v>
      </c>
      <c r="K4" s="0" t="n">
        <v>9.47</v>
      </c>
      <c r="L4" s="0" t="n">
        <v>38949</v>
      </c>
      <c r="O4" s="0" t="n">
        <v>111383</v>
      </c>
      <c r="P4" s="0" t="n">
        <v>1917528</v>
      </c>
      <c r="Q4" s="0" t="n">
        <v>1806145</v>
      </c>
      <c r="R4" s="0" t="n">
        <v>11290</v>
      </c>
      <c r="S4" s="0" t="n">
        <v>8556</v>
      </c>
      <c r="T4" s="0" t="n">
        <v>1813.6</v>
      </c>
      <c r="U4" s="0" t="n">
        <v>687.5</v>
      </c>
      <c r="V4" s="0" t="n">
        <v>3.56</v>
      </c>
      <c r="AA4" s="0" t="s">
        <v>18</v>
      </c>
      <c r="AB4" s="0" t="s">
        <v>14</v>
      </c>
      <c r="AC4" s="0" t="n">
        <v>27353</v>
      </c>
      <c r="AG4" s="0" t="n">
        <v>17170</v>
      </c>
      <c r="AH4" s="0" t="n">
        <v>100130</v>
      </c>
    </row>
    <row r="5" customFormat="false" ht="15" hidden="false" customHeight="false" outlineLevel="0" collapsed="false">
      <c r="A5" s="0" t="s">
        <v>73</v>
      </c>
      <c r="B5" s="0" t="n">
        <v>50492</v>
      </c>
      <c r="I5" s="0" t="n">
        <v>10782</v>
      </c>
      <c r="J5" s="0" t="n">
        <v>21.4</v>
      </c>
      <c r="K5" s="0" t="n">
        <v>5.6</v>
      </c>
      <c r="L5" s="0" t="n">
        <v>-65302</v>
      </c>
      <c r="O5" s="0" t="n">
        <v>112107</v>
      </c>
      <c r="P5" s="0" t="n">
        <v>1957024</v>
      </c>
      <c r="Q5" s="0" t="n">
        <v>1844917</v>
      </c>
      <c r="R5" s="0" t="n">
        <v>9620</v>
      </c>
      <c r="S5" s="0" t="n">
        <v>6721</v>
      </c>
      <c r="T5" s="0" t="n">
        <v>1824.4</v>
      </c>
      <c r="U5" s="0" t="n">
        <v>905.1</v>
      </c>
      <c r="V5" s="0" t="n">
        <v>3.84</v>
      </c>
      <c r="AA5" s="0" t="s">
        <v>18</v>
      </c>
      <c r="AB5" s="0" t="s">
        <v>14</v>
      </c>
      <c r="AC5" s="0" t="n">
        <v>29944</v>
      </c>
      <c r="AG5" s="0" t="n">
        <v>10219</v>
      </c>
      <c r="AH5" s="0" t="n">
        <v>101254</v>
      </c>
    </row>
    <row r="6" customFormat="false" ht="15" hidden="false" customHeight="false" outlineLevel="0" collapsed="false">
      <c r="A6" s="0" t="s">
        <v>74</v>
      </c>
      <c r="B6" s="0" t="n">
        <v>57223</v>
      </c>
      <c r="I6" s="0" t="n">
        <v>8842</v>
      </c>
      <c r="J6" s="0" t="n">
        <v>15.5</v>
      </c>
      <c r="K6" s="0" t="n">
        <v>4.72</v>
      </c>
      <c r="L6" s="0" t="n">
        <v>54937</v>
      </c>
      <c r="M6" s="0" t="n">
        <v>2177</v>
      </c>
      <c r="O6" s="0" t="n">
        <v>115160</v>
      </c>
      <c r="P6" s="0" t="n">
        <v>2061751</v>
      </c>
      <c r="Q6" s="0" t="n">
        <v>1946591</v>
      </c>
      <c r="R6" s="0" t="n">
        <v>11473</v>
      </c>
      <c r="S6" s="0" t="n">
        <v>6437</v>
      </c>
      <c r="T6" s="0" t="n">
        <v>1760</v>
      </c>
      <c r="U6" s="0" t="n">
        <v>970</v>
      </c>
      <c r="V6" s="0" t="n">
        <v>4.08</v>
      </c>
      <c r="AA6" s="0" t="s">
        <v>18</v>
      </c>
      <c r="AB6" s="0" t="s">
        <v>14</v>
      </c>
      <c r="AC6" s="0" t="n">
        <v>30472</v>
      </c>
      <c r="AF6" s="0" t="n">
        <v>59.59</v>
      </c>
      <c r="AG6" s="0" t="n">
        <v>8316</v>
      </c>
      <c r="AH6" s="0" t="n">
        <v>104272</v>
      </c>
    </row>
    <row r="7" customFormat="false" ht="15" hidden="false" customHeight="false" outlineLevel="0" collapsed="false">
      <c r="A7" s="0" t="s">
        <v>75</v>
      </c>
      <c r="B7" s="0" t="n">
        <v>67777</v>
      </c>
      <c r="I7" s="0" t="n">
        <v>20538</v>
      </c>
      <c r="J7" s="0" t="n">
        <v>30.3</v>
      </c>
      <c r="K7" s="0" t="n">
        <v>11.56</v>
      </c>
      <c r="L7" s="0" t="n">
        <v>-69646</v>
      </c>
      <c r="M7" s="0" t="n">
        <v>2145</v>
      </c>
      <c r="O7" s="0" t="n">
        <v>127827</v>
      </c>
      <c r="P7" s="0" t="n">
        <v>2094558</v>
      </c>
      <c r="Q7" s="0" t="n">
        <v>1966731</v>
      </c>
      <c r="R7" s="0" t="n">
        <v>10733</v>
      </c>
      <c r="S7" s="0" t="n">
        <v>7512</v>
      </c>
      <c r="T7" s="0" t="n">
        <v>1728</v>
      </c>
      <c r="U7" s="0" t="n">
        <v>1043</v>
      </c>
      <c r="V7" s="0" t="n">
        <v>4.2</v>
      </c>
      <c r="AA7" s="0" t="s">
        <v>18</v>
      </c>
      <c r="AB7" s="0" t="s">
        <v>14</v>
      </c>
      <c r="AC7" s="0" t="n">
        <v>33062</v>
      </c>
      <c r="AF7" s="0" t="n">
        <v>68.78</v>
      </c>
      <c r="AG7" s="0" t="n">
        <v>19973</v>
      </c>
      <c r="AH7" s="0" t="n">
        <v>116202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76</v>
      </c>
      <c r="B1" s="2" t="s">
        <v>77</v>
      </c>
    </row>
    <row r="2" customFormat="false" ht="15" hidden="false" customHeight="false" outlineLevel="0" collapsed="false">
      <c r="A2" s="0" t="s">
        <v>78</v>
      </c>
      <c r="B2" s="3" t="n">
        <v>117.88</v>
      </c>
    </row>
    <row r="3" customFormat="false" ht="15" hidden="false" customHeight="false" outlineLevel="0" collapsed="false">
      <c r="A3" s="0" t="s">
        <v>79</v>
      </c>
      <c r="B3" s="3" t="n">
        <v>1644.6</v>
      </c>
    </row>
    <row r="4" customFormat="false" ht="15" hidden="false" customHeight="false" outlineLevel="0" collapsed="false">
      <c r="A4" s="0" t="s">
        <v>80</v>
      </c>
      <c r="B4" s="3" t="n">
        <v>0</v>
      </c>
    </row>
    <row r="5" customFormat="false" ht="15" hidden="false" customHeight="false" outlineLevel="0" collapsed="false">
      <c r="A5" s="0" t="s">
        <v>81</v>
      </c>
      <c r="B5" s="3" t="n">
        <v>0</v>
      </c>
    </row>
    <row r="6" customFormat="false" ht="15" hidden="false" customHeight="false" outlineLevel="0" collapsed="false">
      <c r="A6" s="0" t="s">
        <v>82</v>
      </c>
      <c r="B6" s="3" t="n">
        <v>15</v>
      </c>
    </row>
    <row r="7" customFormat="false" ht="15" hidden="false" customHeight="false" outlineLevel="0" collapsed="false">
      <c r="A7" s="0" t="s">
        <v>83</v>
      </c>
      <c r="B7" s="3" t="n">
        <v>65620</v>
      </c>
    </row>
    <row r="8" customFormat="false" ht="15" hidden="false" customHeight="false" outlineLevel="0" collapsed="false">
      <c r="A8" s="0" t="s">
        <v>84</v>
      </c>
      <c r="B8" s="3" t="s">
        <v>85</v>
      </c>
    </row>
    <row r="9" customFormat="false" ht="15" hidden="false" customHeight="false" outlineLevel="0" collapsed="false">
      <c r="A9" s="0" t="s">
        <v>86</v>
      </c>
      <c r="B9" s="3" t="s">
        <v>87</v>
      </c>
    </row>
    <row r="10" customFormat="false" ht="15" hidden="false" customHeight="false" outlineLevel="0" collapsed="false">
      <c r="A10" s="0" t="s">
        <v>88</v>
      </c>
      <c r="B10" s="3" t="n">
        <v>0.7019</v>
      </c>
    </row>
    <row r="12" customFormat="false" ht="15" hidden="false" customHeight="false" outlineLevel="0" collapsed="false">
      <c r="A12" s="2" t="s">
        <v>89</v>
      </c>
      <c r="C12" s="2" t="s">
        <v>90</v>
      </c>
      <c r="D12" s="2" t="s">
        <v>91</v>
      </c>
      <c r="E12" s="2" t="s">
        <v>92</v>
      </c>
      <c r="F12" s="2" t="s">
        <v>93</v>
      </c>
      <c r="G12" s="2" t="s">
        <v>94</v>
      </c>
      <c r="H12" s="2" t="s">
        <v>95</v>
      </c>
      <c r="I12" s="2" t="s">
        <v>96</v>
      </c>
      <c r="J12" s="2" t="s">
        <v>97</v>
      </c>
      <c r="K12" s="2" t="s">
        <v>98</v>
      </c>
      <c r="L12" s="2" t="s">
        <v>99</v>
      </c>
    </row>
    <row r="13" customFormat="false" ht="15" hidden="false" customHeight="false" outlineLevel="0" collapsed="false">
      <c r="A13" s="0" t="s">
        <v>100</v>
      </c>
      <c r="C13" s="3" t="n">
        <v>2</v>
      </c>
      <c r="D13" s="3" t="n">
        <v>-2</v>
      </c>
      <c r="E13" s="3" t="n">
        <v>1</v>
      </c>
      <c r="F13" s="3" t="n">
        <v>3</v>
      </c>
      <c r="G13" s="3" t="n">
        <v>3</v>
      </c>
      <c r="H13" s="3" t="n">
        <v>3</v>
      </c>
      <c r="I13" s="3" t="n">
        <v>3</v>
      </c>
      <c r="J13" s="3" t="n">
        <v>2.5</v>
      </c>
      <c r="K13" s="3" t="n">
        <v>2.5</v>
      </c>
      <c r="L13" s="3" t="n">
        <v>2.5</v>
      </c>
    </row>
    <row r="14" customFormat="false" ht="15" hidden="false" customHeight="false" outlineLevel="0" collapsed="false">
      <c r="A14" s="0" t="s">
        <v>101</v>
      </c>
      <c r="C14" s="3" t="n">
        <v>30.9</v>
      </c>
      <c r="D14" s="3" t="n">
        <v>22.9</v>
      </c>
      <c r="E14" s="3" t="n">
        <v>27</v>
      </c>
      <c r="F14" s="3" t="n">
        <v>29.7</v>
      </c>
      <c r="G14" s="3" t="n">
        <v>30.4</v>
      </c>
      <c r="H14" s="3" t="n">
        <v>30.4</v>
      </c>
      <c r="I14" s="3" t="n">
        <v>30.4</v>
      </c>
      <c r="J14" s="3" t="n">
        <v>30.4</v>
      </c>
      <c r="K14" s="3" t="n">
        <v>30.4</v>
      </c>
      <c r="L14" s="3" t="n">
        <v>30.4</v>
      </c>
    </row>
    <row r="15" customFormat="false" ht="15" hidden="false" customHeight="false" outlineLevel="0" collapsed="false">
      <c r="A15" s="0" t="s">
        <v>102</v>
      </c>
      <c r="C15" s="3" t="n">
        <v>0.05</v>
      </c>
      <c r="D15" s="3" t="n">
        <v>0.05</v>
      </c>
      <c r="E15" s="3" t="n">
        <v>0.05</v>
      </c>
      <c r="F15" s="3" t="n">
        <v>0.05</v>
      </c>
      <c r="G15" s="3" t="n">
        <v>0.05</v>
      </c>
      <c r="H15" s="3" t="n">
        <v>0.05</v>
      </c>
      <c r="I15" s="3" t="n">
        <v>0.05</v>
      </c>
      <c r="J15" s="3" t="n">
        <v>0.05</v>
      </c>
      <c r="K15" s="3" t="n">
        <v>0.05</v>
      </c>
      <c r="L15" s="3" t="n">
        <v>0.05</v>
      </c>
    </row>
    <row r="16" customFormat="false" ht="15" hidden="false" customHeight="false" outlineLevel="0" collapsed="false">
      <c r="A16" s="0" t="s">
        <v>103</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104</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105</v>
      </c>
      <c r="C18" s="3" t="n">
        <v>2.54</v>
      </c>
      <c r="D18" s="3" t="n">
        <v>2</v>
      </c>
      <c r="E18" s="3" t="n">
        <v>2</v>
      </c>
      <c r="F18" s="3" t="n">
        <v>3.77</v>
      </c>
      <c r="G18" s="3" t="n">
        <v>3.77</v>
      </c>
      <c r="H18" s="3" t="n">
        <v>3.77</v>
      </c>
      <c r="I18" s="3" t="n">
        <v>3.77</v>
      </c>
      <c r="J18" s="3" t="n">
        <v>3.16</v>
      </c>
      <c r="K18" s="3" t="n">
        <v>3.16</v>
      </c>
      <c r="L18" s="3" t="n">
        <v>3.16</v>
      </c>
    </row>
    <row r="19" customFormat="false" ht="15" hidden="false" customHeight="false" outlineLevel="0" collapsed="false">
      <c r="A19" s="0" t="s">
        <v>106</v>
      </c>
      <c r="C19" s="3" t="n">
        <v>21.5</v>
      </c>
      <c r="D19" s="3" t="n">
        <v>21.5</v>
      </c>
      <c r="E19" s="3" t="n">
        <v>21.5</v>
      </c>
      <c r="F19" s="3" t="n">
        <v>21.5</v>
      </c>
      <c r="G19" s="3" t="n">
        <v>21.5</v>
      </c>
      <c r="H19" s="3" t="n">
        <v>21.5</v>
      </c>
      <c r="I19" s="3" t="n">
        <v>21.5</v>
      </c>
      <c r="J19" s="3" t="n">
        <v>21.5</v>
      </c>
      <c r="K19" s="3" t="n">
        <v>21.5</v>
      </c>
      <c r="L19" s="3" t="n">
        <v>21.5</v>
      </c>
    </row>
    <row r="20" customFormat="false" ht="15" hidden="false" customHeight="false" outlineLevel="0" collapsed="false">
      <c r="A20" s="0" t="s">
        <v>107</v>
      </c>
      <c r="B20" s="3" t="n">
        <v>10.25</v>
      </c>
    </row>
    <row r="21" customFormat="false" ht="15" hidden="false" customHeight="false" outlineLevel="0" collapsed="false">
      <c r="A21" s="0" t="s">
        <v>108</v>
      </c>
      <c r="B21" s="3" t="n">
        <v>2.5</v>
      </c>
    </row>
    <row r="22" customFormat="false" ht="15" hidden="false" customHeight="false" outlineLevel="0" collapsed="false">
      <c r="A22" s="0" t="s">
        <v>109</v>
      </c>
      <c r="B22" s="3" t="n">
        <v>10</v>
      </c>
    </row>
    <row r="23" customFormat="false" ht="15" hidden="false" customHeight="false" outlineLevel="0" collapsed="false">
      <c r="A23" s="0" t="s">
        <v>110</v>
      </c>
      <c r="B23" s="3" t="n">
        <v>0</v>
      </c>
    </row>
    <row r="24" customFormat="false" ht="15" hidden="false" customHeight="false" outlineLevel="0" collapsed="false">
      <c r="A24" s="0" t="s">
        <v>111</v>
      </c>
      <c r="B24" s="3" t="n">
        <v>0.3</v>
      </c>
    </row>
    <row r="26" customFormat="false" ht="15" hidden="false" customHeight="false" outlineLevel="0" collapsed="false">
      <c r="A26" s="2" t="s">
        <v>112</v>
      </c>
      <c r="C26" s="2" t="s">
        <v>90</v>
      </c>
      <c r="D26" s="2" t="s">
        <v>91</v>
      </c>
      <c r="E26" s="2" t="s">
        <v>92</v>
      </c>
      <c r="F26" s="2" t="s">
        <v>93</v>
      </c>
      <c r="G26" s="2" t="s">
        <v>94</v>
      </c>
      <c r="H26" s="2" t="s">
        <v>95</v>
      </c>
      <c r="I26" s="2" t="s">
        <v>96</v>
      </c>
      <c r="J26" s="2" t="s">
        <v>97</v>
      </c>
      <c r="K26" s="2" t="s">
        <v>98</v>
      </c>
      <c r="L26" s="2" t="s">
        <v>99</v>
      </c>
    </row>
    <row r="27" customFormat="false" ht="15" hidden="false" customHeight="false" outlineLevel="0" collapsed="false">
      <c r="A27" s="0" t="s">
        <v>100</v>
      </c>
      <c r="C27" s="3" t="n">
        <v>5</v>
      </c>
      <c r="D27" s="3" t="n">
        <v>5</v>
      </c>
      <c r="E27" s="3" t="n">
        <v>4.5</v>
      </c>
      <c r="F27" s="3" t="n">
        <v>4.5</v>
      </c>
      <c r="G27" s="3" t="n">
        <v>4</v>
      </c>
      <c r="H27" s="3" t="n">
        <v>4</v>
      </c>
      <c r="I27" s="3" t="n">
        <v>3.5</v>
      </c>
      <c r="J27" s="3" t="n">
        <v>3.5</v>
      </c>
      <c r="K27" s="3" t="n">
        <v>3</v>
      </c>
      <c r="L27" s="3" t="n">
        <v>3</v>
      </c>
    </row>
    <row r="28" customFormat="false" ht="15" hidden="false" customHeight="false" outlineLevel="0" collapsed="false">
      <c r="A28" s="0" t="s">
        <v>101</v>
      </c>
      <c r="C28" s="3" t="n">
        <v>32</v>
      </c>
      <c r="D28" s="3" t="n">
        <v>32.2</v>
      </c>
      <c r="E28" s="3" t="n">
        <v>32.5</v>
      </c>
      <c r="F28" s="3" t="n">
        <v>32.8</v>
      </c>
      <c r="G28" s="3" t="n">
        <v>32.8</v>
      </c>
      <c r="H28" s="3" t="n">
        <v>32.8</v>
      </c>
      <c r="I28" s="3" t="n">
        <v>32.8</v>
      </c>
      <c r="J28" s="3" t="n">
        <v>32.8</v>
      </c>
      <c r="K28" s="3" t="n">
        <v>32.8</v>
      </c>
      <c r="L28" s="3" t="n">
        <v>32.8</v>
      </c>
    </row>
    <row r="29" customFormat="false" ht="15" hidden="false" customHeight="false" outlineLevel="0" collapsed="false">
      <c r="A29" s="0" t="s">
        <v>102</v>
      </c>
      <c r="C29" s="3" t="n">
        <v>0.05</v>
      </c>
      <c r="D29" s="3" t="n">
        <v>0.05</v>
      </c>
      <c r="E29" s="3" t="n">
        <v>0.05</v>
      </c>
      <c r="F29" s="3" t="n">
        <v>0.05</v>
      </c>
      <c r="G29" s="3" t="n">
        <v>0.05</v>
      </c>
      <c r="H29" s="3" t="n">
        <v>0.05</v>
      </c>
      <c r="I29" s="3" t="n">
        <v>0.05</v>
      </c>
      <c r="J29" s="3" t="n">
        <v>0.05</v>
      </c>
      <c r="K29" s="3" t="n">
        <v>0.05</v>
      </c>
      <c r="L29" s="3" t="n">
        <v>0.05</v>
      </c>
    </row>
    <row r="30" customFormat="false" ht="15" hidden="false" customHeight="false" outlineLevel="0" collapsed="false">
      <c r="A30" s="0" t="s">
        <v>103</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104</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105</v>
      </c>
      <c r="C32" s="3" t="n">
        <v>6.16</v>
      </c>
      <c r="D32" s="3" t="n">
        <v>6.16</v>
      </c>
      <c r="E32" s="3" t="n">
        <v>5.57</v>
      </c>
      <c r="F32" s="3" t="n">
        <v>5.57</v>
      </c>
      <c r="G32" s="3" t="n">
        <v>4.98</v>
      </c>
      <c r="H32" s="3" t="n">
        <v>4.98</v>
      </c>
      <c r="I32" s="3" t="n">
        <v>4.38</v>
      </c>
      <c r="J32" s="3" t="n">
        <v>4.38</v>
      </c>
      <c r="K32" s="3" t="n">
        <v>3.77</v>
      </c>
      <c r="L32" s="3" t="n">
        <v>3.77</v>
      </c>
    </row>
    <row r="33" customFormat="false" ht="15" hidden="false" customHeight="false" outlineLevel="0" collapsed="false">
      <c r="A33" s="0" t="s">
        <v>106</v>
      </c>
      <c r="C33" s="3" t="n">
        <v>21.5</v>
      </c>
      <c r="D33" s="3" t="n">
        <v>21.5</v>
      </c>
      <c r="E33" s="3" t="n">
        <v>21.5</v>
      </c>
      <c r="F33" s="3" t="n">
        <v>21.5</v>
      </c>
      <c r="G33" s="3" t="n">
        <v>21.5</v>
      </c>
      <c r="H33" s="3" t="n">
        <v>21.5</v>
      </c>
      <c r="I33" s="3" t="n">
        <v>21.5</v>
      </c>
      <c r="J33" s="3" t="n">
        <v>21.5</v>
      </c>
      <c r="K33" s="3" t="n">
        <v>21.5</v>
      </c>
      <c r="L33" s="3" t="n">
        <v>21.5</v>
      </c>
    </row>
    <row r="34" customFormat="false" ht="15" hidden="false" customHeight="false" outlineLevel="0" collapsed="false">
      <c r="A34" s="0" t="s">
        <v>107</v>
      </c>
      <c r="B34" s="3" t="n">
        <v>9.75</v>
      </c>
    </row>
    <row r="35" customFormat="false" ht="15" hidden="false" customHeight="false" outlineLevel="0" collapsed="false">
      <c r="A35" s="0" t="s">
        <v>108</v>
      </c>
      <c r="B35" s="3" t="n">
        <v>3</v>
      </c>
    </row>
    <row r="36" customFormat="false" ht="15" hidden="false" customHeight="false" outlineLevel="0" collapsed="false">
      <c r="A36" s="0" t="s">
        <v>109</v>
      </c>
      <c r="B36" s="3" t="n">
        <v>13</v>
      </c>
    </row>
    <row r="37" customFormat="false" ht="15" hidden="false" customHeight="false" outlineLevel="0" collapsed="false">
      <c r="A37" s="0" t="s">
        <v>110</v>
      </c>
      <c r="B37" s="3" t="n">
        <v>0</v>
      </c>
    </row>
    <row r="38" customFormat="false" ht="15" hidden="false" customHeight="false" outlineLevel="0" collapsed="false">
      <c r="A38" s="0" t="s">
        <v>111</v>
      </c>
      <c r="B38" s="3" t="n">
        <v>0.5</v>
      </c>
    </row>
    <row r="40" customFormat="false" ht="15" hidden="false" customHeight="false" outlineLevel="0" collapsed="false">
      <c r="A40" s="2" t="s">
        <v>113</v>
      </c>
      <c r="C40" s="2" t="s">
        <v>90</v>
      </c>
      <c r="D40" s="2" t="s">
        <v>91</v>
      </c>
      <c r="E40" s="2" t="s">
        <v>92</v>
      </c>
      <c r="F40" s="2" t="s">
        <v>93</v>
      </c>
      <c r="G40" s="2" t="s">
        <v>94</v>
      </c>
      <c r="H40" s="2" t="s">
        <v>95</v>
      </c>
      <c r="I40" s="2" t="s">
        <v>96</v>
      </c>
      <c r="J40" s="2" t="s">
        <v>97</v>
      </c>
      <c r="K40" s="2" t="s">
        <v>98</v>
      </c>
      <c r="L40" s="2" t="s">
        <v>99</v>
      </c>
    </row>
    <row r="41" customFormat="false" ht="15" hidden="false" customHeight="false" outlineLevel="0" collapsed="false">
      <c r="A41" s="0" t="s">
        <v>100</v>
      </c>
      <c r="C41" s="3" t="n">
        <v>7</v>
      </c>
      <c r="D41" s="3" t="n">
        <v>6.5</v>
      </c>
      <c r="E41" s="3" t="n">
        <v>6</v>
      </c>
      <c r="F41" s="3" t="n">
        <v>5.5</v>
      </c>
      <c r="G41" s="3" t="n">
        <v>5</v>
      </c>
      <c r="H41" s="3" t="n">
        <v>4.5</v>
      </c>
      <c r="I41" s="3" t="n">
        <v>4.5</v>
      </c>
      <c r="J41" s="3" t="n">
        <v>4</v>
      </c>
      <c r="K41" s="3" t="n">
        <v>4</v>
      </c>
      <c r="L41" s="3" t="n">
        <v>3.5</v>
      </c>
    </row>
    <row r="42" customFormat="false" ht="15" hidden="false" customHeight="false" outlineLevel="0" collapsed="false">
      <c r="A42" s="0" t="s">
        <v>101</v>
      </c>
      <c r="C42" s="3" t="n">
        <v>33.3</v>
      </c>
      <c r="D42" s="3" t="n">
        <v>34.8</v>
      </c>
      <c r="E42" s="3" t="n">
        <v>35.8</v>
      </c>
      <c r="F42" s="3" t="n">
        <v>36.2</v>
      </c>
      <c r="G42" s="3" t="n">
        <v>36.2</v>
      </c>
      <c r="H42" s="3" t="n">
        <v>36.2</v>
      </c>
      <c r="I42" s="3" t="n">
        <v>36.2</v>
      </c>
      <c r="J42" s="3" t="n">
        <v>36.2</v>
      </c>
      <c r="K42" s="3" t="n">
        <v>36.2</v>
      </c>
      <c r="L42" s="3" t="n">
        <v>36.2</v>
      </c>
    </row>
    <row r="43" customFormat="false" ht="15" hidden="false" customHeight="false" outlineLevel="0" collapsed="false">
      <c r="A43" s="0" t="s">
        <v>102</v>
      </c>
      <c r="C43" s="3" t="n">
        <v>0.05</v>
      </c>
      <c r="D43" s="3" t="n">
        <v>0.05</v>
      </c>
      <c r="E43" s="3" t="n">
        <v>0.05</v>
      </c>
      <c r="F43" s="3" t="n">
        <v>0.05</v>
      </c>
      <c r="G43" s="3" t="n">
        <v>0.05</v>
      </c>
      <c r="H43" s="3" t="n">
        <v>0.05</v>
      </c>
      <c r="I43" s="3" t="n">
        <v>0.05</v>
      </c>
      <c r="J43" s="3" t="n">
        <v>0.05</v>
      </c>
      <c r="K43" s="3" t="n">
        <v>0.05</v>
      </c>
      <c r="L43" s="3" t="n">
        <v>0.05</v>
      </c>
    </row>
    <row r="44" customFormat="false" ht="15" hidden="false" customHeight="false" outlineLevel="0" collapsed="false">
      <c r="A44" s="0" t="s">
        <v>103</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104</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105</v>
      </c>
      <c r="C46" s="3" t="n">
        <v>8.47</v>
      </c>
      <c r="D46" s="3" t="n">
        <v>7.9</v>
      </c>
      <c r="E46" s="3" t="n">
        <v>7.33</v>
      </c>
      <c r="F46" s="3" t="n">
        <v>6.75</v>
      </c>
      <c r="G46" s="3" t="n">
        <v>6.16</v>
      </c>
      <c r="H46" s="3" t="n">
        <v>5.57</v>
      </c>
      <c r="I46" s="3" t="n">
        <v>5.57</v>
      </c>
      <c r="J46" s="3" t="n">
        <v>4.98</v>
      </c>
      <c r="K46" s="3" t="n">
        <v>4.98</v>
      </c>
      <c r="L46" s="3" t="n">
        <v>4.38</v>
      </c>
    </row>
    <row r="47" customFormat="false" ht="15" hidden="false" customHeight="false" outlineLevel="0" collapsed="false">
      <c r="A47" s="0" t="s">
        <v>106</v>
      </c>
      <c r="C47" s="3" t="n">
        <v>21.5</v>
      </c>
      <c r="D47" s="3" t="n">
        <v>21.5</v>
      </c>
      <c r="E47" s="3" t="n">
        <v>21.5</v>
      </c>
      <c r="F47" s="3" t="n">
        <v>21.5</v>
      </c>
      <c r="G47" s="3" t="n">
        <v>21.5</v>
      </c>
      <c r="H47" s="3" t="n">
        <v>21.5</v>
      </c>
      <c r="I47" s="3" t="n">
        <v>21.5</v>
      </c>
      <c r="J47" s="3" t="n">
        <v>21.5</v>
      </c>
      <c r="K47" s="3" t="n">
        <v>21.5</v>
      </c>
      <c r="L47" s="3" t="n">
        <v>21.5</v>
      </c>
    </row>
    <row r="48" customFormat="false" ht="15" hidden="false" customHeight="false" outlineLevel="0" collapsed="false">
      <c r="A48" s="0" t="s">
        <v>107</v>
      </c>
      <c r="B48" s="3" t="n">
        <v>9.5</v>
      </c>
    </row>
    <row r="49" customFormat="false" ht="15" hidden="false" customHeight="false" outlineLevel="0" collapsed="false">
      <c r="A49" s="0" t="s">
        <v>108</v>
      </c>
      <c r="B49" s="3" t="n">
        <v>3.5</v>
      </c>
    </row>
    <row r="50" customFormat="false" ht="15" hidden="false" customHeight="false" outlineLevel="0" collapsed="false">
      <c r="A50" s="0" t="s">
        <v>109</v>
      </c>
      <c r="B50" s="3" t="n">
        <v>14</v>
      </c>
    </row>
    <row r="51" customFormat="false" ht="15" hidden="false" customHeight="false" outlineLevel="0" collapsed="false">
      <c r="A51" s="0" t="s">
        <v>110</v>
      </c>
      <c r="B51" s="3" t="n">
        <v>0</v>
      </c>
    </row>
    <row r="52" customFormat="false" ht="15" hidden="false" customHeight="false" outlineLevel="0" collapsed="false">
      <c r="A52" s="0" t="s">
        <v>111</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114</v>
      </c>
    </row>
    <row r="3" customFormat="false" ht="15" hidden="false" customHeight="false" outlineLevel="0" collapsed="false">
      <c r="A3" s="0" t="s">
        <v>115</v>
      </c>
      <c r="B3" s="0" t="s">
        <v>85</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Assumptions!C13</f>
        <v>2</v>
      </c>
      <c r="D5" s="4" t="n">
        <f aca="false">Assumptions!D13</f>
        <v>-2</v>
      </c>
      <c r="E5" s="4" t="n">
        <f aca="false">Assumptions!E13</f>
        <v>1</v>
      </c>
      <c r="F5" s="4" t="n">
        <f aca="false">Assumptions!F13</f>
        <v>3</v>
      </c>
      <c r="G5" s="4" t="n">
        <f aca="false">Assumptions!G13</f>
        <v>3</v>
      </c>
      <c r="H5" s="4" t="n">
        <f aca="false">Assumptions!H13</f>
        <v>3</v>
      </c>
      <c r="I5" s="4" t="n">
        <f aca="false">Assumptions!I13</f>
        <v>3</v>
      </c>
      <c r="J5" s="4" t="n">
        <f aca="false">Assumptions!J13</f>
        <v>2.5</v>
      </c>
      <c r="K5" s="4" t="n">
        <f aca="false">Assumptions!K13</f>
        <v>2.5</v>
      </c>
      <c r="L5" s="4" t="n">
        <f aca="false">Assumptions!L13</f>
        <v>2.5</v>
      </c>
    </row>
    <row r="6" customFormat="false" ht="15" hidden="false" customHeight="false" outlineLevel="0" collapsed="false">
      <c r="A6" s="0" t="s">
        <v>38</v>
      </c>
      <c r="B6" s="3" t="n">
        <v>65620</v>
      </c>
      <c r="C6" s="0" t="n">
        <f aca="false">B6*(1+C5/100)</f>
        <v>66932.4</v>
      </c>
      <c r="D6" s="0" t="n">
        <f aca="false">C6*(1+D5/100)</f>
        <v>65593.752</v>
      </c>
      <c r="E6" s="0" t="n">
        <f aca="false">D6*(1+E5/100)</f>
        <v>66249.68952</v>
      </c>
      <c r="F6" s="0" t="n">
        <f aca="false">E6*(1+F5/100)</f>
        <v>68237.1802056</v>
      </c>
      <c r="G6" s="0" t="n">
        <f aca="false">F6*(1+G5/100)</f>
        <v>70284.295611768</v>
      </c>
      <c r="H6" s="0" t="n">
        <f aca="false">G6*(1+H5/100)</f>
        <v>72392.824480121</v>
      </c>
      <c r="I6" s="0" t="n">
        <f aca="false">H6*(1+I5/100)</f>
        <v>74564.6092145247</v>
      </c>
      <c r="J6" s="0" t="n">
        <f aca="false">I6*(1+J5/100)</f>
        <v>76428.7244448878</v>
      </c>
      <c r="K6" s="0" t="n">
        <f aca="false">J6*(1+K5/100)</f>
        <v>78339.44255601</v>
      </c>
      <c r="L6" s="0" t="n">
        <f aca="false">K6*(1+L5/100)</f>
        <v>80297.9286199102</v>
      </c>
    </row>
    <row r="7" customFormat="false" ht="15" hidden="false" customHeight="false" outlineLevel="0" collapsed="false">
      <c r="A7" s="0" t="s">
        <v>101</v>
      </c>
      <c r="C7" s="4" t="n">
        <f aca="false">Assumptions!C14</f>
        <v>30.9</v>
      </c>
      <c r="D7" s="4" t="n">
        <f aca="false">Assumptions!D14</f>
        <v>22.9</v>
      </c>
      <c r="E7" s="4" t="n">
        <f aca="false">Assumptions!E14</f>
        <v>27</v>
      </c>
      <c r="F7" s="4" t="n">
        <f aca="false">Assumptions!F14</f>
        <v>29.7</v>
      </c>
      <c r="G7" s="4" t="n">
        <f aca="false">Assumptions!G14</f>
        <v>30.4</v>
      </c>
      <c r="H7" s="4" t="n">
        <f aca="false">Assumptions!H14</f>
        <v>30.4</v>
      </c>
      <c r="I7" s="4" t="n">
        <f aca="false">Assumptions!I14</f>
        <v>30.4</v>
      </c>
      <c r="J7" s="4" t="n">
        <f aca="false">Assumptions!J14</f>
        <v>30.4</v>
      </c>
      <c r="K7" s="4" t="n">
        <f aca="false">Assumptions!K14</f>
        <v>30.4</v>
      </c>
      <c r="L7" s="4" t="n">
        <f aca="false">Assumptions!L14</f>
        <v>30.4</v>
      </c>
    </row>
    <row r="8" customFormat="false" ht="15" hidden="false" customHeight="false" outlineLevel="0" collapsed="false">
      <c r="A8" s="0" t="s">
        <v>44</v>
      </c>
      <c r="C8" s="0" t="n">
        <f aca="false">C6*C7/100</f>
        <v>20682.1116</v>
      </c>
      <c r="D8" s="0" t="n">
        <f aca="false">D6*D7/100</f>
        <v>15020.969208</v>
      </c>
      <c r="E8" s="0" t="n">
        <f aca="false">E6*E7/100</f>
        <v>17887.4161704</v>
      </c>
      <c r="F8" s="0" t="n">
        <f aca="false">F6*F7/100</f>
        <v>20266.4425210632</v>
      </c>
      <c r="G8" s="0" t="n">
        <f aca="false">G6*G7/100</f>
        <v>21366.4258659775</v>
      </c>
      <c r="H8" s="0" t="n">
        <f aca="false">H6*H7/100</f>
        <v>22007.4186419568</v>
      </c>
      <c r="I8" s="0" t="n">
        <f aca="false">I6*I7/100</f>
        <v>22667.6412012155</v>
      </c>
      <c r="J8" s="0" t="n">
        <f aca="false">J6*J7/100</f>
        <v>23234.3322312459</v>
      </c>
      <c r="K8" s="0" t="n">
        <f aca="false">K6*K7/100</f>
        <v>23815.190537027</v>
      </c>
      <c r="L8" s="0" t="n">
        <f aca="false">L6*L7/100</f>
        <v>24410.5703004527</v>
      </c>
    </row>
    <row r="9" customFormat="false" ht="15" hidden="false" customHeight="false" outlineLevel="0" collapsed="false">
      <c r="A9" s="0" t="s">
        <v>102</v>
      </c>
      <c r="C9" s="4" t="n">
        <f aca="false">Assumptions!C15</f>
        <v>0.05</v>
      </c>
      <c r="D9" s="4" t="n">
        <f aca="false">Assumptions!D15</f>
        <v>0.05</v>
      </c>
      <c r="E9" s="4" t="n">
        <f aca="false">Assumptions!E15</f>
        <v>0.05</v>
      </c>
      <c r="F9" s="4" t="n">
        <f aca="false">Assumptions!F15</f>
        <v>0.05</v>
      </c>
      <c r="G9" s="4" t="n">
        <f aca="false">Assumptions!G15</f>
        <v>0.05</v>
      </c>
      <c r="H9" s="4" t="n">
        <f aca="false">Assumptions!H15</f>
        <v>0.05</v>
      </c>
      <c r="I9" s="4" t="n">
        <f aca="false">Assumptions!I15</f>
        <v>0.05</v>
      </c>
      <c r="J9" s="4" t="n">
        <f aca="false">Assumptions!J15</f>
        <v>0.05</v>
      </c>
      <c r="K9" s="4" t="n">
        <f aca="false">Assumptions!K15</f>
        <v>0.05</v>
      </c>
      <c r="L9" s="4" t="n">
        <f aca="false">Assumptions!L15</f>
        <v>0.05</v>
      </c>
    </row>
    <row r="10" customFormat="false" ht="15" hidden="false" customHeight="false" outlineLevel="0" collapsed="false">
      <c r="A10" s="0" t="s">
        <v>117</v>
      </c>
      <c r="C10" s="0" t="n">
        <f aca="false">-C6*C9/100</f>
        <v>-33.4662</v>
      </c>
      <c r="D10" s="0" t="n">
        <f aca="false">-D6*D9/100</f>
        <v>-32.796876</v>
      </c>
      <c r="E10" s="0" t="n">
        <f aca="false">-E6*E9/100</f>
        <v>-33.12484476</v>
      </c>
      <c r="F10" s="0" t="n">
        <f aca="false">-F6*F9/100</f>
        <v>-34.1185901028</v>
      </c>
      <c r="G10" s="0" t="n">
        <f aca="false">-G6*G9/100</f>
        <v>-35.142147805884</v>
      </c>
      <c r="H10" s="0" t="n">
        <f aca="false">-H6*H9/100</f>
        <v>-36.1964122400605</v>
      </c>
      <c r="I10" s="0" t="n">
        <f aca="false">-I6*I9/100</f>
        <v>-37.2823046072623</v>
      </c>
      <c r="J10" s="0" t="n">
        <f aca="false">-J6*J9/100</f>
        <v>-38.2143622224439</v>
      </c>
      <c r="K10" s="0" t="n">
        <f aca="false">-K6*K9/100</f>
        <v>-39.169721278005</v>
      </c>
      <c r="L10" s="0" t="n">
        <f aca="false">-L6*L9/100</f>
        <v>-40.1489643099551</v>
      </c>
    </row>
    <row r="11" customFormat="false" ht="15" hidden="false" customHeight="false" outlineLevel="0" collapsed="false">
      <c r="A11" s="0" t="s">
        <v>118</v>
      </c>
      <c r="C11" s="0" t="n">
        <f aca="false">C8+C10+C24</f>
        <v>20648.6454</v>
      </c>
      <c r="D11" s="0" t="n">
        <f aca="false">D8+D10+D24</f>
        <v>14988.172332</v>
      </c>
      <c r="E11" s="0" t="n">
        <f aca="false">E8+E10+E24</f>
        <v>17854.29132564</v>
      </c>
      <c r="F11" s="0" t="n">
        <f aca="false">F8+F10+F24</f>
        <v>20232.3239309604</v>
      </c>
      <c r="G11" s="0" t="n">
        <f aca="false">G8+G10+G24</f>
        <v>21331.2837181716</v>
      </c>
      <c r="H11" s="0" t="n">
        <f aca="false">H8+H10+H24</f>
        <v>21971.2222297167</v>
      </c>
      <c r="I11" s="0" t="n">
        <f aca="false">I8+I10+I24</f>
        <v>22630.3588966082</v>
      </c>
      <c r="J11" s="0" t="n">
        <f aca="false">J8+J10+J24</f>
        <v>23196.1178690234</v>
      </c>
      <c r="K11" s="0" t="n">
        <f aca="false">K8+K10+K24</f>
        <v>23776.020815749</v>
      </c>
      <c r="L11" s="0" t="n">
        <f aca="false">L8+L10+L24</f>
        <v>24370.4213361427</v>
      </c>
    </row>
    <row r="12" customFormat="false" ht="15" hidden="false" customHeight="false" outlineLevel="0" collapsed="false">
      <c r="A12" s="0" t="s">
        <v>119</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120</v>
      </c>
      <c r="C13" s="0" t="n">
        <f aca="false">C11+C12</f>
        <v>20648.6454</v>
      </c>
      <c r="D13" s="0" t="n">
        <f aca="false">D11+D12</f>
        <v>14988.172332</v>
      </c>
      <c r="E13" s="0" t="n">
        <f aca="false">E11+E12</f>
        <v>17854.29132564</v>
      </c>
      <c r="F13" s="0" t="n">
        <f aca="false">F11+F12</f>
        <v>20232.3239309604</v>
      </c>
      <c r="G13" s="0" t="n">
        <f aca="false">G11+G12</f>
        <v>21331.2837181716</v>
      </c>
      <c r="H13" s="0" t="n">
        <f aca="false">H11+H12</f>
        <v>21971.2222297167</v>
      </c>
      <c r="I13" s="0" t="n">
        <f aca="false">I11+I12</f>
        <v>22630.3588966082</v>
      </c>
      <c r="J13" s="0" t="n">
        <f aca="false">J11+J12</f>
        <v>23196.1178690234</v>
      </c>
      <c r="K13" s="0" t="n">
        <f aca="false">K11+K12</f>
        <v>23776.020815749</v>
      </c>
      <c r="L13" s="0" t="n">
        <f aca="false">L11+L12</f>
        <v>24370.4213361427</v>
      </c>
    </row>
    <row r="14" customFormat="false" ht="15" hidden="false" customHeight="false" outlineLevel="0" collapsed="false">
      <c r="A14" s="0" t="s">
        <v>106</v>
      </c>
      <c r="C14" s="4" t="n">
        <f aca="false">Assumptions!C19</f>
        <v>21.5</v>
      </c>
      <c r="D14" s="4" t="n">
        <f aca="false">Assumptions!D19</f>
        <v>21.5</v>
      </c>
      <c r="E14" s="4" t="n">
        <f aca="false">Assumptions!E19</f>
        <v>21.5</v>
      </c>
      <c r="F14" s="4" t="n">
        <f aca="false">Assumptions!F19</f>
        <v>21.5</v>
      </c>
      <c r="G14" s="4" t="n">
        <f aca="false">Assumptions!G19</f>
        <v>21.5</v>
      </c>
      <c r="H14" s="4" t="n">
        <f aca="false">Assumptions!H19</f>
        <v>21.5</v>
      </c>
      <c r="I14" s="4" t="n">
        <f aca="false">Assumptions!I19</f>
        <v>21.5</v>
      </c>
      <c r="J14" s="4" t="n">
        <f aca="false">Assumptions!J19</f>
        <v>21.5</v>
      </c>
      <c r="K14" s="4" t="n">
        <f aca="false">Assumptions!K19</f>
        <v>21.5</v>
      </c>
      <c r="L14" s="4" t="n">
        <f aca="false">Assumptions!L19</f>
        <v>21.5</v>
      </c>
    </row>
    <row r="15" customFormat="false" ht="15" hidden="false" customHeight="false" outlineLevel="0" collapsed="false">
      <c r="A15" s="0" t="s">
        <v>121</v>
      </c>
      <c r="C15" s="0" t="n">
        <f aca="false">C13-MAX(0,C13)*C14/100</f>
        <v>16209.186639</v>
      </c>
      <c r="D15" s="0" t="n">
        <f aca="false">D13-MAX(0,D13)*D14/100</f>
        <v>11765.71528062</v>
      </c>
      <c r="E15" s="0" t="n">
        <f aca="false">E13-MAX(0,E13)*E14/100</f>
        <v>14015.6186906274</v>
      </c>
      <c r="F15" s="0" t="n">
        <f aca="false">F13-MAX(0,F13)*F14/100</f>
        <v>15882.3742858039</v>
      </c>
      <c r="G15" s="0" t="n">
        <f aca="false">G13-MAX(0,G13)*G14/100</f>
        <v>16745.0577187647</v>
      </c>
      <c r="H15" s="0" t="n">
        <f aca="false">H13-MAX(0,H13)*H14/100</f>
        <v>17247.4094503276</v>
      </c>
      <c r="I15" s="0" t="n">
        <f aca="false">I13-MAX(0,I13)*I14/100</f>
        <v>17764.8317338375</v>
      </c>
      <c r="J15" s="0" t="n">
        <f aca="false">J13-MAX(0,J13)*J14/100</f>
        <v>18208.9525271834</v>
      </c>
      <c r="K15" s="0" t="n">
        <f aca="false">K13-MAX(0,K13)*K14/100</f>
        <v>18664.176340363</v>
      </c>
      <c r="L15" s="0" t="n">
        <f aca="false">L13-MAX(0,L13)*L14/100</f>
        <v>19130.7807488721</v>
      </c>
    </row>
    <row r="16" customFormat="false" ht="15" hidden="false" customHeight="false" outlineLevel="0" collapsed="false">
      <c r="A16" s="0" t="s">
        <v>122</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123</v>
      </c>
      <c r="C17" s="4" t="n">
        <f aca="false">-C6*Assumptions!C18/100</f>
        <v>-1700.08296</v>
      </c>
      <c r="D17" s="4" t="n">
        <f aca="false">-D6*Assumptions!D18/100</f>
        <v>-1311.87504</v>
      </c>
      <c r="E17" s="4" t="n">
        <f aca="false">-E6*Assumptions!E18/100</f>
        <v>-1324.9937904</v>
      </c>
      <c r="F17" s="4" t="n">
        <f aca="false">-F6*Assumptions!F18/100</f>
        <v>-2572.54169375112</v>
      </c>
      <c r="G17" s="4" t="n">
        <f aca="false">-G6*Assumptions!G18/100</f>
        <v>-2649.71794456365</v>
      </c>
      <c r="H17" s="4" t="n">
        <f aca="false">-H6*Assumptions!H18/100</f>
        <v>-2729.20948290056</v>
      </c>
      <c r="I17" s="4" t="n">
        <f aca="false">-I6*Assumptions!I18/100</f>
        <v>-2811.08576738758</v>
      </c>
      <c r="J17" s="4" t="n">
        <f aca="false">-J6*Assumptions!J18/100</f>
        <v>-2415.14769245845</v>
      </c>
      <c r="K17" s="4" t="n">
        <f aca="false">-K6*Assumptions!K18/100</f>
        <v>-2475.52638476992</v>
      </c>
      <c r="L17" s="4" t="n">
        <f aca="false">-L6*Assumptions!L18/100</f>
        <v>-2537.41454438916</v>
      </c>
    </row>
    <row r="18" customFormat="false" ht="15" hidden="false" customHeight="false" outlineLevel="0" collapsed="false">
      <c r="A18" s="0" t="s">
        <v>124</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125</v>
      </c>
      <c r="C19" s="0" t="n">
        <f aca="false">C15+C16+C17+C18</f>
        <v>14509.103679</v>
      </c>
      <c r="D19" s="0" t="n">
        <f aca="false">D15+D16+D17+D18</f>
        <v>10453.84024062</v>
      </c>
      <c r="E19" s="0" t="n">
        <f aca="false">E15+E16+E17+E18</f>
        <v>12690.6249002274</v>
      </c>
      <c r="F19" s="0" t="n">
        <f aca="false">F15+F16+F17+F18</f>
        <v>13309.8325920528</v>
      </c>
      <c r="G19" s="0" t="n">
        <f aca="false">G15+G16+G17+G18</f>
        <v>14095.339774201</v>
      </c>
      <c r="H19" s="0" t="n">
        <f aca="false">H15+H16+H17+H18</f>
        <v>14518.1999674271</v>
      </c>
      <c r="I19" s="0" t="n">
        <f aca="false">I15+I16+I17+I18</f>
        <v>14953.7459664499</v>
      </c>
      <c r="J19" s="0" t="n">
        <f aca="false">J15+J16+J17+J18</f>
        <v>15793.8048347249</v>
      </c>
      <c r="K19" s="0" t="n">
        <f aca="false">K15+K16+K17+K18</f>
        <v>16188.6499555931</v>
      </c>
      <c r="L19" s="0" t="n">
        <f aca="false">L15+L16+L17+L18</f>
        <v>16593.3662044829</v>
      </c>
    </row>
    <row r="20" customFormat="false" ht="15" hidden="false" customHeight="false" outlineLevel="0" collapsed="false">
      <c r="A20" s="0" t="s">
        <v>126</v>
      </c>
      <c r="C20" s="0" t="n">
        <f aca="false">1/(1+$B$27/100)^C4</f>
        <v>0.90702947845805</v>
      </c>
      <c r="D20" s="0" t="n">
        <f aca="false">1/(1+$B$27/100)^D4</f>
        <v>0.822702474791882</v>
      </c>
      <c r="E20" s="0" t="n">
        <f aca="false">1/(1+$B$27/100)^E4</f>
        <v>0.746215396636628</v>
      </c>
      <c r="F20" s="0" t="n">
        <f aca="false">1/(1+$B$27/100)^F4</f>
        <v>0.676839362028687</v>
      </c>
      <c r="G20" s="0" t="n">
        <f aca="false">1/(1+$B$27/100)^G4</f>
        <v>0.613913253540759</v>
      </c>
      <c r="H20" s="0" t="n">
        <f aca="false">1/(1+$B$27/100)^H4</f>
        <v>0.55683741817756</v>
      </c>
      <c r="I20" s="0" t="n">
        <f aca="false">1/(1+$B$27/100)^I4</f>
        <v>0.505067952995519</v>
      </c>
      <c r="J20" s="0" t="n">
        <f aca="false">1/(1+$B$27/100)^J4</f>
        <v>0.4581115219914</v>
      </c>
      <c r="K20" s="0" t="n">
        <f aca="false">1/(1+$B$27/100)^K4</f>
        <v>0.415520654867483</v>
      </c>
      <c r="L20" s="0" t="n">
        <f aca="false">1/(1+$B$27/100)^L4</f>
        <v>0.376889482873001</v>
      </c>
    </row>
    <row r="21" customFormat="false" ht="15" hidden="false" customHeight="false" outlineLevel="0" collapsed="false">
      <c r="A21" s="0" t="s">
        <v>127</v>
      </c>
      <c r="C21" s="0" t="n">
        <f aca="false">C19*C20</f>
        <v>13160.1847428571</v>
      </c>
      <c r="D21" s="0" t="n">
        <f aca="false">D19*D20</f>
        <v>8600.40023703703</v>
      </c>
      <c r="E21" s="0" t="n">
        <f aca="false">E19*E20</f>
        <v>9469.93969348985</v>
      </c>
      <c r="F21" s="0" t="n">
        <f aca="false">F19*F20</f>
        <v>9008.61860031364</v>
      </c>
      <c r="G21" s="0" t="n">
        <f aca="false">G19*G20</f>
        <v>8653.31590054223</v>
      </c>
      <c r="H21" s="0" t="n">
        <f aca="false">H19*H20</f>
        <v>8084.27698644762</v>
      </c>
      <c r="I21" s="0" t="n">
        <f aca="false">I19*I20</f>
        <v>7552.65786488984</v>
      </c>
      <c r="J21" s="0" t="n">
        <f aca="false">J19*J20</f>
        <v>7235.32397087098</v>
      </c>
      <c r="K21" s="0" t="n">
        <f aca="false">K19*K20</f>
        <v>6726.71843096848</v>
      </c>
      <c r="L21" s="0" t="n">
        <f aca="false">L19*L20</f>
        <v>6253.86520792988</v>
      </c>
    </row>
    <row r="23" customFormat="false" ht="15" hidden="false" customHeight="false" outlineLevel="0" collapsed="false">
      <c r="A23" s="0" t="s">
        <v>103</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Assumptions!$B$20</f>
        <v>10.25</v>
      </c>
    </row>
    <row r="28" customFormat="false" ht="15" hidden="false" customHeight="false" outlineLevel="0" collapsed="false">
      <c r="A28" s="0" t="s">
        <v>108</v>
      </c>
      <c r="B28" s="4" t="n">
        <f aca="false">Assumptions!$B$21</f>
        <v>2.5</v>
      </c>
    </row>
    <row r="29" customFormat="false" ht="15" hidden="false" customHeight="false" outlineLevel="0" collapsed="false">
      <c r="A29" s="0" t="s">
        <v>109</v>
      </c>
      <c r="B29" s="4" t="n">
        <f aca="false">Assumptions!$B$22</f>
        <v>10</v>
      </c>
    </row>
    <row r="30" customFormat="false" ht="15" hidden="false" customHeight="false" outlineLevel="0" collapsed="false">
      <c r="A30" s="0" t="s">
        <v>130</v>
      </c>
      <c r="B30" s="0" t="n">
        <f aca="false">SUM(C21:L21)</f>
        <v>84745.3016353467</v>
      </c>
    </row>
    <row r="31" customFormat="false" ht="15" hidden="false" customHeight="false" outlineLevel="0" collapsed="false">
      <c r="A31" s="0" t="s">
        <v>131</v>
      </c>
      <c r="B31" s="0" t="n">
        <f aca="false">L19</f>
        <v>16593.3662044829</v>
      </c>
    </row>
    <row r="32" customFormat="false" ht="15" hidden="false" customHeight="false" outlineLevel="0" collapsed="false">
      <c r="A32" s="0" t="s">
        <v>132</v>
      </c>
      <c r="B32" s="0" t="n">
        <f aca="false">IF(B27&gt;B28,B31*(1+B28/100)/((B27-B28)/100),B31*B29)</f>
        <v>219460.649801225</v>
      </c>
    </row>
    <row r="33" customFormat="false" ht="15" hidden="false" customHeight="false" outlineLevel="0" collapsed="false">
      <c r="A33" s="0" t="s">
        <v>133</v>
      </c>
      <c r="B33" s="0" t="n">
        <f aca="false">B31*B29</f>
        <v>165933.662044829</v>
      </c>
    </row>
    <row r="34" customFormat="false" ht="15" hidden="false" customHeight="false" outlineLevel="0" collapsed="false">
      <c r="A34" s="0" t="s">
        <v>134</v>
      </c>
      <c r="B34" s="0" t="n">
        <f aca="false">MAX(0,MIN(B32,B33))</f>
        <v>165933.662044829</v>
      </c>
    </row>
    <row r="35" customFormat="false" ht="15" hidden="false" customHeight="false" outlineLevel="0" collapsed="false">
      <c r="A35" s="0" t="s">
        <v>135</v>
      </c>
      <c r="B35" s="0" t="n">
        <f aca="false">B34/(1+B27/100)^L4</f>
        <v>62538.6520792988</v>
      </c>
    </row>
    <row r="36" customFormat="false" ht="15" hidden="false" customHeight="false" outlineLevel="0" collapsed="false">
      <c r="A36" s="0" t="s">
        <v>136</v>
      </c>
      <c r="B36" s="0" t="n">
        <f aca="false">B30+B35</f>
        <v>147283.953714646</v>
      </c>
    </row>
    <row r="37" customFormat="false" ht="15" hidden="false" customHeight="false" outlineLevel="0" collapsed="false">
      <c r="A37" s="0" t="s">
        <v>137</v>
      </c>
      <c r="B37" s="0" t="n">
        <f aca="false">B36+Assumptions!$B$5-Assumptions!$B$4</f>
        <v>147283.953714646</v>
      </c>
    </row>
    <row r="38" customFormat="false" ht="15" hidden="false" customHeight="false" outlineLevel="0" collapsed="false">
      <c r="A38" s="0" t="s">
        <v>138</v>
      </c>
      <c r="B38" s="0" t="n">
        <f aca="false">B37/Assumptions!$B$3*Assumptions!$B$10</f>
        <v>62.8594230282803</v>
      </c>
    </row>
    <row r="39" customFormat="false" ht="15" hidden="false" customHeight="false" outlineLevel="0" collapsed="false">
      <c r="A39" s="0" t="s">
        <v>139</v>
      </c>
      <c r="B39" s="4" t="n">
        <f aca="false">B38/Assumptions!$B$2-1</f>
        <v>-0.466750737798776</v>
      </c>
    </row>
    <row r="41" customFormat="false" ht="15" hidden="false" customHeight="false" outlineLevel="0" collapsed="false">
      <c r="A41" s="0" t="s">
        <v>140</v>
      </c>
      <c r="B41" s="0" t="n">
        <f aca="false">SUMPRODUCT(-C10:L10/(1+$B$27/100)^C4:L4)</f>
        <v>214.621809490868</v>
      </c>
    </row>
    <row r="42" customFormat="false" ht="15" hidden="false" customHeight="false" outlineLevel="0" collapsed="false">
      <c r="A42" s="0" t="s">
        <v>141</v>
      </c>
      <c r="B42" s="0" t="n">
        <f aca="false">IF(B27&gt;B28,-L10*(1+B28/100)/((B27-B28)/100),-L10*20)/(1+B27/100)^L4</f>
        <v>200.129231697835</v>
      </c>
    </row>
    <row r="43" customFormat="false" ht="15" hidden="false" customHeight="false" outlineLevel="0" collapsed="false">
      <c r="A43" s="0" t="s">
        <v>142</v>
      </c>
      <c r="B43" s="0" t="n">
        <f aca="false">(B37+B41+B42)/Assumptions!$B$3*Assumptions!$B$10</f>
        <v>63.0364349192023</v>
      </c>
    </row>
    <row r="45" customFormat="false" ht="15" hidden="false" customHeight="false" outlineLevel="0" collapsed="false">
      <c r="A45" s="0" t="s">
        <v>82</v>
      </c>
      <c r="B45" s="4" t="n">
        <f aca="false">Assumptions!$B$6</f>
        <v>15</v>
      </c>
    </row>
    <row r="46" customFormat="false" ht="15" hidden="false" customHeight="false" outlineLevel="0" collapsed="false">
      <c r="A46" s="0" t="s">
        <v>143</v>
      </c>
      <c r="B46" s="0" t="n">
        <f aca="false">MAX(0,MIN(IF(B45&gt;B28,B31*(1+B28/100)/((B45-B28)/100),B31*B29),B31*B29))</f>
        <v>136065.60287676</v>
      </c>
    </row>
    <row r="47" customFormat="false" ht="15" hidden="false" customHeight="false" outlineLevel="0" collapsed="false">
      <c r="A47" s="0" t="s">
        <v>144</v>
      </c>
      <c r="B47" s="0" t="n">
        <f aca="false">(SUMPRODUCT(C19:L19/(1+B45/100)^C4:L4)+B46/(1+B45/100)^L4+Assumptions!$B$5-Assumptions!$B$4)/Assumptions!$B$3*Assumptions!$B$10</f>
        <v>43.9088338636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115</v>
      </c>
      <c r="B3" s="0" t="s">
        <v>85</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Assumptions!C27</f>
        <v>5</v>
      </c>
      <c r="D5" s="4" t="n">
        <f aca="false">Assumptions!D27</f>
        <v>5</v>
      </c>
      <c r="E5" s="4" t="n">
        <f aca="false">Assumptions!E27</f>
        <v>4.5</v>
      </c>
      <c r="F5" s="4" t="n">
        <f aca="false">Assumptions!F27</f>
        <v>4.5</v>
      </c>
      <c r="G5" s="4" t="n">
        <f aca="false">Assumptions!G27</f>
        <v>4</v>
      </c>
      <c r="H5" s="4" t="n">
        <f aca="false">Assumptions!H27</f>
        <v>4</v>
      </c>
      <c r="I5" s="4" t="n">
        <f aca="false">Assumptions!I27</f>
        <v>3.5</v>
      </c>
      <c r="J5" s="4" t="n">
        <f aca="false">Assumptions!J27</f>
        <v>3.5</v>
      </c>
      <c r="K5" s="4" t="n">
        <f aca="false">Assumptions!K27</f>
        <v>3</v>
      </c>
      <c r="L5" s="4" t="n">
        <f aca="false">Assumptions!L27</f>
        <v>3</v>
      </c>
    </row>
    <row r="6" customFormat="false" ht="15" hidden="false" customHeight="false" outlineLevel="0" collapsed="false">
      <c r="A6" s="0" t="s">
        <v>38</v>
      </c>
      <c r="B6" s="3" t="n">
        <v>65620</v>
      </c>
      <c r="C6" s="0" t="n">
        <f aca="false">B6*(1+C5/100)</f>
        <v>68901</v>
      </c>
      <c r="D6" s="0" t="n">
        <f aca="false">C6*(1+D5/100)</f>
        <v>72346.05</v>
      </c>
      <c r="E6" s="0" t="n">
        <f aca="false">D6*(1+E5/100)</f>
        <v>75601.62225</v>
      </c>
      <c r="F6" s="0" t="n">
        <f aca="false">E6*(1+F5/100)</f>
        <v>79003.69525125</v>
      </c>
      <c r="G6" s="0" t="n">
        <f aca="false">F6*(1+G5/100)</f>
        <v>82163.8430613</v>
      </c>
      <c r="H6" s="0" t="n">
        <f aca="false">G6*(1+H5/100)</f>
        <v>85450.396783752</v>
      </c>
      <c r="I6" s="0" t="n">
        <f aca="false">H6*(1+I5/100)</f>
        <v>88441.1606711833</v>
      </c>
      <c r="J6" s="0" t="n">
        <f aca="false">I6*(1+J5/100)</f>
        <v>91536.6012946747</v>
      </c>
      <c r="K6" s="0" t="n">
        <f aca="false">J6*(1+K5/100)</f>
        <v>94282.699333515</v>
      </c>
      <c r="L6" s="0" t="n">
        <f aca="false">K6*(1+L5/100)</f>
        <v>97111.1803135204</v>
      </c>
    </row>
    <row r="7" customFormat="false" ht="15" hidden="false" customHeight="false" outlineLevel="0" collapsed="false">
      <c r="A7" s="0" t="s">
        <v>101</v>
      </c>
      <c r="C7" s="4" t="n">
        <f aca="false">Assumptions!C28</f>
        <v>32</v>
      </c>
      <c r="D7" s="4" t="n">
        <f aca="false">Assumptions!D28</f>
        <v>32.2</v>
      </c>
      <c r="E7" s="4" t="n">
        <f aca="false">Assumptions!E28</f>
        <v>32.5</v>
      </c>
      <c r="F7" s="4" t="n">
        <f aca="false">Assumptions!F28</f>
        <v>32.8</v>
      </c>
      <c r="G7" s="4" t="n">
        <f aca="false">Assumptions!G28</f>
        <v>32.8</v>
      </c>
      <c r="H7" s="4" t="n">
        <f aca="false">Assumptions!H28</f>
        <v>32.8</v>
      </c>
      <c r="I7" s="4" t="n">
        <f aca="false">Assumptions!I28</f>
        <v>32.8</v>
      </c>
      <c r="J7" s="4" t="n">
        <f aca="false">Assumptions!J28</f>
        <v>32.8</v>
      </c>
      <c r="K7" s="4" t="n">
        <f aca="false">Assumptions!K28</f>
        <v>32.8</v>
      </c>
      <c r="L7" s="4" t="n">
        <f aca="false">Assumptions!L28</f>
        <v>32.8</v>
      </c>
    </row>
    <row r="8" customFormat="false" ht="15" hidden="false" customHeight="false" outlineLevel="0" collapsed="false">
      <c r="A8" s="0" t="s">
        <v>44</v>
      </c>
      <c r="C8" s="0" t="n">
        <f aca="false">C6*C7/100</f>
        <v>22048.32</v>
      </c>
      <c r="D8" s="0" t="n">
        <f aca="false">D6*D7/100</f>
        <v>23295.4281</v>
      </c>
      <c r="E8" s="0" t="n">
        <f aca="false">E6*E7/100</f>
        <v>24570.52723125</v>
      </c>
      <c r="F8" s="0" t="n">
        <f aca="false">F6*F7/100</f>
        <v>25913.21204241</v>
      </c>
      <c r="G8" s="0" t="n">
        <f aca="false">G6*G7/100</f>
        <v>26949.7405241064</v>
      </c>
      <c r="H8" s="0" t="n">
        <f aca="false">H6*H7/100</f>
        <v>28027.7301450707</v>
      </c>
      <c r="I8" s="0" t="n">
        <f aca="false">I6*I7/100</f>
        <v>29008.7007001481</v>
      </c>
      <c r="J8" s="0" t="n">
        <f aca="false">J6*J7/100</f>
        <v>30024.0052246533</v>
      </c>
      <c r="K8" s="0" t="n">
        <f aca="false">K6*K7/100</f>
        <v>30924.7253813929</v>
      </c>
      <c r="L8" s="0" t="n">
        <f aca="false">L6*L7/100</f>
        <v>31852.4671428347</v>
      </c>
    </row>
    <row r="9" customFormat="false" ht="15" hidden="false" customHeight="false" outlineLevel="0" collapsed="false">
      <c r="A9" s="0" t="s">
        <v>102</v>
      </c>
      <c r="C9" s="4" t="n">
        <f aca="false">Assumptions!C29</f>
        <v>0.05</v>
      </c>
      <c r="D9" s="4" t="n">
        <f aca="false">Assumptions!D29</f>
        <v>0.05</v>
      </c>
      <c r="E9" s="4" t="n">
        <f aca="false">Assumptions!E29</f>
        <v>0.05</v>
      </c>
      <c r="F9" s="4" t="n">
        <f aca="false">Assumptions!F29</f>
        <v>0.05</v>
      </c>
      <c r="G9" s="4" t="n">
        <f aca="false">Assumptions!G29</f>
        <v>0.05</v>
      </c>
      <c r="H9" s="4" t="n">
        <f aca="false">Assumptions!H29</f>
        <v>0.05</v>
      </c>
      <c r="I9" s="4" t="n">
        <f aca="false">Assumptions!I29</f>
        <v>0.05</v>
      </c>
      <c r="J9" s="4" t="n">
        <f aca="false">Assumptions!J29</f>
        <v>0.05</v>
      </c>
      <c r="K9" s="4" t="n">
        <f aca="false">Assumptions!K29</f>
        <v>0.05</v>
      </c>
      <c r="L9" s="4" t="n">
        <f aca="false">Assumptions!L29</f>
        <v>0.05</v>
      </c>
    </row>
    <row r="10" customFormat="false" ht="15" hidden="false" customHeight="false" outlineLevel="0" collapsed="false">
      <c r="A10" s="0" t="s">
        <v>117</v>
      </c>
      <c r="C10" s="0" t="n">
        <f aca="false">-C6*C9/100</f>
        <v>-34.4505</v>
      </c>
      <c r="D10" s="0" t="n">
        <f aca="false">-D6*D9/100</f>
        <v>-36.173025</v>
      </c>
      <c r="E10" s="0" t="n">
        <f aca="false">-E6*E9/100</f>
        <v>-37.800811125</v>
      </c>
      <c r="F10" s="0" t="n">
        <f aca="false">-F6*F9/100</f>
        <v>-39.501847625625</v>
      </c>
      <c r="G10" s="0" t="n">
        <f aca="false">-G6*G9/100</f>
        <v>-41.08192153065</v>
      </c>
      <c r="H10" s="0" t="n">
        <f aca="false">-H6*H9/100</f>
        <v>-42.725198391876</v>
      </c>
      <c r="I10" s="0" t="n">
        <f aca="false">-I6*I9/100</f>
        <v>-44.2205803355917</v>
      </c>
      <c r="J10" s="0" t="n">
        <f aca="false">-J6*J9/100</f>
        <v>-45.7683006473374</v>
      </c>
      <c r="K10" s="0" t="n">
        <f aca="false">-K6*K9/100</f>
        <v>-47.1413496667575</v>
      </c>
      <c r="L10" s="0" t="n">
        <f aca="false">-L6*L9/100</f>
        <v>-48.5555901567602</v>
      </c>
    </row>
    <row r="11" customFormat="false" ht="15" hidden="false" customHeight="false" outlineLevel="0" collapsed="false">
      <c r="A11" s="0" t="s">
        <v>118</v>
      </c>
      <c r="C11" s="0" t="n">
        <f aca="false">C8+C10+C24</f>
        <v>22013.8695</v>
      </c>
      <c r="D11" s="0" t="n">
        <f aca="false">D8+D10+D24</f>
        <v>23259.255075</v>
      </c>
      <c r="E11" s="0" t="n">
        <f aca="false">E8+E10+E24</f>
        <v>24532.726420125</v>
      </c>
      <c r="F11" s="0" t="n">
        <f aca="false">F8+F10+F24</f>
        <v>25873.7101947844</v>
      </c>
      <c r="G11" s="0" t="n">
        <f aca="false">G8+G10+G24</f>
        <v>26908.6586025758</v>
      </c>
      <c r="H11" s="0" t="n">
        <f aca="false">H8+H10+H24</f>
        <v>27985.0049466788</v>
      </c>
      <c r="I11" s="0" t="n">
        <f aca="false">I8+I10+I24</f>
        <v>28964.4801198125</v>
      </c>
      <c r="J11" s="0" t="n">
        <f aca="false">J8+J10+J24</f>
        <v>29978.236924006</v>
      </c>
      <c r="K11" s="0" t="n">
        <f aca="false">K8+K10+K24</f>
        <v>30877.5840317262</v>
      </c>
      <c r="L11" s="0" t="n">
        <f aca="false">L8+L10+L24</f>
        <v>31803.9115526779</v>
      </c>
    </row>
    <row r="12" customFormat="false" ht="15" hidden="false" customHeight="false" outlineLevel="0" collapsed="false">
      <c r="A12" s="0" t="s">
        <v>119</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120</v>
      </c>
      <c r="C13" s="0" t="n">
        <f aca="false">C11+C12</f>
        <v>22013.8695</v>
      </c>
      <c r="D13" s="0" t="n">
        <f aca="false">D11+D12</f>
        <v>23259.255075</v>
      </c>
      <c r="E13" s="0" t="n">
        <f aca="false">E11+E12</f>
        <v>24532.726420125</v>
      </c>
      <c r="F13" s="0" t="n">
        <f aca="false">F11+F12</f>
        <v>25873.7101947844</v>
      </c>
      <c r="G13" s="0" t="n">
        <f aca="false">G11+G12</f>
        <v>26908.6586025758</v>
      </c>
      <c r="H13" s="0" t="n">
        <f aca="false">H11+H12</f>
        <v>27985.0049466788</v>
      </c>
      <c r="I13" s="0" t="n">
        <f aca="false">I11+I12</f>
        <v>28964.4801198125</v>
      </c>
      <c r="J13" s="0" t="n">
        <f aca="false">J11+J12</f>
        <v>29978.236924006</v>
      </c>
      <c r="K13" s="0" t="n">
        <f aca="false">K11+K12</f>
        <v>30877.5840317262</v>
      </c>
      <c r="L13" s="0" t="n">
        <f aca="false">L11+L12</f>
        <v>31803.9115526779</v>
      </c>
    </row>
    <row r="14" customFormat="false" ht="15" hidden="false" customHeight="false" outlineLevel="0" collapsed="false">
      <c r="A14" s="0" t="s">
        <v>106</v>
      </c>
      <c r="C14" s="4" t="n">
        <f aca="false">Assumptions!C33</f>
        <v>21.5</v>
      </c>
      <c r="D14" s="4" t="n">
        <f aca="false">Assumptions!D33</f>
        <v>21.5</v>
      </c>
      <c r="E14" s="4" t="n">
        <f aca="false">Assumptions!E33</f>
        <v>21.5</v>
      </c>
      <c r="F14" s="4" t="n">
        <f aca="false">Assumptions!F33</f>
        <v>21.5</v>
      </c>
      <c r="G14" s="4" t="n">
        <f aca="false">Assumptions!G33</f>
        <v>21.5</v>
      </c>
      <c r="H14" s="4" t="n">
        <f aca="false">Assumptions!H33</f>
        <v>21.5</v>
      </c>
      <c r="I14" s="4" t="n">
        <f aca="false">Assumptions!I33</f>
        <v>21.5</v>
      </c>
      <c r="J14" s="4" t="n">
        <f aca="false">Assumptions!J33</f>
        <v>21.5</v>
      </c>
      <c r="K14" s="4" t="n">
        <f aca="false">Assumptions!K33</f>
        <v>21.5</v>
      </c>
      <c r="L14" s="4" t="n">
        <f aca="false">Assumptions!L33</f>
        <v>21.5</v>
      </c>
    </row>
    <row r="15" customFormat="false" ht="15" hidden="false" customHeight="false" outlineLevel="0" collapsed="false">
      <c r="A15" s="0" t="s">
        <v>121</v>
      </c>
      <c r="C15" s="0" t="n">
        <f aca="false">C13-MAX(0,C13)*C14/100</f>
        <v>17280.8875575</v>
      </c>
      <c r="D15" s="0" t="n">
        <f aca="false">D13-MAX(0,D13)*D14/100</f>
        <v>18258.515233875</v>
      </c>
      <c r="E15" s="0" t="n">
        <f aca="false">E13-MAX(0,E13)*E14/100</f>
        <v>19258.1902397981</v>
      </c>
      <c r="F15" s="0" t="n">
        <f aca="false">F13-MAX(0,F13)*F14/100</f>
        <v>20310.8625029057</v>
      </c>
      <c r="G15" s="0" t="n">
        <f aca="false">G13-MAX(0,G13)*G14/100</f>
        <v>21123.297003022</v>
      </c>
      <c r="H15" s="0" t="n">
        <f aca="false">H13-MAX(0,H13)*H14/100</f>
        <v>21968.2288831428</v>
      </c>
      <c r="I15" s="0" t="n">
        <f aca="false">I13-MAX(0,I13)*I14/100</f>
        <v>22737.1168940528</v>
      </c>
      <c r="J15" s="0" t="n">
        <f aca="false">J13-MAX(0,J13)*J14/100</f>
        <v>23532.9159853447</v>
      </c>
      <c r="K15" s="0" t="n">
        <f aca="false">K13-MAX(0,K13)*K14/100</f>
        <v>24238.903464905</v>
      </c>
      <c r="L15" s="0" t="n">
        <f aca="false">L13-MAX(0,L13)*L14/100</f>
        <v>24966.0705688522</v>
      </c>
    </row>
    <row r="16" customFormat="false" ht="15" hidden="false" customHeight="false" outlineLevel="0" collapsed="false">
      <c r="A16" s="0" t="s">
        <v>122</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123</v>
      </c>
      <c r="C17" s="4" t="n">
        <f aca="false">-C6*Assumptions!C32/100</f>
        <v>-4244.3016</v>
      </c>
      <c r="D17" s="4" t="n">
        <f aca="false">-D6*Assumptions!D32/100</f>
        <v>-4456.51668</v>
      </c>
      <c r="E17" s="4" t="n">
        <f aca="false">-E6*Assumptions!E32/100</f>
        <v>-4211.010359325</v>
      </c>
      <c r="F17" s="4" t="n">
        <f aca="false">-F6*Assumptions!F32/100</f>
        <v>-4400.50582549463</v>
      </c>
      <c r="G17" s="4" t="n">
        <f aca="false">-G6*Assumptions!G32/100</f>
        <v>-4091.75938445274</v>
      </c>
      <c r="H17" s="4" t="n">
        <f aca="false">-H6*Assumptions!H32/100</f>
        <v>-4255.42975983085</v>
      </c>
      <c r="I17" s="4" t="n">
        <f aca="false">-I6*Assumptions!I32/100</f>
        <v>-3873.72283739783</v>
      </c>
      <c r="J17" s="4" t="n">
        <f aca="false">-J6*Assumptions!J32/100</f>
        <v>-4009.30313670675</v>
      </c>
      <c r="K17" s="4" t="n">
        <f aca="false">-K6*Assumptions!K32/100</f>
        <v>-3554.45776487351</v>
      </c>
      <c r="L17" s="4" t="n">
        <f aca="false">-L6*Assumptions!L32/100</f>
        <v>-3661.09149781972</v>
      </c>
    </row>
    <row r="18" customFormat="false" ht="15" hidden="false" customHeight="false" outlineLevel="0" collapsed="false">
      <c r="A18" s="0" t="s">
        <v>124</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125</v>
      </c>
      <c r="C19" s="0" t="n">
        <f aca="false">C15+C16+C17+C18</f>
        <v>13036.5859575</v>
      </c>
      <c r="D19" s="0" t="n">
        <f aca="false">D15+D16+D17+D18</f>
        <v>13801.998553875</v>
      </c>
      <c r="E19" s="0" t="n">
        <f aca="false">E15+E16+E17+E18</f>
        <v>15047.1798804731</v>
      </c>
      <c r="F19" s="0" t="n">
        <f aca="false">F15+F16+F17+F18</f>
        <v>15910.3566774111</v>
      </c>
      <c r="G19" s="0" t="n">
        <f aca="false">G15+G16+G17+G18</f>
        <v>17031.5376185692</v>
      </c>
      <c r="H19" s="0" t="n">
        <f aca="false">H15+H16+H17+H18</f>
        <v>17712.799123312</v>
      </c>
      <c r="I19" s="0" t="n">
        <f aca="false">I15+I16+I17+I18</f>
        <v>18863.394056655</v>
      </c>
      <c r="J19" s="0" t="n">
        <f aca="false">J15+J16+J17+J18</f>
        <v>19523.6128486379</v>
      </c>
      <c r="K19" s="0" t="n">
        <f aca="false">K15+K16+K17+K18</f>
        <v>20684.4457000315</v>
      </c>
      <c r="L19" s="0" t="n">
        <f aca="false">L15+L16+L17+L18</f>
        <v>21304.9790710325</v>
      </c>
    </row>
    <row r="20" customFormat="false" ht="15" hidden="false" customHeight="false" outlineLevel="0" collapsed="false">
      <c r="A20" s="0" t="s">
        <v>126</v>
      </c>
      <c r="C20" s="0" t="n">
        <f aca="false">1/(1+$B$27/100)^C4</f>
        <v>0.911161731207289</v>
      </c>
      <c r="D20" s="0" t="n">
        <f aca="false">1/(1+$B$27/100)^D4</f>
        <v>0.830215700416665</v>
      </c>
      <c r="E20" s="0" t="n">
        <f aca="false">1/(1+$B$27/100)^E4</f>
        <v>0.756460774867121</v>
      </c>
      <c r="F20" s="0" t="n">
        <f aca="false">1/(1+$B$27/100)^F4</f>
        <v>0.689258109218333</v>
      </c>
      <c r="G20" s="0" t="n">
        <f aca="false">1/(1+$B$27/100)^G4</f>
        <v>0.628025612044039</v>
      </c>
      <c r="H20" s="0" t="n">
        <f aca="false">1/(1+$B$27/100)^H4</f>
        <v>0.572232903912564</v>
      </c>
      <c r="I20" s="0" t="n">
        <f aca="false">1/(1+$B$27/100)^I4</f>
        <v>0.521396723382747</v>
      </c>
      <c r="J20" s="0" t="n">
        <f aca="false">1/(1+$B$27/100)^J4</f>
        <v>0.475076741123232</v>
      </c>
      <c r="K20" s="0" t="n">
        <f aca="false">1/(1+$B$27/100)^K4</f>
        <v>0.432871745898161</v>
      </c>
      <c r="L20" s="0" t="n">
        <f aca="false">1/(1+$B$27/100)^L4</f>
        <v>0.39441616938329</v>
      </c>
    </row>
    <row r="21" customFormat="false" ht="15" hidden="false" customHeight="false" outlineLevel="0" collapsed="false">
      <c r="A21" s="0" t="s">
        <v>127</v>
      </c>
      <c r="C21" s="0" t="n">
        <f aca="false">C19*C20</f>
        <v>11878.4382300683</v>
      </c>
      <c r="D21" s="0" t="n">
        <f aca="false">D19*D20</f>
        <v>11458.6358965551</v>
      </c>
      <c r="E21" s="0" t="n">
        <f aca="false">E19*E20</f>
        <v>11382.6013519476</v>
      </c>
      <c r="F21" s="0" t="n">
        <f aca="false">F19*F20</f>
        <v>10966.3423604617</v>
      </c>
      <c r="G21" s="0" t="n">
        <f aca="false">G19*G20</f>
        <v>10696.241836953</v>
      </c>
      <c r="H21" s="0" t="n">
        <f aca="false">H19*H20</f>
        <v>10135.8464787527</v>
      </c>
      <c r="I21" s="0" t="n">
        <f aca="false">I19*I20</f>
        <v>9835.3118530175</v>
      </c>
      <c r="J21" s="0" t="n">
        <f aca="false">J19*J20</f>
        <v>9275.21436708256</v>
      </c>
      <c r="K21" s="0" t="n">
        <f aca="false">K19*K20</f>
        <v>8953.71212310835</v>
      </c>
      <c r="L21" s="0" t="n">
        <f aca="false">L19*L20</f>
        <v>8403.02823398779</v>
      </c>
    </row>
    <row r="23" customFormat="false" ht="15" hidden="false" customHeight="false" outlineLevel="0" collapsed="false">
      <c r="A23" s="0" t="s">
        <v>103</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Assumptions!$B$34</f>
        <v>9.75</v>
      </c>
    </row>
    <row r="28" customFormat="false" ht="15" hidden="false" customHeight="false" outlineLevel="0" collapsed="false">
      <c r="A28" s="0" t="s">
        <v>108</v>
      </c>
      <c r="B28" s="4" t="n">
        <f aca="false">Assumptions!$B$35</f>
        <v>3</v>
      </c>
    </row>
    <row r="29" customFormat="false" ht="15" hidden="false" customHeight="false" outlineLevel="0" collapsed="false">
      <c r="A29" s="0" t="s">
        <v>109</v>
      </c>
      <c r="B29" s="4" t="n">
        <f aca="false">Assumptions!$B$36</f>
        <v>13</v>
      </c>
    </row>
    <row r="30" customFormat="false" ht="15" hidden="false" customHeight="false" outlineLevel="0" collapsed="false">
      <c r="A30" s="0" t="s">
        <v>130</v>
      </c>
      <c r="B30" s="0" t="n">
        <f aca="false">SUM(C21:L21)</f>
        <v>102985.372731935</v>
      </c>
    </row>
    <row r="31" customFormat="false" ht="15" hidden="false" customHeight="false" outlineLevel="0" collapsed="false">
      <c r="A31" s="0" t="s">
        <v>131</v>
      </c>
      <c r="B31" s="0" t="n">
        <f aca="false">L19</f>
        <v>21304.9790710325</v>
      </c>
    </row>
    <row r="32" customFormat="false" ht="15" hidden="false" customHeight="false" outlineLevel="0" collapsed="false">
      <c r="A32" s="0" t="s">
        <v>132</v>
      </c>
      <c r="B32" s="0" t="n">
        <f aca="false">IF(B27&gt;B28,B31*(1+B28/100)/((B27-B28)/100),B31*B29)</f>
        <v>325098.199157977</v>
      </c>
    </row>
    <row r="33" customFormat="false" ht="15" hidden="false" customHeight="false" outlineLevel="0" collapsed="false">
      <c r="A33" s="0" t="s">
        <v>133</v>
      </c>
      <c r="B33" s="0" t="n">
        <f aca="false">B31*B29</f>
        <v>276964.727923422</v>
      </c>
    </row>
    <row r="34" customFormat="false" ht="15" hidden="false" customHeight="false" outlineLevel="0" collapsed="false">
      <c r="A34" s="0" t="s">
        <v>134</v>
      </c>
      <c r="B34" s="0" t="n">
        <f aca="false">MAX(0,MIN(B32,B33))</f>
        <v>276964.727923422</v>
      </c>
    </row>
    <row r="35" customFormat="false" ht="15" hidden="false" customHeight="false" outlineLevel="0" collapsed="false">
      <c r="A35" s="0" t="s">
        <v>135</v>
      </c>
      <c r="B35" s="0" t="n">
        <f aca="false">B34/(1+B27/100)^L4</f>
        <v>109239.367041841</v>
      </c>
    </row>
    <row r="36" customFormat="false" ht="15" hidden="false" customHeight="false" outlineLevel="0" collapsed="false">
      <c r="A36" s="0" t="s">
        <v>136</v>
      </c>
      <c r="B36" s="0" t="n">
        <f aca="false">B30+B35</f>
        <v>212224.739773776</v>
      </c>
    </row>
    <row r="37" customFormat="false" ht="15" hidden="false" customHeight="false" outlineLevel="0" collapsed="false">
      <c r="A37" s="0" t="s">
        <v>137</v>
      </c>
      <c r="B37" s="0" t="n">
        <f aca="false">B36+Assumptions!$B$5-Assumptions!$B$4</f>
        <v>212224.739773776</v>
      </c>
    </row>
    <row r="38" customFormat="false" ht="15" hidden="false" customHeight="false" outlineLevel="0" collapsed="false">
      <c r="A38" s="0" t="s">
        <v>138</v>
      </c>
      <c r="B38" s="0" t="n">
        <f aca="false">B37/Assumptions!$B$3*Assumptions!$B$10</f>
        <v>90.5755471526288</v>
      </c>
    </row>
    <row r="39" customFormat="false" ht="15" hidden="false" customHeight="false" outlineLevel="0" collapsed="false">
      <c r="A39" s="0" t="s">
        <v>139</v>
      </c>
      <c r="B39" s="4" t="n">
        <f aca="false">B38/Assumptions!$B$2-1</f>
        <v>-0.231629223340441</v>
      </c>
    </row>
    <row r="41" customFormat="false" ht="15" hidden="false" customHeight="false" outlineLevel="0" collapsed="false">
      <c r="A41" s="0" t="s">
        <v>140</v>
      </c>
      <c r="B41" s="0" t="n">
        <f aca="false">SUMPRODUCT(-C10:L10/(1+$B$27/100)^C4:L4)</f>
        <v>251.849642463434</v>
      </c>
    </row>
    <row r="42" customFormat="false" ht="15" hidden="false" customHeight="false" outlineLevel="0" collapsed="false">
      <c r="A42" s="0" t="s">
        <v>141</v>
      </c>
      <c r="B42" s="0" t="n">
        <f aca="false">IF(B27&gt;B28,-L10*(1+B28/100)/((B27-B28)/100),-L10*20)/(1+B27/100)^L4</f>
        <v>292.231750635964</v>
      </c>
    </row>
    <row r="43" customFormat="false" ht="15" hidden="false" customHeight="false" outlineLevel="0" collapsed="false">
      <c r="A43" s="0" t="s">
        <v>142</v>
      </c>
      <c r="B43" s="0" t="n">
        <f aca="false">(B37+B41+B42)/Assumptions!$B$3*Assumptions!$B$10</f>
        <v>90.8077560361364</v>
      </c>
    </row>
    <row r="45" customFormat="false" ht="15" hidden="false" customHeight="false" outlineLevel="0" collapsed="false">
      <c r="A45" s="0" t="s">
        <v>82</v>
      </c>
      <c r="B45" s="4" t="n">
        <f aca="false">Assumptions!$B$6</f>
        <v>15</v>
      </c>
    </row>
    <row r="46" customFormat="false" ht="15" hidden="false" customHeight="false" outlineLevel="0" collapsed="false">
      <c r="A46" s="0" t="s">
        <v>143</v>
      </c>
      <c r="B46" s="0" t="n">
        <f aca="false">MAX(0,MIN(IF(B45&gt;B28,B31*(1+B28/100)/((B45-B28)/100),B31*B29),B31*B29))</f>
        <v>182867.737026362</v>
      </c>
    </row>
    <row r="47" customFormat="false" ht="15" hidden="false" customHeight="false" outlineLevel="0" collapsed="false">
      <c r="A47" s="0" t="s">
        <v>144</v>
      </c>
      <c r="B47" s="0" t="n">
        <f aca="false">(SUMPRODUCT(C19:L19/(1+B45/100)^C4:L4)+B46/(1+B45/100)^L4+Assumptions!$B$5-Assumptions!$B$4)/Assumptions!$B$3*Assumptions!$B$10</f>
        <v>54.0788087247755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115</v>
      </c>
      <c r="B3" s="0" t="s">
        <v>85</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Assumptions!C41</f>
        <v>7</v>
      </c>
      <c r="D5" s="4" t="n">
        <f aca="false">Assumptions!D41</f>
        <v>6.5</v>
      </c>
      <c r="E5" s="4" t="n">
        <f aca="false">Assumptions!E41</f>
        <v>6</v>
      </c>
      <c r="F5" s="4" t="n">
        <f aca="false">Assumptions!F41</f>
        <v>5.5</v>
      </c>
      <c r="G5" s="4" t="n">
        <f aca="false">Assumptions!G41</f>
        <v>5</v>
      </c>
      <c r="H5" s="4" t="n">
        <f aca="false">Assumptions!H41</f>
        <v>4.5</v>
      </c>
      <c r="I5" s="4" t="n">
        <f aca="false">Assumptions!I41</f>
        <v>4.5</v>
      </c>
      <c r="J5" s="4" t="n">
        <f aca="false">Assumptions!J41</f>
        <v>4</v>
      </c>
      <c r="K5" s="4" t="n">
        <f aca="false">Assumptions!K41</f>
        <v>4</v>
      </c>
      <c r="L5" s="4" t="n">
        <f aca="false">Assumptions!L41</f>
        <v>3.5</v>
      </c>
    </row>
    <row r="6" customFormat="false" ht="15" hidden="false" customHeight="false" outlineLevel="0" collapsed="false">
      <c r="A6" s="0" t="s">
        <v>38</v>
      </c>
      <c r="B6" s="3" t="n">
        <v>65620</v>
      </c>
      <c r="C6" s="0" t="n">
        <f aca="false">B6*(1+C5/100)</f>
        <v>70213.4</v>
      </c>
      <c r="D6" s="0" t="n">
        <f aca="false">C6*(1+D5/100)</f>
        <v>74777.271</v>
      </c>
      <c r="E6" s="0" t="n">
        <f aca="false">D6*(1+E5/100)</f>
        <v>79263.90726</v>
      </c>
      <c r="F6" s="0" t="n">
        <f aca="false">E6*(1+F5/100)</f>
        <v>83623.4221593</v>
      </c>
      <c r="G6" s="0" t="n">
        <f aca="false">F6*(1+G5/100)</f>
        <v>87804.593267265</v>
      </c>
      <c r="H6" s="0" t="n">
        <f aca="false">G6*(1+H5/100)</f>
        <v>91755.7999642919</v>
      </c>
      <c r="I6" s="0" t="n">
        <f aca="false">H6*(1+I5/100)</f>
        <v>95884.8109626851</v>
      </c>
      <c r="J6" s="0" t="n">
        <f aca="false">I6*(1+J5/100)</f>
        <v>99720.2034011925</v>
      </c>
      <c r="K6" s="0" t="n">
        <f aca="false">J6*(1+K5/100)</f>
        <v>103709.01153724</v>
      </c>
      <c r="L6" s="0" t="n">
        <f aca="false">K6*(1+L5/100)</f>
        <v>107338.826941044</v>
      </c>
    </row>
    <row r="7" customFormat="false" ht="15" hidden="false" customHeight="false" outlineLevel="0" collapsed="false">
      <c r="A7" s="0" t="s">
        <v>101</v>
      </c>
      <c r="C7" s="4" t="n">
        <f aca="false">Assumptions!C42</f>
        <v>33.3</v>
      </c>
      <c r="D7" s="4" t="n">
        <f aca="false">Assumptions!D42</f>
        <v>34.8</v>
      </c>
      <c r="E7" s="4" t="n">
        <f aca="false">Assumptions!E42</f>
        <v>35.8</v>
      </c>
      <c r="F7" s="4" t="n">
        <f aca="false">Assumptions!F42</f>
        <v>36.2</v>
      </c>
      <c r="G7" s="4" t="n">
        <f aca="false">Assumptions!G42</f>
        <v>36.2</v>
      </c>
      <c r="H7" s="4" t="n">
        <f aca="false">Assumptions!H42</f>
        <v>36.2</v>
      </c>
      <c r="I7" s="4" t="n">
        <f aca="false">Assumptions!I42</f>
        <v>36.2</v>
      </c>
      <c r="J7" s="4" t="n">
        <f aca="false">Assumptions!J42</f>
        <v>36.2</v>
      </c>
      <c r="K7" s="4" t="n">
        <f aca="false">Assumptions!K42</f>
        <v>36.2</v>
      </c>
      <c r="L7" s="4" t="n">
        <f aca="false">Assumptions!L42</f>
        <v>36.2</v>
      </c>
    </row>
    <row r="8" customFormat="false" ht="15" hidden="false" customHeight="false" outlineLevel="0" collapsed="false">
      <c r="A8" s="0" t="s">
        <v>44</v>
      </c>
      <c r="C8" s="0" t="n">
        <f aca="false">C6*C7/100</f>
        <v>23381.0622</v>
      </c>
      <c r="D8" s="0" t="n">
        <f aca="false">D6*D7/100</f>
        <v>26022.490308</v>
      </c>
      <c r="E8" s="0" t="n">
        <f aca="false">E6*E7/100</f>
        <v>28376.47879908</v>
      </c>
      <c r="F8" s="0" t="n">
        <f aca="false">F6*F7/100</f>
        <v>30271.6788216666</v>
      </c>
      <c r="G8" s="0" t="n">
        <f aca="false">G6*G7/100</f>
        <v>31785.2627627499</v>
      </c>
      <c r="H8" s="0" t="n">
        <f aca="false">H6*H7/100</f>
        <v>33215.5995870737</v>
      </c>
      <c r="I8" s="0" t="n">
        <f aca="false">I6*I7/100</f>
        <v>34710.301568492</v>
      </c>
      <c r="J8" s="0" t="n">
        <f aca="false">J6*J7/100</f>
        <v>36098.7136312317</v>
      </c>
      <c r="K8" s="0" t="n">
        <f aca="false">K6*K7/100</f>
        <v>37542.6621764809</v>
      </c>
      <c r="L8" s="0" t="n">
        <f aca="false">L6*L7/100</f>
        <v>38856.6553526578</v>
      </c>
    </row>
    <row r="9" customFormat="false" ht="15" hidden="false" customHeight="false" outlineLevel="0" collapsed="false">
      <c r="A9" s="0" t="s">
        <v>102</v>
      </c>
      <c r="C9" s="4" t="n">
        <f aca="false">Assumptions!C43</f>
        <v>0.05</v>
      </c>
      <c r="D9" s="4" t="n">
        <f aca="false">Assumptions!D43</f>
        <v>0.05</v>
      </c>
      <c r="E9" s="4" t="n">
        <f aca="false">Assumptions!E43</f>
        <v>0.05</v>
      </c>
      <c r="F9" s="4" t="n">
        <f aca="false">Assumptions!F43</f>
        <v>0.05</v>
      </c>
      <c r="G9" s="4" t="n">
        <f aca="false">Assumptions!G43</f>
        <v>0.05</v>
      </c>
      <c r="H9" s="4" t="n">
        <f aca="false">Assumptions!H43</f>
        <v>0.05</v>
      </c>
      <c r="I9" s="4" t="n">
        <f aca="false">Assumptions!I43</f>
        <v>0.05</v>
      </c>
      <c r="J9" s="4" t="n">
        <f aca="false">Assumptions!J43</f>
        <v>0.05</v>
      </c>
      <c r="K9" s="4" t="n">
        <f aca="false">Assumptions!K43</f>
        <v>0.05</v>
      </c>
      <c r="L9" s="4" t="n">
        <f aca="false">Assumptions!L43</f>
        <v>0.05</v>
      </c>
    </row>
    <row r="10" customFormat="false" ht="15" hidden="false" customHeight="false" outlineLevel="0" collapsed="false">
      <c r="A10" s="0" t="s">
        <v>117</v>
      </c>
      <c r="C10" s="0" t="n">
        <f aca="false">-C6*C9/100</f>
        <v>-35.1067</v>
      </c>
      <c r="D10" s="0" t="n">
        <f aca="false">-D6*D9/100</f>
        <v>-37.3886355</v>
      </c>
      <c r="E10" s="0" t="n">
        <f aca="false">-E6*E9/100</f>
        <v>-39.63195363</v>
      </c>
      <c r="F10" s="0" t="n">
        <f aca="false">-F6*F9/100</f>
        <v>-41.81171107965</v>
      </c>
      <c r="G10" s="0" t="n">
        <f aca="false">-G6*G9/100</f>
        <v>-43.9022966336325</v>
      </c>
      <c r="H10" s="0" t="n">
        <f aca="false">-H6*H9/100</f>
        <v>-45.877899982146</v>
      </c>
      <c r="I10" s="0" t="n">
        <f aca="false">-I6*I9/100</f>
        <v>-47.9424054813425</v>
      </c>
      <c r="J10" s="0" t="n">
        <f aca="false">-J6*J9/100</f>
        <v>-49.8601017005962</v>
      </c>
      <c r="K10" s="0" t="n">
        <f aca="false">-K6*K9/100</f>
        <v>-51.8545057686201</v>
      </c>
      <c r="L10" s="0" t="n">
        <f aca="false">-L6*L9/100</f>
        <v>-53.6694134705218</v>
      </c>
    </row>
    <row r="11" customFormat="false" ht="15" hidden="false" customHeight="false" outlineLevel="0" collapsed="false">
      <c r="A11" s="0" t="s">
        <v>118</v>
      </c>
      <c r="C11" s="0" t="n">
        <f aca="false">C8+C10+C24</f>
        <v>23345.9555</v>
      </c>
      <c r="D11" s="0" t="n">
        <f aca="false">D8+D10+D24</f>
        <v>25985.1016725</v>
      </c>
      <c r="E11" s="0" t="n">
        <f aca="false">E8+E10+E24</f>
        <v>28336.84684545</v>
      </c>
      <c r="F11" s="0" t="n">
        <f aca="false">F8+F10+F24</f>
        <v>30229.867110587</v>
      </c>
      <c r="G11" s="0" t="n">
        <f aca="false">G8+G10+G24</f>
        <v>31741.3604661163</v>
      </c>
      <c r="H11" s="0" t="n">
        <f aca="false">H8+H10+H24</f>
        <v>33169.7216870915</v>
      </c>
      <c r="I11" s="0" t="n">
        <f aca="false">I8+I10+I24</f>
        <v>34662.3591630106</v>
      </c>
      <c r="J11" s="0" t="n">
        <f aca="false">J8+J10+J24</f>
        <v>36048.8535295311</v>
      </c>
      <c r="K11" s="0" t="n">
        <f aca="false">K8+K10+K24</f>
        <v>37490.8076707123</v>
      </c>
      <c r="L11" s="0" t="n">
        <f aca="false">L8+L10+L24</f>
        <v>38802.9859391872</v>
      </c>
    </row>
    <row r="12" customFormat="false" ht="15" hidden="false" customHeight="false" outlineLevel="0" collapsed="false">
      <c r="A12" s="0" t="s">
        <v>119</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120</v>
      </c>
      <c r="C13" s="0" t="n">
        <f aca="false">C11+C12</f>
        <v>23345.9555</v>
      </c>
      <c r="D13" s="0" t="n">
        <f aca="false">D11+D12</f>
        <v>25985.1016725</v>
      </c>
      <c r="E13" s="0" t="n">
        <f aca="false">E11+E12</f>
        <v>28336.84684545</v>
      </c>
      <c r="F13" s="0" t="n">
        <f aca="false">F11+F12</f>
        <v>30229.867110587</v>
      </c>
      <c r="G13" s="0" t="n">
        <f aca="false">G11+G12</f>
        <v>31741.3604661163</v>
      </c>
      <c r="H13" s="0" t="n">
        <f aca="false">H11+H12</f>
        <v>33169.7216870915</v>
      </c>
      <c r="I13" s="0" t="n">
        <f aca="false">I11+I12</f>
        <v>34662.3591630106</v>
      </c>
      <c r="J13" s="0" t="n">
        <f aca="false">J11+J12</f>
        <v>36048.8535295311</v>
      </c>
      <c r="K13" s="0" t="n">
        <f aca="false">K11+K12</f>
        <v>37490.8076707123</v>
      </c>
      <c r="L13" s="0" t="n">
        <f aca="false">L11+L12</f>
        <v>38802.9859391872</v>
      </c>
    </row>
    <row r="14" customFormat="false" ht="15" hidden="false" customHeight="false" outlineLevel="0" collapsed="false">
      <c r="A14" s="0" t="s">
        <v>106</v>
      </c>
      <c r="C14" s="4" t="n">
        <f aca="false">Assumptions!C47</f>
        <v>21.5</v>
      </c>
      <c r="D14" s="4" t="n">
        <f aca="false">Assumptions!D47</f>
        <v>21.5</v>
      </c>
      <c r="E14" s="4" t="n">
        <f aca="false">Assumptions!E47</f>
        <v>21.5</v>
      </c>
      <c r="F14" s="4" t="n">
        <f aca="false">Assumptions!F47</f>
        <v>21.5</v>
      </c>
      <c r="G14" s="4" t="n">
        <f aca="false">Assumptions!G47</f>
        <v>21.5</v>
      </c>
      <c r="H14" s="4" t="n">
        <f aca="false">Assumptions!H47</f>
        <v>21.5</v>
      </c>
      <c r="I14" s="4" t="n">
        <f aca="false">Assumptions!I47</f>
        <v>21.5</v>
      </c>
      <c r="J14" s="4" t="n">
        <f aca="false">Assumptions!J47</f>
        <v>21.5</v>
      </c>
      <c r="K14" s="4" t="n">
        <f aca="false">Assumptions!K47</f>
        <v>21.5</v>
      </c>
      <c r="L14" s="4" t="n">
        <f aca="false">Assumptions!L47</f>
        <v>21.5</v>
      </c>
    </row>
    <row r="15" customFormat="false" ht="15" hidden="false" customHeight="false" outlineLevel="0" collapsed="false">
      <c r="A15" s="0" t="s">
        <v>121</v>
      </c>
      <c r="C15" s="0" t="n">
        <f aca="false">C13-MAX(0,C13)*C14/100</f>
        <v>18326.5750675</v>
      </c>
      <c r="D15" s="0" t="n">
        <f aca="false">D13-MAX(0,D13)*D14/100</f>
        <v>20398.3048129125</v>
      </c>
      <c r="E15" s="0" t="n">
        <f aca="false">E13-MAX(0,E13)*E14/100</f>
        <v>22244.4247736783</v>
      </c>
      <c r="F15" s="0" t="n">
        <f aca="false">F13-MAX(0,F13)*F14/100</f>
        <v>23730.4456818108</v>
      </c>
      <c r="G15" s="0" t="n">
        <f aca="false">G13-MAX(0,G13)*G14/100</f>
        <v>24916.9679659013</v>
      </c>
      <c r="H15" s="0" t="n">
        <f aca="false">H13-MAX(0,H13)*H14/100</f>
        <v>26038.2315243669</v>
      </c>
      <c r="I15" s="0" t="n">
        <f aca="false">I13-MAX(0,I13)*I14/100</f>
        <v>27209.9519429634</v>
      </c>
      <c r="J15" s="0" t="n">
        <f aca="false">J13-MAX(0,J13)*J14/100</f>
        <v>28298.3500206819</v>
      </c>
      <c r="K15" s="0" t="n">
        <f aca="false">K13-MAX(0,K13)*K14/100</f>
        <v>29430.2840215092</v>
      </c>
      <c r="L15" s="0" t="n">
        <f aca="false">L13-MAX(0,L13)*L14/100</f>
        <v>30460.343962262</v>
      </c>
    </row>
    <row r="16" customFormat="false" ht="15" hidden="false" customHeight="false" outlineLevel="0" collapsed="false">
      <c r="A16" s="0" t="s">
        <v>122</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123</v>
      </c>
      <c r="C17" s="4" t="n">
        <f aca="false">-C6*Assumptions!C46/100</f>
        <v>-5947.07498</v>
      </c>
      <c r="D17" s="4" t="n">
        <f aca="false">-D6*Assumptions!D46/100</f>
        <v>-5907.404409</v>
      </c>
      <c r="E17" s="4" t="n">
        <f aca="false">-E6*Assumptions!E46/100</f>
        <v>-5810.044402158</v>
      </c>
      <c r="F17" s="4" t="n">
        <f aca="false">-F6*Assumptions!F46/100</f>
        <v>-5644.58099575275</v>
      </c>
      <c r="G17" s="4" t="n">
        <f aca="false">-G6*Assumptions!G46/100</f>
        <v>-5408.76294526353</v>
      </c>
      <c r="H17" s="4" t="n">
        <f aca="false">-H6*Assumptions!H46/100</f>
        <v>-5110.79805801106</v>
      </c>
      <c r="I17" s="4" t="n">
        <f aca="false">-I6*Assumptions!I46/100</f>
        <v>-5340.78397062156</v>
      </c>
      <c r="J17" s="4" t="n">
        <f aca="false">-J6*Assumptions!J46/100</f>
        <v>-4966.06612937939</v>
      </c>
      <c r="K17" s="4" t="n">
        <f aca="false">-K6*Assumptions!K46/100</f>
        <v>-5164.70877455456</v>
      </c>
      <c r="L17" s="4" t="n">
        <f aca="false">-L6*Assumptions!L46/100</f>
        <v>-4701.44062001771</v>
      </c>
    </row>
    <row r="18" customFormat="false" ht="15" hidden="false" customHeight="false" outlineLevel="0" collapsed="false">
      <c r="A18" s="0" t="s">
        <v>124</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125</v>
      </c>
      <c r="C19" s="0" t="n">
        <f aca="false">C15+C16+C17+C18</f>
        <v>12379.5000875</v>
      </c>
      <c r="D19" s="0" t="n">
        <f aca="false">D15+D16+D17+D18</f>
        <v>14490.9004039125</v>
      </c>
      <c r="E19" s="0" t="n">
        <f aca="false">E15+E16+E17+E18</f>
        <v>16434.3803715203</v>
      </c>
      <c r="F19" s="0" t="n">
        <f aca="false">F15+F16+F17+F18</f>
        <v>18085.864686058</v>
      </c>
      <c r="G19" s="0" t="n">
        <f aca="false">G15+G16+G17+G18</f>
        <v>19508.2050206378</v>
      </c>
      <c r="H19" s="0" t="n">
        <f aca="false">H15+H16+H17+H18</f>
        <v>20927.4334663558</v>
      </c>
      <c r="I19" s="0" t="n">
        <f aca="false">I15+I16+I17+I18</f>
        <v>21869.1679723418</v>
      </c>
      <c r="J19" s="0" t="n">
        <f aca="false">J15+J16+J17+J18</f>
        <v>23332.2838913025</v>
      </c>
      <c r="K19" s="0" t="n">
        <f aca="false">K15+K16+K17+K18</f>
        <v>24265.5752469546</v>
      </c>
      <c r="L19" s="0" t="n">
        <f aca="false">L15+L16+L17+L18</f>
        <v>25758.9033422443</v>
      </c>
    </row>
    <row r="20" customFormat="false" ht="15" hidden="false" customHeight="false" outlineLevel="0" collapsed="false">
      <c r="A20" s="0" t="s">
        <v>126</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127</v>
      </c>
      <c r="C21" s="0" t="n">
        <f aca="false">C19*C20</f>
        <v>11305.4795319635</v>
      </c>
      <c r="D21" s="0" t="n">
        <f aca="false">D19*D20</f>
        <v>12085.5698621067</v>
      </c>
      <c r="E21" s="0" t="n">
        <f aca="false">E19*E20</f>
        <v>12517.3091047589</v>
      </c>
      <c r="F21" s="0" t="n">
        <f aca="false">F19*F20</f>
        <v>12580.0625510455</v>
      </c>
      <c r="G21" s="0" t="n">
        <f aca="false">G19*G20</f>
        <v>12392.1515290996</v>
      </c>
      <c r="H21" s="0" t="n">
        <f aca="false">H19*H20</f>
        <v>12140.3513252737</v>
      </c>
      <c r="I21" s="0" t="n">
        <f aca="false">I19*I20</f>
        <v>11585.9973834804</v>
      </c>
      <c r="J21" s="0" t="n">
        <f aca="false">J19*J20</f>
        <v>11288.7095361371</v>
      </c>
      <c r="K21" s="0" t="n">
        <f aca="false">K19*K20</f>
        <v>10721.696728386</v>
      </c>
      <c r="L21" s="0" t="n">
        <f aca="false">L19*L20</f>
        <v>10394.0829334457</v>
      </c>
    </row>
    <row r="23" customFormat="false" ht="15" hidden="false" customHeight="false" outlineLevel="0" collapsed="false">
      <c r="A23" s="0" t="s">
        <v>103</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Assumptions!$B$48</f>
        <v>9.5</v>
      </c>
    </row>
    <row r="28" customFormat="false" ht="15" hidden="false" customHeight="false" outlineLevel="0" collapsed="false">
      <c r="A28" s="0" t="s">
        <v>108</v>
      </c>
      <c r="B28" s="4" t="n">
        <f aca="false">Assumptions!$B$49</f>
        <v>3.5</v>
      </c>
    </row>
    <row r="29" customFormat="false" ht="15" hidden="false" customHeight="false" outlineLevel="0" collapsed="false">
      <c r="A29" s="0" t="s">
        <v>109</v>
      </c>
      <c r="B29" s="4" t="n">
        <f aca="false">Assumptions!$B$50</f>
        <v>14</v>
      </c>
    </row>
    <row r="30" customFormat="false" ht="15" hidden="false" customHeight="false" outlineLevel="0" collapsed="false">
      <c r="A30" s="0" t="s">
        <v>130</v>
      </c>
      <c r="B30" s="0" t="n">
        <f aca="false">SUM(C21:L21)</f>
        <v>117011.410485697</v>
      </c>
    </row>
    <row r="31" customFormat="false" ht="15" hidden="false" customHeight="false" outlineLevel="0" collapsed="false">
      <c r="A31" s="0" t="s">
        <v>131</v>
      </c>
      <c r="B31" s="0" t="n">
        <f aca="false">L19</f>
        <v>25758.9033422443</v>
      </c>
    </row>
    <row r="32" customFormat="false" ht="15" hidden="false" customHeight="false" outlineLevel="0" collapsed="false">
      <c r="A32" s="0" t="s">
        <v>132</v>
      </c>
      <c r="B32" s="0" t="n">
        <f aca="false">IF(B27&gt;B28,B31*(1+B28/100)/((B27-B28)/100),B31*B29)</f>
        <v>444341.082653714</v>
      </c>
    </row>
    <row r="33" customFormat="false" ht="15" hidden="false" customHeight="false" outlineLevel="0" collapsed="false">
      <c r="A33" s="0" t="s">
        <v>133</v>
      </c>
      <c r="B33" s="0" t="n">
        <f aca="false">B31*B29</f>
        <v>360624.64679142</v>
      </c>
    </row>
    <row r="34" customFormat="false" ht="15" hidden="false" customHeight="false" outlineLevel="0" collapsed="false">
      <c r="A34" s="0" t="s">
        <v>134</v>
      </c>
      <c r="B34" s="0" t="n">
        <f aca="false">MAX(0,MIN(B32,B33))</f>
        <v>360624.64679142</v>
      </c>
    </row>
    <row r="35" customFormat="false" ht="15" hidden="false" customHeight="false" outlineLevel="0" collapsed="false">
      <c r="A35" s="0" t="s">
        <v>135</v>
      </c>
      <c r="B35" s="0" t="n">
        <f aca="false">B34/(1+B27/100)^L4</f>
        <v>145517.161068239</v>
      </c>
    </row>
    <row r="36" customFormat="false" ht="15" hidden="false" customHeight="false" outlineLevel="0" collapsed="false">
      <c r="A36" s="0" t="s">
        <v>136</v>
      </c>
      <c r="B36" s="0" t="n">
        <f aca="false">B30+B35</f>
        <v>262528.571553936</v>
      </c>
    </row>
    <row r="37" customFormat="false" ht="15" hidden="false" customHeight="false" outlineLevel="0" collapsed="false">
      <c r="A37" s="0" t="s">
        <v>137</v>
      </c>
      <c r="B37" s="0" t="n">
        <f aca="false">B36+Assumptions!$B$5-Assumptions!$B$4</f>
        <v>262528.571553936</v>
      </c>
    </row>
    <row r="38" customFormat="false" ht="15" hidden="false" customHeight="false" outlineLevel="0" collapsed="false">
      <c r="A38" s="0" t="s">
        <v>138</v>
      </c>
      <c r="B38" s="0" t="n">
        <f aca="false">B37/Assumptions!$B$3*Assumptions!$B$10</f>
        <v>112.044755182846</v>
      </c>
    </row>
    <row r="39" customFormat="false" ht="15" hidden="false" customHeight="false" outlineLevel="0" collapsed="false">
      <c r="A39" s="0" t="s">
        <v>139</v>
      </c>
      <c r="B39" s="4" t="n">
        <f aca="false">B38/Assumptions!$B$2-1</f>
        <v>-0.0495015678414864</v>
      </c>
    </row>
    <row r="41" customFormat="false" ht="15" hidden="false" customHeight="false" outlineLevel="0" collapsed="false">
      <c r="A41" s="0" t="s">
        <v>140</v>
      </c>
      <c r="B41" s="0" t="n">
        <f aca="false">SUMPRODUCT(-C10:L10/(1+$B$27/100)^C4:L4)</f>
        <v>271.105841516531</v>
      </c>
    </row>
    <row r="42" customFormat="false" ht="15" hidden="false" customHeight="false" outlineLevel="0" collapsed="false">
      <c r="A42" s="0" t="s">
        <v>141</v>
      </c>
      <c r="B42" s="0" t="n">
        <f aca="false">IF(B27&gt;B28,-L10*(1+B28/100)/((B27-B28)/100),-L10*20)/(1+B27/100)^L4</f>
        <v>373.572377831125</v>
      </c>
    </row>
    <row r="43" customFormat="false" ht="15" hidden="false" customHeight="false" outlineLevel="0" collapsed="false">
      <c r="A43" s="0" t="s">
        <v>142</v>
      </c>
      <c r="B43" s="0" t="n">
        <f aca="false">(B37+B41+B42)/Assumptions!$B$3*Assumptions!$B$10</f>
        <v>112.319897857149</v>
      </c>
    </row>
    <row r="45" customFormat="false" ht="15" hidden="false" customHeight="false" outlineLevel="0" collapsed="false">
      <c r="A45" s="0" t="s">
        <v>82</v>
      </c>
      <c r="B45" s="4" t="n">
        <f aca="false">Assumptions!$B$6</f>
        <v>15</v>
      </c>
    </row>
    <row r="46" customFormat="false" ht="15" hidden="false" customHeight="false" outlineLevel="0" collapsed="false">
      <c r="A46" s="0" t="s">
        <v>143</v>
      </c>
      <c r="B46" s="0" t="n">
        <f aca="false">MAX(0,MIN(IF(B45&gt;B28,B31*(1+B28/100)/((B45-B28)/100),B31*B29),B31*B29))</f>
        <v>231830.130080198</v>
      </c>
    </row>
    <row r="47" customFormat="false" ht="15" hidden="false" customHeight="false" outlineLevel="0" collapsed="false">
      <c r="A47" s="0" t="s">
        <v>144</v>
      </c>
      <c r="B47" s="0" t="n">
        <f aca="false">(SUMPRODUCT(C19:L19/(1+B45/100)^C4:L4)+B46/(1+B45/100)^L4+Assumptions!$B$5-Assumptions!$B$4)/Assumptions!$B$3*Assumptions!$B$10</f>
        <v>63.1794066589077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147</v>
      </c>
    </row>
    <row r="3" customFormat="false" ht="15" hidden="false" customHeight="false" outlineLevel="0" collapsed="false">
      <c r="A3" s="2" t="s">
        <v>148</v>
      </c>
      <c r="B3" s="2" t="s">
        <v>149</v>
      </c>
      <c r="C3" s="2" t="s">
        <v>139</v>
      </c>
      <c r="D3" s="2" t="s">
        <v>150</v>
      </c>
      <c r="E3" s="2" t="s">
        <v>142</v>
      </c>
      <c r="F3" s="2" t="s">
        <v>151</v>
      </c>
    </row>
    <row r="4" customFormat="false" ht="15" hidden="false" customHeight="false" outlineLevel="0" collapsed="false">
      <c r="A4" s="0" t="s">
        <v>152</v>
      </c>
      <c r="B4" s="4" t="n">
        <f aca="false">DCF_Bear!$B$38</f>
        <v>62.8594230282803</v>
      </c>
      <c r="C4" s="0" t="n">
        <f aca="false">B4/Assumptions!$B$2-1</f>
        <v>-0.466750737798776</v>
      </c>
      <c r="D4" s="4" t="n">
        <f aca="false">Assumptions!$B$24</f>
        <v>0.3</v>
      </c>
      <c r="E4" s="4" t="n">
        <f aca="false">DCF_Bear!$B$43</f>
        <v>63.0364349192023</v>
      </c>
      <c r="F4" s="4" t="n">
        <f aca="false">DCF_Bear!$B$47</f>
        <v>43.9088338636</v>
      </c>
    </row>
    <row r="5" customFormat="false" ht="15" hidden="false" customHeight="false" outlineLevel="0" collapsed="false">
      <c r="A5" s="0" t="s">
        <v>153</v>
      </c>
      <c r="B5" s="4" t="n">
        <f aca="false">DCF_Base!$B$38</f>
        <v>90.5755471526288</v>
      </c>
      <c r="C5" s="0" t="n">
        <f aca="false">B5/Assumptions!$B$2-1</f>
        <v>-0.231629223340441</v>
      </c>
      <c r="D5" s="4" t="n">
        <f aca="false">Assumptions!$B$38</f>
        <v>0.5</v>
      </c>
      <c r="E5" s="4" t="n">
        <f aca="false">DCF_Base!$B$43</f>
        <v>90.8077560361364</v>
      </c>
      <c r="F5" s="4" t="n">
        <f aca="false">DCF_Base!$B$47</f>
        <v>54.0788087247755</v>
      </c>
    </row>
    <row r="6" customFormat="false" ht="15" hidden="false" customHeight="false" outlineLevel="0" collapsed="false">
      <c r="A6" s="0" t="s">
        <v>154</v>
      </c>
      <c r="B6" s="4" t="n">
        <f aca="false">DCF_Bull!$B$38</f>
        <v>112.044755182846</v>
      </c>
      <c r="C6" s="0" t="n">
        <f aca="false">B6/Assumptions!$B$2-1</f>
        <v>-0.0495015678414864</v>
      </c>
      <c r="D6" s="4" t="n">
        <f aca="false">Assumptions!$B$52</f>
        <v>0.2</v>
      </c>
      <c r="E6" s="4" t="n">
        <f aca="false">DCF_Bull!$B$43</f>
        <v>112.319897857149</v>
      </c>
      <c r="F6" s="4" t="n">
        <f aca="false">DCF_Bull!$B$47</f>
        <v>63.1794066589077</v>
      </c>
    </row>
    <row r="8" customFormat="false" ht="15" hidden="false" customHeight="false" outlineLevel="0" collapsed="false">
      <c r="A8" s="0" t="s">
        <v>155</v>
      </c>
      <c r="B8" s="0" t="n">
        <f aca="false">SUMPRODUCT(B4:B6,D4:D6)</f>
        <v>86.5545515213676</v>
      </c>
    </row>
    <row r="9" customFormat="false" ht="15" hidden="false" customHeight="false" outlineLevel="0" collapsed="false">
      <c r="A9" s="0" t="s">
        <v>156</v>
      </c>
      <c r="B9" s="0" t="n">
        <f aca="false">SUMPRODUCT(E4:E6,D4:D6)</f>
        <v>86.7787880652588</v>
      </c>
    </row>
    <row r="10" customFormat="false" ht="15" hidden="false" customHeight="false" outlineLevel="0" collapsed="false">
      <c r="A10" s="0" t="s">
        <v>157</v>
      </c>
      <c r="B10" s="0" t="n">
        <f aca="false">1-Assumptions!$B$2/B8</f>
        <v>-0.361915669690682</v>
      </c>
    </row>
    <row r="11" customFormat="false" ht="15" hidden="false" customHeight="false" outlineLevel="0" collapsed="false">
      <c r="A11" s="0" t="s">
        <v>158</v>
      </c>
      <c r="B11" s="0" t="str">
        <f aca="false">IF(ABS(B9-B8)&gt;0.01*ABS(B8),(Assumptions!$B$2-B8)/(B9-B8)*100,"n/a")</f>
        <v>n/a</v>
      </c>
    </row>
    <row r="12" customFormat="false" ht="15" hidden="false" customHeight="false" outlineLevel="0" collapsed="false">
      <c r="A12" s="0" t="s">
        <v>159</v>
      </c>
      <c r="B12" s="0" t="n">
        <f aca="false">SUMPRODUCT(F4:F6,D4:D6)</f>
        <v>52.8479358532493</v>
      </c>
    </row>
    <row r="14" customFormat="false" ht="15" hidden="false" customHeight="false" outlineLevel="0" collapsed="false">
      <c r="A14" s="2" t="s">
        <v>160</v>
      </c>
      <c r="C14" s="0" t="s">
        <v>161</v>
      </c>
    </row>
    <row r="15" customFormat="false" ht="15" hidden="false" customHeight="false" outlineLevel="0" collapsed="false">
      <c r="A15" s="0" t="s">
        <v>162</v>
      </c>
      <c r="B15" s="0" t="n">
        <f aca="false">(SUMPRODUCT(DCF_Base!$C$19:$L$19/(1+$C$15/100)^DCF_Base!$C$4:$L$4)+MAX(0,MIN(IF($C$15&gt;DCF_Base!$B$28,DCF_Base!$L$19*(1+DCF_Base!$B$28/100)/(($C$15-DCF_Base!$B$28)/100),DCF_Base!$L$19*DCF_Base!$B$29),DCF_Base!$L$19*DCF_Base!$B$29))/(1+$C$15/100)^DCF_Base!$L$4+Assumptions!$B$5-Assumptions!$B$4)/Assumptions!$B$3*Assumptions!$B$10</f>
        <v>95.4865762458835</v>
      </c>
      <c r="C15" s="3" t="n">
        <v>9</v>
      </c>
    </row>
    <row r="16" customFormat="false" ht="15" hidden="false" customHeight="false" outlineLevel="0" collapsed="false">
      <c r="A16" s="0" t="s">
        <v>163</v>
      </c>
      <c r="B16" s="0" t="n">
        <f aca="false">(SUMPRODUCT(DCF_Base!$C$19:$L$19/(1+$C$16/100)^DCF_Base!$C$4:$L$4)+MAX(0,MIN(IF($C$16&gt;DCF_Base!$B$28,DCF_Base!$L$19*(1+DCF_Base!$B$28/100)/(($C$16-DCF_Base!$B$28)/100),DCF_Base!$L$19*DCF_Base!$B$29),DCF_Base!$L$19*DCF_Base!$B$29))/(1+$C$16/100)^DCF_Base!$L$4+Assumptions!$B$5-Assumptions!$B$4)/Assumptions!$B$3*Assumptions!$B$10</f>
        <v>90.5755471526288</v>
      </c>
      <c r="C16" s="3" t="n">
        <v>9.75</v>
      </c>
    </row>
    <row r="17" customFormat="false" ht="15" hidden="false" customHeight="false" outlineLevel="0" collapsed="false">
      <c r="A17" s="0" t="s">
        <v>164</v>
      </c>
      <c r="B17" s="0" t="n">
        <f aca="false">(SUMPRODUCT(DCF_Base!$C$19:$L$19/(1+$C$17/100)^DCF_Base!$C$4:$L$4)+MAX(0,MIN(IF($C$17&gt;DCF_Base!$B$28,DCF_Base!$L$19*(1+DCF_Base!$B$28/100)/(($C$17-DCF_Base!$B$28)/100),DCF_Base!$L$19*DCF_Base!$B$29),DCF_Base!$L$19*DCF_Base!$B$29))/(1+$C$17/100)^DCF_Base!$L$4+Assumptions!$B$5-Assumptions!$B$4)/Assumptions!$B$3*Assumptions!$B$10</f>
        <v>89.0113799645037</v>
      </c>
      <c r="C17" s="3" t="n">
        <v>10</v>
      </c>
    </row>
    <row r="18" customFormat="false" ht="15" hidden="false" customHeight="false" outlineLevel="0" collapsed="false">
      <c r="A18" s="0" t="s">
        <v>165</v>
      </c>
      <c r="B18" s="0" t="n">
        <f aca="false">(SUMPRODUCT(DCF_Base!$C$19:$L$19/(1+$C$18/100)^DCF_Base!$C$4:$L$4)+MAX(0,MIN(IF($C$18&gt;DCF_Base!$B$28,DCF_Base!$L$19*(1+DCF_Base!$B$28/100)/(($C$18-DCF_Base!$B$28)/100),DCF_Base!$L$19*DCF_Base!$B$29),DCF_Base!$L$19*DCF_Base!$B$29))/(1+$C$18/100)^DCF_Base!$L$4+Assumptions!$B$5-Assumptions!$B$4)/Assumptions!$B$3*Assumptions!$B$10</f>
        <v>82.6944169933035</v>
      </c>
      <c r="C18" s="3" t="n">
        <v>11</v>
      </c>
    </row>
    <row r="19" customFormat="false" ht="15" hidden="false" customHeight="false" outlineLevel="0" collapsed="false">
      <c r="A19" s="0" t="s">
        <v>166</v>
      </c>
      <c r="B19" s="0" t="n">
        <f aca="false">(SUMPRODUCT(DCF_Base!$C$19:$L$19/(1+$C$19/100)^DCF_Base!$C$4:$L$4)+MAX(0,MIN(IF($C$19&gt;DCF_Base!$B$28,DCF_Base!$L$19*(1+DCF_Base!$B$28/100)/(($C$19-DCF_Base!$B$28)/100),DCF_Base!$L$19*DCF_Base!$B$29),DCF_Base!$L$19*DCF_Base!$B$29))/(1+$C$19/100)^DCF_Base!$L$4+Assumptions!$B$5-Assumptions!$B$4)/Assumptions!$B$3*Assumptions!$B$10</f>
        <v>73.127912797463</v>
      </c>
      <c r="C19" s="3" t="n">
        <v>12</v>
      </c>
    </row>
    <row r="20" customFormat="false" ht="15" hidden="false" customHeight="false" outlineLevel="0" collapsed="false">
      <c r="A20" s="0" t="s">
        <v>167</v>
      </c>
      <c r="B20" s="0" t="n">
        <f aca="false">(SUMPRODUCT(DCF_Base!$C$19:$L$19/(1+$C$20/100)^DCF_Base!$C$4:$L$4)+MAX(0,MIN(IF($C$20&gt;DCF_Base!$B$28,DCF_Base!$L$19*(1+DCF_Base!$B$28/100)/(($C$20-DCF_Base!$B$28)/100),DCF_Base!$L$19*DCF_Base!$B$29),DCF_Base!$L$19*DCF_Base!$B$29))/(1+$C$20/100)^DCF_Base!$L$4+Assumptions!$B$5-Assumptions!$B$4)/Assumptions!$B$3*Assumptions!$B$10</f>
        <v>54.0788087247755</v>
      </c>
      <c r="C20" s="3" t="n">
        <v>15</v>
      </c>
    </row>
    <row r="22" customFormat="false" ht="15" hidden="false" customHeight="false" outlineLevel="0" collapsed="false">
      <c r="A22" s="2" t="s">
        <v>168</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7.75</v>
      </c>
      <c r="B24" s="0" t="n">
        <f aca="false">(SUMPRODUCT(DCF_Base!$C$19:$L$19/(1+$A$24/100)^DCF_Base!$C$4:$L$4)+MAX(0,MIN(IF($A$24&gt;$B$23,DCF_Base!$L$19*(1+$B$23/100)/(($A$24-$B$23)/100),DCF_Base!$L$19*DCF_Base!$B$29),DCF_Base!$L$19*DCF_Base!$B$29))/(1+$A$24/100)^DCF_Base!$L$4+Assumptions!$B$5-Assumptions!$B$4)/Assumptions!$B$3*Assumptions!$B$10</f>
        <v>104.459887512005</v>
      </c>
      <c r="C24" s="0" t="n">
        <f aca="false">(SUMPRODUCT(DCF_Base!$C$19:$L$19/(1+$A$24/100)^DCF_Base!$C$4:$L$4)+MAX(0,MIN(IF($A$24&gt;$C$23,DCF_Base!$L$19*(1+$C$23/100)/(($A$24-$C$23)/100),DCF_Base!$L$19*DCF_Base!$B$29),DCF_Base!$L$19*DCF_Base!$B$29))/(1+$A$24/100)^DCF_Base!$L$4+Assumptions!$B$5-Assumptions!$B$4)/Assumptions!$B$3*Assumptions!$B$10</f>
        <v>104.459887512005</v>
      </c>
      <c r="D24" s="0" t="n">
        <f aca="false">(SUMPRODUCT(DCF_Base!$C$19:$L$19/(1+$A$24/100)^DCF_Base!$C$4:$L$4)+MAX(0,MIN(IF($A$24&gt;$D$23,DCF_Base!$L$19*(1+$D$23/100)/(($A$24-$D$23)/100),DCF_Base!$L$19*DCF_Base!$B$29),DCF_Base!$L$19*DCF_Base!$B$29))/(1+$A$24/100)^DCF_Base!$L$4+Assumptions!$B$5-Assumptions!$B$4)/Assumptions!$B$3*Assumptions!$B$10</f>
        <v>104.459887512005</v>
      </c>
      <c r="E24" s="0" t="n">
        <f aca="false">(SUMPRODUCT(DCF_Base!$C$19:$L$19/(1+$A$24/100)^DCF_Base!$C$4:$L$4)+MAX(0,MIN(IF($A$24&gt;$E$23,DCF_Base!$L$19*(1+$E$23/100)/(($A$24-$E$23)/100),DCF_Base!$L$19*DCF_Base!$B$29),DCF_Base!$L$19*DCF_Base!$B$29))/(1+$A$24/100)^DCF_Base!$L$4+Assumptions!$B$5-Assumptions!$B$4)/Assumptions!$B$3*Assumptions!$B$10</f>
        <v>104.459887512005</v>
      </c>
      <c r="F24" s="0" t="n">
        <f aca="false">(SUMPRODUCT(DCF_Base!$C$19:$L$19/(1+$A$24/100)^DCF_Base!$C$4:$L$4)+MAX(0,MIN(IF($A$24&gt;$F$23,DCF_Base!$L$19*(1+$F$23/100)/(($A$24-$F$23)/100),DCF_Base!$L$19*DCF_Base!$B$29),DCF_Base!$L$19*DCF_Base!$B$29))/(1+$A$24/100)^DCF_Base!$L$4+Assumptions!$B$5-Assumptions!$B$4)/Assumptions!$B$3*Assumptions!$B$10</f>
        <v>104.459887512005</v>
      </c>
    </row>
    <row r="25" customFormat="false" ht="15" hidden="false" customHeight="false" outlineLevel="0" collapsed="false">
      <c r="A25" s="3" t="n">
        <v>8.75</v>
      </c>
      <c r="B25" s="0" t="n">
        <f aca="false">(SUMPRODUCT(DCF_Base!$C$19:$L$19/(1+$A$25/100)^DCF_Base!$C$4:$L$4)+MAX(0,MIN(IF($A$25&gt;$B$23,DCF_Base!$L$19*(1+$B$23/100)/(($A$25-$B$23)/100),DCF_Base!$L$19*DCF_Base!$B$29),DCF_Base!$L$19*DCF_Base!$B$29))/(1+$A$25/100)^DCF_Base!$L$4+Assumptions!$B$5-Assumptions!$B$4)/Assumptions!$B$3*Assumptions!$B$10</f>
        <v>97.1996560251878</v>
      </c>
      <c r="C25" s="0" t="n">
        <f aca="false">(SUMPRODUCT(DCF_Base!$C$19:$L$19/(1+$A$25/100)^DCF_Base!$C$4:$L$4)+MAX(0,MIN(IF($A$25&gt;$C$23,DCF_Base!$L$19*(1+$C$23/100)/(($A$25-$C$23)/100),DCF_Base!$L$19*DCF_Base!$B$29),DCF_Base!$L$19*DCF_Base!$B$29))/(1+$A$25/100)^DCF_Base!$L$4+Assumptions!$B$5-Assumptions!$B$4)/Assumptions!$B$3*Assumptions!$B$10</f>
        <v>97.1996560251878</v>
      </c>
      <c r="D25" s="0" t="n">
        <f aca="false">(SUMPRODUCT(DCF_Base!$C$19:$L$19/(1+$A$25/100)^DCF_Base!$C$4:$L$4)+MAX(0,MIN(IF($A$25&gt;$D$23,DCF_Base!$L$19*(1+$D$23/100)/(($A$25-$D$23)/100),DCF_Base!$L$19*DCF_Base!$B$29),DCF_Base!$L$19*DCF_Base!$B$29))/(1+$A$25/100)^DCF_Base!$L$4+Assumptions!$B$5-Assumptions!$B$4)/Assumptions!$B$3*Assumptions!$B$10</f>
        <v>97.1996560251878</v>
      </c>
      <c r="E25" s="0" t="n">
        <f aca="false">(SUMPRODUCT(DCF_Base!$C$19:$L$19/(1+$A$25/100)^DCF_Base!$C$4:$L$4)+MAX(0,MIN(IF($A$25&gt;$E$23,DCF_Base!$L$19*(1+$E$23/100)/(($A$25-$E$23)/100),DCF_Base!$L$19*DCF_Base!$B$29),DCF_Base!$L$19*DCF_Base!$B$29))/(1+$A$25/100)^DCF_Base!$L$4+Assumptions!$B$5-Assumptions!$B$4)/Assumptions!$B$3*Assumptions!$B$10</f>
        <v>97.1996560251878</v>
      </c>
      <c r="F25" s="0" t="n">
        <f aca="false">(SUMPRODUCT(DCF_Base!$C$19:$L$19/(1+$A$25/100)^DCF_Base!$C$4:$L$4)+MAX(0,MIN(IF($A$25&gt;$F$23,DCF_Base!$L$19*(1+$F$23/100)/(($A$25-$F$23)/100),DCF_Base!$L$19*DCF_Base!$B$29),DCF_Base!$L$19*DCF_Base!$B$29))/(1+$A$25/100)^DCF_Base!$L$4+Assumptions!$B$5-Assumptions!$B$4)/Assumptions!$B$3*Assumptions!$B$10</f>
        <v>97.1996560251878</v>
      </c>
    </row>
    <row r="26" customFormat="false" ht="15" hidden="false" customHeight="false" outlineLevel="0" collapsed="false">
      <c r="A26" s="3" t="n">
        <v>9.75</v>
      </c>
      <c r="B26" s="0" t="n">
        <f aca="false">(SUMPRODUCT(DCF_Base!$C$19:$L$19/(1+$A$26/100)^DCF_Base!$C$4:$L$4)+MAX(0,MIN(IF($A$26&gt;$B$23,DCF_Base!$L$19*(1+$B$23/100)/(($A$26-$B$23)/100),DCF_Base!$L$19*DCF_Base!$B$29),DCF_Base!$L$19*DCF_Base!$B$29))/(1+$A$26/100)^DCF_Base!$L$4+Assumptions!$B$5-Assumptions!$B$4)/Assumptions!$B$3*Assumptions!$B$10</f>
        <v>90.5755471526288</v>
      </c>
      <c r="C26" s="0" t="n">
        <f aca="false">(SUMPRODUCT(DCF_Base!$C$19:$L$19/(1+$A$26/100)^DCF_Base!$C$4:$L$4)+MAX(0,MIN(IF($A$26&gt;$C$23,DCF_Base!$L$19*(1+$C$23/100)/(($A$26-$C$23)/100),DCF_Base!$L$19*DCF_Base!$B$29),DCF_Base!$L$19*DCF_Base!$B$29))/(1+$A$26/100)^DCF_Base!$L$4+Assumptions!$B$5-Assumptions!$B$4)/Assumptions!$B$3*Assumptions!$B$10</f>
        <v>90.5755471526288</v>
      </c>
      <c r="D26" s="0" t="n">
        <f aca="false">(SUMPRODUCT(DCF_Base!$C$19:$L$19/(1+$A$26/100)^DCF_Base!$C$4:$L$4)+MAX(0,MIN(IF($A$26&gt;$D$23,DCF_Base!$L$19*(1+$D$23/100)/(($A$26-$D$23)/100),DCF_Base!$L$19*DCF_Base!$B$29),DCF_Base!$L$19*DCF_Base!$B$29))/(1+$A$26/100)^DCF_Base!$L$4+Assumptions!$B$5-Assumptions!$B$4)/Assumptions!$B$3*Assumptions!$B$10</f>
        <v>90.5755471526288</v>
      </c>
      <c r="E26" s="0" t="n">
        <f aca="false">(SUMPRODUCT(DCF_Base!$C$19:$L$19/(1+$A$26/100)^DCF_Base!$C$4:$L$4)+MAX(0,MIN(IF($A$26&gt;$E$23,DCF_Base!$L$19*(1+$E$23/100)/(($A$26-$E$23)/100),DCF_Base!$L$19*DCF_Base!$B$29),DCF_Base!$L$19*DCF_Base!$B$29))/(1+$A$26/100)^DCF_Base!$L$4+Assumptions!$B$5-Assumptions!$B$4)/Assumptions!$B$3*Assumptions!$B$10</f>
        <v>90.5755471526288</v>
      </c>
      <c r="F26" s="0" t="n">
        <f aca="false">(SUMPRODUCT(DCF_Base!$C$19:$L$19/(1+$A$26/100)^DCF_Base!$C$4:$L$4)+MAX(0,MIN(IF($A$26&gt;$F$23,DCF_Base!$L$19*(1+$F$23/100)/(($A$26-$F$23)/100),DCF_Base!$L$19*DCF_Base!$B$29),DCF_Base!$L$19*DCF_Base!$B$29))/(1+$A$26/100)^DCF_Base!$L$4+Assumptions!$B$5-Assumptions!$B$4)/Assumptions!$B$3*Assumptions!$B$10</f>
        <v>90.5755471526288</v>
      </c>
    </row>
    <row r="27" customFormat="false" ht="15" hidden="false" customHeight="false" outlineLevel="0" collapsed="false">
      <c r="A27" s="3" t="n">
        <v>10.75</v>
      </c>
      <c r="B27" s="0" t="n">
        <f aca="false">(SUMPRODUCT(DCF_Base!$C$19:$L$19/(1+$A$27/100)^DCF_Base!$C$4:$L$4)+MAX(0,MIN(IF($A$27&gt;$B$23,DCF_Base!$L$19*(1+$B$23/100)/(($A$27-$B$23)/100),DCF_Base!$L$19*DCF_Base!$B$29),DCF_Base!$L$19*DCF_Base!$B$29))/(1+$A$27/100)^DCF_Base!$L$4+Assumptions!$B$5-Assumptions!$B$4)/Assumptions!$B$3*Assumptions!$B$10</f>
        <v>80.1262664900433</v>
      </c>
      <c r="C27" s="0" t="n">
        <f aca="false">(SUMPRODUCT(DCF_Base!$C$19:$L$19/(1+$A$27/100)^DCF_Base!$C$4:$L$4)+MAX(0,MIN(IF($A$27&gt;$C$23,DCF_Base!$L$19*(1+$C$23/100)/(($A$27-$C$23)/100),DCF_Base!$L$19*DCF_Base!$B$29),DCF_Base!$L$19*DCF_Base!$B$29))/(1+$A$27/100)^DCF_Base!$L$4+Assumptions!$B$5-Assumptions!$B$4)/Assumptions!$B$3*Assumptions!$B$10</f>
        <v>82.6387918681637</v>
      </c>
      <c r="D27" s="0" t="n">
        <f aca="false">(SUMPRODUCT(DCF_Base!$C$19:$L$19/(1+$A$27/100)^DCF_Base!$C$4:$L$4)+MAX(0,MIN(IF($A$27&gt;$D$23,DCF_Base!$L$19*(1+$D$23/100)/(($A$27-$D$23)/100),DCF_Base!$L$19*DCF_Base!$B$29),DCF_Base!$L$19*DCF_Base!$B$29))/(1+$A$27/100)^DCF_Base!$L$4+Assumptions!$B$5-Assumptions!$B$4)/Assumptions!$B$3*Assumptions!$B$10</f>
        <v>84.5246038054662</v>
      </c>
      <c r="E27" s="0" t="n">
        <f aca="false">(SUMPRODUCT(DCF_Base!$C$19:$L$19/(1+$A$27/100)^DCF_Base!$C$4:$L$4)+MAX(0,MIN(IF($A$27&gt;$E$23,DCF_Base!$L$19*(1+$E$23/100)/(($A$27-$E$23)/100),DCF_Base!$L$19*DCF_Base!$B$29),DCF_Base!$L$19*DCF_Base!$B$29))/(1+$A$27/100)^DCF_Base!$L$4+Assumptions!$B$5-Assumptions!$B$4)/Assumptions!$B$3*Assumptions!$B$10</f>
        <v>84.5246038054662</v>
      </c>
      <c r="F27" s="0" t="n">
        <f aca="false">(SUMPRODUCT(DCF_Base!$C$19:$L$19/(1+$A$27/100)^DCF_Base!$C$4:$L$4)+MAX(0,MIN(IF($A$27&gt;$F$23,DCF_Base!$L$19*(1+$F$23/100)/(($A$27-$F$23)/100),DCF_Base!$L$19*DCF_Base!$B$29),DCF_Base!$L$19*DCF_Base!$B$29))/(1+$A$27/100)^DCF_Base!$L$4+Assumptions!$B$5-Assumptions!$B$4)/Assumptions!$B$3*Assumptions!$B$10</f>
        <v>84.5246038054662</v>
      </c>
    </row>
    <row r="28" customFormat="false" ht="15" hidden="false" customHeight="false" outlineLevel="0" collapsed="false">
      <c r="A28" s="3" t="n">
        <v>11.75</v>
      </c>
      <c r="B28" s="0" t="n">
        <f aca="false">(SUMPRODUCT(DCF_Base!$C$19:$L$19/(1+$A$28/100)^DCF_Base!$C$4:$L$4)+MAX(0,MIN(IF($A$28&gt;$B$23,DCF_Base!$L$19*(1+$B$23/100)/(($A$28-$B$23)/100),DCF_Base!$L$19*DCF_Base!$B$29),DCF_Base!$L$19*DCF_Base!$B$29))/(1+$A$28/100)^DCF_Base!$L$4+Assumptions!$B$5-Assumptions!$B$4)/Assumptions!$B$3*Assumptions!$B$10</f>
        <v>71.3910777803793</v>
      </c>
      <c r="C28" s="0" t="n">
        <f aca="false">(SUMPRODUCT(DCF_Base!$C$19:$L$19/(1+$A$28/100)^DCF_Base!$C$4:$L$4)+MAX(0,MIN(IF($A$28&gt;$C$23,DCF_Base!$L$19*(1+$C$23/100)/(($A$28-$C$23)/100),DCF_Base!$L$19*DCF_Base!$B$29),DCF_Base!$L$19*DCF_Base!$B$29))/(1+$A$28/100)^DCF_Base!$L$4+Assumptions!$B$5-Assumptions!$B$4)/Assumptions!$B$3*Assumptions!$B$10</f>
        <v>73.2458557892766</v>
      </c>
      <c r="D28" s="0" t="n">
        <f aca="false">(SUMPRODUCT(DCF_Base!$C$19:$L$19/(1+$A$28/100)^DCF_Base!$C$4:$L$4)+MAX(0,MIN(IF($A$28&gt;$D$23,DCF_Base!$L$19*(1+$D$23/100)/(($A$28-$D$23)/100),DCF_Base!$L$19*DCF_Base!$B$29),DCF_Base!$L$19*DCF_Base!$B$29))/(1+$A$28/100)^DCF_Base!$L$4+Assumptions!$B$5-Assumptions!$B$4)/Assumptions!$B$3*Assumptions!$B$10</f>
        <v>75.3126084277622</v>
      </c>
      <c r="E28" s="0" t="n">
        <f aca="false">(SUMPRODUCT(DCF_Base!$C$19:$L$19/(1+$A$28/100)^DCF_Base!$C$4:$L$4)+MAX(0,MIN(IF($A$28&gt;$E$23,DCF_Base!$L$19*(1+$E$23/100)/(($A$28-$E$23)/100),DCF_Base!$L$19*DCF_Base!$B$29),DCF_Base!$L$19*DCF_Base!$B$29))/(1+$A$28/100)^DCF_Base!$L$4+Assumptions!$B$5-Assumptions!$B$4)/Assumptions!$B$3*Assumptions!$B$10</f>
        <v>77.6298765375794</v>
      </c>
      <c r="F28" s="0" t="n">
        <f aca="false">(SUMPRODUCT(DCF_Base!$C$19:$L$19/(1+$A$28/100)^DCF_Base!$C$4:$L$4)+MAX(0,MIN(IF($A$28&gt;$F$23,DCF_Base!$L$19*(1+$F$23/100)/(($A$28-$F$23)/100),DCF_Base!$L$19*DCF_Base!$B$29),DCF_Base!$L$19*DCF_Base!$B$29))/(1+$A$28/100)^DCF_Base!$L$4+Assumptions!$B$5-Assumptions!$B$4)/Assumptions!$B$3*Assumptions!$B$10</f>
        <v>78.9906883470359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2026-10-04T08:58:34Z</dcterms:created>
  <dc:creator>openpyxl</dc:creator>
  <dc:description/>
  <dc:language>en-NZ</dc:language>
  <cp:lastModifiedBy/>
  <dcterms:modified xsi:type="dcterms:W3CDTF">2026-10-04T08:58:34Z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