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<sst xmlns="http://schemas.openxmlformats.org/spreadsheetml/2006/main" count="365" uniqueCount="168">
  <si>
    <t xml:space="preserve">Ticker</t>
  </si>
  <si>
    <t xml:space="preserve">1721.T</t>
  </si>
  <si>
    <t xml:space="preserve">Company</t>
  </si>
  <si>
    <t xml:space="preserve">COMSYS Holdings Corporation</t>
  </si>
  <si>
    <t xml:space="preserve">Valuation date</t>
  </si>
  <si>
    <t xml:space="preserve">2026-10-26</t>
  </si>
  <si>
    <t xml:space="preserve">Current price</t>
  </si>
  <si>
    <t xml:space="preserve">Price as of</t>
  </si>
  <si>
    <t xml:space="preserve">2026-10-26T00:18:51Z (09:18 JST, regular session intraday print on the TSE Prime market; Yahoo Finance chart API)</t>
  </si>
  <si>
    <t xml:space="preserve">Balance sheet date</t>
  </si>
  <si>
    <t xml:space="preserve">2026-03-31</t>
  </si>
  <si>
    <t xml:space="preserve">Model</t>
  </si>
  <si>
    <t xml:space="preserve">owner_fcf_dcf_component</t>
  </si>
  <si>
    <t xml:space="preserve">Currency (model)</t>
  </si>
  <si>
    <t xml:space="preserve">JPY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</si>
  <si>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</si>
  <si>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</si>
  <si>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</si>
  <si>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</si>
  <si>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</si>
  <si>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</si>
  <si>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2026-10-26T00:41:55Z</t>
  </si>
  <si>
    <t xml:space="preserve">Drivers file</t>
  </si>
  <si>
    <t xml:space="preserve">1721.T_Drivers.json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</si>
  <si>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</si>
  <si>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</si>
  <si>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</si>
  <si>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net-cash, low-growth Japanese infrastructure contractor valued on normalised owner free cash flow built from components, because single-year FCF is dominated by receivables timing. The value is roughly half operating cash flows over ten years, a third terminal value capped at 15x FCF, and ~600 JPY/share of net cash, cross-shareholdings and securities. SBC is immaterial, so house and street bases coincide. Risk from NTT concentration and the Japanese construction cycle is charged in the scenario flows and the 25% bear weight, not in the discount rate.
key_risks_to_valuation: NTT group capex cycle: NTT East/West 26.4% of revenue directly; the docomo mobile quality-improvement programme that drove FY2026-27 growth is finite.; Working-capital intensity: ~20-27% of revenue tied up in receivables and contract WIP; a 10pp change in the capture assumption moves owner FCF by ~4bn/yr on 6% growth.; Terminal multiple: Gordon at 1.5% exceeds the 15x cap in base and bull, so the cap is load-bearing; a 12x cap (bear) removes ~700 JPY/share.; Construction-labour shortage and 2024 overtime caps: cost inflation not fully recoverable under NTT unit-price contracts.; Margin mean reversion: FY2026 EBITDA margin of 9.85% is a seven-year high; the FY2020-26 average is 8.9% and the 2030 Vision implies ~9.3%.; Unmodelled debt-like items: net retirement-benefit liability ~12bn (~103 JPY/share) and asset-retirement/environmental provisions; and the securities bridge assumes listed holdings are realisable at fair value less tax.; Price anchor: regular-session intraday print; balance sheet is 31 Mar 2026 by design (seasonality) with the 30 Jun 2026 net cash of 68.5bn recorded in net_debt_note.</t>
  </si>
  <si>
    <t xml:space="preserve">Data sources</t>
  </si>
  <si>
    <t xml:space="preserve">price: Yahoo Finance chart API at inputs.price_as_of; 52-week range 3,799-6,211 JPY
financials: /research/1721.T/Reports/1721.T_Metrics.csv (core_metrics FY2016-Q1 FY2027); FY2026 yuho (1721.T_Annual_FY2026.txt: cash-flow statement lines 5919-5990, major-customer table line 1251, 2030 Vision line 560, securities fair value line 6776, lease debt line 8466, SBC line 7203); Q1 FY2027 tanshin (1721.T_Quarterly_Q1-2027.txt: balance sheet at 30 Jun 2026, FY2027 forecast, share counts line 89-91)
qualitative: 1721.T_Analysis.json (2026-10-26: NTT concentration rated high-severity, data-centre/IT-solutions growth drivers, backlog ~320bn, May-2026 guidance-day -8.5% reaction); FY2026 yuho risk section (NTT concentration, line 1030) and MD&amp;A; Q1 FY2027 tanshin segment commentary.</t>
  </si>
  <si>
    <t xml:space="preserve">Scenario narrative: bear</t>
  </si>
  <si>
    <t xml:space="preserve">The NTT group, 26% of revenue directly (NTT East 15.9%, NTT West 10.5%) and ~45% via the telecom-carrier segment, cuts capex after the mobile quality programme; revenue shrinks in FY2029-30, margins fall to 8% on labour inflation, and the stock de-rates to 12x. Net cash and the securities portfolio limit the downside -- they are ~600 JPY/share of value before any operating cash flow.</t>
  </si>
  <si>
    <t xml:space="preserve">Scenario narrative: base</t>
  </si>
  <si>
    <t xml:space="preserve">COMSYS executes roughly on its 2030 Vision but not above it: FY2027 guidance (670bn revenue, 54bn OP) is met on strong Q1 orders (+13.2%), growth decelerates from 6% toward 2% as the mobile quality programme fades and data-centre and social-infrastructure work replace it. EBITDA margin eases from a 9.9% peak to 9.5% as acquired social-systems subsidiaries dilute the mix, consistent with the plan's own ~7.5% OP target on 800bn. Working capital keeps absorbing ~20% of revenue growth, so owner FCF runs at 4-5% of revenue -- around 26-40bn a year -- while ~70% of profit is returned as dividends and buybacks. Terminal value is bound by the 15x owner-FCF cap, not Gordon growth.</t>
  </si>
  <si>
    <t xml:space="preserve">Scenario narrative: bull</t>
  </si>
  <si>
    <t xml:space="preserve">Data-centre buildout plus NTT's IOWN fixed-network rebuild and continued mobile densification keep order intake growing 7%+ for three years; the 800bn revenue target is reached a year early and margins expand to ~10.8% on productivity gains and scale in social systems. Working-capital intensity falls as large projects carry advance payments. Terminal 17x reflects a re-rating toward a diversified infrastructure-services multiple.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</si>
  <si>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</si>
  <si>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</si>
  <si>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</si>
  <si>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</si>
  <si>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</si>
  <si>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</si>
  <si>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</si>
  <si>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</si>
  <si>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</si>
  <si>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</si>
  <si>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</si>
  <si>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</si>
  <si>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</si>
  <si>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</si>
  <si>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</si>
  <si>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</si>
  <si>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</si>
  <si>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</si>
  <si>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</si>
  <si>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</si>
  <si>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</si>
  <si>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</si>
  <si>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</si>
  <si>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</si>
  <si>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</si>
  <si>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</si>
  <si>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</si>
  <si>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EPSBasic</t>
  </si>
  <si>
    <t xml:space="preserve">OrderIntake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</si>
  <si>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</si>
  <si>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</si>
  <si>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</si>
  <si>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</si>
  <si>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</si>
  <si>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</si>
  <si>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</si>
  <si>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</si>
  <si>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</si>
  <si>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</si>
  <si>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</si>
  <si>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</si>
  <si>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</si>
  <si>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</si>
  <si>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</si>
  <si>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</si>
  <si>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</si>
  <si>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</si>
  <si>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</si>
  <si>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</si>
  <si>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</si>
  <si>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JPY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</si>
  <si>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</si>
  <si>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</si>
  <si>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</si>
  <si>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</si>
  <si>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</si>
  <si>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</si>
  <si>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</si>
  <si>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</si>
  <si>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</si>
  <si>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</si>
  <si>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</si>
  <si>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</si>
  <si>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</si>
  <si>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</si>
  <si>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</si>
  <si>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</si>
  <si>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</si>
  <si>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</si>
  <si>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</si>
  <si>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</si>
  <si>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</si>
  <si>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</si>
  <si>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</si>
  <si>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</si>
  <si>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</si>
  <si>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</si>
  <si>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1721.T owner-FCF component DCF: bear case (millions, JPY)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</si>
  <si>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</si>
  <si>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</si>
  <si>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</si>
  <si>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</si>
  <si>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</si>
  <si>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</si>
  <si>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</si>
  <si>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</si>
  <si>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</si>
  <si>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</si>
  <si>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</si>
  <si>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</si>
  <si>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</si>
  <si>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</si>
  <si>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</si>
  <si>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</si>
  <si>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</si>
  <si>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</si>
  <si>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</si>
  <si>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</si>
  <si>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</si>
  <si>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</si>
  <si>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</si>
  <si>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</si>
  <si>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</si>
  <si>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</si>
  <si>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</si>
  <si>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</si>
  <si>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</si>
  <si>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</si>
  <si>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1721.T owner-FCF component DCF: base case (millions, JPY)</t>
  </si>
  <si>
    <t xml:space="preserve">1721.T owner-FCF component DCF: bull case (millions, JPY)</t>
  </si>
  <si>
    <t xml:space="preserve">1721.T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</si>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</sst>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5660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</row>
    <row r="2" customFormat="false" ht="15" hidden="false" customHeight="false" outlineLevel="0" collapsed="false">
      <c r="A2" s="0" t="s">
        <v>65</v>
      </c>
      <c r="B2" s="0" t="n">
        <v>320654</v>
      </c>
      <c r="C2" s="0" t="n">
        <v>277264</v>
      </c>
      <c r="D2" s="0" t="n">
        <v>43389</v>
      </c>
      <c r="E2" s="0" t="n">
        <v>13.5</v>
      </c>
      <c r="F2" s="0" t="n">
        <v>23849</v>
      </c>
      <c r="G2" s="0" t="n">
        <v>7.4</v>
      </c>
      <c r="H2" s="0" t="n">
        <v>28858</v>
      </c>
      <c r="I2" s="0" t="n">
        <v>15420</v>
      </c>
      <c r="J2" s="0" t="n">
        <v>4.8</v>
      </c>
      <c r="K2" s="0" t="n">
        <v>136.18</v>
      </c>
      <c r="L2" s="0" t="n">
        <v>13089</v>
      </c>
      <c r="M2" s="0" t="n">
        <v>6303</v>
      </c>
      <c r="N2" s="0" t="n">
        <v>6786</v>
      </c>
      <c r="O2" s="0" t="n">
        <v>195380</v>
      </c>
      <c r="P2" s="0" t="n">
        <v>266066</v>
      </c>
      <c r="Q2" s="0" t="n">
        <v>69522</v>
      </c>
      <c r="R2" s="0" t="n">
        <v>114</v>
      </c>
      <c r="S2" s="0" t="n">
        <v>28818</v>
      </c>
      <c r="T2" s="0" t="n">
        <v>113.23</v>
      </c>
      <c r="AA2" s="0" t="s">
        <v>17</v>
      </c>
      <c r="AB2" s="0" t="s">
        <v>14</v>
      </c>
      <c r="AC2" s="0" t="n">
        <v>136.75</v>
      </c>
    </row>
    <row r="3" customFormat="false" ht="15" hidden="false" customHeight="false" outlineLevel="0" collapsed="false">
      <c r="A3" s="0" t="s">
        <v>66</v>
      </c>
      <c r="B3" s="0" t="n">
        <v>334163</v>
      </c>
      <c r="C3" s="0" t="n">
        <v>288440</v>
      </c>
      <c r="D3" s="0" t="n">
        <v>45723</v>
      </c>
      <c r="E3" s="0" t="n">
        <v>13.7</v>
      </c>
      <c r="F3" s="0" t="n">
        <v>25036</v>
      </c>
      <c r="G3" s="0" t="n">
        <v>7.5</v>
      </c>
      <c r="H3" s="0" t="n">
        <v>30759</v>
      </c>
      <c r="I3" s="0" t="n">
        <v>14485</v>
      </c>
      <c r="J3" s="0" t="n">
        <v>4.3</v>
      </c>
      <c r="K3" s="0" t="n">
        <v>129.52</v>
      </c>
      <c r="L3" s="0" t="n">
        <v>12545</v>
      </c>
      <c r="M3" s="0" t="n">
        <v>10035</v>
      </c>
      <c r="N3" s="0" t="n">
        <v>2510</v>
      </c>
      <c r="O3" s="0" t="n">
        <v>201718</v>
      </c>
      <c r="P3" s="0" t="n">
        <v>284367</v>
      </c>
      <c r="Q3" s="0" t="n">
        <v>81423</v>
      </c>
      <c r="R3" s="0" t="n">
        <v>113</v>
      </c>
      <c r="S3" s="0" t="n">
        <v>20879</v>
      </c>
      <c r="T3" s="0" t="n">
        <v>111.84</v>
      </c>
      <c r="AA3" s="0" t="s">
        <v>17</v>
      </c>
      <c r="AB3" s="0" t="s">
        <v>14</v>
      </c>
      <c r="AC3" s="0" t="n">
        <v>129.96</v>
      </c>
    </row>
    <row r="4" customFormat="false" ht="15" hidden="false" customHeight="false" outlineLevel="0" collapsed="false">
      <c r="A4" s="0" t="s">
        <v>67</v>
      </c>
      <c r="B4" s="0" t="n">
        <v>380024</v>
      </c>
      <c r="C4" s="0" t="n">
        <v>326591</v>
      </c>
      <c r="D4" s="0" t="n">
        <v>53433</v>
      </c>
      <c r="E4" s="0" t="n">
        <v>14.1</v>
      </c>
      <c r="F4" s="0" t="n">
        <v>30347</v>
      </c>
      <c r="G4" s="0" t="n">
        <v>8</v>
      </c>
      <c r="H4" s="0" t="n">
        <v>36233</v>
      </c>
      <c r="I4" s="0" t="n">
        <v>20390</v>
      </c>
      <c r="J4" s="0" t="n">
        <v>5.4</v>
      </c>
      <c r="K4" s="0" t="n">
        <v>177.89</v>
      </c>
      <c r="L4" s="0" t="n">
        <v>28831</v>
      </c>
      <c r="M4" s="0" t="n">
        <v>14165</v>
      </c>
      <c r="N4" s="0" t="n">
        <v>14666</v>
      </c>
      <c r="O4" s="0" t="n">
        <v>230120</v>
      </c>
      <c r="P4" s="0" t="n">
        <v>325042</v>
      </c>
      <c r="Q4" s="0" t="n">
        <v>93274</v>
      </c>
      <c r="R4" s="0" t="n">
        <v>111</v>
      </c>
      <c r="S4" s="0" t="n">
        <v>28957</v>
      </c>
      <c r="T4" s="0" t="n">
        <v>114.62</v>
      </c>
      <c r="AA4" s="0" t="s">
        <v>17</v>
      </c>
      <c r="AB4" s="0" t="s">
        <v>14</v>
      </c>
      <c r="AC4" s="0" t="n">
        <v>178.64</v>
      </c>
      <c r="AD4" s="0" t="n">
        <v>402200</v>
      </c>
    </row>
    <row r="5" customFormat="false" ht="15" hidden="false" customHeight="false" outlineLevel="0" collapsed="false">
      <c r="A5" s="0" t="s">
        <v>68</v>
      </c>
      <c r="B5" s="0" t="n">
        <v>481783</v>
      </c>
      <c r="C5" s="0" t="n">
        <v>416530</v>
      </c>
      <c r="D5" s="0" t="n">
        <v>65253</v>
      </c>
      <c r="E5" s="0" t="n">
        <v>13.5</v>
      </c>
      <c r="F5" s="0" t="n">
        <v>35267</v>
      </c>
      <c r="G5" s="0" t="n">
        <v>7.3</v>
      </c>
      <c r="H5" s="0" t="n">
        <v>42711</v>
      </c>
      <c r="I5" s="0" t="n">
        <v>28018</v>
      </c>
      <c r="J5" s="0" t="n">
        <v>5.8</v>
      </c>
      <c r="K5" s="0" t="n">
        <v>229.21</v>
      </c>
      <c r="L5" s="0" t="n">
        <v>8964</v>
      </c>
      <c r="M5" s="0" t="n">
        <v>10695</v>
      </c>
      <c r="N5" s="0" t="n">
        <v>-1731</v>
      </c>
      <c r="O5" s="0" t="n">
        <v>298374</v>
      </c>
      <c r="P5" s="0" t="n">
        <v>439926</v>
      </c>
      <c r="Q5" s="0" t="n">
        <v>138466</v>
      </c>
      <c r="R5" s="0" t="n">
        <v>11755</v>
      </c>
      <c r="S5" s="0" t="n">
        <v>27778</v>
      </c>
      <c r="T5" s="0" t="n">
        <v>122.24</v>
      </c>
      <c r="U5" s="0" t="n">
        <v>254</v>
      </c>
      <c r="AA5" s="0" t="s">
        <v>17</v>
      </c>
      <c r="AB5" s="0" t="s">
        <v>14</v>
      </c>
      <c r="AC5" s="0" t="n">
        <v>230.1</v>
      </c>
      <c r="AD5" s="0" t="n">
        <v>505500</v>
      </c>
    </row>
    <row r="6" customFormat="false" ht="15" hidden="false" customHeight="false" outlineLevel="0" collapsed="false">
      <c r="A6" s="0" t="s">
        <v>69</v>
      </c>
      <c r="B6" s="0" t="n">
        <v>560882</v>
      </c>
      <c r="C6" s="0" t="n">
        <v>487269</v>
      </c>
      <c r="D6" s="0" t="n">
        <v>73612</v>
      </c>
      <c r="E6" s="0" t="n">
        <v>13.1</v>
      </c>
      <c r="F6" s="0" t="n">
        <v>38953</v>
      </c>
      <c r="G6" s="0" t="n">
        <v>6.9</v>
      </c>
      <c r="H6" s="0" t="n">
        <v>48103</v>
      </c>
      <c r="I6" s="0" t="n">
        <v>25994</v>
      </c>
      <c r="J6" s="0" t="n">
        <v>4.6</v>
      </c>
      <c r="K6" s="0" t="n">
        <v>202.46</v>
      </c>
      <c r="L6" s="0" t="n">
        <v>37496</v>
      </c>
      <c r="M6" s="0" t="n">
        <v>11184</v>
      </c>
      <c r="N6" s="0" t="n">
        <v>26312</v>
      </c>
      <c r="O6" s="0" t="n">
        <v>307555</v>
      </c>
      <c r="P6" s="0" t="n">
        <v>450043</v>
      </c>
      <c r="Q6" s="0" t="n">
        <v>139349</v>
      </c>
      <c r="R6" s="0" t="n">
        <v>8235</v>
      </c>
      <c r="S6" s="0" t="n">
        <v>35503</v>
      </c>
      <c r="T6" s="0" t="n">
        <v>128.39</v>
      </c>
      <c r="U6" s="0" t="n">
        <v>278</v>
      </c>
      <c r="AA6" s="0" t="s">
        <v>17</v>
      </c>
      <c r="AB6" s="0" t="s">
        <v>14</v>
      </c>
      <c r="AC6" s="0" t="n">
        <v>202.97</v>
      </c>
      <c r="AD6" s="0" t="n">
        <v>590710</v>
      </c>
    </row>
    <row r="7" customFormat="false" ht="15" hidden="false" customHeight="false" outlineLevel="0" collapsed="false">
      <c r="A7" s="0" t="s">
        <v>70</v>
      </c>
      <c r="B7" s="0" t="n">
        <v>563252</v>
      </c>
      <c r="C7" s="0" t="n">
        <v>487262</v>
      </c>
      <c r="D7" s="0" t="n">
        <v>75989</v>
      </c>
      <c r="E7" s="0" t="n">
        <v>13.5</v>
      </c>
      <c r="F7" s="0" t="n">
        <v>41572</v>
      </c>
      <c r="G7" s="0" t="n">
        <v>7.4</v>
      </c>
      <c r="H7" s="0" t="n">
        <v>50851</v>
      </c>
      <c r="I7" s="0" t="n">
        <v>29369</v>
      </c>
      <c r="J7" s="0" t="n">
        <v>5.2</v>
      </c>
      <c r="K7" s="0" t="n">
        <v>232.21</v>
      </c>
      <c r="L7" s="0" t="n">
        <v>25469</v>
      </c>
      <c r="M7" s="0" t="n">
        <v>12151</v>
      </c>
      <c r="N7" s="0" t="n">
        <v>13318</v>
      </c>
      <c r="O7" s="0" t="n">
        <v>327554</v>
      </c>
      <c r="P7" s="0" t="n">
        <v>479419</v>
      </c>
      <c r="Q7" s="0" t="n">
        <v>148611</v>
      </c>
      <c r="R7" s="0" t="n">
        <v>5695</v>
      </c>
      <c r="S7" s="0" t="n">
        <v>32936</v>
      </c>
      <c r="T7" s="0" t="n">
        <v>126.48</v>
      </c>
      <c r="U7" s="0" t="n">
        <v>208</v>
      </c>
      <c r="AA7" s="0" t="s">
        <v>17</v>
      </c>
      <c r="AB7" s="0" t="s">
        <v>14</v>
      </c>
      <c r="AC7" s="0" t="n">
        <v>232.72</v>
      </c>
      <c r="AD7" s="0" t="n">
        <v>586512</v>
      </c>
    </row>
    <row r="8" customFormat="false" ht="15" hidden="false" customHeight="false" outlineLevel="0" collapsed="false">
      <c r="A8" s="0" t="s">
        <v>71</v>
      </c>
      <c r="B8" s="0" t="n">
        <v>589028</v>
      </c>
      <c r="C8" s="0" t="n">
        <v>510601</v>
      </c>
      <c r="D8" s="0" t="n">
        <v>78427</v>
      </c>
      <c r="E8" s="0" t="n">
        <v>13.3</v>
      </c>
      <c r="F8" s="0" t="n">
        <v>42963</v>
      </c>
      <c r="G8" s="0" t="n">
        <v>7.3</v>
      </c>
      <c r="H8" s="0" t="n">
        <v>52937</v>
      </c>
      <c r="I8" s="0" t="n">
        <v>29208</v>
      </c>
      <c r="J8" s="0" t="n">
        <v>5</v>
      </c>
      <c r="K8" s="0" t="n">
        <v>235.18</v>
      </c>
      <c r="L8" s="0" t="n">
        <v>5244</v>
      </c>
      <c r="M8" s="0" t="n">
        <v>10820</v>
      </c>
      <c r="N8" s="0" t="n">
        <v>-5576</v>
      </c>
      <c r="O8" s="0" t="n">
        <v>338032</v>
      </c>
      <c r="P8" s="0" t="n">
        <v>524062</v>
      </c>
      <c r="Q8" s="0" t="n">
        <v>180573</v>
      </c>
      <c r="R8" s="0" t="n">
        <v>32421</v>
      </c>
      <c r="S8" s="0" t="n">
        <v>34033</v>
      </c>
      <c r="T8" s="0" t="n">
        <v>124.19</v>
      </c>
      <c r="U8" s="0" t="n">
        <v>167</v>
      </c>
      <c r="AA8" s="0" t="s">
        <v>17</v>
      </c>
      <c r="AB8" s="0" t="s">
        <v>14</v>
      </c>
      <c r="AC8" s="0" t="n">
        <v>235.5</v>
      </c>
      <c r="AD8" s="0" t="n">
        <v>557085</v>
      </c>
    </row>
    <row r="9" customFormat="false" ht="15" hidden="false" customHeight="false" outlineLevel="0" collapsed="false">
      <c r="A9" s="0" t="s">
        <v>72</v>
      </c>
      <c r="B9" s="0" t="n">
        <v>563295</v>
      </c>
      <c r="C9" s="0" t="n">
        <v>493754</v>
      </c>
      <c r="D9" s="0" t="n">
        <v>69541</v>
      </c>
      <c r="E9" s="0" t="n">
        <v>12.3</v>
      </c>
      <c r="F9" s="0" t="n">
        <v>32104</v>
      </c>
      <c r="G9" s="0" t="n">
        <v>5.7</v>
      </c>
      <c r="H9" s="0" t="n">
        <v>42480</v>
      </c>
      <c r="I9" s="0" t="n">
        <v>19338</v>
      </c>
      <c r="J9" s="0" t="n">
        <v>3.4</v>
      </c>
      <c r="K9" s="0" t="n">
        <v>158.71</v>
      </c>
      <c r="L9" s="0" t="n">
        <v>61781</v>
      </c>
      <c r="M9" s="0" t="n">
        <v>8682</v>
      </c>
      <c r="N9" s="0" t="n">
        <v>53099</v>
      </c>
      <c r="O9" s="0" t="n">
        <v>341094</v>
      </c>
      <c r="P9" s="0" t="n">
        <v>502133</v>
      </c>
      <c r="Q9" s="0" t="n">
        <v>155407</v>
      </c>
      <c r="R9" s="0" t="n">
        <v>4229</v>
      </c>
      <c r="S9" s="0" t="n">
        <v>40788</v>
      </c>
      <c r="T9" s="0" t="n">
        <v>121.84</v>
      </c>
      <c r="U9" s="0" t="n">
        <v>192</v>
      </c>
      <c r="AA9" s="0" t="s">
        <v>17</v>
      </c>
      <c r="AB9" s="0" t="s">
        <v>14</v>
      </c>
      <c r="AC9" s="0" t="n">
        <v>158.83</v>
      </c>
      <c r="AD9" s="0" t="n">
        <v>553065</v>
      </c>
    </row>
    <row r="10" customFormat="false" ht="15" hidden="false" customHeight="false" outlineLevel="0" collapsed="false">
      <c r="A10" s="0" t="s">
        <v>73</v>
      </c>
      <c r="B10" s="0" t="n">
        <v>571186</v>
      </c>
      <c r="C10" s="0" t="n">
        <v>495473</v>
      </c>
      <c r="D10" s="0" t="n">
        <v>75712</v>
      </c>
      <c r="E10" s="0" t="n">
        <v>13.3</v>
      </c>
      <c r="F10" s="0" t="n">
        <v>39221</v>
      </c>
      <c r="G10" s="0" t="n">
        <v>6.9</v>
      </c>
      <c r="H10" s="0" t="n">
        <v>49852</v>
      </c>
      <c r="I10" s="0" t="n">
        <v>27453</v>
      </c>
      <c r="J10" s="0" t="n">
        <v>4.8</v>
      </c>
      <c r="K10" s="0" t="n">
        <v>228.15</v>
      </c>
      <c r="L10" s="0" t="n">
        <v>44275</v>
      </c>
      <c r="M10" s="0" t="n">
        <v>18727</v>
      </c>
      <c r="N10" s="0" t="n">
        <v>25548</v>
      </c>
      <c r="O10" s="0" t="n">
        <v>361945</v>
      </c>
      <c r="P10" s="0" t="n">
        <v>514647</v>
      </c>
      <c r="Q10" s="0" t="n">
        <v>146591</v>
      </c>
      <c r="R10" s="0" t="n">
        <v>4154</v>
      </c>
      <c r="S10" s="0" t="n">
        <v>51932</v>
      </c>
      <c r="T10" s="0" t="n">
        <v>120.33</v>
      </c>
      <c r="U10" s="0" t="n">
        <v>192</v>
      </c>
      <c r="AA10" s="0" t="s">
        <v>17</v>
      </c>
      <c r="AB10" s="0" t="s">
        <v>14</v>
      </c>
      <c r="AC10" s="0" t="n">
        <v>228.47</v>
      </c>
      <c r="AD10" s="0" t="n">
        <v>617917</v>
      </c>
    </row>
    <row r="11" customFormat="false" ht="15" hidden="false" customHeight="false" outlineLevel="0" collapsed="false">
      <c r="A11" s="0" t="s">
        <v>74</v>
      </c>
      <c r="B11" s="0" t="n">
        <v>614631</v>
      </c>
      <c r="C11" s="0" t="n">
        <v>530389</v>
      </c>
      <c r="D11" s="0" t="n">
        <v>84241</v>
      </c>
      <c r="E11" s="0" t="n">
        <v>13.7</v>
      </c>
      <c r="F11" s="0" t="n">
        <v>45998</v>
      </c>
      <c r="G11" s="0" t="n">
        <v>7.5</v>
      </c>
      <c r="H11" s="0" t="n">
        <v>57490</v>
      </c>
      <c r="I11" s="0" t="n">
        <v>30076</v>
      </c>
      <c r="J11" s="0" t="n">
        <v>4.9</v>
      </c>
      <c r="K11" s="0" t="n">
        <v>253.01</v>
      </c>
      <c r="L11" s="0" t="n">
        <v>16625</v>
      </c>
      <c r="M11" s="0" t="n">
        <v>10482</v>
      </c>
      <c r="N11" s="0" t="n">
        <v>6143</v>
      </c>
      <c r="O11" s="0" t="n">
        <v>373994</v>
      </c>
      <c r="P11" s="0" t="n">
        <v>539730</v>
      </c>
      <c r="Q11" s="0" t="n">
        <v>158747</v>
      </c>
      <c r="R11" s="0" t="n">
        <v>3009</v>
      </c>
      <c r="S11" s="0" t="n">
        <v>38146</v>
      </c>
      <c r="T11" s="0" t="n">
        <v>118.87</v>
      </c>
      <c r="U11" s="0" t="n">
        <v>187</v>
      </c>
      <c r="AA11" s="0" t="s">
        <v>17</v>
      </c>
      <c r="AB11" s="0" t="s">
        <v>14</v>
      </c>
      <c r="AC11" s="0" t="n">
        <v>253.54</v>
      </c>
      <c r="AD11" s="0" t="n">
        <v>638824</v>
      </c>
    </row>
    <row r="12" customFormat="false" ht="15" hidden="false" customHeight="false" outlineLevel="0" collapsed="false">
      <c r="A12" s="0" t="s">
        <v>75</v>
      </c>
      <c r="B12" s="0" t="n">
        <v>630658</v>
      </c>
      <c r="C12" s="0" t="n">
        <v>538748</v>
      </c>
      <c r="D12" s="0" t="n">
        <v>91909</v>
      </c>
      <c r="E12" s="0" t="n">
        <v>14.6</v>
      </c>
      <c r="F12" s="0" t="n">
        <v>50904</v>
      </c>
      <c r="G12" s="0" t="n">
        <v>8.1</v>
      </c>
      <c r="H12" s="0" t="n">
        <v>62093</v>
      </c>
      <c r="I12" s="0" t="n">
        <v>36307</v>
      </c>
      <c r="J12" s="0" t="n">
        <v>5.8</v>
      </c>
      <c r="K12" s="0" t="n">
        <v>309.71</v>
      </c>
      <c r="L12" s="0" t="n">
        <v>42469</v>
      </c>
      <c r="M12" s="0" t="n">
        <v>13619</v>
      </c>
      <c r="N12" s="0" t="n">
        <v>28850</v>
      </c>
      <c r="O12" s="0" t="n">
        <v>399894</v>
      </c>
      <c r="P12" s="0" t="n">
        <v>565709</v>
      </c>
      <c r="Q12" s="0" t="n">
        <v>158257</v>
      </c>
      <c r="R12" s="0" t="n">
        <v>2426</v>
      </c>
      <c r="S12" s="0" t="n">
        <v>41333</v>
      </c>
      <c r="T12" s="0" t="n">
        <v>117.23</v>
      </c>
      <c r="U12" s="0" t="n">
        <v>148</v>
      </c>
      <c r="AA12" s="0" t="s">
        <v>17</v>
      </c>
      <c r="AB12" s="0" t="s">
        <v>14</v>
      </c>
      <c r="AC12" s="0" t="n">
        <v>311.6</v>
      </c>
      <c r="AD12" s="0" t="n">
        <v>685617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76</v>
      </c>
      <c r="B1" s="2" t="s">
        <v>77</v>
      </c>
    </row>
    <row r="2" customFormat="false" ht="15" hidden="false" customHeight="false" outlineLevel="0" collapsed="false">
      <c r="A2" s="0" t="s">
        <v>78</v>
      </c>
      <c r="B2" s="3" t="n">
        <v>5660</v>
      </c>
    </row>
    <row r="3" customFormat="false" ht="15" hidden="false" customHeight="false" outlineLevel="0" collapsed="false">
      <c r="A3" s="0" t="s">
        <v>79</v>
      </c>
      <c r="B3" s="3" t="n">
        <v>116.3</v>
      </c>
    </row>
    <row r="4" customFormat="false" ht="15" hidden="false" customHeight="false" outlineLevel="0" collapsed="false">
      <c r="A4" s="0" t="s">
        <v>80</v>
      </c>
      <c r="B4" s="3" t="n">
        <v>-38907</v>
      </c>
    </row>
    <row r="5" customFormat="false" ht="15" hidden="false" customHeight="false" outlineLevel="0" collapsed="false">
      <c r="A5" s="0" t="s">
        <v>81</v>
      </c>
      <c r="B5" s="3" t="n">
        <v>27780</v>
      </c>
    </row>
    <row r="6" customFormat="false" ht="15" hidden="false" customHeight="false" outlineLevel="0" collapsed="false">
      <c r="A6" s="0" t="s">
        <v>82</v>
      </c>
      <c r="B6" s="3" t="n">
        <v>15</v>
      </c>
    </row>
    <row r="7" customFormat="false" ht="15" hidden="false" customHeight="false" outlineLevel="0" collapsed="false">
      <c r="A7" s="0" t="s">
        <v>83</v>
      </c>
      <c r="B7" s="3" t="n">
        <v>630658</v>
      </c>
    </row>
    <row r="8" customFormat="false" ht="15" hidden="false" customHeight="false" outlineLevel="0" collapsed="false">
      <c r="A8" s="0" t="s">
        <v>84</v>
      </c>
      <c r="B8" s="3" t="s">
        <v>75</v>
      </c>
    </row>
    <row r="9" customFormat="false" ht="15" hidden="false" customHeight="false" outlineLevel="0" collapsed="false">
      <c r="A9" s="0" t="s">
        <v>85</v>
      </c>
      <c r="B9" s="3" t="s">
        <v>86</v>
      </c>
    </row>
    <row r="10" customFormat="false" ht="15" hidden="false" customHeight="false" outlineLevel="0" collapsed="false">
      <c r="A10" s="0" t="s">
        <v>87</v>
      </c>
      <c r="B10" s="3" t="n">
        <v>1</v>
      </c>
    </row>
    <row r="12" customFormat="false" ht="15" hidden="false" customHeight="false" outlineLevel="0" collapsed="false">
      <c r="A12" s="2" t="s">
        <v>88</v>
      </c>
      <c r="C12" s="2" t="s">
        <v>89</v>
      </c>
      <c r="D12" s="2" t="s">
        <v>90</v>
      </c>
      <c r="E12" s="2" t="s">
        <v>91</v>
      </c>
      <c r="F12" s="2" t="s">
        <v>92</v>
      </c>
      <c r="G12" s="2" t="s">
        <v>93</v>
      </c>
      <c r="H12" s="2" t="s">
        <v>94</v>
      </c>
      <c r="I12" s="2" t="s">
        <v>95</v>
      </c>
      <c r="J12" s="2" t="s">
        <v>96</v>
      </c>
      <c r="K12" s="2" t="s">
        <v>97</v>
      </c>
      <c r="L12" s="2" t="s">
        <v>98</v>
      </c>
    </row>
    <row r="13" customFormat="false" ht="15" hidden="false" customHeight="false" outlineLevel="0" collapsed="false">
      <c r="A13" s="0" t="s">
        <v>99</v>
      </c>
      <c r="C13" s="3" t="n">
        <v>4.5</v>
      </c>
      <c r="D13" s="3" t="n">
        <v>1</v>
      </c>
      <c r="E13" s="3" t="n">
        <v>-2</v>
      </c>
      <c r="F13" s="3" t="n">
        <v>-2</v>
      </c>
      <c r="G13" s="3" t="n">
        <v>0</v>
      </c>
      <c r="H13" s="3" t="n">
        <v>1</v>
      </c>
      <c r="I13" s="3" t="n">
        <v>1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100</v>
      </c>
      <c r="C14" s="3" t="n">
        <v>9.6</v>
      </c>
      <c r="D14" s="3" t="n">
        <v>9</v>
      </c>
      <c r="E14" s="3" t="n">
        <v>8.5</v>
      </c>
      <c r="F14" s="3" t="n">
        <v>8.2</v>
      </c>
      <c r="G14" s="3" t="n">
        <v>8</v>
      </c>
      <c r="H14" s="3" t="n">
        <v>8</v>
      </c>
      <c r="I14" s="3" t="n">
        <v>8</v>
      </c>
      <c r="J14" s="3" t="n">
        <v>8</v>
      </c>
      <c r="K14" s="3" t="n">
        <v>8</v>
      </c>
      <c r="L14" s="3" t="n">
        <v>8</v>
      </c>
    </row>
    <row r="15" customFormat="false" ht="15" hidden="false" customHeight="false" outlineLevel="0" collapsed="false">
      <c r="A15" s="0" t="s">
        <v>101</v>
      </c>
      <c r="C15" s="3" t="n">
        <v>0.025</v>
      </c>
      <c r="D15" s="3" t="n">
        <v>0.025</v>
      </c>
      <c r="E15" s="3" t="n">
        <v>0.025</v>
      </c>
      <c r="F15" s="3" t="n">
        <v>0.025</v>
      </c>
      <c r="G15" s="3" t="n">
        <v>0.025</v>
      </c>
      <c r="H15" s="3" t="n">
        <v>0.025</v>
      </c>
      <c r="I15" s="3" t="n">
        <v>0.025</v>
      </c>
      <c r="J15" s="3" t="n">
        <v>0.025</v>
      </c>
      <c r="K15" s="3" t="n">
        <v>0.025</v>
      </c>
      <c r="L15" s="3" t="n">
        <v>0.025</v>
      </c>
    </row>
    <row r="16" customFormat="false" ht="15" hidden="false" customHeight="false" outlineLevel="0" collapsed="false">
      <c r="A16" s="0" t="s">
        <v>102</v>
      </c>
      <c r="C16" s="3" t="n">
        <v>0.08</v>
      </c>
      <c r="D16" s="3" t="n">
        <v>0.08</v>
      </c>
      <c r="E16" s="3" t="n">
        <v>0.08</v>
      </c>
      <c r="F16" s="3" t="n">
        <v>0.08</v>
      </c>
      <c r="G16" s="3" t="n">
        <v>0.08</v>
      </c>
      <c r="H16" s="3" t="n">
        <v>0.08</v>
      </c>
      <c r="I16" s="3" t="n">
        <v>0.08</v>
      </c>
      <c r="J16" s="3" t="n">
        <v>0.08</v>
      </c>
      <c r="K16" s="3" t="n">
        <v>0.08</v>
      </c>
      <c r="L16" s="3" t="n">
        <v>0.08</v>
      </c>
    </row>
    <row r="17" customFormat="false" ht="15" hidden="false" customHeight="false" outlineLevel="0" collapsed="false">
      <c r="A17" s="0" t="s">
        <v>103</v>
      </c>
      <c r="C17" s="3" t="n">
        <v>1.75</v>
      </c>
      <c r="D17" s="3" t="n">
        <v>1.75</v>
      </c>
      <c r="E17" s="3" t="n">
        <v>1.75</v>
      </c>
      <c r="F17" s="3" t="n">
        <v>1.75</v>
      </c>
      <c r="G17" s="3" t="n">
        <v>1.75</v>
      </c>
      <c r="H17" s="3" t="n">
        <v>1.75</v>
      </c>
      <c r="I17" s="3" t="n">
        <v>1.75</v>
      </c>
      <c r="J17" s="3" t="n">
        <v>1.75</v>
      </c>
      <c r="K17" s="3" t="n">
        <v>1.75</v>
      </c>
      <c r="L17" s="3" t="n">
        <v>1.75</v>
      </c>
    </row>
    <row r="18" customFormat="false" ht="15" hidden="false" customHeight="false" outlineLevel="0" collapsed="false">
      <c r="A18" s="0" t="s">
        <v>104</v>
      </c>
      <c r="C18" s="3" t="n">
        <v>2.2</v>
      </c>
      <c r="D18" s="3" t="n">
        <v>2.2</v>
      </c>
      <c r="E18" s="3" t="n">
        <v>2.2</v>
      </c>
      <c r="F18" s="3" t="n">
        <v>2.2</v>
      </c>
      <c r="G18" s="3" t="n">
        <v>2.2</v>
      </c>
      <c r="H18" s="3" t="n">
        <v>2.2</v>
      </c>
      <c r="I18" s="3" t="n">
        <v>2.2</v>
      </c>
      <c r="J18" s="3" t="n">
        <v>2.2</v>
      </c>
      <c r="K18" s="3" t="n">
        <v>2.2</v>
      </c>
      <c r="L18" s="3" t="n">
        <v>2.2</v>
      </c>
    </row>
    <row r="19" customFormat="false" ht="15" hidden="false" customHeight="false" outlineLevel="0" collapsed="false">
      <c r="A19" s="0" t="s">
        <v>105</v>
      </c>
      <c r="C19" s="3" t="n">
        <v>30.6</v>
      </c>
      <c r="D19" s="3" t="n">
        <v>30.6</v>
      </c>
      <c r="E19" s="3" t="n">
        <v>30.6</v>
      </c>
      <c r="F19" s="3" t="n">
        <v>30.6</v>
      </c>
      <c r="G19" s="3" t="n">
        <v>30.6</v>
      </c>
      <c r="H19" s="3" t="n">
        <v>30.6</v>
      </c>
      <c r="I19" s="3" t="n">
        <v>30.6</v>
      </c>
      <c r="J19" s="3" t="n">
        <v>30.6</v>
      </c>
      <c r="K19" s="3" t="n">
        <v>30.6</v>
      </c>
      <c r="L19" s="3" t="n">
        <v>30.6</v>
      </c>
    </row>
    <row r="20" customFormat="false" ht="15" hidden="false" customHeight="false" outlineLevel="0" collapsed="false">
      <c r="A20" s="0" t="s">
        <v>106</v>
      </c>
      <c r="B20" s="3" t="n">
        <v>8</v>
      </c>
    </row>
    <row r="21" customFormat="false" ht="15" hidden="false" customHeight="false" outlineLevel="0" collapsed="false">
      <c r="A21" s="0" t="s">
        <v>107</v>
      </c>
      <c r="B21" s="3" t="n">
        <v>1</v>
      </c>
    </row>
    <row r="22" customFormat="false" ht="15" hidden="false" customHeight="false" outlineLevel="0" collapsed="false">
      <c r="A22" s="0" t="s">
        <v>108</v>
      </c>
      <c r="B22" s="3" t="n">
        <v>12</v>
      </c>
    </row>
    <row r="23" customFormat="false" ht="15" hidden="false" customHeight="false" outlineLevel="0" collapsed="false">
      <c r="A23" s="0" t="s">
        <v>109</v>
      </c>
      <c r="B23" s="3" t="n">
        <v>-25</v>
      </c>
    </row>
    <row r="24" customFormat="false" ht="15" hidden="false" customHeight="false" outlineLevel="0" collapsed="false">
      <c r="A24" s="0" t="s">
        <v>110</v>
      </c>
      <c r="B24" s="3" t="n">
        <v>0.25</v>
      </c>
    </row>
    <row r="26" customFormat="false" ht="15" hidden="false" customHeight="false" outlineLevel="0" collapsed="false">
      <c r="A26" s="2" t="s">
        <v>111</v>
      </c>
      <c r="C26" s="2" t="s">
        <v>89</v>
      </c>
      <c r="D26" s="2" t="s">
        <v>90</v>
      </c>
      <c r="E26" s="2" t="s">
        <v>91</v>
      </c>
      <c r="F26" s="2" t="s">
        <v>92</v>
      </c>
      <c r="G26" s="2" t="s">
        <v>93</v>
      </c>
      <c r="H26" s="2" t="s">
        <v>94</v>
      </c>
      <c r="I26" s="2" t="s">
        <v>95</v>
      </c>
      <c r="J26" s="2" t="s">
        <v>96</v>
      </c>
      <c r="K26" s="2" t="s">
        <v>97</v>
      </c>
      <c r="L26" s="2" t="s">
        <v>98</v>
      </c>
    </row>
    <row r="27" customFormat="false" ht="15" hidden="false" customHeight="false" outlineLevel="0" collapsed="false">
      <c r="A27" s="0" t="s">
        <v>99</v>
      </c>
      <c r="C27" s="3" t="n">
        <v>6.2</v>
      </c>
      <c r="D27" s="3" t="n">
        <v>5</v>
      </c>
      <c r="E27" s="3" t="n">
        <v>4.5</v>
      </c>
      <c r="F27" s="3" t="n">
        <v>4</v>
      </c>
      <c r="G27" s="3" t="n">
        <v>3.5</v>
      </c>
      <c r="H27" s="3" t="n">
        <v>3</v>
      </c>
      <c r="I27" s="3" t="n">
        <v>2.5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100</v>
      </c>
      <c r="C28" s="3" t="n">
        <v>9.95</v>
      </c>
      <c r="D28" s="3" t="n">
        <v>9.9</v>
      </c>
      <c r="E28" s="3" t="n">
        <v>9.8</v>
      </c>
      <c r="F28" s="3" t="n">
        <v>9.7</v>
      </c>
      <c r="G28" s="3" t="n">
        <v>9.6</v>
      </c>
      <c r="H28" s="3" t="n">
        <v>9.5</v>
      </c>
      <c r="I28" s="3" t="n">
        <v>9.5</v>
      </c>
      <c r="J28" s="3" t="n">
        <v>9.5</v>
      </c>
      <c r="K28" s="3" t="n">
        <v>9.5</v>
      </c>
      <c r="L28" s="3" t="n">
        <v>9.5</v>
      </c>
    </row>
    <row r="29" customFormat="false" ht="15" hidden="false" customHeight="false" outlineLevel="0" collapsed="false">
      <c r="A29" s="0" t="s">
        <v>101</v>
      </c>
      <c r="C29" s="3" t="n">
        <v>0.025</v>
      </c>
      <c r="D29" s="3" t="n">
        <v>0.025</v>
      </c>
      <c r="E29" s="3" t="n">
        <v>0.025</v>
      </c>
      <c r="F29" s="3" t="n">
        <v>0.025</v>
      </c>
      <c r="G29" s="3" t="n">
        <v>0.025</v>
      </c>
      <c r="H29" s="3" t="n">
        <v>0.025</v>
      </c>
      <c r="I29" s="3" t="n">
        <v>0.025</v>
      </c>
      <c r="J29" s="3" t="n">
        <v>0.025</v>
      </c>
      <c r="K29" s="3" t="n">
        <v>0.025</v>
      </c>
      <c r="L29" s="3" t="n">
        <v>0.025</v>
      </c>
    </row>
    <row r="30" customFormat="false" ht="15" hidden="false" customHeight="false" outlineLevel="0" collapsed="false">
      <c r="A30" s="0" t="s">
        <v>102</v>
      </c>
      <c r="C30" s="3" t="n">
        <v>0.08</v>
      </c>
      <c r="D30" s="3" t="n">
        <v>0.08</v>
      </c>
      <c r="E30" s="3" t="n">
        <v>0.08</v>
      </c>
      <c r="F30" s="3" t="n">
        <v>0.08</v>
      </c>
      <c r="G30" s="3" t="n">
        <v>0.08</v>
      </c>
      <c r="H30" s="3" t="n">
        <v>0.08</v>
      </c>
      <c r="I30" s="3" t="n">
        <v>0.08</v>
      </c>
      <c r="J30" s="3" t="n">
        <v>0.08</v>
      </c>
      <c r="K30" s="3" t="n">
        <v>0.08</v>
      </c>
      <c r="L30" s="3" t="n">
        <v>0.08</v>
      </c>
    </row>
    <row r="31" customFormat="false" ht="15" hidden="false" customHeight="false" outlineLevel="0" collapsed="false">
      <c r="A31" s="0" t="s">
        <v>103</v>
      </c>
      <c r="C31" s="3" t="n">
        <v>1.75</v>
      </c>
      <c r="D31" s="3" t="n">
        <v>1.75</v>
      </c>
      <c r="E31" s="3" t="n">
        <v>1.75</v>
      </c>
      <c r="F31" s="3" t="n">
        <v>1.75</v>
      </c>
      <c r="G31" s="3" t="n">
        <v>1.75</v>
      </c>
      <c r="H31" s="3" t="n">
        <v>1.75</v>
      </c>
      <c r="I31" s="3" t="n">
        <v>1.75</v>
      </c>
      <c r="J31" s="3" t="n">
        <v>1.75</v>
      </c>
      <c r="K31" s="3" t="n">
        <v>1.75</v>
      </c>
      <c r="L31" s="3" t="n">
        <v>1.75</v>
      </c>
    </row>
    <row r="32" customFormat="false" ht="15" hidden="false" customHeight="false" outlineLevel="0" collapsed="false">
      <c r="A32" s="0" t="s">
        <v>104</v>
      </c>
      <c r="C32" s="3" t="n">
        <v>2.1</v>
      </c>
      <c r="D32" s="3" t="n">
        <v>2.1</v>
      </c>
      <c r="E32" s="3" t="n">
        <v>2.1</v>
      </c>
      <c r="F32" s="3" t="n">
        <v>2.1</v>
      </c>
      <c r="G32" s="3" t="n">
        <v>2.1</v>
      </c>
      <c r="H32" s="3" t="n">
        <v>2.1</v>
      </c>
      <c r="I32" s="3" t="n">
        <v>2.1</v>
      </c>
      <c r="J32" s="3" t="n">
        <v>2.1</v>
      </c>
      <c r="K32" s="3" t="n">
        <v>2.1</v>
      </c>
      <c r="L32" s="3" t="n">
        <v>2.1</v>
      </c>
    </row>
    <row r="33" customFormat="false" ht="15" hidden="false" customHeight="false" outlineLevel="0" collapsed="false">
      <c r="A33" s="0" t="s">
        <v>105</v>
      </c>
      <c r="C33" s="3" t="n">
        <v>30.6</v>
      </c>
      <c r="D33" s="3" t="n">
        <v>30.6</v>
      </c>
      <c r="E33" s="3" t="n">
        <v>30.6</v>
      </c>
      <c r="F33" s="3" t="n">
        <v>30.6</v>
      </c>
      <c r="G33" s="3" t="n">
        <v>30.6</v>
      </c>
      <c r="H33" s="3" t="n">
        <v>30.6</v>
      </c>
      <c r="I33" s="3" t="n">
        <v>30.6</v>
      </c>
      <c r="J33" s="3" t="n">
        <v>30.6</v>
      </c>
      <c r="K33" s="3" t="n">
        <v>30.6</v>
      </c>
      <c r="L33" s="3" t="n">
        <v>30.6</v>
      </c>
    </row>
    <row r="34" customFormat="false" ht="15" hidden="false" customHeight="false" outlineLevel="0" collapsed="false">
      <c r="A34" s="0" t="s">
        <v>106</v>
      </c>
      <c r="B34" s="3" t="n">
        <v>8</v>
      </c>
    </row>
    <row r="35" customFormat="false" ht="15" hidden="false" customHeight="false" outlineLevel="0" collapsed="false">
      <c r="A35" s="0" t="s">
        <v>107</v>
      </c>
      <c r="B35" s="3" t="n">
        <v>1.5</v>
      </c>
    </row>
    <row r="36" customFormat="false" ht="15" hidden="false" customHeight="false" outlineLevel="0" collapsed="false">
      <c r="A36" s="0" t="s">
        <v>108</v>
      </c>
      <c r="B36" s="3" t="n">
        <v>15</v>
      </c>
    </row>
    <row r="37" customFormat="false" ht="15" hidden="false" customHeight="false" outlineLevel="0" collapsed="false">
      <c r="A37" s="0" t="s">
        <v>109</v>
      </c>
      <c r="B37" s="3" t="n">
        <v>-20</v>
      </c>
    </row>
    <row r="38" customFormat="false" ht="15" hidden="false" customHeight="false" outlineLevel="0" collapsed="false">
      <c r="A38" s="0" t="s">
        <v>110</v>
      </c>
      <c r="B38" s="3" t="n">
        <v>0.5</v>
      </c>
    </row>
    <row r="40" customFormat="false" ht="15" hidden="false" customHeight="false" outlineLevel="0" collapsed="false">
      <c r="A40" s="2" t="s">
        <v>112</v>
      </c>
      <c r="C40" s="2" t="s">
        <v>89</v>
      </c>
      <c r="D40" s="2" t="s">
        <v>90</v>
      </c>
      <c r="E40" s="2" t="s">
        <v>91</v>
      </c>
      <c r="F40" s="2" t="s">
        <v>92</v>
      </c>
      <c r="G40" s="2" t="s">
        <v>93</v>
      </c>
      <c r="H40" s="2" t="s">
        <v>94</v>
      </c>
      <c r="I40" s="2" t="s">
        <v>95</v>
      </c>
      <c r="J40" s="2" t="s">
        <v>96</v>
      </c>
      <c r="K40" s="2" t="s">
        <v>97</v>
      </c>
      <c r="L40" s="2" t="s">
        <v>98</v>
      </c>
    </row>
    <row r="41" customFormat="false" ht="15" hidden="false" customHeight="false" outlineLevel="0" collapsed="false">
      <c r="A41" s="0" t="s">
        <v>99</v>
      </c>
      <c r="C41" s="3" t="n">
        <v>7.5</v>
      </c>
      <c r="D41" s="3" t="n">
        <v>7</v>
      </c>
      <c r="E41" s="3" t="n">
        <v>6.5</v>
      </c>
      <c r="F41" s="3" t="n">
        <v>6</v>
      </c>
      <c r="G41" s="3" t="n">
        <v>5</v>
      </c>
      <c r="H41" s="3" t="n">
        <v>4</v>
      </c>
      <c r="I41" s="3" t="n">
        <v>3.5</v>
      </c>
      <c r="J41" s="3" t="n">
        <v>3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100</v>
      </c>
      <c r="C42" s="3" t="n">
        <v>10</v>
      </c>
      <c r="D42" s="3" t="n">
        <v>10.2</v>
      </c>
      <c r="E42" s="3" t="n">
        <v>10.4</v>
      </c>
      <c r="F42" s="3" t="n">
        <v>10.5</v>
      </c>
      <c r="G42" s="3" t="n">
        <v>10.6</v>
      </c>
      <c r="H42" s="3" t="n">
        <v>10.7</v>
      </c>
      <c r="I42" s="3" t="n">
        <v>10.8</v>
      </c>
      <c r="J42" s="3" t="n">
        <v>10.8</v>
      </c>
      <c r="K42" s="3" t="n">
        <v>10.8</v>
      </c>
      <c r="L42" s="3" t="n">
        <v>10.8</v>
      </c>
    </row>
    <row r="43" customFormat="false" ht="15" hidden="false" customHeight="false" outlineLevel="0" collapsed="false">
      <c r="A43" s="0" t="s">
        <v>101</v>
      </c>
      <c r="C43" s="3" t="n">
        <v>0.025</v>
      </c>
      <c r="D43" s="3" t="n">
        <v>0.025</v>
      </c>
      <c r="E43" s="3" t="n">
        <v>0.025</v>
      </c>
      <c r="F43" s="3" t="n">
        <v>0.025</v>
      </c>
      <c r="G43" s="3" t="n">
        <v>0.025</v>
      </c>
      <c r="H43" s="3" t="n">
        <v>0.025</v>
      </c>
      <c r="I43" s="3" t="n">
        <v>0.025</v>
      </c>
      <c r="J43" s="3" t="n">
        <v>0.025</v>
      </c>
      <c r="K43" s="3" t="n">
        <v>0.025</v>
      </c>
      <c r="L43" s="3" t="n">
        <v>0.025</v>
      </c>
    </row>
    <row r="44" customFormat="false" ht="15" hidden="false" customHeight="false" outlineLevel="0" collapsed="false">
      <c r="A44" s="0" t="s">
        <v>102</v>
      </c>
      <c r="C44" s="3" t="n">
        <v>0.08</v>
      </c>
      <c r="D44" s="3" t="n">
        <v>0.08</v>
      </c>
      <c r="E44" s="3" t="n">
        <v>0.08</v>
      </c>
      <c r="F44" s="3" t="n">
        <v>0.08</v>
      </c>
      <c r="G44" s="3" t="n">
        <v>0.08</v>
      </c>
      <c r="H44" s="3" t="n">
        <v>0.08</v>
      </c>
      <c r="I44" s="3" t="n">
        <v>0.08</v>
      </c>
      <c r="J44" s="3" t="n">
        <v>0.08</v>
      </c>
      <c r="K44" s="3" t="n">
        <v>0.08</v>
      </c>
      <c r="L44" s="3" t="n">
        <v>0.08</v>
      </c>
    </row>
    <row r="45" customFormat="false" ht="15" hidden="false" customHeight="false" outlineLevel="0" collapsed="false">
      <c r="A45" s="0" t="s">
        <v>103</v>
      </c>
      <c r="C45" s="3" t="n">
        <v>1.75</v>
      </c>
      <c r="D45" s="3" t="n">
        <v>1.75</v>
      </c>
      <c r="E45" s="3" t="n">
        <v>1.75</v>
      </c>
      <c r="F45" s="3" t="n">
        <v>1.75</v>
      </c>
      <c r="G45" s="3" t="n">
        <v>1.75</v>
      </c>
      <c r="H45" s="3" t="n">
        <v>1.75</v>
      </c>
      <c r="I45" s="3" t="n">
        <v>1.75</v>
      </c>
      <c r="J45" s="3" t="n">
        <v>1.75</v>
      </c>
      <c r="K45" s="3" t="n">
        <v>1.75</v>
      </c>
      <c r="L45" s="3" t="n">
        <v>1.75</v>
      </c>
    </row>
    <row r="46" customFormat="false" ht="15" hidden="false" customHeight="false" outlineLevel="0" collapsed="false">
      <c r="A46" s="0" t="s">
        <v>104</v>
      </c>
      <c r="C46" s="3" t="n">
        <v>2</v>
      </c>
      <c r="D46" s="3" t="n">
        <v>2</v>
      </c>
      <c r="E46" s="3" t="n">
        <v>2</v>
      </c>
      <c r="F46" s="3" t="n">
        <v>2</v>
      </c>
      <c r="G46" s="3" t="n">
        <v>2</v>
      </c>
      <c r="H46" s="3" t="n">
        <v>2</v>
      </c>
      <c r="I46" s="3" t="n">
        <v>2</v>
      </c>
      <c r="J46" s="3" t="n">
        <v>2</v>
      </c>
      <c r="K46" s="3" t="n">
        <v>2</v>
      </c>
      <c r="L46" s="3" t="n">
        <v>2</v>
      </c>
    </row>
    <row r="47" customFormat="false" ht="15" hidden="false" customHeight="false" outlineLevel="0" collapsed="false">
      <c r="A47" s="0" t="s">
        <v>105</v>
      </c>
      <c r="C47" s="3" t="n">
        <v>30.6</v>
      </c>
      <c r="D47" s="3" t="n">
        <v>30.6</v>
      </c>
      <c r="E47" s="3" t="n">
        <v>30.6</v>
      </c>
      <c r="F47" s="3" t="n">
        <v>30.6</v>
      </c>
      <c r="G47" s="3" t="n">
        <v>30.6</v>
      </c>
      <c r="H47" s="3" t="n">
        <v>30.6</v>
      </c>
      <c r="I47" s="3" t="n">
        <v>30.6</v>
      </c>
      <c r="J47" s="3" t="n">
        <v>30.6</v>
      </c>
      <c r="K47" s="3" t="n">
        <v>30.6</v>
      </c>
      <c r="L47" s="3" t="n">
        <v>30.6</v>
      </c>
    </row>
    <row r="48" customFormat="false" ht="15" hidden="false" customHeight="false" outlineLevel="0" collapsed="false">
      <c r="A48" s="0" t="s">
        <v>106</v>
      </c>
      <c r="B48" s="3" t="n">
        <v>8</v>
      </c>
    </row>
    <row r="49" customFormat="false" ht="15" hidden="false" customHeight="false" outlineLevel="0" collapsed="false">
      <c r="A49" s="0" t="s">
        <v>107</v>
      </c>
      <c r="B49" s="3" t="n">
        <v>2</v>
      </c>
    </row>
    <row r="50" customFormat="false" ht="15" hidden="false" customHeight="false" outlineLevel="0" collapsed="false">
      <c r="A50" s="0" t="s">
        <v>108</v>
      </c>
      <c r="B50" s="3" t="n">
        <v>17</v>
      </c>
    </row>
    <row r="51" customFormat="false" ht="15" hidden="false" customHeight="false" outlineLevel="0" collapsed="false">
      <c r="A51" s="0" t="s">
        <v>109</v>
      </c>
      <c r="B51" s="3" t="n">
        <v>-15</v>
      </c>
    </row>
    <row r="52" customFormat="false" ht="15" hidden="false" customHeight="false" outlineLevel="0" collapsed="false">
      <c r="A52" s="0" t="s">
        <v>110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113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Assumptions!C13</f>
        <v>4.5</v>
      </c>
      <c r="D5" s="4" t="n">
        <f aca="false">Assumptions!D13</f>
        <v>1</v>
      </c>
      <c r="E5" s="4" t="n">
        <f aca="false">Assumptions!E13</f>
        <v>-2</v>
      </c>
      <c r="F5" s="4" t="n">
        <f aca="false">Assumptions!F13</f>
        <v>-2</v>
      </c>
      <c r="G5" s="4" t="n">
        <f aca="false">Assumptions!G13</f>
        <v>0</v>
      </c>
      <c r="H5" s="4" t="n">
        <f aca="false">Assumptions!H13</f>
        <v>1</v>
      </c>
      <c r="I5" s="4" t="n">
        <f aca="false">Assumptions!I13</f>
        <v>1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37</v>
      </c>
      <c r="B6" s="3" t="n">
        <v>630658</v>
      </c>
      <c r="C6" s="0" t="n">
        <f aca="false">B6*(1+C5/100)</f>
        <v>659037.61</v>
      </c>
      <c r="D6" s="0" t="n">
        <f aca="false">C6*(1+D5/100)</f>
        <v>665627.9861</v>
      </c>
      <c r="E6" s="0" t="n">
        <f aca="false">D6*(1+E5/100)</f>
        <v>652315.426378</v>
      </c>
      <c r="F6" s="0" t="n">
        <f aca="false">E6*(1+F5/100)</f>
        <v>639269.11785044</v>
      </c>
      <c r="G6" s="0" t="n">
        <f aca="false">F6*(1+G5/100)</f>
        <v>639269.11785044</v>
      </c>
      <c r="H6" s="0" t="n">
        <f aca="false">G6*(1+H5/100)</f>
        <v>645661.809028944</v>
      </c>
      <c r="I6" s="0" t="n">
        <f aca="false">H6*(1+I5/100)</f>
        <v>652118.427119234</v>
      </c>
      <c r="J6" s="0" t="n">
        <f aca="false">I6*(1+J5/100)</f>
        <v>658639.611390426</v>
      </c>
      <c r="K6" s="0" t="n">
        <f aca="false">J6*(1+K5/100)</f>
        <v>665226.00750433</v>
      </c>
      <c r="L6" s="0" t="n">
        <f aca="false">K6*(1+L5/100)</f>
        <v>671878.267579374</v>
      </c>
    </row>
    <row r="7" customFormat="false" ht="15" hidden="false" customHeight="false" outlineLevel="0" collapsed="false">
      <c r="A7" s="0" t="s">
        <v>100</v>
      </c>
      <c r="C7" s="4" t="n">
        <f aca="false">Assumptions!C14</f>
        <v>9.6</v>
      </c>
      <c r="D7" s="4" t="n">
        <f aca="false">Assumptions!D14</f>
        <v>9</v>
      </c>
      <c r="E7" s="4" t="n">
        <f aca="false">Assumptions!E14</f>
        <v>8.5</v>
      </c>
      <c r="F7" s="4" t="n">
        <f aca="false">Assumptions!F14</f>
        <v>8.2</v>
      </c>
      <c r="G7" s="4" t="n">
        <f aca="false">Assumptions!G14</f>
        <v>8</v>
      </c>
      <c r="H7" s="4" t="n">
        <f aca="false">Assumptions!H14</f>
        <v>8</v>
      </c>
      <c r="I7" s="4" t="n">
        <f aca="false">Assumptions!I14</f>
        <v>8</v>
      </c>
      <c r="J7" s="4" t="n">
        <f aca="false">Assumptions!J14</f>
        <v>8</v>
      </c>
      <c r="K7" s="4" t="n">
        <f aca="false">Assumptions!K14</f>
        <v>8</v>
      </c>
      <c r="L7" s="4" t="n">
        <f aca="false">Assumptions!L14</f>
        <v>8</v>
      </c>
    </row>
    <row r="8" customFormat="false" ht="15" hidden="false" customHeight="false" outlineLevel="0" collapsed="false">
      <c r="A8" s="0" t="s">
        <v>43</v>
      </c>
      <c r="C8" s="0" t="n">
        <f aca="false">C6*C7/100</f>
        <v>63267.61056</v>
      </c>
      <c r="D8" s="0" t="n">
        <f aca="false">D6*D7/100</f>
        <v>59906.518749</v>
      </c>
      <c r="E8" s="0" t="n">
        <f aca="false">E6*E7/100</f>
        <v>55446.81124213</v>
      </c>
      <c r="F8" s="0" t="n">
        <f aca="false">F6*F7/100</f>
        <v>52420.0676637361</v>
      </c>
      <c r="G8" s="0" t="n">
        <f aca="false">G6*G7/100</f>
        <v>51141.5294280352</v>
      </c>
      <c r="H8" s="0" t="n">
        <f aca="false">H6*H7/100</f>
        <v>51652.9447223156</v>
      </c>
      <c r="I8" s="0" t="n">
        <f aca="false">I6*I7/100</f>
        <v>52169.4741695387</v>
      </c>
      <c r="J8" s="0" t="n">
        <f aca="false">J6*J7/100</f>
        <v>52691.1689112341</v>
      </c>
      <c r="K8" s="0" t="n">
        <f aca="false">K6*K7/100</f>
        <v>53218.0806003464</v>
      </c>
      <c r="L8" s="0" t="n">
        <f aca="false">L6*L7/100</f>
        <v>53750.2614063499</v>
      </c>
    </row>
    <row r="9" customFormat="false" ht="15" hidden="false" customHeight="false" outlineLevel="0" collapsed="false">
      <c r="A9" s="0" t="s">
        <v>101</v>
      </c>
      <c r="C9" s="4" t="n">
        <f aca="false">Assumptions!C15</f>
        <v>0.025</v>
      </c>
      <c r="D9" s="4" t="n">
        <f aca="false">Assumptions!D15</f>
        <v>0.025</v>
      </c>
      <c r="E9" s="4" t="n">
        <f aca="false">Assumptions!E15</f>
        <v>0.025</v>
      </c>
      <c r="F9" s="4" t="n">
        <f aca="false">Assumptions!F15</f>
        <v>0.025</v>
      </c>
      <c r="G9" s="4" t="n">
        <f aca="false">Assumptions!G15</f>
        <v>0.025</v>
      </c>
      <c r="H9" s="4" t="n">
        <f aca="false">Assumptions!H15</f>
        <v>0.025</v>
      </c>
      <c r="I9" s="4" t="n">
        <f aca="false">Assumptions!I15</f>
        <v>0.025</v>
      </c>
      <c r="J9" s="4" t="n">
        <f aca="false">Assumptions!J15</f>
        <v>0.025</v>
      </c>
      <c r="K9" s="4" t="n">
        <f aca="false">Assumptions!K15</f>
        <v>0.025</v>
      </c>
      <c r="L9" s="4" t="n">
        <f aca="false">Assumptions!L15</f>
        <v>0.025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-164.7594025</v>
      </c>
      <c r="D10" s="0" t="n">
        <f aca="false">-D6*D9/100</f>
        <v>-166.406996525</v>
      </c>
      <c r="E10" s="0" t="n">
        <f aca="false">-E6*E9/100</f>
        <v>-163.0788565945</v>
      </c>
      <c r="F10" s="0" t="n">
        <f aca="false">-F6*F9/100</f>
        <v>-159.81727946261</v>
      </c>
      <c r="G10" s="0" t="n">
        <f aca="false">-G6*G9/100</f>
        <v>-159.81727946261</v>
      </c>
      <c r="H10" s="0" t="n">
        <f aca="false">-H6*H9/100</f>
        <v>-161.415452257236</v>
      </c>
      <c r="I10" s="0" t="n">
        <f aca="false">-I6*I9/100</f>
        <v>-163.029606779808</v>
      </c>
      <c r="J10" s="0" t="n">
        <f aca="false">-J6*J9/100</f>
        <v>-164.659902847607</v>
      </c>
      <c r="K10" s="0" t="n">
        <f aca="false">-K6*K9/100</f>
        <v>-166.306501876083</v>
      </c>
      <c r="L10" s="0" t="n">
        <f aca="false">-L6*L9/100</f>
        <v>-167.969566894843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62575.6210695</v>
      </c>
      <c r="D11" s="0" t="n">
        <f aca="false">D8+D10+D24</f>
        <v>59207.609363595</v>
      </c>
      <c r="E11" s="0" t="n">
        <f aca="false">E8+E10+E24</f>
        <v>54761.8800444331</v>
      </c>
      <c r="F11" s="0" t="n">
        <f aca="false">F8+F10+F24</f>
        <v>51748.8350899931</v>
      </c>
      <c r="G11" s="0" t="n">
        <f aca="false">G8+G10+G24</f>
        <v>50470.2968542922</v>
      </c>
      <c r="H11" s="0" t="n">
        <f aca="false">H8+H10+H24</f>
        <v>50974.9998228352</v>
      </c>
      <c r="I11" s="0" t="n">
        <f aca="false">I8+I10+I24</f>
        <v>51484.7498210635</v>
      </c>
      <c r="J11" s="0" t="n">
        <f aca="false">J8+J10+J24</f>
        <v>51999.5973192741</v>
      </c>
      <c r="K11" s="0" t="n">
        <f aca="false">K8+K10+K24</f>
        <v>52519.5932924669</v>
      </c>
      <c r="L11" s="0" t="n">
        <f aca="false">L8+L10+L24</f>
        <v>53044.7892253916</v>
      </c>
    </row>
    <row r="12" customFormat="false" ht="15" hidden="false" customHeight="false" outlineLevel="0" collapsed="false">
      <c r="A12" s="0" t="s">
        <v>118</v>
      </c>
      <c r="C12" s="4" t="n">
        <f aca="false">-C6*Assumptions!C17/100</f>
        <v>-11533.158175</v>
      </c>
      <c r="D12" s="4" t="n">
        <f aca="false">-D6*Assumptions!D17/100</f>
        <v>-11648.48975675</v>
      </c>
      <c r="E12" s="4" t="n">
        <f aca="false">-E6*Assumptions!E17/100</f>
        <v>-11415.519961615</v>
      </c>
      <c r="F12" s="4" t="n">
        <f aca="false">-F6*Assumptions!F17/100</f>
        <v>-11187.2095623827</v>
      </c>
      <c r="G12" s="4" t="n">
        <f aca="false">-G6*Assumptions!G17/100</f>
        <v>-11187.2095623827</v>
      </c>
      <c r="H12" s="4" t="n">
        <f aca="false">-H6*Assumptions!H17/100</f>
        <v>-11299.0816580065</v>
      </c>
      <c r="I12" s="4" t="n">
        <f aca="false">-I6*Assumptions!I17/100</f>
        <v>-11412.0724745866</v>
      </c>
      <c r="J12" s="4" t="n">
        <f aca="false">-J6*Assumptions!J17/100</f>
        <v>-11526.1931993325</v>
      </c>
      <c r="K12" s="4" t="n">
        <f aca="false">-K6*Assumptions!K17/100</f>
        <v>-11641.4551313258</v>
      </c>
      <c r="L12" s="4" t="n">
        <f aca="false">-L6*Assumptions!L17/100</f>
        <v>-11757.869682639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51042.4628945</v>
      </c>
      <c r="D13" s="0" t="n">
        <f aca="false">D11+D12</f>
        <v>47559.119606845</v>
      </c>
      <c r="E13" s="0" t="n">
        <f aca="false">E11+E12</f>
        <v>43346.3600828181</v>
      </c>
      <c r="F13" s="0" t="n">
        <f aca="false">F11+F12</f>
        <v>40561.6255276104</v>
      </c>
      <c r="G13" s="0" t="n">
        <f aca="false">G11+G12</f>
        <v>39283.0872919095</v>
      </c>
      <c r="H13" s="0" t="n">
        <f aca="false">H11+H12</f>
        <v>39675.9181648286</v>
      </c>
      <c r="I13" s="0" t="n">
        <f aca="false">I11+I12</f>
        <v>40072.6773464769</v>
      </c>
      <c r="J13" s="0" t="n">
        <f aca="false">J11+J12</f>
        <v>40473.4041199417</v>
      </c>
      <c r="K13" s="0" t="n">
        <f aca="false">K11+K12</f>
        <v>40878.1381611411</v>
      </c>
      <c r="L13" s="0" t="n">
        <f aca="false">L11+L12</f>
        <v>41286.9195427525</v>
      </c>
    </row>
    <row r="14" customFormat="false" ht="15" hidden="false" customHeight="false" outlineLevel="0" collapsed="false">
      <c r="A14" s="0" t="s">
        <v>105</v>
      </c>
      <c r="C14" s="4" t="n">
        <f aca="false">Assumptions!C19</f>
        <v>30.6</v>
      </c>
      <c r="D14" s="4" t="n">
        <f aca="false">Assumptions!D19</f>
        <v>30.6</v>
      </c>
      <c r="E14" s="4" t="n">
        <f aca="false">Assumptions!E19</f>
        <v>30.6</v>
      </c>
      <c r="F14" s="4" t="n">
        <f aca="false">Assumptions!F19</f>
        <v>30.6</v>
      </c>
      <c r="G14" s="4" t="n">
        <f aca="false">Assumptions!G19</f>
        <v>30.6</v>
      </c>
      <c r="H14" s="4" t="n">
        <f aca="false">Assumptions!H19</f>
        <v>30.6</v>
      </c>
      <c r="I14" s="4" t="n">
        <f aca="false">Assumptions!I19</f>
        <v>30.6</v>
      </c>
      <c r="J14" s="4" t="n">
        <f aca="false">Assumptions!J19</f>
        <v>30.6</v>
      </c>
      <c r="K14" s="4" t="n">
        <f aca="false">Assumptions!K19</f>
        <v>30.6</v>
      </c>
      <c r="L14" s="4" t="n">
        <f aca="false">Assumptions!L19</f>
        <v>30.6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35423.469248783</v>
      </c>
      <c r="D15" s="0" t="n">
        <f aca="false">D13-MAX(0,D13)*D14/100</f>
        <v>33006.0290071504</v>
      </c>
      <c r="E15" s="0" t="n">
        <f aca="false">E13-MAX(0,E13)*E14/100</f>
        <v>30082.3738974758</v>
      </c>
      <c r="F15" s="0" t="n">
        <f aca="false">F13-MAX(0,F13)*F14/100</f>
        <v>28149.7681161616</v>
      </c>
      <c r="G15" s="0" t="n">
        <f aca="false">G13-MAX(0,G13)*G14/100</f>
        <v>27262.4625805852</v>
      </c>
      <c r="H15" s="0" t="n">
        <f aca="false">H13-MAX(0,H13)*H14/100</f>
        <v>27535.0872063911</v>
      </c>
      <c r="I15" s="0" t="n">
        <f aca="false">I13-MAX(0,I13)*I14/100</f>
        <v>27810.438078455</v>
      </c>
      <c r="J15" s="0" t="n">
        <f aca="false">J13-MAX(0,J13)*J14/100</f>
        <v>28088.5424592395</v>
      </c>
      <c r="K15" s="0" t="n">
        <f aca="false">K13-MAX(0,K13)*K14/100</f>
        <v>28369.4278838319</v>
      </c>
      <c r="L15" s="0" t="n">
        <f aca="false">L13-MAX(0,L13)*L14/100</f>
        <v>28653.1221626702</v>
      </c>
    </row>
    <row r="16" customFormat="false" ht="15" hidden="false" customHeight="false" outlineLevel="0" collapsed="false">
      <c r="A16" s="0" t="s">
        <v>121</v>
      </c>
      <c r="C16" s="0" t="n">
        <f aca="false">-C12</f>
        <v>11533.158175</v>
      </c>
      <c r="D16" s="0" t="n">
        <f aca="false">-D12</f>
        <v>11648.48975675</v>
      </c>
      <c r="E16" s="0" t="n">
        <f aca="false">-E12</f>
        <v>11415.519961615</v>
      </c>
      <c r="F16" s="0" t="n">
        <f aca="false">-F12</f>
        <v>11187.2095623827</v>
      </c>
      <c r="G16" s="0" t="n">
        <f aca="false">-G12</f>
        <v>11187.2095623827</v>
      </c>
      <c r="H16" s="0" t="n">
        <f aca="false">-H12</f>
        <v>11299.0816580065</v>
      </c>
      <c r="I16" s="0" t="n">
        <f aca="false">-I12</f>
        <v>11412.0724745866</v>
      </c>
      <c r="J16" s="0" t="n">
        <f aca="false">-J12</f>
        <v>11526.1931993325</v>
      </c>
      <c r="K16" s="0" t="n">
        <f aca="false">-K12</f>
        <v>11641.4551313258</v>
      </c>
      <c r="L16" s="0" t="n">
        <f aca="false">-L12</f>
        <v>11757.869682639</v>
      </c>
    </row>
    <row r="17" customFormat="false" ht="15" hidden="false" customHeight="false" outlineLevel="0" collapsed="false">
      <c r="A17" s="0" t="s">
        <v>122</v>
      </c>
      <c r="C17" s="4" t="n">
        <f aca="false">-C6*Assumptions!C18/100</f>
        <v>-14498.82742</v>
      </c>
      <c r="D17" s="4" t="n">
        <f aca="false">-D6*Assumptions!D18/100</f>
        <v>-14643.8156942</v>
      </c>
      <c r="E17" s="4" t="n">
        <f aca="false">-E6*Assumptions!E18/100</f>
        <v>-14350.939380316</v>
      </c>
      <c r="F17" s="4" t="n">
        <f aca="false">-F6*Assumptions!F18/100</f>
        <v>-14063.9205927097</v>
      </c>
      <c r="G17" s="4" t="n">
        <f aca="false">-G6*Assumptions!G18/100</f>
        <v>-14063.9205927097</v>
      </c>
      <c r="H17" s="4" t="n">
        <f aca="false">-H6*Assumptions!H18/100</f>
        <v>-14204.5597986368</v>
      </c>
      <c r="I17" s="4" t="n">
        <f aca="false">-I6*Assumptions!I18/100</f>
        <v>-14346.6053966231</v>
      </c>
      <c r="J17" s="4" t="n">
        <f aca="false">-J6*Assumptions!J18/100</f>
        <v>-14490.0714505894</v>
      </c>
      <c r="K17" s="4" t="n">
        <f aca="false">-K6*Assumptions!K18/100</f>
        <v>-14634.9721650953</v>
      </c>
      <c r="L17" s="4" t="n">
        <f aca="false">-L6*Assumptions!L18/100</f>
        <v>-14781.3218867462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(C6-B6)*Assumptions!$B$23/100</f>
        <v>-7094.9025</v>
      </c>
      <c r="D18" s="4" t="n">
        <f aca="false">(D6-C6)*Assumptions!$B$23/100</f>
        <v>-1647.594025</v>
      </c>
      <c r="E18" s="4" t="n">
        <f aca="false">(E6-D6)*Assumptions!$B$23/100</f>
        <v>3328.13993050001</v>
      </c>
      <c r="F18" s="4" t="n">
        <f aca="false">(F6-E6)*Assumptions!$B$23/100</f>
        <v>3261.57713188999</v>
      </c>
      <c r="G18" s="4" t="n">
        <f aca="false">(G6-F6)*Assumptions!$B$23/100</f>
        <v>-0</v>
      </c>
      <c r="H18" s="4" t="n">
        <f aca="false">(H6-G6)*Assumptions!$B$23/100</f>
        <v>-1598.17279462609</v>
      </c>
      <c r="I18" s="4" t="n">
        <f aca="false">(I6-H6)*Assumptions!$B$23/100</f>
        <v>-1614.15452257235</v>
      </c>
      <c r="J18" s="4" t="n">
        <f aca="false">(J6-I6)*Assumptions!$B$23/100</f>
        <v>-1630.29606779807</v>
      </c>
      <c r="K18" s="4" t="n">
        <f aca="false">(K6-J6)*Assumptions!$B$23/100</f>
        <v>-1646.59902847608</v>
      </c>
      <c r="L18" s="4" t="n">
        <f aca="false">(L6-K6)*Assumptions!$B$23/100</f>
        <v>-1663.06501876083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25362.897503783</v>
      </c>
      <c r="D19" s="0" t="n">
        <f aca="false">D15+D16+D17+D18</f>
        <v>28363.1090447004</v>
      </c>
      <c r="E19" s="0" t="n">
        <f aca="false">E15+E16+E17+E18</f>
        <v>30475.0944092748</v>
      </c>
      <c r="F19" s="0" t="n">
        <f aca="false">F15+F16+F17+F18</f>
        <v>28534.6342177246</v>
      </c>
      <c r="G19" s="0" t="n">
        <f aca="false">G15+G16+G17+G18</f>
        <v>24385.7515502582</v>
      </c>
      <c r="H19" s="0" t="n">
        <f aca="false">H15+H16+H17+H18</f>
        <v>23031.4362711347</v>
      </c>
      <c r="I19" s="0" t="n">
        <f aca="false">I15+I16+I17+I18</f>
        <v>23261.7506338461</v>
      </c>
      <c r="J19" s="0" t="n">
        <f aca="false">J15+J16+J17+J18</f>
        <v>23494.3681401845</v>
      </c>
      <c r="K19" s="0" t="n">
        <f aca="false">K15+K16+K17+K18</f>
        <v>23729.3118215864</v>
      </c>
      <c r="L19" s="0" t="n">
        <f aca="false">L15+L16+L17+L18</f>
        <v>23966.6049398022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23484.1643553546</v>
      </c>
      <c r="D21" s="0" t="n">
        <f aca="false">D19*D20</f>
        <v>24316.7944484743</v>
      </c>
      <c r="E21" s="0" t="n">
        <f aca="false">E19*E20</f>
        <v>24192.1124902158</v>
      </c>
      <c r="F21" s="0" t="n">
        <f aca="false">F19*F20</f>
        <v>20973.8079886548</v>
      </c>
      <c r="G21" s="0" t="n">
        <f aca="false">G19*G20</f>
        <v>16596.5327521455</v>
      </c>
      <c r="H21" s="0" t="n">
        <f aca="false">H19*H20</f>
        <v>14513.711601563</v>
      </c>
      <c r="I21" s="0" t="n">
        <f aca="false">I19*I20</f>
        <v>13573.008071832</v>
      </c>
      <c r="J21" s="0" t="n">
        <f aca="false">J19*J20</f>
        <v>12693.2760671763</v>
      </c>
      <c r="K21" s="0" t="n">
        <f aca="false">K19*K20</f>
        <v>11870.5637294889</v>
      </c>
      <c r="L21" s="0" t="n">
        <f aca="false">L19*L20</f>
        <v>11101.1753396146</v>
      </c>
    </row>
    <row r="23" customFormat="false" ht="15" hidden="false" customHeight="false" outlineLevel="0" collapsed="false">
      <c r="A23" s="0" t="s">
        <v>102</v>
      </c>
      <c r="C23" s="4" t="n">
        <f aca="false">Assumptions!C16</f>
        <v>0.08</v>
      </c>
      <c r="D23" s="4" t="n">
        <f aca="false">Assumptions!D16</f>
        <v>0.08</v>
      </c>
      <c r="E23" s="4" t="n">
        <f aca="false">Assumptions!E16</f>
        <v>0.08</v>
      </c>
      <c r="F23" s="4" t="n">
        <f aca="false">Assumptions!F16</f>
        <v>0.08</v>
      </c>
      <c r="G23" s="4" t="n">
        <f aca="false">Assumptions!G16</f>
        <v>0.08</v>
      </c>
      <c r="H23" s="4" t="n">
        <f aca="false">Assumptions!H16</f>
        <v>0.08</v>
      </c>
      <c r="I23" s="4" t="n">
        <f aca="false">Assumptions!I16</f>
        <v>0.08</v>
      </c>
      <c r="J23" s="4" t="n">
        <f aca="false">Assumptions!J16</f>
        <v>0.08</v>
      </c>
      <c r="K23" s="4" t="n">
        <f aca="false">Assumptions!K16</f>
        <v>0.08</v>
      </c>
      <c r="L23" s="4" t="n">
        <f aca="false">Assumptions!L16</f>
        <v>0.08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-527.230088</v>
      </c>
      <c r="D24" s="0" t="n">
        <f aca="false">-D6*D23/100</f>
        <v>-532.50238888</v>
      </c>
      <c r="E24" s="0" t="n">
        <f aca="false">-E6*E23/100</f>
        <v>-521.8523411024</v>
      </c>
      <c r="F24" s="0" t="n">
        <f aca="false">-F6*F23/100</f>
        <v>-511.415294280352</v>
      </c>
      <c r="G24" s="0" t="n">
        <f aca="false">-G6*G23/100</f>
        <v>-511.415294280352</v>
      </c>
      <c r="H24" s="0" t="n">
        <f aca="false">-H6*H23/100</f>
        <v>-516.529447223156</v>
      </c>
      <c r="I24" s="0" t="n">
        <f aca="false">-I6*I23/100</f>
        <v>-521.694741695387</v>
      </c>
      <c r="J24" s="0" t="n">
        <f aca="false">-J6*J23/100</f>
        <v>-526.911689112341</v>
      </c>
      <c r="K24" s="0" t="n">
        <f aca="false">-K6*K23/100</f>
        <v>-532.180806003464</v>
      </c>
      <c r="L24" s="0" t="n">
        <f aca="false">-L6*L23/100</f>
        <v>-537.502614063499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107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108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173315.14684452</v>
      </c>
    </row>
    <row r="31" customFormat="false" ht="15" hidden="false" customHeight="false" outlineLevel="0" collapsed="false">
      <c r="A31" s="0" t="s">
        <v>130</v>
      </c>
      <c r="B31" s="0" t="n">
        <f aca="false">L19</f>
        <v>23966.6049398022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345803.871274289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287599.259277627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287599.259277627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133214.104075375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306529.250919895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373216.250919895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3209.08212312894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-0.433024359871213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1097.7218734226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1122.57762397025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3228.17326240145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172901.935637145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2067.54617051702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Assumptions!C27</f>
        <v>6.2</v>
      </c>
      <c r="D5" s="4" t="n">
        <f aca="false">Assumptions!D27</f>
        <v>5</v>
      </c>
      <c r="E5" s="4" t="n">
        <f aca="false">Assumptions!E27</f>
        <v>4.5</v>
      </c>
      <c r="F5" s="4" t="n">
        <f aca="false">Assumptions!F27</f>
        <v>4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2.5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37</v>
      </c>
      <c r="B6" s="3" t="n">
        <v>630658</v>
      </c>
      <c r="C6" s="0" t="n">
        <f aca="false">B6*(1+C5/100)</f>
        <v>669758.796</v>
      </c>
      <c r="D6" s="0" t="n">
        <f aca="false">C6*(1+D5/100)</f>
        <v>703246.7358</v>
      </c>
      <c r="E6" s="0" t="n">
        <f aca="false">D6*(1+E5/100)</f>
        <v>734892.838911</v>
      </c>
      <c r="F6" s="0" t="n">
        <f aca="false">E6*(1+F5/100)</f>
        <v>764288.55246744</v>
      </c>
      <c r="G6" s="0" t="n">
        <f aca="false">F6*(1+G5/100)</f>
        <v>791038.651803801</v>
      </c>
      <c r="H6" s="0" t="n">
        <f aca="false">G6*(1+H5/100)</f>
        <v>814769.811357915</v>
      </c>
      <c r="I6" s="0" t="n">
        <f aca="false">H6*(1+I5/100)</f>
        <v>835139.056641862</v>
      </c>
      <c r="J6" s="0" t="n">
        <f aca="false">I6*(1+J5/100)</f>
        <v>851841.8377747</v>
      </c>
      <c r="K6" s="0" t="n">
        <f aca="false">J6*(1+K5/100)</f>
        <v>868878.674530194</v>
      </c>
      <c r="L6" s="0" t="n">
        <f aca="false">K6*(1+L5/100)</f>
        <v>886256.248020798</v>
      </c>
    </row>
    <row r="7" customFormat="false" ht="15" hidden="false" customHeight="false" outlineLevel="0" collapsed="false">
      <c r="A7" s="0" t="s">
        <v>100</v>
      </c>
      <c r="C7" s="4" t="n">
        <f aca="false">Assumptions!C28</f>
        <v>9.95</v>
      </c>
      <c r="D7" s="4" t="n">
        <f aca="false">Assumptions!D28</f>
        <v>9.9</v>
      </c>
      <c r="E7" s="4" t="n">
        <f aca="false">Assumptions!E28</f>
        <v>9.8</v>
      </c>
      <c r="F7" s="4" t="n">
        <f aca="false">Assumptions!F28</f>
        <v>9.7</v>
      </c>
      <c r="G7" s="4" t="n">
        <f aca="false">Assumptions!G28</f>
        <v>9.6</v>
      </c>
      <c r="H7" s="4" t="n">
        <f aca="false">Assumptions!H28</f>
        <v>9.5</v>
      </c>
      <c r="I7" s="4" t="n">
        <f aca="false">Assumptions!I28</f>
        <v>9.5</v>
      </c>
      <c r="J7" s="4" t="n">
        <f aca="false">Assumptions!J28</f>
        <v>9.5</v>
      </c>
      <c r="K7" s="4" t="n">
        <f aca="false">Assumptions!K28</f>
        <v>9.5</v>
      </c>
      <c r="L7" s="4" t="n">
        <f aca="false">Assumptions!L28</f>
        <v>9.5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66641.000202</v>
      </c>
      <c r="D8" s="0" t="n">
        <f aca="false">D6*D7/100</f>
        <v>69621.4268442</v>
      </c>
      <c r="E8" s="0" t="n">
        <f aca="false">E6*E7/100</f>
        <v>72019.498213278</v>
      </c>
      <c r="F8" s="0" t="n">
        <f aca="false">F6*F7/100</f>
        <v>74135.9895893417</v>
      </c>
      <c r="G8" s="0" t="n">
        <f aca="false">G6*G7/100</f>
        <v>75939.7105731648</v>
      </c>
      <c r="H8" s="0" t="n">
        <f aca="false">H6*H7/100</f>
        <v>77403.1320790019</v>
      </c>
      <c r="I8" s="0" t="n">
        <f aca="false">I6*I7/100</f>
        <v>79338.2103809769</v>
      </c>
      <c r="J8" s="0" t="n">
        <f aca="false">J6*J7/100</f>
        <v>80924.9745885965</v>
      </c>
      <c r="K8" s="0" t="n">
        <f aca="false">K6*K7/100</f>
        <v>82543.4740803684</v>
      </c>
      <c r="L8" s="0" t="n">
        <f aca="false">L6*L7/100</f>
        <v>84194.3435619758</v>
      </c>
    </row>
    <row r="9" customFormat="false" ht="15" hidden="false" customHeight="false" outlineLevel="0" collapsed="false">
      <c r="A9" s="0" t="s">
        <v>101</v>
      </c>
      <c r="C9" s="4" t="n">
        <f aca="false">Assumptions!C29</f>
        <v>0.025</v>
      </c>
      <c r="D9" s="4" t="n">
        <f aca="false">Assumptions!D29</f>
        <v>0.025</v>
      </c>
      <c r="E9" s="4" t="n">
        <f aca="false">Assumptions!E29</f>
        <v>0.025</v>
      </c>
      <c r="F9" s="4" t="n">
        <f aca="false">Assumptions!F29</f>
        <v>0.025</v>
      </c>
      <c r="G9" s="4" t="n">
        <f aca="false">Assumptions!G29</f>
        <v>0.025</v>
      </c>
      <c r="H9" s="4" t="n">
        <f aca="false">Assumptions!H29</f>
        <v>0.025</v>
      </c>
      <c r="I9" s="4" t="n">
        <f aca="false">Assumptions!I29</f>
        <v>0.025</v>
      </c>
      <c r="J9" s="4" t="n">
        <f aca="false">Assumptions!J29</f>
        <v>0.025</v>
      </c>
      <c r="K9" s="4" t="n">
        <f aca="false">Assumptions!K29</f>
        <v>0.025</v>
      </c>
      <c r="L9" s="4" t="n">
        <f aca="false">Assumptions!L29</f>
        <v>0.025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-167.439699</v>
      </c>
      <c r="D10" s="0" t="n">
        <f aca="false">-D6*D9/100</f>
        <v>-175.81168395</v>
      </c>
      <c r="E10" s="0" t="n">
        <f aca="false">-E6*E9/100</f>
        <v>-183.72320972775</v>
      </c>
      <c r="F10" s="0" t="n">
        <f aca="false">-F6*F9/100</f>
        <v>-191.07213811686</v>
      </c>
      <c r="G10" s="0" t="n">
        <f aca="false">-G6*G9/100</f>
        <v>-197.75966295095</v>
      </c>
      <c r="H10" s="0" t="n">
        <f aca="false">-H6*H9/100</f>
        <v>-203.692452839479</v>
      </c>
      <c r="I10" s="0" t="n">
        <f aca="false">-I6*I9/100</f>
        <v>-208.784764160466</v>
      </c>
      <c r="J10" s="0" t="n">
        <f aca="false">-J6*J9/100</f>
        <v>-212.960459443675</v>
      </c>
      <c r="K10" s="0" t="n">
        <f aca="false">-K6*K9/100</f>
        <v>-217.219668632548</v>
      </c>
      <c r="L10" s="0" t="n">
        <f aca="false">-L6*L9/100</f>
        <v>-221.564062005199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65937.7534662</v>
      </c>
      <c r="D11" s="0" t="n">
        <f aca="false">D8+D10+D24</f>
        <v>68883.01777161</v>
      </c>
      <c r="E11" s="0" t="n">
        <f aca="false">E8+E10+E24</f>
        <v>71247.8607324215</v>
      </c>
      <c r="F11" s="0" t="n">
        <f aca="false">F8+F10+F24</f>
        <v>73333.4866092509</v>
      </c>
      <c r="G11" s="0" t="n">
        <f aca="false">G8+G10+G24</f>
        <v>75109.1199887709</v>
      </c>
      <c r="H11" s="0" t="n">
        <f aca="false">H8+H10+H24</f>
        <v>76547.6237770761</v>
      </c>
      <c r="I11" s="0" t="n">
        <f aca="false">I8+I10+I24</f>
        <v>78461.314371503</v>
      </c>
      <c r="J11" s="0" t="n">
        <f aca="false">J8+J10+J24</f>
        <v>80030.540658933</v>
      </c>
      <c r="K11" s="0" t="n">
        <f aca="false">K8+K10+K24</f>
        <v>81631.1514721117</v>
      </c>
      <c r="L11" s="0" t="n">
        <f aca="false">L8+L10+L24</f>
        <v>83263.7745015539</v>
      </c>
    </row>
    <row r="12" customFormat="false" ht="15" hidden="false" customHeight="false" outlineLevel="0" collapsed="false">
      <c r="A12" s="0" t="s">
        <v>118</v>
      </c>
      <c r="C12" s="4" t="n">
        <f aca="false">-C6*Assumptions!C31/100</f>
        <v>-11720.77893</v>
      </c>
      <c r="D12" s="4" t="n">
        <f aca="false">-D6*Assumptions!D31/100</f>
        <v>-12306.8178765</v>
      </c>
      <c r="E12" s="4" t="n">
        <f aca="false">-E6*Assumptions!E31/100</f>
        <v>-12860.6246809425</v>
      </c>
      <c r="F12" s="4" t="n">
        <f aca="false">-F6*Assumptions!F31/100</f>
        <v>-13375.0496681802</v>
      </c>
      <c r="G12" s="4" t="n">
        <f aca="false">-G6*Assumptions!G31/100</f>
        <v>-13843.1764065665</v>
      </c>
      <c r="H12" s="4" t="n">
        <f aca="false">-H6*Assumptions!H31/100</f>
        <v>-14258.4716987635</v>
      </c>
      <c r="I12" s="4" t="n">
        <f aca="false">-I6*Assumptions!I31/100</f>
        <v>-14614.9334912326</v>
      </c>
      <c r="J12" s="4" t="n">
        <f aca="false">-J6*Assumptions!J31/100</f>
        <v>-14907.2321610572</v>
      </c>
      <c r="K12" s="4" t="n">
        <f aca="false">-K6*Assumptions!K31/100</f>
        <v>-15205.3768042784</v>
      </c>
      <c r="L12" s="4" t="n">
        <f aca="false">-L6*Assumptions!L31/100</f>
        <v>-15509.484340364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54216.9745362</v>
      </c>
      <c r="D13" s="0" t="n">
        <f aca="false">D11+D12</f>
        <v>56576.19989511</v>
      </c>
      <c r="E13" s="0" t="n">
        <f aca="false">E11+E12</f>
        <v>58387.236051479</v>
      </c>
      <c r="F13" s="0" t="n">
        <f aca="false">F11+F12</f>
        <v>59958.4369410707</v>
      </c>
      <c r="G13" s="0" t="n">
        <f aca="false">G11+G12</f>
        <v>61265.9435822043</v>
      </c>
      <c r="H13" s="0" t="n">
        <f aca="false">H11+H12</f>
        <v>62289.1520783126</v>
      </c>
      <c r="I13" s="0" t="n">
        <f aca="false">I11+I12</f>
        <v>63846.3808802704</v>
      </c>
      <c r="J13" s="0" t="n">
        <f aca="false">J11+J12</f>
        <v>65123.3084978758</v>
      </c>
      <c r="K13" s="0" t="n">
        <f aca="false">K11+K12</f>
        <v>66425.7746678333</v>
      </c>
      <c r="L13" s="0" t="n">
        <f aca="false">L11+L12</f>
        <v>67754.29016119</v>
      </c>
    </row>
    <row r="14" customFormat="false" ht="15" hidden="false" customHeight="false" outlineLevel="0" collapsed="false">
      <c r="A14" s="0" t="s">
        <v>105</v>
      </c>
      <c r="C14" s="4" t="n">
        <f aca="false">Assumptions!C33</f>
        <v>30.6</v>
      </c>
      <c r="D14" s="4" t="n">
        <f aca="false">Assumptions!D33</f>
        <v>30.6</v>
      </c>
      <c r="E14" s="4" t="n">
        <f aca="false">Assumptions!E33</f>
        <v>30.6</v>
      </c>
      <c r="F14" s="4" t="n">
        <f aca="false">Assumptions!F33</f>
        <v>30.6</v>
      </c>
      <c r="G14" s="4" t="n">
        <f aca="false">Assumptions!G33</f>
        <v>30.6</v>
      </c>
      <c r="H14" s="4" t="n">
        <f aca="false">Assumptions!H33</f>
        <v>30.6</v>
      </c>
      <c r="I14" s="4" t="n">
        <f aca="false">Assumptions!I33</f>
        <v>30.6</v>
      </c>
      <c r="J14" s="4" t="n">
        <f aca="false">Assumptions!J33</f>
        <v>30.6</v>
      </c>
      <c r="K14" s="4" t="n">
        <f aca="false">Assumptions!K33</f>
        <v>30.6</v>
      </c>
      <c r="L14" s="4" t="n">
        <f aca="false">Assumptions!L33</f>
        <v>30.6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37626.5803281228</v>
      </c>
      <c r="D15" s="0" t="n">
        <f aca="false">D13-MAX(0,D13)*D14/100</f>
        <v>39263.8827272064</v>
      </c>
      <c r="E15" s="0" t="n">
        <f aca="false">E13-MAX(0,E13)*E14/100</f>
        <v>40520.7418197264</v>
      </c>
      <c r="F15" s="0" t="n">
        <f aca="false">F13-MAX(0,F13)*F14/100</f>
        <v>41611.1552371031</v>
      </c>
      <c r="G15" s="0" t="n">
        <f aca="false">G13-MAX(0,G13)*G14/100</f>
        <v>42518.5648460498</v>
      </c>
      <c r="H15" s="0" t="n">
        <f aca="false">H13-MAX(0,H13)*H14/100</f>
        <v>43228.6715423489</v>
      </c>
      <c r="I15" s="0" t="n">
        <f aca="false">I13-MAX(0,I13)*I14/100</f>
        <v>44309.3883309077</v>
      </c>
      <c r="J15" s="0" t="n">
        <f aca="false">J13-MAX(0,J13)*J14/100</f>
        <v>45195.5760975258</v>
      </c>
      <c r="K15" s="0" t="n">
        <f aca="false">K13-MAX(0,K13)*K14/100</f>
        <v>46099.4876194763</v>
      </c>
      <c r="L15" s="0" t="n">
        <f aca="false">L13-MAX(0,L13)*L14/100</f>
        <v>47021.4773718658</v>
      </c>
    </row>
    <row r="16" customFormat="false" ht="15" hidden="false" customHeight="false" outlineLevel="0" collapsed="false">
      <c r="A16" s="0" t="s">
        <v>121</v>
      </c>
      <c r="C16" s="0" t="n">
        <f aca="false">-C12</f>
        <v>11720.77893</v>
      </c>
      <c r="D16" s="0" t="n">
        <f aca="false">-D12</f>
        <v>12306.8178765</v>
      </c>
      <c r="E16" s="0" t="n">
        <f aca="false">-E12</f>
        <v>12860.6246809425</v>
      </c>
      <c r="F16" s="0" t="n">
        <f aca="false">-F12</f>
        <v>13375.0496681802</v>
      </c>
      <c r="G16" s="0" t="n">
        <f aca="false">-G12</f>
        <v>13843.1764065665</v>
      </c>
      <c r="H16" s="0" t="n">
        <f aca="false">-H12</f>
        <v>14258.4716987635</v>
      </c>
      <c r="I16" s="0" t="n">
        <f aca="false">-I12</f>
        <v>14614.9334912326</v>
      </c>
      <c r="J16" s="0" t="n">
        <f aca="false">-J12</f>
        <v>14907.2321610572</v>
      </c>
      <c r="K16" s="0" t="n">
        <f aca="false">-K12</f>
        <v>15205.3768042784</v>
      </c>
      <c r="L16" s="0" t="n">
        <f aca="false">-L12</f>
        <v>15509.484340364</v>
      </c>
    </row>
    <row r="17" customFormat="false" ht="15" hidden="false" customHeight="false" outlineLevel="0" collapsed="false">
      <c r="A17" s="0" t="s">
        <v>122</v>
      </c>
      <c r="C17" s="4" t="n">
        <f aca="false">-C6*Assumptions!C32/100</f>
        <v>-14064.934716</v>
      </c>
      <c r="D17" s="4" t="n">
        <f aca="false">-D6*Assumptions!D32/100</f>
        <v>-14768.1814518</v>
      </c>
      <c r="E17" s="4" t="n">
        <f aca="false">-E6*Assumptions!E32/100</f>
        <v>-15432.749617131</v>
      </c>
      <c r="F17" s="4" t="n">
        <f aca="false">-F6*Assumptions!F32/100</f>
        <v>-16050.0596018162</v>
      </c>
      <c r="G17" s="4" t="n">
        <f aca="false">-G6*Assumptions!G32/100</f>
        <v>-16611.8116878798</v>
      </c>
      <c r="H17" s="4" t="n">
        <f aca="false">-H6*Assumptions!H32/100</f>
        <v>-17110.1660385162</v>
      </c>
      <c r="I17" s="4" t="n">
        <f aca="false">-I6*Assumptions!I32/100</f>
        <v>-17537.9201894791</v>
      </c>
      <c r="J17" s="4" t="n">
        <f aca="false">-J6*Assumptions!J32/100</f>
        <v>-17888.6785932687</v>
      </c>
      <c r="K17" s="4" t="n">
        <f aca="false">-K6*Assumptions!K32/100</f>
        <v>-18246.4521651341</v>
      </c>
      <c r="L17" s="4" t="n">
        <f aca="false">-L6*Assumptions!L32/100</f>
        <v>-18611.3812084368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(C6-B6)*Assumptions!$B$37/100</f>
        <v>-7820.15920000002</v>
      </c>
      <c r="D18" s="4" t="n">
        <f aca="false">(D6-C6)*Assumptions!$B$37/100</f>
        <v>-6697.58796000001</v>
      </c>
      <c r="E18" s="4" t="n">
        <f aca="false">(E6-D6)*Assumptions!$B$37/100</f>
        <v>-6329.22062219998</v>
      </c>
      <c r="F18" s="4" t="n">
        <f aca="false">(F6-E6)*Assumptions!$B$37/100</f>
        <v>-5879.14271128802</v>
      </c>
      <c r="G18" s="4" t="n">
        <f aca="false">(G6-F6)*Assumptions!$B$37/100</f>
        <v>-5350.01986727207</v>
      </c>
      <c r="H18" s="4" t="n">
        <f aca="false">(H6-G6)*Assumptions!$B$37/100</f>
        <v>-4746.2319108228</v>
      </c>
      <c r="I18" s="4" t="n">
        <f aca="false">(I6-H6)*Assumptions!$B$37/100</f>
        <v>-4073.84905678956</v>
      </c>
      <c r="J18" s="4" t="n">
        <f aca="false">(J6-I6)*Assumptions!$B$37/100</f>
        <v>-3340.55622656746</v>
      </c>
      <c r="K18" s="4" t="n">
        <f aca="false">(K6-J6)*Assumptions!$B$37/100</f>
        <v>-3407.3673510988</v>
      </c>
      <c r="L18" s="4" t="n">
        <f aca="false">(L6-K6)*Assumptions!$B$37/100</f>
        <v>-3475.51469812079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27462.2653421228</v>
      </c>
      <c r="D19" s="0" t="n">
        <f aca="false">D15+D16+D17+D18</f>
        <v>30104.9311919063</v>
      </c>
      <c r="E19" s="0" t="n">
        <f aca="false">E15+E16+E17+E18</f>
        <v>31619.3962613379</v>
      </c>
      <c r="F19" s="0" t="n">
        <f aca="false">F15+F16+F17+F18</f>
        <v>33057.002592179</v>
      </c>
      <c r="G19" s="0" t="n">
        <f aca="false">G15+G16+G17+G18</f>
        <v>34399.9096974644</v>
      </c>
      <c r="H19" s="0" t="n">
        <f aca="false">H15+H16+H17+H18</f>
        <v>35630.7452917734</v>
      </c>
      <c r="I19" s="0" t="n">
        <f aca="false">I15+I16+I17+I18</f>
        <v>37312.5525758716</v>
      </c>
      <c r="J19" s="0" t="n">
        <f aca="false">J15+J16+J17+J18</f>
        <v>38873.5734387469</v>
      </c>
      <c r="K19" s="0" t="n">
        <f aca="false">K15+K16+K17+K18</f>
        <v>39651.0449075218</v>
      </c>
      <c r="L19" s="0" t="n">
        <f aca="false">L15+L16+L17+L18</f>
        <v>40444.0658056723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25428.0234649285</v>
      </c>
      <c r="D21" s="0" t="n">
        <f aca="false">D19*D20</f>
        <v>25810.1261933353</v>
      </c>
      <c r="E21" s="0" t="n">
        <f aca="false">E19*E20</f>
        <v>25100.4961938427</v>
      </c>
      <c r="F21" s="0" t="n">
        <f aca="false">F19*F20</f>
        <v>24297.8837492213</v>
      </c>
      <c r="G21" s="0" t="n">
        <f aca="false">G19*G20</f>
        <v>23412.0005195728</v>
      </c>
      <c r="H21" s="0" t="n">
        <f aca="false">H19*H20</f>
        <v>22453.4134660838</v>
      </c>
      <c r="I21" s="0" t="n">
        <f aca="false">I19*I20</f>
        <v>21771.5160507345</v>
      </c>
      <c r="J21" s="0" t="n">
        <f aca="false">J19*J20</f>
        <v>21002.1821583574</v>
      </c>
      <c r="K21" s="0" t="n">
        <f aca="false">K19*K20</f>
        <v>19835.3942606709</v>
      </c>
      <c r="L21" s="0" t="n">
        <f aca="false">L19*L20</f>
        <v>18733.4279128558</v>
      </c>
    </row>
    <row r="23" customFormat="false" ht="15" hidden="false" customHeight="false" outlineLevel="0" collapsed="false">
      <c r="A23" s="0" t="s">
        <v>102</v>
      </c>
      <c r="C23" s="4" t="n">
        <f aca="false">Assumptions!C30</f>
        <v>0.08</v>
      </c>
      <c r="D23" s="4" t="n">
        <f aca="false">Assumptions!D30</f>
        <v>0.08</v>
      </c>
      <c r="E23" s="4" t="n">
        <f aca="false">Assumptions!E30</f>
        <v>0.08</v>
      </c>
      <c r="F23" s="4" t="n">
        <f aca="false">Assumptions!F30</f>
        <v>0.08</v>
      </c>
      <c r="G23" s="4" t="n">
        <f aca="false">Assumptions!G30</f>
        <v>0.08</v>
      </c>
      <c r="H23" s="4" t="n">
        <f aca="false">Assumptions!H30</f>
        <v>0.08</v>
      </c>
      <c r="I23" s="4" t="n">
        <f aca="false">Assumptions!I30</f>
        <v>0.08</v>
      </c>
      <c r="J23" s="4" t="n">
        <f aca="false">Assumptions!J30</f>
        <v>0.08</v>
      </c>
      <c r="K23" s="4" t="n">
        <f aca="false">Assumptions!K30</f>
        <v>0.08</v>
      </c>
      <c r="L23" s="4" t="n">
        <f aca="false">Assumptions!L30</f>
        <v>0.08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-535.8070368</v>
      </c>
      <c r="D24" s="0" t="n">
        <f aca="false">-D6*D23/100</f>
        <v>-562.59738864</v>
      </c>
      <c r="E24" s="0" t="n">
        <f aca="false">-E6*E23/100</f>
        <v>-587.9142711288</v>
      </c>
      <c r="F24" s="0" t="n">
        <f aca="false">-F6*F23/100</f>
        <v>-611.430841973952</v>
      </c>
      <c r="G24" s="0" t="n">
        <f aca="false">-G6*G23/100</f>
        <v>-632.83092144304</v>
      </c>
      <c r="H24" s="0" t="n">
        <f aca="false">-H6*H23/100</f>
        <v>-651.815849086332</v>
      </c>
      <c r="I24" s="0" t="n">
        <f aca="false">-I6*I23/100</f>
        <v>-668.11124531349</v>
      </c>
      <c r="J24" s="0" t="n">
        <f aca="false">-J6*J23/100</f>
        <v>-681.47347021976</v>
      </c>
      <c r="K24" s="0" t="n">
        <f aca="false">-K6*K23/100</f>
        <v>-695.102939624155</v>
      </c>
      <c r="L24" s="0" t="n">
        <f aca="false">-L6*L23/100</f>
        <v>-709.004998416638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107</v>
      </c>
      <c r="B28" s="4" t="n">
        <f aca="false">Assumptions!$B$35</f>
        <v>1.5</v>
      </c>
    </row>
    <row r="29" customFormat="false" ht="15" hidden="false" customHeight="false" outlineLevel="0" collapsed="false">
      <c r="A29" s="0" t="s">
        <v>108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227844.463969603</v>
      </c>
    </row>
    <row r="31" customFormat="false" ht="15" hidden="false" customHeight="false" outlineLevel="0" collapsed="false">
      <c r="A31" s="0" t="s">
        <v>130</v>
      </c>
      <c r="B31" s="0" t="n">
        <f aca="false">L19</f>
        <v>40444.0658056723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631549.642965497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606660.987085084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606660.987085084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281001.418692838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508845.88266244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575532.88266244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4948.69202633225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-0.125672786867094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1303.1795335855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1602.56055654024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4973.67689383118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304079.457724128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2654.30650165454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Assumptions!C41</f>
        <v>7.5</v>
      </c>
      <c r="D5" s="4" t="n">
        <f aca="false">Assumptions!D41</f>
        <v>7</v>
      </c>
      <c r="E5" s="4" t="n">
        <f aca="false">Assumptions!E41</f>
        <v>6.5</v>
      </c>
      <c r="F5" s="4" t="n">
        <f aca="false">Assumptions!F41</f>
        <v>6</v>
      </c>
      <c r="G5" s="4" t="n">
        <f aca="false">Assumptions!G41</f>
        <v>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37</v>
      </c>
      <c r="B6" s="3" t="n">
        <v>630658</v>
      </c>
      <c r="C6" s="0" t="n">
        <f aca="false">B6*(1+C5/100)</f>
        <v>677957.35</v>
      </c>
      <c r="D6" s="0" t="n">
        <f aca="false">C6*(1+D5/100)</f>
        <v>725414.3645</v>
      </c>
      <c r="E6" s="0" t="n">
        <f aca="false">D6*(1+E5/100)</f>
        <v>772566.2981925</v>
      </c>
      <c r="F6" s="0" t="n">
        <f aca="false">E6*(1+F5/100)</f>
        <v>818920.27608405</v>
      </c>
      <c r="G6" s="0" t="n">
        <f aca="false">F6*(1+G5/100)</f>
        <v>859866.289888253</v>
      </c>
      <c r="H6" s="0" t="n">
        <f aca="false">G6*(1+H5/100)</f>
        <v>894260.941483783</v>
      </c>
      <c r="I6" s="0" t="n">
        <f aca="false">H6*(1+I5/100)</f>
        <v>925560.074435715</v>
      </c>
      <c r="J6" s="0" t="n">
        <f aca="false">I6*(1+J5/100)</f>
        <v>953326.876668787</v>
      </c>
      <c r="K6" s="0" t="n">
        <f aca="false">J6*(1+K5/100)</f>
        <v>977160.048585506</v>
      </c>
      <c r="L6" s="0" t="n">
        <f aca="false">K6*(1+L5/100)</f>
        <v>1001589.04980014</v>
      </c>
    </row>
    <row r="7" customFormat="false" ht="15" hidden="false" customHeight="false" outlineLevel="0" collapsed="false">
      <c r="A7" s="0" t="s">
        <v>100</v>
      </c>
      <c r="C7" s="4" t="n">
        <f aca="false">Assumptions!C42</f>
        <v>10</v>
      </c>
      <c r="D7" s="4" t="n">
        <f aca="false">Assumptions!D42</f>
        <v>10.2</v>
      </c>
      <c r="E7" s="4" t="n">
        <f aca="false">Assumptions!E42</f>
        <v>10.4</v>
      </c>
      <c r="F7" s="4" t="n">
        <f aca="false">Assumptions!F42</f>
        <v>10.5</v>
      </c>
      <c r="G7" s="4" t="n">
        <f aca="false">Assumptions!G42</f>
        <v>10.6</v>
      </c>
      <c r="H7" s="4" t="n">
        <f aca="false">Assumptions!H42</f>
        <v>10.7</v>
      </c>
      <c r="I7" s="4" t="n">
        <f aca="false">Assumptions!I42</f>
        <v>10.8</v>
      </c>
      <c r="J7" s="4" t="n">
        <f aca="false">Assumptions!J42</f>
        <v>10.8</v>
      </c>
      <c r="K7" s="4" t="n">
        <f aca="false">Assumptions!K42</f>
        <v>10.8</v>
      </c>
      <c r="L7" s="4" t="n">
        <f aca="false">Assumptions!L42</f>
        <v>10.8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67795.735</v>
      </c>
      <c r="D8" s="0" t="n">
        <f aca="false">D6*D7/100</f>
        <v>73992.265179</v>
      </c>
      <c r="E8" s="0" t="n">
        <f aca="false">E6*E7/100</f>
        <v>80346.89501202</v>
      </c>
      <c r="F8" s="0" t="n">
        <f aca="false">F6*F7/100</f>
        <v>85986.6289888253</v>
      </c>
      <c r="G8" s="0" t="n">
        <f aca="false">G6*G7/100</f>
        <v>91145.8267281548</v>
      </c>
      <c r="H8" s="0" t="n">
        <f aca="false">H6*H7/100</f>
        <v>95685.9207387648</v>
      </c>
      <c r="I8" s="0" t="n">
        <f aca="false">I6*I7/100</f>
        <v>99960.4880390572</v>
      </c>
      <c r="J8" s="0" t="n">
        <f aca="false">J6*J7/100</f>
        <v>102959.302680229</v>
      </c>
      <c r="K8" s="0" t="n">
        <f aca="false">K6*K7/100</f>
        <v>105533.285247235</v>
      </c>
      <c r="L8" s="0" t="n">
        <f aca="false">L6*L7/100</f>
        <v>108171.617378416</v>
      </c>
    </row>
    <row r="9" customFormat="false" ht="15" hidden="false" customHeight="false" outlineLevel="0" collapsed="false">
      <c r="A9" s="0" t="s">
        <v>101</v>
      </c>
      <c r="C9" s="4" t="n">
        <f aca="false">Assumptions!C43</f>
        <v>0.025</v>
      </c>
      <c r="D9" s="4" t="n">
        <f aca="false">Assumptions!D43</f>
        <v>0.025</v>
      </c>
      <c r="E9" s="4" t="n">
        <f aca="false">Assumptions!E43</f>
        <v>0.025</v>
      </c>
      <c r="F9" s="4" t="n">
        <f aca="false">Assumptions!F43</f>
        <v>0.025</v>
      </c>
      <c r="G9" s="4" t="n">
        <f aca="false">Assumptions!G43</f>
        <v>0.025</v>
      </c>
      <c r="H9" s="4" t="n">
        <f aca="false">Assumptions!H43</f>
        <v>0.025</v>
      </c>
      <c r="I9" s="4" t="n">
        <f aca="false">Assumptions!I43</f>
        <v>0.025</v>
      </c>
      <c r="J9" s="4" t="n">
        <f aca="false">Assumptions!J43</f>
        <v>0.025</v>
      </c>
      <c r="K9" s="4" t="n">
        <f aca="false">Assumptions!K43</f>
        <v>0.025</v>
      </c>
      <c r="L9" s="4" t="n">
        <f aca="false">Assumptions!L43</f>
        <v>0.025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-169.4893375</v>
      </c>
      <c r="D10" s="0" t="n">
        <f aca="false">-D6*D9/100</f>
        <v>-181.353591125</v>
      </c>
      <c r="E10" s="0" t="n">
        <f aca="false">-E6*E9/100</f>
        <v>-193.141574548125</v>
      </c>
      <c r="F10" s="0" t="n">
        <f aca="false">-F6*F9/100</f>
        <v>-204.730069021013</v>
      </c>
      <c r="G10" s="0" t="n">
        <f aca="false">-G6*G9/100</f>
        <v>-214.966572472063</v>
      </c>
      <c r="H10" s="0" t="n">
        <f aca="false">-H6*H9/100</f>
        <v>-223.565235370946</v>
      </c>
      <c r="I10" s="0" t="n">
        <f aca="false">-I6*I9/100</f>
        <v>-231.390018608929</v>
      </c>
      <c r="J10" s="0" t="n">
        <f aca="false">-J6*J9/100</f>
        <v>-238.331719167197</v>
      </c>
      <c r="K10" s="0" t="n">
        <f aca="false">-K6*K9/100</f>
        <v>-244.290012146377</v>
      </c>
      <c r="L10" s="0" t="n">
        <f aca="false">-L6*L9/100</f>
        <v>-250.397262450036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67083.8797825</v>
      </c>
      <c r="D11" s="0" t="n">
        <f aca="false">D8+D10+D24</f>
        <v>73230.580096275</v>
      </c>
      <c r="E11" s="0" t="n">
        <f aca="false">E8+E10+E24</f>
        <v>79535.7003989179</v>
      </c>
      <c r="F11" s="0" t="n">
        <f aca="false">F8+F10+F24</f>
        <v>85126.762698937</v>
      </c>
      <c r="G11" s="0" t="n">
        <f aca="false">G8+G10+G24</f>
        <v>90242.9671237721</v>
      </c>
      <c r="H11" s="0" t="n">
        <f aca="false">H8+H10+H24</f>
        <v>94746.9467502068</v>
      </c>
      <c r="I11" s="0" t="n">
        <f aca="false">I8+I10+I24</f>
        <v>98988.6499608997</v>
      </c>
      <c r="J11" s="0" t="n">
        <f aca="false">J8+J10+J24</f>
        <v>101958.309459727</v>
      </c>
      <c r="K11" s="0" t="n">
        <f aca="false">K8+K10+K24</f>
        <v>104507.26719622</v>
      </c>
      <c r="L11" s="0" t="n">
        <f aca="false">L8+L10+L24</f>
        <v>107119.948876125</v>
      </c>
    </row>
    <row r="12" customFormat="false" ht="15" hidden="false" customHeight="false" outlineLevel="0" collapsed="false">
      <c r="A12" s="0" t="s">
        <v>118</v>
      </c>
      <c r="C12" s="4" t="n">
        <f aca="false">-C6*Assumptions!C45/100</f>
        <v>-11864.253625</v>
      </c>
      <c r="D12" s="4" t="n">
        <f aca="false">-D6*Assumptions!D45/100</f>
        <v>-12694.75137875</v>
      </c>
      <c r="E12" s="4" t="n">
        <f aca="false">-E6*Assumptions!E45/100</f>
        <v>-13519.9102183688</v>
      </c>
      <c r="F12" s="4" t="n">
        <f aca="false">-F6*Assumptions!F45/100</f>
        <v>-14331.1048314709</v>
      </c>
      <c r="G12" s="4" t="n">
        <f aca="false">-G6*Assumptions!G45/100</f>
        <v>-15047.6600730444</v>
      </c>
      <c r="H12" s="4" t="n">
        <f aca="false">-H6*Assumptions!H45/100</f>
        <v>-15649.5664759662</v>
      </c>
      <c r="I12" s="4" t="n">
        <f aca="false">-I6*Assumptions!I45/100</f>
        <v>-16197.301302625</v>
      </c>
      <c r="J12" s="4" t="n">
        <f aca="false">-J6*Assumptions!J45/100</f>
        <v>-16683.2203417038</v>
      </c>
      <c r="K12" s="4" t="n">
        <f aca="false">-K6*Assumptions!K45/100</f>
        <v>-17100.3008502464</v>
      </c>
      <c r="L12" s="4" t="n">
        <f aca="false">-L6*Assumptions!L45/100</f>
        <v>-17527.8083715025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55219.6261575</v>
      </c>
      <c r="D13" s="0" t="n">
        <f aca="false">D11+D12</f>
        <v>60535.828717525</v>
      </c>
      <c r="E13" s="0" t="n">
        <f aca="false">E11+E12</f>
        <v>66015.7901805491</v>
      </c>
      <c r="F13" s="0" t="n">
        <f aca="false">F11+F12</f>
        <v>70795.6578674661</v>
      </c>
      <c r="G13" s="0" t="n">
        <f aca="false">G11+G12</f>
        <v>75195.3070507277</v>
      </c>
      <c r="H13" s="0" t="n">
        <f aca="false">H11+H12</f>
        <v>79097.3802742406</v>
      </c>
      <c r="I13" s="0" t="n">
        <f aca="false">I11+I12</f>
        <v>82791.3486582747</v>
      </c>
      <c r="J13" s="0" t="n">
        <f aca="false">J11+J12</f>
        <v>85275.089118023</v>
      </c>
      <c r="K13" s="0" t="n">
        <f aca="false">K11+K12</f>
        <v>87406.9663459736</v>
      </c>
      <c r="L13" s="0" t="n">
        <f aca="false">L11+L12</f>
        <v>89592.1405046229</v>
      </c>
    </row>
    <row r="14" customFormat="false" ht="15" hidden="false" customHeight="false" outlineLevel="0" collapsed="false">
      <c r="A14" s="0" t="s">
        <v>105</v>
      </c>
      <c r="C14" s="4" t="n">
        <f aca="false">Assumptions!C47</f>
        <v>30.6</v>
      </c>
      <c r="D14" s="4" t="n">
        <f aca="false">Assumptions!D47</f>
        <v>30.6</v>
      </c>
      <c r="E14" s="4" t="n">
        <f aca="false">Assumptions!E47</f>
        <v>30.6</v>
      </c>
      <c r="F14" s="4" t="n">
        <f aca="false">Assumptions!F47</f>
        <v>30.6</v>
      </c>
      <c r="G14" s="4" t="n">
        <f aca="false">Assumptions!G47</f>
        <v>30.6</v>
      </c>
      <c r="H14" s="4" t="n">
        <f aca="false">Assumptions!H47</f>
        <v>30.6</v>
      </c>
      <c r="I14" s="4" t="n">
        <f aca="false">Assumptions!I47</f>
        <v>30.6</v>
      </c>
      <c r="J14" s="4" t="n">
        <f aca="false">Assumptions!J47</f>
        <v>30.6</v>
      </c>
      <c r="K14" s="4" t="n">
        <f aca="false">Assumptions!K47</f>
        <v>30.6</v>
      </c>
      <c r="L14" s="4" t="n">
        <f aca="false">Assumptions!L47</f>
        <v>30.6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38322.420553305</v>
      </c>
      <c r="D15" s="0" t="n">
        <f aca="false">D13-MAX(0,D13)*D14/100</f>
        <v>42011.8651299624</v>
      </c>
      <c r="E15" s="0" t="n">
        <f aca="false">E13-MAX(0,E13)*E14/100</f>
        <v>45814.9583853011</v>
      </c>
      <c r="F15" s="0" t="n">
        <f aca="false">F13-MAX(0,F13)*F14/100</f>
        <v>49132.1865600215</v>
      </c>
      <c r="G15" s="0" t="n">
        <f aca="false">G13-MAX(0,G13)*G14/100</f>
        <v>52185.543093205</v>
      </c>
      <c r="H15" s="0" t="n">
        <f aca="false">H13-MAX(0,H13)*H14/100</f>
        <v>54893.581910323</v>
      </c>
      <c r="I15" s="0" t="n">
        <f aca="false">I13-MAX(0,I13)*I14/100</f>
        <v>57457.1959688427</v>
      </c>
      <c r="J15" s="0" t="n">
        <f aca="false">J13-MAX(0,J13)*J14/100</f>
        <v>59180.911847908</v>
      </c>
      <c r="K15" s="0" t="n">
        <f aca="false">K13-MAX(0,K13)*K14/100</f>
        <v>60660.4346441056</v>
      </c>
      <c r="L15" s="0" t="n">
        <f aca="false">L13-MAX(0,L13)*L14/100</f>
        <v>62176.9455102083</v>
      </c>
    </row>
    <row r="16" customFormat="false" ht="15" hidden="false" customHeight="false" outlineLevel="0" collapsed="false">
      <c r="A16" s="0" t="s">
        <v>121</v>
      </c>
      <c r="C16" s="0" t="n">
        <f aca="false">-C12</f>
        <v>11864.253625</v>
      </c>
      <c r="D16" s="0" t="n">
        <f aca="false">-D12</f>
        <v>12694.75137875</v>
      </c>
      <c r="E16" s="0" t="n">
        <f aca="false">-E12</f>
        <v>13519.9102183688</v>
      </c>
      <c r="F16" s="0" t="n">
        <f aca="false">-F12</f>
        <v>14331.1048314709</v>
      </c>
      <c r="G16" s="0" t="n">
        <f aca="false">-G12</f>
        <v>15047.6600730444</v>
      </c>
      <c r="H16" s="0" t="n">
        <f aca="false">-H12</f>
        <v>15649.5664759662</v>
      </c>
      <c r="I16" s="0" t="n">
        <f aca="false">-I12</f>
        <v>16197.301302625</v>
      </c>
      <c r="J16" s="0" t="n">
        <f aca="false">-J12</f>
        <v>16683.2203417038</v>
      </c>
      <c r="K16" s="0" t="n">
        <f aca="false">-K12</f>
        <v>17100.3008502464</v>
      </c>
      <c r="L16" s="0" t="n">
        <f aca="false">-L12</f>
        <v>17527.8083715025</v>
      </c>
    </row>
    <row r="17" customFormat="false" ht="15" hidden="false" customHeight="false" outlineLevel="0" collapsed="false">
      <c r="A17" s="0" t="s">
        <v>122</v>
      </c>
      <c r="C17" s="4" t="n">
        <f aca="false">-C6*Assumptions!C46/100</f>
        <v>-13559.147</v>
      </c>
      <c r="D17" s="4" t="n">
        <f aca="false">-D6*Assumptions!D46/100</f>
        <v>-14508.28729</v>
      </c>
      <c r="E17" s="4" t="n">
        <f aca="false">-E6*Assumptions!E46/100</f>
        <v>-15451.32596385</v>
      </c>
      <c r="F17" s="4" t="n">
        <f aca="false">-F6*Assumptions!F46/100</f>
        <v>-16378.405521681</v>
      </c>
      <c r="G17" s="4" t="n">
        <f aca="false">-G6*Assumptions!G46/100</f>
        <v>-17197.3257977651</v>
      </c>
      <c r="H17" s="4" t="n">
        <f aca="false">-H6*Assumptions!H46/100</f>
        <v>-17885.2188296757</v>
      </c>
      <c r="I17" s="4" t="n">
        <f aca="false">-I6*Assumptions!I46/100</f>
        <v>-18511.2014887143</v>
      </c>
      <c r="J17" s="4" t="n">
        <f aca="false">-J6*Assumptions!J46/100</f>
        <v>-19066.5375333757</v>
      </c>
      <c r="K17" s="4" t="n">
        <f aca="false">-K6*Assumptions!K46/100</f>
        <v>-19543.2009717101</v>
      </c>
      <c r="L17" s="4" t="n">
        <f aca="false">-L6*Assumptions!L46/100</f>
        <v>-20031.7809960029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(C6-B6)*Assumptions!$B$51/100</f>
        <v>-7094.9025</v>
      </c>
      <c r="D18" s="4" t="n">
        <f aca="false">(D6-C6)*Assumptions!$B$51/100</f>
        <v>-7118.55217500001</v>
      </c>
      <c r="E18" s="4" t="n">
        <f aca="false">(E6-D6)*Assumptions!$B$51/100</f>
        <v>-7072.790053875</v>
      </c>
      <c r="F18" s="4" t="n">
        <f aca="false">(F6-E6)*Assumptions!$B$51/100</f>
        <v>-6953.09668373251</v>
      </c>
      <c r="G18" s="4" t="n">
        <f aca="false">(G6-F6)*Assumptions!$B$51/100</f>
        <v>-6141.90207063038</v>
      </c>
      <c r="H18" s="4" t="n">
        <f aca="false">(H6-G6)*Assumptions!$B$51/100</f>
        <v>-5159.19773932952</v>
      </c>
      <c r="I18" s="4" t="n">
        <f aca="false">(I6-H6)*Assumptions!$B$51/100</f>
        <v>-4694.86994278986</v>
      </c>
      <c r="J18" s="4" t="n">
        <f aca="false">(J6-I6)*Assumptions!$B$51/100</f>
        <v>-4165.02033496073</v>
      </c>
      <c r="K18" s="4" t="n">
        <f aca="false">(K6-J6)*Assumptions!$B$51/100</f>
        <v>-3574.97578750793</v>
      </c>
      <c r="L18" s="4" t="n">
        <f aca="false">(L6-K6)*Assumptions!$B$51/100</f>
        <v>-3664.35018219563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29532.624678305</v>
      </c>
      <c r="D19" s="0" t="n">
        <f aca="false">D15+D16+D17+D18</f>
        <v>33079.7770437124</v>
      </c>
      <c r="E19" s="0" t="n">
        <f aca="false">E15+E16+E17+E18</f>
        <v>36810.7525859449</v>
      </c>
      <c r="F19" s="0" t="n">
        <f aca="false">F15+F16+F17+F18</f>
        <v>40131.7891860789</v>
      </c>
      <c r="G19" s="0" t="n">
        <f aca="false">G15+G16+G17+G18</f>
        <v>43893.975297854</v>
      </c>
      <c r="H19" s="0" t="n">
        <f aca="false">H15+H16+H17+H18</f>
        <v>47498.731817284</v>
      </c>
      <c r="I19" s="0" t="n">
        <f aca="false">I15+I16+I17+I18</f>
        <v>50448.4258399635</v>
      </c>
      <c r="J19" s="0" t="n">
        <f aca="false">J15+J16+J17+J18</f>
        <v>52632.5743212753</v>
      </c>
      <c r="K19" s="0" t="n">
        <f aca="false">K15+K16+K17+K18</f>
        <v>54642.558735134</v>
      </c>
      <c r="L19" s="0" t="n">
        <f aca="false">L15+L16+L17+L18</f>
        <v>56008.6227035123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27345.0228502824</v>
      </c>
      <c r="D21" s="0" t="n">
        <f aca="false">D19*D20</f>
        <v>28360.5770265024</v>
      </c>
      <c r="E21" s="0" t="n">
        <f aca="false">E19*E20</f>
        <v>29221.5622189396</v>
      </c>
      <c r="F21" s="0" t="n">
        <f aca="false">F19*F20</f>
        <v>29498.0630979018</v>
      </c>
      <c r="G21" s="0" t="n">
        <f aca="false">G19*G20</f>
        <v>29873.502038734</v>
      </c>
      <c r="H21" s="0" t="n">
        <f aca="false">H19*H20</f>
        <v>29932.2581067185</v>
      </c>
      <c r="I21" s="0" t="n">
        <f aca="false">I19*I20</f>
        <v>29436.1719337128</v>
      </c>
      <c r="J21" s="0" t="n">
        <f aca="false">J19*J20</f>
        <v>28435.7422170227</v>
      </c>
      <c r="K21" s="0" t="n">
        <f aca="false">K19*K20</f>
        <v>27334.8835686708</v>
      </c>
      <c r="L21" s="0" t="n">
        <f aca="false">L19*L20</f>
        <v>25942.8293128589</v>
      </c>
    </row>
    <row r="23" customFormat="false" ht="15" hidden="false" customHeight="false" outlineLevel="0" collapsed="false">
      <c r="A23" s="0" t="s">
        <v>102</v>
      </c>
      <c r="C23" s="4" t="n">
        <f aca="false">Assumptions!C44</f>
        <v>0.08</v>
      </c>
      <c r="D23" s="4" t="n">
        <f aca="false">Assumptions!D44</f>
        <v>0.08</v>
      </c>
      <c r="E23" s="4" t="n">
        <f aca="false">Assumptions!E44</f>
        <v>0.08</v>
      </c>
      <c r="F23" s="4" t="n">
        <f aca="false">Assumptions!F44</f>
        <v>0.08</v>
      </c>
      <c r="G23" s="4" t="n">
        <f aca="false">Assumptions!G44</f>
        <v>0.08</v>
      </c>
      <c r="H23" s="4" t="n">
        <f aca="false">Assumptions!H44</f>
        <v>0.08</v>
      </c>
      <c r="I23" s="4" t="n">
        <f aca="false">Assumptions!I44</f>
        <v>0.08</v>
      </c>
      <c r="J23" s="4" t="n">
        <f aca="false">Assumptions!J44</f>
        <v>0.08</v>
      </c>
      <c r="K23" s="4" t="n">
        <f aca="false">Assumptions!K44</f>
        <v>0.08</v>
      </c>
      <c r="L23" s="4" t="n">
        <f aca="false">Assumptions!L44</f>
        <v>0.08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-542.36588</v>
      </c>
      <c r="D24" s="0" t="n">
        <f aca="false">-D6*D23/100</f>
        <v>-580.3314916</v>
      </c>
      <c r="E24" s="0" t="n">
        <f aca="false">-E6*E23/100</f>
        <v>-618.053038554</v>
      </c>
      <c r="F24" s="0" t="n">
        <f aca="false">-F6*F23/100</f>
        <v>-655.13622086724</v>
      </c>
      <c r="G24" s="0" t="n">
        <f aca="false">-G6*G23/100</f>
        <v>-687.893031910602</v>
      </c>
      <c r="H24" s="0" t="n">
        <f aca="false">-H6*H23/100</f>
        <v>-715.408753187026</v>
      </c>
      <c r="I24" s="0" t="n">
        <f aca="false">-I6*I23/100</f>
        <v>-740.448059548572</v>
      </c>
      <c r="J24" s="0" t="n">
        <f aca="false">-J6*J23/100</f>
        <v>-762.661501335029</v>
      </c>
      <c r="K24" s="0" t="n">
        <f aca="false">-K6*K23/100</f>
        <v>-781.728038868405</v>
      </c>
      <c r="L24" s="0" t="n">
        <f aca="false">-L6*L23/100</f>
        <v>-801.271239840115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107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108</v>
      </c>
      <c r="B29" s="4" t="n">
        <f aca="false">Assumptions!$B$50</f>
        <v>17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285380.612371344</v>
      </c>
    </row>
    <row r="31" customFormat="false" ht="15" hidden="false" customHeight="false" outlineLevel="0" collapsed="false">
      <c r="A31" s="0" t="s">
        <v>130</v>
      </c>
      <c r="B31" s="0" t="n">
        <f aca="false">L19</f>
        <v>56008.6227035123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952146.585959709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952146.585959709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952146.585959709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441028.098318601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726408.710689945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793095.710689945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6819.3956207218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0.204840215675229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1405.37269832283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1971.7004838185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6848.43322331975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439452.270442943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3276.54450276032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2" t="s">
        <v>147</v>
      </c>
      <c r="B3" s="2" t="s">
        <v>148</v>
      </c>
      <c r="C3" s="2" t="s">
        <v>138</v>
      </c>
      <c r="D3" s="2" t="s">
        <v>149</v>
      </c>
      <c r="E3" s="2" t="s">
        <v>141</v>
      </c>
      <c r="F3" s="2" t="s">
        <v>150</v>
      </c>
    </row>
    <row r="4" customFormat="false" ht="15" hidden="false" customHeight="false" outlineLevel="0" collapsed="false">
      <c r="A4" s="0" t="s">
        <v>151</v>
      </c>
      <c r="B4" s="4" t="n">
        <f aca="false">DCF_Bear!$B$38</f>
        <v>3209.08212312894</v>
      </c>
      <c r="C4" s="0" t="n">
        <f aca="false">B4/Assumptions!$B$2-1</f>
        <v>-0.433024359871213</v>
      </c>
      <c r="D4" s="4" t="n">
        <f aca="false">Assumptions!$B$24</f>
        <v>0.25</v>
      </c>
      <c r="E4" s="4" t="n">
        <f aca="false">DCF_Bear!$B$43</f>
        <v>3228.17326240145</v>
      </c>
      <c r="F4" s="4" t="n">
        <f aca="false">DCF_Bear!$B$47</f>
        <v>2067.54617051702</v>
      </c>
    </row>
    <row r="5" customFormat="false" ht="15" hidden="false" customHeight="false" outlineLevel="0" collapsed="false">
      <c r="A5" s="0" t="s">
        <v>152</v>
      </c>
      <c r="B5" s="4" t="n">
        <f aca="false">DCF_Base!$B$38</f>
        <v>4948.69202633225</v>
      </c>
      <c r="C5" s="0" t="n">
        <f aca="false">B5/Assumptions!$B$2-1</f>
        <v>-0.125672786867094</v>
      </c>
      <c r="D5" s="4" t="n">
        <f aca="false">Assumptions!$B$38</f>
        <v>0.5</v>
      </c>
      <c r="E5" s="4" t="n">
        <f aca="false">DCF_Base!$B$43</f>
        <v>4973.67689383118</v>
      </c>
      <c r="F5" s="4" t="n">
        <f aca="false">DCF_Base!$B$47</f>
        <v>2654.30650165454</v>
      </c>
    </row>
    <row r="6" customFormat="false" ht="15" hidden="false" customHeight="false" outlineLevel="0" collapsed="false">
      <c r="A6" s="0" t="s">
        <v>153</v>
      </c>
      <c r="B6" s="4" t="n">
        <f aca="false">DCF_Bull!$B$38</f>
        <v>6819.3956207218</v>
      </c>
      <c r="C6" s="0" t="n">
        <f aca="false">B6/Assumptions!$B$2-1</f>
        <v>0.204840215675229</v>
      </c>
      <c r="D6" s="4" t="n">
        <f aca="false">Assumptions!$B$52</f>
        <v>0.25</v>
      </c>
      <c r="E6" s="4" t="n">
        <f aca="false">DCF_Bull!$B$43</f>
        <v>6848.43322331975</v>
      </c>
      <c r="F6" s="4" t="n">
        <f aca="false">DCF_Bull!$B$47</f>
        <v>3276.54450276032</v>
      </c>
    </row>
    <row r="8" customFormat="false" ht="15" hidden="false" customHeight="false" outlineLevel="0" collapsed="false">
      <c r="A8" s="0" t="s">
        <v>154</v>
      </c>
      <c r="B8" s="0" t="n">
        <f aca="false">SUMPRODUCT(B4:B6,D4:D6)</f>
        <v>4981.46544912881</v>
      </c>
    </row>
    <row r="9" customFormat="false" ht="15" hidden="false" customHeight="false" outlineLevel="0" collapsed="false">
      <c r="A9" s="0" t="s">
        <v>155</v>
      </c>
      <c r="B9" s="0" t="n">
        <f aca="false">SUMPRODUCT(E4:E6,D4:D6)</f>
        <v>5005.99006834589</v>
      </c>
    </row>
    <row r="10" customFormat="false" ht="15" hidden="false" customHeight="false" outlineLevel="0" collapsed="false">
      <c r="A10" s="0" t="s">
        <v>156</v>
      </c>
      <c r="B10" s="0" t="n">
        <f aca="false">1-Assumptions!$B$2/B8</f>
        <v>-0.136211835212038</v>
      </c>
    </row>
    <row r="11" customFormat="false" ht="15" hidden="false" customHeight="false" outlineLevel="0" collapsed="false">
      <c r="A11" s="0" t="s">
        <v>157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158</v>
      </c>
      <c r="B12" s="0" t="n">
        <f aca="false">SUMPRODUCT(F4:F6,D4:D6)</f>
        <v>2663.1759191466</v>
      </c>
    </row>
    <row r="14" customFormat="false" ht="15" hidden="false" customHeight="false" outlineLevel="0" collapsed="false">
      <c r="A14" s="2" t="s">
        <v>159</v>
      </c>
      <c r="C14" s="0" t="s">
        <v>160</v>
      </c>
    </row>
    <row r="15" customFormat="false" ht="15" hidden="false" customHeight="false" outlineLevel="0" collapsed="false">
      <c r="A15" s="0" t="s">
        <v>161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4948.69202633225</v>
      </c>
      <c r="C15" s="3" t="n">
        <v>8</v>
      </c>
    </row>
    <row r="16" customFormat="false" ht="15" hidden="false" customHeight="false" outlineLevel="0" collapsed="false">
      <c r="A16" s="0" t="s">
        <v>162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4429.25638837452</v>
      </c>
      <c r="C16" s="3" t="n">
        <v>9</v>
      </c>
    </row>
    <row r="17" customFormat="false" ht="15" hidden="false" customHeight="false" outlineLevel="0" collapsed="false">
      <c r="A17" s="0" t="s">
        <v>163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3957.25273297337</v>
      </c>
      <c r="C17" s="3" t="n">
        <v>10</v>
      </c>
    </row>
    <row r="18" customFormat="false" ht="15" hidden="false" customHeight="false" outlineLevel="0" collapsed="false">
      <c r="A18" s="0" t="s">
        <v>164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3585.46371148068</v>
      </c>
      <c r="C18" s="3" t="n">
        <v>11</v>
      </c>
    </row>
    <row r="19" customFormat="false" ht="15" hidden="false" customHeight="false" outlineLevel="0" collapsed="false">
      <c r="A19" s="0" t="s">
        <v>165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3285.20549840427</v>
      </c>
      <c r="C19" s="3" t="n">
        <v>12</v>
      </c>
    </row>
    <row r="20" customFormat="false" ht="15" hidden="false" customHeight="false" outlineLevel="0" collapsed="false">
      <c r="A20" s="0" t="s">
        <v>166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2654.30650165454</v>
      </c>
      <c r="C20" s="3" t="n">
        <v>15</v>
      </c>
    </row>
    <row r="22" customFormat="false" ht="15" hidden="false" customHeight="false" outlineLevel="0" collapsed="false">
      <c r="A22" s="2" t="s">
        <v>167</v>
      </c>
    </row>
    <row r="23" customFormat="false" ht="15" hidden="false" customHeight="false" outlineLevel="0" collapsed="false">
      <c r="B23" s="3" t="n">
        <v>0.5</v>
      </c>
      <c r="C23" s="3" t="n">
        <v>1</v>
      </c>
      <c r="D23" s="3" t="n">
        <v>1.5</v>
      </c>
      <c r="E23" s="3" t="n">
        <v>2</v>
      </c>
      <c r="F23" s="3" t="n">
        <v>2.5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5648.82779812446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5648.82779812446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5648.82779812446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5648.82779812446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5648.82779812446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5282.29045248022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5282.29045248022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5282.29045248022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5282.29045248022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5282.29045248022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4690.9664488553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4856.64717723334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4948.69202633225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4948.69202633225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4948.69202633225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4178.09294813691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4295.82581074829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4429.25638837452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4581.74847709022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4644.70392656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3774.61168257275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3860.85884526193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3957.25273297337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4065.69585664874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4188.59806348082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2026-10-26T00:41:55Z</dcterms:created>
  <dc:creator>openpyxl</dc:creator>
  <dc:description/>
  <dc:language>en-NZ</dc:language>
  <cp:lastModifiedBy/>
  <dcterms:modified xsi:type="dcterms:W3CDTF">2026-10-26T00:41:55Z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