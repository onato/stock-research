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<sst xmlns="http://schemas.openxmlformats.org/spreadsheetml/2006/main" count="390" uniqueCount="175">
  <si>
    <t xml:space="preserve">Ticker</t>
  </si>
  <si>
    <t xml:space="preserve">GWW</t>
  </si>
  <si>
    <t xml:space="preserve">Company</t>
  </si>
  <si>
    <t xml:space="preserve">W.W. Grainger, Inc.</t>
  </si>
  <si>
    <t xml:space="preserve">Valuation date</t>
  </si>
  <si>
    <t xml:space="preserve">2026-09-29</t>
  </si>
  <si>
    <t xml:space="preserve">Current price</t>
  </si>
  <si>
    <t xml:space="preserve">Price as of</t>
  </si>
  <si>
    <t xml:space="preserve">2026-09-28T20:00:02Z regular close (Yahoo Finance chart API)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</si>
  <si>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</si>
  <si>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</si>
  <si>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</si>
  <si>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</si>
  <si>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</si>
  <si>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</si>
  <si>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</si>
  <si>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</si>
  <si>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</si>
  <si>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</si>
  <si>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</si>
  <si>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</si>
  <si>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2026-09-28T21:08:40Z</t>
  </si>
  <si>
    <t xml:space="preserve">Drivers file</t>
  </si>
  <si>
    <t xml:space="preserve">GWW_Drivers.json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</si>
  <si>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</si>
  <si>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</si>
  <si>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</si>
  <si>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House owner-FCF basis: SBC and equity-award withholding taxes expensed, share count held flat (buybacks value-neutral), MonotaRO minority charged once through NOPAT leakage, working capital charged as a cash drag on growth, DC capex tapering to norm. Terminal value is the lower of Gordon (8.5%/3.0%) and 20x year-10 FCF; the 15% hurdle entry price rebuilds the terminal value at the hurdle. GWW trades at ~27x forward EPS and ~35-40x trailing owner FCF, so a WACC-discounted DCF sits well below the market -- the gap is the price of the quality/compounder premium the market pays, and the required-return table shows what IRR today's price implies.
key_risks_to_valuation: Margin base: FY2026 guidance includes a one-time $43M IEEPA tariff refund; if underlying margins are lower than the ~18% pre-SBC EBITDA anchored here, every scenario shifts down; Endless Assortment mix: faster-than-modelled growth in the lower-margin segment lifts revenue but dilutes the consolidated margin and raises MonotaRO NCI leakage; Working-capital drag: a distributor's growth consumes cash; the -18% capture is an average of 12-27% observed FY2023-25; Capex normalisation: if the DC build-out does not taper to 2.5% of sales, owner FCF stays ~1pp of revenue lower; Discount rate: value is terminal-heavy; the 8.5% WACC vs a 10.5% house tech default is worth a large share of the per-share value (see sensitivity grid); Amazon Business / price transparency eroding the High-Touch premium faster than the bear path assumes</t>
  </si>
  <si>
    <t xml:space="preserve">Data sources</t>
  </si>
  <si>
    <t xml:space="preserve">price: Yahoo Finance chart API at inputs.price_as_of; 52-week range 906.52-1419.91
financials: research/GWW/Reports/GWW_Metrics.csv (SEC XBRL, FY2007-FY2025 annual plus quarterlies to Q2 2026) and the kpis table (buybacks, cash taxes, D&amp;A, equity-award taxes, interest income); balance sheet and share count from the Q2 2026 10-Q (2026-06-30)
qualitative: research/GWW/Reports/GWW_Analysis.json (segments, Q2-2026 raised guidance, IEEPA refund, bull/bear axes)</t>
  </si>
  <si>
    <t xml:space="preserve">Scenario narrative: bear</t>
  </si>
  <si>
    <t xml:space="preserve">FY2026 finishes at the bottom of guidance and 2027-28 brings a US manufacturing downturn: High-Touch volumes go flat-to-down, Endless Assortment slows as Amazon Business and category specialists (fasteners, metalworking, safety) undercut price on commoditised SKUs, and price transparency erodes the High-Touch premium. With the tariff refund lapped and cumulative IEEPA costs only partly passed through, the pre-SBC EBITDA margin resets to ~16%, the FY2022 level. Long-run growth settles at 2.5-3% and the exit multiple is capped at 15x for a slower, cyclical distributor.</t>
  </si>
  <si>
    <t xml:space="preserve">Scenario narrative: base</t>
  </si>
  <si>
    <t xml:space="preserve">High-Touch Solutions N.A. (78% of sales) grows low-to-mid single digits with the MRO cycle while Endless Assortment (Zoro, MonotaRO) compounds mid-teens off a 20% base, blending to ~6% group growth that fades to 3%. FY2026 lands at the raised guidance midpoint (+9%, ~16% operating margin) and FY2027 gives back the ~0.2pp IEEPA refund; from there Endless Assortment mix dilutes the consolidated margin about 0.1pp every other year, offset only partly by pricing and DC productivity. The 2024-26 DC capex wave tapers to the 2.5% decade norm, and growth continues to consume ~18% of incremental revenue as inventory and receivables. MonotaRO's ~49.5% minority takes a slowly rising slice of NOPAT.</t>
  </si>
  <si>
    <t xml:space="preserve">Scenario narrative: bull</t>
  </si>
  <si>
    <t xml:space="preserve">Reshoring and a stronger 2026-28 industrial capex cycle lift High-Touch to mid-single-digit growth while Zoro US and MonotaRO sustain ~20%, keeping group growth at 7-8% through 2029. Pricing power in mission-critical safety and maintenance SKUs, DC network productivity and Endless Assortment scale let the consolidated margin rise toward 19% despite mix. Terminal growth 3.5% for a business still gaining share of a fragmented $160-170B market.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</si>
  <si>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</si>
  <si>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</si>
  <si>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</si>
  <si>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</si>
  <si>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</si>
  <si>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</si>
  <si>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</si>
  <si>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</si>
  <si>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</si>
  <si>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</si>
  <si>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</si>
  <si>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</si>
  <si>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</si>
  <si>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</si>
  <si>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</si>
  <si>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</si>
  <si>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</si>
  <si>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</si>
  <si>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</si>
  <si>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</si>
  <si>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</si>
  <si>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</si>
  <si>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</si>
  <si>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</si>
  <si>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</si>
  <si>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</si>
  <si>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</si>
  <si>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FY2006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</si>
  <si>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</si>
  <si>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</si>
  <si>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</si>
  <si>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</si>
  <si>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</si>
  <si>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</si>
  <si>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</si>
  <si>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</si>
  <si>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</si>
  <si>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</si>
  <si>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</si>
  <si>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</si>
  <si>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</si>
  <si>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</si>
  <si>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</si>
  <si>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</si>
  <si>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</si>
  <si>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</si>
  <si>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</si>
  <si>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</si>
  <si>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</si>
  <si>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</si>
  <si>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</si>
  <si>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</si>
  <si>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</si>
  <si>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</si>
  <si>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</si>
  <si>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</si>
  <si>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</si>
  <si>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</si>
  <si>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</si>
  <si>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</si>
  <si>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</si>
  <si>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</si>
  <si>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</si>
  <si>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</si>
  <si>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</si>
  <si>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</si>
  <si>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</si>
  <si>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</si>
  <si>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</si>
  <si>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</si>
  <si>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</si>
  <si>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</si>
  <si>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</si>
  <si>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</si>
  <si>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</si>
  <si>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</si>
  <si>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</si>
  <si>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</si>
  <si>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</si>
  <si>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</si>
  <si>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</si>
  <si>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</si>
  <si>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</si>
  <si>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</si>
  <si>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GWW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</si>
  <si>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</si>
  <si>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</si>
  <si>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</si>
  <si>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</si>
  <si>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</si>
  <si>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</si>
  <si>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</si>
  <si>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</si>
  <si>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</si>
  <si>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</si>
  <si>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</si>
  <si>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</si>
  <si>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</si>
  <si>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</si>
  <si>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</si>
  <si>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</si>
  <si>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</si>
  <si>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</si>
  <si>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</si>
  <si>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</si>
  <si>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</si>
  <si>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</si>
  <si>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</si>
  <si>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</si>
  <si>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</si>
  <si>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</si>
  <si>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</si>
  <si>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</si>
  <si>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</si>
  <si>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</si>
  <si>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GWW owner-FCF component DCF: base case (millions, USD)</t>
  </si>
  <si>
    <t xml:space="preserve">GWW owner-FCF component DCF: bull case (millions, USD)</t>
  </si>
  <si>
    <t xml:space="preserve">GWW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</si>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</sst>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1255.69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S2" s="0" t="n">
        <v>348.471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6418.014</v>
      </c>
      <c r="C3" s="0" t="n">
        <v>3814.391</v>
      </c>
      <c r="D3" s="0" t="n">
        <v>2603.623</v>
      </c>
      <c r="E3" s="0" t="n">
        <v>40.5674247516444</v>
      </c>
      <c r="F3" s="0" t="n">
        <v>670.653</v>
      </c>
      <c r="G3" s="0" t="n">
        <v>10.4495409327558</v>
      </c>
      <c r="H3" s="0" t="n">
        <v>802.652</v>
      </c>
      <c r="I3" s="0" t="n">
        <v>420.12</v>
      </c>
      <c r="J3" s="0" t="n">
        <v>6.54595019580824</v>
      </c>
      <c r="K3" s="0" t="n">
        <v>5.01</v>
      </c>
      <c r="L3" s="0" t="n">
        <v>468.875</v>
      </c>
      <c r="M3" s="0" t="n">
        <v>-197.423</v>
      </c>
      <c r="N3" s="0" t="n">
        <v>271.452</v>
      </c>
      <c r="O3" s="0" t="n">
        <v>2098.108</v>
      </c>
      <c r="P3" s="0" t="n">
        <v>3094.028</v>
      </c>
      <c r="R3" s="0" t="n">
        <v>9.485</v>
      </c>
      <c r="S3" s="0" t="n">
        <v>113.437</v>
      </c>
      <c r="T3" s="0" t="n">
        <v>84.173381</v>
      </c>
      <c r="U3" s="0" t="n">
        <v>35.551</v>
      </c>
      <c r="V3" s="0" t="n">
        <v>1.34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6850.032</v>
      </c>
      <c r="C4" s="0" t="n">
        <v>4041.81</v>
      </c>
      <c r="D4" s="0" t="n">
        <v>2808.222</v>
      </c>
      <c r="E4" s="0" t="n">
        <v>40.9957500928463</v>
      </c>
      <c r="F4" s="0" t="n">
        <v>782.672</v>
      </c>
      <c r="G4" s="0" t="n">
        <v>11.4258152370675</v>
      </c>
      <c r="H4" s="0" t="n">
        <v>922.242</v>
      </c>
      <c r="I4" s="0" t="n">
        <v>475.355</v>
      </c>
      <c r="J4" s="0" t="n">
        <v>6.93945663319529</v>
      </c>
      <c r="K4" s="0" t="n">
        <v>6.07</v>
      </c>
      <c r="L4" s="0" t="n">
        <v>530.066</v>
      </c>
      <c r="M4" s="0" t="n">
        <v>-194.975</v>
      </c>
      <c r="N4" s="0" t="n">
        <v>335.091</v>
      </c>
      <c r="O4" s="0" t="n">
        <v>2033.805</v>
      </c>
      <c r="P4" s="0" t="n">
        <v>3515.417</v>
      </c>
      <c r="R4" s="0" t="n">
        <v>509.485</v>
      </c>
      <c r="S4" s="0" t="n">
        <v>396.29</v>
      </c>
      <c r="T4" s="0" t="n">
        <v>77.88762</v>
      </c>
      <c r="U4" s="0" t="n">
        <v>47.87</v>
      </c>
      <c r="V4" s="0" t="n">
        <v>1.55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6221.991</v>
      </c>
      <c r="C5" s="0" t="n">
        <v>3623.465</v>
      </c>
      <c r="D5" s="0" t="n">
        <v>2598.526</v>
      </c>
      <c r="E5" s="0" t="n">
        <v>41.7635769643511</v>
      </c>
      <c r="F5" s="0" t="n">
        <v>665.224</v>
      </c>
      <c r="G5" s="0" t="n">
        <v>10.6914973036766</v>
      </c>
      <c r="H5" s="0" t="n">
        <v>812.755</v>
      </c>
      <c r="I5" s="0" t="n">
        <v>430.772</v>
      </c>
      <c r="J5" s="0" t="n">
        <v>6.92337870626943</v>
      </c>
      <c r="K5" s="0" t="n">
        <v>5.7</v>
      </c>
      <c r="L5" s="0" t="n">
        <v>732.396</v>
      </c>
      <c r="M5" s="0" t="n">
        <v>142.414</v>
      </c>
      <c r="N5" s="0" t="n">
        <v>589.982</v>
      </c>
      <c r="O5" s="0" t="n">
        <v>2227.199</v>
      </c>
      <c r="P5" s="0" t="n">
        <v>3726.332</v>
      </c>
      <c r="R5" s="0" t="n">
        <v>490.628</v>
      </c>
      <c r="S5" s="0" t="n">
        <v>459.871</v>
      </c>
      <c r="T5" s="0" t="n">
        <v>74.891852</v>
      </c>
      <c r="U5" s="0" t="n">
        <v>43.301</v>
      </c>
      <c r="V5" s="0" t="n">
        <v>1.78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7182.158</v>
      </c>
      <c r="C6" s="0" t="n">
        <v>4176.474</v>
      </c>
      <c r="D6" s="0" t="n">
        <v>3005.684</v>
      </c>
      <c r="E6" s="0" t="n">
        <v>41.8493160412233</v>
      </c>
      <c r="F6" s="0" t="n">
        <v>860.475</v>
      </c>
      <c r="G6" s="0" t="n">
        <v>11.9807305826466</v>
      </c>
      <c r="H6" s="0" t="n">
        <v>1010.153</v>
      </c>
      <c r="I6" s="0" t="n">
        <v>513.582</v>
      </c>
      <c r="J6" s="0" t="n">
        <v>7.15080342147861</v>
      </c>
      <c r="K6" s="0" t="n">
        <v>7.05</v>
      </c>
      <c r="L6" s="0" t="n">
        <v>596.445</v>
      </c>
      <c r="M6" s="0" t="n">
        <v>127.124</v>
      </c>
      <c r="N6" s="0" t="n">
        <v>469.321</v>
      </c>
      <c r="O6" s="0" t="n">
        <v>2287.67</v>
      </c>
      <c r="P6" s="0" t="n">
        <v>3904.377</v>
      </c>
      <c r="R6" s="0" t="n">
        <v>451.505</v>
      </c>
      <c r="S6" s="0" t="n">
        <v>313.454</v>
      </c>
      <c r="T6" s="0" t="n">
        <v>72.138858</v>
      </c>
      <c r="U6" s="0" t="n">
        <v>49.796</v>
      </c>
      <c r="V6" s="0" t="n">
        <v>2.08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8078.185</v>
      </c>
      <c r="C7" s="0" t="n">
        <v>4567.393</v>
      </c>
      <c r="D7" s="0" t="n">
        <v>3510.792</v>
      </c>
      <c r="E7" s="0" t="n">
        <v>43.4601584390553</v>
      </c>
      <c r="F7" s="0" t="n">
        <v>1052.429</v>
      </c>
      <c r="G7" s="0" t="n">
        <v>13.0280378575138</v>
      </c>
      <c r="H7" s="0" t="n">
        <v>1201.629</v>
      </c>
      <c r="I7" s="0" t="n">
        <v>666.412</v>
      </c>
      <c r="J7" s="0" t="n">
        <v>8.24952634781204</v>
      </c>
      <c r="K7" s="0" t="n">
        <v>9.26</v>
      </c>
      <c r="L7" s="0" t="n">
        <v>746.108</v>
      </c>
      <c r="M7" s="0" t="n">
        <v>196.942</v>
      </c>
      <c r="N7" s="0" t="n">
        <v>549.166</v>
      </c>
      <c r="O7" s="0" t="n">
        <v>2724.279</v>
      </c>
      <c r="P7" s="0" t="n">
        <v>4716.062</v>
      </c>
      <c r="R7" s="0" t="n">
        <v>396.594</v>
      </c>
      <c r="S7" s="0" t="n">
        <v>335.491</v>
      </c>
      <c r="T7" s="0" t="n">
        <v>71.176158</v>
      </c>
      <c r="U7" s="0" t="n">
        <v>54.02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8950.045</v>
      </c>
      <c r="C8" s="0" t="n">
        <v>5033.885</v>
      </c>
      <c r="D8" s="0" t="n">
        <v>3916.16</v>
      </c>
      <c r="E8" s="0" t="n">
        <v>43.7557576526152</v>
      </c>
      <c r="F8" s="0" t="n">
        <v>1131.125</v>
      </c>
      <c r="G8" s="0" t="n">
        <v>12.6382046123791</v>
      </c>
      <c r="H8" s="0" t="n">
        <v>1290.174</v>
      </c>
      <c r="I8" s="0" t="n">
        <v>698.849</v>
      </c>
      <c r="J8" s="0" t="n">
        <v>7.80832945532676</v>
      </c>
      <c r="K8" s="0" t="n">
        <v>9.71</v>
      </c>
      <c r="L8" s="0" t="n">
        <v>816.195</v>
      </c>
      <c r="M8" s="0" t="n">
        <v>249.86</v>
      </c>
      <c r="N8" s="0" t="n">
        <v>566.335</v>
      </c>
      <c r="O8" s="0" t="n">
        <v>3117.366</v>
      </c>
      <c r="P8" s="0" t="n">
        <v>5014.598</v>
      </c>
      <c r="R8" s="0" t="n">
        <v>485.573</v>
      </c>
      <c r="S8" s="0" t="n">
        <v>452.063</v>
      </c>
      <c r="T8" s="0" t="n">
        <v>71.181733</v>
      </c>
      <c r="U8" s="0" t="n">
        <v>55.5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9437.758</v>
      </c>
      <c r="C9" s="0" t="n">
        <v>5301.275</v>
      </c>
      <c r="D9" s="0" t="n">
        <v>4136.483</v>
      </c>
      <c r="E9" s="0" t="n">
        <v>43.8290852552057</v>
      </c>
      <c r="F9" s="0" t="n">
        <v>1296.854</v>
      </c>
      <c r="G9" s="0" t="n">
        <v>13.741123686367</v>
      </c>
      <c r="H9" s="0" t="n">
        <v>1477.467</v>
      </c>
      <c r="I9" s="0" t="n">
        <v>807.749</v>
      </c>
      <c r="J9" s="0" t="n">
        <v>8.55869582585186</v>
      </c>
      <c r="K9" s="0" t="n">
        <v>11.31</v>
      </c>
      <c r="L9" s="0" t="n">
        <v>986.498</v>
      </c>
      <c r="M9" s="0" t="n">
        <v>272.145</v>
      </c>
      <c r="N9" s="0" t="n">
        <v>714.353</v>
      </c>
      <c r="O9" s="0" t="n">
        <v>3326.836</v>
      </c>
      <c r="P9" s="0" t="n">
        <v>5266.328</v>
      </c>
      <c r="R9" s="0" t="n">
        <v>475.942</v>
      </c>
      <c r="S9" s="0" t="n">
        <v>430.644</v>
      </c>
      <c r="T9" s="0" t="n">
        <v>70.576432</v>
      </c>
      <c r="U9" s="0" t="n">
        <v>55.59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9964.953</v>
      </c>
      <c r="C10" s="0" t="n">
        <v>5650.711</v>
      </c>
      <c r="D10" s="0" t="n">
        <v>4314.242</v>
      </c>
      <c r="E10" s="0" t="n">
        <v>43.2941530180825</v>
      </c>
      <c r="F10" s="0" t="n">
        <v>1347.117</v>
      </c>
      <c r="G10" s="0" t="n">
        <v>13.5185484567765</v>
      </c>
      <c r="H10" s="0" t="n">
        <v>1555.443</v>
      </c>
      <c r="I10" s="0" t="n">
        <v>812.296</v>
      </c>
      <c r="J10" s="0" t="n">
        <v>8.15152866250348</v>
      </c>
      <c r="K10" s="0" t="n">
        <v>11.59</v>
      </c>
      <c r="L10" s="0" t="n">
        <v>959.814</v>
      </c>
      <c r="M10" s="0" t="n">
        <v>387.39</v>
      </c>
      <c r="N10" s="0" t="n">
        <v>572.424</v>
      </c>
      <c r="O10" s="0" t="n">
        <v>3284.101</v>
      </c>
      <c r="P10" s="0" t="n">
        <v>5283.049</v>
      </c>
      <c r="R10" s="0" t="n">
        <v>426.737</v>
      </c>
      <c r="S10" s="0" t="n">
        <v>226.644</v>
      </c>
      <c r="T10" s="0" t="n">
        <v>69.205744</v>
      </c>
      <c r="U10" s="0" t="n">
        <v>49.032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9973.384</v>
      </c>
      <c r="C11" s="0" t="n">
        <v>5741.956</v>
      </c>
      <c r="D11" s="0" t="n">
        <v>4231.428</v>
      </c>
      <c r="E11" s="0" t="n">
        <v>42.4272042468233</v>
      </c>
      <c r="F11" s="0" t="n">
        <v>1300.32</v>
      </c>
      <c r="G11" s="0" t="n">
        <v>13.0379016791091</v>
      </c>
      <c r="H11" s="0" t="n">
        <v>1528.287</v>
      </c>
      <c r="I11" s="0" t="n">
        <v>785.174</v>
      </c>
      <c r="J11" s="0" t="n">
        <v>7.87269396224992</v>
      </c>
      <c r="K11" s="0" t="n">
        <v>11.69</v>
      </c>
      <c r="L11" s="0" t="n">
        <v>1036.109</v>
      </c>
      <c r="M11" s="0" t="n">
        <v>373.868</v>
      </c>
      <c r="N11" s="0" t="n">
        <v>662.241</v>
      </c>
      <c r="O11" s="0" t="n">
        <v>2352.714</v>
      </c>
      <c r="P11" s="0" t="n">
        <v>5857.755</v>
      </c>
      <c r="R11" s="0" t="n">
        <v>1635.76</v>
      </c>
      <c r="S11" s="0" t="n">
        <v>290</v>
      </c>
      <c r="T11" s="0" t="n">
        <v>65.765121</v>
      </c>
      <c r="U11" s="0" t="n">
        <v>46.861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10137</v>
      </c>
      <c r="C12" s="0" t="n">
        <v>6022</v>
      </c>
      <c r="D12" s="0" t="n">
        <v>4115</v>
      </c>
      <c r="E12" s="0" t="n">
        <v>40.5938640623459</v>
      </c>
      <c r="F12" s="0" t="n">
        <v>1113</v>
      </c>
      <c r="G12" s="0" t="n">
        <v>10.9795797573247</v>
      </c>
      <c r="H12" s="0" t="n">
        <v>1362</v>
      </c>
      <c r="I12" s="0" t="n">
        <v>633</v>
      </c>
      <c r="J12" s="0" t="n">
        <v>6.24445102101213</v>
      </c>
      <c r="K12" s="0" t="n">
        <v>9.94</v>
      </c>
      <c r="L12" s="0" t="n">
        <v>1024</v>
      </c>
      <c r="M12" s="0" t="n">
        <v>284</v>
      </c>
      <c r="N12" s="0" t="n">
        <v>740</v>
      </c>
      <c r="O12" s="0" t="n">
        <v>1905</v>
      </c>
      <c r="P12" s="0" t="n">
        <v>5694</v>
      </c>
      <c r="R12" s="0" t="n">
        <v>1860.912</v>
      </c>
      <c r="S12" s="0" t="n">
        <v>274</v>
      </c>
      <c r="T12" s="0" t="n">
        <v>60.83993</v>
      </c>
      <c r="U12" s="0" t="n">
        <v>36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10425</v>
      </c>
      <c r="C13" s="0" t="n">
        <v>6327</v>
      </c>
      <c r="D13" s="0" t="n">
        <v>4098</v>
      </c>
      <c r="E13" s="0" t="n">
        <v>39.3093525179856</v>
      </c>
      <c r="F13" s="0" t="n">
        <v>1035</v>
      </c>
      <c r="G13" s="0" t="n">
        <v>9.92805755395684</v>
      </c>
      <c r="H13" s="0" t="n">
        <v>1299</v>
      </c>
      <c r="I13" s="0" t="n">
        <v>623</v>
      </c>
      <c r="J13" s="0" t="n">
        <v>5.97601918465228</v>
      </c>
      <c r="K13" s="0" t="n">
        <v>10.07</v>
      </c>
      <c r="L13" s="0" t="n">
        <v>1057</v>
      </c>
      <c r="M13" s="0" t="n">
        <v>237</v>
      </c>
      <c r="N13" s="0" t="n">
        <v>820</v>
      </c>
      <c r="O13" s="0" t="n">
        <v>1828</v>
      </c>
      <c r="P13" s="0" t="n">
        <v>5804</v>
      </c>
      <c r="R13" s="0" t="n">
        <v>2287</v>
      </c>
      <c r="S13" s="0" t="n">
        <v>327</v>
      </c>
      <c r="T13" s="0" t="n">
        <v>58</v>
      </c>
      <c r="U13" s="0" t="n">
        <v>33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11221</v>
      </c>
      <c r="C14" s="0" t="n">
        <v>6873</v>
      </c>
      <c r="D14" s="0" t="n">
        <v>4348</v>
      </c>
      <c r="E14" s="0" t="n">
        <v>38.7487746190179</v>
      </c>
      <c r="F14" s="0" t="n">
        <v>1158</v>
      </c>
      <c r="G14" s="0" t="n">
        <v>10.3199358345959</v>
      </c>
      <c r="H14" s="0" t="n">
        <v>1415</v>
      </c>
      <c r="I14" s="0" t="n">
        <v>823</v>
      </c>
      <c r="J14" s="0" t="n">
        <v>7.33446216914714</v>
      </c>
      <c r="K14" s="0" t="n">
        <v>13.82</v>
      </c>
      <c r="L14" s="0" t="n">
        <v>1057</v>
      </c>
      <c r="M14" s="0" t="n">
        <v>239</v>
      </c>
      <c r="N14" s="0" t="n">
        <v>818</v>
      </c>
      <c r="O14" s="0" t="n">
        <v>2093</v>
      </c>
      <c r="P14" s="0" t="n">
        <v>5873</v>
      </c>
      <c r="R14" s="0" t="n">
        <v>2171</v>
      </c>
      <c r="S14" s="0" t="n">
        <v>538</v>
      </c>
      <c r="T14" s="0" t="n">
        <v>56.5</v>
      </c>
      <c r="U14" s="0" t="n">
        <v>47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11486</v>
      </c>
      <c r="C15" s="0" t="n">
        <v>7089</v>
      </c>
      <c r="D15" s="0" t="n">
        <v>4397</v>
      </c>
      <c r="E15" s="0" t="n">
        <v>38.2813860351733</v>
      </c>
      <c r="F15" s="0" t="n">
        <v>1262</v>
      </c>
      <c r="G15" s="0" t="n">
        <v>10.9872888734111</v>
      </c>
      <c r="H15" s="0" t="n">
        <v>1491</v>
      </c>
      <c r="I15" s="0" t="n">
        <v>895</v>
      </c>
      <c r="J15" s="0" t="n">
        <v>7.79209472401184</v>
      </c>
      <c r="K15" s="0" t="n">
        <v>15.39</v>
      </c>
      <c r="L15" s="0" t="n">
        <v>1042</v>
      </c>
      <c r="M15" s="0" t="n">
        <v>221</v>
      </c>
      <c r="N15" s="0" t="n">
        <v>821</v>
      </c>
      <c r="O15" s="0" t="n">
        <v>2060</v>
      </c>
      <c r="P15" s="0" t="n">
        <v>6005</v>
      </c>
      <c r="R15" s="0" t="n">
        <v>2160</v>
      </c>
      <c r="S15" s="0" t="n">
        <v>360</v>
      </c>
      <c r="T15" s="0" t="n">
        <v>54.9</v>
      </c>
      <c r="U15" s="0" t="n">
        <v>40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11797</v>
      </c>
      <c r="C16" s="0" t="n">
        <v>7559</v>
      </c>
      <c r="D16" s="0" t="n">
        <v>4238</v>
      </c>
      <c r="E16" s="0" t="n">
        <v>35.9243875561583</v>
      </c>
      <c r="F16" s="0" t="n">
        <v>1019</v>
      </c>
      <c r="G16" s="0" t="n">
        <v>8.63778926845808</v>
      </c>
      <c r="H16" s="0" t="n">
        <v>1201</v>
      </c>
      <c r="I16" s="0" t="n">
        <v>755</v>
      </c>
      <c r="J16" s="0" t="n">
        <v>6.39993218614902</v>
      </c>
      <c r="K16" s="0" t="n">
        <v>12.88</v>
      </c>
      <c r="L16" s="0" t="n">
        <v>1123</v>
      </c>
      <c r="M16" s="0" t="n">
        <v>197</v>
      </c>
      <c r="N16" s="0" t="n">
        <v>926</v>
      </c>
      <c r="O16" s="0" t="n">
        <v>2093</v>
      </c>
      <c r="P16" s="0" t="n">
        <v>6295</v>
      </c>
      <c r="R16" s="0" t="n">
        <v>2397</v>
      </c>
      <c r="S16" s="0" t="n">
        <v>585</v>
      </c>
      <c r="T16" s="0" t="n">
        <v>53.7</v>
      </c>
      <c r="U16" s="0" t="n">
        <v>46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13022</v>
      </c>
      <c r="C17" s="0" t="n">
        <v>8302</v>
      </c>
      <c r="D17" s="0" t="n">
        <v>4720</v>
      </c>
      <c r="E17" s="0" t="n">
        <v>36.2463523268315</v>
      </c>
      <c r="F17" s="0" t="n">
        <v>1547</v>
      </c>
      <c r="G17" s="0" t="n">
        <v>11.8798955613577</v>
      </c>
      <c r="H17" s="0" t="n">
        <v>1734</v>
      </c>
      <c r="I17" s="0" t="n">
        <v>1114</v>
      </c>
      <c r="J17" s="0" t="n">
        <v>8.55475349408693</v>
      </c>
      <c r="K17" s="0" t="n">
        <v>19.94</v>
      </c>
      <c r="L17" s="0" t="n">
        <v>937</v>
      </c>
      <c r="M17" s="0" t="n">
        <v>255</v>
      </c>
      <c r="N17" s="0" t="n">
        <v>682</v>
      </c>
      <c r="O17" s="0" t="n">
        <v>2160</v>
      </c>
      <c r="P17" s="0" t="n">
        <v>6592</v>
      </c>
      <c r="R17" s="0" t="n">
        <v>2362</v>
      </c>
      <c r="S17" s="0" t="n">
        <v>241</v>
      </c>
      <c r="T17" s="0" t="n">
        <v>52.2</v>
      </c>
      <c r="U17" s="0" t="n">
        <v>42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15228</v>
      </c>
      <c r="C18" s="0" t="n">
        <v>9379</v>
      </c>
      <c r="D18" s="0" t="n">
        <v>5849</v>
      </c>
      <c r="E18" s="0" t="n">
        <v>38.4095087995797</v>
      </c>
      <c r="F18" s="0" t="n">
        <v>2215</v>
      </c>
      <c r="G18" s="0" t="n">
        <v>14.5455739427371</v>
      </c>
      <c r="H18" s="0" t="n">
        <v>2432</v>
      </c>
      <c r="I18" s="0" t="n">
        <v>1613</v>
      </c>
      <c r="J18" s="0" t="n">
        <v>10.5923299185711</v>
      </c>
      <c r="K18" s="0" t="n">
        <v>30.22</v>
      </c>
      <c r="L18" s="0" t="n">
        <v>1333</v>
      </c>
      <c r="M18" s="0" t="n">
        <v>256</v>
      </c>
      <c r="N18" s="0" t="n">
        <v>1077</v>
      </c>
      <c r="O18" s="0" t="n">
        <v>2735</v>
      </c>
      <c r="P18" s="0" t="n">
        <v>7588</v>
      </c>
      <c r="R18" s="0" t="n">
        <v>2319</v>
      </c>
      <c r="S18" s="0" t="n">
        <v>325</v>
      </c>
      <c r="T18" s="0" t="n">
        <v>51.1</v>
      </c>
      <c r="U18" s="0" t="n">
        <v>48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16478</v>
      </c>
      <c r="C19" s="0" t="n">
        <v>9982</v>
      </c>
      <c r="D19" s="0" t="n">
        <v>6496</v>
      </c>
      <c r="E19" s="0" t="n">
        <v>39.4222599830077</v>
      </c>
      <c r="F19" s="0" t="n">
        <v>2565</v>
      </c>
      <c r="G19" s="0" t="n">
        <v>15.5662094914431</v>
      </c>
      <c r="H19" s="0" t="n">
        <v>2842</v>
      </c>
      <c r="I19" s="0" t="n">
        <v>1903</v>
      </c>
      <c r="J19" s="0" t="n">
        <v>11.5487316421896</v>
      </c>
      <c r="K19" s="0" t="n">
        <v>36.39</v>
      </c>
      <c r="L19" s="0" t="n">
        <v>2031</v>
      </c>
      <c r="M19" s="0" t="n">
        <v>445</v>
      </c>
      <c r="N19" s="0" t="n">
        <v>1586</v>
      </c>
      <c r="O19" s="0" t="n">
        <v>3441</v>
      </c>
      <c r="P19" s="0" t="n">
        <v>8147</v>
      </c>
      <c r="R19" s="0" t="n">
        <v>2334</v>
      </c>
      <c r="S19" s="0" t="n">
        <v>660</v>
      </c>
      <c r="T19" s="0" t="n">
        <v>50.1</v>
      </c>
      <c r="U19" s="0" t="n">
        <v>62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17168</v>
      </c>
      <c r="C20" s="0" t="n">
        <v>10410</v>
      </c>
      <c r="D20" s="0" t="n">
        <v>6758</v>
      </c>
      <c r="E20" s="0" t="n">
        <v>39.3639328984157</v>
      </c>
      <c r="F20" s="0" t="n">
        <v>2637</v>
      </c>
      <c r="G20" s="0" t="n">
        <v>15.3599720410065</v>
      </c>
      <c r="H20" s="0" t="n">
        <v>2948</v>
      </c>
      <c r="I20" s="0" t="n">
        <v>1989</v>
      </c>
      <c r="J20" s="0" t="n">
        <v>11.5855079217148</v>
      </c>
      <c r="K20" s="0" t="n">
        <v>38.84</v>
      </c>
      <c r="L20" s="0" t="n">
        <v>2111</v>
      </c>
      <c r="M20" s="0" t="n">
        <v>541</v>
      </c>
      <c r="N20" s="0" t="n">
        <v>1570</v>
      </c>
      <c r="O20" s="0" t="n">
        <v>3703</v>
      </c>
      <c r="P20" s="0" t="n">
        <v>8829</v>
      </c>
      <c r="R20" s="0" t="n">
        <v>3277</v>
      </c>
      <c r="S20" s="0" t="n">
        <v>1036</v>
      </c>
      <c r="T20" s="0" t="n">
        <v>49</v>
      </c>
      <c r="U20" s="0" t="n">
        <v>62</v>
      </c>
      <c r="AA20" s="0" t="s">
        <v>17</v>
      </c>
      <c r="AB20" s="0" t="s">
        <v>14</v>
      </c>
    </row>
    <row r="21" customFormat="false" ht="15" hidden="false" customHeight="false" outlineLevel="0" collapsed="false">
      <c r="A21" s="0" t="s">
        <v>82</v>
      </c>
      <c r="B21" s="0" t="n">
        <v>17942</v>
      </c>
      <c r="C21" s="0" t="n">
        <v>10933</v>
      </c>
      <c r="D21" s="0" t="n">
        <v>7009</v>
      </c>
      <c r="E21" s="0" t="n">
        <v>39.06476424033</v>
      </c>
      <c r="F21" s="0" t="n">
        <v>2495</v>
      </c>
      <c r="G21" s="0" t="n">
        <v>13.9059190725672</v>
      </c>
      <c r="H21" s="0" t="n">
        <v>2825</v>
      </c>
      <c r="I21" s="0" t="n">
        <v>1808</v>
      </c>
      <c r="J21" s="0" t="n">
        <v>10.0769145022851</v>
      </c>
      <c r="K21" s="0" t="n">
        <v>35.47</v>
      </c>
      <c r="L21" s="0" t="n">
        <v>2015</v>
      </c>
      <c r="M21" s="0" t="n">
        <v>684</v>
      </c>
      <c r="N21" s="0" t="n">
        <v>1331</v>
      </c>
      <c r="O21" s="0" t="n">
        <v>4141</v>
      </c>
      <c r="P21" s="0" t="n">
        <v>8962</v>
      </c>
      <c r="R21" s="0" t="n">
        <v>2614</v>
      </c>
      <c r="S21" s="0" t="n">
        <v>585</v>
      </c>
      <c r="T21" s="0" t="n">
        <v>48</v>
      </c>
      <c r="U21" s="0" t="n">
        <v>64</v>
      </c>
      <c r="AA21" s="0" t="s">
        <v>17</v>
      </c>
      <c r="AB2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83</v>
      </c>
      <c r="B1" s="2" t="s">
        <v>84</v>
      </c>
    </row>
    <row r="2" customFormat="false" ht="15" hidden="false" customHeight="false" outlineLevel="0" collapsed="false">
      <c r="A2" s="0" t="s">
        <v>85</v>
      </c>
      <c r="B2" s="3" t="n">
        <v>1255.69</v>
      </c>
    </row>
    <row r="3" customFormat="false" ht="15" hidden="false" customHeight="false" outlineLevel="0" collapsed="false">
      <c r="A3" s="0" t="s">
        <v>86</v>
      </c>
      <c r="B3" s="3" t="n">
        <v>47.6</v>
      </c>
    </row>
    <row r="4" customFormat="false" ht="15" hidden="false" customHeight="false" outlineLevel="0" collapsed="false">
      <c r="A4" s="0" t="s">
        <v>87</v>
      </c>
      <c r="B4" s="3" t="n">
        <v>1821</v>
      </c>
    </row>
    <row r="5" customFormat="false" ht="15" hidden="false" customHeight="false" outlineLevel="0" collapsed="false">
      <c r="A5" s="0" t="s">
        <v>88</v>
      </c>
      <c r="B5" s="3" t="n">
        <v>0</v>
      </c>
    </row>
    <row r="6" customFormat="false" ht="15" hidden="false" customHeight="false" outlineLevel="0" collapsed="false">
      <c r="A6" s="0" t="s">
        <v>89</v>
      </c>
      <c r="B6" s="3" t="n">
        <v>15</v>
      </c>
    </row>
    <row r="7" customFormat="false" ht="15" hidden="false" customHeight="false" outlineLevel="0" collapsed="false">
      <c r="A7" s="0" t="s">
        <v>90</v>
      </c>
      <c r="B7" s="3" t="n">
        <v>17942</v>
      </c>
    </row>
    <row r="8" customFormat="false" ht="15" hidden="false" customHeight="false" outlineLevel="0" collapsed="false">
      <c r="A8" s="0" t="s">
        <v>91</v>
      </c>
      <c r="B8" s="3" t="s">
        <v>82</v>
      </c>
    </row>
    <row r="9" customFormat="false" ht="15" hidden="false" customHeight="false" outlineLevel="0" collapsed="false">
      <c r="A9" s="0" t="s">
        <v>92</v>
      </c>
      <c r="B9" s="3" t="s">
        <v>93</v>
      </c>
    </row>
    <row r="10" customFormat="false" ht="15" hidden="false" customHeight="false" outlineLevel="0" collapsed="false">
      <c r="A10" s="0" t="s">
        <v>94</v>
      </c>
      <c r="B10" s="3" t="n">
        <v>1</v>
      </c>
    </row>
    <row r="12" customFormat="false" ht="15" hidden="false" customHeight="false" outlineLevel="0" collapsed="false">
      <c r="A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  <c r="H12" s="2" t="s">
        <v>101</v>
      </c>
      <c r="I12" s="2" t="s">
        <v>102</v>
      </c>
      <c r="J12" s="2" t="s">
        <v>103</v>
      </c>
      <c r="K12" s="2" t="s">
        <v>104</v>
      </c>
      <c r="L12" s="2" t="s">
        <v>105</v>
      </c>
    </row>
    <row r="13" customFormat="false" ht="15" hidden="false" customHeight="false" outlineLevel="0" collapsed="false">
      <c r="A13" s="0" t="s">
        <v>106</v>
      </c>
      <c r="C13" s="3" t="n">
        <v>8.4</v>
      </c>
      <c r="D13" s="3" t="n">
        <v>2</v>
      </c>
      <c r="E13" s="3" t="n">
        <v>1.5</v>
      </c>
      <c r="F13" s="3" t="n">
        <v>3</v>
      </c>
      <c r="G13" s="3" t="n">
        <v>3</v>
      </c>
      <c r="H13" s="3" t="n">
        <v>3</v>
      </c>
      <c r="I13" s="3" t="n">
        <v>3</v>
      </c>
      <c r="J13" s="3" t="n">
        <v>3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107</v>
      </c>
      <c r="C14" s="3" t="n">
        <v>17.8</v>
      </c>
      <c r="D14" s="3" t="n">
        <v>17</v>
      </c>
      <c r="E14" s="3" t="n">
        <v>16.5</v>
      </c>
      <c r="F14" s="3" t="n">
        <v>16.3</v>
      </c>
      <c r="G14" s="3" t="n">
        <v>16.2</v>
      </c>
      <c r="H14" s="3" t="n">
        <v>16.1</v>
      </c>
      <c r="I14" s="3" t="n">
        <v>16</v>
      </c>
      <c r="J14" s="3" t="n">
        <v>16</v>
      </c>
      <c r="K14" s="3" t="n">
        <v>16</v>
      </c>
      <c r="L14" s="3" t="n">
        <v>16</v>
      </c>
    </row>
    <row r="15" customFormat="false" ht="15" hidden="false" customHeight="false" outlineLevel="0" collapsed="false">
      <c r="A15" s="0" t="s">
        <v>108</v>
      </c>
      <c r="C15" s="3" t="n">
        <v>0.56</v>
      </c>
      <c r="D15" s="3" t="n">
        <v>0.56</v>
      </c>
      <c r="E15" s="3" t="n">
        <v>0.56</v>
      </c>
      <c r="F15" s="3" t="n">
        <v>0.56</v>
      </c>
      <c r="G15" s="3" t="n">
        <v>0.56</v>
      </c>
      <c r="H15" s="3" t="n">
        <v>0.56</v>
      </c>
      <c r="I15" s="3" t="n">
        <v>0.56</v>
      </c>
      <c r="J15" s="3" t="n">
        <v>0.56</v>
      </c>
      <c r="K15" s="3" t="n">
        <v>0.56</v>
      </c>
      <c r="L15" s="3" t="n">
        <v>0.56</v>
      </c>
    </row>
    <row r="16" customFormat="false" ht="15" hidden="false" customHeight="false" outlineLevel="0" collapsed="false">
      <c r="A16" s="0" t="s">
        <v>109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110</v>
      </c>
      <c r="C17" s="3" t="n">
        <v>1.85</v>
      </c>
      <c r="D17" s="3" t="n">
        <v>1.9</v>
      </c>
      <c r="E17" s="3" t="n">
        <v>1.95</v>
      </c>
      <c r="F17" s="3" t="n">
        <v>2</v>
      </c>
      <c r="G17" s="3" t="n">
        <v>2.05</v>
      </c>
      <c r="H17" s="3" t="n">
        <v>2.1</v>
      </c>
      <c r="I17" s="3" t="n">
        <v>2.1</v>
      </c>
      <c r="J17" s="3" t="n">
        <v>2.1</v>
      </c>
      <c r="K17" s="3" t="n">
        <v>2.1</v>
      </c>
      <c r="L17" s="3" t="n">
        <v>2.1</v>
      </c>
    </row>
    <row r="18" customFormat="false" ht="15" hidden="false" customHeight="false" outlineLevel="0" collapsed="false">
      <c r="A18" s="0" t="s">
        <v>111</v>
      </c>
      <c r="C18" s="3" t="n">
        <v>3.2</v>
      </c>
      <c r="D18" s="3" t="n">
        <v>2.9</v>
      </c>
      <c r="E18" s="3" t="n">
        <v>2.7</v>
      </c>
      <c r="F18" s="3" t="n">
        <v>2.5</v>
      </c>
      <c r="G18" s="3" t="n">
        <v>2.5</v>
      </c>
      <c r="H18" s="3" t="n">
        <v>2.5</v>
      </c>
      <c r="I18" s="3" t="n">
        <v>2.5</v>
      </c>
      <c r="J18" s="3" t="n">
        <v>2.5</v>
      </c>
      <c r="K18" s="3" t="n">
        <v>2.5</v>
      </c>
      <c r="L18" s="3" t="n">
        <v>2.5</v>
      </c>
    </row>
    <row r="19" customFormat="false" ht="15" hidden="false" customHeight="false" outlineLevel="0" collapsed="false">
      <c r="A19" s="0" t="s">
        <v>112</v>
      </c>
      <c r="C19" s="3" t="n">
        <v>27.8</v>
      </c>
      <c r="D19" s="3" t="n">
        <v>27.8</v>
      </c>
      <c r="E19" s="3" t="n">
        <v>27.9</v>
      </c>
      <c r="F19" s="3" t="n">
        <v>28</v>
      </c>
      <c r="G19" s="3" t="n">
        <v>28</v>
      </c>
      <c r="H19" s="3" t="n">
        <v>28.1</v>
      </c>
      <c r="I19" s="3" t="n">
        <v>28.2</v>
      </c>
      <c r="J19" s="3" t="n">
        <v>28.3</v>
      </c>
      <c r="K19" s="3" t="n">
        <v>28.4</v>
      </c>
      <c r="L19" s="3" t="n">
        <v>28.5</v>
      </c>
    </row>
    <row r="20" customFormat="false" ht="15" hidden="false" customHeight="false" outlineLevel="0" collapsed="false">
      <c r="A20" s="0" t="s">
        <v>113</v>
      </c>
      <c r="B20" s="3" t="n">
        <v>8.5</v>
      </c>
    </row>
    <row r="21" customFormat="false" ht="15" hidden="false" customHeight="false" outlineLevel="0" collapsed="false">
      <c r="A21" s="0" t="s">
        <v>114</v>
      </c>
      <c r="B21" s="3" t="n">
        <v>2.5</v>
      </c>
    </row>
    <row r="22" customFormat="false" ht="15" hidden="false" customHeight="false" outlineLevel="0" collapsed="false">
      <c r="A22" s="0" t="s">
        <v>115</v>
      </c>
      <c r="B22" s="3" t="n">
        <v>15</v>
      </c>
    </row>
    <row r="23" customFormat="false" ht="15" hidden="false" customHeight="false" outlineLevel="0" collapsed="false">
      <c r="A23" s="0" t="s">
        <v>116</v>
      </c>
      <c r="B23" s="3" t="n">
        <v>-18</v>
      </c>
    </row>
    <row r="24" customFormat="false" ht="15" hidden="false" customHeight="false" outlineLevel="0" collapsed="false">
      <c r="A24" s="0" t="s">
        <v>117</v>
      </c>
      <c r="B24" s="3" t="n">
        <v>0.2</v>
      </c>
    </row>
    <row r="26" customFormat="false" ht="15" hidden="false" customHeight="false" outlineLevel="0" collapsed="false">
      <c r="A26" s="2" t="s">
        <v>118</v>
      </c>
      <c r="C26" s="2" t="s">
        <v>96</v>
      </c>
      <c r="D26" s="2" t="s">
        <v>97</v>
      </c>
      <c r="E26" s="2" t="s">
        <v>98</v>
      </c>
      <c r="F26" s="2" t="s">
        <v>99</v>
      </c>
      <c r="G26" s="2" t="s">
        <v>100</v>
      </c>
      <c r="H26" s="2" t="s">
        <v>101</v>
      </c>
      <c r="I26" s="2" t="s">
        <v>102</v>
      </c>
      <c r="J26" s="2" t="s">
        <v>103</v>
      </c>
      <c r="K26" s="2" t="s">
        <v>104</v>
      </c>
      <c r="L26" s="2" t="s">
        <v>105</v>
      </c>
    </row>
    <row r="27" customFormat="false" ht="15" hidden="false" customHeight="false" outlineLevel="0" collapsed="false">
      <c r="A27" s="0" t="s">
        <v>106</v>
      </c>
      <c r="C27" s="3" t="n">
        <v>9</v>
      </c>
      <c r="D27" s="3" t="n">
        <v>6.5</v>
      </c>
      <c r="E27" s="3" t="n">
        <v>6</v>
      </c>
      <c r="F27" s="3" t="n">
        <v>5.5</v>
      </c>
      <c r="G27" s="3" t="n">
        <v>5</v>
      </c>
      <c r="H27" s="3" t="n">
        <v>4.5</v>
      </c>
      <c r="I27" s="3" t="n">
        <v>4</v>
      </c>
      <c r="J27" s="3" t="n">
        <v>3.5</v>
      </c>
      <c r="K27" s="3" t="n">
        <v>3.5</v>
      </c>
      <c r="L27" s="3" t="n">
        <v>3</v>
      </c>
    </row>
    <row r="28" customFormat="false" ht="15" hidden="false" customHeight="false" outlineLevel="0" collapsed="false">
      <c r="A28" s="0" t="s">
        <v>107</v>
      </c>
      <c r="C28" s="3" t="n">
        <v>18.1</v>
      </c>
      <c r="D28" s="3" t="n">
        <v>17.9</v>
      </c>
      <c r="E28" s="3" t="n">
        <v>17.9</v>
      </c>
      <c r="F28" s="3" t="n">
        <v>17.9</v>
      </c>
      <c r="G28" s="3" t="n">
        <v>17.8</v>
      </c>
      <c r="H28" s="3" t="n">
        <v>17.8</v>
      </c>
      <c r="I28" s="3" t="n">
        <v>17.7</v>
      </c>
      <c r="J28" s="3" t="n">
        <v>17.7</v>
      </c>
      <c r="K28" s="3" t="n">
        <v>17.6</v>
      </c>
      <c r="L28" s="3" t="n">
        <v>17.6</v>
      </c>
    </row>
    <row r="29" customFormat="false" ht="15" hidden="false" customHeight="false" outlineLevel="0" collapsed="false">
      <c r="A29" s="0" t="s">
        <v>108</v>
      </c>
      <c r="C29" s="3" t="n">
        <v>0.56</v>
      </c>
      <c r="D29" s="3" t="n">
        <v>0.56</v>
      </c>
      <c r="E29" s="3" t="n">
        <v>0.56</v>
      </c>
      <c r="F29" s="3" t="n">
        <v>0.56</v>
      </c>
      <c r="G29" s="3" t="n">
        <v>0.56</v>
      </c>
      <c r="H29" s="3" t="n">
        <v>0.56</v>
      </c>
      <c r="I29" s="3" t="n">
        <v>0.56</v>
      </c>
      <c r="J29" s="3" t="n">
        <v>0.56</v>
      </c>
      <c r="K29" s="3" t="n">
        <v>0.56</v>
      </c>
      <c r="L29" s="3" t="n">
        <v>0.56</v>
      </c>
    </row>
    <row r="30" customFormat="false" ht="15" hidden="false" customHeight="false" outlineLevel="0" collapsed="false">
      <c r="A30" s="0" t="s">
        <v>109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110</v>
      </c>
      <c r="C31" s="3" t="n">
        <v>1.85</v>
      </c>
      <c r="D31" s="3" t="n">
        <v>1.9</v>
      </c>
      <c r="E31" s="3" t="n">
        <v>1.95</v>
      </c>
      <c r="F31" s="3" t="n">
        <v>2</v>
      </c>
      <c r="G31" s="3" t="n">
        <v>2.05</v>
      </c>
      <c r="H31" s="3" t="n">
        <v>2.1</v>
      </c>
      <c r="I31" s="3" t="n">
        <v>2.1</v>
      </c>
      <c r="J31" s="3" t="n">
        <v>2.1</v>
      </c>
      <c r="K31" s="3" t="n">
        <v>2.1</v>
      </c>
      <c r="L31" s="3" t="n">
        <v>2.1</v>
      </c>
    </row>
    <row r="32" customFormat="false" ht="15" hidden="false" customHeight="false" outlineLevel="0" collapsed="false">
      <c r="A32" s="0" t="s">
        <v>111</v>
      </c>
      <c r="C32" s="3" t="n">
        <v>3.2</v>
      </c>
      <c r="D32" s="3" t="n">
        <v>3</v>
      </c>
      <c r="E32" s="3" t="n">
        <v>2.8</v>
      </c>
      <c r="F32" s="3" t="n">
        <v>2.6</v>
      </c>
      <c r="G32" s="3" t="n">
        <v>2.5</v>
      </c>
      <c r="H32" s="3" t="n">
        <v>2.5</v>
      </c>
      <c r="I32" s="3" t="n">
        <v>2.5</v>
      </c>
      <c r="J32" s="3" t="n">
        <v>2.5</v>
      </c>
      <c r="K32" s="3" t="n">
        <v>2.5</v>
      </c>
      <c r="L32" s="3" t="n">
        <v>2.5</v>
      </c>
    </row>
    <row r="33" customFormat="false" ht="15" hidden="false" customHeight="false" outlineLevel="0" collapsed="false">
      <c r="A33" s="0" t="s">
        <v>112</v>
      </c>
      <c r="C33" s="3" t="n">
        <v>27.8</v>
      </c>
      <c r="D33" s="3" t="n">
        <v>27.9</v>
      </c>
      <c r="E33" s="3" t="n">
        <v>28</v>
      </c>
      <c r="F33" s="3" t="n">
        <v>28.1</v>
      </c>
      <c r="G33" s="3" t="n">
        <v>28.2</v>
      </c>
      <c r="H33" s="3" t="n">
        <v>28.3</v>
      </c>
      <c r="I33" s="3" t="n">
        <v>28.4</v>
      </c>
      <c r="J33" s="3" t="n">
        <v>28.5</v>
      </c>
      <c r="K33" s="3" t="n">
        <v>28.6</v>
      </c>
      <c r="L33" s="3" t="n">
        <v>28.8</v>
      </c>
    </row>
    <row r="34" customFormat="false" ht="15" hidden="false" customHeight="false" outlineLevel="0" collapsed="false">
      <c r="A34" s="0" t="s">
        <v>113</v>
      </c>
      <c r="B34" s="3" t="n">
        <v>8.5</v>
      </c>
    </row>
    <row r="35" customFormat="false" ht="15" hidden="false" customHeight="false" outlineLevel="0" collapsed="false">
      <c r="A35" s="0" t="s">
        <v>114</v>
      </c>
      <c r="B35" s="3" t="n">
        <v>3</v>
      </c>
    </row>
    <row r="36" customFormat="false" ht="15" hidden="false" customHeight="false" outlineLevel="0" collapsed="false">
      <c r="A36" s="0" t="s">
        <v>115</v>
      </c>
      <c r="B36" s="3" t="n">
        <v>20</v>
      </c>
    </row>
    <row r="37" customFormat="false" ht="15" hidden="false" customHeight="false" outlineLevel="0" collapsed="false">
      <c r="A37" s="0" t="s">
        <v>116</v>
      </c>
      <c r="B37" s="3" t="n">
        <v>-18</v>
      </c>
    </row>
    <row r="38" customFormat="false" ht="15" hidden="false" customHeight="false" outlineLevel="0" collapsed="false">
      <c r="A38" s="0" t="s">
        <v>117</v>
      </c>
      <c r="B38" s="3" t="n">
        <v>0.5</v>
      </c>
    </row>
    <row r="40" customFormat="false" ht="15" hidden="false" customHeight="false" outlineLevel="0" collapsed="false">
      <c r="A40" s="2" t="s">
        <v>119</v>
      </c>
      <c r="C40" s="2" t="s">
        <v>96</v>
      </c>
      <c r="D40" s="2" t="s">
        <v>97</v>
      </c>
      <c r="E40" s="2" t="s">
        <v>98</v>
      </c>
      <c r="F40" s="2" t="s">
        <v>99</v>
      </c>
      <c r="G40" s="2" t="s">
        <v>100</v>
      </c>
      <c r="H40" s="2" t="s">
        <v>101</v>
      </c>
      <c r="I40" s="2" t="s">
        <v>102</v>
      </c>
      <c r="J40" s="2" t="s">
        <v>103</v>
      </c>
      <c r="K40" s="2" t="s">
        <v>104</v>
      </c>
      <c r="L40" s="2" t="s">
        <v>105</v>
      </c>
    </row>
    <row r="41" customFormat="false" ht="15" hidden="false" customHeight="false" outlineLevel="0" collapsed="false">
      <c r="A41" s="0" t="s">
        <v>106</v>
      </c>
      <c r="C41" s="3" t="n">
        <v>9.5</v>
      </c>
      <c r="D41" s="3" t="n">
        <v>8</v>
      </c>
      <c r="E41" s="3" t="n">
        <v>7.5</v>
      </c>
      <c r="F41" s="3" t="n">
        <v>7</v>
      </c>
      <c r="G41" s="3" t="n">
        <v>6.5</v>
      </c>
      <c r="H41" s="3" t="n">
        <v>6</v>
      </c>
      <c r="I41" s="3" t="n">
        <v>5.5</v>
      </c>
      <c r="J41" s="3" t="n">
        <v>5</v>
      </c>
      <c r="K41" s="3" t="n">
        <v>4.5</v>
      </c>
      <c r="L41" s="3" t="n">
        <v>4</v>
      </c>
    </row>
    <row r="42" customFormat="false" ht="15" hidden="false" customHeight="false" outlineLevel="0" collapsed="false">
      <c r="A42" s="0" t="s">
        <v>107</v>
      </c>
      <c r="C42" s="3" t="n">
        <v>18.3</v>
      </c>
      <c r="D42" s="3" t="n">
        <v>18.3</v>
      </c>
      <c r="E42" s="3" t="n">
        <v>18.4</v>
      </c>
      <c r="F42" s="3" t="n">
        <v>18.5</v>
      </c>
      <c r="G42" s="3" t="n">
        <v>18.6</v>
      </c>
      <c r="H42" s="3" t="n">
        <v>18.7</v>
      </c>
      <c r="I42" s="3" t="n">
        <v>18.8</v>
      </c>
      <c r="J42" s="3" t="n">
        <v>18.9</v>
      </c>
      <c r="K42" s="3" t="n">
        <v>19</v>
      </c>
      <c r="L42" s="3" t="n">
        <v>19</v>
      </c>
    </row>
    <row r="43" customFormat="false" ht="15" hidden="false" customHeight="false" outlineLevel="0" collapsed="false">
      <c r="A43" s="0" t="s">
        <v>108</v>
      </c>
      <c r="C43" s="3" t="n">
        <v>0.56</v>
      </c>
      <c r="D43" s="3" t="n">
        <v>0.56</v>
      </c>
      <c r="E43" s="3" t="n">
        <v>0.56</v>
      </c>
      <c r="F43" s="3" t="n">
        <v>0.56</v>
      </c>
      <c r="G43" s="3" t="n">
        <v>0.56</v>
      </c>
      <c r="H43" s="3" t="n">
        <v>0.56</v>
      </c>
      <c r="I43" s="3" t="n">
        <v>0.56</v>
      </c>
      <c r="J43" s="3" t="n">
        <v>0.56</v>
      </c>
      <c r="K43" s="3" t="n">
        <v>0.56</v>
      </c>
      <c r="L43" s="3" t="n">
        <v>0.56</v>
      </c>
    </row>
    <row r="44" customFormat="false" ht="15" hidden="false" customHeight="false" outlineLevel="0" collapsed="false">
      <c r="A44" s="0" t="s">
        <v>109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110</v>
      </c>
      <c r="C45" s="3" t="n">
        <v>1.85</v>
      </c>
      <c r="D45" s="3" t="n">
        <v>1.9</v>
      </c>
      <c r="E45" s="3" t="n">
        <v>1.95</v>
      </c>
      <c r="F45" s="3" t="n">
        <v>2</v>
      </c>
      <c r="G45" s="3" t="n">
        <v>2.05</v>
      </c>
      <c r="H45" s="3" t="n">
        <v>2.1</v>
      </c>
      <c r="I45" s="3" t="n">
        <v>2.1</v>
      </c>
      <c r="J45" s="3" t="n">
        <v>2.1</v>
      </c>
      <c r="K45" s="3" t="n">
        <v>2.1</v>
      </c>
      <c r="L45" s="3" t="n">
        <v>2.1</v>
      </c>
    </row>
    <row r="46" customFormat="false" ht="15" hidden="false" customHeight="false" outlineLevel="0" collapsed="false">
      <c r="A46" s="0" t="s">
        <v>111</v>
      </c>
      <c r="C46" s="3" t="n">
        <v>3.2</v>
      </c>
      <c r="D46" s="3" t="n">
        <v>3</v>
      </c>
      <c r="E46" s="3" t="n">
        <v>2.8</v>
      </c>
      <c r="F46" s="3" t="n">
        <v>2.6</v>
      </c>
      <c r="G46" s="3" t="n">
        <v>2.5</v>
      </c>
      <c r="H46" s="3" t="n">
        <v>2.5</v>
      </c>
      <c r="I46" s="3" t="n">
        <v>2.5</v>
      </c>
      <c r="J46" s="3" t="n">
        <v>2.5</v>
      </c>
      <c r="K46" s="3" t="n">
        <v>2.5</v>
      </c>
      <c r="L46" s="3" t="n">
        <v>2.5</v>
      </c>
    </row>
    <row r="47" customFormat="false" ht="15" hidden="false" customHeight="false" outlineLevel="0" collapsed="false">
      <c r="A47" s="0" t="s">
        <v>112</v>
      </c>
      <c r="C47" s="3" t="n">
        <v>27.8</v>
      </c>
      <c r="D47" s="3" t="n">
        <v>28</v>
      </c>
      <c r="E47" s="3" t="n">
        <v>28.2</v>
      </c>
      <c r="F47" s="3" t="n">
        <v>28.4</v>
      </c>
      <c r="G47" s="3" t="n">
        <v>28.6</v>
      </c>
      <c r="H47" s="3" t="n">
        <v>28.8</v>
      </c>
      <c r="I47" s="3" t="n">
        <v>29</v>
      </c>
      <c r="J47" s="3" t="n">
        <v>29.2</v>
      </c>
      <c r="K47" s="3" t="n">
        <v>29.4</v>
      </c>
      <c r="L47" s="3" t="n">
        <v>29.5</v>
      </c>
    </row>
    <row r="48" customFormat="false" ht="15" hidden="false" customHeight="false" outlineLevel="0" collapsed="false">
      <c r="A48" s="0" t="s">
        <v>113</v>
      </c>
      <c r="B48" s="3" t="n">
        <v>8.5</v>
      </c>
    </row>
    <row r="49" customFormat="false" ht="15" hidden="false" customHeight="false" outlineLevel="0" collapsed="false">
      <c r="A49" s="0" t="s">
        <v>114</v>
      </c>
      <c r="B49" s="3" t="n">
        <v>3.5</v>
      </c>
    </row>
    <row r="50" customFormat="false" ht="15" hidden="false" customHeight="false" outlineLevel="0" collapsed="false">
      <c r="A50" s="0" t="s">
        <v>115</v>
      </c>
      <c r="B50" s="3" t="n">
        <v>20</v>
      </c>
    </row>
    <row r="51" customFormat="false" ht="15" hidden="false" customHeight="false" outlineLevel="0" collapsed="false">
      <c r="A51" s="0" t="s">
        <v>116</v>
      </c>
      <c r="B51" s="3" t="n">
        <v>-18</v>
      </c>
    </row>
    <row r="52" customFormat="false" ht="15" hidden="false" customHeight="false" outlineLevel="0" collapsed="false">
      <c r="A52" s="0" t="s">
        <v>117</v>
      </c>
      <c r="B52" s="3" t="n">
        <v>0.3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120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Assumptions!C13</f>
        <v>8.4</v>
      </c>
      <c r="D5" s="4" t="n">
        <f aca="false">Assumptions!D13</f>
        <v>2</v>
      </c>
      <c r="E5" s="4" t="n">
        <f aca="false">Assumptions!E13</f>
        <v>1.5</v>
      </c>
      <c r="F5" s="4" t="n">
        <f aca="false">Assumptions!F13</f>
        <v>3</v>
      </c>
      <c r="G5" s="4" t="n">
        <f aca="false">Assumptions!G13</f>
        <v>3</v>
      </c>
      <c r="H5" s="4" t="n">
        <f aca="false">Assumptions!H13</f>
        <v>3</v>
      </c>
      <c r="I5" s="4" t="n">
        <f aca="false">Assumptions!I13</f>
        <v>3</v>
      </c>
      <c r="J5" s="4" t="n">
        <f aca="false">Assumptions!J13</f>
        <v>3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37</v>
      </c>
      <c r="B6" s="3" t="n">
        <v>17942</v>
      </c>
      <c r="C6" s="0" t="n">
        <f aca="false">B6*(1+C5/100)</f>
        <v>19449.128</v>
      </c>
      <c r="D6" s="0" t="n">
        <f aca="false">C6*(1+D5/100)</f>
        <v>19838.11056</v>
      </c>
      <c r="E6" s="0" t="n">
        <f aca="false">D6*(1+E5/100)</f>
        <v>20135.6822184</v>
      </c>
      <c r="F6" s="0" t="n">
        <f aca="false">E6*(1+F5/100)</f>
        <v>20739.752684952</v>
      </c>
      <c r="G6" s="0" t="n">
        <f aca="false">F6*(1+G5/100)</f>
        <v>21361.9452655006</v>
      </c>
      <c r="H6" s="0" t="n">
        <f aca="false">G6*(1+H5/100)</f>
        <v>22002.8036234656</v>
      </c>
      <c r="I6" s="0" t="n">
        <f aca="false">H6*(1+I5/100)</f>
        <v>22662.8877321695</v>
      </c>
      <c r="J6" s="0" t="n">
        <f aca="false">I6*(1+J5/100)</f>
        <v>23342.7743641346</v>
      </c>
      <c r="K6" s="0" t="n">
        <f aca="false">J6*(1+K5/100)</f>
        <v>23926.343723238</v>
      </c>
      <c r="L6" s="0" t="n">
        <f aca="false">K6*(1+L5/100)</f>
        <v>24524.5023163189</v>
      </c>
    </row>
    <row r="7" customFormat="false" ht="15" hidden="false" customHeight="false" outlineLevel="0" collapsed="false">
      <c r="A7" s="0" t="s">
        <v>107</v>
      </c>
      <c r="C7" s="4" t="n">
        <f aca="false">Assumptions!C14</f>
        <v>17.8</v>
      </c>
      <c r="D7" s="4" t="n">
        <f aca="false">Assumptions!D14</f>
        <v>17</v>
      </c>
      <c r="E7" s="4" t="n">
        <f aca="false">Assumptions!E14</f>
        <v>16.5</v>
      </c>
      <c r="F7" s="4" t="n">
        <f aca="false">Assumptions!F14</f>
        <v>16.3</v>
      </c>
      <c r="G7" s="4" t="n">
        <f aca="false">Assumptions!G14</f>
        <v>16.2</v>
      </c>
      <c r="H7" s="4" t="n">
        <f aca="false">Assumptions!H14</f>
        <v>16.1</v>
      </c>
      <c r="I7" s="4" t="n">
        <f aca="false">Assumptions!I14</f>
        <v>16</v>
      </c>
      <c r="J7" s="4" t="n">
        <f aca="false">Assumptions!J14</f>
        <v>16</v>
      </c>
      <c r="K7" s="4" t="n">
        <f aca="false">Assumptions!K14</f>
        <v>16</v>
      </c>
      <c r="L7" s="4" t="n">
        <f aca="false">Assumptions!L14</f>
        <v>16</v>
      </c>
    </row>
    <row r="8" customFormat="false" ht="15" hidden="false" customHeight="false" outlineLevel="0" collapsed="false">
      <c r="A8" s="0" t="s">
        <v>43</v>
      </c>
      <c r="C8" s="0" t="n">
        <f aca="false">C6*C7/100</f>
        <v>3461.944784</v>
      </c>
      <c r="D8" s="0" t="n">
        <f aca="false">D6*D7/100</f>
        <v>3372.4787952</v>
      </c>
      <c r="E8" s="0" t="n">
        <f aca="false">E6*E7/100</f>
        <v>3322.387566036</v>
      </c>
      <c r="F8" s="0" t="n">
        <f aca="false">F6*F7/100</f>
        <v>3380.57968764718</v>
      </c>
      <c r="G8" s="0" t="n">
        <f aca="false">G6*G7/100</f>
        <v>3460.63513301109</v>
      </c>
      <c r="H8" s="0" t="n">
        <f aca="false">H6*H7/100</f>
        <v>3542.45138337796</v>
      </c>
      <c r="I8" s="0" t="n">
        <f aca="false">I6*I7/100</f>
        <v>3626.06203714713</v>
      </c>
      <c r="J8" s="0" t="n">
        <f aca="false">J6*J7/100</f>
        <v>3734.84389826154</v>
      </c>
      <c r="K8" s="0" t="n">
        <f aca="false">K6*K7/100</f>
        <v>3828.21499571808</v>
      </c>
      <c r="L8" s="0" t="n">
        <f aca="false">L6*L7/100</f>
        <v>3923.92037061103</v>
      </c>
    </row>
    <row r="9" customFormat="false" ht="15" hidden="false" customHeight="false" outlineLevel="0" collapsed="false">
      <c r="A9" s="0" t="s">
        <v>108</v>
      </c>
      <c r="C9" s="4" t="n">
        <f aca="false">Assumptions!C15</f>
        <v>0.56</v>
      </c>
      <c r="D9" s="4" t="n">
        <f aca="false">Assumptions!D15</f>
        <v>0.56</v>
      </c>
      <c r="E9" s="4" t="n">
        <f aca="false">Assumptions!E15</f>
        <v>0.56</v>
      </c>
      <c r="F9" s="4" t="n">
        <f aca="false">Assumptions!F15</f>
        <v>0.56</v>
      </c>
      <c r="G9" s="4" t="n">
        <f aca="false">Assumptions!G15</f>
        <v>0.56</v>
      </c>
      <c r="H9" s="4" t="n">
        <f aca="false">Assumptions!H15</f>
        <v>0.56</v>
      </c>
      <c r="I9" s="4" t="n">
        <f aca="false">Assumptions!I15</f>
        <v>0.56</v>
      </c>
      <c r="J9" s="4" t="n">
        <f aca="false">Assumptions!J15</f>
        <v>0.56</v>
      </c>
      <c r="K9" s="4" t="n">
        <f aca="false">Assumptions!K15</f>
        <v>0.56</v>
      </c>
      <c r="L9" s="4" t="n">
        <f aca="false">Assumptions!L15</f>
        <v>0.56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-108.9151168</v>
      </c>
      <c r="D10" s="0" t="n">
        <f aca="false">-D6*D9/100</f>
        <v>-111.093419136</v>
      </c>
      <c r="E10" s="0" t="n">
        <f aca="false">-E6*E9/100</f>
        <v>-112.75982042304</v>
      </c>
      <c r="F10" s="0" t="n">
        <f aca="false">-F6*F9/100</f>
        <v>-116.142615035731</v>
      </c>
      <c r="G10" s="0" t="n">
        <f aca="false">-G6*G9/100</f>
        <v>-119.626893486803</v>
      </c>
      <c r="H10" s="0" t="n">
        <f aca="false">-H6*H9/100</f>
        <v>-123.215700291407</v>
      </c>
      <c r="I10" s="0" t="n">
        <f aca="false">-I6*I9/100</f>
        <v>-126.912171300149</v>
      </c>
      <c r="J10" s="0" t="n">
        <f aca="false">-J6*J9/100</f>
        <v>-130.719536439154</v>
      </c>
      <c r="K10" s="0" t="n">
        <f aca="false">-K6*K9/100</f>
        <v>-133.987524850133</v>
      </c>
      <c r="L10" s="0" t="n">
        <f aca="false">-L6*L9/100</f>
        <v>-137.337212971386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3353.0296672</v>
      </c>
      <c r="D11" s="0" t="n">
        <f aca="false">D8+D10+D24</f>
        <v>3261.385376064</v>
      </c>
      <c r="E11" s="0" t="n">
        <f aca="false">E8+E10+E24</f>
        <v>3209.62774561296</v>
      </c>
      <c r="F11" s="0" t="n">
        <f aca="false">F8+F10+F24</f>
        <v>3264.43707261145</v>
      </c>
      <c r="G11" s="0" t="n">
        <f aca="false">G8+G10+G24</f>
        <v>3341.00823952429</v>
      </c>
      <c r="H11" s="0" t="n">
        <f aca="false">H8+H10+H24</f>
        <v>3419.23568308655</v>
      </c>
      <c r="I11" s="0" t="n">
        <f aca="false">I8+I10+I24</f>
        <v>3499.14986584698</v>
      </c>
      <c r="J11" s="0" t="n">
        <f aca="false">J8+J10+J24</f>
        <v>3604.12436182239</v>
      </c>
      <c r="K11" s="0" t="n">
        <f aca="false">K8+K10+K24</f>
        <v>3694.22747086795</v>
      </c>
      <c r="L11" s="0" t="n">
        <f aca="false">L8+L10+L24</f>
        <v>3786.58315763964</v>
      </c>
    </row>
    <row r="12" customFormat="false" ht="15" hidden="false" customHeight="false" outlineLevel="0" collapsed="false">
      <c r="A12" s="0" t="s">
        <v>125</v>
      </c>
      <c r="C12" s="4" t="n">
        <f aca="false">-C6*Assumptions!C17/100</f>
        <v>-359.808868</v>
      </c>
      <c r="D12" s="4" t="n">
        <f aca="false">-D6*Assumptions!D17/100</f>
        <v>-376.92410064</v>
      </c>
      <c r="E12" s="4" t="n">
        <f aca="false">-E6*Assumptions!E17/100</f>
        <v>-392.6458032588</v>
      </c>
      <c r="F12" s="4" t="n">
        <f aca="false">-F6*Assumptions!F17/100</f>
        <v>-414.79505369904</v>
      </c>
      <c r="G12" s="4" t="n">
        <f aca="false">-G6*Assumptions!G17/100</f>
        <v>-437.919877942761</v>
      </c>
      <c r="H12" s="4" t="n">
        <f aca="false">-H6*Assumptions!H17/100</f>
        <v>-462.058876092777</v>
      </c>
      <c r="I12" s="4" t="n">
        <f aca="false">-I6*Assumptions!I17/100</f>
        <v>-475.92064237556</v>
      </c>
      <c r="J12" s="4" t="n">
        <f aca="false">-J6*Assumptions!J17/100</f>
        <v>-490.198261646827</v>
      </c>
      <c r="K12" s="4" t="n">
        <f aca="false">-K6*Assumptions!K17/100</f>
        <v>-502.453218187998</v>
      </c>
      <c r="L12" s="4" t="n">
        <f aca="false">-L6*Assumptions!L17/100</f>
        <v>-515.014548642698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2993.2207992</v>
      </c>
      <c r="D13" s="0" t="n">
        <f aca="false">D11+D12</f>
        <v>2884.461275424</v>
      </c>
      <c r="E13" s="0" t="n">
        <f aca="false">E11+E12</f>
        <v>2816.98194235416</v>
      </c>
      <c r="F13" s="0" t="n">
        <f aca="false">F11+F12</f>
        <v>2849.6420189124</v>
      </c>
      <c r="G13" s="0" t="n">
        <f aca="false">G11+G12</f>
        <v>2903.08836158153</v>
      </c>
      <c r="H13" s="0" t="n">
        <f aca="false">H11+H12</f>
        <v>2957.17680699377</v>
      </c>
      <c r="I13" s="0" t="n">
        <f aca="false">I11+I12</f>
        <v>3023.22922347142</v>
      </c>
      <c r="J13" s="0" t="n">
        <f aca="false">J11+J12</f>
        <v>3113.92610017556</v>
      </c>
      <c r="K13" s="0" t="n">
        <f aca="false">K11+K12</f>
        <v>3191.77425267995</v>
      </c>
      <c r="L13" s="0" t="n">
        <f aca="false">L11+L12</f>
        <v>3271.56860899695</v>
      </c>
    </row>
    <row r="14" customFormat="false" ht="15" hidden="false" customHeight="false" outlineLevel="0" collapsed="false">
      <c r="A14" s="0" t="s">
        <v>112</v>
      </c>
      <c r="C14" s="4" t="n">
        <f aca="false">Assumptions!C19</f>
        <v>27.8</v>
      </c>
      <c r="D14" s="4" t="n">
        <f aca="false">Assumptions!D19</f>
        <v>27.8</v>
      </c>
      <c r="E14" s="4" t="n">
        <f aca="false">Assumptions!E19</f>
        <v>27.9</v>
      </c>
      <c r="F14" s="4" t="n">
        <f aca="false">Assumptions!F19</f>
        <v>28</v>
      </c>
      <c r="G14" s="4" t="n">
        <f aca="false">Assumptions!G19</f>
        <v>28</v>
      </c>
      <c r="H14" s="4" t="n">
        <f aca="false">Assumptions!H19</f>
        <v>28.1</v>
      </c>
      <c r="I14" s="4" t="n">
        <f aca="false">Assumptions!I19</f>
        <v>28.2</v>
      </c>
      <c r="J14" s="4" t="n">
        <f aca="false">Assumptions!J19</f>
        <v>28.3</v>
      </c>
      <c r="K14" s="4" t="n">
        <f aca="false">Assumptions!K19</f>
        <v>28.4</v>
      </c>
      <c r="L14" s="4" t="n">
        <f aca="false">Assumptions!L19</f>
        <v>28.5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2161.1054170224</v>
      </c>
      <c r="D15" s="0" t="n">
        <f aca="false">D13-MAX(0,D13)*D14/100</f>
        <v>2082.58104085613</v>
      </c>
      <c r="E15" s="0" t="n">
        <f aca="false">E13-MAX(0,E13)*E14/100</f>
        <v>2031.04398043735</v>
      </c>
      <c r="F15" s="0" t="n">
        <f aca="false">F13-MAX(0,F13)*F14/100</f>
        <v>2051.74225361693</v>
      </c>
      <c r="G15" s="0" t="n">
        <f aca="false">G13-MAX(0,G13)*G14/100</f>
        <v>2090.2236203387</v>
      </c>
      <c r="H15" s="0" t="n">
        <f aca="false">H13-MAX(0,H13)*H14/100</f>
        <v>2126.21012422852</v>
      </c>
      <c r="I15" s="0" t="n">
        <f aca="false">I13-MAX(0,I13)*I14/100</f>
        <v>2170.67858245248</v>
      </c>
      <c r="J15" s="0" t="n">
        <f aca="false">J13-MAX(0,J13)*J14/100</f>
        <v>2232.68501382588</v>
      </c>
      <c r="K15" s="0" t="n">
        <f aca="false">K13-MAX(0,K13)*K14/100</f>
        <v>2285.31036491884</v>
      </c>
      <c r="L15" s="0" t="n">
        <f aca="false">L13-MAX(0,L13)*L14/100</f>
        <v>2339.17155543282</v>
      </c>
    </row>
    <row r="16" customFormat="false" ht="15" hidden="false" customHeight="false" outlineLevel="0" collapsed="false">
      <c r="A16" s="0" t="s">
        <v>128</v>
      </c>
      <c r="C16" s="0" t="n">
        <f aca="false">-C12</f>
        <v>359.808868</v>
      </c>
      <c r="D16" s="0" t="n">
        <f aca="false">-D12</f>
        <v>376.92410064</v>
      </c>
      <c r="E16" s="0" t="n">
        <f aca="false">-E12</f>
        <v>392.6458032588</v>
      </c>
      <c r="F16" s="0" t="n">
        <f aca="false">-F12</f>
        <v>414.79505369904</v>
      </c>
      <c r="G16" s="0" t="n">
        <f aca="false">-G12</f>
        <v>437.919877942761</v>
      </c>
      <c r="H16" s="0" t="n">
        <f aca="false">-H12</f>
        <v>462.058876092777</v>
      </c>
      <c r="I16" s="0" t="n">
        <f aca="false">-I12</f>
        <v>475.92064237556</v>
      </c>
      <c r="J16" s="0" t="n">
        <f aca="false">-J12</f>
        <v>490.198261646827</v>
      </c>
      <c r="K16" s="0" t="n">
        <f aca="false">-K12</f>
        <v>502.453218187998</v>
      </c>
      <c r="L16" s="0" t="n">
        <f aca="false">-L12</f>
        <v>515.014548642698</v>
      </c>
    </row>
    <row r="17" customFormat="false" ht="15" hidden="false" customHeight="false" outlineLevel="0" collapsed="false">
      <c r="A17" s="0" t="s">
        <v>129</v>
      </c>
      <c r="C17" s="4" t="n">
        <f aca="false">-C6*Assumptions!C18/100</f>
        <v>-622.372096</v>
      </c>
      <c r="D17" s="4" t="n">
        <f aca="false">-D6*Assumptions!D18/100</f>
        <v>-575.30520624</v>
      </c>
      <c r="E17" s="4" t="n">
        <f aca="false">-E6*Assumptions!E18/100</f>
        <v>-543.6634198968</v>
      </c>
      <c r="F17" s="4" t="n">
        <f aca="false">-F6*Assumptions!F18/100</f>
        <v>-518.4938171238</v>
      </c>
      <c r="G17" s="4" t="n">
        <f aca="false">-G6*Assumptions!G18/100</f>
        <v>-534.048631637514</v>
      </c>
      <c r="H17" s="4" t="n">
        <f aca="false">-H6*Assumptions!H18/100</f>
        <v>-550.070090586639</v>
      </c>
      <c r="I17" s="4" t="n">
        <f aca="false">-I6*Assumptions!I18/100</f>
        <v>-566.572193304239</v>
      </c>
      <c r="J17" s="4" t="n">
        <f aca="false">-J6*Assumptions!J18/100</f>
        <v>-583.569359103366</v>
      </c>
      <c r="K17" s="4" t="n">
        <f aca="false">-K6*Assumptions!K18/100</f>
        <v>-598.15859308095</v>
      </c>
      <c r="L17" s="4" t="n">
        <f aca="false">-L6*Assumptions!L18/100</f>
        <v>-613.112557907974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(C6-B6)*Assumptions!$B$23/100</f>
        <v>-271.28304</v>
      </c>
      <c r="D18" s="4" t="n">
        <f aca="false">(D6-C6)*Assumptions!$B$23/100</f>
        <v>-70.0168608000001</v>
      </c>
      <c r="E18" s="4" t="n">
        <f aca="false">(E6-D6)*Assumptions!$B$23/100</f>
        <v>-53.5628985119994</v>
      </c>
      <c r="F18" s="4" t="n">
        <f aca="false">(F6-E6)*Assumptions!$B$23/100</f>
        <v>-108.73268397936</v>
      </c>
      <c r="G18" s="4" t="n">
        <f aca="false">(G6-F6)*Assumptions!$B$23/100</f>
        <v>-111.994664498741</v>
      </c>
      <c r="H18" s="4" t="n">
        <f aca="false">(H6-G6)*Assumptions!$B$23/100</f>
        <v>-115.354504433703</v>
      </c>
      <c r="I18" s="4" t="n">
        <f aca="false">(I6-H6)*Assumptions!$B$23/100</f>
        <v>-118.815139566714</v>
      </c>
      <c r="J18" s="4" t="n">
        <f aca="false">(J6-I6)*Assumptions!$B$23/100</f>
        <v>-122.379593753716</v>
      </c>
      <c r="K18" s="4" t="n">
        <f aca="false">(K6-J6)*Assumptions!$B$23/100</f>
        <v>-105.042484638605</v>
      </c>
      <c r="L18" s="4" t="n">
        <f aca="false">(L6-K6)*Assumptions!$B$23/100</f>
        <v>-107.668546754571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1627.2591490224</v>
      </c>
      <c r="D19" s="0" t="n">
        <f aca="false">D15+D16+D17+D18</f>
        <v>1814.18307445613</v>
      </c>
      <c r="E19" s="0" t="n">
        <f aca="false">E15+E16+E17+E18</f>
        <v>1826.46346528735</v>
      </c>
      <c r="F19" s="0" t="n">
        <f aca="false">F15+F16+F17+F18</f>
        <v>1839.31080621281</v>
      </c>
      <c r="G19" s="0" t="n">
        <f aca="false">G15+G16+G17+G18</f>
        <v>1882.10020214521</v>
      </c>
      <c r="H19" s="0" t="n">
        <f aca="false">H15+H16+H17+H18</f>
        <v>1922.84440530096</v>
      </c>
      <c r="I19" s="0" t="n">
        <f aca="false">I15+I16+I17+I18</f>
        <v>1961.21189195708</v>
      </c>
      <c r="J19" s="0" t="n">
        <f aca="false">J15+J16+J17+J18</f>
        <v>2016.93432261562</v>
      </c>
      <c r="K19" s="0" t="n">
        <f aca="false">K15+K16+K17+K18</f>
        <v>2084.56250538729</v>
      </c>
      <c r="L19" s="0" t="n">
        <f aca="false">L15+L16+L17+L18</f>
        <v>2133.40499941297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1499.77801753217</v>
      </c>
      <c r="D21" s="0" t="n">
        <f aca="false">D19*D20</f>
        <v>1541.06740381501</v>
      </c>
      <c r="E21" s="0" t="n">
        <f aca="false">E19*E20</f>
        <v>1429.95303846132</v>
      </c>
      <c r="F21" s="0" t="n">
        <f aca="false">F19*F20</f>
        <v>1327.19937853932</v>
      </c>
      <c r="G21" s="0" t="n">
        <f aca="false">G19*G20</f>
        <v>1251.68212560691</v>
      </c>
      <c r="H21" s="0" t="n">
        <f aca="false">H19*H20</f>
        <v>1178.59803819463</v>
      </c>
      <c r="I21" s="0" t="n">
        <f aca="false">I19*I20</f>
        <v>1107.94027721541</v>
      </c>
      <c r="J21" s="0" t="n">
        <f aca="false">J19*J20</f>
        <v>1050.15607983735</v>
      </c>
      <c r="K21" s="0" t="n">
        <f aca="false">K19*K20</f>
        <v>1000.33917825914</v>
      </c>
      <c r="L21" s="0" t="n">
        <f aca="false">L19*L20</f>
        <v>943.573915607153</v>
      </c>
    </row>
    <row r="23" customFormat="false" ht="15" hidden="false" customHeight="false" outlineLevel="0" collapsed="false">
      <c r="A23" s="0" t="s">
        <v>109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Assumptions!$B$20</f>
        <v>8.5</v>
      </c>
    </row>
    <row r="28" customFormat="false" ht="15" hidden="false" customHeight="false" outlineLevel="0" collapsed="false">
      <c r="A28" s="0" t="s">
        <v>114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115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12330.2874530684</v>
      </c>
    </row>
    <row r="31" customFormat="false" ht="15" hidden="false" customHeight="false" outlineLevel="0" collapsed="false">
      <c r="A31" s="0" t="s">
        <v>137</v>
      </c>
      <c r="B31" s="0" t="n">
        <f aca="false">L19</f>
        <v>2133.40499941297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36445.6687399716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32001.0749911946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32001.0749911946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14153.6087341073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26483.8961871757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24662.8961871757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518.128071159154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-0.587375808392873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786.717200644569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1037.68003991727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556.455744280201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17493.9209951864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248.448668196631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Assumptions!C27</f>
        <v>9</v>
      </c>
      <c r="D5" s="4" t="n">
        <f aca="false">Assumptions!D27</f>
        <v>6.5</v>
      </c>
      <c r="E5" s="4" t="n">
        <f aca="false">Assumptions!E27</f>
        <v>6</v>
      </c>
      <c r="F5" s="4" t="n">
        <f aca="false">Assumptions!F27</f>
        <v>5.5</v>
      </c>
      <c r="G5" s="4" t="n">
        <f aca="false">Assumptions!G27</f>
        <v>5</v>
      </c>
      <c r="H5" s="4" t="n">
        <f aca="false">Assumptions!H27</f>
        <v>4.5</v>
      </c>
      <c r="I5" s="4" t="n">
        <f aca="false">Assumptions!I27</f>
        <v>4</v>
      </c>
      <c r="J5" s="4" t="n">
        <f aca="false">Assumptions!J27</f>
        <v>3.5</v>
      </c>
      <c r="K5" s="4" t="n">
        <f aca="false">Assumptions!K27</f>
        <v>3.5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37</v>
      </c>
      <c r="B6" s="3" t="n">
        <v>17942</v>
      </c>
      <c r="C6" s="0" t="n">
        <f aca="false">B6*(1+C5/100)</f>
        <v>19556.78</v>
      </c>
      <c r="D6" s="0" t="n">
        <f aca="false">C6*(1+D5/100)</f>
        <v>20827.9707</v>
      </c>
      <c r="E6" s="0" t="n">
        <f aca="false">D6*(1+E5/100)</f>
        <v>22077.648942</v>
      </c>
      <c r="F6" s="0" t="n">
        <f aca="false">E6*(1+F5/100)</f>
        <v>23291.91963381</v>
      </c>
      <c r="G6" s="0" t="n">
        <f aca="false">F6*(1+G5/100)</f>
        <v>24456.5156155005</v>
      </c>
      <c r="H6" s="0" t="n">
        <f aca="false">G6*(1+H5/100)</f>
        <v>25557.058818198</v>
      </c>
      <c r="I6" s="0" t="n">
        <f aca="false">H6*(1+I5/100)</f>
        <v>26579.3411709259</v>
      </c>
      <c r="J6" s="0" t="n">
        <f aca="false">I6*(1+J5/100)</f>
        <v>27509.6181119084</v>
      </c>
      <c r="K6" s="0" t="n">
        <f aca="false">J6*(1+K5/100)</f>
        <v>28472.4547458251</v>
      </c>
      <c r="L6" s="0" t="n">
        <f aca="false">K6*(1+L5/100)</f>
        <v>29326.6283881999</v>
      </c>
    </row>
    <row r="7" customFormat="false" ht="15" hidden="false" customHeight="false" outlineLevel="0" collapsed="false">
      <c r="A7" s="0" t="s">
        <v>107</v>
      </c>
      <c r="C7" s="4" t="n">
        <f aca="false">Assumptions!C28</f>
        <v>18.1</v>
      </c>
      <c r="D7" s="4" t="n">
        <f aca="false">Assumptions!D28</f>
        <v>17.9</v>
      </c>
      <c r="E7" s="4" t="n">
        <f aca="false">Assumptions!E28</f>
        <v>17.9</v>
      </c>
      <c r="F7" s="4" t="n">
        <f aca="false">Assumptions!F28</f>
        <v>17.9</v>
      </c>
      <c r="G7" s="4" t="n">
        <f aca="false">Assumptions!G28</f>
        <v>17.8</v>
      </c>
      <c r="H7" s="4" t="n">
        <f aca="false">Assumptions!H28</f>
        <v>17.8</v>
      </c>
      <c r="I7" s="4" t="n">
        <f aca="false">Assumptions!I28</f>
        <v>17.7</v>
      </c>
      <c r="J7" s="4" t="n">
        <f aca="false">Assumptions!J28</f>
        <v>17.7</v>
      </c>
      <c r="K7" s="4" t="n">
        <f aca="false">Assumptions!K28</f>
        <v>17.6</v>
      </c>
      <c r="L7" s="4" t="n">
        <f aca="false">Assumptions!L28</f>
        <v>17.6</v>
      </c>
    </row>
    <row r="8" customFormat="false" ht="15" hidden="false" customHeight="false" outlineLevel="0" collapsed="false">
      <c r="A8" s="0" t="s">
        <v>43</v>
      </c>
      <c r="C8" s="0" t="n">
        <f aca="false">C6*C7/100</f>
        <v>3539.77718</v>
      </c>
      <c r="D8" s="0" t="n">
        <f aca="false">D6*D7/100</f>
        <v>3728.2067553</v>
      </c>
      <c r="E8" s="0" t="n">
        <f aca="false">E6*E7/100</f>
        <v>3951.899160618</v>
      </c>
      <c r="F8" s="0" t="n">
        <f aca="false">F6*F7/100</f>
        <v>4169.25361445199</v>
      </c>
      <c r="G8" s="0" t="n">
        <f aca="false">G6*G7/100</f>
        <v>4353.25977955909</v>
      </c>
      <c r="H8" s="0" t="n">
        <f aca="false">H6*H7/100</f>
        <v>4549.15646963925</v>
      </c>
      <c r="I8" s="0" t="n">
        <f aca="false">I6*I7/100</f>
        <v>4704.54338725389</v>
      </c>
      <c r="J8" s="0" t="n">
        <f aca="false">J6*J7/100</f>
        <v>4869.20240580778</v>
      </c>
      <c r="K8" s="0" t="n">
        <f aca="false">K6*K7/100</f>
        <v>5011.15203526523</v>
      </c>
      <c r="L8" s="0" t="n">
        <f aca="false">L6*L7/100</f>
        <v>5161.48659632318</v>
      </c>
    </row>
    <row r="9" customFormat="false" ht="15" hidden="false" customHeight="false" outlineLevel="0" collapsed="false">
      <c r="A9" s="0" t="s">
        <v>108</v>
      </c>
      <c r="C9" s="4" t="n">
        <f aca="false">Assumptions!C29</f>
        <v>0.56</v>
      </c>
      <c r="D9" s="4" t="n">
        <f aca="false">Assumptions!D29</f>
        <v>0.56</v>
      </c>
      <c r="E9" s="4" t="n">
        <f aca="false">Assumptions!E29</f>
        <v>0.56</v>
      </c>
      <c r="F9" s="4" t="n">
        <f aca="false">Assumptions!F29</f>
        <v>0.56</v>
      </c>
      <c r="G9" s="4" t="n">
        <f aca="false">Assumptions!G29</f>
        <v>0.56</v>
      </c>
      <c r="H9" s="4" t="n">
        <f aca="false">Assumptions!H29</f>
        <v>0.56</v>
      </c>
      <c r="I9" s="4" t="n">
        <f aca="false">Assumptions!I29</f>
        <v>0.56</v>
      </c>
      <c r="J9" s="4" t="n">
        <f aca="false">Assumptions!J29</f>
        <v>0.56</v>
      </c>
      <c r="K9" s="4" t="n">
        <f aca="false">Assumptions!K29</f>
        <v>0.56</v>
      </c>
      <c r="L9" s="4" t="n">
        <f aca="false">Assumptions!L29</f>
        <v>0.56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-109.517968</v>
      </c>
      <c r="D10" s="0" t="n">
        <f aca="false">-D6*D9/100</f>
        <v>-116.63663592</v>
      </c>
      <c r="E10" s="0" t="n">
        <f aca="false">-E6*E9/100</f>
        <v>-123.6348340752</v>
      </c>
      <c r="F10" s="0" t="n">
        <f aca="false">-F6*F9/100</f>
        <v>-130.434749949336</v>
      </c>
      <c r="G10" s="0" t="n">
        <f aca="false">-G6*G9/100</f>
        <v>-136.956487446803</v>
      </c>
      <c r="H10" s="0" t="n">
        <f aca="false">-H6*H9/100</f>
        <v>-143.119529381909</v>
      </c>
      <c r="I10" s="0" t="n">
        <f aca="false">-I6*I9/100</f>
        <v>-148.844310557185</v>
      </c>
      <c r="J10" s="0" t="n">
        <f aca="false">-J6*J9/100</f>
        <v>-154.053861426687</v>
      </c>
      <c r="K10" s="0" t="n">
        <f aca="false">-K6*K9/100</f>
        <v>-159.445746576621</v>
      </c>
      <c r="L10" s="0" t="n">
        <f aca="false">-L6*L9/100</f>
        <v>-164.229118973919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3430.259212</v>
      </c>
      <c r="D11" s="0" t="n">
        <f aca="false">D8+D10+D24</f>
        <v>3611.57011938</v>
      </c>
      <c r="E11" s="0" t="n">
        <f aca="false">E8+E10+E24</f>
        <v>3828.2643265428</v>
      </c>
      <c r="F11" s="0" t="n">
        <f aca="false">F8+F10+F24</f>
        <v>4038.81886450265</v>
      </c>
      <c r="G11" s="0" t="n">
        <f aca="false">G8+G10+G24</f>
        <v>4216.30329211229</v>
      </c>
      <c r="H11" s="0" t="n">
        <f aca="false">H8+H10+H24</f>
        <v>4406.03694025734</v>
      </c>
      <c r="I11" s="0" t="n">
        <f aca="false">I8+I10+I24</f>
        <v>4555.69907669671</v>
      </c>
      <c r="J11" s="0" t="n">
        <f aca="false">J8+J10+J24</f>
        <v>4715.14854438109</v>
      </c>
      <c r="K11" s="0" t="n">
        <f aca="false">K8+K10+K24</f>
        <v>4851.70628868861</v>
      </c>
      <c r="L11" s="0" t="n">
        <f aca="false">L8+L10+L24</f>
        <v>4997.25747734926</v>
      </c>
    </row>
    <row r="12" customFormat="false" ht="15" hidden="false" customHeight="false" outlineLevel="0" collapsed="false">
      <c r="A12" s="0" t="s">
        <v>125</v>
      </c>
      <c r="C12" s="4" t="n">
        <f aca="false">-C6*Assumptions!C31/100</f>
        <v>-361.80043</v>
      </c>
      <c r="D12" s="4" t="n">
        <f aca="false">-D6*Assumptions!D31/100</f>
        <v>-395.7314433</v>
      </c>
      <c r="E12" s="4" t="n">
        <f aca="false">-E6*Assumptions!E31/100</f>
        <v>-430.514154369</v>
      </c>
      <c r="F12" s="4" t="n">
        <f aca="false">-F6*Assumptions!F31/100</f>
        <v>-465.8383926762</v>
      </c>
      <c r="G12" s="4" t="n">
        <f aca="false">-G6*Assumptions!G31/100</f>
        <v>-501.35857011776</v>
      </c>
      <c r="H12" s="4" t="n">
        <f aca="false">-H6*Assumptions!H31/100</f>
        <v>-536.698235182159</v>
      </c>
      <c r="I12" s="4" t="n">
        <f aca="false">-I6*Assumptions!I31/100</f>
        <v>-558.166164589445</v>
      </c>
      <c r="J12" s="4" t="n">
        <f aca="false">-J6*Assumptions!J31/100</f>
        <v>-577.701980350075</v>
      </c>
      <c r="K12" s="4" t="n">
        <f aca="false">-K6*Assumptions!K31/100</f>
        <v>-597.921549662328</v>
      </c>
      <c r="L12" s="4" t="n">
        <f aca="false">-L6*Assumptions!L31/100</f>
        <v>-615.859196152198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3068.458782</v>
      </c>
      <c r="D13" s="0" t="n">
        <f aca="false">D11+D12</f>
        <v>3215.83867608</v>
      </c>
      <c r="E13" s="0" t="n">
        <f aca="false">E11+E12</f>
        <v>3397.7501721738</v>
      </c>
      <c r="F13" s="0" t="n">
        <f aca="false">F11+F12</f>
        <v>3572.98047182645</v>
      </c>
      <c r="G13" s="0" t="n">
        <f aca="false">G11+G12</f>
        <v>3714.94472199453</v>
      </c>
      <c r="H13" s="0" t="n">
        <f aca="false">H11+H12</f>
        <v>3869.33870507518</v>
      </c>
      <c r="I13" s="0" t="n">
        <f aca="false">I11+I12</f>
        <v>3997.53291210726</v>
      </c>
      <c r="J13" s="0" t="n">
        <f aca="false">J11+J12</f>
        <v>4137.44656403102</v>
      </c>
      <c r="K13" s="0" t="n">
        <f aca="false">K11+K12</f>
        <v>4253.78473902628</v>
      </c>
      <c r="L13" s="0" t="n">
        <f aca="false">L11+L12</f>
        <v>4381.39828119706</v>
      </c>
    </row>
    <row r="14" customFormat="false" ht="15" hidden="false" customHeight="false" outlineLevel="0" collapsed="false">
      <c r="A14" s="0" t="s">
        <v>112</v>
      </c>
      <c r="C14" s="4" t="n">
        <f aca="false">Assumptions!C33</f>
        <v>27.8</v>
      </c>
      <c r="D14" s="4" t="n">
        <f aca="false">Assumptions!D33</f>
        <v>27.9</v>
      </c>
      <c r="E14" s="4" t="n">
        <f aca="false">Assumptions!E33</f>
        <v>28</v>
      </c>
      <c r="F14" s="4" t="n">
        <f aca="false">Assumptions!F33</f>
        <v>28.1</v>
      </c>
      <c r="G14" s="4" t="n">
        <f aca="false">Assumptions!G33</f>
        <v>28.2</v>
      </c>
      <c r="H14" s="4" t="n">
        <f aca="false">Assumptions!H33</f>
        <v>28.3</v>
      </c>
      <c r="I14" s="4" t="n">
        <f aca="false">Assumptions!I33</f>
        <v>28.4</v>
      </c>
      <c r="J14" s="4" t="n">
        <f aca="false">Assumptions!J33</f>
        <v>28.5</v>
      </c>
      <c r="K14" s="4" t="n">
        <f aca="false">Assumptions!K33</f>
        <v>28.6</v>
      </c>
      <c r="L14" s="4" t="n">
        <f aca="false">Assumptions!L33</f>
        <v>28.8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2215.427240604</v>
      </c>
      <c r="D15" s="0" t="n">
        <f aca="false">D13-MAX(0,D13)*D14/100</f>
        <v>2318.61968545368</v>
      </c>
      <c r="E15" s="0" t="n">
        <f aca="false">E13-MAX(0,E13)*E14/100</f>
        <v>2446.38012396514</v>
      </c>
      <c r="F15" s="0" t="n">
        <f aca="false">F13-MAX(0,F13)*F14/100</f>
        <v>2568.97295924322</v>
      </c>
      <c r="G15" s="0" t="n">
        <f aca="false">G13-MAX(0,G13)*G14/100</f>
        <v>2667.33031039207</v>
      </c>
      <c r="H15" s="0" t="n">
        <f aca="false">H13-MAX(0,H13)*H14/100</f>
        <v>2774.31585153891</v>
      </c>
      <c r="I15" s="0" t="n">
        <f aca="false">I13-MAX(0,I13)*I14/100</f>
        <v>2862.2335650688</v>
      </c>
      <c r="J15" s="0" t="n">
        <f aca="false">J13-MAX(0,J13)*J14/100</f>
        <v>2958.27429328218</v>
      </c>
      <c r="K15" s="0" t="n">
        <f aca="false">K13-MAX(0,K13)*K14/100</f>
        <v>3037.20230366476</v>
      </c>
      <c r="L15" s="0" t="n">
        <f aca="false">L13-MAX(0,L13)*L14/100</f>
        <v>3119.55557621231</v>
      </c>
    </row>
    <row r="16" customFormat="false" ht="15" hidden="false" customHeight="false" outlineLevel="0" collapsed="false">
      <c r="A16" s="0" t="s">
        <v>128</v>
      </c>
      <c r="C16" s="0" t="n">
        <f aca="false">-C12</f>
        <v>361.80043</v>
      </c>
      <c r="D16" s="0" t="n">
        <f aca="false">-D12</f>
        <v>395.7314433</v>
      </c>
      <c r="E16" s="0" t="n">
        <f aca="false">-E12</f>
        <v>430.514154369</v>
      </c>
      <c r="F16" s="0" t="n">
        <f aca="false">-F12</f>
        <v>465.8383926762</v>
      </c>
      <c r="G16" s="0" t="n">
        <f aca="false">-G12</f>
        <v>501.35857011776</v>
      </c>
      <c r="H16" s="0" t="n">
        <f aca="false">-H12</f>
        <v>536.698235182159</v>
      </c>
      <c r="I16" s="0" t="n">
        <f aca="false">-I12</f>
        <v>558.166164589445</v>
      </c>
      <c r="J16" s="0" t="n">
        <f aca="false">-J12</f>
        <v>577.701980350075</v>
      </c>
      <c r="K16" s="0" t="n">
        <f aca="false">-K12</f>
        <v>597.921549662328</v>
      </c>
      <c r="L16" s="0" t="n">
        <f aca="false">-L12</f>
        <v>615.859196152198</v>
      </c>
    </row>
    <row r="17" customFormat="false" ht="15" hidden="false" customHeight="false" outlineLevel="0" collapsed="false">
      <c r="A17" s="0" t="s">
        <v>129</v>
      </c>
      <c r="C17" s="4" t="n">
        <f aca="false">-C6*Assumptions!C32/100</f>
        <v>-625.81696</v>
      </c>
      <c r="D17" s="4" t="n">
        <f aca="false">-D6*Assumptions!D32/100</f>
        <v>-624.839121</v>
      </c>
      <c r="E17" s="4" t="n">
        <f aca="false">-E6*Assumptions!E32/100</f>
        <v>-618.174170376</v>
      </c>
      <c r="F17" s="4" t="n">
        <f aca="false">-F6*Assumptions!F32/100</f>
        <v>-605.58991047906</v>
      </c>
      <c r="G17" s="4" t="n">
        <f aca="false">-G6*Assumptions!G32/100</f>
        <v>-611.412890387513</v>
      </c>
      <c r="H17" s="4" t="n">
        <f aca="false">-H6*Assumptions!H32/100</f>
        <v>-638.926470454951</v>
      </c>
      <c r="I17" s="4" t="n">
        <f aca="false">-I6*Assumptions!I32/100</f>
        <v>-664.483529273149</v>
      </c>
      <c r="J17" s="4" t="n">
        <f aca="false">-J6*Assumptions!J32/100</f>
        <v>-687.740452797709</v>
      </c>
      <c r="K17" s="4" t="n">
        <f aca="false">-K6*Assumptions!K32/100</f>
        <v>-711.811368645629</v>
      </c>
      <c r="L17" s="4" t="n">
        <f aca="false">-L6*Assumptions!L32/100</f>
        <v>-733.165709704997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(C6-B6)*Assumptions!$B$37/100</f>
        <v>-290.6604</v>
      </c>
      <c r="D18" s="4" t="n">
        <f aca="false">(D6-C6)*Assumptions!$B$37/100</f>
        <v>-228.814326</v>
      </c>
      <c r="E18" s="4" t="n">
        <f aca="false">(E6-D6)*Assumptions!$B$37/100</f>
        <v>-224.94208356</v>
      </c>
      <c r="F18" s="4" t="n">
        <f aca="false">(F6-E6)*Assumptions!$B$37/100</f>
        <v>-218.5687245258</v>
      </c>
      <c r="G18" s="4" t="n">
        <f aca="false">(G6-F6)*Assumptions!$B$37/100</f>
        <v>-209.62727670429</v>
      </c>
      <c r="H18" s="4" t="n">
        <f aca="false">(H6-G6)*Assumptions!$B$37/100</f>
        <v>-198.097776485554</v>
      </c>
      <c r="I18" s="4" t="n">
        <f aca="false">(I6-H6)*Assumptions!$B$37/100</f>
        <v>-184.010823491026</v>
      </c>
      <c r="J18" s="4" t="n">
        <f aca="false">(J6-I6)*Assumptions!$B$37/100</f>
        <v>-167.449849376833</v>
      </c>
      <c r="K18" s="4" t="n">
        <f aca="false">(K6-J6)*Assumptions!$B$37/100</f>
        <v>-173.310594105022</v>
      </c>
      <c r="L18" s="4" t="n">
        <f aca="false">(L6-K6)*Assumptions!$B$37/100</f>
        <v>-153.751255627456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1660.750310604</v>
      </c>
      <c r="D19" s="0" t="n">
        <f aca="false">D15+D16+D17+D18</f>
        <v>1860.69768175368</v>
      </c>
      <c r="E19" s="0" t="n">
        <f aca="false">E15+E16+E17+E18</f>
        <v>2033.77802439814</v>
      </c>
      <c r="F19" s="0" t="n">
        <f aca="false">F15+F16+F17+F18</f>
        <v>2210.65271691456</v>
      </c>
      <c r="G19" s="0" t="n">
        <f aca="false">G15+G16+G17+G18</f>
        <v>2347.64871341803</v>
      </c>
      <c r="H19" s="0" t="n">
        <f aca="false">H15+H16+H17+H18</f>
        <v>2473.98983978056</v>
      </c>
      <c r="I19" s="0" t="n">
        <f aca="false">I15+I16+I17+I18</f>
        <v>2571.90537689407</v>
      </c>
      <c r="J19" s="0" t="n">
        <f aca="false">J15+J16+J17+J18</f>
        <v>2680.78597145771</v>
      </c>
      <c r="K19" s="0" t="n">
        <f aca="false">K15+K16+K17+K18</f>
        <v>2750.00189057644</v>
      </c>
      <c r="L19" s="0" t="n">
        <f aca="false">L15+L16+L17+L18</f>
        <v>2848.49780703206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1530.64544756129</v>
      </c>
      <c r="D21" s="0" t="n">
        <f aca="false">D19*D20</f>
        <v>1580.57948289722</v>
      </c>
      <c r="E21" s="0" t="n">
        <f aca="false">E19*E20</f>
        <v>1592.26128571175</v>
      </c>
      <c r="F21" s="0" t="n">
        <f aca="false">F19*F20</f>
        <v>1595.15015197263</v>
      </c>
      <c r="G21" s="0" t="n">
        <f aca="false">G19*G20</f>
        <v>1561.29303234765</v>
      </c>
      <c r="H21" s="0" t="n">
        <f aca="false">H19*H20</f>
        <v>1516.41992645913</v>
      </c>
      <c r="I21" s="0" t="n">
        <f aca="false">I19*I20</f>
        <v>1452.93711910155</v>
      </c>
      <c r="J21" s="0" t="n">
        <f aca="false">J19*J20</f>
        <v>1395.80335120585</v>
      </c>
      <c r="K21" s="0" t="n">
        <f aca="false">K19*K20</f>
        <v>1319.67001436554</v>
      </c>
      <c r="L21" s="0" t="n">
        <f aca="false">L19*L20</f>
        <v>1259.84903481486</v>
      </c>
    </row>
    <row r="23" customFormat="false" ht="15" hidden="false" customHeight="false" outlineLevel="0" collapsed="false">
      <c r="A23" s="0" t="s">
        <v>109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Assumptions!$B$34</f>
        <v>8.5</v>
      </c>
    </row>
    <row r="28" customFormat="false" ht="15" hidden="false" customHeight="false" outlineLevel="0" collapsed="false">
      <c r="A28" s="0" t="s">
        <v>114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115</v>
      </c>
      <c r="B29" s="4" t="n">
        <f aca="false">Assumptions!$B$36</f>
        <v>20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14804.6088464375</v>
      </c>
    </row>
    <row r="31" customFormat="false" ht="15" hidden="false" customHeight="false" outlineLevel="0" collapsed="false">
      <c r="A31" s="0" t="s">
        <v>137</v>
      </c>
      <c r="B31" s="0" t="n">
        <f aca="false">L19</f>
        <v>2848.49780703206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53344.5952953276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56969.9561406411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53344.5952953276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23593.5364701692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38398.1453166066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36577.1453166066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768.427422617787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-0.388043687042354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883.183727911542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1360.27687941672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815.558947981826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24449.6061770251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320.182142260678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Assumptions!C41</f>
        <v>9.5</v>
      </c>
      <c r="D5" s="4" t="n">
        <f aca="false">Assumptions!D41</f>
        <v>8</v>
      </c>
      <c r="E5" s="4" t="n">
        <f aca="false">Assumptions!E41</f>
        <v>7.5</v>
      </c>
      <c r="F5" s="4" t="n">
        <f aca="false">Assumptions!F41</f>
        <v>7</v>
      </c>
      <c r="G5" s="4" t="n">
        <f aca="false">Assumptions!G41</f>
        <v>6.5</v>
      </c>
      <c r="H5" s="4" t="n">
        <f aca="false">Assumptions!H41</f>
        <v>6</v>
      </c>
      <c r="I5" s="4" t="n">
        <f aca="false">Assumptions!I41</f>
        <v>5.5</v>
      </c>
      <c r="J5" s="4" t="n">
        <f aca="false">Assumptions!J41</f>
        <v>5</v>
      </c>
      <c r="K5" s="4" t="n">
        <f aca="false">Assumptions!K41</f>
        <v>4.5</v>
      </c>
      <c r="L5" s="4" t="n">
        <f aca="false">Assumptions!L41</f>
        <v>4</v>
      </c>
    </row>
    <row r="6" customFormat="false" ht="15" hidden="false" customHeight="false" outlineLevel="0" collapsed="false">
      <c r="A6" s="0" t="s">
        <v>37</v>
      </c>
      <c r="B6" s="3" t="n">
        <v>17942</v>
      </c>
      <c r="C6" s="0" t="n">
        <f aca="false">B6*(1+C5/100)</f>
        <v>19646.49</v>
      </c>
      <c r="D6" s="0" t="n">
        <f aca="false">C6*(1+D5/100)</f>
        <v>21218.2092</v>
      </c>
      <c r="E6" s="0" t="n">
        <f aca="false">D6*(1+E5/100)</f>
        <v>22809.57489</v>
      </c>
      <c r="F6" s="0" t="n">
        <f aca="false">E6*(1+F5/100)</f>
        <v>24406.2451323</v>
      </c>
      <c r="G6" s="0" t="n">
        <f aca="false">F6*(1+G5/100)</f>
        <v>25992.6510658995</v>
      </c>
      <c r="H6" s="0" t="n">
        <f aca="false">G6*(1+H5/100)</f>
        <v>27552.2101298535</v>
      </c>
      <c r="I6" s="0" t="n">
        <f aca="false">H6*(1+I5/100)</f>
        <v>29067.5816869954</v>
      </c>
      <c r="J6" s="0" t="n">
        <f aca="false">I6*(1+J5/100)</f>
        <v>30520.9607713452</v>
      </c>
      <c r="K6" s="0" t="n">
        <f aca="false">J6*(1+K5/100)</f>
        <v>31894.4040060557</v>
      </c>
      <c r="L6" s="0" t="n">
        <f aca="false">K6*(1+L5/100)</f>
        <v>33170.1801662979</v>
      </c>
    </row>
    <row r="7" customFormat="false" ht="15" hidden="false" customHeight="false" outlineLevel="0" collapsed="false">
      <c r="A7" s="0" t="s">
        <v>107</v>
      </c>
      <c r="C7" s="4" t="n">
        <f aca="false">Assumptions!C42</f>
        <v>18.3</v>
      </c>
      <c r="D7" s="4" t="n">
        <f aca="false">Assumptions!D42</f>
        <v>18.3</v>
      </c>
      <c r="E7" s="4" t="n">
        <f aca="false">Assumptions!E42</f>
        <v>18.4</v>
      </c>
      <c r="F7" s="4" t="n">
        <f aca="false">Assumptions!F42</f>
        <v>18.5</v>
      </c>
      <c r="G7" s="4" t="n">
        <f aca="false">Assumptions!G42</f>
        <v>18.6</v>
      </c>
      <c r="H7" s="4" t="n">
        <f aca="false">Assumptions!H42</f>
        <v>18.7</v>
      </c>
      <c r="I7" s="4" t="n">
        <f aca="false">Assumptions!I42</f>
        <v>18.8</v>
      </c>
      <c r="J7" s="4" t="n">
        <f aca="false">Assumptions!J42</f>
        <v>18.9</v>
      </c>
      <c r="K7" s="4" t="n">
        <f aca="false">Assumptions!K42</f>
        <v>19</v>
      </c>
      <c r="L7" s="4" t="n">
        <f aca="false">Assumptions!L42</f>
        <v>19</v>
      </c>
    </row>
    <row r="8" customFormat="false" ht="15" hidden="false" customHeight="false" outlineLevel="0" collapsed="false">
      <c r="A8" s="0" t="s">
        <v>43</v>
      </c>
      <c r="C8" s="0" t="n">
        <f aca="false">C6*C7/100</f>
        <v>3595.30767</v>
      </c>
      <c r="D8" s="0" t="n">
        <f aca="false">D6*D7/100</f>
        <v>3882.9322836</v>
      </c>
      <c r="E8" s="0" t="n">
        <f aca="false">E6*E7/100</f>
        <v>4196.96177976</v>
      </c>
      <c r="F8" s="0" t="n">
        <f aca="false">F6*F7/100</f>
        <v>4515.1553494755</v>
      </c>
      <c r="G8" s="0" t="n">
        <f aca="false">G6*G7/100</f>
        <v>4834.63309825731</v>
      </c>
      <c r="H8" s="0" t="n">
        <f aca="false">H6*H7/100</f>
        <v>5152.2632942826</v>
      </c>
      <c r="I8" s="0" t="n">
        <f aca="false">I6*I7/100</f>
        <v>5464.70535715514</v>
      </c>
      <c r="J8" s="0" t="n">
        <f aca="false">J6*J7/100</f>
        <v>5768.46158578424</v>
      </c>
      <c r="K8" s="0" t="n">
        <f aca="false">K6*K7/100</f>
        <v>6059.93676115058</v>
      </c>
      <c r="L8" s="0" t="n">
        <f aca="false">L6*L7/100</f>
        <v>6302.33423159661</v>
      </c>
    </row>
    <row r="9" customFormat="false" ht="15" hidden="false" customHeight="false" outlineLevel="0" collapsed="false">
      <c r="A9" s="0" t="s">
        <v>108</v>
      </c>
      <c r="C9" s="4" t="n">
        <f aca="false">Assumptions!C43</f>
        <v>0.56</v>
      </c>
      <c r="D9" s="4" t="n">
        <f aca="false">Assumptions!D43</f>
        <v>0.56</v>
      </c>
      <c r="E9" s="4" t="n">
        <f aca="false">Assumptions!E43</f>
        <v>0.56</v>
      </c>
      <c r="F9" s="4" t="n">
        <f aca="false">Assumptions!F43</f>
        <v>0.56</v>
      </c>
      <c r="G9" s="4" t="n">
        <f aca="false">Assumptions!G43</f>
        <v>0.56</v>
      </c>
      <c r="H9" s="4" t="n">
        <f aca="false">Assumptions!H43</f>
        <v>0.56</v>
      </c>
      <c r="I9" s="4" t="n">
        <f aca="false">Assumptions!I43</f>
        <v>0.56</v>
      </c>
      <c r="J9" s="4" t="n">
        <f aca="false">Assumptions!J43</f>
        <v>0.56</v>
      </c>
      <c r="K9" s="4" t="n">
        <f aca="false">Assumptions!K43</f>
        <v>0.56</v>
      </c>
      <c r="L9" s="4" t="n">
        <f aca="false">Assumptions!L43</f>
        <v>0.56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-110.020344</v>
      </c>
      <c r="D10" s="0" t="n">
        <f aca="false">-D6*D9/100</f>
        <v>-118.82197152</v>
      </c>
      <c r="E10" s="0" t="n">
        <f aca="false">-E6*E9/100</f>
        <v>-127.733619384</v>
      </c>
      <c r="F10" s="0" t="n">
        <f aca="false">-F6*F9/100</f>
        <v>-136.67497274088</v>
      </c>
      <c r="G10" s="0" t="n">
        <f aca="false">-G6*G9/100</f>
        <v>-145.558845969037</v>
      </c>
      <c r="H10" s="0" t="n">
        <f aca="false">-H6*H9/100</f>
        <v>-154.292376727179</v>
      </c>
      <c r="I10" s="0" t="n">
        <f aca="false">-I6*I9/100</f>
        <v>-162.778457447174</v>
      </c>
      <c r="J10" s="0" t="n">
        <f aca="false">-J6*J9/100</f>
        <v>-170.917380319533</v>
      </c>
      <c r="K10" s="0" t="n">
        <f aca="false">-K6*K9/100</f>
        <v>-178.608662433912</v>
      </c>
      <c r="L10" s="0" t="n">
        <f aca="false">-L6*L9/100</f>
        <v>-185.753008931268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3485.287326</v>
      </c>
      <c r="D11" s="0" t="n">
        <f aca="false">D8+D10+D24</f>
        <v>3764.11031208</v>
      </c>
      <c r="E11" s="0" t="n">
        <f aca="false">E8+E10+E24</f>
        <v>4069.228160376</v>
      </c>
      <c r="F11" s="0" t="n">
        <f aca="false">F8+F10+F24</f>
        <v>4378.48037673462</v>
      </c>
      <c r="G11" s="0" t="n">
        <f aca="false">G8+G10+G24</f>
        <v>4689.07425228827</v>
      </c>
      <c r="H11" s="0" t="n">
        <f aca="false">H8+H10+H24</f>
        <v>4997.97091755542</v>
      </c>
      <c r="I11" s="0" t="n">
        <f aca="false">I8+I10+I24</f>
        <v>5301.92689970796</v>
      </c>
      <c r="J11" s="0" t="n">
        <f aca="false">J8+J10+J24</f>
        <v>5597.54420546471</v>
      </c>
      <c r="K11" s="0" t="n">
        <f aca="false">K8+K10+K24</f>
        <v>5881.32809871667</v>
      </c>
      <c r="L11" s="0" t="n">
        <f aca="false">L8+L10+L24</f>
        <v>6116.58122266534</v>
      </c>
    </row>
    <row r="12" customFormat="false" ht="15" hidden="false" customHeight="false" outlineLevel="0" collapsed="false">
      <c r="A12" s="0" t="s">
        <v>125</v>
      </c>
      <c r="C12" s="4" t="n">
        <f aca="false">-C6*Assumptions!C45/100</f>
        <v>-363.460065</v>
      </c>
      <c r="D12" s="4" t="n">
        <f aca="false">-D6*Assumptions!D45/100</f>
        <v>-403.1459748</v>
      </c>
      <c r="E12" s="4" t="n">
        <f aca="false">-E6*Assumptions!E45/100</f>
        <v>-444.786710355</v>
      </c>
      <c r="F12" s="4" t="n">
        <f aca="false">-F6*Assumptions!F45/100</f>
        <v>-488.124902646</v>
      </c>
      <c r="G12" s="4" t="n">
        <f aca="false">-G6*Assumptions!G45/100</f>
        <v>-532.84934685094</v>
      </c>
      <c r="H12" s="4" t="n">
        <f aca="false">-H6*Assumptions!H45/100</f>
        <v>-578.596412726923</v>
      </c>
      <c r="I12" s="4" t="n">
        <f aca="false">-I6*Assumptions!I45/100</f>
        <v>-610.419215426904</v>
      </c>
      <c r="J12" s="4" t="n">
        <f aca="false">-J6*Assumptions!J45/100</f>
        <v>-640.940176198249</v>
      </c>
      <c r="K12" s="4" t="n">
        <f aca="false">-K6*Assumptions!K45/100</f>
        <v>-669.78248412717</v>
      </c>
      <c r="L12" s="4" t="n">
        <f aca="false">-L6*Assumptions!L45/100</f>
        <v>-696.573783492257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3121.827261</v>
      </c>
      <c r="D13" s="0" t="n">
        <f aca="false">D11+D12</f>
        <v>3360.96433728</v>
      </c>
      <c r="E13" s="0" t="n">
        <f aca="false">E11+E12</f>
        <v>3624.441450021</v>
      </c>
      <c r="F13" s="0" t="n">
        <f aca="false">F11+F12</f>
        <v>3890.35547408862</v>
      </c>
      <c r="G13" s="0" t="n">
        <f aca="false">G11+G12</f>
        <v>4156.22490543733</v>
      </c>
      <c r="H13" s="0" t="n">
        <f aca="false">H11+H12</f>
        <v>4419.3745048285</v>
      </c>
      <c r="I13" s="0" t="n">
        <f aca="false">I11+I12</f>
        <v>4691.50768428106</v>
      </c>
      <c r="J13" s="0" t="n">
        <f aca="false">J11+J12</f>
        <v>4956.60402926646</v>
      </c>
      <c r="K13" s="0" t="n">
        <f aca="false">K11+K12</f>
        <v>5211.5456145895</v>
      </c>
      <c r="L13" s="0" t="n">
        <f aca="false">L11+L12</f>
        <v>5420.00743917308</v>
      </c>
    </row>
    <row r="14" customFormat="false" ht="15" hidden="false" customHeight="false" outlineLevel="0" collapsed="false">
      <c r="A14" s="0" t="s">
        <v>112</v>
      </c>
      <c r="C14" s="4" t="n">
        <f aca="false">Assumptions!C47</f>
        <v>27.8</v>
      </c>
      <c r="D14" s="4" t="n">
        <f aca="false">Assumptions!D47</f>
        <v>28</v>
      </c>
      <c r="E14" s="4" t="n">
        <f aca="false">Assumptions!E47</f>
        <v>28.2</v>
      </c>
      <c r="F14" s="4" t="n">
        <f aca="false">Assumptions!F47</f>
        <v>28.4</v>
      </c>
      <c r="G14" s="4" t="n">
        <f aca="false">Assumptions!G47</f>
        <v>28.6</v>
      </c>
      <c r="H14" s="4" t="n">
        <f aca="false">Assumptions!H47</f>
        <v>28.8</v>
      </c>
      <c r="I14" s="4" t="n">
        <f aca="false">Assumptions!I47</f>
        <v>29</v>
      </c>
      <c r="J14" s="4" t="n">
        <f aca="false">Assumptions!J47</f>
        <v>29.2</v>
      </c>
      <c r="K14" s="4" t="n">
        <f aca="false">Assumptions!K47</f>
        <v>29.4</v>
      </c>
      <c r="L14" s="4" t="n">
        <f aca="false">Assumptions!L47</f>
        <v>29.5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2253.959282442</v>
      </c>
      <c r="D15" s="0" t="n">
        <f aca="false">D13-MAX(0,D13)*D14/100</f>
        <v>2419.8943228416</v>
      </c>
      <c r="E15" s="0" t="n">
        <f aca="false">E13-MAX(0,E13)*E14/100</f>
        <v>2602.34896111508</v>
      </c>
      <c r="F15" s="0" t="n">
        <f aca="false">F13-MAX(0,F13)*F14/100</f>
        <v>2785.49451944745</v>
      </c>
      <c r="G15" s="0" t="n">
        <f aca="false">G13-MAX(0,G13)*G14/100</f>
        <v>2967.54458248225</v>
      </c>
      <c r="H15" s="0" t="n">
        <f aca="false">H13-MAX(0,H13)*H14/100</f>
        <v>3146.59464743789</v>
      </c>
      <c r="I15" s="0" t="n">
        <f aca="false">I13-MAX(0,I13)*I14/100</f>
        <v>3330.97045583955</v>
      </c>
      <c r="J15" s="0" t="n">
        <f aca="false">J13-MAX(0,J13)*J14/100</f>
        <v>3509.27565272065</v>
      </c>
      <c r="K15" s="0" t="n">
        <f aca="false">K13-MAX(0,K13)*K14/100</f>
        <v>3679.35120390019</v>
      </c>
      <c r="L15" s="0" t="n">
        <f aca="false">L13-MAX(0,L13)*L14/100</f>
        <v>3821.10524461702</v>
      </c>
    </row>
    <row r="16" customFormat="false" ht="15" hidden="false" customHeight="false" outlineLevel="0" collapsed="false">
      <c r="A16" s="0" t="s">
        <v>128</v>
      </c>
      <c r="C16" s="0" t="n">
        <f aca="false">-C12</f>
        <v>363.460065</v>
      </c>
      <c r="D16" s="0" t="n">
        <f aca="false">-D12</f>
        <v>403.1459748</v>
      </c>
      <c r="E16" s="0" t="n">
        <f aca="false">-E12</f>
        <v>444.786710355</v>
      </c>
      <c r="F16" s="0" t="n">
        <f aca="false">-F12</f>
        <v>488.124902646</v>
      </c>
      <c r="G16" s="0" t="n">
        <f aca="false">-G12</f>
        <v>532.84934685094</v>
      </c>
      <c r="H16" s="0" t="n">
        <f aca="false">-H12</f>
        <v>578.596412726923</v>
      </c>
      <c r="I16" s="0" t="n">
        <f aca="false">-I12</f>
        <v>610.419215426904</v>
      </c>
      <c r="J16" s="0" t="n">
        <f aca="false">-J12</f>
        <v>640.940176198249</v>
      </c>
      <c r="K16" s="0" t="n">
        <f aca="false">-K12</f>
        <v>669.78248412717</v>
      </c>
      <c r="L16" s="0" t="n">
        <f aca="false">-L12</f>
        <v>696.573783492257</v>
      </c>
    </row>
    <row r="17" customFormat="false" ht="15" hidden="false" customHeight="false" outlineLevel="0" collapsed="false">
      <c r="A17" s="0" t="s">
        <v>129</v>
      </c>
      <c r="C17" s="4" t="n">
        <f aca="false">-C6*Assumptions!C46/100</f>
        <v>-628.68768</v>
      </c>
      <c r="D17" s="4" t="n">
        <f aca="false">-D6*Assumptions!D46/100</f>
        <v>-636.546276</v>
      </c>
      <c r="E17" s="4" t="n">
        <f aca="false">-E6*Assumptions!E46/100</f>
        <v>-638.66809692</v>
      </c>
      <c r="F17" s="4" t="n">
        <f aca="false">-F6*Assumptions!F46/100</f>
        <v>-634.5623734398</v>
      </c>
      <c r="G17" s="4" t="n">
        <f aca="false">-G6*Assumptions!G46/100</f>
        <v>-649.816276647487</v>
      </c>
      <c r="H17" s="4" t="n">
        <f aca="false">-H6*Assumptions!H46/100</f>
        <v>-688.805253246337</v>
      </c>
      <c r="I17" s="4" t="n">
        <f aca="false">-I6*Assumptions!I46/100</f>
        <v>-726.689542174885</v>
      </c>
      <c r="J17" s="4" t="n">
        <f aca="false">-J6*Assumptions!J46/100</f>
        <v>-763.024019283629</v>
      </c>
      <c r="K17" s="4" t="n">
        <f aca="false">-K6*Assumptions!K46/100</f>
        <v>-797.360100151393</v>
      </c>
      <c r="L17" s="4" t="n">
        <f aca="false">-L6*Assumptions!L46/100</f>
        <v>-829.254504157448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(C6-B6)*Assumptions!$B$51/100</f>
        <v>-306.8082</v>
      </c>
      <c r="D18" s="4" t="n">
        <f aca="false">(D6-C6)*Assumptions!$B$51/100</f>
        <v>-282.909456</v>
      </c>
      <c r="E18" s="4" t="n">
        <f aca="false">(E6-D6)*Assumptions!$B$51/100</f>
        <v>-286.4458242</v>
      </c>
      <c r="F18" s="4" t="n">
        <f aca="false">(F6-E6)*Assumptions!$B$51/100</f>
        <v>-287.400643614</v>
      </c>
      <c r="G18" s="4" t="n">
        <f aca="false">(G6-F6)*Assumptions!$B$51/100</f>
        <v>-285.553068047909</v>
      </c>
      <c r="H18" s="4" t="n">
        <f aca="false">(H6-G6)*Assumptions!$B$51/100</f>
        <v>-280.720631511715</v>
      </c>
      <c r="I18" s="4" t="n">
        <f aca="false">(I6-H6)*Assumptions!$B$51/100</f>
        <v>-272.766880285549</v>
      </c>
      <c r="J18" s="4" t="n">
        <f aca="false">(J6-I6)*Assumptions!$B$51/100</f>
        <v>-261.608235182959</v>
      </c>
      <c r="K18" s="4" t="n">
        <f aca="false">(K6-J6)*Assumptions!$B$51/100</f>
        <v>-247.219782247896</v>
      </c>
      <c r="L18" s="4" t="n">
        <f aca="false">(L6-K6)*Assumptions!$B$51/100</f>
        <v>-229.639708843601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1681.923467442</v>
      </c>
      <c r="D19" s="0" t="n">
        <f aca="false">D15+D16+D17+D18</f>
        <v>1903.5845656416</v>
      </c>
      <c r="E19" s="0" t="n">
        <f aca="false">E15+E16+E17+E18</f>
        <v>2122.02175035008</v>
      </c>
      <c r="F19" s="0" t="n">
        <f aca="false">F15+F16+F17+F18</f>
        <v>2351.65640503965</v>
      </c>
      <c r="G19" s="0" t="n">
        <f aca="false">G15+G16+G17+G18</f>
        <v>2565.0245846378</v>
      </c>
      <c r="H19" s="0" t="n">
        <f aca="false">H15+H16+H17+H18</f>
        <v>2755.66517540676</v>
      </c>
      <c r="I19" s="0" t="n">
        <f aca="false">I15+I16+I17+I18</f>
        <v>2941.93324880602</v>
      </c>
      <c r="J19" s="0" t="n">
        <f aca="false">J15+J16+J17+J18</f>
        <v>3125.58357445231</v>
      </c>
      <c r="K19" s="0" t="n">
        <f aca="false">K15+K16+K17+K18</f>
        <v>3304.55380562807</v>
      </c>
      <c r="L19" s="0" t="n">
        <f aca="false">L15+L16+L17+L18</f>
        <v>3458.78481510823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1550.15987782673</v>
      </c>
      <c r="D21" s="0" t="n">
        <f aca="false">D19*D20</f>
        <v>1617.00997315008</v>
      </c>
      <c r="E21" s="0" t="n">
        <f aca="false">E19*E20</f>
        <v>1661.34801339523</v>
      </c>
      <c r="F21" s="0" t="n">
        <f aca="false">F19*F20</f>
        <v>1696.89478731064</v>
      </c>
      <c r="G21" s="0" t="n">
        <f aca="false">G19*G20</f>
        <v>1705.85786063569</v>
      </c>
      <c r="H21" s="0" t="n">
        <f aca="false">H19*H20</f>
        <v>1689.07144057105</v>
      </c>
      <c r="I21" s="0" t="n">
        <f aca="false">I19*I20</f>
        <v>1661.97561446497</v>
      </c>
      <c r="J21" s="0" t="n">
        <f aca="false">J19*J20</f>
        <v>1627.39587350282</v>
      </c>
      <c r="K21" s="0" t="n">
        <f aca="false">K19*K20</f>
        <v>1585.78820730585</v>
      </c>
      <c r="L21" s="0" t="n">
        <f aca="false">L19*L20</f>
        <v>1529.77007747346</v>
      </c>
    </row>
    <row r="23" customFormat="false" ht="15" hidden="false" customHeight="false" outlineLevel="0" collapsed="false">
      <c r="A23" s="0" t="s">
        <v>109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Assumptions!$B$48</f>
        <v>8.5</v>
      </c>
    </row>
    <row r="28" customFormat="false" ht="15" hidden="false" customHeight="false" outlineLevel="0" collapsed="false">
      <c r="A28" s="0" t="s">
        <v>114</v>
      </c>
      <c r="B28" s="4" t="n">
        <f aca="false">Assumptions!$B$49</f>
        <v>3.5</v>
      </c>
    </row>
    <row r="29" customFormat="false" ht="15" hidden="false" customHeight="false" outlineLevel="0" collapsed="false">
      <c r="A29" s="0" t="s">
        <v>115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16325.2717256365</v>
      </c>
    </row>
    <row r="31" customFormat="false" ht="15" hidden="false" customHeight="false" outlineLevel="0" collapsed="false">
      <c r="A31" s="0" t="s">
        <v>137</v>
      </c>
      <c r="B31" s="0" t="n">
        <f aca="false">L19</f>
        <v>3458.78481510823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71596.8456727404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69175.6963021646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69175.6963021646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30595.4015494691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46920.6732751056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45099.6732751056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947.472127628269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-0.245456977734736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941.151832009446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1700.62602564503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1002.97166245294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31129.0633359741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376.135822396934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2" t="s">
        <v>154</v>
      </c>
      <c r="B3" s="2" t="s">
        <v>155</v>
      </c>
      <c r="C3" s="2" t="s">
        <v>145</v>
      </c>
      <c r="D3" s="2" t="s">
        <v>156</v>
      </c>
      <c r="E3" s="2" t="s">
        <v>148</v>
      </c>
      <c r="F3" s="2" t="s">
        <v>157</v>
      </c>
    </row>
    <row r="4" customFormat="false" ht="15" hidden="false" customHeight="false" outlineLevel="0" collapsed="false">
      <c r="A4" s="0" t="s">
        <v>158</v>
      </c>
      <c r="B4" s="4" t="n">
        <f aca="false">DCF_Bear!$B$38</f>
        <v>518.128071159154</v>
      </c>
      <c r="C4" s="0" t="n">
        <f aca="false">B4/Assumptions!$B$2-1</f>
        <v>-0.587375808392873</v>
      </c>
      <c r="D4" s="4" t="n">
        <f aca="false">Assumptions!$B$24</f>
        <v>0.2</v>
      </c>
      <c r="E4" s="4" t="n">
        <f aca="false">DCF_Bear!$B$43</f>
        <v>556.455744280201</v>
      </c>
      <c r="F4" s="4" t="n">
        <f aca="false">DCF_Bear!$B$47</f>
        <v>248.448668196631</v>
      </c>
    </row>
    <row r="5" customFormat="false" ht="15" hidden="false" customHeight="false" outlineLevel="0" collapsed="false">
      <c r="A5" s="0" t="s">
        <v>159</v>
      </c>
      <c r="B5" s="4" t="n">
        <f aca="false">DCF_Base!$B$38</f>
        <v>768.427422617787</v>
      </c>
      <c r="C5" s="0" t="n">
        <f aca="false">B5/Assumptions!$B$2-1</f>
        <v>-0.388043687042354</v>
      </c>
      <c r="D5" s="4" t="n">
        <f aca="false">Assumptions!$B$38</f>
        <v>0.5</v>
      </c>
      <c r="E5" s="4" t="n">
        <f aca="false">DCF_Base!$B$43</f>
        <v>815.558947981826</v>
      </c>
      <c r="F5" s="4" t="n">
        <f aca="false">DCF_Base!$B$47</f>
        <v>320.182142260678</v>
      </c>
    </row>
    <row r="6" customFormat="false" ht="15" hidden="false" customHeight="false" outlineLevel="0" collapsed="false">
      <c r="A6" s="0" t="s">
        <v>160</v>
      </c>
      <c r="B6" s="4" t="n">
        <f aca="false">DCF_Bull!$B$38</f>
        <v>947.472127628269</v>
      </c>
      <c r="C6" s="0" t="n">
        <f aca="false">B6/Assumptions!$B$2-1</f>
        <v>-0.245456977734736</v>
      </c>
      <c r="D6" s="4" t="n">
        <f aca="false">Assumptions!$B$52</f>
        <v>0.3</v>
      </c>
      <c r="E6" s="4" t="n">
        <f aca="false">DCF_Bull!$B$43</f>
        <v>1002.97166245294</v>
      </c>
      <c r="F6" s="4" t="n">
        <f aca="false">DCF_Bull!$B$47</f>
        <v>376.135822396934</v>
      </c>
    </row>
    <row r="8" customFormat="false" ht="15" hidden="false" customHeight="false" outlineLevel="0" collapsed="false">
      <c r="A8" s="0" t="s">
        <v>161</v>
      </c>
      <c r="B8" s="0" t="n">
        <f aca="false">SUMPRODUCT(B4:B6,D4:D6)</f>
        <v>772.080963829205</v>
      </c>
    </row>
    <row r="9" customFormat="false" ht="15" hidden="false" customHeight="false" outlineLevel="0" collapsed="false">
      <c r="A9" s="0" t="s">
        <v>162</v>
      </c>
      <c r="B9" s="0" t="n">
        <f aca="false">SUMPRODUCT(E4:E6,D4:D6)</f>
        <v>819.962121582836</v>
      </c>
    </row>
    <row r="10" customFormat="false" ht="15" hidden="false" customHeight="false" outlineLevel="0" collapsed="false">
      <c r="A10" s="0" t="s">
        <v>163</v>
      </c>
      <c r="B10" s="0" t="n">
        <f aca="false">1-Assumptions!$B$2/B8</f>
        <v>-0.626370884437162</v>
      </c>
    </row>
    <row r="11" customFormat="false" ht="15" hidden="false" customHeight="false" outlineLevel="0" collapsed="false">
      <c r="A11" s="0" t="s">
        <v>164</v>
      </c>
      <c r="B11" s="0" t="n">
        <f aca="false">IF(ABS(B9-B8)&gt;0.01*ABS(B8),(Assumptions!$B$2-B8)/(B9-B8)*100,"n/a")</f>
        <v>1010.0195126007</v>
      </c>
    </row>
    <row r="12" customFormat="false" ht="15" hidden="false" customHeight="false" outlineLevel="0" collapsed="false">
      <c r="A12" s="0" t="s">
        <v>165</v>
      </c>
      <c r="B12" s="0" t="n">
        <f aca="false">SUMPRODUCT(F4:F6,D4:D6)</f>
        <v>322.621551488745</v>
      </c>
    </row>
    <row r="14" customFormat="false" ht="15" hidden="false" customHeight="false" outlineLevel="0" collapsed="false">
      <c r="A14" s="2" t="s">
        <v>166</v>
      </c>
      <c r="C14" s="0" t="s">
        <v>167</v>
      </c>
    </row>
    <row r="15" customFormat="false" ht="15" hidden="false" customHeight="false" outlineLevel="0" collapsed="false">
      <c r="A15" s="0" t="s">
        <v>168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768.427422617787</v>
      </c>
      <c r="C15" s="3" t="n">
        <v>8.5</v>
      </c>
    </row>
    <row r="16" customFormat="false" ht="15" hidden="false" customHeight="false" outlineLevel="0" collapsed="false">
      <c r="A16" s="0" t="s">
        <v>169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699.233689452319</v>
      </c>
      <c r="C16" s="3" t="n">
        <v>9</v>
      </c>
    </row>
    <row r="17" customFormat="false" ht="15" hidden="false" customHeight="false" outlineLevel="0" collapsed="false">
      <c r="A17" s="0" t="s">
        <v>170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590.610525486307</v>
      </c>
      <c r="C17" s="3" t="n">
        <v>10</v>
      </c>
    </row>
    <row r="18" customFormat="false" ht="15" hidden="false" customHeight="false" outlineLevel="0" collapsed="false">
      <c r="A18" s="0" t="s">
        <v>171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509.265026535311</v>
      </c>
      <c r="C18" s="3" t="n">
        <v>11</v>
      </c>
    </row>
    <row r="19" customFormat="false" ht="15" hidden="false" customHeight="false" outlineLevel="0" collapsed="false">
      <c r="A19" s="0" t="s">
        <v>172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446.098364903154</v>
      </c>
      <c r="C19" s="3" t="n">
        <v>12</v>
      </c>
    </row>
    <row r="20" customFormat="false" ht="15" hidden="false" customHeight="false" outlineLevel="0" collapsed="false">
      <c r="A20" s="0" t="s">
        <v>173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320.182142260678</v>
      </c>
      <c r="C20" s="3" t="n">
        <v>15</v>
      </c>
    </row>
    <row r="22" customFormat="false" ht="15" hidden="false" customHeight="false" outlineLevel="0" collapsed="false">
      <c r="A22" s="2" t="s">
        <v>174</v>
      </c>
    </row>
    <row r="23" customFormat="false" ht="15" hidden="false" customHeight="false" outlineLevel="0" collapsed="false">
      <c r="B23" s="3" t="n">
        <v>2</v>
      </c>
      <c r="C23" s="3" t="n">
        <v>2.5</v>
      </c>
      <c r="D23" s="3" t="n">
        <v>3</v>
      </c>
      <c r="E23" s="3" t="n">
        <v>3.5</v>
      </c>
      <c r="F23" s="3" t="n">
        <v>4</v>
      </c>
    </row>
    <row r="24" customFormat="false" ht="15" hidden="false" customHeight="false" outlineLevel="0" collapsed="false">
      <c r="A24" s="3" t="n">
        <v>6.5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943.106709041237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943.106709041237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943.106709041237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943.106709041237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943.106709041237</v>
      </c>
    </row>
    <row r="25" customFormat="false" ht="15" hidden="false" customHeight="false" outlineLevel="0" collapsed="false">
      <c r="A25" s="3" t="n">
        <v>7.5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827.011530453015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869.244497320914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869.244497320914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869.244497320914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869.244497320914</v>
      </c>
    </row>
    <row r="26" customFormat="false" ht="15" hidden="false" customHeight="false" outlineLevel="0" collapsed="false">
      <c r="A26" s="3" t="n">
        <v>8.5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688.099738374141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724.916593652478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768.427422617787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802.113225687703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802.113225687703</v>
      </c>
    </row>
    <row r="27" customFormat="false" ht="15" hidden="false" customHeight="false" outlineLevel="0" collapsed="false">
      <c r="A27" s="3" t="n">
        <v>9.5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586.486528243401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611.668664242937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640.724975011633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674.624004241778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714.68649333195</v>
      </c>
    </row>
    <row r="28" customFormat="false" ht="15" hidden="false" customHeight="false" outlineLevel="0" collapsed="false">
      <c r="A28" s="3" t="n">
        <v>10.5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508.992467667739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526.907167102832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547.21049312927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570.414294302343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597.187911040503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2026-09-28T21:08:40Z</dcterms:created>
  <dc:creator>openpyxl</dc:creator>
  <dc:description/>
  <dc:language>en-NZ</dc:language>
  <cp:lastModifiedBy/>
  <dcterms:modified xsi:type="dcterms:W3CDTF">2026-09-28T21:08:40Z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