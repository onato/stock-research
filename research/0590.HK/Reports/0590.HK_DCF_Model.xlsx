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<sst xmlns="http://schemas.openxmlformats.org/spreadsheetml/2006/main" count="356" uniqueCount="164">
  <si>
    <t xml:space="preserve">Ticker</t>
  </si>
  <si>
    <t xml:space="preserve">0590.HK</t>
  </si>
  <si>
    <t xml:space="preserve">Company</t>
  </si>
  <si>
    <t xml:space="preserve">Luk Fook Holdings (International) Limited</t>
  </si>
  <si>
    <t xml:space="preserve">Valuation date</t>
  </si>
  <si>
    <t xml:space="preserve">2026-10-11</t>
  </si>
  <si>
    <t xml:space="preserve">Current price</t>
  </si>
  <si>
    <t xml:space="preserve">Price as of</t>
  </si>
  <si>
    <t xml:space="preserve">2026-10-09T08:08:06Z (HKEX regular close, Friday; Yahoo chart API)</t>
  </si>
  <si>
    <t xml:space="preserve">Balance sheet date</t>
  </si>
  <si>
    <t xml:space="preserve">2026-03-31</t>
  </si>
  <si>
    <t xml:space="preserve">Model</t>
  </si>
  <si>
    <t xml:space="preserve">owner_fcf_dcf_component</t>
  </si>
  <si>
    <t xml:space="preserve">Currency (model)</t>
  </si>
  <si>
    <t xml:space="preserve">HKD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</si>
  <si>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</si>
  <si>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</si>
  <si>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</si>
  <si>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</si>
  <si>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</si>
  <si>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</si>
  <si>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2026-10-11T02:20:06Z</t>
  </si>
  <si>
    <t xml:space="preserve">Drivers file</t>
  </si>
  <si>
    <t xml:space="preserve">0590.HK_Drivers.json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</si>
  <si>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</si>
  <si>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</si>
  <si>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</si>
  <si>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gold retailer's reported earnings overstate owner cash flow whenever gold rises, because the inventory (85% of revenue, ~500 days) must be refinanced at higher prices. The model values Luk Fook on a mid-cycle margin with that inventory reinvestment charged explicitly, leases charged as an operating cost, and gold loans treated as debt, rather than on FY2026's peak profit.
key_risks_to_valuation: Gold price direction: drives revenue, gross margin (holding gains/losses on fixed-price stock) and hedging gains/losses (HK$840m net loss in FY2026) simultaneously; Working-capital capture: a -75% capture on revenue growth is the single largest driver of owner FCF; a more inventory-light model (or faster turns) would lift value materially; Mainland franchise attrition and the Nov-2025 VAT reform on Mainland jewellery margins; HK/Macao tourist flows and per-capita spend; Leverage: bank + gold loans rose 91% in FY2026 to HK$4.2bn to fund inventory</t>
  </si>
  <si>
    <t xml:space="preserve">Data sources</t>
  </si>
  <si>
    <t xml:space="preserve">price: Yahoo Finance chart API at inputs.price_as_of; 52-week range 19.51-34.50
financials: 0590.HK_Metrics.csv / core_metrics and kpis (HK$ thousands, converted to millions); FY2026 annual report (Extracted/0590.HK_Annual_FY2025.txt): income statement line ~6460, balance sheet ~6556-6620, cash-flow statement ~6740-6775, segment D&amp;A and hedging lines ~8257-8262, 3DG 71% stake line 12194
qualitative: 0590.HK_Analysis.json (2026-10-11): guidance, Citi/CICC FY2027 views, VAT reform, franchise network trends</t>
  </si>
  <si>
    <t xml:space="preserve">Scenario narrative: bear</t>
  </si>
  <si>
    <t xml:space="preserve">Gold retraces and Mainland stays weak: revenue -10% / -5% in FY2027-28, margins back to the FY2025 trough (~10.5-11% EBIT), sticky store leases, continued franchise attrition.</t>
  </si>
  <si>
    <t xml:space="preserve">Scenario narrative: base</t>
  </si>
  <si>
    <t xml:space="preserve">Mid-cycle normalisation from a gold-price peak: FY2027 revenue +6% with profit ~flat, FY2028 flat, then ~3% nominal growth; EBIT margin 14.8% -&gt; 12.5% (FY2018-26 average 12.7%). Gold inventory reinvestment (75% of every revenue dollar added) keeps owner FCF well below net income.</t>
  </si>
  <si>
    <t xml:space="preserve">Scenario narrative: bull</t>
  </si>
  <si>
    <t xml:space="preserve">Gold stays high and the VAT-driven tourist shift, fixed-price mix and 3DG/overseas growth deliver management's double-digit guidance; revenue +12% FY2027, ~4-5% thereafter, EBIT margin ~14.5% sustained.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</si>
  <si>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</si>
  <si>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</si>
  <si>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</si>
  <si>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</si>
  <si>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</si>
  <si>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</si>
  <si>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</si>
  <si>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</si>
  <si>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</si>
  <si>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</si>
  <si>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</si>
  <si>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</si>
  <si>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</si>
  <si>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</si>
  <si>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</si>
  <si>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</si>
  <si>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</si>
  <si>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</si>
  <si>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</si>
  <si>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</si>
  <si>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</si>
  <si>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</si>
  <si>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</si>
  <si>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</si>
  <si>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</si>
  <si>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</si>
  <si>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</si>
  <si>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FY2018</t>
  </si>
  <si>
    <t xml:space="preserve">thousands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</si>
  <si>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</si>
  <si>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</si>
  <si>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</si>
  <si>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</si>
  <si>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</si>
  <si>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</si>
  <si>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</si>
  <si>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</si>
  <si>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</si>
  <si>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</si>
  <si>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</si>
  <si>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</si>
  <si>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</si>
  <si>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</si>
  <si>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</si>
  <si>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</si>
  <si>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</si>
  <si>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</si>
  <si>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HKD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</si>
  <si>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</si>
  <si>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</si>
  <si>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</si>
  <si>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</si>
  <si>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</si>
  <si>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</si>
  <si>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</si>
  <si>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</si>
  <si>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</si>
  <si>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</si>
  <si>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</si>
  <si>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</si>
  <si>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</si>
  <si>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</si>
  <si>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</si>
  <si>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</si>
  <si>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</si>
  <si>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</si>
  <si>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</si>
  <si>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</si>
  <si>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</si>
  <si>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</si>
  <si>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</si>
  <si>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</si>
  <si>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</si>
  <si>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</si>
  <si>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0590.HK owner-FCF component DCF: bear case (millions, HKD)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</si>
  <si>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</si>
  <si>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</si>
  <si>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</si>
  <si>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</si>
  <si>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</si>
  <si>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</si>
  <si>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</si>
  <si>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</si>
  <si>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</si>
  <si>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</si>
  <si>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</si>
  <si>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</si>
  <si>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</si>
  <si>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</si>
  <si>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</si>
  <si>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</si>
  <si>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</si>
  <si>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</si>
  <si>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</si>
  <si>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</si>
  <si>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</si>
  <si>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</si>
  <si>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</si>
  <si>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</si>
  <si>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</si>
  <si>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</si>
  <si>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</si>
  <si>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</si>
  <si>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</si>
  <si>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</si>
  <si>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0590.HK owner-FCF component DCF: base case (millions, HKD)</t>
  </si>
  <si>
    <t xml:space="preserve">0590.HK owner-FCF component DCF: bull case (millions, HKD)</t>
  </si>
  <si>
    <t xml:space="preserve">0590.HK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</si>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</sst>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22.44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B2" s="0" t="n">
        <v>14578409</v>
      </c>
      <c r="C2" s="0" t="n">
        <v>-10837032</v>
      </c>
      <c r="D2" s="0" t="n">
        <v>3741377</v>
      </c>
      <c r="E2" s="0" t="n">
        <v>25.7</v>
      </c>
      <c r="F2" s="0" t="n">
        <v>1620806</v>
      </c>
      <c r="G2" s="0" t="n">
        <v>11.1</v>
      </c>
      <c r="I2" s="0" t="n">
        <v>1369393</v>
      </c>
      <c r="J2" s="0" t="n">
        <v>9.4</v>
      </c>
      <c r="K2" s="0" t="n">
        <v>2.33</v>
      </c>
      <c r="L2" s="0" t="n">
        <v>469837</v>
      </c>
      <c r="M2" s="0" t="n">
        <v>212703</v>
      </c>
      <c r="N2" s="0" t="n">
        <v>257134</v>
      </c>
      <c r="O2" s="0" t="n">
        <v>10034769</v>
      </c>
      <c r="P2" s="0" t="n">
        <v>12214878</v>
      </c>
      <c r="Q2" s="0" t="n">
        <v>2135141</v>
      </c>
      <c r="R2" s="0" t="n">
        <v>726283</v>
      </c>
      <c r="S2" s="0" t="n">
        <v>2097867</v>
      </c>
      <c r="T2" s="0" t="n">
        <v>587100</v>
      </c>
      <c r="AA2" s="0" t="s">
        <v>64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15859990</v>
      </c>
      <c r="C3" s="0" t="n">
        <v>-11826154</v>
      </c>
      <c r="D3" s="0" t="n">
        <v>4033836</v>
      </c>
      <c r="E3" s="0" t="n">
        <v>25.4</v>
      </c>
      <c r="F3" s="0" t="n">
        <v>1853042</v>
      </c>
      <c r="G3" s="0" t="n">
        <v>11.7</v>
      </c>
      <c r="I3" s="0" t="n">
        <v>1492747</v>
      </c>
      <c r="J3" s="0" t="n">
        <v>9.4</v>
      </c>
      <c r="K3" s="0" t="n">
        <v>2.54</v>
      </c>
      <c r="L3" s="0" t="n">
        <v>-112996</v>
      </c>
      <c r="M3" s="0" t="n">
        <v>886917</v>
      </c>
      <c r="N3" s="0" t="n">
        <v>-999913</v>
      </c>
      <c r="O3" s="0" t="n">
        <v>10517270</v>
      </c>
      <c r="P3" s="0" t="n">
        <v>14423572</v>
      </c>
      <c r="Q3" s="0" t="n">
        <v>3860656</v>
      </c>
      <c r="R3" s="0" t="n">
        <v>2306113</v>
      </c>
      <c r="S3" s="0" t="n">
        <v>2086522</v>
      </c>
      <c r="T3" s="0" t="n">
        <v>587100</v>
      </c>
      <c r="AA3" s="0" t="s">
        <v>64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11233771</v>
      </c>
      <c r="C4" s="0" t="n">
        <v>-7910751</v>
      </c>
      <c r="D4" s="0" t="n">
        <v>3323020</v>
      </c>
      <c r="E4" s="0" t="n">
        <v>29.6</v>
      </c>
      <c r="F4" s="0" t="n">
        <v>1155766</v>
      </c>
      <c r="G4" s="0" t="n">
        <v>10.3</v>
      </c>
      <c r="I4" s="0" t="n">
        <v>866315</v>
      </c>
      <c r="J4" s="0" t="n">
        <v>7.7</v>
      </c>
      <c r="K4" s="0" t="n">
        <v>1.48</v>
      </c>
      <c r="L4" s="0" t="n">
        <v>3034892</v>
      </c>
      <c r="M4" s="0" t="n">
        <v>158722</v>
      </c>
      <c r="N4" s="0" t="n">
        <v>2876170</v>
      </c>
      <c r="O4" s="0" t="n">
        <v>10371705</v>
      </c>
      <c r="P4" s="0" t="n">
        <v>13925048</v>
      </c>
      <c r="Q4" s="0" t="n">
        <v>3512937</v>
      </c>
      <c r="R4" s="0" t="n">
        <v>1512811</v>
      </c>
      <c r="S4" s="0" t="n">
        <v>2714233</v>
      </c>
      <c r="T4" s="0" t="n">
        <v>587100</v>
      </c>
      <c r="AA4" s="0" t="s">
        <v>64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8861335</v>
      </c>
      <c r="C5" s="0" t="n">
        <v>-6229020</v>
      </c>
      <c r="D5" s="0" t="n">
        <v>2632315</v>
      </c>
      <c r="E5" s="0" t="n">
        <v>29.7</v>
      </c>
      <c r="F5" s="0" t="n">
        <v>1244113</v>
      </c>
      <c r="G5" s="0" t="n">
        <v>14</v>
      </c>
      <c r="I5" s="0" t="n">
        <v>1017335</v>
      </c>
      <c r="J5" s="0" t="n">
        <v>11.5</v>
      </c>
      <c r="K5" s="0" t="n">
        <v>1.73</v>
      </c>
      <c r="L5" s="0" t="n">
        <v>2445906</v>
      </c>
      <c r="M5" s="0" t="n">
        <v>138937</v>
      </c>
      <c r="N5" s="0" t="n">
        <v>2306969</v>
      </c>
      <c r="O5" s="0" t="n">
        <v>11324665</v>
      </c>
      <c r="P5" s="0" t="n">
        <v>14512039</v>
      </c>
      <c r="Q5" s="0" t="n">
        <v>3187815</v>
      </c>
      <c r="R5" s="0" t="n">
        <v>1089028</v>
      </c>
      <c r="S5" s="0" t="n">
        <v>3546349</v>
      </c>
      <c r="T5" s="0" t="n">
        <v>587100</v>
      </c>
      <c r="AA5" s="0" t="s">
        <v>64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11737803</v>
      </c>
      <c r="C6" s="0" t="n">
        <v>-8503976</v>
      </c>
      <c r="D6" s="0" t="n">
        <v>3233827</v>
      </c>
      <c r="E6" s="0" t="n">
        <v>27.6</v>
      </c>
      <c r="F6" s="0" t="n">
        <v>1643224</v>
      </c>
      <c r="G6" s="0" t="n">
        <v>14</v>
      </c>
      <c r="I6" s="0" t="n">
        <v>1392364</v>
      </c>
      <c r="J6" s="0" t="n">
        <v>11.9</v>
      </c>
      <c r="K6" s="0" t="n">
        <v>2.37</v>
      </c>
      <c r="L6" s="0" t="n">
        <v>738938</v>
      </c>
      <c r="M6" s="0" t="n">
        <v>455483</v>
      </c>
      <c r="N6" s="0" t="n">
        <v>283455</v>
      </c>
      <c r="O6" s="0" t="n">
        <v>12078996</v>
      </c>
      <c r="P6" s="0" t="n">
        <v>16220269</v>
      </c>
      <c r="Q6" s="0" t="n">
        <v>4141741</v>
      </c>
      <c r="R6" s="0" t="n">
        <v>1954836</v>
      </c>
      <c r="S6" s="0" t="n">
        <v>3492037</v>
      </c>
      <c r="T6" s="0" t="n">
        <v>587100</v>
      </c>
      <c r="AA6" s="0" t="s">
        <v>64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11977844</v>
      </c>
      <c r="C7" s="0" t="n">
        <v>-8747447</v>
      </c>
      <c r="D7" s="0" t="n">
        <v>3230397</v>
      </c>
      <c r="E7" s="0" t="n">
        <v>27</v>
      </c>
      <c r="F7" s="0" t="n">
        <v>1576175</v>
      </c>
      <c r="G7" s="0" t="n">
        <v>13.2</v>
      </c>
      <c r="I7" s="0" t="n">
        <v>1284757</v>
      </c>
      <c r="J7" s="0" t="n">
        <v>10.7</v>
      </c>
      <c r="K7" s="0" t="n">
        <v>2.19</v>
      </c>
      <c r="L7" s="0" t="n">
        <v>1341471</v>
      </c>
      <c r="M7" s="0" t="n">
        <v>107280</v>
      </c>
      <c r="N7" s="0" t="n">
        <v>1234191</v>
      </c>
      <c r="O7" s="0" t="n">
        <v>12221440</v>
      </c>
      <c r="P7" s="0" t="n">
        <v>14928506</v>
      </c>
      <c r="Q7" s="0" t="n">
        <v>2707564</v>
      </c>
      <c r="R7" s="0" t="n">
        <v>540134</v>
      </c>
      <c r="S7" s="0" t="n">
        <v>2347651</v>
      </c>
      <c r="T7" s="0" t="n">
        <v>587100</v>
      </c>
      <c r="AA7" s="0" t="s">
        <v>64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15325962</v>
      </c>
      <c r="C8" s="0" t="n">
        <v>-11151623</v>
      </c>
      <c r="D8" s="0" t="n">
        <v>4174339</v>
      </c>
      <c r="E8" s="0" t="n">
        <v>27.2</v>
      </c>
      <c r="F8" s="0" t="n">
        <v>2115623</v>
      </c>
      <c r="G8" s="0" t="n">
        <v>13.8</v>
      </c>
      <c r="I8" s="0" t="n">
        <v>1767305</v>
      </c>
      <c r="J8" s="0" t="n">
        <v>11.5</v>
      </c>
      <c r="K8" s="0" t="n">
        <v>3.01</v>
      </c>
      <c r="L8" s="0" t="n">
        <v>1662913</v>
      </c>
      <c r="M8" s="0" t="n">
        <v>676387</v>
      </c>
      <c r="N8" s="0" t="n">
        <v>986526</v>
      </c>
      <c r="O8" s="0" t="n">
        <v>12890860</v>
      </c>
      <c r="P8" s="0" t="n">
        <v>16854064</v>
      </c>
      <c r="Q8" s="0" t="n">
        <v>3990166</v>
      </c>
      <c r="R8" s="0" t="n">
        <v>1427805</v>
      </c>
      <c r="S8" s="0" t="n">
        <v>1998219</v>
      </c>
      <c r="T8" s="0" t="n">
        <v>587100</v>
      </c>
      <c r="AA8" s="0" t="s">
        <v>64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13341295</v>
      </c>
      <c r="C9" s="0" t="n">
        <v>-8924289</v>
      </c>
      <c r="D9" s="0" t="n">
        <v>4417006</v>
      </c>
      <c r="E9" s="0" t="n">
        <v>33.1</v>
      </c>
      <c r="F9" s="0" t="n">
        <v>1412051</v>
      </c>
      <c r="G9" s="0" t="n">
        <v>10.6</v>
      </c>
      <c r="I9" s="0" t="n">
        <v>1099864</v>
      </c>
      <c r="J9" s="0" t="n">
        <v>8.2</v>
      </c>
      <c r="K9" s="0" t="n">
        <v>1.87</v>
      </c>
      <c r="L9" s="0" t="n">
        <v>919196</v>
      </c>
      <c r="M9" s="0" t="n">
        <v>141857</v>
      </c>
      <c r="N9" s="0" t="n">
        <v>777339</v>
      </c>
      <c r="O9" s="0" t="n">
        <v>13203047</v>
      </c>
      <c r="P9" s="0" t="n">
        <v>17897655</v>
      </c>
      <c r="Q9" s="0" t="n">
        <v>4755533</v>
      </c>
      <c r="R9" s="0" t="n">
        <v>2196369</v>
      </c>
      <c r="S9" s="0" t="n">
        <v>1913986</v>
      </c>
      <c r="T9" s="0" t="n">
        <v>587100</v>
      </c>
      <c r="AA9" s="0" t="s">
        <v>64</v>
      </c>
      <c r="AB9" s="0" t="s">
        <v>14</v>
      </c>
    </row>
    <row r="10" customFormat="false" ht="15" hidden="false" customHeight="false" outlineLevel="0" collapsed="false">
      <c r="A10" s="0" t="s">
        <v>72</v>
      </c>
      <c r="B10" s="0" t="n">
        <v>17205242</v>
      </c>
      <c r="C10" s="0" t="n">
        <v>-10895169</v>
      </c>
      <c r="D10" s="0" t="n">
        <v>6310073</v>
      </c>
      <c r="E10" s="0" t="n">
        <v>36.7</v>
      </c>
      <c r="F10" s="0" t="n">
        <v>2648054</v>
      </c>
      <c r="G10" s="0" t="n">
        <v>15.4</v>
      </c>
      <c r="I10" s="0" t="n">
        <v>2045791</v>
      </c>
      <c r="J10" s="0" t="n">
        <v>11.9</v>
      </c>
      <c r="K10" s="0" t="n">
        <v>3.48</v>
      </c>
      <c r="L10" s="0" t="n">
        <v>23240</v>
      </c>
      <c r="M10" s="0" t="n">
        <v>101697</v>
      </c>
      <c r="N10" s="0" t="n">
        <v>-78457</v>
      </c>
      <c r="O10" s="0" t="n">
        <v>15014358</v>
      </c>
      <c r="P10" s="0" t="n">
        <v>22105960</v>
      </c>
      <c r="Q10" s="0" t="n">
        <v>7181730</v>
      </c>
      <c r="R10" s="0" t="n">
        <v>4195095</v>
      </c>
      <c r="S10" s="0" t="n">
        <v>2361471</v>
      </c>
      <c r="T10" s="0" t="n">
        <v>587100</v>
      </c>
      <c r="AA10" s="0" t="s">
        <v>64</v>
      </c>
      <c r="AB1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73</v>
      </c>
      <c r="B1" s="2" t="s">
        <v>74</v>
      </c>
    </row>
    <row r="2" customFormat="false" ht="15" hidden="false" customHeight="false" outlineLevel="0" collapsed="false">
      <c r="A2" s="0" t="s">
        <v>75</v>
      </c>
      <c r="B2" s="3" t="n">
        <v>22.44</v>
      </c>
    </row>
    <row r="3" customFormat="false" ht="15" hidden="false" customHeight="false" outlineLevel="0" collapsed="false">
      <c r="A3" s="0" t="s">
        <v>76</v>
      </c>
      <c r="B3" s="3" t="n">
        <v>587.1</v>
      </c>
    </row>
    <row r="4" customFormat="false" ht="15" hidden="false" customHeight="false" outlineLevel="0" collapsed="false">
      <c r="A4" s="0" t="s">
        <v>77</v>
      </c>
      <c r="B4" s="3" t="n">
        <v>1833.6</v>
      </c>
    </row>
    <row r="5" customFormat="false" ht="15" hidden="false" customHeight="false" outlineLevel="0" collapsed="false">
      <c r="A5" s="0" t="s">
        <v>78</v>
      </c>
      <c r="B5" s="3" t="n">
        <v>-200</v>
      </c>
    </row>
    <row r="6" customFormat="false" ht="15" hidden="false" customHeight="false" outlineLevel="0" collapsed="false">
      <c r="A6" s="0" t="s">
        <v>79</v>
      </c>
      <c r="B6" s="3" t="n">
        <v>15</v>
      </c>
    </row>
    <row r="7" customFormat="false" ht="15" hidden="false" customHeight="false" outlineLevel="0" collapsed="false">
      <c r="A7" s="0" t="s">
        <v>80</v>
      </c>
      <c r="B7" s="3" t="n">
        <v>17205.242</v>
      </c>
    </row>
    <row r="8" customFormat="false" ht="15" hidden="false" customHeight="false" outlineLevel="0" collapsed="false">
      <c r="A8" s="0" t="s">
        <v>81</v>
      </c>
      <c r="B8" s="3" t="s">
        <v>72</v>
      </c>
    </row>
    <row r="9" customFormat="false" ht="15" hidden="false" customHeight="false" outlineLevel="0" collapsed="false">
      <c r="A9" s="0" t="s">
        <v>82</v>
      </c>
      <c r="B9" s="3" t="s">
        <v>83</v>
      </c>
    </row>
    <row r="10" customFormat="false" ht="15" hidden="false" customHeight="false" outlineLevel="0" collapsed="false">
      <c r="A10" s="0" t="s">
        <v>84</v>
      </c>
      <c r="B10" s="3" t="n">
        <v>1</v>
      </c>
    </row>
    <row r="12" customFormat="false" ht="15" hidden="false" customHeight="false" outlineLevel="0" collapsed="false">
      <c r="A12" s="2" t="s">
        <v>85</v>
      </c>
      <c r="C12" s="2" t="s">
        <v>86</v>
      </c>
      <c r="D12" s="2" t="s">
        <v>87</v>
      </c>
      <c r="E12" s="2" t="s">
        <v>88</v>
      </c>
      <c r="F12" s="2" t="s">
        <v>89</v>
      </c>
      <c r="G12" s="2" t="s">
        <v>90</v>
      </c>
      <c r="H12" s="2" t="s">
        <v>91</v>
      </c>
      <c r="I12" s="2" t="s">
        <v>92</v>
      </c>
      <c r="J12" s="2" t="s">
        <v>93</v>
      </c>
      <c r="K12" s="2" t="s">
        <v>94</v>
      </c>
      <c r="L12" s="2" t="s">
        <v>95</v>
      </c>
    </row>
    <row r="13" customFormat="false" ht="15" hidden="false" customHeight="false" outlineLevel="0" collapsed="false">
      <c r="A13" s="0" t="s">
        <v>96</v>
      </c>
      <c r="C13" s="3" t="n">
        <v>-10</v>
      </c>
      <c r="D13" s="3" t="n">
        <v>-5</v>
      </c>
      <c r="E13" s="3" t="n">
        <v>2</v>
      </c>
      <c r="F13" s="3" t="n">
        <v>2.5</v>
      </c>
      <c r="G13" s="3" t="n">
        <v>2.5</v>
      </c>
      <c r="H13" s="3" t="n">
        <v>2.5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97</v>
      </c>
      <c r="C14" s="3" t="n">
        <v>15.8</v>
      </c>
      <c r="D14" s="3" t="n">
        <v>14.5</v>
      </c>
      <c r="E14" s="3" t="n">
        <v>14.5</v>
      </c>
      <c r="F14" s="3" t="n">
        <v>14.65</v>
      </c>
      <c r="G14" s="3" t="n">
        <v>14.9</v>
      </c>
      <c r="H14" s="3" t="n">
        <v>14.9</v>
      </c>
      <c r="I14" s="3" t="n">
        <v>14.9</v>
      </c>
      <c r="J14" s="3" t="n">
        <v>14.9</v>
      </c>
      <c r="K14" s="3" t="n">
        <v>14.9</v>
      </c>
      <c r="L14" s="3" t="n">
        <v>14.9</v>
      </c>
    </row>
    <row r="15" customFormat="false" ht="15" hidden="false" customHeight="false" outlineLevel="0" collapsed="false">
      <c r="A15" s="0" t="s">
        <v>98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99</v>
      </c>
      <c r="C16" s="3" t="n">
        <v>2.6</v>
      </c>
      <c r="D16" s="3" t="n">
        <v>2.8</v>
      </c>
      <c r="E16" s="3" t="n">
        <v>2.8</v>
      </c>
      <c r="F16" s="3" t="n">
        <v>2.7</v>
      </c>
      <c r="G16" s="3" t="n">
        <v>2.7</v>
      </c>
      <c r="H16" s="3" t="n">
        <v>2.7</v>
      </c>
      <c r="I16" s="3" t="n">
        <v>2.7</v>
      </c>
      <c r="J16" s="3" t="n">
        <v>2.7</v>
      </c>
      <c r="K16" s="3" t="n">
        <v>2.7</v>
      </c>
      <c r="L16" s="3" t="n">
        <v>2.7</v>
      </c>
    </row>
    <row r="17" customFormat="false" ht="15" hidden="false" customHeight="false" outlineLevel="0" collapsed="false">
      <c r="A17" s="0" t="s">
        <v>100</v>
      </c>
      <c r="C17" s="3" t="n">
        <v>1.2</v>
      </c>
      <c r="D17" s="3" t="n">
        <v>1.2</v>
      </c>
      <c r="E17" s="3" t="n">
        <v>1.2</v>
      </c>
      <c r="F17" s="3" t="n">
        <v>1.2</v>
      </c>
      <c r="G17" s="3" t="n">
        <v>1.2</v>
      </c>
      <c r="H17" s="3" t="n">
        <v>1.2</v>
      </c>
      <c r="I17" s="3" t="n">
        <v>1.2</v>
      </c>
      <c r="J17" s="3" t="n">
        <v>1.2</v>
      </c>
      <c r="K17" s="3" t="n">
        <v>1.2</v>
      </c>
      <c r="L17" s="3" t="n">
        <v>1.2</v>
      </c>
    </row>
    <row r="18" customFormat="false" ht="15" hidden="false" customHeight="false" outlineLevel="0" collapsed="false">
      <c r="A18" s="0" t="s">
        <v>101</v>
      </c>
      <c r="C18" s="3" t="n">
        <v>1.4</v>
      </c>
      <c r="D18" s="3" t="n">
        <v>1.4</v>
      </c>
      <c r="E18" s="3" t="n">
        <v>1.4</v>
      </c>
      <c r="F18" s="3" t="n">
        <v>1.4</v>
      </c>
      <c r="G18" s="3" t="n">
        <v>1.4</v>
      </c>
      <c r="H18" s="3" t="n">
        <v>1.4</v>
      </c>
      <c r="I18" s="3" t="n">
        <v>1.4</v>
      </c>
      <c r="J18" s="3" t="n">
        <v>1.4</v>
      </c>
      <c r="K18" s="3" t="n">
        <v>1.4</v>
      </c>
      <c r="L18" s="3" t="n">
        <v>1.4</v>
      </c>
    </row>
    <row r="19" customFormat="false" ht="15" hidden="false" customHeight="false" outlineLevel="0" collapsed="false">
      <c r="A19" s="0" t="s">
        <v>102</v>
      </c>
      <c r="C19" s="3" t="n">
        <v>21</v>
      </c>
      <c r="D19" s="3" t="n">
        <v>21</v>
      </c>
      <c r="E19" s="3" t="n">
        <v>21</v>
      </c>
      <c r="F19" s="3" t="n">
        <v>21</v>
      </c>
      <c r="G19" s="3" t="n">
        <v>21</v>
      </c>
      <c r="H19" s="3" t="n">
        <v>21</v>
      </c>
      <c r="I19" s="3" t="n">
        <v>21</v>
      </c>
      <c r="J19" s="3" t="n">
        <v>21</v>
      </c>
      <c r="K19" s="3" t="n">
        <v>21</v>
      </c>
      <c r="L19" s="3" t="n">
        <v>21</v>
      </c>
    </row>
    <row r="20" customFormat="false" ht="15" hidden="false" customHeight="false" outlineLevel="0" collapsed="false">
      <c r="A20" s="0" t="s">
        <v>103</v>
      </c>
      <c r="B20" s="3" t="n">
        <v>9</v>
      </c>
    </row>
    <row r="21" customFormat="false" ht="15" hidden="false" customHeight="false" outlineLevel="0" collapsed="false">
      <c r="A21" s="0" t="s">
        <v>104</v>
      </c>
      <c r="B21" s="3" t="n">
        <v>2</v>
      </c>
    </row>
    <row r="22" customFormat="false" ht="15" hidden="false" customHeight="false" outlineLevel="0" collapsed="false">
      <c r="A22" s="0" t="s">
        <v>105</v>
      </c>
      <c r="B22" s="3" t="n">
        <v>12</v>
      </c>
    </row>
    <row r="23" customFormat="false" ht="15" hidden="false" customHeight="false" outlineLevel="0" collapsed="false">
      <c r="A23" s="0" t="s">
        <v>106</v>
      </c>
      <c r="B23" s="3" t="n">
        <v>-75</v>
      </c>
    </row>
    <row r="24" customFormat="false" ht="15" hidden="false" customHeight="false" outlineLevel="0" collapsed="false">
      <c r="A24" s="0" t="s">
        <v>107</v>
      </c>
      <c r="B24" s="3" t="n">
        <v>0.25</v>
      </c>
    </row>
    <row r="26" customFormat="false" ht="15" hidden="false" customHeight="false" outlineLevel="0" collapsed="false">
      <c r="A26" s="2" t="s">
        <v>108</v>
      </c>
      <c r="C26" s="2" t="s">
        <v>86</v>
      </c>
      <c r="D26" s="2" t="s">
        <v>87</v>
      </c>
      <c r="E26" s="2" t="s">
        <v>88</v>
      </c>
      <c r="F26" s="2" t="s">
        <v>89</v>
      </c>
      <c r="G26" s="2" t="s">
        <v>90</v>
      </c>
      <c r="H26" s="2" t="s">
        <v>91</v>
      </c>
      <c r="I26" s="2" t="s">
        <v>92</v>
      </c>
      <c r="J26" s="2" t="s">
        <v>93</v>
      </c>
      <c r="K26" s="2" t="s">
        <v>94</v>
      </c>
      <c r="L26" s="2" t="s">
        <v>95</v>
      </c>
    </row>
    <row r="27" customFormat="false" ht="15" hidden="false" customHeight="false" outlineLevel="0" collapsed="false">
      <c r="A27" s="0" t="s">
        <v>96</v>
      </c>
      <c r="C27" s="3" t="n">
        <v>6</v>
      </c>
      <c r="D27" s="3" t="n">
        <v>0</v>
      </c>
      <c r="E27" s="3" t="n">
        <v>3</v>
      </c>
      <c r="F27" s="3" t="n">
        <v>3.5</v>
      </c>
      <c r="G27" s="3" t="n">
        <v>3.5</v>
      </c>
      <c r="H27" s="3" t="n">
        <v>3.5</v>
      </c>
      <c r="I27" s="3" t="n">
        <v>3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97</v>
      </c>
      <c r="C28" s="3" t="n">
        <v>18.5</v>
      </c>
      <c r="D28" s="3" t="n">
        <v>17.2</v>
      </c>
      <c r="E28" s="3" t="n">
        <v>16.7</v>
      </c>
      <c r="F28" s="3" t="n">
        <v>16.45</v>
      </c>
      <c r="G28" s="3" t="n">
        <v>16.2</v>
      </c>
      <c r="H28" s="3" t="n">
        <v>16.2</v>
      </c>
      <c r="I28" s="3" t="n">
        <v>16.2</v>
      </c>
      <c r="J28" s="3" t="n">
        <v>16.2</v>
      </c>
      <c r="K28" s="3" t="n">
        <v>16.2</v>
      </c>
      <c r="L28" s="3" t="n">
        <v>16.2</v>
      </c>
    </row>
    <row r="29" customFormat="false" ht="15" hidden="false" customHeight="false" outlineLevel="0" collapsed="false">
      <c r="A29" s="0" t="s">
        <v>98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99</v>
      </c>
      <c r="C30" s="3" t="n">
        <v>2.5</v>
      </c>
      <c r="D30" s="3" t="n">
        <v>2.5</v>
      </c>
      <c r="E30" s="3" t="n">
        <v>2.5</v>
      </c>
      <c r="F30" s="3" t="n">
        <v>2.5</v>
      </c>
      <c r="G30" s="3" t="n">
        <v>2.5</v>
      </c>
      <c r="H30" s="3" t="n">
        <v>2.5</v>
      </c>
      <c r="I30" s="3" t="n">
        <v>2.5</v>
      </c>
      <c r="J30" s="3" t="n">
        <v>2.5</v>
      </c>
      <c r="K30" s="3" t="n">
        <v>2.5</v>
      </c>
      <c r="L30" s="3" t="n">
        <v>2.5</v>
      </c>
    </row>
    <row r="31" customFormat="false" ht="15" hidden="false" customHeight="false" outlineLevel="0" collapsed="false">
      <c r="A31" s="0" t="s">
        <v>100</v>
      </c>
      <c r="C31" s="3" t="n">
        <v>1.2</v>
      </c>
      <c r="D31" s="3" t="n">
        <v>1.2</v>
      </c>
      <c r="E31" s="3" t="n">
        <v>1.2</v>
      </c>
      <c r="F31" s="3" t="n">
        <v>1.2</v>
      </c>
      <c r="G31" s="3" t="n">
        <v>1.2</v>
      </c>
      <c r="H31" s="3" t="n">
        <v>1.2</v>
      </c>
      <c r="I31" s="3" t="n">
        <v>1.2</v>
      </c>
      <c r="J31" s="3" t="n">
        <v>1.2</v>
      </c>
      <c r="K31" s="3" t="n">
        <v>1.2</v>
      </c>
      <c r="L31" s="3" t="n">
        <v>1.2</v>
      </c>
    </row>
    <row r="32" customFormat="false" ht="15" hidden="false" customHeight="false" outlineLevel="0" collapsed="false">
      <c r="A32" s="0" t="s">
        <v>101</v>
      </c>
      <c r="C32" s="3" t="n">
        <v>1.4</v>
      </c>
      <c r="D32" s="3" t="n">
        <v>1.4</v>
      </c>
      <c r="E32" s="3" t="n">
        <v>1.4</v>
      </c>
      <c r="F32" s="3" t="n">
        <v>1.4</v>
      </c>
      <c r="G32" s="3" t="n">
        <v>1.4</v>
      </c>
      <c r="H32" s="3" t="n">
        <v>1.4</v>
      </c>
      <c r="I32" s="3" t="n">
        <v>1.4</v>
      </c>
      <c r="J32" s="3" t="n">
        <v>1.4</v>
      </c>
      <c r="K32" s="3" t="n">
        <v>1.4</v>
      </c>
      <c r="L32" s="3" t="n">
        <v>1.4</v>
      </c>
    </row>
    <row r="33" customFormat="false" ht="15" hidden="false" customHeight="false" outlineLevel="0" collapsed="false">
      <c r="A33" s="0" t="s">
        <v>102</v>
      </c>
      <c r="C33" s="3" t="n">
        <v>21</v>
      </c>
      <c r="D33" s="3" t="n">
        <v>21</v>
      </c>
      <c r="E33" s="3" t="n">
        <v>21</v>
      </c>
      <c r="F33" s="3" t="n">
        <v>21</v>
      </c>
      <c r="G33" s="3" t="n">
        <v>21</v>
      </c>
      <c r="H33" s="3" t="n">
        <v>21</v>
      </c>
      <c r="I33" s="3" t="n">
        <v>21</v>
      </c>
      <c r="J33" s="3" t="n">
        <v>21</v>
      </c>
      <c r="K33" s="3" t="n">
        <v>21</v>
      </c>
      <c r="L33" s="3" t="n">
        <v>21</v>
      </c>
    </row>
    <row r="34" customFormat="false" ht="15" hidden="false" customHeight="false" outlineLevel="0" collapsed="false">
      <c r="A34" s="0" t="s">
        <v>103</v>
      </c>
      <c r="B34" s="3" t="n">
        <v>9</v>
      </c>
    </row>
    <row r="35" customFormat="false" ht="15" hidden="false" customHeight="false" outlineLevel="0" collapsed="false">
      <c r="A35" s="0" t="s">
        <v>104</v>
      </c>
      <c r="B35" s="3" t="n">
        <v>2.5</v>
      </c>
    </row>
    <row r="36" customFormat="false" ht="15" hidden="false" customHeight="false" outlineLevel="0" collapsed="false">
      <c r="A36" s="0" t="s">
        <v>105</v>
      </c>
      <c r="B36" s="3" t="n">
        <v>12</v>
      </c>
    </row>
    <row r="37" customFormat="false" ht="15" hidden="false" customHeight="false" outlineLevel="0" collapsed="false">
      <c r="A37" s="0" t="s">
        <v>106</v>
      </c>
      <c r="B37" s="3" t="n">
        <v>-75</v>
      </c>
    </row>
    <row r="38" customFormat="false" ht="15" hidden="false" customHeight="false" outlineLevel="0" collapsed="false">
      <c r="A38" s="0" t="s">
        <v>107</v>
      </c>
      <c r="B38" s="3" t="n">
        <v>0.5</v>
      </c>
    </row>
    <row r="40" customFormat="false" ht="15" hidden="false" customHeight="false" outlineLevel="0" collapsed="false">
      <c r="A40" s="2" t="s">
        <v>109</v>
      </c>
      <c r="C40" s="2" t="s">
        <v>86</v>
      </c>
      <c r="D40" s="2" t="s">
        <v>87</v>
      </c>
      <c r="E40" s="2" t="s">
        <v>88</v>
      </c>
      <c r="F40" s="2" t="s">
        <v>89</v>
      </c>
      <c r="G40" s="2" t="s">
        <v>90</v>
      </c>
      <c r="H40" s="2" t="s">
        <v>91</v>
      </c>
      <c r="I40" s="2" t="s">
        <v>92</v>
      </c>
      <c r="J40" s="2" t="s">
        <v>93</v>
      </c>
      <c r="K40" s="2" t="s">
        <v>94</v>
      </c>
      <c r="L40" s="2" t="s">
        <v>95</v>
      </c>
    </row>
    <row r="41" customFormat="false" ht="15" hidden="false" customHeight="false" outlineLevel="0" collapsed="false">
      <c r="A41" s="0" t="s">
        <v>96</v>
      </c>
      <c r="C41" s="3" t="n">
        <v>12</v>
      </c>
      <c r="D41" s="3" t="n">
        <v>6</v>
      </c>
      <c r="E41" s="3" t="n">
        <v>5</v>
      </c>
      <c r="F41" s="3" t="n">
        <v>5</v>
      </c>
      <c r="G41" s="3" t="n">
        <v>4.5</v>
      </c>
      <c r="H41" s="3" t="n">
        <v>4</v>
      </c>
      <c r="I41" s="3" t="n">
        <v>4</v>
      </c>
      <c r="J41" s="3" t="n">
        <v>3.5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97</v>
      </c>
      <c r="C42" s="3" t="n">
        <v>19.5</v>
      </c>
      <c r="D42" s="3" t="n">
        <v>18.9</v>
      </c>
      <c r="E42" s="3" t="n">
        <v>18.5</v>
      </c>
      <c r="F42" s="3" t="n">
        <v>18.2</v>
      </c>
      <c r="G42" s="3" t="n">
        <v>18.2</v>
      </c>
      <c r="H42" s="3" t="n">
        <v>18.2</v>
      </c>
      <c r="I42" s="3" t="n">
        <v>18.2</v>
      </c>
      <c r="J42" s="3" t="n">
        <v>18.2</v>
      </c>
      <c r="K42" s="3" t="n">
        <v>18.2</v>
      </c>
      <c r="L42" s="3" t="n">
        <v>18.2</v>
      </c>
    </row>
    <row r="43" customFormat="false" ht="15" hidden="false" customHeight="false" outlineLevel="0" collapsed="false">
      <c r="A43" s="0" t="s">
        <v>98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99</v>
      </c>
      <c r="C44" s="3" t="n">
        <v>2.5</v>
      </c>
      <c r="D44" s="3" t="n">
        <v>2.5</v>
      </c>
      <c r="E44" s="3" t="n">
        <v>2.5</v>
      </c>
      <c r="F44" s="3" t="n">
        <v>2.5</v>
      </c>
      <c r="G44" s="3" t="n">
        <v>2.5</v>
      </c>
      <c r="H44" s="3" t="n">
        <v>2.5</v>
      </c>
      <c r="I44" s="3" t="n">
        <v>2.5</v>
      </c>
      <c r="J44" s="3" t="n">
        <v>2.5</v>
      </c>
      <c r="K44" s="3" t="n">
        <v>2.5</v>
      </c>
      <c r="L44" s="3" t="n">
        <v>2.5</v>
      </c>
    </row>
    <row r="45" customFormat="false" ht="15" hidden="false" customHeight="false" outlineLevel="0" collapsed="false">
      <c r="A45" s="0" t="s">
        <v>100</v>
      </c>
      <c r="C45" s="3" t="n">
        <v>1.2</v>
      </c>
      <c r="D45" s="3" t="n">
        <v>1.2</v>
      </c>
      <c r="E45" s="3" t="n">
        <v>1.2</v>
      </c>
      <c r="F45" s="3" t="n">
        <v>1.2</v>
      </c>
      <c r="G45" s="3" t="n">
        <v>1.2</v>
      </c>
      <c r="H45" s="3" t="n">
        <v>1.2</v>
      </c>
      <c r="I45" s="3" t="n">
        <v>1.2</v>
      </c>
      <c r="J45" s="3" t="n">
        <v>1.2</v>
      </c>
      <c r="K45" s="3" t="n">
        <v>1.2</v>
      </c>
      <c r="L45" s="3" t="n">
        <v>1.2</v>
      </c>
    </row>
    <row r="46" customFormat="false" ht="15" hidden="false" customHeight="false" outlineLevel="0" collapsed="false">
      <c r="A46" s="0" t="s">
        <v>101</v>
      </c>
      <c r="C46" s="3" t="n">
        <v>1.4</v>
      </c>
      <c r="D46" s="3" t="n">
        <v>1.4</v>
      </c>
      <c r="E46" s="3" t="n">
        <v>1.4</v>
      </c>
      <c r="F46" s="3" t="n">
        <v>1.4</v>
      </c>
      <c r="G46" s="3" t="n">
        <v>1.4</v>
      </c>
      <c r="H46" s="3" t="n">
        <v>1.4</v>
      </c>
      <c r="I46" s="3" t="n">
        <v>1.4</v>
      </c>
      <c r="J46" s="3" t="n">
        <v>1.4</v>
      </c>
      <c r="K46" s="3" t="n">
        <v>1.4</v>
      </c>
      <c r="L46" s="3" t="n">
        <v>1.4</v>
      </c>
    </row>
    <row r="47" customFormat="false" ht="15" hidden="false" customHeight="false" outlineLevel="0" collapsed="false">
      <c r="A47" s="0" t="s">
        <v>102</v>
      </c>
      <c r="C47" s="3" t="n">
        <v>21</v>
      </c>
      <c r="D47" s="3" t="n">
        <v>21</v>
      </c>
      <c r="E47" s="3" t="n">
        <v>21</v>
      </c>
      <c r="F47" s="3" t="n">
        <v>21</v>
      </c>
      <c r="G47" s="3" t="n">
        <v>21</v>
      </c>
      <c r="H47" s="3" t="n">
        <v>21</v>
      </c>
      <c r="I47" s="3" t="n">
        <v>21</v>
      </c>
      <c r="J47" s="3" t="n">
        <v>21</v>
      </c>
      <c r="K47" s="3" t="n">
        <v>21</v>
      </c>
      <c r="L47" s="3" t="n">
        <v>21</v>
      </c>
    </row>
    <row r="48" customFormat="false" ht="15" hidden="false" customHeight="false" outlineLevel="0" collapsed="false">
      <c r="A48" s="0" t="s">
        <v>103</v>
      </c>
      <c r="B48" s="3" t="n">
        <v>9</v>
      </c>
    </row>
    <row r="49" customFormat="false" ht="15" hidden="false" customHeight="false" outlineLevel="0" collapsed="false">
      <c r="A49" s="0" t="s">
        <v>104</v>
      </c>
      <c r="B49" s="3" t="n">
        <v>3</v>
      </c>
    </row>
    <row r="50" customFormat="false" ht="15" hidden="false" customHeight="false" outlineLevel="0" collapsed="false">
      <c r="A50" s="0" t="s">
        <v>105</v>
      </c>
      <c r="B50" s="3" t="n">
        <v>12</v>
      </c>
    </row>
    <row r="51" customFormat="false" ht="15" hidden="false" customHeight="false" outlineLevel="0" collapsed="false">
      <c r="A51" s="0" t="s">
        <v>106</v>
      </c>
      <c r="B51" s="3" t="n">
        <v>-75</v>
      </c>
    </row>
    <row r="52" customFormat="false" ht="15" hidden="false" customHeight="false" outlineLevel="0" collapsed="false">
      <c r="A52" s="0" t="s">
        <v>107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110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Assumptions!C13</f>
        <v>-10</v>
      </c>
      <c r="D5" s="4" t="n">
        <f aca="false">Assumptions!D13</f>
        <v>-5</v>
      </c>
      <c r="E5" s="4" t="n">
        <f aca="false">Assumptions!E13</f>
        <v>2</v>
      </c>
      <c r="F5" s="4" t="n">
        <f aca="false">Assumptions!F13</f>
        <v>2.5</v>
      </c>
      <c r="G5" s="4" t="n">
        <f aca="false">Assumptions!G13</f>
        <v>2.5</v>
      </c>
      <c r="H5" s="4" t="n">
        <f aca="false">Assumptions!H13</f>
        <v>2.5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17205.242</v>
      </c>
      <c r="C6" s="0" t="n">
        <f aca="false">B6*(1+C5/100)</f>
        <v>15484.7178</v>
      </c>
      <c r="D6" s="0" t="n">
        <f aca="false">C6*(1+D5/100)</f>
        <v>14710.48191</v>
      </c>
      <c r="E6" s="0" t="n">
        <f aca="false">D6*(1+E5/100)</f>
        <v>15004.6915482</v>
      </c>
      <c r="F6" s="0" t="n">
        <f aca="false">E6*(1+F5/100)</f>
        <v>15379.808836905</v>
      </c>
      <c r="G6" s="0" t="n">
        <f aca="false">F6*(1+G5/100)</f>
        <v>15764.3040578276</v>
      </c>
      <c r="H6" s="0" t="n">
        <f aca="false">G6*(1+H5/100)</f>
        <v>16158.4116592733</v>
      </c>
      <c r="I6" s="0" t="n">
        <f aca="false">H6*(1+I5/100)</f>
        <v>16481.5798924588</v>
      </c>
      <c r="J6" s="0" t="n">
        <f aca="false">I6*(1+J5/100)</f>
        <v>16811.211490308</v>
      </c>
      <c r="K6" s="0" t="n">
        <f aca="false">J6*(1+K5/100)</f>
        <v>17147.4357201141</v>
      </c>
      <c r="L6" s="0" t="n">
        <f aca="false">K6*(1+L5/100)</f>
        <v>17490.3844345164</v>
      </c>
    </row>
    <row r="7" customFormat="false" ht="15" hidden="false" customHeight="false" outlineLevel="0" collapsed="false">
      <c r="A7" s="0" t="s">
        <v>97</v>
      </c>
      <c r="C7" s="4" t="n">
        <f aca="false">Assumptions!C14</f>
        <v>15.8</v>
      </c>
      <c r="D7" s="4" t="n">
        <f aca="false">Assumptions!D14</f>
        <v>14.5</v>
      </c>
      <c r="E7" s="4" t="n">
        <f aca="false">Assumptions!E14</f>
        <v>14.5</v>
      </c>
      <c r="F7" s="4" t="n">
        <f aca="false">Assumptions!F14</f>
        <v>14.65</v>
      </c>
      <c r="G7" s="4" t="n">
        <f aca="false">Assumptions!G14</f>
        <v>14.9</v>
      </c>
      <c r="H7" s="4" t="n">
        <f aca="false">Assumptions!H14</f>
        <v>14.9</v>
      </c>
      <c r="I7" s="4" t="n">
        <f aca="false">Assumptions!I14</f>
        <v>14.9</v>
      </c>
      <c r="J7" s="4" t="n">
        <f aca="false">Assumptions!J14</f>
        <v>14.9</v>
      </c>
      <c r="K7" s="4" t="n">
        <f aca="false">Assumptions!K14</f>
        <v>14.9</v>
      </c>
      <c r="L7" s="4" t="n">
        <f aca="false">Assumptions!L14</f>
        <v>14.9</v>
      </c>
    </row>
    <row r="8" customFormat="false" ht="15" hidden="false" customHeight="false" outlineLevel="0" collapsed="false">
      <c r="A8" s="0" t="s">
        <v>43</v>
      </c>
      <c r="C8" s="0" t="n">
        <f aca="false">C6*C7/100</f>
        <v>2446.5854124</v>
      </c>
      <c r="D8" s="0" t="n">
        <f aca="false">D6*D7/100</f>
        <v>2133.01987695</v>
      </c>
      <c r="E8" s="0" t="n">
        <f aca="false">E6*E7/100</f>
        <v>2175.680274489</v>
      </c>
      <c r="F8" s="0" t="n">
        <f aca="false">F6*F7/100</f>
        <v>2253.14199460658</v>
      </c>
      <c r="G8" s="0" t="n">
        <f aca="false">G6*G7/100</f>
        <v>2348.88130461632</v>
      </c>
      <c r="H8" s="0" t="n">
        <f aca="false">H6*H7/100</f>
        <v>2407.60333723172</v>
      </c>
      <c r="I8" s="0" t="n">
        <f aca="false">I6*I7/100</f>
        <v>2455.75540397636</v>
      </c>
      <c r="J8" s="0" t="n">
        <f aca="false">J6*J7/100</f>
        <v>2504.87051205589</v>
      </c>
      <c r="K8" s="0" t="n">
        <f aca="false">K6*K7/100</f>
        <v>2554.967922297</v>
      </c>
      <c r="L8" s="0" t="n">
        <f aca="false">L6*L7/100</f>
        <v>2606.06728074294</v>
      </c>
    </row>
    <row r="9" customFormat="false" ht="15" hidden="false" customHeight="false" outlineLevel="0" collapsed="false">
      <c r="A9" s="0" t="s">
        <v>98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2043.9827496</v>
      </c>
      <c r="D11" s="0" t="n">
        <f aca="false">D8+D10+D24</f>
        <v>1721.12638347</v>
      </c>
      <c r="E11" s="0" t="n">
        <f aca="false">E8+E10+E24</f>
        <v>1755.5489111394</v>
      </c>
      <c r="F11" s="0" t="n">
        <f aca="false">F8+F10+F24</f>
        <v>1837.88715601015</v>
      </c>
      <c r="G11" s="0" t="n">
        <f aca="false">G8+G10+G24</f>
        <v>1923.24509505497</v>
      </c>
      <c r="H11" s="0" t="n">
        <f aca="false">H8+H10+H24</f>
        <v>1971.32622243134</v>
      </c>
      <c r="I11" s="0" t="n">
        <f aca="false">I8+I10+I24</f>
        <v>2010.75274687997</v>
      </c>
      <c r="J11" s="0" t="n">
        <f aca="false">J8+J10+J24</f>
        <v>2050.96780181757</v>
      </c>
      <c r="K11" s="0" t="n">
        <f aca="false">K8+K10+K24</f>
        <v>2091.98715785392</v>
      </c>
      <c r="L11" s="0" t="n">
        <f aca="false">L8+L10+L24</f>
        <v>2133.826901011</v>
      </c>
    </row>
    <row r="12" customFormat="false" ht="15" hidden="false" customHeight="false" outlineLevel="0" collapsed="false">
      <c r="A12" s="0" t="s">
        <v>115</v>
      </c>
      <c r="C12" s="4" t="n">
        <f aca="false">-C6*Assumptions!C17/100</f>
        <v>-185.8166136</v>
      </c>
      <c r="D12" s="4" t="n">
        <f aca="false">-D6*Assumptions!D17/100</f>
        <v>-176.52578292</v>
      </c>
      <c r="E12" s="4" t="n">
        <f aca="false">-E6*Assumptions!E17/100</f>
        <v>-180.0562985784</v>
      </c>
      <c r="F12" s="4" t="n">
        <f aca="false">-F6*Assumptions!F17/100</f>
        <v>-184.55770604286</v>
      </c>
      <c r="G12" s="4" t="n">
        <f aca="false">-G6*Assumptions!G17/100</f>
        <v>-189.171648693931</v>
      </c>
      <c r="H12" s="4" t="n">
        <f aca="false">-H6*Assumptions!H17/100</f>
        <v>-193.90093991128</v>
      </c>
      <c r="I12" s="4" t="n">
        <f aca="false">-I6*Assumptions!I17/100</f>
        <v>-197.778958709505</v>
      </c>
      <c r="J12" s="4" t="n">
        <f aca="false">-J6*Assumptions!J17/100</f>
        <v>-201.734537883695</v>
      </c>
      <c r="K12" s="4" t="n">
        <f aca="false">-K6*Assumptions!K17/100</f>
        <v>-205.769228641369</v>
      </c>
      <c r="L12" s="4" t="n">
        <f aca="false">-L6*Assumptions!L17/100</f>
        <v>-209.884613214197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1858.166136</v>
      </c>
      <c r="D13" s="0" t="n">
        <f aca="false">D11+D12</f>
        <v>1544.60060055</v>
      </c>
      <c r="E13" s="0" t="n">
        <f aca="false">E11+E12</f>
        <v>1575.492612561</v>
      </c>
      <c r="F13" s="0" t="n">
        <f aca="false">F11+F12</f>
        <v>1653.32944996729</v>
      </c>
      <c r="G13" s="0" t="n">
        <f aca="false">G11+G12</f>
        <v>1734.07344636104</v>
      </c>
      <c r="H13" s="0" t="n">
        <f aca="false">H11+H12</f>
        <v>1777.42528252006</v>
      </c>
      <c r="I13" s="0" t="n">
        <f aca="false">I11+I12</f>
        <v>1812.97378817047</v>
      </c>
      <c r="J13" s="0" t="n">
        <f aca="false">J11+J12</f>
        <v>1849.23326393388</v>
      </c>
      <c r="K13" s="0" t="n">
        <f aca="false">K11+K12</f>
        <v>1886.21792921255</v>
      </c>
      <c r="L13" s="0" t="n">
        <f aca="false">L11+L12</f>
        <v>1923.9422877968</v>
      </c>
    </row>
    <row r="14" customFormat="false" ht="15" hidden="false" customHeight="false" outlineLevel="0" collapsed="false">
      <c r="A14" s="0" t="s">
        <v>102</v>
      </c>
      <c r="C14" s="4" t="n">
        <f aca="false">Assumptions!C19</f>
        <v>21</v>
      </c>
      <c r="D14" s="4" t="n">
        <f aca="false">Assumptions!D19</f>
        <v>21</v>
      </c>
      <c r="E14" s="4" t="n">
        <f aca="false">Assumptions!E19</f>
        <v>21</v>
      </c>
      <c r="F14" s="4" t="n">
        <f aca="false">Assumptions!F19</f>
        <v>21</v>
      </c>
      <c r="G14" s="4" t="n">
        <f aca="false">Assumptions!G19</f>
        <v>21</v>
      </c>
      <c r="H14" s="4" t="n">
        <f aca="false">Assumptions!H19</f>
        <v>21</v>
      </c>
      <c r="I14" s="4" t="n">
        <f aca="false">Assumptions!I19</f>
        <v>21</v>
      </c>
      <c r="J14" s="4" t="n">
        <f aca="false">Assumptions!J19</f>
        <v>21</v>
      </c>
      <c r="K14" s="4" t="n">
        <f aca="false">Assumptions!K19</f>
        <v>21</v>
      </c>
      <c r="L14" s="4" t="n">
        <f aca="false">Assumptions!L19</f>
        <v>21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1467.95124744</v>
      </c>
      <c r="D15" s="0" t="n">
        <f aca="false">D13-MAX(0,D13)*D14/100</f>
        <v>1220.2344744345</v>
      </c>
      <c r="E15" s="0" t="n">
        <f aca="false">E13-MAX(0,E13)*E14/100</f>
        <v>1244.63916392319</v>
      </c>
      <c r="F15" s="0" t="n">
        <f aca="false">F13-MAX(0,F13)*F14/100</f>
        <v>1306.13026547416</v>
      </c>
      <c r="G15" s="0" t="n">
        <f aca="false">G13-MAX(0,G13)*G14/100</f>
        <v>1369.91802262522</v>
      </c>
      <c r="H15" s="0" t="n">
        <f aca="false">H13-MAX(0,H13)*H14/100</f>
        <v>1404.16597319085</v>
      </c>
      <c r="I15" s="0" t="n">
        <f aca="false">I13-MAX(0,I13)*I14/100</f>
        <v>1432.24929265467</v>
      </c>
      <c r="J15" s="0" t="n">
        <f aca="false">J13-MAX(0,J13)*J14/100</f>
        <v>1460.89427850776</v>
      </c>
      <c r="K15" s="0" t="n">
        <f aca="false">K13-MAX(0,K13)*K14/100</f>
        <v>1490.11216407792</v>
      </c>
      <c r="L15" s="0" t="n">
        <f aca="false">L13-MAX(0,L13)*L14/100</f>
        <v>1519.91440735948</v>
      </c>
    </row>
    <row r="16" customFormat="false" ht="15" hidden="false" customHeight="false" outlineLevel="0" collapsed="false">
      <c r="A16" s="0" t="s">
        <v>118</v>
      </c>
      <c r="C16" s="0" t="n">
        <f aca="false">-C12</f>
        <v>185.8166136</v>
      </c>
      <c r="D16" s="0" t="n">
        <f aca="false">-D12</f>
        <v>176.52578292</v>
      </c>
      <c r="E16" s="0" t="n">
        <f aca="false">-E12</f>
        <v>180.0562985784</v>
      </c>
      <c r="F16" s="0" t="n">
        <f aca="false">-F12</f>
        <v>184.55770604286</v>
      </c>
      <c r="G16" s="0" t="n">
        <f aca="false">-G12</f>
        <v>189.171648693931</v>
      </c>
      <c r="H16" s="0" t="n">
        <f aca="false">-H12</f>
        <v>193.90093991128</v>
      </c>
      <c r="I16" s="0" t="n">
        <f aca="false">-I12</f>
        <v>197.778958709505</v>
      </c>
      <c r="J16" s="0" t="n">
        <f aca="false">-J12</f>
        <v>201.734537883695</v>
      </c>
      <c r="K16" s="0" t="n">
        <f aca="false">-K12</f>
        <v>205.769228641369</v>
      </c>
      <c r="L16" s="0" t="n">
        <f aca="false">-L12</f>
        <v>209.884613214197</v>
      </c>
    </row>
    <row r="17" customFormat="false" ht="15" hidden="false" customHeight="false" outlineLevel="0" collapsed="false">
      <c r="A17" s="0" t="s">
        <v>119</v>
      </c>
      <c r="C17" s="4" t="n">
        <f aca="false">-C6*Assumptions!C18/100</f>
        <v>-216.7860492</v>
      </c>
      <c r="D17" s="4" t="n">
        <f aca="false">-D6*Assumptions!D18/100</f>
        <v>-205.94674674</v>
      </c>
      <c r="E17" s="4" t="n">
        <f aca="false">-E6*Assumptions!E18/100</f>
        <v>-210.0656816748</v>
      </c>
      <c r="F17" s="4" t="n">
        <f aca="false">-F6*Assumptions!F18/100</f>
        <v>-215.31732371667</v>
      </c>
      <c r="G17" s="4" t="n">
        <f aca="false">-G6*Assumptions!G18/100</f>
        <v>-220.700256809587</v>
      </c>
      <c r="H17" s="4" t="n">
        <f aca="false">-H6*Assumptions!H18/100</f>
        <v>-226.217763229826</v>
      </c>
      <c r="I17" s="4" t="n">
        <f aca="false">-I6*Assumptions!I18/100</f>
        <v>-230.742118494423</v>
      </c>
      <c r="J17" s="4" t="n">
        <f aca="false">-J6*Assumptions!J18/100</f>
        <v>-235.356960864311</v>
      </c>
      <c r="K17" s="4" t="n">
        <f aca="false">-K6*Assumptions!K18/100</f>
        <v>-240.064100081598</v>
      </c>
      <c r="L17" s="4" t="n">
        <f aca="false">-L6*Assumptions!L18/100</f>
        <v>-244.86538208323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(C6-B6)*Assumptions!$B$23/100</f>
        <v>1290.39315</v>
      </c>
      <c r="D18" s="4" t="n">
        <f aca="false">(D6-C6)*Assumptions!$B$23/100</f>
        <v>580.6769175</v>
      </c>
      <c r="E18" s="4" t="n">
        <f aca="false">(E6-D6)*Assumptions!$B$23/100</f>
        <v>-220.65722865</v>
      </c>
      <c r="F18" s="4" t="n">
        <f aca="false">(F6-E6)*Assumptions!$B$23/100</f>
        <v>-281.337966528748</v>
      </c>
      <c r="G18" s="4" t="n">
        <f aca="false">(G6-F6)*Assumptions!$B$23/100</f>
        <v>-288.371415691967</v>
      </c>
      <c r="H18" s="4" t="n">
        <f aca="false">(H6-G6)*Assumptions!$B$23/100</f>
        <v>-295.580701084266</v>
      </c>
      <c r="I18" s="4" t="n">
        <f aca="false">(I6-H6)*Assumptions!$B$23/100</f>
        <v>-242.376174889101</v>
      </c>
      <c r="J18" s="4" t="n">
        <f aca="false">(J6-I6)*Assumptions!$B$23/100</f>
        <v>-247.223698386882</v>
      </c>
      <c r="K18" s="4" t="n">
        <f aca="false">(K6-J6)*Assumptions!$B$23/100</f>
        <v>-252.168172354621</v>
      </c>
      <c r="L18" s="4" t="n">
        <f aca="false">(L6-K6)*Assumptions!$B$23/100</f>
        <v>-257.211535801712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2727.37496184</v>
      </c>
      <c r="D19" s="0" t="n">
        <f aca="false">D15+D16+D17+D18</f>
        <v>1771.4904281145</v>
      </c>
      <c r="E19" s="0" t="n">
        <f aca="false">E15+E16+E17+E18</f>
        <v>993.97255217679</v>
      </c>
      <c r="F19" s="0" t="n">
        <f aca="false">F15+F16+F17+F18</f>
        <v>994.032681271598</v>
      </c>
      <c r="G19" s="0" t="n">
        <f aca="false">G15+G16+G17+G18</f>
        <v>1050.0179988176</v>
      </c>
      <c r="H19" s="0" t="n">
        <f aca="false">H15+H16+H17+H18</f>
        <v>1076.26844878804</v>
      </c>
      <c r="I19" s="0" t="n">
        <f aca="false">I15+I16+I17+I18</f>
        <v>1156.90995798065</v>
      </c>
      <c r="J19" s="0" t="n">
        <f aca="false">J15+J16+J17+J18</f>
        <v>1180.04815714026</v>
      </c>
      <c r="K19" s="0" t="n">
        <f aca="false">K15+K16+K17+K18</f>
        <v>1203.64912028307</v>
      </c>
      <c r="L19" s="0" t="n">
        <f aca="false">L15+L16+L17+L18</f>
        <v>1227.72210268873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2502.17886407339</v>
      </c>
      <c r="D21" s="0" t="n">
        <f aca="false">D19*D20</f>
        <v>1491.02805160719</v>
      </c>
      <c r="E21" s="0" t="n">
        <f aca="false">E19*E20</f>
        <v>767.529184425051</v>
      </c>
      <c r="F21" s="0" t="n">
        <f aca="false">F19*F20</f>
        <v>704.197812035535</v>
      </c>
      <c r="G21" s="0" t="n">
        <f aca="false">G19*G20</f>
        <v>682.439653609736</v>
      </c>
      <c r="H21" s="0" t="n">
        <f aca="false">H19*H20</f>
        <v>641.743710963283</v>
      </c>
      <c r="I21" s="0" t="n">
        <f aca="false">I19*I20</f>
        <v>632.869365215658</v>
      </c>
      <c r="J21" s="0" t="n">
        <f aca="false">J19*J20</f>
        <v>592.22637845869</v>
      </c>
      <c r="K21" s="0" t="n">
        <f aca="false">K19*K20</f>
        <v>554.193491768682</v>
      </c>
      <c r="L21" s="0" t="n">
        <f aca="false">L19*L20</f>
        <v>518.603084040418</v>
      </c>
    </row>
    <row r="23" customFormat="false" ht="15" hidden="false" customHeight="false" outlineLevel="0" collapsed="false">
      <c r="A23" s="0" t="s">
        <v>99</v>
      </c>
      <c r="C23" s="4" t="n">
        <f aca="false">Assumptions!C16</f>
        <v>2.6</v>
      </c>
      <c r="D23" s="4" t="n">
        <f aca="false">Assumptions!D16</f>
        <v>2.8</v>
      </c>
      <c r="E23" s="4" t="n">
        <f aca="false">Assumptions!E16</f>
        <v>2.8</v>
      </c>
      <c r="F23" s="4" t="n">
        <f aca="false">Assumptions!F16</f>
        <v>2.7</v>
      </c>
      <c r="G23" s="4" t="n">
        <f aca="false">Assumptions!G16</f>
        <v>2.7</v>
      </c>
      <c r="H23" s="4" t="n">
        <f aca="false">Assumptions!H16</f>
        <v>2.7</v>
      </c>
      <c r="I23" s="4" t="n">
        <f aca="false">Assumptions!I16</f>
        <v>2.7</v>
      </c>
      <c r="J23" s="4" t="n">
        <f aca="false">Assumptions!J16</f>
        <v>2.7</v>
      </c>
      <c r="K23" s="4" t="n">
        <f aca="false">Assumptions!K16</f>
        <v>2.7</v>
      </c>
      <c r="L23" s="4" t="n">
        <f aca="false">Assumptions!L16</f>
        <v>2.7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-402.6026628</v>
      </c>
      <c r="D24" s="0" t="n">
        <f aca="false">-D6*D23/100</f>
        <v>-411.89349348</v>
      </c>
      <c r="E24" s="0" t="n">
        <f aca="false">-E6*E23/100</f>
        <v>-420.1313633496</v>
      </c>
      <c r="F24" s="0" t="n">
        <f aca="false">-F6*F23/100</f>
        <v>-415.254838596435</v>
      </c>
      <c r="G24" s="0" t="n">
        <f aca="false">-G6*G23/100</f>
        <v>-425.636209561346</v>
      </c>
      <c r="H24" s="0" t="n">
        <f aca="false">-H6*H23/100</f>
        <v>-436.277114800379</v>
      </c>
      <c r="I24" s="0" t="n">
        <f aca="false">-I6*I23/100</f>
        <v>-445.002657096387</v>
      </c>
      <c r="J24" s="0" t="n">
        <f aca="false">-J6*J23/100</f>
        <v>-453.902710238315</v>
      </c>
      <c r="K24" s="0" t="n">
        <f aca="false">-K6*K23/100</f>
        <v>-462.980764443081</v>
      </c>
      <c r="L24" s="0" t="n">
        <f aca="false">-L6*L23/100</f>
        <v>-472.240379731943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104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105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9087.00959619764</v>
      </c>
    </row>
    <row r="31" customFormat="false" ht="15" hidden="false" customHeight="false" outlineLevel="0" collapsed="false">
      <c r="A31" s="0" t="s">
        <v>127</v>
      </c>
      <c r="B31" s="0" t="n">
        <f aca="false">L19</f>
        <v>1227.72210268873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17889.6649248929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14732.6652322648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14732.6652322648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6223.23700848502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15310.2466046827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13276.6466046827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22.613944140151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0.00775152139710356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22.613944140151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9632.89649801927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13.1735435219146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Assumptions!C27</f>
        <v>6</v>
      </c>
      <c r="D5" s="4" t="n">
        <f aca="false">Assumptions!D27</f>
        <v>0</v>
      </c>
      <c r="E5" s="4" t="n">
        <f aca="false">Assumptions!E27</f>
        <v>3</v>
      </c>
      <c r="F5" s="4" t="n">
        <f aca="false">Assumptions!F27</f>
        <v>3.5</v>
      </c>
      <c r="G5" s="4" t="n">
        <f aca="false">Assumptions!G27</f>
        <v>3.5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17205.242</v>
      </c>
      <c r="C6" s="0" t="n">
        <f aca="false">B6*(1+C5/100)</f>
        <v>18237.55652</v>
      </c>
      <c r="D6" s="0" t="n">
        <f aca="false">C6*(1+D5/100)</f>
        <v>18237.55652</v>
      </c>
      <c r="E6" s="0" t="n">
        <f aca="false">D6*(1+E5/100)</f>
        <v>18784.6832156</v>
      </c>
      <c r="F6" s="0" t="n">
        <f aca="false">E6*(1+F5/100)</f>
        <v>19442.147128146</v>
      </c>
      <c r="G6" s="0" t="n">
        <f aca="false">F6*(1+G5/100)</f>
        <v>20122.6222776311</v>
      </c>
      <c r="H6" s="0" t="n">
        <f aca="false">G6*(1+H5/100)</f>
        <v>20826.9140573482</v>
      </c>
      <c r="I6" s="0" t="n">
        <f aca="false">H6*(1+I5/100)</f>
        <v>21451.7214790686</v>
      </c>
      <c r="J6" s="0" t="n">
        <f aca="false">I6*(1+J5/100)</f>
        <v>22095.2731234407</v>
      </c>
      <c r="K6" s="0" t="n">
        <f aca="false">J6*(1+K5/100)</f>
        <v>22647.6549515267</v>
      </c>
      <c r="L6" s="0" t="n">
        <f aca="false">K6*(1+L5/100)</f>
        <v>23213.8463253149</v>
      </c>
    </row>
    <row r="7" customFormat="false" ht="15" hidden="false" customHeight="false" outlineLevel="0" collapsed="false">
      <c r="A7" s="0" t="s">
        <v>97</v>
      </c>
      <c r="C7" s="4" t="n">
        <f aca="false">Assumptions!C28</f>
        <v>18.5</v>
      </c>
      <c r="D7" s="4" t="n">
        <f aca="false">Assumptions!D28</f>
        <v>17.2</v>
      </c>
      <c r="E7" s="4" t="n">
        <f aca="false">Assumptions!E28</f>
        <v>16.7</v>
      </c>
      <c r="F7" s="4" t="n">
        <f aca="false">Assumptions!F28</f>
        <v>16.45</v>
      </c>
      <c r="G7" s="4" t="n">
        <f aca="false">Assumptions!G28</f>
        <v>16.2</v>
      </c>
      <c r="H7" s="4" t="n">
        <f aca="false">Assumptions!H28</f>
        <v>16.2</v>
      </c>
      <c r="I7" s="4" t="n">
        <f aca="false">Assumptions!I28</f>
        <v>16.2</v>
      </c>
      <c r="J7" s="4" t="n">
        <f aca="false">Assumptions!J28</f>
        <v>16.2</v>
      </c>
      <c r="K7" s="4" t="n">
        <f aca="false">Assumptions!K28</f>
        <v>16.2</v>
      </c>
      <c r="L7" s="4" t="n">
        <f aca="false">Assumptions!L28</f>
        <v>16.2</v>
      </c>
    </row>
    <row r="8" customFormat="false" ht="15" hidden="false" customHeight="false" outlineLevel="0" collapsed="false">
      <c r="A8" s="0" t="s">
        <v>43</v>
      </c>
      <c r="C8" s="0" t="n">
        <f aca="false">C6*C7/100</f>
        <v>3373.9479562</v>
      </c>
      <c r="D8" s="0" t="n">
        <f aca="false">D6*D7/100</f>
        <v>3136.85972144</v>
      </c>
      <c r="E8" s="0" t="n">
        <f aca="false">E6*E7/100</f>
        <v>3137.0420970052</v>
      </c>
      <c r="F8" s="0" t="n">
        <f aca="false">F6*F7/100</f>
        <v>3198.23320258002</v>
      </c>
      <c r="G8" s="0" t="n">
        <f aca="false">G6*G7/100</f>
        <v>3259.86480897624</v>
      </c>
      <c r="H8" s="0" t="n">
        <f aca="false">H6*H7/100</f>
        <v>3373.96007729041</v>
      </c>
      <c r="I8" s="0" t="n">
        <f aca="false">I6*I7/100</f>
        <v>3475.17887960912</v>
      </c>
      <c r="J8" s="0" t="n">
        <f aca="false">J6*J7/100</f>
        <v>3579.43424599739</v>
      </c>
      <c r="K8" s="0" t="n">
        <f aca="false">K6*K7/100</f>
        <v>3668.92010214733</v>
      </c>
      <c r="L8" s="0" t="n">
        <f aca="false">L6*L7/100</f>
        <v>3760.64310470101</v>
      </c>
    </row>
    <row r="9" customFormat="false" ht="15" hidden="false" customHeight="false" outlineLevel="0" collapsed="false">
      <c r="A9" s="0" t="s">
        <v>98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2918.0090432</v>
      </c>
      <c r="D11" s="0" t="n">
        <f aca="false">D8+D10+D24</f>
        <v>2680.92080844</v>
      </c>
      <c r="E11" s="0" t="n">
        <f aca="false">E8+E10+E24</f>
        <v>2667.4250166152</v>
      </c>
      <c r="F11" s="0" t="n">
        <f aca="false">F8+F10+F24</f>
        <v>2712.17952437637</v>
      </c>
      <c r="G11" s="0" t="n">
        <f aca="false">G8+G10+G24</f>
        <v>2756.79925203546</v>
      </c>
      <c r="H11" s="0" t="n">
        <f aca="false">H8+H10+H24</f>
        <v>2853.2872258567</v>
      </c>
      <c r="I11" s="0" t="n">
        <f aca="false">I8+I10+I24</f>
        <v>2938.8858426324</v>
      </c>
      <c r="J11" s="0" t="n">
        <f aca="false">J8+J10+J24</f>
        <v>3027.05241791138</v>
      </c>
      <c r="K11" s="0" t="n">
        <f aca="false">K8+K10+K24</f>
        <v>3102.72872835916</v>
      </c>
      <c r="L11" s="0" t="n">
        <f aca="false">L8+L10+L24</f>
        <v>3180.29694656814</v>
      </c>
    </row>
    <row r="12" customFormat="false" ht="15" hidden="false" customHeight="false" outlineLevel="0" collapsed="false">
      <c r="A12" s="0" t="s">
        <v>115</v>
      </c>
      <c r="C12" s="4" t="n">
        <f aca="false">-C6*Assumptions!C31/100</f>
        <v>-218.85067824</v>
      </c>
      <c r="D12" s="4" t="n">
        <f aca="false">-D6*Assumptions!D31/100</f>
        <v>-218.85067824</v>
      </c>
      <c r="E12" s="4" t="n">
        <f aca="false">-E6*Assumptions!E31/100</f>
        <v>-225.4161985872</v>
      </c>
      <c r="F12" s="4" t="n">
        <f aca="false">-F6*Assumptions!F31/100</f>
        <v>-233.305765537752</v>
      </c>
      <c r="G12" s="4" t="n">
        <f aca="false">-G6*Assumptions!G31/100</f>
        <v>-241.471467331573</v>
      </c>
      <c r="H12" s="4" t="n">
        <f aca="false">-H6*Assumptions!H31/100</f>
        <v>-249.922968688178</v>
      </c>
      <c r="I12" s="4" t="n">
        <f aca="false">-I6*Assumptions!I31/100</f>
        <v>-257.420657748824</v>
      </c>
      <c r="J12" s="4" t="n">
        <f aca="false">-J6*Assumptions!J31/100</f>
        <v>-265.143277481288</v>
      </c>
      <c r="K12" s="4" t="n">
        <f aca="false">-K6*Assumptions!K31/100</f>
        <v>-271.771859418321</v>
      </c>
      <c r="L12" s="4" t="n">
        <f aca="false">-L6*Assumptions!L31/100</f>
        <v>-278.566155903779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2699.15836496</v>
      </c>
      <c r="D13" s="0" t="n">
        <f aca="false">D11+D12</f>
        <v>2462.0701302</v>
      </c>
      <c r="E13" s="0" t="n">
        <f aca="false">E11+E12</f>
        <v>2442.008818028</v>
      </c>
      <c r="F13" s="0" t="n">
        <f aca="false">F11+F12</f>
        <v>2478.87375883861</v>
      </c>
      <c r="G13" s="0" t="n">
        <f aca="false">G11+G12</f>
        <v>2515.32778470389</v>
      </c>
      <c r="H13" s="0" t="n">
        <f aca="false">H11+H12</f>
        <v>2603.36425716852</v>
      </c>
      <c r="I13" s="0" t="n">
        <f aca="false">I11+I12</f>
        <v>2681.46518488358</v>
      </c>
      <c r="J13" s="0" t="n">
        <f aca="false">J11+J12</f>
        <v>2761.90914043009</v>
      </c>
      <c r="K13" s="0" t="n">
        <f aca="false">K11+K12</f>
        <v>2830.95686894084</v>
      </c>
      <c r="L13" s="0" t="n">
        <f aca="false">L11+L12</f>
        <v>2901.73079066436</v>
      </c>
    </row>
    <row r="14" customFormat="false" ht="15" hidden="false" customHeight="false" outlineLevel="0" collapsed="false">
      <c r="A14" s="0" t="s">
        <v>102</v>
      </c>
      <c r="C14" s="4" t="n">
        <f aca="false">Assumptions!C33</f>
        <v>21</v>
      </c>
      <c r="D14" s="4" t="n">
        <f aca="false">Assumptions!D33</f>
        <v>21</v>
      </c>
      <c r="E14" s="4" t="n">
        <f aca="false">Assumptions!E33</f>
        <v>21</v>
      </c>
      <c r="F14" s="4" t="n">
        <f aca="false">Assumptions!F33</f>
        <v>21</v>
      </c>
      <c r="G14" s="4" t="n">
        <f aca="false">Assumptions!G33</f>
        <v>21</v>
      </c>
      <c r="H14" s="4" t="n">
        <f aca="false">Assumptions!H33</f>
        <v>21</v>
      </c>
      <c r="I14" s="4" t="n">
        <f aca="false">Assumptions!I33</f>
        <v>21</v>
      </c>
      <c r="J14" s="4" t="n">
        <f aca="false">Assumptions!J33</f>
        <v>21</v>
      </c>
      <c r="K14" s="4" t="n">
        <f aca="false">Assumptions!K33</f>
        <v>21</v>
      </c>
      <c r="L14" s="4" t="n">
        <f aca="false">Assumptions!L33</f>
        <v>21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2132.3351083184</v>
      </c>
      <c r="D15" s="0" t="n">
        <f aca="false">D13-MAX(0,D13)*D14/100</f>
        <v>1945.035402858</v>
      </c>
      <c r="E15" s="0" t="n">
        <f aca="false">E13-MAX(0,E13)*E14/100</f>
        <v>1929.18696624212</v>
      </c>
      <c r="F15" s="0" t="n">
        <f aca="false">F13-MAX(0,F13)*F14/100</f>
        <v>1958.31026948251</v>
      </c>
      <c r="G15" s="0" t="n">
        <f aca="false">G13-MAX(0,G13)*G14/100</f>
        <v>1987.10894991607</v>
      </c>
      <c r="H15" s="0" t="n">
        <f aca="false">H13-MAX(0,H13)*H14/100</f>
        <v>2056.65776316313</v>
      </c>
      <c r="I15" s="0" t="n">
        <f aca="false">I13-MAX(0,I13)*I14/100</f>
        <v>2118.35749605803</v>
      </c>
      <c r="J15" s="0" t="n">
        <f aca="false">J13-MAX(0,J13)*J14/100</f>
        <v>2181.90822093977</v>
      </c>
      <c r="K15" s="0" t="n">
        <f aca="false">K13-MAX(0,K13)*K14/100</f>
        <v>2236.45592646326</v>
      </c>
      <c r="L15" s="0" t="n">
        <f aca="false">L13-MAX(0,L13)*L14/100</f>
        <v>2292.36732462484</v>
      </c>
    </row>
    <row r="16" customFormat="false" ht="15" hidden="false" customHeight="false" outlineLevel="0" collapsed="false">
      <c r="A16" s="0" t="s">
        <v>118</v>
      </c>
      <c r="C16" s="0" t="n">
        <f aca="false">-C12</f>
        <v>218.85067824</v>
      </c>
      <c r="D16" s="0" t="n">
        <f aca="false">-D12</f>
        <v>218.85067824</v>
      </c>
      <c r="E16" s="0" t="n">
        <f aca="false">-E12</f>
        <v>225.4161985872</v>
      </c>
      <c r="F16" s="0" t="n">
        <f aca="false">-F12</f>
        <v>233.305765537752</v>
      </c>
      <c r="G16" s="0" t="n">
        <f aca="false">-G12</f>
        <v>241.471467331573</v>
      </c>
      <c r="H16" s="0" t="n">
        <f aca="false">-H12</f>
        <v>249.922968688178</v>
      </c>
      <c r="I16" s="0" t="n">
        <f aca="false">-I12</f>
        <v>257.420657748824</v>
      </c>
      <c r="J16" s="0" t="n">
        <f aca="false">-J12</f>
        <v>265.143277481288</v>
      </c>
      <c r="K16" s="0" t="n">
        <f aca="false">-K12</f>
        <v>271.771859418321</v>
      </c>
      <c r="L16" s="0" t="n">
        <f aca="false">-L12</f>
        <v>278.566155903779</v>
      </c>
    </row>
    <row r="17" customFormat="false" ht="15" hidden="false" customHeight="false" outlineLevel="0" collapsed="false">
      <c r="A17" s="0" t="s">
        <v>119</v>
      </c>
      <c r="C17" s="4" t="n">
        <f aca="false">-C6*Assumptions!C32/100</f>
        <v>-255.32579128</v>
      </c>
      <c r="D17" s="4" t="n">
        <f aca="false">-D6*Assumptions!D32/100</f>
        <v>-255.32579128</v>
      </c>
      <c r="E17" s="4" t="n">
        <f aca="false">-E6*Assumptions!E32/100</f>
        <v>-262.9855650184</v>
      </c>
      <c r="F17" s="4" t="n">
        <f aca="false">-F6*Assumptions!F32/100</f>
        <v>-272.190059794044</v>
      </c>
      <c r="G17" s="4" t="n">
        <f aca="false">-G6*Assumptions!G32/100</f>
        <v>-281.716711886835</v>
      </c>
      <c r="H17" s="4" t="n">
        <f aca="false">-H6*Assumptions!H32/100</f>
        <v>-291.576796802875</v>
      </c>
      <c r="I17" s="4" t="n">
        <f aca="false">-I6*Assumptions!I32/100</f>
        <v>-300.324100706961</v>
      </c>
      <c r="J17" s="4" t="n">
        <f aca="false">-J6*Assumptions!J32/100</f>
        <v>-309.33382372817</v>
      </c>
      <c r="K17" s="4" t="n">
        <f aca="false">-K6*Assumptions!K32/100</f>
        <v>-317.067169321374</v>
      </c>
      <c r="L17" s="4" t="n">
        <f aca="false">-L6*Assumptions!L32/100</f>
        <v>-324.993848554408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(C6-B6)*Assumptions!$B$37/100</f>
        <v>-774.23589</v>
      </c>
      <c r="D18" s="4" t="n">
        <f aca="false">(D6-C6)*Assumptions!$B$37/100</f>
        <v>-0</v>
      </c>
      <c r="E18" s="4" t="n">
        <f aca="false">(E6-D6)*Assumptions!$B$37/100</f>
        <v>-410.3450217</v>
      </c>
      <c r="F18" s="4" t="n">
        <f aca="false">(F6-E6)*Assumptions!$B$37/100</f>
        <v>-493.097934409499</v>
      </c>
      <c r="G18" s="4" t="n">
        <f aca="false">(G6-F6)*Assumptions!$B$37/100</f>
        <v>-510.356362113831</v>
      </c>
      <c r="H18" s="4" t="n">
        <f aca="false">(H6-G6)*Assumptions!$B$37/100</f>
        <v>-528.218834787816</v>
      </c>
      <c r="I18" s="4" t="n">
        <f aca="false">(I6-H6)*Assumptions!$B$37/100</f>
        <v>-468.605566290334</v>
      </c>
      <c r="J18" s="4" t="n">
        <f aca="false">(J6-I6)*Assumptions!$B$37/100</f>
        <v>-482.663733279044</v>
      </c>
      <c r="K18" s="4" t="n">
        <f aca="false">(K6-J6)*Assumptions!$B$37/100</f>
        <v>-414.286371064511</v>
      </c>
      <c r="L18" s="4" t="n">
        <f aca="false">(L6-K6)*Assumptions!$B$37/100</f>
        <v>-424.643530341124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1321.6241052784</v>
      </c>
      <c r="D19" s="0" t="n">
        <f aca="false">D15+D16+D17+D18</f>
        <v>1908.560289818</v>
      </c>
      <c r="E19" s="0" t="n">
        <f aca="false">E15+E16+E17+E18</f>
        <v>1481.27257811092</v>
      </c>
      <c r="F19" s="0" t="n">
        <f aca="false">F15+F16+F17+F18</f>
        <v>1426.32804081671</v>
      </c>
      <c r="G19" s="0" t="n">
        <f aca="false">G15+G16+G17+G18</f>
        <v>1436.50734324698</v>
      </c>
      <c r="H19" s="0" t="n">
        <f aca="false">H15+H16+H17+H18</f>
        <v>1486.78510026062</v>
      </c>
      <c r="I19" s="0" t="n">
        <f aca="false">I15+I16+I17+I18</f>
        <v>1606.84848680956</v>
      </c>
      <c r="J19" s="0" t="n">
        <f aca="false">J15+J16+J17+J18</f>
        <v>1655.05394141384</v>
      </c>
      <c r="K19" s="0" t="n">
        <f aca="false">K15+K16+K17+K18</f>
        <v>1776.8742454957</v>
      </c>
      <c r="L19" s="0" t="n">
        <f aca="false">L15+L16+L17+L18</f>
        <v>1821.29610163309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1212.4991791545</v>
      </c>
      <c r="D21" s="0" t="n">
        <f aca="false">D19*D20</f>
        <v>1606.39701188284</v>
      </c>
      <c r="E21" s="0" t="n">
        <f aca="false">E19*E20</f>
        <v>1143.81421428471</v>
      </c>
      <c r="F21" s="0" t="n">
        <f aca="false">F19*F20</f>
        <v>1010.44674336379</v>
      </c>
      <c r="G21" s="0" t="n">
        <f aca="false">G19*G20</f>
        <v>933.631209024262</v>
      </c>
      <c r="H21" s="0" t="n">
        <f aca="false">H19*H20</f>
        <v>886.521377376247</v>
      </c>
      <c r="I21" s="0" t="n">
        <f aca="false">I19*I20</f>
        <v>879.001148559493</v>
      </c>
      <c r="J21" s="0" t="n">
        <f aca="false">J19*J20</f>
        <v>830.615764235117</v>
      </c>
      <c r="K21" s="0" t="n">
        <f aca="false">K19*K20</f>
        <v>818.122263333287</v>
      </c>
      <c r="L21" s="0" t="n">
        <f aca="false">L19*L20</f>
        <v>769.335155886806</v>
      </c>
    </row>
    <row r="23" customFormat="false" ht="15" hidden="false" customHeight="false" outlineLevel="0" collapsed="false">
      <c r="A23" s="0" t="s">
        <v>99</v>
      </c>
      <c r="C23" s="4" t="n">
        <f aca="false">Assumptions!C30</f>
        <v>2.5</v>
      </c>
      <c r="D23" s="4" t="n">
        <f aca="false">Assumptions!D30</f>
        <v>2.5</v>
      </c>
      <c r="E23" s="4" t="n">
        <f aca="false">Assumptions!E30</f>
        <v>2.5</v>
      </c>
      <c r="F23" s="4" t="n">
        <f aca="false">Assumptions!F30</f>
        <v>2.5</v>
      </c>
      <c r="G23" s="4" t="n">
        <f aca="false">Assumptions!G30</f>
        <v>2.5</v>
      </c>
      <c r="H23" s="4" t="n">
        <f aca="false">Assumptions!H30</f>
        <v>2.5</v>
      </c>
      <c r="I23" s="4" t="n">
        <f aca="false">Assumptions!I30</f>
        <v>2.5</v>
      </c>
      <c r="J23" s="4" t="n">
        <f aca="false">Assumptions!J30</f>
        <v>2.5</v>
      </c>
      <c r="K23" s="4" t="n">
        <f aca="false">Assumptions!K30</f>
        <v>2.5</v>
      </c>
      <c r="L23" s="4" t="n">
        <f aca="false">Assumptions!L30</f>
        <v>2.5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-455.938913</v>
      </c>
      <c r="D24" s="0" t="n">
        <f aca="false">-D6*D23/100</f>
        <v>-455.938913</v>
      </c>
      <c r="E24" s="0" t="n">
        <f aca="false">-E6*E23/100</f>
        <v>-469.61708039</v>
      </c>
      <c r="F24" s="0" t="n">
        <f aca="false">-F6*F23/100</f>
        <v>-486.05367820365</v>
      </c>
      <c r="G24" s="0" t="n">
        <f aca="false">-G6*G23/100</f>
        <v>-503.065556940778</v>
      </c>
      <c r="H24" s="0" t="n">
        <f aca="false">-H6*H23/100</f>
        <v>-520.672851433705</v>
      </c>
      <c r="I24" s="0" t="n">
        <f aca="false">-I6*I23/100</f>
        <v>-536.293036976716</v>
      </c>
      <c r="J24" s="0" t="n">
        <f aca="false">-J6*J23/100</f>
        <v>-552.381828086017</v>
      </c>
      <c r="K24" s="0" t="n">
        <f aca="false">-K6*K23/100</f>
        <v>-566.191373788168</v>
      </c>
      <c r="L24" s="0" t="n">
        <f aca="false">-L6*L23/100</f>
        <v>-580.346158132872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104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105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10090.384067101</v>
      </c>
    </row>
    <row r="31" customFormat="false" ht="15" hidden="false" customHeight="false" outlineLevel="0" collapsed="false">
      <c r="A31" s="0" t="s">
        <v>127</v>
      </c>
      <c r="B31" s="0" t="n">
        <f aca="false">L19</f>
        <v>1821.29610163309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28720.4385257526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21855.5532195971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21855.5532195971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9232.02187064167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19322.4059377427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17288.8059377427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29.4478043565708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0.312290746727754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29.4478043565708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14934.6280333913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16.1765449068408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Assumptions!C41</f>
        <v>12</v>
      </c>
      <c r="D5" s="4" t="n">
        <f aca="false">Assumptions!D41</f>
        <v>6</v>
      </c>
      <c r="E5" s="4" t="n">
        <f aca="false">Assumptions!E41</f>
        <v>5</v>
      </c>
      <c r="F5" s="4" t="n">
        <f aca="false">Assumptions!F41</f>
        <v>5</v>
      </c>
      <c r="G5" s="4" t="n">
        <f aca="false">Assumptions!G41</f>
        <v>4.5</v>
      </c>
      <c r="H5" s="4" t="n">
        <f aca="false">Assumptions!H41</f>
        <v>4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17205.242</v>
      </c>
      <c r="C6" s="0" t="n">
        <f aca="false">B6*(1+C5/100)</f>
        <v>19269.87104</v>
      </c>
      <c r="D6" s="0" t="n">
        <f aca="false">C6*(1+D5/100)</f>
        <v>20426.0633024</v>
      </c>
      <c r="E6" s="0" t="n">
        <f aca="false">D6*(1+E5/100)</f>
        <v>21447.36646752</v>
      </c>
      <c r="F6" s="0" t="n">
        <f aca="false">E6*(1+F5/100)</f>
        <v>22519.734790896</v>
      </c>
      <c r="G6" s="0" t="n">
        <f aca="false">F6*(1+G5/100)</f>
        <v>23533.1228564863</v>
      </c>
      <c r="H6" s="0" t="n">
        <f aca="false">G6*(1+H5/100)</f>
        <v>24474.4477707458</v>
      </c>
      <c r="I6" s="0" t="n">
        <f aca="false">H6*(1+I5/100)</f>
        <v>25453.4256815756</v>
      </c>
      <c r="J6" s="0" t="n">
        <f aca="false">I6*(1+J5/100)</f>
        <v>26344.2955804308</v>
      </c>
      <c r="K6" s="0" t="n">
        <f aca="false">J6*(1+K5/100)</f>
        <v>27134.6244478437</v>
      </c>
      <c r="L6" s="0" t="n">
        <f aca="false">K6*(1+L5/100)</f>
        <v>27948.663181279</v>
      </c>
    </row>
    <row r="7" customFormat="false" ht="15" hidden="false" customHeight="false" outlineLevel="0" collapsed="false">
      <c r="A7" s="0" t="s">
        <v>97</v>
      </c>
      <c r="C7" s="4" t="n">
        <f aca="false">Assumptions!C42</f>
        <v>19.5</v>
      </c>
      <c r="D7" s="4" t="n">
        <f aca="false">Assumptions!D42</f>
        <v>18.9</v>
      </c>
      <c r="E7" s="4" t="n">
        <f aca="false">Assumptions!E42</f>
        <v>18.5</v>
      </c>
      <c r="F7" s="4" t="n">
        <f aca="false">Assumptions!F42</f>
        <v>18.2</v>
      </c>
      <c r="G7" s="4" t="n">
        <f aca="false">Assumptions!G42</f>
        <v>18.2</v>
      </c>
      <c r="H7" s="4" t="n">
        <f aca="false">Assumptions!H42</f>
        <v>18.2</v>
      </c>
      <c r="I7" s="4" t="n">
        <f aca="false">Assumptions!I42</f>
        <v>18.2</v>
      </c>
      <c r="J7" s="4" t="n">
        <f aca="false">Assumptions!J42</f>
        <v>18.2</v>
      </c>
      <c r="K7" s="4" t="n">
        <f aca="false">Assumptions!K42</f>
        <v>18.2</v>
      </c>
      <c r="L7" s="4" t="n">
        <f aca="false">Assumptions!L42</f>
        <v>18.2</v>
      </c>
    </row>
    <row r="8" customFormat="false" ht="15" hidden="false" customHeight="false" outlineLevel="0" collapsed="false">
      <c r="A8" s="0" t="s">
        <v>43</v>
      </c>
      <c r="C8" s="0" t="n">
        <f aca="false">C6*C7/100</f>
        <v>3757.6248528</v>
      </c>
      <c r="D8" s="0" t="n">
        <f aca="false">D6*D7/100</f>
        <v>3860.5259641536</v>
      </c>
      <c r="E8" s="0" t="n">
        <f aca="false">E6*E7/100</f>
        <v>3967.7627964912</v>
      </c>
      <c r="F8" s="0" t="n">
        <f aca="false">F6*F7/100</f>
        <v>4098.59173194307</v>
      </c>
      <c r="G8" s="0" t="n">
        <f aca="false">G6*G7/100</f>
        <v>4283.02835988051</v>
      </c>
      <c r="H8" s="0" t="n">
        <f aca="false">H6*H7/100</f>
        <v>4454.34949427573</v>
      </c>
      <c r="I8" s="0" t="n">
        <f aca="false">I6*I7/100</f>
        <v>4632.52347404676</v>
      </c>
      <c r="J8" s="0" t="n">
        <f aca="false">J6*J7/100</f>
        <v>4794.6617956384</v>
      </c>
      <c r="K8" s="0" t="n">
        <f aca="false">K6*K7/100</f>
        <v>4938.50164950755</v>
      </c>
      <c r="L8" s="0" t="n">
        <f aca="false">L6*L7/100</f>
        <v>5086.65669899278</v>
      </c>
    </row>
    <row r="9" customFormat="false" ht="15" hidden="false" customHeight="false" outlineLevel="0" collapsed="false">
      <c r="A9" s="0" t="s">
        <v>98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3275.8780768</v>
      </c>
      <c r="D11" s="0" t="n">
        <f aca="false">D8+D10+D24</f>
        <v>3349.8743815936</v>
      </c>
      <c r="E11" s="0" t="n">
        <f aca="false">E8+E10+E24</f>
        <v>3431.5786348032</v>
      </c>
      <c r="F11" s="0" t="n">
        <f aca="false">F8+F10+F24</f>
        <v>3535.59836217067</v>
      </c>
      <c r="G11" s="0" t="n">
        <f aca="false">G8+G10+G24</f>
        <v>3694.70028846835</v>
      </c>
      <c r="H11" s="0" t="n">
        <f aca="false">H8+H10+H24</f>
        <v>3842.48830000709</v>
      </c>
      <c r="I11" s="0" t="n">
        <f aca="false">I8+I10+I24</f>
        <v>3996.18783200737</v>
      </c>
      <c r="J11" s="0" t="n">
        <f aca="false">J8+J10+J24</f>
        <v>4136.05440612763</v>
      </c>
      <c r="K11" s="0" t="n">
        <f aca="false">K8+K10+K24</f>
        <v>4260.13603831146</v>
      </c>
      <c r="L11" s="0" t="n">
        <f aca="false">L8+L10+L24</f>
        <v>4387.9401194608</v>
      </c>
    </row>
    <row r="12" customFormat="false" ht="15" hidden="false" customHeight="false" outlineLevel="0" collapsed="false">
      <c r="A12" s="0" t="s">
        <v>115</v>
      </c>
      <c r="C12" s="4" t="n">
        <f aca="false">-C6*Assumptions!C45/100</f>
        <v>-231.23845248</v>
      </c>
      <c r="D12" s="4" t="n">
        <f aca="false">-D6*Assumptions!D45/100</f>
        <v>-245.1127596288</v>
      </c>
      <c r="E12" s="4" t="n">
        <f aca="false">-E6*Assumptions!E45/100</f>
        <v>-257.36839761024</v>
      </c>
      <c r="F12" s="4" t="n">
        <f aca="false">-F6*Assumptions!F45/100</f>
        <v>-270.236817490752</v>
      </c>
      <c r="G12" s="4" t="n">
        <f aca="false">-G6*Assumptions!G45/100</f>
        <v>-282.397474277836</v>
      </c>
      <c r="H12" s="4" t="n">
        <f aca="false">-H6*Assumptions!H45/100</f>
        <v>-293.693373248949</v>
      </c>
      <c r="I12" s="4" t="n">
        <f aca="false">-I6*Assumptions!I45/100</f>
        <v>-305.441108178907</v>
      </c>
      <c r="J12" s="4" t="n">
        <f aca="false">-J6*Assumptions!J45/100</f>
        <v>-316.131546965169</v>
      </c>
      <c r="K12" s="4" t="n">
        <f aca="false">-K6*Assumptions!K45/100</f>
        <v>-325.615493374124</v>
      </c>
      <c r="L12" s="4" t="n">
        <f aca="false">-L6*Assumptions!L45/100</f>
        <v>-335.383958175348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3044.63962432</v>
      </c>
      <c r="D13" s="0" t="n">
        <f aca="false">D11+D12</f>
        <v>3104.7616219648</v>
      </c>
      <c r="E13" s="0" t="n">
        <f aca="false">E11+E12</f>
        <v>3174.21023719296</v>
      </c>
      <c r="F13" s="0" t="n">
        <f aca="false">F11+F12</f>
        <v>3265.36154467992</v>
      </c>
      <c r="G13" s="0" t="n">
        <f aca="false">G11+G12</f>
        <v>3412.30281419052</v>
      </c>
      <c r="H13" s="0" t="n">
        <f aca="false">H11+H12</f>
        <v>3548.79492675814</v>
      </c>
      <c r="I13" s="0" t="n">
        <f aca="false">I11+I12</f>
        <v>3690.74672382846</v>
      </c>
      <c r="J13" s="0" t="n">
        <f aca="false">J11+J12</f>
        <v>3819.92285916246</v>
      </c>
      <c r="K13" s="0" t="n">
        <f aca="false">K11+K12</f>
        <v>3934.52054493733</v>
      </c>
      <c r="L13" s="0" t="n">
        <f aca="false">L11+L12</f>
        <v>4052.55616128545</v>
      </c>
    </row>
    <row r="14" customFormat="false" ht="15" hidden="false" customHeight="false" outlineLevel="0" collapsed="false">
      <c r="A14" s="0" t="s">
        <v>102</v>
      </c>
      <c r="C14" s="4" t="n">
        <f aca="false">Assumptions!C47</f>
        <v>21</v>
      </c>
      <c r="D14" s="4" t="n">
        <f aca="false">Assumptions!D47</f>
        <v>21</v>
      </c>
      <c r="E14" s="4" t="n">
        <f aca="false">Assumptions!E47</f>
        <v>21</v>
      </c>
      <c r="F14" s="4" t="n">
        <f aca="false">Assumptions!F47</f>
        <v>21</v>
      </c>
      <c r="G14" s="4" t="n">
        <f aca="false">Assumptions!G47</f>
        <v>21</v>
      </c>
      <c r="H14" s="4" t="n">
        <f aca="false">Assumptions!H47</f>
        <v>21</v>
      </c>
      <c r="I14" s="4" t="n">
        <f aca="false">Assumptions!I47</f>
        <v>21</v>
      </c>
      <c r="J14" s="4" t="n">
        <f aca="false">Assumptions!J47</f>
        <v>21</v>
      </c>
      <c r="K14" s="4" t="n">
        <f aca="false">Assumptions!K47</f>
        <v>21</v>
      </c>
      <c r="L14" s="4" t="n">
        <f aca="false">Assumptions!L47</f>
        <v>21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2405.2653032128</v>
      </c>
      <c r="D15" s="0" t="n">
        <f aca="false">D13-MAX(0,D13)*D14/100</f>
        <v>2452.76168135219</v>
      </c>
      <c r="E15" s="0" t="n">
        <f aca="false">E13-MAX(0,E13)*E14/100</f>
        <v>2507.62608738244</v>
      </c>
      <c r="F15" s="0" t="n">
        <f aca="false">F13-MAX(0,F13)*F14/100</f>
        <v>2579.63562029714</v>
      </c>
      <c r="G15" s="0" t="n">
        <f aca="false">G13-MAX(0,G13)*G14/100</f>
        <v>2695.71922321051</v>
      </c>
      <c r="H15" s="0" t="n">
        <f aca="false">H13-MAX(0,H13)*H14/100</f>
        <v>2803.54799213893</v>
      </c>
      <c r="I15" s="0" t="n">
        <f aca="false">I13-MAX(0,I13)*I14/100</f>
        <v>2915.68991182449</v>
      </c>
      <c r="J15" s="0" t="n">
        <f aca="false">J13-MAX(0,J13)*J14/100</f>
        <v>3017.73905873834</v>
      </c>
      <c r="K15" s="0" t="n">
        <f aca="false">K13-MAX(0,K13)*K14/100</f>
        <v>3108.27123050049</v>
      </c>
      <c r="L15" s="0" t="n">
        <f aca="false">L13-MAX(0,L13)*L14/100</f>
        <v>3201.51936741551</v>
      </c>
    </row>
    <row r="16" customFormat="false" ht="15" hidden="false" customHeight="false" outlineLevel="0" collapsed="false">
      <c r="A16" s="0" t="s">
        <v>118</v>
      </c>
      <c r="C16" s="0" t="n">
        <f aca="false">-C12</f>
        <v>231.23845248</v>
      </c>
      <c r="D16" s="0" t="n">
        <f aca="false">-D12</f>
        <v>245.1127596288</v>
      </c>
      <c r="E16" s="0" t="n">
        <f aca="false">-E12</f>
        <v>257.36839761024</v>
      </c>
      <c r="F16" s="0" t="n">
        <f aca="false">-F12</f>
        <v>270.236817490752</v>
      </c>
      <c r="G16" s="0" t="n">
        <f aca="false">-G12</f>
        <v>282.397474277836</v>
      </c>
      <c r="H16" s="0" t="n">
        <f aca="false">-H12</f>
        <v>293.693373248949</v>
      </c>
      <c r="I16" s="0" t="n">
        <f aca="false">-I12</f>
        <v>305.441108178907</v>
      </c>
      <c r="J16" s="0" t="n">
        <f aca="false">-J12</f>
        <v>316.131546965169</v>
      </c>
      <c r="K16" s="0" t="n">
        <f aca="false">-K12</f>
        <v>325.615493374124</v>
      </c>
      <c r="L16" s="0" t="n">
        <f aca="false">-L12</f>
        <v>335.383958175348</v>
      </c>
    </row>
    <row r="17" customFormat="false" ht="15" hidden="false" customHeight="false" outlineLevel="0" collapsed="false">
      <c r="A17" s="0" t="s">
        <v>119</v>
      </c>
      <c r="C17" s="4" t="n">
        <f aca="false">-C6*Assumptions!C46/100</f>
        <v>-269.77819456</v>
      </c>
      <c r="D17" s="4" t="n">
        <f aca="false">-D6*Assumptions!D46/100</f>
        <v>-285.9648862336</v>
      </c>
      <c r="E17" s="4" t="n">
        <f aca="false">-E6*Assumptions!E46/100</f>
        <v>-300.26313054528</v>
      </c>
      <c r="F17" s="4" t="n">
        <f aca="false">-F6*Assumptions!F46/100</f>
        <v>-315.276287072544</v>
      </c>
      <c r="G17" s="4" t="n">
        <f aca="false">-G6*Assumptions!G46/100</f>
        <v>-329.463719990809</v>
      </c>
      <c r="H17" s="4" t="n">
        <f aca="false">-H6*Assumptions!H46/100</f>
        <v>-342.642268790441</v>
      </c>
      <c r="I17" s="4" t="n">
        <f aca="false">-I6*Assumptions!I46/100</f>
        <v>-356.347959542059</v>
      </c>
      <c r="J17" s="4" t="n">
        <f aca="false">-J6*Assumptions!J46/100</f>
        <v>-368.820138126031</v>
      </c>
      <c r="K17" s="4" t="n">
        <f aca="false">-K6*Assumptions!K46/100</f>
        <v>-379.884742269811</v>
      </c>
      <c r="L17" s="4" t="n">
        <f aca="false">-L6*Assumptions!L46/100</f>
        <v>-391.281284537906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(C6-B6)*Assumptions!$B$51/100</f>
        <v>-1548.47178</v>
      </c>
      <c r="D18" s="4" t="n">
        <f aca="false">(D6-C6)*Assumptions!$B$51/100</f>
        <v>-867.1441968</v>
      </c>
      <c r="E18" s="4" t="n">
        <f aca="false">(E6-D6)*Assumptions!$B$51/100</f>
        <v>-765.97737384</v>
      </c>
      <c r="F18" s="4" t="n">
        <f aca="false">(F6-E6)*Assumptions!$B$51/100</f>
        <v>-804.276242532002</v>
      </c>
      <c r="G18" s="4" t="n">
        <f aca="false">(G6-F6)*Assumptions!$B$51/100</f>
        <v>-760.04104919274</v>
      </c>
      <c r="H18" s="4" t="n">
        <f aca="false">(H6-G6)*Assumptions!$B$51/100</f>
        <v>-705.993685694591</v>
      </c>
      <c r="I18" s="4" t="n">
        <f aca="false">(I6-H6)*Assumptions!$B$51/100</f>
        <v>-734.233433122374</v>
      </c>
      <c r="J18" s="4" t="n">
        <f aca="false">(J6-I6)*Assumptions!$B$51/100</f>
        <v>-668.152424141358</v>
      </c>
      <c r="K18" s="4" t="n">
        <f aca="false">(K6-J6)*Assumptions!$B$51/100</f>
        <v>-592.746650559691</v>
      </c>
      <c r="L18" s="4" t="n">
        <f aca="false">(L6-K6)*Assumptions!$B$51/100</f>
        <v>-610.529050076483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818.253781132798</v>
      </c>
      <c r="D19" s="0" t="n">
        <f aca="false">D15+D16+D17+D18</f>
        <v>1544.76535794739</v>
      </c>
      <c r="E19" s="0" t="n">
        <f aca="false">E15+E16+E17+E18</f>
        <v>1698.7539806074</v>
      </c>
      <c r="F19" s="0" t="n">
        <f aca="false">F15+F16+F17+F18</f>
        <v>1730.31990818334</v>
      </c>
      <c r="G19" s="0" t="n">
        <f aca="false">G15+G16+G17+G18</f>
        <v>1888.6119283048</v>
      </c>
      <c r="H19" s="0" t="n">
        <f aca="false">H15+H16+H17+H18</f>
        <v>2048.60541090285</v>
      </c>
      <c r="I19" s="0" t="n">
        <f aca="false">I15+I16+I17+I18</f>
        <v>2130.54962733896</v>
      </c>
      <c r="J19" s="0" t="n">
        <f aca="false">J15+J16+J17+J18</f>
        <v>2296.89804343612</v>
      </c>
      <c r="K19" s="0" t="n">
        <f aca="false">K15+K16+K17+K18</f>
        <v>2461.25533104511</v>
      </c>
      <c r="L19" s="0" t="n">
        <f aca="false">L15+L16+L17+L18</f>
        <v>2535.09299097647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750.691542323667</v>
      </c>
      <c r="D21" s="0" t="n">
        <f aca="false">D19*D20</f>
        <v>1300.19809607558</v>
      </c>
      <c r="E21" s="0" t="n">
        <f aca="false">E19*E20</f>
        <v>1311.74976051301</v>
      </c>
      <c r="F21" s="0" t="n">
        <f aca="false">F19*F20</f>
        <v>1225.8022461651</v>
      </c>
      <c r="G21" s="0" t="n">
        <f aca="false">G19*G20</f>
        <v>1227.46816874273</v>
      </c>
      <c r="H21" s="0" t="n">
        <f aca="false">H19*H20</f>
        <v>1221.51647218934</v>
      </c>
      <c r="I21" s="0" t="n">
        <f aca="false">I19*I20</f>
        <v>1165.48360649258</v>
      </c>
      <c r="J21" s="0" t="n">
        <f aca="false">J19*J20</f>
        <v>1152.73567584695</v>
      </c>
      <c r="K21" s="0" t="n">
        <f aca="false">K19*K20</f>
        <v>1133.23032689576</v>
      </c>
      <c r="L21" s="0" t="n">
        <f aca="false">L19*L20</f>
        <v>1070.85067587397</v>
      </c>
    </row>
    <row r="23" customFormat="false" ht="15" hidden="false" customHeight="false" outlineLevel="0" collapsed="false">
      <c r="A23" s="0" t="s">
        <v>99</v>
      </c>
      <c r="C23" s="4" t="n">
        <f aca="false">Assumptions!C44</f>
        <v>2.5</v>
      </c>
      <c r="D23" s="4" t="n">
        <f aca="false">Assumptions!D44</f>
        <v>2.5</v>
      </c>
      <c r="E23" s="4" t="n">
        <f aca="false">Assumptions!E44</f>
        <v>2.5</v>
      </c>
      <c r="F23" s="4" t="n">
        <f aca="false">Assumptions!F44</f>
        <v>2.5</v>
      </c>
      <c r="G23" s="4" t="n">
        <f aca="false">Assumptions!G44</f>
        <v>2.5</v>
      </c>
      <c r="H23" s="4" t="n">
        <f aca="false">Assumptions!H44</f>
        <v>2.5</v>
      </c>
      <c r="I23" s="4" t="n">
        <f aca="false">Assumptions!I44</f>
        <v>2.5</v>
      </c>
      <c r="J23" s="4" t="n">
        <f aca="false">Assumptions!J44</f>
        <v>2.5</v>
      </c>
      <c r="K23" s="4" t="n">
        <f aca="false">Assumptions!K44</f>
        <v>2.5</v>
      </c>
      <c r="L23" s="4" t="n">
        <f aca="false">Assumptions!L44</f>
        <v>2.5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-481.746776</v>
      </c>
      <c r="D24" s="0" t="n">
        <f aca="false">-D6*D23/100</f>
        <v>-510.65158256</v>
      </c>
      <c r="E24" s="0" t="n">
        <f aca="false">-E6*E23/100</f>
        <v>-536.184161688</v>
      </c>
      <c r="F24" s="0" t="n">
        <f aca="false">-F6*F23/100</f>
        <v>-562.9933697724</v>
      </c>
      <c r="G24" s="0" t="n">
        <f aca="false">-G6*G23/100</f>
        <v>-588.328071412158</v>
      </c>
      <c r="H24" s="0" t="n">
        <f aca="false">-H6*H23/100</f>
        <v>-611.861194268645</v>
      </c>
      <c r="I24" s="0" t="n">
        <f aca="false">-I6*I23/100</f>
        <v>-636.33564203939</v>
      </c>
      <c r="J24" s="0" t="n">
        <f aca="false">-J6*J23/100</f>
        <v>-658.607389510769</v>
      </c>
      <c r="K24" s="0" t="n">
        <f aca="false">-K6*K23/100</f>
        <v>-678.365611196092</v>
      </c>
      <c r="L24" s="0" t="n">
        <f aca="false">-L6*L23/100</f>
        <v>-698.716579531975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104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105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11559.7265711187</v>
      </c>
    </row>
    <row r="31" customFormat="false" ht="15" hidden="false" customHeight="false" outlineLevel="0" collapsed="false">
      <c r="A31" s="0" t="s">
        <v>127</v>
      </c>
      <c r="B31" s="0" t="n">
        <f aca="false">L19</f>
        <v>2535.09299097647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43519.096345096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30421.1158917176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30421.1158917176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12850.2081104877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24409.9346816064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22376.3346816064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38.1133276811555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0.698454887752026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38.1133276811555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21759.548172548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20.4967214341542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2" t="s">
        <v>144</v>
      </c>
      <c r="B3" s="2" t="s">
        <v>145</v>
      </c>
      <c r="C3" s="2" t="s">
        <v>135</v>
      </c>
      <c r="D3" s="2" t="s">
        <v>146</v>
      </c>
      <c r="E3" s="2" t="s">
        <v>138</v>
      </c>
      <c r="F3" s="2" t="s">
        <v>147</v>
      </c>
    </row>
    <row r="4" customFormat="false" ht="15" hidden="false" customHeight="false" outlineLevel="0" collapsed="false">
      <c r="A4" s="0" t="s">
        <v>148</v>
      </c>
      <c r="B4" s="4" t="n">
        <f aca="false">DCF_Bear!$B$38</f>
        <v>22.613944140151</v>
      </c>
      <c r="C4" s="0" t="n">
        <f aca="false">B4/Assumptions!$B$2-1</f>
        <v>0.00775152139710356</v>
      </c>
      <c r="D4" s="4" t="n">
        <f aca="false">Assumptions!$B$24</f>
        <v>0.25</v>
      </c>
      <c r="E4" s="4" t="n">
        <f aca="false">DCF_Bear!$B$43</f>
        <v>22.613944140151</v>
      </c>
      <c r="F4" s="4" t="n">
        <f aca="false">DCF_Bear!$B$47</f>
        <v>13.1735435219146</v>
      </c>
    </row>
    <row r="5" customFormat="false" ht="15" hidden="false" customHeight="false" outlineLevel="0" collapsed="false">
      <c r="A5" s="0" t="s">
        <v>149</v>
      </c>
      <c r="B5" s="4" t="n">
        <f aca="false">DCF_Base!$B$38</f>
        <v>29.4478043565708</v>
      </c>
      <c r="C5" s="0" t="n">
        <f aca="false">B5/Assumptions!$B$2-1</f>
        <v>0.312290746727754</v>
      </c>
      <c r="D5" s="4" t="n">
        <f aca="false">Assumptions!$B$38</f>
        <v>0.5</v>
      </c>
      <c r="E5" s="4" t="n">
        <f aca="false">DCF_Base!$B$43</f>
        <v>29.4478043565708</v>
      </c>
      <c r="F5" s="4" t="n">
        <f aca="false">DCF_Base!$B$47</f>
        <v>16.1765449068408</v>
      </c>
    </row>
    <row r="6" customFormat="false" ht="15" hidden="false" customHeight="false" outlineLevel="0" collapsed="false">
      <c r="A6" s="0" t="s">
        <v>150</v>
      </c>
      <c r="B6" s="4" t="n">
        <f aca="false">DCF_Bull!$B$38</f>
        <v>38.1133276811555</v>
      </c>
      <c r="C6" s="0" t="n">
        <f aca="false">B6/Assumptions!$B$2-1</f>
        <v>0.698454887752026</v>
      </c>
      <c r="D6" s="4" t="n">
        <f aca="false">Assumptions!$B$52</f>
        <v>0.25</v>
      </c>
      <c r="E6" s="4" t="n">
        <f aca="false">DCF_Bull!$B$43</f>
        <v>38.1133276811555</v>
      </c>
      <c r="F6" s="4" t="n">
        <f aca="false">DCF_Bull!$B$47</f>
        <v>20.4967214341542</v>
      </c>
    </row>
    <row r="8" customFormat="false" ht="15" hidden="false" customHeight="false" outlineLevel="0" collapsed="false">
      <c r="A8" s="0" t="s">
        <v>151</v>
      </c>
      <c r="B8" s="0" t="n">
        <f aca="false">SUMPRODUCT(B4:B6,D4:D6)</f>
        <v>29.905720133612</v>
      </c>
    </row>
    <row r="9" customFormat="false" ht="15" hidden="false" customHeight="false" outlineLevel="0" collapsed="false">
      <c r="A9" s="0" t="s">
        <v>152</v>
      </c>
      <c r="B9" s="0" t="n">
        <f aca="false">SUMPRODUCT(E4:E6,D4:D6)</f>
        <v>29.905720133612</v>
      </c>
    </row>
    <row r="10" customFormat="false" ht="15" hidden="false" customHeight="false" outlineLevel="0" collapsed="false">
      <c r="A10" s="0" t="s">
        <v>153</v>
      </c>
      <c r="B10" s="0" t="n">
        <f aca="false">1-Assumptions!$B$2/B8</f>
        <v>0.249641877883457</v>
      </c>
    </row>
    <row r="11" customFormat="false" ht="15" hidden="false" customHeight="false" outlineLevel="0" collapsed="false">
      <c r="A11" s="0" t="s">
        <v>154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155</v>
      </c>
      <c r="B12" s="0" t="n">
        <f aca="false">SUMPRODUCT(F4:F6,D4:D6)</f>
        <v>16.5058386924376</v>
      </c>
    </row>
    <row r="14" customFormat="false" ht="15" hidden="false" customHeight="false" outlineLevel="0" collapsed="false">
      <c r="A14" s="2" t="s">
        <v>156</v>
      </c>
      <c r="C14" s="0" t="s">
        <v>157</v>
      </c>
    </row>
    <row r="15" customFormat="false" ht="15" hidden="false" customHeight="false" outlineLevel="0" collapsed="false">
      <c r="A15" s="0" t="s">
        <v>158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29.4478043565708</v>
      </c>
      <c r="C15" s="3" t="n">
        <v>9</v>
      </c>
    </row>
    <row r="16" customFormat="false" ht="15" hidden="false" customHeight="false" outlineLevel="0" collapsed="false">
      <c r="A16" s="0" t="s">
        <v>159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27.3244634097876</v>
      </c>
      <c r="C16" s="3" t="n">
        <v>10</v>
      </c>
    </row>
    <row r="17" customFormat="false" ht="15" hidden="false" customHeight="false" outlineLevel="0" collapsed="false">
      <c r="A17" s="0" t="s">
        <v>160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25.3815414029352</v>
      </c>
      <c r="C17" s="3" t="n">
        <v>11</v>
      </c>
    </row>
    <row r="18" customFormat="false" ht="15" hidden="false" customHeight="false" outlineLevel="0" collapsed="false">
      <c r="A18" s="0" t="s">
        <v>161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22.3924186308401</v>
      </c>
      <c r="C18" s="3" t="n">
        <v>12</v>
      </c>
    </row>
    <row r="19" customFormat="false" ht="15" hidden="false" customHeight="false" outlineLevel="0" collapsed="false">
      <c r="A19" s="0" t="s">
        <v>162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16.1765449068408</v>
      </c>
      <c r="C19" s="3" t="n">
        <v>15</v>
      </c>
    </row>
    <row r="21" customFormat="false" ht="15" hidden="false" customHeight="false" outlineLevel="0" collapsed="false">
      <c r="A21" s="2" t="s">
        <v>163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34.3166779894182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34.3166779894182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34.3166779894182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34.3166779894182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34.3166779894182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31.7711987368333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31.7711987368333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31.7711987368333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31.7711987368333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31.7711987368333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29.4478043565708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29.4478043565708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29.4478043565708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29.4478043565708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29.4478043565708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27.2541087763401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27.3244634097876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27.3244634097876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27.3244634097876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27.3244634097876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23.9439843243249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24.6531791497726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25.3815414029352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25.3815414029352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25.3815414029352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2026-10-11T02:20:06Z</dcterms:created>
  <dc:creator>openpyxl</dc:creator>
  <dc:description/>
  <dc:language>en-NZ</dc:language>
  <cp:lastModifiedBy/>
  <dcterms:modified xsi:type="dcterms:W3CDTF">2026-10-11T02:20:06Z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