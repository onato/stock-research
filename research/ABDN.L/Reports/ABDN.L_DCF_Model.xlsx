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<sst xmlns="http://schemas.openxmlformats.org/spreadsheetml/2006/main" count="357" uniqueCount="169">
  <si>
    <t xml:space="preserve">Ticker</t>
  </si>
  <si>
    <t xml:space="preserve">ABDN.L</t>
  </si>
  <si>
    <t xml:space="preserve">Company</t>
  </si>
  <si>
    <t xml:space="preserve">Aberdeen Group plc</t>
  </si>
  <si>
    <t xml:space="preserve">Valuation date</t>
  </si>
  <si>
    <t xml:space="preserve">2026-10-04</t>
  </si>
  <si>
    <t xml:space="preserve">Current price</t>
  </si>
  <si>
    <t xml:space="preserve">Price as of</t>
  </si>
  <si>
    <t xml:space="preserve">2026-10-02T15:35:23Z (LSE closing auction, regular session; 52-week range 179.6-265.0)</t>
  </si>
  <si>
    <t xml:space="preserve">Balance sheet date</t>
  </si>
  <si>
    <t xml:space="preserve">2026-06-30</t>
  </si>
  <si>
    <t xml:space="preserve">Model</t>
  </si>
  <si>
    <t xml:space="preserve">owner_fcf_dcf_component</t>
  </si>
  <si>
    <t xml:space="preserve">Currency (model)</t>
  </si>
  <si>
    <t xml:space="preserve">GBP</t>
  </si>
  <si>
    <t xml:space="preserve">Currency (quote)</t>
  </si>
  <si>
    <t xml:space="preserve">GBX</t>
  </si>
  <si>
    <t xml:space="preserve">Units</t>
  </si>
  <si>
    <t xml:space="preserve">millions</t>
  </si>
  <si>
    <t xml:space="preserve">Engine</t>
  </si>
  <si>
    <t xml:space="preserve">dcf_engine v1</t>
  </si>
  <si>
    <t xml:space="preserve">Built at</t>
  </si>
  <si>
    <t xml:space="preserve">2026-10-04T10:08:44Z</t>
  </si>
  <si>
    <t xml:space="preserve">Drivers file</t>
  </si>
  <si>
    <t xml:space="preserve">ABDN.L_Drivers.json</t>
  </si>
  <si>
    <t xml:space="preserve">Convention</t>
  </si>
  <si>
    <t xml:space="preserve">Percents stored as percents; formulas divide by 100. Blue = input, green = link, black = formula.</t>
  </si>
  <si>
    <t xml:space="preserve">Methodology</t>
  </si>
  <si>
    <t xml:space="preserve">summary: Value Aberdeen as a fee-based operating company on owner FCF built from adjusted operating profit, then add - item by item - the non-operating assets whose income the company itself excludes from AOP (Standard Life plc stake, liquid resources, HASL, the extractable slice of the pension surplus) and deduct the claims ahead of ordinary shareholders (Tier 2 notes, AT1 notes) and the capital the regulator will never let out. Roughly 38% of the market cap is balance sheet rather than earnings, so the bridge is shown line by line for a reader to challenge. Risk is charged once, in the scenario flows and weights; WACC is the same in all three cases.
key_risks_to_valuation: Interest-rate path: ii treasury income (GBP161m FY2025, ~55% of ii revenue growth) scales with BoE base rate; each 50bp of cash margin on GBP8.6bn of balances is ~GBP43m of pre-tax profit.; Flows: Investments (ex-liquidity) and Adviser remain in net outflow; the Adviser &gt;GBP1bn FY2027 inflow target has already slipped once.; Equity markets: fee revenue and the GBP867m Standard Life plc stake both move with markets; the bridge is marked at 30 Jun 2026 and is scenario-independent in the engine.; Bridge judgments: the -GBP470m regulatory lock-up haircut and the +GBP239m pension-offset credit are stated assumptions worth ~26p and ~13p per share respectively; crediting cash at par and the full surplus would add ~40p, deducting the whole OFTR at par would remove ~20p.; Capital allocation: GBP1.5bn of buybacks in 2019-2023 bought at prices well above today's; a return to buybacks would be accretive at 243p but management has prioritised debt reduction and bolt-on M&amp;A.; Execution: multi-year transformation with recurring leadership change; FY2026 target depends on an H2 step-up (H1 AOP GBP151m vs GBP300m full year).</t>
  </si>
  <si>
    <t xml:space="preserve">Data sources</t>
  </si>
  <si>
    <t xml:space="preserve">price: Yahoo Finance chart API (ABDN.L) at inputs.price_as_of; 52-week range 179.6-265.0 GBp.
financials: ABDN.L_Metrics.csv / core_metrics (FY2019-H1 FY2026); ABDN.L_HalfYear_H1-2026.txt (balance sheet, capital base, Note 7 diluted shares, Note 10 associates, APM reconciliations, lease cash flows); ABDN.L_Annual_FY2025.txt (AOP by segment, D&amp;A inside adjusted opex GBP29m, SBC, tax on adjusted profit, lease liabilities).
qualitative: ABDN.L_Analysis.json (2026-10-04): segment mix, guidance as of H1 2026 results 29 Jul 2026, bull/bear axes.</t>
  </si>
  <si>
    <t xml:space="preserve">Scenario narrative: bear</t>
  </si>
  <si>
    <t xml:space="preserve">Rate cuts compress ii treasury income by GBP60-70m, Adviser and Investments outflows persist, a 2027 market drawdown clips revenue 3%; AOP margin falls to 17-17.5% (FY2023-24 levels). Earnings bear, not solvency: coverage stays &gt;180%.</t>
  </si>
  <si>
    <t xml:space="preserve">Scenario narrative: base</t>
  </si>
  <si>
    <t xml:space="preserve">FY2026 targets met; ii compounds, Investments flows stabilise near zero, Adviser inflows return a year late; gradual BoE cuts offset by growing ii balances; AOP margin 21.5% -&gt; 25% by FY2031; revenue growth 4% fading to 2%.</t>
  </si>
  <si>
    <t xml:space="preserve">Scenario narrative: bull</t>
  </si>
  <si>
    <t xml:space="preserve">All three segments turn together - ii 15%+ growth, Adviser &gt;GBP1bn FY2027 inflows, Investments net inflows on CEF/private markets - with rates higher for longer; AOP margin to 28%; top of the 5-10% NCG growth range.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</si>
  <si>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</si>
  <si>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</si>
  <si>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</si>
  <si>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</si>
  <si>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</si>
  <si>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</si>
  <si>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</si>
  <si>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</si>
  <si>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</si>
  <si>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</si>
  <si>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</si>
  <si>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</si>
  <si>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</si>
  <si>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</si>
  <si>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</si>
  <si>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</si>
  <si>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</si>
  <si>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</si>
  <si>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</si>
  <si>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</si>
  <si>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</si>
  <si>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</si>
  <si>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</si>
  <si>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</si>
  <si>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</si>
  <si>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</si>
  <si>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</si>
  <si>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AUM</t>
  </si>
  <si>
    <t xml:space="preserve">AdjustedEBIT</t>
  </si>
  <si>
    <t xml:space="preserve">Amortisation</t>
  </si>
  <si>
    <t xml:space="preserve">CapexIntangibles</t>
  </si>
  <si>
    <t xml:space="preserve">CapexPPE</t>
  </si>
  <si>
    <t xml:space="preserve">ProfitForPeriodTotal</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</si>
  <si>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</si>
  <si>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</si>
  <si>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</si>
  <si>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</si>
  <si>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</si>
  <si>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</si>
  <si>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</si>
  <si>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</si>
  <si>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</si>
  <si>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</si>
  <si>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</si>
  <si>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</si>
  <si>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</si>
  <si>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</si>
  <si>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</si>
  <si>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</si>
  <si>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</si>
  <si>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GBP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</si>
  <si>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</si>
  <si>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</si>
  <si>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</si>
  <si>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</si>
  <si>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</si>
  <si>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</si>
  <si>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</si>
  <si>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</si>
  <si>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</si>
  <si>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</si>
  <si>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</si>
  <si>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</si>
  <si>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</si>
  <si>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</si>
  <si>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</si>
  <si>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</si>
  <si>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</si>
  <si>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</si>
  <si>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</si>
  <si>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</si>
  <si>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</si>
  <si>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</si>
  <si>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</si>
  <si>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</si>
  <si>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</si>
  <si>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</si>
  <si>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ABDN.L owner-FCF component DCF: bear case (millions, GBP)</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</si>
  <si>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</si>
  <si>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</si>
  <si>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</si>
  <si>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</si>
  <si>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</si>
  <si>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</si>
  <si>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</si>
  <si>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</si>
  <si>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</si>
  <si>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</si>
  <si>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</si>
  <si>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</si>
  <si>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</si>
  <si>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</si>
  <si>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</si>
  <si>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</si>
  <si>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</si>
  <si>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</si>
  <si>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</si>
  <si>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</si>
  <si>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</si>
  <si>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</si>
  <si>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</si>
  <si>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</si>
  <si>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</si>
  <si>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</si>
  <si>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</si>
  <si>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</si>
  <si>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</si>
  <si>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</si>
  <si>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ABDN.L owner-FCF component DCF: base case (millions, GBP)</t>
  </si>
  <si>
    <t xml:space="preserve">ABDN.L owner-FCF component DCF: bull case (millions, GBP)</t>
  </si>
  <si>
    <t xml:space="preserve">ABDN.L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</si>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</sst>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243.2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row>
    <row r="2" customFormat="false" ht="15" hidden="false" customHeight="false" outlineLevel="0" collapsed="false">
      <c r="A2" s="0" t="s">
        <v>70</v>
      </c>
      <c r="B2" s="0" t="n">
        <v>1743</v>
      </c>
      <c r="I2" s="0" t="n">
        <v>266</v>
      </c>
      <c r="J2" s="0" t="n">
        <v>15.3</v>
      </c>
      <c r="K2" s="0" t="n">
        <v>0.112</v>
      </c>
      <c r="L2" s="0" t="n">
        <v>201</v>
      </c>
      <c r="M2" s="0" t="n">
        <v>43</v>
      </c>
      <c r="N2" s="0" t="n">
        <v>158</v>
      </c>
      <c r="O2" s="0" t="n">
        <v>6564</v>
      </c>
      <c r="P2" s="0" t="n">
        <v>11422</v>
      </c>
      <c r="Q2" s="0" t="n">
        <v>4756</v>
      </c>
      <c r="R2" s="0" t="n">
        <v>655</v>
      </c>
      <c r="S2" s="0" t="n">
        <v>1615</v>
      </c>
      <c r="T2" s="0" t="n">
        <v>2374</v>
      </c>
      <c r="U2" s="0" t="n">
        <v>43</v>
      </c>
      <c r="AA2" s="0" t="s">
        <v>18</v>
      </c>
      <c r="AB2" s="0" t="s">
        <v>14</v>
      </c>
      <c r="AC2" s="0" t="n">
        <v>544600</v>
      </c>
      <c r="AD2" s="0" t="n">
        <v>301</v>
      </c>
      <c r="AF2" s="0" t="n">
        <v>15</v>
      </c>
      <c r="AG2" s="0" t="n">
        <v>28</v>
      </c>
      <c r="AH2" s="0" t="n">
        <v>271</v>
      </c>
    </row>
    <row r="3" customFormat="false" ht="15" hidden="false" customHeight="false" outlineLevel="0" collapsed="false">
      <c r="A3" s="0" t="s">
        <v>71</v>
      </c>
      <c r="B3" s="0" t="n">
        <v>1527</v>
      </c>
      <c r="C3" s="0" t="n">
        <v>104</v>
      </c>
      <c r="D3" s="0" t="n">
        <v>1423</v>
      </c>
      <c r="E3" s="0" t="n">
        <v>93.2</v>
      </c>
      <c r="I3" s="0" t="n">
        <v>833</v>
      </c>
      <c r="J3" s="0" t="n">
        <v>54.6</v>
      </c>
      <c r="K3" s="0" t="n">
        <v>0.378</v>
      </c>
      <c r="L3" s="0" t="n">
        <v>56</v>
      </c>
      <c r="M3" s="0" t="n">
        <v>25</v>
      </c>
      <c r="N3" s="0" t="n">
        <v>31</v>
      </c>
      <c r="O3" s="0" t="n">
        <v>6810</v>
      </c>
      <c r="P3" s="0" t="n">
        <v>10478</v>
      </c>
      <c r="Q3" s="0" t="n">
        <v>3665</v>
      </c>
      <c r="R3" s="0" t="n">
        <v>638</v>
      </c>
      <c r="S3" s="0" t="n">
        <v>1519</v>
      </c>
      <c r="T3" s="0" t="n">
        <v>2202</v>
      </c>
      <c r="U3" s="0" t="n">
        <v>64</v>
      </c>
      <c r="AA3" s="0" t="s">
        <v>18</v>
      </c>
      <c r="AB3" s="0" t="s">
        <v>14</v>
      </c>
      <c r="AC3" s="0" t="n">
        <v>534600</v>
      </c>
      <c r="AD3" s="0" t="n">
        <v>219</v>
      </c>
      <c r="AF3" s="0" t="n">
        <v>12</v>
      </c>
      <c r="AG3" s="0" t="n">
        <v>13</v>
      </c>
      <c r="AH3" s="0" t="n">
        <v>838</v>
      </c>
    </row>
    <row r="4" customFormat="false" ht="15" hidden="false" customHeight="false" outlineLevel="0" collapsed="false">
      <c r="A4" s="0" t="s">
        <v>72</v>
      </c>
      <c r="B4" s="0" t="n">
        <v>1685</v>
      </c>
      <c r="C4" s="0" t="n">
        <v>142</v>
      </c>
      <c r="D4" s="0" t="n">
        <v>1543</v>
      </c>
      <c r="E4" s="0" t="n">
        <v>91.6</v>
      </c>
      <c r="I4" s="0" t="n">
        <v>994</v>
      </c>
      <c r="J4" s="0" t="n">
        <v>59</v>
      </c>
      <c r="K4" s="0" t="n">
        <v>0.468</v>
      </c>
      <c r="L4" s="0" t="n">
        <v>14</v>
      </c>
      <c r="M4" s="0" t="n">
        <v>12</v>
      </c>
      <c r="N4" s="0" t="n">
        <v>2</v>
      </c>
      <c r="O4" s="0" t="n">
        <v>7643</v>
      </c>
      <c r="P4" s="0" t="n">
        <v>11418</v>
      </c>
      <c r="Q4" s="0" t="n">
        <v>3562</v>
      </c>
      <c r="R4" s="0" t="n">
        <v>644</v>
      </c>
      <c r="S4" s="0" t="n">
        <v>1904</v>
      </c>
      <c r="T4" s="0" t="n">
        <v>2123</v>
      </c>
      <c r="U4" s="0" t="n">
        <v>43</v>
      </c>
      <c r="AA4" s="0" t="s">
        <v>18</v>
      </c>
      <c r="AB4" s="0" t="s">
        <v>14</v>
      </c>
      <c r="AD4" s="0" t="n">
        <v>323</v>
      </c>
      <c r="AF4" s="0" t="n">
        <v>0</v>
      </c>
      <c r="AG4" s="0" t="n">
        <v>12</v>
      </c>
      <c r="AH4" s="0" t="n">
        <v>995</v>
      </c>
    </row>
    <row r="5" customFormat="false" ht="15" hidden="false" customHeight="false" outlineLevel="0" collapsed="false">
      <c r="A5" s="0" t="s">
        <v>73</v>
      </c>
      <c r="B5" s="0" t="n">
        <v>1538</v>
      </c>
      <c r="C5" s="0" t="n">
        <v>82</v>
      </c>
      <c r="D5" s="0" t="n">
        <v>1456</v>
      </c>
      <c r="E5" s="0" t="n">
        <v>94.7</v>
      </c>
      <c r="I5" s="0" t="n">
        <v>-558</v>
      </c>
      <c r="J5" s="0" t="n">
        <v>-36.3</v>
      </c>
      <c r="K5" s="0" t="n">
        <v>-0.266</v>
      </c>
      <c r="L5" s="0" t="n">
        <v>110</v>
      </c>
      <c r="M5" s="0" t="n">
        <v>27</v>
      </c>
      <c r="N5" s="0" t="n">
        <v>83</v>
      </c>
      <c r="O5" s="0" t="n">
        <v>5628</v>
      </c>
      <c r="P5" s="0" t="n">
        <v>9212</v>
      </c>
      <c r="Q5" s="0" t="n">
        <v>3370</v>
      </c>
      <c r="R5" s="0" t="n">
        <v>621</v>
      </c>
      <c r="S5" s="0" t="n">
        <v>1133</v>
      </c>
      <c r="T5" s="0" t="n">
        <v>2094</v>
      </c>
      <c r="U5" s="0" t="n">
        <v>24</v>
      </c>
      <c r="AA5" s="0" t="s">
        <v>18</v>
      </c>
      <c r="AB5" s="0" t="s">
        <v>14</v>
      </c>
      <c r="AD5" s="0" t="n">
        <v>263</v>
      </c>
      <c r="AE5" s="0" t="n">
        <v>125</v>
      </c>
      <c r="AF5" s="0" t="n">
        <v>6</v>
      </c>
      <c r="AG5" s="0" t="n">
        <v>21</v>
      </c>
      <c r="AH5" s="0" t="n">
        <v>-546</v>
      </c>
    </row>
    <row r="6" customFormat="false" ht="15" hidden="false" customHeight="false" outlineLevel="0" collapsed="false">
      <c r="A6" s="0" t="s">
        <v>74</v>
      </c>
      <c r="B6" s="0" t="n">
        <v>1474</v>
      </c>
      <c r="C6" s="0" t="n">
        <v>76</v>
      </c>
      <c r="D6" s="0" t="n">
        <v>1398</v>
      </c>
      <c r="E6" s="0" t="n">
        <v>94.8</v>
      </c>
      <c r="I6" s="0" t="n">
        <v>1</v>
      </c>
      <c r="J6" s="0" t="n">
        <v>0.1</v>
      </c>
      <c r="K6" s="0" t="n">
        <v>0.001</v>
      </c>
      <c r="L6" s="0" t="n">
        <v>221</v>
      </c>
      <c r="M6" s="0" t="n">
        <v>59</v>
      </c>
      <c r="N6" s="0" t="n">
        <v>162</v>
      </c>
      <c r="O6" s="0" t="n">
        <v>4878</v>
      </c>
      <c r="P6" s="0" t="n">
        <v>8031</v>
      </c>
      <c r="Q6" s="0" t="n">
        <v>2941</v>
      </c>
      <c r="R6" s="0" t="n">
        <v>599</v>
      </c>
      <c r="S6" s="0" t="n">
        <v>1196</v>
      </c>
      <c r="T6" s="0" t="n">
        <v>1902</v>
      </c>
      <c r="U6" s="0" t="n">
        <v>24</v>
      </c>
      <c r="AA6" s="0" t="s">
        <v>18</v>
      </c>
      <c r="AB6" s="0" t="s">
        <v>14</v>
      </c>
      <c r="AC6" s="0" t="n">
        <v>494900</v>
      </c>
      <c r="AD6" s="0" t="n">
        <v>249</v>
      </c>
      <c r="AE6" s="0" t="n">
        <v>126</v>
      </c>
      <c r="AF6" s="0" t="n">
        <v>41</v>
      </c>
      <c r="AG6" s="0" t="n">
        <v>18</v>
      </c>
      <c r="AH6" s="0" t="n">
        <v>12</v>
      </c>
    </row>
    <row r="7" customFormat="false" ht="15" hidden="false" customHeight="false" outlineLevel="0" collapsed="false">
      <c r="A7" s="0" t="s">
        <v>75</v>
      </c>
      <c r="B7" s="0" t="n">
        <v>1370</v>
      </c>
      <c r="C7" s="0" t="n">
        <v>65</v>
      </c>
      <c r="D7" s="0" t="n">
        <v>1305</v>
      </c>
      <c r="E7" s="0" t="n">
        <v>95.3</v>
      </c>
      <c r="I7" s="0" t="n">
        <v>237</v>
      </c>
      <c r="J7" s="0" t="n">
        <v>17.3</v>
      </c>
      <c r="K7" s="0" t="n">
        <v>0.132</v>
      </c>
      <c r="L7" s="0" t="n">
        <v>213</v>
      </c>
      <c r="M7" s="0" t="n">
        <v>33</v>
      </c>
      <c r="N7" s="0" t="n">
        <v>180</v>
      </c>
      <c r="O7" s="0" t="n">
        <v>4827</v>
      </c>
      <c r="P7" s="0" t="n">
        <v>7721</v>
      </c>
      <c r="Q7" s="0" t="n">
        <v>2682</v>
      </c>
      <c r="R7" s="0" t="n">
        <v>597</v>
      </c>
      <c r="S7" s="0" t="n">
        <v>1321</v>
      </c>
      <c r="T7" s="0" t="n">
        <v>1796</v>
      </c>
      <c r="U7" s="0" t="n">
        <v>26</v>
      </c>
      <c r="AA7" s="0" t="s">
        <v>18</v>
      </c>
      <c r="AB7" s="0" t="s">
        <v>14</v>
      </c>
      <c r="AC7" s="0" t="n">
        <v>511400</v>
      </c>
      <c r="AD7" s="0" t="n">
        <v>255</v>
      </c>
      <c r="AE7" s="0" t="n">
        <v>120</v>
      </c>
      <c r="AF7" s="0" t="n">
        <v>26</v>
      </c>
      <c r="AG7" s="0" t="n">
        <v>7</v>
      </c>
      <c r="AH7" s="0" t="n">
        <v>248</v>
      </c>
    </row>
    <row r="8" customFormat="false" ht="15" hidden="false" customHeight="false" outlineLevel="0" collapsed="false">
      <c r="A8" s="0" t="s">
        <v>76</v>
      </c>
      <c r="B8" s="0" t="n">
        <v>1341</v>
      </c>
      <c r="C8" s="0" t="n">
        <v>68</v>
      </c>
      <c r="D8" s="0" t="n">
        <v>1273</v>
      </c>
      <c r="E8" s="0" t="n">
        <v>94.9</v>
      </c>
      <c r="I8" s="0" t="n">
        <v>388</v>
      </c>
      <c r="J8" s="0" t="n">
        <v>28.9</v>
      </c>
      <c r="K8" s="0" t="n">
        <v>0.216</v>
      </c>
      <c r="L8" s="0" t="n">
        <v>427</v>
      </c>
      <c r="M8" s="0" t="n">
        <v>21</v>
      </c>
      <c r="N8" s="0" t="n">
        <v>406</v>
      </c>
      <c r="O8" s="0" t="n">
        <v>4926</v>
      </c>
      <c r="P8" s="0" t="n">
        <v>10718</v>
      </c>
      <c r="Q8" s="0" t="n">
        <v>5582</v>
      </c>
      <c r="R8" s="0" t="n">
        <v>557</v>
      </c>
      <c r="S8" s="0" t="n">
        <v>1583</v>
      </c>
      <c r="T8" s="0" t="n">
        <v>1794</v>
      </c>
      <c r="U8" s="0" t="n">
        <v>28</v>
      </c>
      <c r="AA8" s="0" t="s">
        <v>18</v>
      </c>
      <c r="AB8" s="0" t="s">
        <v>14</v>
      </c>
      <c r="AC8" s="0" t="n">
        <v>556000</v>
      </c>
      <c r="AD8" s="0" t="n">
        <v>264</v>
      </c>
      <c r="AE8" s="0" t="n">
        <v>102</v>
      </c>
      <c r="AF8" s="0" t="n">
        <v>15</v>
      </c>
      <c r="AG8" s="0" t="n">
        <v>6</v>
      </c>
      <c r="AH8" s="0" t="n">
        <v>398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77</v>
      </c>
      <c r="B1" s="2" t="s">
        <v>78</v>
      </c>
    </row>
    <row r="2" customFormat="false" ht="15" hidden="false" customHeight="false" outlineLevel="0" collapsed="false">
      <c r="A2" s="0" t="s">
        <v>79</v>
      </c>
      <c r="B2" s="3" t="n">
        <v>243.2</v>
      </c>
    </row>
    <row r="3" customFormat="false" ht="15" hidden="false" customHeight="false" outlineLevel="0" collapsed="false">
      <c r="A3" s="0" t="s">
        <v>80</v>
      </c>
      <c r="B3" s="3" t="n">
        <v>1832</v>
      </c>
    </row>
    <row r="4" customFormat="false" ht="15" hidden="false" customHeight="false" outlineLevel="0" collapsed="false">
      <c r="A4" s="0" t="s">
        <v>81</v>
      </c>
      <c r="B4" s="3" t="n">
        <v>-781</v>
      </c>
    </row>
    <row r="5" customFormat="false" ht="15" hidden="false" customHeight="false" outlineLevel="0" collapsed="false">
      <c r="A5" s="0" t="s">
        <v>82</v>
      </c>
      <c r="B5" s="3" t="n">
        <v>929</v>
      </c>
    </row>
    <row r="6" customFormat="false" ht="15" hidden="false" customHeight="false" outlineLevel="0" collapsed="false">
      <c r="A6" s="0" t="s">
        <v>83</v>
      </c>
      <c r="B6" s="3" t="n">
        <v>15</v>
      </c>
    </row>
    <row r="7" customFormat="false" ht="15" hidden="false" customHeight="false" outlineLevel="0" collapsed="false">
      <c r="A7" s="0" t="s">
        <v>84</v>
      </c>
      <c r="B7" s="3" t="n">
        <v>1341</v>
      </c>
    </row>
    <row r="8" customFormat="false" ht="15" hidden="false" customHeight="false" outlineLevel="0" collapsed="false">
      <c r="A8" s="0" t="s">
        <v>85</v>
      </c>
      <c r="B8" s="3" t="s">
        <v>76</v>
      </c>
    </row>
    <row r="9" customFormat="false" ht="15" hidden="false" customHeight="false" outlineLevel="0" collapsed="false">
      <c r="A9" s="0" t="s">
        <v>86</v>
      </c>
      <c r="B9" s="3" t="s">
        <v>87</v>
      </c>
    </row>
    <row r="10" customFormat="false" ht="15" hidden="false" customHeight="false" outlineLevel="0" collapsed="false">
      <c r="A10" s="0" t="s">
        <v>88</v>
      </c>
      <c r="B10" s="3" t="n">
        <v>100</v>
      </c>
    </row>
    <row r="12" customFormat="false" ht="15" hidden="false" customHeight="false" outlineLevel="0" collapsed="false">
      <c r="A12" s="2" t="s">
        <v>89</v>
      </c>
      <c r="C12" s="2" t="s">
        <v>90</v>
      </c>
      <c r="D12" s="2" t="s">
        <v>91</v>
      </c>
      <c r="E12" s="2" t="s">
        <v>92</v>
      </c>
      <c r="F12" s="2" t="s">
        <v>93</v>
      </c>
      <c r="G12" s="2" t="s">
        <v>94</v>
      </c>
      <c r="H12" s="2" t="s">
        <v>95</v>
      </c>
      <c r="I12" s="2" t="s">
        <v>96</v>
      </c>
      <c r="J12" s="2" t="s">
        <v>97</v>
      </c>
      <c r="K12" s="2" t="s">
        <v>98</v>
      </c>
      <c r="L12" s="2" t="s">
        <v>99</v>
      </c>
    </row>
    <row r="13" customFormat="false" ht="15" hidden="false" customHeight="false" outlineLevel="0" collapsed="false">
      <c r="A13" s="0" t="s">
        <v>100</v>
      </c>
      <c r="C13" s="3" t="n">
        <v>2</v>
      </c>
      <c r="D13" s="3" t="n">
        <v>-3</v>
      </c>
      <c r="E13" s="3" t="n">
        <v>0</v>
      </c>
      <c r="F13" s="3" t="n">
        <v>1</v>
      </c>
      <c r="G13" s="3" t="n">
        <v>1.5</v>
      </c>
      <c r="H13" s="3" t="n">
        <v>1.5</v>
      </c>
      <c r="I13" s="3" t="n">
        <v>1.5</v>
      </c>
      <c r="J13" s="3" t="n">
        <v>1.5</v>
      </c>
      <c r="K13" s="3" t="n">
        <v>1.5</v>
      </c>
      <c r="L13" s="3" t="n">
        <v>1.5</v>
      </c>
    </row>
    <row r="14" customFormat="false" ht="15" hidden="false" customHeight="false" outlineLevel="0" collapsed="false">
      <c r="A14" s="0" t="s">
        <v>101</v>
      </c>
      <c r="C14" s="3" t="n">
        <v>24.9</v>
      </c>
      <c r="D14" s="3" t="n">
        <v>22.5</v>
      </c>
      <c r="E14" s="3" t="n">
        <v>21.6</v>
      </c>
      <c r="F14" s="3" t="n">
        <v>21.7</v>
      </c>
      <c r="G14" s="3" t="n">
        <v>22.3</v>
      </c>
      <c r="H14" s="3" t="n">
        <v>22.3</v>
      </c>
      <c r="I14" s="3" t="n">
        <v>22.4</v>
      </c>
      <c r="J14" s="3" t="n">
        <v>22.4</v>
      </c>
      <c r="K14" s="3" t="n">
        <v>22.5</v>
      </c>
      <c r="L14" s="3" t="n">
        <v>22.5</v>
      </c>
    </row>
    <row r="15" customFormat="false" ht="15" hidden="false" customHeight="false" outlineLevel="0" collapsed="false">
      <c r="A15" s="0" t="s">
        <v>102</v>
      </c>
      <c r="C15" s="3" t="n">
        <v>2.1</v>
      </c>
      <c r="D15" s="3" t="n">
        <v>2.1</v>
      </c>
      <c r="E15" s="3" t="n">
        <v>2.1</v>
      </c>
      <c r="F15" s="3" t="n">
        <v>2.1</v>
      </c>
      <c r="G15" s="3" t="n">
        <v>2.1</v>
      </c>
      <c r="H15" s="3" t="n">
        <v>2.1</v>
      </c>
      <c r="I15" s="3" t="n">
        <v>2.1</v>
      </c>
      <c r="J15" s="3" t="n">
        <v>2.1</v>
      </c>
      <c r="K15" s="3" t="n">
        <v>2.1</v>
      </c>
      <c r="L15" s="3" t="n">
        <v>2.1</v>
      </c>
    </row>
    <row r="16" customFormat="false" ht="15" hidden="false" customHeight="false" outlineLevel="0" collapsed="false">
      <c r="A16" s="0" t="s">
        <v>103</v>
      </c>
      <c r="C16" s="3" t="n">
        <v>1.5</v>
      </c>
      <c r="D16" s="3" t="n">
        <v>1.5</v>
      </c>
      <c r="E16" s="3" t="n">
        <v>1.5</v>
      </c>
      <c r="F16" s="3" t="n">
        <v>1.5</v>
      </c>
      <c r="G16" s="3" t="n">
        <v>1.5</v>
      </c>
      <c r="H16" s="3" t="n">
        <v>1.5</v>
      </c>
      <c r="I16" s="3" t="n">
        <v>1.5</v>
      </c>
      <c r="J16" s="3" t="n">
        <v>1.5</v>
      </c>
      <c r="K16" s="3" t="n">
        <v>1.5</v>
      </c>
      <c r="L16" s="3" t="n">
        <v>1.5</v>
      </c>
    </row>
    <row r="17" customFormat="false" ht="15" hidden="false" customHeight="false" outlineLevel="0" collapsed="false">
      <c r="A17" s="0" t="s">
        <v>104</v>
      </c>
      <c r="C17" s="3" t="n">
        <v>1.2</v>
      </c>
      <c r="D17" s="3" t="n">
        <v>1.3</v>
      </c>
      <c r="E17" s="3" t="n">
        <v>1.4</v>
      </c>
      <c r="F17" s="3" t="n">
        <v>1.5</v>
      </c>
      <c r="G17" s="3" t="n">
        <v>1.6</v>
      </c>
      <c r="H17" s="3" t="n">
        <v>1.6</v>
      </c>
      <c r="I17" s="3" t="n">
        <v>1.7</v>
      </c>
      <c r="J17" s="3" t="n">
        <v>1.7</v>
      </c>
      <c r="K17" s="3" t="n">
        <v>1.8</v>
      </c>
      <c r="L17" s="3" t="n">
        <v>1.8</v>
      </c>
    </row>
    <row r="18" customFormat="false" ht="15" hidden="false" customHeight="false" outlineLevel="0" collapsed="false">
      <c r="A18" s="0" t="s">
        <v>105</v>
      </c>
      <c r="C18" s="3" t="n">
        <v>3</v>
      </c>
      <c r="D18" s="3" t="n">
        <v>2.8</v>
      </c>
      <c r="E18" s="3" t="n">
        <v>2.5</v>
      </c>
      <c r="F18" s="3" t="n">
        <v>2.2</v>
      </c>
      <c r="G18" s="3" t="n">
        <v>2</v>
      </c>
      <c r="H18" s="3" t="n">
        <v>2</v>
      </c>
      <c r="I18" s="3" t="n">
        <v>1.8</v>
      </c>
      <c r="J18" s="3" t="n">
        <v>1.8</v>
      </c>
      <c r="K18" s="3" t="n">
        <v>1.8</v>
      </c>
      <c r="L18" s="3" t="n">
        <v>1.8</v>
      </c>
    </row>
    <row r="19" customFormat="false" ht="15" hidden="false" customHeight="false" outlineLevel="0" collapsed="false">
      <c r="A19" s="0" t="s">
        <v>106</v>
      </c>
      <c r="C19" s="3" t="n">
        <v>12</v>
      </c>
      <c r="D19" s="3" t="n">
        <v>15</v>
      </c>
      <c r="E19" s="3" t="n">
        <v>18</v>
      </c>
      <c r="F19" s="3" t="n">
        <v>21</v>
      </c>
      <c r="G19" s="3" t="n">
        <v>23</v>
      </c>
      <c r="H19" s="3" t="n">
        <v>25</v>
      </c>
      <c r="I19" s="3" t="n">
        <v>25</v>
      </c>
      <c r="J19" s="3" t="n">
        <v>25</v>
      </c>
      <c r="K19" s="3" t="n">
        <v>25</v>
      </c>
      <c r="L19" s="3" t="n">
        <v>25</v>
      </c>
    </row>
    <row r="20" customFormat="false" ht="15" hidden="false" customHeight="false" outlineLevel="0" collapsed="false">
      <c r="A20" s="0" t="s">
        <v>107</v>
      </c>
      <c r="B20" s="3" t="n">
        <v>9.5</v>
      </c>
    </row>
    <row r="21" customFormat="false" ht="15" hidden="false" customHeight="false" outlineLevel="0" collapsed="false">
      <c r="A21" s="0" t="s">
        <v>108</v>
      </c>
      <c r="B21" s="3" t="n">
        <v>2</v>
      </c>
    </row>
    <row r="22" customFormat="false" ht="15" hidden="false" customHeight="false" outlineLevel="0" collapsed="false">
      <c r="A22" s="0" t="s">
        <v>109</v>
      </c>
      <c r="B22" s="3" t="n">
        <v>14</v>
      </c>
    </row>
    <row r="23" customFormat="false" ht="15" hidden="false" customHeight="false" outlineLevel="0" collapsed="false">
      <c r="A23" s="0" t="s">
        <v>110</v>
      </c>
      <c r="B23" s="3" t="n">
        <v>-25</v>
      </c>
    </row>
    <row r="24" customFormat="false" ht="15" hidden="false" customHeight="false" outlineLevel="0" collapsed="false">
      <c r="A24" s="0" t="s">
        <v>111</v>
      </c>
      <c r="B24" s="3" t="n">
        <v>0.25</v>
      </c>
    </row>
    <row r="26" customFormat="false" ht="15" hidden="false" customHeight="false" outlineLevel="0" collapsed="false">
      <c r="A26" s="2" t="s">
        <v>112</v>
      </c>
      <c r="C26" s="2" t="s">
        <v>90</v>
      </c>
      <c r="D26" s="2" t="s">
        <v>91</v>
      </c>
      <c r="E26" s="2" t="s">
        <v>92</v>
      </c>
      <c r="F26" s="2" t="s">
        <v>93</v>
      </c>
      <c r="G26" s="2" t="s">
        <v>94</v>
      </c>
      <c r="H26" s="2" t="s">
        <v>95</v>
      </c>
      <c r="I26" s="2" t="s">
        <v>96</v>
      </c>
      <c r="J26" s="2" t="s">
        <v>97</v>
      </c>
      <c r="K26" s="2" t="s">
        <v>98</v>
      </c>
      <c r="L26" s="2" t="s">
        <v>99</v>
      </c>
    </row>
    <row r="27" customFormat="false" ht="15" hidden="false" customHeight="false" outlineLevel="0" collapsed="false">
      <c r="A27" s="0" t="s">
        <v>100</v>
      </c>
      <c r="C27" s="3" t="n">
        <v>4</v>
      </c>
      <c r="D27" s="3" t="n">
        <v>4</v>
      </c>
      <c r="E27" s="3" t="n">
        <v>3.5</v>
      </c>
      <c r="F27" s="3" t="n">
        <v>3.5</v>
      </c>
      <c r="G27" s="3" t="n">
        <v>3</v>
      </c>
      <c r="H27" s="3" t="n">
        <v>3</v>
      </c>
      <c r="I27" s="3" t="n">
        <v>2.5</v>
      </c>
      <c r="J27" s="3" t="n">
        <v>2.5</v>
      </c>
      <c r="K27" s="3" t="n">
        <v>2</v>
      </c>
      <c r="L27" s="3" t="n">
        <v>2</v>
      </c>
    </row>
    <row r="28" customFormat="false" ht="15" hidden="false" customHeight="false" outlineLevel="0" collapsed="false">
      <c r="A28" s="0" t="s">
        <v>101</v>
      </c>
      <c r="C28" s="3" t="n">
        <v>25.9</v>
      </c>
      <c r="D28" s="3" t="n">
        <v>27</v>
      </c>
      <c r="E28" s="3" t="n">
        <v>27.9</v>
      </c>
      <c r="F28" s="3" t="n">
        <v>28.7</v>
      </c>
      <c r="G28" s="3" t="n">
        <v>29.3</v>
      </c>
      <c r="H28" s="3" t="n">
        <v>29.8</v>
      </c>
      <c r="I28" s="3" t="n">
        <v>29.9</v>
      </c>
      <c r="J28" s="3" t="n">
        <v>29.9</v>
      </c>
      <c r="K28" s="3" t="n">
        <v>30</v>
      </c>
      <c r="L28" s="3" t="n">
        <v>30</v>
      </c>
    </row>
    <row r="29" customFormat="false" ht="15" hidden="false" customHeight="false" outlineLevel="0" collapsed="false">
      <c r="A29" s="0" t="s">
        <v>102</v>
      </c>
      <c r="C29" s="3" t="n">
        <v>2.1</v>
      </c>
      <c r="D29" s="3" t="n">
        <v>2.1</v>
      </c>
      <c r="E29" s="3" t="n">
        <v>2.1</v>
      </c>
      <c r="F29" s="3" t="n">
        <v>2.1</v>
      </c>
      <c r="G29" s="3" t="n">
        <v>2.1</v>
      </c>
      <c r="H29" s="3" t="n">
        <v>2.1</v>
      </c>
      <c r="I29" s="3" t="n">
        <v>2.1</v>
      </c>
      <c r="J29" s="3" t="n">
        <v>2.1</v>
      </c>
      <c r="K29" s="3" t="n">
        <v>2.1</v>
      </c>
      <c r="L29" s="3" t="n">
        <v>2.1</v>
      </c>
    </row>
    <row r="30" customFormat="false" ht="15" hidden="false" customHeight="false" outlineLevel="0" collapsed="false">
      <c r="A30" s="0" t="s">
        <v>103</v>
      </c>
      <c r="C30" s="3" t="n">
        <v>1.5</v>
      </c>
      <c r="D30" s="3" t="n">
        <v>1.5</v>
      </c>
      <c r="E30" s="3" t="n">
        <v>1.5</v>
      </c>
      <c r="F30" s="3" t="n">
        <v>1.5</v>
      </c>
      <c r="G30" s="3" t="n">
        <v>1.5</v>
      </c>
      <c r="H30" s="3" t="n">
        <v>1.5</v>
      </c>
      <c r="I30" s="3" t="n">
        <v>1.5</v>
      </c>
      <c r="J30" s="3" t="n">
        <v>1.5</v>
      </c>
      <c r="K30" s="3" t="n">
        <v>1.5</v>
      </c>
      <c r="L30" s="3" t="n">
        <v>1.5</v>
      </c>
    </row>
    <row r="31" customFormat="false" ht="15" hidden="false" customHeight="false" outlineLevel="0" collapsed="false">
      <c r="A31" s="0" t="s">
        <v>104</v>
      </c>
      <c r="C31" s="3" t="n">
        <v>1.2</v>
      </c>
      <c r="D31" s="3" t="n">
        <v>1.3</v>
      </c>
      <c r="E31" s="3" t="n">
        <v>1.4</v>
      </c>
      <c r="F31" s="3" t="n">
        <v>1.5</v>
      </c>
      <c r="G31" s="3" t="n">
        <v>1.6</v>
      </c>
      <c r="H31" s="3" t="n">
        <v>1.6</v>
      </c>
      <c r="I31" s="3" t="n">
        <v>1.7</v>
      </c>
      <c r="J31" s="3" t="n">
        <v>1.7</v>
      </c>
      <c r="K31" s="3" t="n">
        <v>1.8</v>
      </c>
      <c r="L31" s="3" t="n">
        <v>1.8</v>
      </c>
    </row>
    <row r="32" customFormat="false" ht="15" hidden="false" customHeight="false" outlineLevel="0" collapsed="false">
      <c r="A32" s="0" t="s">
        <v>105</v>
      </c>
      <c r="C32" s="3" t="n">
        <v>3</v>
      </c>
      <c r="D32" s="3" t="n">
        <v>2.8</v>
      </c>
      <c r="E32" s="3" t="n">
        <v>2.5</v>
      </c>
      <c r="F32" s="3" t="n">
        <v>2.2</v>
      </c>
      <c r="G32" s="3" t="n">
        <v>2</v>
      </c>
      <c r="H32" s="3" t="n">
        <v>2</v>
      </c>
      <c r="I32" s="3" t="n">
        <v>1.8</v>
      </c>
      <c r="J32" s="3" t="n">
        <v>1.8</v>
      </c>
      <c r="K32" s="3" t="n">
        <v>1.8</v>
      </c>
      <c r="L32" s="3" t="n">
        <v>1.8</v>
      </c>
    </row>
    <row r="33" customFormat="false" ht="15" hidden="false" customHeight="false" outlineLevel="0" collapsed="false">
      <c r="A33" s="0" t="s">
        <v>106</v>
      </c>
      <c r="C33" s="3" t="n">
        <v>12</v>
      </c>
      <c r="D33" s="3" t="n">
        <v>15</v>
      </c>
      <c r="E33" s="3" t="n">
        <v>18</v>
      </c>
      <c r="F33" s="3" t="n">
        <v>21</v>
      </c>
      <c r="G33" s="3" t="n">
        <v>23</v>
      </c>
      <c r="H33" s="3" t="n">
        <v>25</v>
      </c>
      <c r="I33" s="3" t="n">
        <v>25</v>
      </c>
      <c r="J33" s="3" t="n">
        <v>25</v>
      </c>
      <c r="K33" s="3" t="n">
        <v>25</v>
      </c>
      <c r="L33" s="3" t="n">
        <v>25</v>
      </c>
    </row>
    <row r="34" customFormat="false" ht="15" hidden="false" customHeight="false" outlineLevel="0" collapsed="false">
      <c r="A34" s="0" t="s">
        <v>107</v>
      </c>
      <c r="B34" s="3" t="n">
        <v>9.5</v>
      </c>
    </row>
    <row r="35" customFormat="false" ht="15" hidden="false" customHeight="false" outlineLevel="0" collapsed="false">
      <c r="A35" s="0" t="s">
        <v>108</v>
      </c>
      <c r="B35" s="3" t="n">
        <v>2</v>
      </c>
    </row>
    <row r="36" customFormat="false" ht="15" hidden="false" customHeight="false" outlineLevel="0" collapsed="false">
      <c r="A36" s="0" t="s">
        <v>109</v>
      </c>
      <c r="B36" s="3" t="n">
        <v>14</v>
      </c>
    </row>
    <row r="37" customFormat="false" ht="15" hidden="false" customHeight="false" outlineLevel="0" collapsed="false">
      <c r="A37" s="0" t="s">
        <v>110</v>
      </c>
      <c r="B37" s="3" t="n">
        <v>-25</v>
      </c>
    </row>
    <row r="38" customFormat="false" ht="15" hidden="false" customHeight="false" outlineLevel="0" collapsed="false">
      <c r="A38" s="0" t="s">
        <v>111</v>
      </c>
      <c r="B38" s="3" t="n">
        <v>0.5</v>
      </c>
    </row>
    <row r="40" customFormat="false" ht="15" hidden="false" customHeight="false" outlineLevel="0" collapsed="false">
      <c r="A40" s="2" t="s">
        <v>113</v>
      </c>
      <c r="C40" s="2" t="s">
        <v>90</v>
      </c>
      <c r="D40" s="2" t="s">
        <v>91</v>
      </c>
      <c r="E40" s="2" t="s">
        <v>92</v>
      </c>
      <c r="F40" s="2" t="s">
        <v>93</v>
      </c>
      <c r="G40" s="2" t="s">
        <v>94</v>
      </c>
      <c r="H40" s="2" t="s">
        <v>95</v>
      </c>
      <c r="I40" s="2" t="s">
        <v>96</v>
      </c>
      <c r="J40" s="2" t="s">
        <v>97</v>
      </c>
      <c r="K40" s="2" t="s">
        <v>98</v>
      </c>
      <c r="L40" s="2" t="s">
        <v>99</v>
      </c>
    </row>
    <row r="41" customFormat="false" ht="15" hidden="false" customHeight="false" outlineLevel="0" collapsed="false">
      <c r="A41" s="0" t="s">
        <v>100</v>
      </c>
      <c r="C41" s="3" t="n">
        <v>5.5</v>
      </c>
      <c r="D41" s="3" t="n">
        <v>6</v>
      </c>
      <c r="E41" s="3" t="n">
        <v>5.5</v>
      </c>
      <c r="F41" s="3" t="n">
        <v>5</v>
      </c>
      <c r="G41" s="3" t="n">
        <v>4.5</v>
      </c>
      <c r="H41" s="3" t="n">
        <v>4</v>
      </c>
      <c r="I41" s="3" t="n">
        <v>3.5</v>
      </c>
      <c r="J41" s="3" t="n">
        <v>3</v>
      </c>
      <c r="K41" s="3" t="n">
        <v>3</v>
      </c>
      <c r="L41" s="3" t="n">
        <v>2.5</v>
      </c>
    </row>
    <row r="42" customFormat="false" ht="15" hidden="false" customHeight="false" outlineLevel="0" collapsed="false">
      <c r="A42" s="0" t="s">
        <v>101</v>
      </c>
      <c r="C42" s="3" t="n">
        <v>26.4</v>
      </c>
      <c r="D42" s="3" t="n">
        <v>28</v>
      </c>
      <c r="E42" s="3" t="n">
        <v>29.6</v>
      </c>
      <c r="F42" s="3" t="n">
        <v>30.7</v>
      </c>
      <c r="G42" s="3" t="n">
        <v>31.8</v>
      </c>
      <c r="H42" s="3" t="n">
        <v>32.3</v>
      </c>
      <c r="I42" s="3" t="n">
        <v>32.9</v>
      </c>
      <c r="J42" s="3" t="n">
        <v>32.9</v>
      </c>
      <c r="K42" s="3" t="n">
        <v>33</v>
      </c>
      <c r="L42" s="3" t="n">
        <v>33</v>
      </c>
    </row>
    <row r="43" customFormat="false" ht="15" hidden="false" customHeight="false" outlineLevel="0" collapsed="false">
      <c r="A43" s="0" t="s">
        <v>102</v>
      </c>
      <c r="C43" s="3" t="n">
        <v>2.1</v>
      </c>
      <c r="D43" s="3" t="n">
        <v>2.1</v>
      </c>
      <c r="E43" s="3" t="n">
        <v>2.1</v>
      </c>
      <c r="F43" s="3" t="n">
        <v>2.1</v>
      </c>
      <c r="G43" s="3" t="n">
        <v>2.1</v>
      </c>
      <c r="H43" s="3" t="n">
        <v>2.1</v>
      </c>
      <c r="I43" s="3" t="n">
        <v>2.1</v>
      </c>
      <c r="J43" s="3" t="n">
        <v>2.1</v>
      </c>
      <c r="K43" s="3" t="n">
        <v>2.1</v>
      </c>
      <c r="L43" s="3" t="n">
        <v>2.1</v>
      </c>
    </row>
    <row r="44" customFormat="false" ht="15" hidden="false" customHeight="false" outlineLevel="0" collapsed="false">
      <c r="A44" s="0" t="s">
        <v>103</v>
      </c>
      <c r="C44" s="3" t="n">
        <v>1.5</v>
      </c>
      <c r="D44" s="3" t="n">
        <v>1.5</v>
      </c>
      <c r="E44" s="3" t="n">
        <v>1.5</v>
      </c>
      <c r="F44" s="3" t="n">
        <v>1.5</v>
      </c>
      <c r="G44" s="3" t="n">
        <v>1.5</v>
      </c>
      <c r="H44" s="3" t="n">
        <v>1.5</v>
      </c>
      <c r="I44" s="3" t="n">
        <v>1.5</v>
      </c>
      <c r="J44" s="3" t="n">
        <v>1.5</v>
      </c>
      <c r="K44" s="3" t="n">
        <v>1.5</v>
      </c>
      <c r="L44" s="3" t="n">
        <v>1.5</v>
      </c>
    </row>
    <row r="45" customFormat="false" ht="15" hidden="false" customHeight="false" outlineLevel="0" collapsed="false">
      <c r="A45" s="0" t="s">
        <v>104</v>
      </c>
      <c r="C45" s="3" t="n">
        <v>1.2</v>
      </c>
      <c r="D45" s="3" t="n">
        <v>1.3</v>
      </c>
      <c r="E45" s="3" t="n">
        <v>1.4</v>
      </c>
      <c r="F45" s="3" t="n">
        <v>1.5</v>
      </c>
      <c r="G45" s="3" t="n">
        <v>1.6</v>
      </c>
      <c r="H45" s="3" t="n">
        <v>1.6</v>
      </c>
      <c r="I45" s="3" t="n">
        <v>1.7</v>
      </c>
      <c r="J45" s="3" t="n">
        <v>1.7</v>
      </c>
      <c r="K45" s="3" t="n">
        <v>1.8</v>
      </c>
      <c r="L45" s="3" t="n">
        <v>1.8</v>
      </c>
    </row>
    <row r="46" customFormat="false" ht="15" hidden="false" customHeight="false" outlineLevel="0" collapsed="false">
      <c r="A46" s="0" t="s">
        <v>105</v>
      </c>
      <c r="C46" s="3" t="n">
        <v>3</v>
      </c>
      <c r="D46" s="3" t="n">
        <v>2.8</v>
      </c>
      <c r="E46" s="3" t="n">
        <v>2.5</v>
      </c>
      <c r="F46" s="3" t="n">
        <v>2.2</v>
      </c>
      <c r="G46" s="3" t="n">
        <v>2</v>
      </c>
      <c r="H46" s="3" t="n">
        <v>2</v>
      </c>
      <c r="I46" s="3" t="n">
        <v>1.8</v>
      </c>
      <c r="J46" s="3" t="n">
        <v>1.8</v>
      </c>
      <c r="K46" s="3" t="n">
        <v>1.8</v>
      </c>
      <c r="L46" s="3" t="n">
        <v>1.8</v>
      </c>
    </row>
    <row r="47" customFormat="false" ht="15" hidden="false" customHeight="false" outlineLevel="0" collapsed="false">
      <c r="A47" s="0" t="s">
        <v>106</v>
      </c>
      <c r="C47" s="3" t="n">
        <v>12</v>
      </c>
      <c r="D47" s="3" t="n">
        <v>15</v>
      </c>
      <c r="E47" s="3" t="n">
        <v>18</v>
      </c>
      <c r="F47" s="3" t="n">
        <v>21</v>
      </c>
      <c r="G47" s="3" t="n">
        <v>23</v>
      </c>
      <c r="H47" s="3" t="n">
        <v>25</v>
      </c>
      <c r="I47" s="3" t="n">
        <v>25</v>
      </c>
      <c r="J47" s="3" t="n">
        <v>25</v>
      </c>
      <c r="K47" s="3" t="n">
        <v>25</v>
      </c>
      <c r="L47" s="3" t="n">
        <v>25</v>
      </c>
    </row>
    <row r="48" customFormat="false" ht="15" hidden="false" customHeight="false" outlineLevel="0" collapsed="false">
      <c r="A48" s="0" t="s">
        <v>107</v>
      </c>
      <c r="B48" s="3" t="n">
        <v>9.5</v>
      </c>
    </row>
    <row r="49" customFormat="false" ht="15" hidden="false" customHeight="false" outlineLevel="0" collapsed="false">
      <c r="A49" s="0" t="s">
        <v>108</v>
      </c>
      <c r="B49" s="3" t="n">
        <v>2</v>
      </c>
    </row>
    <row r="50" customFormat="false" ht="15" hidden="false" customHeight="false" outlineLevel="0" collapsed="false">
      <c r="A50" s="0" t="s">
        <v>109</v>
      </c>
      <c r="B50" s="3" t="n">
        <v>14</v>
      </c>
    </row>
    <row r="51" customFormat="false" ht="15" hidden="false" customHeight="false" outlineLevel="0" collapsed="false">
      <c r="A51" s="0" t="s">
        <v>110</v>
      </c>
      <c r="B51" s="3" t="n">
        <v>-25</v>
      </c>
    </row>
    <row r="52" customFormat="false" ht="15" hidden="false" customHeight="false" outlineLevel="0" collapsed="false">
      <c r="A52" s="0" t="s">
        <v>111</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114</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Assumptions!C13</f>
        <v>2</v>
      </c>
      <c r="D5" s="4" t="n">
        <f aca="false">Assumptions!D13</f>
        <v>-3</v>
      </c>
      <c r="E5" s="4" t="n">
        <f aca="false">Assumptions!E13</f>
        <v>0</v>
      </c>
      <c r="F5" s="4" t="n">
        <f aca="false">Assumptions!F13</f>
        <v>1</v>
      </c>
      <c r="G5" s="4" t="n">
        <f aca="false">Assumptions!G13</f>
        <v>1.5</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38</v>
      </c>
      <c r="B6" s="3" t="n">
        <v>1341</v>
      </c>
      <c r="C6" s="0" t="n">
        <f aca="false">B6*(1+C5/100)</f>
        <v>1367.82</v>
      </c>
      <c r="D6" s="0" t="n">
        <f aca="false">C6*(1+D5/100)</f>
        <v>1326.7854</v>
      </c>
      <c r="E6" s="0" t="n">
        <f aca="false">D6*(1+E5/100)</f>
        <v>1326.7854</v>
      </c>
      <c r="F6" s="0" t="n">
        <f aca="false">E6*(1+F5/100)</f>
        <v>1340.053254</v>
      </c>
      <c r="G6" s="0" t="n">
        <f aca="false">F6*(1+G5/100)</f>
        <v>1360.15405281</v>
      </c>
      <c r="H6" s="0" t="n">
        <f aca="false">G6*(1+H5/100)</f>
        <v>1380.55636360215</v>
      </c>
      <c r="I6" s="0" t="n">
        <f aca="false">H6*(1+I5/100)</f>
        <v>1401.26470905618</v>
      </c>
      <c r="J6" s="0" t="n">
        <f aca="false">I6*(1+J5/100)</f>
        <v>1422.28367969202</v>
      </c>
      <c r="K6" s="0" t="n">
        <f aca="false">J6*(1+K5/100)</f>
        <v>1443.6179348874</v>
      </c>
      <c r="L6" s="0" t="n">
        <f aca="false">K6*(1+L5/100)</f>
        <v>1465.27220391072</v>
      </c>
    </row>
    <row r="7" customFormat="false" ht="15" hidden="false" customHeight="false" outlineLevel="0" collapsed="false">
      <c r="A7" s="0" t="s">
        <v>101</v>
      </c>
      <c r="C7" s="4" t="n">
        <f aca="false">Assumptions!C14</f>
        <v>24.9</v>
      </c>
      <c r="D7" s="4" t="n">
        <f aca="false">Assumptions!D14</f>
        <v>22.5</v>
      </c>
      <c r="E7" s="4" t="n">
        <f aca="false">Assumptions!E14</f>
        <v>21.6</v>
      </c>
      <c r="F7" s="4" t="n">
        <f aca="false">Assumptions!F14</f>
        <v>21.7</v>
      </c>
      <c r="G7" s="4" t="n">
        <f aca="false">Assumptions!G14</f>
        <v>22.3</v>
      </c>
      <c r="H7" s="4" t="n">
        <f aca="false">Assumptions!H14</f>
        <v>22.3</v>
      </c>
      <c r="I7" s="4" t="n">
        <f aca="false">Assumptions!I14</f>
        <v>22.4</v>
      </c>
      <c r="J7" s="4" t="n">
        <f aca="false">Assumptions!J14</f>
        <v>22.4</v>
      </c>
      <c r="K7" s="4" t="n">
        <f aca="false">Assumptions!K14</f>
        <v>22.5</v>
      </c>
      <c r="L7" s="4" t="n">
        <f aca="false">Assumptions!L14</f>
        <v>22.5</v>
      </c>
    </row>
    <row r="8" customFormat="false" ht="15" hidden="false" customHeight="false" outlineLevel="0" collapsed="false">
      <c r="A8" s="0" t="s">
        <v>44</v>
      </c>
      <c r="C8" s="0" t="n">
        <f aca="false">C6*C7/100</f>
        <v>340.58718</v>
      </c>
      <c r="D8" s="0" t="n">
        <f aca="false">D6*D7/100</f>
        <v>298.526715</v>
      </c>
      <c r="E8" s="0" t="n">
        <f aca="false">E6*E7/100</f>
        <v>286.5856464</v>
      </c>
      <c r="F8" s="0" t="n">
        <f aca="false">F6*F7/100</f>
        <v>290.791556118</v>
      </c>
      <c r="G8" s="0" t="n">
        <f aca="false">G6*G7/100</f>
        <v>303.31435377663</v>
      </c>
      <c r="H8" s="0" t="n">
        <f aca="false">H6*H7/100</f>
        <v>307.864069083279</v>
      </c>
      <c r="I8" s="0" t="n">
        <f aca="false">I6*I7/100</f>
        <v>313.883294828585</v>
      </c>
      <c r="J8" s="0" t="n">
        <f aca="false">J6*J7/100</f>
        <v>318.591544251013</v>
      </c>
      <c r="K8" s="0" t="n">
        <f aca="false">K6*K7/100</f>
        <v>324.814035349666</v>
      </c>
      <c r="L8" s="0" t="n">
        <f aca="false">L6*L7/100</f>
        <v>329.686245879911</v>
      </c>
    </row>
    <row r="9" customFormat="false" ht="15" hidden="false" customHeight="false" outlineLevel="0" collapsed="false">
      <c r="A9" s="0" t="s">
        <v>102</v>
      </c>
      <c r="C9" s="4" t="n">
        <f aca="false">Assumptions!C15</f>
        <v>2.1</v>
      </c>
      <c r="D9" s="4" t="n">
        <f aca="false">Assumptions!D15</f>
        <v>2.1</v>
      </c>
      <c r="E9" s="4" t="n">
        <f aca="false">Assumptions!E15</f>
        <v>2.1</v>
      </c>
      <c r="F9" s="4" t="n">
        <f aca="false">Assumptions!F15</f>
        <v>2.1</v>
      </c>
      <c r="G9" s="4" t="n">
        <f aca="false">Assumptions!G15</f>
        <v>2.1</v>
      </c>
      <c r="H9" s="4" t="n">
        <f aca="false">Assumptions!H15</f>
        <v>2.1</v>
      </c>
      <c r="I9" s="4" t="n">
        <f aca="false">Assumptions!I15</f>
        <v>2.1</v>
      </c>
      <c r="J9" s="4" t="n">
        <f aca="false">Assumptions!J15</f>
        <v>2.1</v>
      </c>
      <c r="K9" s="4" t="n">
        <f aca="false">Assumptions!K15</f>
        <v>2.1</v>
      </c>
      <c r="L9" s="4" t="n">
        <f aca="false">Assumptions!L15</f>
        <v>2.1</v>
      </c>
    </row>
    <row r="10" customFormat="false" ht="15" hidden="false" customHeight="false" outlineLevel="0" collapsed="false">
      <c r="A10" s="0" t="s">
        <v>117</v>
      </c>
      <c r="C10" s="0" t="n">
        <f aca="false">-C6*C9/100</f>
        <v>-28.72422</v>
      </c>
      <c r="D10" s="0" t="n">
        <f aca="false">-D6*D9/100</f>
        <v>-27.8624934</v>
      </c>
      <c r="E10" s="0" t="n">
        <f aca="false">-E6*E9/100</f>
        <v>-27.8624934</v>
      </c>
      <c r="F10" s="0" t="n">
        <f aca="false">-F6*F9/100</f>
        <v>-28.141118334</v>
      </c>
      <c r="G10" s="0" t="n">
        <f aca="false">-G6*G9/100</f>
        <v>-28.56323510901</v>
      </c>
      <c r="H10" s="0" t="n">
        <f aca="false">-H6*H9/100</f>
        <v>-28.9916836356451</v>
      </c>
      <c r="I10" s="0" t="n">
        <f aca="false">-I6*I9/100</f>
        <v>-29.4265588901798</v>
      </c>
      <c r="J10" s="0" t="n">
        <f aca="false">-J6*J9/100</f>
        <v>-29.8679572735325</v>
      </c>
      <c r="K10" s="0" t="n">
        <f aca="false">-K6*K9/100</f>
        <v>-30.3159766326355</v>
      </c>
      <c r="L10" s="0" t="n">
        <f aca="false">-L6*L9/100</f>
        <v>-30.770716282125</v>
      </c>
    </row>
    <row r="11" customFormat="false" ht="15" hidden="false" customHeight="false" outlineLevel="0" collapsed="false">
      <c r="A11" s="0" t="s">
        <v>118</v>
      </c>
      <c r="C11" s="0" t="n">
        <f aca="false">C8+C10+C24</f>
        <v>291.34566</v>
      </c>
      <c r="D11" s="0" t="n">
        <f aca="false">D8+D10+D24</f>
        <v>250.7624406</v>
      </c>
      <c r="E11" s="0" t="n">
        <f aca="false">E8+E10+E24</f>
        <v>238.821372</v>
      </c>
      <c r="F11" s="0" t="n">
        <f aca="false">F8+F10+F24</f>
        <v>242.549638974</v>
      </c>
      <c r="G11" s="0" t="n">
        <f aca="false">G8+G10+G24</f>
        <v>254.34880787547</v>
      </c>
      <c r="H11" s="0" t="n">
        <f aca="false">H8+H10+H24</f>
        <v>258.164039993602</v>
      </c>
      <c r="I11" s="0" t="n">
        <f aca="false">I8+I10+I24</f>
        <v>263.437765302562</v>
      </c>
      <c r="J11" s="0" t="n">
        <f aca="false">J8+J10+J24</f>
        <v>267.389331782101</v>
      </c>
      <c r="K11" s="0" t="n">
        <f aca="false">K8+K10+K24</f>
        <v>272.843789693719</v>
      </c>
      <c r="L11" s="0" t="n">
        <f aca="false">L8+L10+L24</f>
        <v>276.936446539125</v>
      </c>
    </row>
    <row r="12" customFormat="false" ht="15" hidden="false" customHeight="false" outlineLevel="0" collapsed="false">
      <c r="A12" s="0" t="s">
        <v>119</v>
      </c>
      <c r="C12" s="4" t="n">
        <f aca="false">-C6*Assumptions!C17/100</f>
        <v>-16.41384</v>
      </c>
      <c r="D12" s="4" t="n">
        <f aca="false">-D6*Assumptions!D17/100</f>
        <v>-17.2482102</v>
      </c>
      <c r="E12" s="4" t="n">
        <f aca="false">-E6*Assumptions!E17/100</f>
        <v>-18.5749956</v>
      </c>
      <c r="F12" s="4" t="n">
        <f aca="false">-F6*Assumptions!F17/100</f>
        <v>-20.10079881</v>
      </c>
      <c r="G12" s="4" t="n">
        <f aca="false">-G6*Assumptions!G17/100</f>
        <v>-21.76246484496</v>
      </c>
      <c r="H12" s="4" t="n">
        <f aca="false">-H6*Assumptions!H17/100</f>
        <v>-22.0889018176344</v>
      </c>
      <c r="I12" s="4" t="n">
        <f aca="false">-I6*Assumptions!I17/100</f>
        <v>-23.8215000539551</v>
      </c>
      <c r="J12" s="4" t="n">
        <f aca="false">-J6*Assumptions!J17/100</f>
        <v>-24.1788225547644</v>
      </c>
      <c r="K12" s="4" t="n">
        <f aca="false">-K6*Assumptions!K17/100</f>
        <v>-25.9851228279733</v>
      </c>
      <c r="L12" s="4" t="n">
        <f aca="false">-L6*Assumptions!L17/100</f>
        <v>-26.3748996703929</v>
      </c>
    </row>
    <row r="13" customFormat="false" ht="15" hidden="false" customHeight="false" outlineLevel="0" collapsed="false">
      <c r="A13" s="0" t="s">
        <v>120</v>
      </c>
      <c r="C13" s="0" t="n">
        <f aca="false">C11+C12</f>
        <v>274.93182</v>
      </c>
      <c r="D13" s="0" t="n">
        <f aca="false">D11+D12</f>
        <v>233.5142304</v>
      </c>
      <c r="E13" s="0" t="n">
        <f aca="false">E11+E12</f>
        <v>220.2463764</v>
      </c>
      <c r="F13" s="0" t="n">
        <f aca="false">F11+F12</f>
        <v>222.448840164</v>
      </c>
      <c r="G13" s="0" t="n">
        <f aca="false">G11+G12</f>
        <v>232.58634303051</v>
      </c>
      <c r="H13" s="0" t="n">
        <f aca="false">H11+H12</f>
        <v>236.075138175968</v>
      </c>
      <c r="I13" s="0" t="n">
        <f aca="false">I11+I12</f>
        <v>239.616265248607</v>
      </c>
      <c r="J13" s="0" t="n">
        <f aca="false">J11+J12</f>
        <v>243.210509227336</v>
      </c>
      <c r="K13" s="0" t="n">
        <f aca="false">K11+K12</f>
        <v>246.858666865746</v>
      </c>
      <c r="L13" s="0" t="n">
        <f aca="false">L11+L12</f>
        <v>250.561546868732</v>
      </c>
    </row>
    <row r="14" customFormat="false" ht="15" hidden="false" customHeight="false" outlineLevel="0" collapsed="false">
      <c r="A14" s="0" t="s">
        <v>106</v>
      </c>
      <c r="C14" s="4" t="n">
        <f aca="false">Assumptions!C19</f>
        <v>12</v>
      </c>
      <c r="D14" s="4" t="n">
        <f aca="false">Assumptions!D19</f>
        <v>15</v>
      </c>
      <c r="E14" s="4" t="n">
        <f aca="false">Assumptions!E19</f>
        <v>18</v>
      </c>
      <c r="F14" s="4" t="n">
        <f aca="false">Assumptions!F19</f>
        <v>21</v>
      </c>
      <c r="G14" s="4" t="n">
        <f aca="false">Assumptions!G19</f>
        <v>23</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121</v>
      </c>
      <c r="C15" s="0" t="n">
        <f aca="false">C13-MAX(0,C13)*C14/100</f>
        <v>241.9400016</v>
      </c>
      <c r="D15" s="0" t="n">
        <f aca="false">D13-MAX(0,D13)*D14/100</f>
        <v>198.48709584</v>
      </c>
      <c r="E15" s="0" t="n">
        <f aca="false">E13-MAX(0,E13)*E14/100</f>
        <v>180.602028648</v>
      </c>
      <c r="F15" s="0" t="n">
        <f aca="false">F13-MAX(0,F13)*F14/100</f>
        <v>175.73458372956</v>
      </c>
      <c r="G15" s="0" t="n">
        <f aca="false">G13-MAX(0,G13)*G14/100</f>
        <v>179.091484133493</v>
      </c>
      <c r="H15" s="0" t="n">
        <f aca="false">H13-MAX(0,H13)*H14/100</f>
        <v>177.056353631976</v>
      </c>
      <c r="I15" s="0" t="n">
        <f aca="false">I13-MAX(0,I13)*I14/100</f>
        <v>179.712198936455</v>
      </c>
      <c r="J15" s="0" t="n">
        <f aca="false">J13-MAX(0,J13)*J14/100</f>
        <v>182.407881920502</v>
      </c>
      <c r="K15" s="0" t="n">
        <f aca="false">K13-MAX(0,K13)*K14/100</f>
        <v>185.14400014931</v>
      </c>
      <c r="L15" s="0" t="n">
        <f aca="false">L13-MAX(0,L13)*L14/100</f>
        <v>187.921160151549</v>
      </c>
    </row>
    <row r="16" customFormat="false" ht="15" hidden="false" customHeight="false" outlineLevel="0" collapsed="false">
      <c r="A16" s="0" t="s">
        <v>122</v>
      </c>
      <c r="C16" s="0" t="n">
        <f aca="false">-C12</f>
        <v>16.41384</v>
      </c>
      <c r="D16" s="0" t="n">
        <f aca="false">-D12</f>
        <v>17.2482102</v>
      </c>
      <c r="E16" s="0" t="n">
        <f aca="false">-E12</f>
        <v>18.5749956</v>
      </c>
      <c r="F16" s="0" t="n">
        <f aca="false">-F12</f>
        <v>20.10079881</v>
      </c>
      <c r="G16" s="0" t="n">
        <f aca="false">-G12</f>
        <v>21.76246484496</v>
      </c>
      <c r="H16" s="0" t="n">
        <f aca="false">-H12</f>
        <v>22.0889018176344</v>
      </c>
      <c r="I16" s="0" t="n">
        <f aca="false">-I12</f>
        <v>23.8215000539551</v>
      </c>
      <c r="J16" s="0" t="n">
        <f aca="false">-J12</f>
        <v>24.1788225547644</v>
      </c>
      <c r="K16" s="0" t="n">
        <f aca="false">-K12</f>
        <v>25.9851228279733</v>
      </c>
      <c r="L16" s="0" t="n">
        <f aca="false">-L12</f>
        <v>26.3748996703929</v>
      </c>
    </row>
    <row r="17" customFormat="false" ht="15" hidden="false" customHeight="false" outlineLevel="0" collapsed="false">
      <c r="A17" s="0" t="s">
        <v>123</v>
      </c>
      <c r="C17" s="4" t="n">
        <f aca="false">-C6*Assumptions!C18/100</f>
        <v>-41.0346</v>
      </c>
      <c r="D17" s="4" t="n">
        <f aca="false">-D6*Assumptions!D18/100</f>
        <v>-37.1499912</v>
      </c>
      <c r="E17" s="4" t="n">
        <f aca="false">-E6*Assumptions!E18/100</f>
        <v>-33.169635</v>
      </c>
      <c r="F17" s="4" t="n">
        <f aca="false">-F6*Assumptions!F18/100</f>
        <v>-29.481171588</v>
      </c>
      <c r="G17" s="4" t="n">
        <f aca="false">-G6*Assumptions!G18/100</f>
        <v>-27.2030810562</v>
      </c>
      <c r="H17" s="4" t="n">
        <f aca="false">-H6*Assumptions!H18/100</f>
        <v>-27.611127272043</v>
      </c>
      <c r="I17" s="4" t="n">
        <f aca="false">-I6*Assumptions!I18/100</f>
        <v>-25.2227647630113</v>
      </c>
      <c r="J17" s="4" t="n">
        <f aca="false">-J6*Assumptions!J18/100</f>
        <v>-25.6011062344564</v>
      </c>
      <c r="K17" s="4" t="n">
        <f aca="false">-K6*Assumptions!K18/100</f>
        <v>-25.9851228279733</v>
      </c>
      <c r="L17" s="4" t="n">
        <f aca="false">-L6*Assumptions!L18/100</f>
        <v>-26.3748996703929</v>
      </c>
    </row>
    <row r="18" customFormat="false" ht="15" hidden="false" customHeight="false" outlineLevel="0" collapsed="false">
      <c r="A18" s="0" t="s">
        <v>124</v>
      </c>
      <c r="C18" s="4" t="n">
        <f aca="false">(C6-B6)*Assumptions!$B$23/100</f>
        <v>-6.70499999999998</v>
      </c>
      <c r="D18" s="4" t="n">
        <f aca="false">(D6-C6)*Assumptions!$B$23/100</f>
        <v>10.25865</v>
      </c>
      <c r="E18" s="4" t="n">
        <f aca="false">(E6-D6)*Assumptions!$B$23/100</f>
        <v>-0</v>
      </c>
      <c r="F18" s="4" t="n">
        <f aca="false">(F6-E6)*Assumptions!$B$23/100</f>
        <v>-3.31696349999999</v>
      </c>
      <c r="G18" s="4" t="n">
        <f aca="false">(G6-F6)*Assumptions!$B$23/100</f>
        <v>-5.02519970249995</v>
      </c>
      <c r="H18" s="4" t="n">
        <f aca="false">(H6-G6)*Assumptions!$B$23/100</f>
        <v>-5.10057769803746</v>
      </c>
      <c r="I18" s="4" t="n">
        <f aca="false">(I6-H6)*Assumptions!$B$23/100</f>
        <v>-5.17708636350801</v>
      </c>
      <c r="J18" s="4" t="n">
        <f aca="false">(J6-I6)*Assumptions!$B$23/100</f>
        <v>-5.25474265896065</v>
      </c>
      <c r="K18" s="4" t="n">
        <f aca="false">(K6-J6)*Assumptions!$B$23/100</f>
        <v>-5.33356379884503</v>
      </c>
      <c r="L18" s="4" t="n">
        <f aca="false">(L6-K6)*Assumptions!$B$23/100</f>
        <v>-5.41356725582773</v>
      </c>
    </row>
    <row r="19" customFormat="false" ht="15" hidden="false" customHeight="false" outlineLevel="0" collapsed="false">
      <c r="A19" s="0" t="s">
        <v>125</v>
      </c>
      <c r="C19" s="0" t="n">
        <f aca="false">C15+C16+C17+C18</f>
        <v>210.6142416</v>
      </c>
      <c r="D19" s="0" t="n">
        <f aca="false">D15+D16+D17+D18</f>
        <v>188.84396484</v>
      </c>
      <c r="E19" s="0" t="n">
        <f aca="false">E15+E16+E17+E18</f>
        <v>166.007389248</v>
      </c>
      <c r="F19" s="0" t="n">
        <f aca="false">F15+F16+F17+F18</f>
        <v>163.03724745156</v>
      </c>
      <c r="G19" s="0" t="n">
        <f aca="false">G15+G16+G17+G18</f>
        <v>168.625668219753</v>
      </c>
      <c r="H19" s="0" t="n">
        <f aca="false">H15+H16+H17+H18</f>
        <v>166.43355047953</v>
      </c>
      <c r="I19" s="0" t="n">
        <f aca="false">I15+I16+I17+I18</f>
        <v>173.133847863891</v>
      </c>
      <c r="J19" s="0" t="n">
        <f aca="false">J15+J16+J17+J18</f>
        <v>175.730855581849</v>
      </c>
      <c r="K19" s="0" t="n">
        <f aca="false">K15+K16+K17+K18</f>
        <v>179.810436350465</v>
      </c>
      <c r="L19" s="0" t="n">
        <f aca="false">L15+L16+L17+L18</f>
        <v>182.507592895722</v>
      </c>
    </row>
    <row r="20" customFormat="false" ht="15" hidden="false" customHeight="false" outlineLevel="0" collapsed="false">
      <c r="A20" s="0" t="s">
        <v>126</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127</v>
      </c>
      <c r="C21" s="0" t="n">
        <f aca="false">C19*C20</f>
        <v>192.341773150685</v>
      </c>
      <c r="D21" s="0" t="n">
        <f aca="false">D19*D20</f>
        <v>157.497937774442</v>
      </c>
      <c r="E21" s="0" t="n">
        <f aca="false">E19*E20</f>
        <v>126.440167375719</v>
      </c>
      <c r="F21" s="0" t="n">
        <f aca="false">F19*F20</f>
        <v>113.404518207636</v>
      </c>
      <c r="G21" s="0" t="n">
        <f aca="false">G19*G20</f>
        <v>107.115689529827</v>
      </c>
      <c r="H21" s="0" t="n">
        <f aca="false">H19*H20</f>
        <v>96.550863649025</v>
      </c>
      <c r="I21" s="0" t="n">
        <f aca="false">I19*I20</f>
        <v>91.7240340775585</v>
      </c>
      <c r="J21" s="0" t="n">
        <f aca="false">J19*J20</f>
        <v>85.0227347842208</v>
      </c>
      <c r="K21" s="0" t="n">
        <f aca="false">K19*K20</f>
        <v>79.4488878803885</v>
      </c>
      <c r="L21" s="0" t="n">
        <f aca="false">L19*L20</f>
        <v>73.6444029210907</v>
      </c>
    </row>
    <row r="23" customFormat="false" ht="15" hidden="false" customHeight="false" outlineLevel="0" collapsed="false">
      <c r="A23" s="0" t="s">
        <v>103</v>
      </c>
      <c r="C23" s="4" t="n">
        <f aca="false">Assumptions!C16</f>
        <v>1.5</v>
      </c>
      <c r="D23" s="4" t="n">
        <f aca="false">Assumptions!D16</f>
        <v>1.5</v>
      </c>
      <c r="E23" s="4" t="n">
        <f aca="false">Assumptions!E16</f>
        <v>1.5</v>
      </c>
      <c r="F23" s="4" t="n">
        <f aca="false">Assumptions!F16</f>
        <v>1.5</v>
      </c>
      <c r="G23" s="4" t="n">
        <f aca="false">Assumptions!G16</f>
        <v>1.5</v>
      </c>
      <c r="H23" s="4" t="n">
        <f aca="false">Assumptions!H16</f>
        <v>1.5</v>
      </c>
      <c r="I23" s="4" t="n">
        <f aca="false">Assumptions!I16</f>
        <v>1.5</v>
      </c>
      <c r="J23" s="4" t="n">
        <f aca="false">Assumptions!J16</f>
        <v>1.5</v>
      </c>
      <c r="K23" s="4" t="n">
        <f aca="false">Assumptions!K16</f>
        <v>1.5</v>
      </c>
      <c r="L23" s="4" t="n">
        <f aca="false">Assumptions!L16</f>
        <v>1.5</v>
      </c>
    </row>
    <row r="24" customFormat="false" ht="15" hidden="false" customHeight="false" outlineLevel="0" collapsed="false">
      <c r="A24" s="0" t="s">
        <v>128</v>
      </c>
      <c r="C24" s="0" t="n">
        <f aca="false">-C6*C23/100</f>
        <v>-20.5173</v>
      </c>
      <c r="D24" s="0" t="n">
        <f aca="false">-D6*D23/100</f>
        <v>-19.901781</v>
      </c>
      <c r="E24" s="0" t="n">
        <f aca="false">-E6*E23/100</f>
        <v>-19.901781</v>
      </c>
      <c r="F24" s="0" t="n">
        <f aca="false">-F6*F23/100</f>
        <v>-20.10079881</v>
      </c>
      <c r="G24" s="0" t="n">
        <f aca="false">-G6*G23/100</f>
        <v>-20.40231079215</v>
      </c>
      <c r="H24" s="0" t="n">
        <f aca="false">-H6*H23/100</f>
        <v>-20.7083454540322</v>
      </c>
      <c r="I24" s="0" t="n">
        <f aca="false">-I6*I23/100</f>
        <v>-21.0189706358427</v>
      </c>
      <c r="J24" s="0" t="n">
        <f aca="false">-J6*J23/100</f>
        <v>-21.3342551953804</v>
      </c>
      <c r="K24" s="0" t="n">
        <f aca="false">-K6*K23/100</f>
        <v>-21.6542690233111</v>
      </c>
      <c r="L24" s="0" t="n">
        <f aca="false">-L6*L23/100</f>
        <v>-21.9790830586607</v>
      </c>
    </row>
    <row r="26" customFormat="false" ht="15" hidden="false" customHeight="false" outlineLevel="0" collapsed="false">
      <c r="A26" s="2" t="s">
        <v>129</v>
      </c>
    </row>
    <row r="27" customFormat="false" ht="15" hidden="false" customHeight="false" outlineLevel="0" collapsed="false">
      <c r="A27" s="0" t="s">
        <v>107</v>
      </c>
      <c r="B27" s="4" t="n">
        <f aca="false">Assumptions!$B$20</f>
        <v>9.5</v>
      </c>
    </row>
    <row r="28" customFormat="false" ht="15" hidden="false" customHeight="false" outlineLevel="0" collapsed="false">
      <c r="A28" s="0" t="s">
        <v>108</v>
      </c>
      <c r="B28" s="4" t="n">
        <f aca="false">Assumptions!$B$21</f>
        <v>2</v>
      </c>
    </row>
    <row r="29" customFormat="false" ht="15" hidden="false" customHeight="false" outlineLevel="0" collapsed="false">
      <c r="A29" s="0" t="s">
        <v>109</v>
      </c>
      <c r="B29" s="4" t="n">
        <f aca="false">Assumptions!$B$22</f>
        <v>14</v>
      </c>
    </row>
    <row r="30" customFormat="false" ht="15" hidden="false" customHeight="false" outlineLevel="0" collapsed="false">
      <c r="A30" s="0" t="s">
        <v>130</v>
      </c>
      <c r="B30" s="0" t="n">
        <f aca="false">SUM(C21:L21)</f>
        <v>1123.19100935059</v>
      </c>
    </row>
    <row r="31" customFormat="false" ht="15" hidden="false" customHeight="false" outlineLevel="0" collapsed="false">
      <c r="A31" s="0" t="s">
        <v>131</v>
      </c>
      <c r="B31" s="0" t="n">
        <f aca="false">L19</f>
        <v>182.507592895722</v>
      </c>
    </row>
    <row r="32" customFormat="false" ht="15" hidden="false" customHeight="false" outlineLevel="0" collapsed="false">
      <c r="A32" s="0" t="s">
        <v>132</v>
      </c>
      <c r="B32" s="0" t="n">
        <f aca="false">IF(B27&gt;B28,B31*(1+B28/100)/((B27-B28)/100),B31*B29)</f>
        <v>2482.10326338181</v>
      </c>
    </row>
    <row r="33" customFormat="false" ht="15" hidden="false" customHeight="false" outlineLevel="0" collapsed="false">
      <c r="A33" s="0" t="s">
        <v>133</v>
      </c>
      <c r="B33" s="0" t="n">
        <f aca="false">B31*B29</f>
        <v>2555.1063005401</v>
      </c>
    </row>
    <row r="34" customFormat="false" ht="15" hidden="false" customHeight="false" outlineLevel="0" collapsed="false">
      <c r="A34" s="0" t="s">
        <v>134</v>
      </c>
      <c r="B34" s="0" t="n">
        <f aca="false">MAX(0,MIN(B32,B33))</f>
        <v>2482.10326338181</v>
      </c>
    </row>
    <row r="35" customFormat="false" ht="15" hidden="false" customHeight="false" outlineLevel="0" collapsed="false">
      <c r="A35" s="0" t="s">
        <v>135</v>
      </c>
      <c r="B35" s="0" t="n">
        <f aca="false">B34/(1+B27/100)^L4</f>
        <v>1001.56387972683</v>
      </c>
    </row>
    <row r="36" customFormat="false" ht="15" hidden="false" customHeight="false" outlineLevel="0" collapsed="false">
      <c r="A36" s="0" t="s">
        <v>136</v>
      </c>
      <c r="B36" s="0" t="n">
        <f aca="false">B30+B35</f>
        <v>2124.75488907743</v>
      </c>
    </row>
    <row r="37" customFormat="false" ht="15" hidden="false" customHeight="false" outlineLevel="0" collapsed="false">
      <c r="A37" s="0" t="s">
        <v>137</v>
      </c>
      <c r="B37" s="0" t="n">
        <f aca="false">B36+Assumptions!$B$5-Assumptions!$B$4</f>
        <v>3834.75488907743</v>
      </c>
    </row>
    <row r="38" customFormat="false" ht="15" hidden="false" customHeight="false" outlineLevel="0" collapsed="false">
      <c r="A38" s="0" t="s">
        <v>138</v>
      </c>
      <c r="B38" s="0" t="n">
        <f aca="false">B37/Assumptions!$B$3*Assumptions!$B$10</f>
        <v>209.3206817182</v>
      </c>
    </row>
    <row r="39" customFormat="false" ht="15" hidden="false" customHeight="false" outlineLevel="0" collapsed="false">
      <c r="A39" s="0" t="s">
        <v>139</v>
      </c>
      <c r="B39" s="4" t="n">
        <f aca="false">B38/Assumptions!$B$2-1</f>
        <v>-0.139306407408717</v>
      </c>
    </row>
    <row r="41" customFormat="false" ht="15" hidden="false" customHeight="false" outlineLevel="0" collapsed="false">
      <c r="A41" s="0" t="s">
        <v>140</v>
      </c>
      <c r="B41" s="0" t="n">
        <f aca="false">SUMPRODUCT(-C10:L10/(1+$B$27/100)^C4:L4)</f>
        <v>181.080418566739</v>
      </c>
    </row>
    <row r="42" customFormat="false" ht="15" hidden="false" customHeight="false" outlineLevel="0" collapsed="false">
      <c r="A42" s="0" t="s">
        <v>141</v>
      </c>
      <c r="B42" s="0" t="n">
        <f aca="false">IF(B27&gt;B28,-L10*(1+B28/100)/((B27-B28)/100),-L10*20)/(1+B27/100)^L4</f>
        <v>168.863319561217</v>
      </c>
    </row>
    <row r="43" customFormat="false" ht="15" hidden="false" customHeight="false" outlineLevel="0" collapsed="false">
      <c r="A43" s="0" t="s">
        <v>142</v>
      </c>
      <c r="B43" s="0" t="n">
        <f aca="false">(B37+B41+B42)/Assumptions!$B$3*Assumptions!$B$10</f>
        <v>228.422414148765</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1431.98265195105</v>
      </c>
    </row>
    <row r="47" customFormat="false" ht="15" hidden="false" customHeight="false" outlineLevel="0" collapsed="false">
      <c r="A47" s="0" t="s">
        <v>144</v>
      </c>
      <c r="B47" s="0" t="n">
        <f aca="false">(SUMPRODUCT(C19:L19/(1+B45/100)^C4:L4)+B46/(1+B45/100)^L4+Assumptions!$B$5-Assumptions!$B$4)/Assumptions!$B$3*Assumptions!$B$10</f>
        <v>161.944377245269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Assumptions!C27</f>
        <v>4</v>
      </c>
      <c r="D5" s="4" t="n">
        <f aca="false">Assumptions!D27</f>
        <v>4</v>
      </c>
      <c r="E5" s="4" t="n">
        <f aca="false">Assumptions!E27</f>
        <v>3.5</v>
      </c>
      <c r="F5" s="4" t="n">
        <f aca="false">Assumptions!F27</f>
        <v>3.5</v>
      </c>
      <c r="G5" s="4" t="n">
        <f aca="false">Assumptions!G27</f>
        <v>3</v>
      </c>
      <c r="H5" s="4" t="n">
        <f aca="false">Assumptions!H27</f>
        <v>3</v>
      </c>
      <c r="I5" s="4" t="n">
        <f aca="false">Assumptions!I27</f>
        <v>2.5</v>
      </c>
      <c r="J5" s="4" t="n">
        <f aca="false">Assumptions!J27</f>
        <v>2.5</v>
      </c>
      <c r="K5" s="4" t="n">
        <f aca="false">Assumptions!K27</f>
        <v>2</v>
      </c>
      <c r="L5" s="4" t="n">
        <f aca="false">Assumptions!L27</f>
        <v>2</v>
      </c>
    </row>
    <row r="6" customFormat="false" ht="15" hidden="false" customHeight="false" outlineLevel="0" collapsed="false">
      <c r="A6" s="0" t="s">
        <v>38</v>
      </c>
      <c r="B6" s="3" t="n">
        <v>1341</v>
      </c>
      <c r="C6" s="0" t="n">
        <f aca="false">B6*(1+C5/100)</f>
        <v>1394.64</v>
      </c>
      <c r="D6" s="0" t="n">
        <f aca="false">C6*(1+D5/100)</f>
        <v>1450.4256</v>
      </c>
      <c r="E6" s="0" t="n">
        <f aca="false">D6*(1+E5/100)</f>
        <v>1501.190496</v>
      </c>
      <c r="F6" s="0" t="n">
        <f aca="false">E6*(1+F5/100)</f>
        <v>1553.73216336</v>
      </c>
      <c r="G6" s="0" t="n">
        <f aca="false">F6*(1+G5/100)</f>
        <v>1600.3441282608</v>
      </c>
      <c r="H6" s="0" t="n">
        <f aca="false">G6*(1+H5/100)</f>
        <v>1648.35445210862</v>
      </c>
      <c r="I6" s="0" t="n">
        <f aca="false">H6*(1+I5/100)</f>
        <v>1689.56331341134</v>
      </c>
      <c r="J6" s="0" t="n">
        <f aca="false">I6*(1+J5/100)</f>
        <v>1731.80239624662</v>
      </c>
      <c r="K6" s="0" t="n">
        <f aca="false">J6*(1+K5/100)</f>
        <v>1766.43844417156</v>
      </c>
      <c r="L6" s="0" t="n">
        <f aca="false">K6*(1+L5/100)</f>
        <v>1801.76721305499</v>
      </c>
    </row>
    <row r="7" customFormat="false" ht="15" hidden="false" customHeight="false" outlineLevel="0" collapsed="false">
      <c r="A7" s="0" t="s">
        <v>101</v>
      </c>
      <c r="C7" s="4" t="n">
        <f aca="false">Assumptions!C28</f>
        <v>25.9</v>
      </c>
      <c r="D7" s="4" t="n">
        <f aca="false">Assumptions!D28</f>
        <v>27</v>
      </c>
      <c r="E7" s="4" t="n">
        <f aca="false">Assumptions!E28</f>
        <v>27.9</v>
      </c>
      <c r="F7" s="4" t="n">
        <f aca="false">Assumptions!F28</f>
        <v>28.7</v>
      </c>
      <c r="G7" s="4" t="n">
        <f aca="false">Assumptions!G28</f>
        <v>29.3</v>
      </c>
      <c r="H7" s="4" t="n">
        <f aca="false">Assumptions!H28</f>
        <v>29.8</v>
      </c>
      <c r="I7" s="4" t="n">
        <f aca="false">Assumptions!I28</f>
        <v>29.9</v>
      </c>
      <c r="J7" s="4" t="n">
        <f aca="false">Assumptions!J28</f>
        <v>29.9</v>
      </c>
      <c r="K7" s="4" t="n">
        <f aca="false">Assumptions!K28</f>
        <v>30</v>
      </c>
      <c r="L7" s="4" t="n">
        <f aca="false">Assumptions!L28</f>
        <v>30</v>
      </c>
    </row>
    <row r="8" customFormat="false" ht="15" hidden="false" customHeight="false" outlineLevel="0" collapsed="false">
      <c r="A8" s="0" t="s">
        <v>44</v>
      </c>
      <c r="C8" s="0" t="n">
        <f aca="false">C6*C7/100</f>
        <v>361.21176</v>
      </c>
      <c r="D8" s="0" t="n">
        <f aca="false">D6*D7/100</f>
        <v>391.614912</v>
      </c>
      <c r="E8" s="0" t="n">
        <f aca="false">E6*E7/100</f>
        <v>418.832148384</v>
      </c>
      <c r="F8" s="0" t="n">
        <f aca="false">F6*F7/100</f>
        <v>445.92113088432</v>
      </c>
      <c r="G8" s="0" t="n">
        <f aca="false">G6*G7/100</f>
        <v>468.900829580414</v>
      </c>
      <c r="H8" s="0" t="n">
        <f aca="false">H6*H7/100</f>
        <v>491.20962672837</v>
      </c>
      <c r="I8" s="0" t="n">
        <f aca="false">I6*I7/100</f>
        <v>505.17943070999</v>
      </c>
      <c r="J8" s="0" t="n">
        <f aca="false">J6*J7/100</f>
        <v>517.80891647774</v>
      </c>
      <c r="K8" s="0" t="n">
        <f aca="false">K6*K7/100</f>
        <v>529.931533251467</v>
      </c>
      <c r="L8" s="0" t="n">
        <f aca="false">L6*L7/100</f>
        <v>540.530163916496</v>
      </c>
    </row>
    <row r="9" customFormat="false" ht="15" hidden="false" customHeight="false" outlineLevel="0" collapsed="false">
      <c r="A9" s="0" t="s">
        <v>102</v>
      </c>
      <c r="C9" s="4" t="n">
        <f aca="false">Assumptions!C29</f>
        <v>2.1</v>
      </c>
      <c r="D9" s="4" t="n">
        <f aca="false">Assumptions!D29</f>
        <v>2.1</v>
      </c>
      <c r="E9" s="4" t="n">
        <f aca="false">Assumptions!E29</f>
        <v>2.1</v>
      </c>
      <c r="F9" s="4" t="n">
        <f aca="false">Assumptions!F29</f>
        <v>2.1</v>
      </c>
      <c r="G9" s="4" t="n">
        <f aca="false">Assumptions!G29</f>
        <v>2.1</v>
      </c>
      <c r="H9" s="4" t="n">
        <f aca="false">Assumptions!H29</f>
        <v>2.1</v>
      </c>
      <c r="I9" s="4" t="n">
        <f aca="false">Assumptions!I29</f>
        <v>2.1</v>
      </c>
      <c r="J9" s="4" t="n">
        <f aca="false">Assumptions!J29</f>
        <v>2.1</v>
      </c>
      <c r="K9" s="4" t="n">
        <f aca="false">Assumptions!K29</f>
        <v>2.1</v>
      </c>
      <c r="L9" s="4" t="n">
        <f aca="false">Assumptions!L29</f>
        <v>2.1</v>
      </c>
    </row>
    <row r="10" customFormat="false" ht="15" hidden="false" customHeight="false" outlineLevel="0" collapsed="false">
      <c r="A10" s="0" t="s">
        <v>117</v>
      </c>
      <c r="C10" s="0" t="n">
        <f aca="false">-C6*C9/100</f>
        <v>-29.28744</v>
      </c>
      <c r="D10" s="0" t="n">
        <f aca="false">-D6*D9/100</f>
        <v>-30.4589376</v>
      </c>
      <c r="E10" s="0" t="n">
        <f aca="false">-E6*E9/100</f>
        <v>-31.525000416</v>
      </c>
      <c r="F10" s="0" t="n">
        <f aca="false">-F6*F9/100</f>
        <v>-32.62837543056</v>
      </c>
      <c r="G10" s="0" t="n">
        <f aca="false">-G6*G9/100</f>
        <v>-33.6072266934768</v>
      </c>
      <c r="H10" s="0" t="n">
        <f aca="false">-H6*H9/100</f>
        <v>-34.6154434942811</v>
      </c>
      <c r="I10" s="0" t="n">
        <f aca="false">-I6*I9/100</f>
        <v>-35.4808295816381</v>
      </c>
      <c r="J10" s="0" t="n">
        <f aca="false">-J6*J9/100</f>
        <v>-36.3678503211791</v>
      </c>
      <c r="K10" s="0" t="n">
        <f aca="false">-K6*K9/100</f>
        <v>-37.0952073276027</v>
      </c>
      <c r="L10" s="0" t="n">
        <f aca="false">-L6*L9/100</f>
        <v>-37.8371114741547</v>
      </c>
    </row>
    <row r="11" customFormat="false" ht="15" hidden="false" customHeight="false" outlineLevel="0" collapsed="false">
      <c r="A11" s="0" t="s">
        <v>118</v>
      </c>
      <c r="C11" s="0" t="n">
        <f aca="false">C8+C10+C24</f>
        <v>311.00472</v>
      </c>
      <c r="D11" s="0" t="n">
        <f aca="false">D8+D10+D24</f>
        <v>339.3995904</v>
      </c>
      <c r="E11" s="0" t="n">
        <f aca="false">E8+E10+E24</f>
        <v>364.789290528</v>
      </c>
      <c r="F11" s="0" t="n">
        <f aca="false">F8+F10+F24</f>
        <v>389.98677300336</v>
      </c>
      <c r="G11" s="0" t="n">
        <f aca="false">G8+G10+G24</f>
        <v>411.288440963026</v>
      </c>
      <c r="H11" s="0" t="n">
        <f aca="false">H8+H10+H24</f>
        <v>431.86886645246</v>
      </c>
      <c r="I11" s="0" t="n">
        <f aca="false">I8+I10+I24</f>
        <v>444.355151427182</v>
      </c>
      <c r="J11" s="0" t="n">
        <f aca="false">J8+J10+J24</f>
        <v>455.464030212862</v>
      </c>
      <c r="K11" s="0" t="n">
        <f aca="false">K8+K10+K24</f>
        <v>466.339749261291</v>
      </c>
      <c r="L11" s="0" t="n">
        <f aca="false">L8+L10+L24</f>
        <v>475.666544246516</v>
      </c>
    </row>
    <row r="12" customFormat="false" ht="15" hidden="false" customHeight="false" outlineLevel="0" collapsed="false">
      <c r="A12" s="0" t="s">
        <v>119</v>
      </c>
      <c r="C12" s="4" t="n">
        <f aca="false">-C6*Assumptions!C31/100</f>
        <v>-16.73568</v>
      </c>
      <c r="D12" s="4" t="n">
        <f aca="false">-D6*Assumptions!D31/100</f>
        <v>-18.8555328</v>
      </c>
      <c r="E12" s="4" t="n">
        <f aca="false">-E6*Assumptions!E31/100</f>
        <v>-21.016666944</v>
      </c>
      <c r="F12" s="4" t="n">
        <f aca="false">-F6*Assumptions!F31/100</f>
        <v>-23.3059824504</v>
      </c>
      <c r="G12" s="4" t="n">
        <f aca="false">-G6*Assumptions!G31/100</f>
        <v>-25.6055060521728</v>
      </c>
      <c r="H12" s="4" t="n">
        <f aca="false">-H6*Assumptions!H31/100</f>
        <v>-26.373671233738</v>
      </c>
      <c r="I12" s="4" t="n">
        <f aca="false">-I6*Assumptions!I31/100</f>
        <v>-28.7225763279928</v>
      </c>
      <c r="J12" s="4" t="n">
        <f aca="false">-J6*Assumptions!J31/100</f>
        <v>-29.4406407361926</v>
      </c>
      <c r="K12" s="4" t="n">
        <f aca="false">-K6*Assumptions!K31/100</f>
        <v>-31.795891995088</v>
      </c>
      <c r="L12" s="4" t="n">
        <f aca="false">-L6*Assumptions!L31/100</f>
        <v>-32.4318098349898</v>
      </c>
    </row>
    <row r="13" customFormat="false" ht="15" hidden="false" customHeight="false" outlineLevel="0" collapsed="false">
      <c r="A13" s="0" t="s">
        <v>120</v>
      </c>
      <c r="C13" s="0" t="n">
        <f aca="false">C11+C12</f>
        <v>294.26904</v>
      </c>
      <c r="D13" s="0" t="n">
        <f aca="false">D11+D12</f>
        <v>320.5440576</v>
      </c>
      <c r="E13" s="0" t="n">
        <f aca="false">E11+E12</f>
        <v>343.772623584</v>
      </c>
      <c r="F13" s="0" t="n">
        <f aca="false">F11+F12</f>
        <v>366.68079055296</v>
      </c>
      <c r="G13" s="0" t="n">
        <f aca="false">G11+G12</f>
        <v>385.682934910853</v>
      </c>
      <c r="H13" s="0" t="n">
        <f aca="false">H11+H12</f>
        <v>405.495195218722</v>
      </c>
      <c r="I13" s="0" t="n">
        <f aca="false">I11+I12</f>
        <v>415.632575099189</v>
      </c>
      <c r="J13" s="0" t="n">
        <f aca="false">J11+J12</f>
        <v>426.023389476669</v>
      </c>
      <c r="K13" s="0" t="n">
        <f aca="false">K11+K12</f>
        <v>434.543857266203</v>
      </c>
      <c r="L13" s="0" t="n">
        <f aca="false">L11+L12</f>
        <v>443.234734411527</v>
      </c>
    </row>
    <row r="14" customFormat="false" ht="15" hidden="false" customHeight="false" outlineLevel="0" collapsed="false">
      <c r="A14" s="0" t="s">
        <v>106</v>
      </c>
      <c r="C14" s="4" t="n">
        <f aca="false">Assumptions!C33</f>
        <v>12</v>
      </c>
      <c r="D14" s="4" t="n">
        <f aca="false">Assumptions!D33</f>
        <v>15</v>
      </c>
      <c r="E14" s="4" t="n">
        <f aca="false">Assumptions!E33</f>
        <v>18</v>
      </c>
      <c r="F14" s="4" t="n">
        <f aca="false">Assumptions!F33</f>
        <v>21</v>
      </c>
      <c r="G14" s="4" t="n">
        <f aca="false">Assumptions!G33</f>
        <v>23</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121</v>
      </c>
      <c r="C15" s="0" t="n">
        <f aca="false">C13-MAX(0,C13)*C14/100</f>
        <v>258.9567552</v>
      </c>
      <c r="D15" s="0" t="n">
        <f aca="false">D13-MAX(0,D13)*D14/100</f>
        <v>272.46244896</v>
      </c>
      <c r="E15" s="0" t="n">
        <f aca="false">E13-MAX(0,E13)*E14/100</f>
        <v>281.89355133888</v>
      </c>
      <c r="F15" s="0" t="n">
        <f aca="false">F13-MAX(0,F13)*F14/100</f>
        <v>289.677824536838</v>
      </c>
      <c r="G15" s="0" t="n">
        <f aca="false">G13-MAX(0,G13)*G14/100</f>
        <v>296.975859881357</v>
      </c>
      <c r="H15" s="0" t="n">
        <f aca="false">H13-MAX(0,H13)*H14/100</f>
        <v>304.121396414041</v>
      </c>
      <c r="I15" s="0" t="n">
        <f aca="false">I13-MAX(0,I13)*I14/100</f>
        <v>311.724431324392</v>
      </c>
      <c r="J15" s="0" t="n">
        <f aca="false">J13-MAX(0,J13)*J14/100</f>
        <v>319.517542107502</v>
      </c>
      <c r="K15" s="0" t="n">
        <f aca="false">K13-MAX(0,K13)*K14/100</f>
        <v>325.907892949652</v>
      </c>
      <c r="L15" s="0" t="n">
        <f aca="false">L13-MAX(0,L13)*L14/100</f>
        <v>332.426050808645</v>
      </c>
    </row>
    <row r="16" customFormat="false" ht="15" hidden="false" customHeight="false" outlineLevel="0" collapsed="false">
      <c r="A16" s="0" t="s">
        <v>122</v>
      </c>
      <c r="C16" s="0" t="n">
        <f aca="false">-C12</f>
        <v>16.73568</v>
      </c>
      <c r="D16" s="0" t="n">
        <f aca="false">-D12</f>
        <v>18.8555328</v>
      </c>
      <c r="E16" s="0" t="n">
        <f aca="false">-E12</f>
        <v>21.016666944</v>
      </c>
      <c r="F16" s="0" t="n">
        <f aca="false">-F12</f>
        <v>23.3059824504</v>
      </c>
      <c r="G16" s="0" t="n">
        <f aca="false">-G12</f>
        <v>25.6055060521728</v>
      </c>
      <c r="H16" s="0" t="n">
        <f aca="false">-H12</f>
        <v>26.373671233738</v>
      </c>
      <c r="I16" s="0" t="n">
        <f aca="false">-I12</f>
        <v>28.7225763279928</v>
      </c>
      <c r="J16" s="0" t="n">
        <f aca="false">-J12</f>
        <v>29.4406407361926</v>
      </c>
      <c r="K16" s="0" t="n">
        <f aca="false">-K12</f>
        <v>31.795891995088</v>
      </c>
      <c r="L16" s="0" t="n">
        <f aca="false">-L12</f>
        <v>32.4318098349898</v>
      </c>
    </row>
    <row r="17" customFormat="false" ht="15" hidden="false" customHeight="false" outlineLevel="0" collapsed="false">
      <c r="A17" s="0" t="s">
        <v>123</v>
      </c>
      <c r="C17" s="4" t="n">
        <f aca="false">-C6*Assumptions!C32/100</f>
        <v>-41.8392</v>
      </c>
      <c r="D17" s="4" t="n">
        <f aca="false">-D6*Assumptions!D32/100</f>
        <v>-40.6119168</v>
      </c>
      <c r="E17" s="4" t="n">
        <f aca="false">-E6*Assumptions!E32/100</f>
        <v>-37.5297624</v>
      </c>
      <c r="F17" s="4" t="n">
        <f aca="false">-F6*Assumptions!F32/100</f>
        <v>-34.18210759392</v>
      </c>
      <c r="G17" s="4" t="n">
        <f aca="false">-G6*Assumptions!G32/100</f>
        <v>-32.006882565216</v>
      </c>
      <c r="H17" s="4" t="n">
        <f aca="false">-H6*Assumptions!H32/100</f>
        <v>-32.9670890421725</v>
      </c>
      <c r="I17" s="4" t="n">
        <f aca="false">-I6*Assumptions!I32/100</f>
        <v>-30.4121396414041</v>
      </c>
      <c r="J17" s="4" t="n">
        <f aca="false">-J6*Assumptions!J32/100</f>
        <v>-31.1724431324392</v>
      </c>
      <c r="K17" s="4" t="n">
        <f aca="false">-K6*Assumptions!K32/100</f>
        <v>-31.795891995088</v>
      </c>
      <c r="L17" s="4" t="n">
        <f aca="false">-L6*Assumptions!L32/100</f>
        <v>-32.4318098349898</v>
      </c>
    </row>
    <row r="18" customFormat="false" ht="15" hidden="false" customHeight="false" outlineLevel="0" collapsed="false">
      <c r="A18" s="0" t="s">
        <v>124</v>
      </c>
      <c r="C18" s="4" t="n">
        <f aca="false">(C6-B6)*Assumptions!$B$37/100</f>
        <v>-13.41</v>
      </c>
      <c r="D18" s="4" t="n">
        <f aca="false">(D6-C6)*Assumptions!$B$37/100</f>
        <v>-13.9464</v>
      </c>
      <c r="E18" s="4" t="n">
        <f aca="false">(E6-D6)*Assumptions!$B$37/100</f>
        <v>-12.691224</v>
      </c>
      <c r="F18" s="4" t="n">
        <f aca="false">(F6-E6)*Assumptions!$B$37/100</f>
        <v>-13.1354168399999</v>
      </c>
      <c r="G18" s="4" t="n">
        <f aca="false">(G6-F6)*Assumptions!$B$37/100</f>
        <v>-11.6529912252</v>
      </c>
      <c r="H18" s="4" t="n">
        <f aca="false">(H6-G6)*Assumptions!$B$37/100</f>
        <v>-12.002580961956</v>
      </c>
      <c r="I18" s="4" t="n">
        <f aca="false">(I6-H6)*Assumptions!$B$37/100</f>
        <v>-10.3022153256788</v>
      </c>
      <c r="J18" s="4" t="n">
        <f aca="false">(J6-I6)*Assumptions!$B$37/100</f>
        <v>-10.5597707088209</v>
      </c>
      <c r="K18" s="4" t="n">
        <f aca="false">(K6-J6)*Assumptions!$B$37/100</f>
        <v>-8.65901198123311</v>
      </c>
      <c r="L18" s="4" t="n">
        <f aca="false">(L6-K6)*Assumptions!$B$37/100</f>
        <v>-8.83219222085779</v>
      </c>
    </row>
    <row r="19" customFormat="false" ht="15" hidden="false" customHeight="false" outlineLevel="0" collapsed="false">
      <c r="A19" s="0" t="s">
        <v>125</v>
      </c>
      <c r="C19" s="0" t="n">
        <f aca="false">C15+C16+C17+C18</f>
        <v>220.4432352</v>
      </c>
      <c r="D19" s="0" t="n">
        <f aca="false">D15+D16+D17+D18</f>
        <v>236.75966496</v>
      </c>
      <c r="E19" s="0" t="n">
        <f aca="false">E15+E16+E17+E18</f>
        <v>252.68923188288</v>
      </c>
      <c r="F19" s="0" t="n">
        <f aca="false">F15+F16+F17+F18</f>
        <v>265.666282553318</v>
      </c>
      <c r="G19" s="0" t="n">
        <f aca="false">G15+G16+G17+G18</f>
        <v>278.921492143113</v>
      </c>
      <c r="H19" s="0" t="n">
        <f aca="false">H15+H16+H17+H18</f>
        <v>285.525397643651</v>
      </c>
      <c r="I19" s="0" t="n">
        <f aca="false">I15+I16+I17+I18</f>
        <v>299.732652685302</v>
      </c>
      <c r="J19" s="0" t="n">
        <f aca="false">J15+J16+J17+J18</f>
        <v>307.225969002434</v>
      </c>
      <c r="K19" s="0" t="n">
        <f aca="false">K15+K16+K17+K18</f>
        <v>317.248880968419</v>
      </c>
      <c r="L19" s="0" t="n">
        <f aca="false">L15+L16+L17+L18</f>
        <v>323.593858587787</v>
      </c>
    </row>
    <row r="20" customFormat="false" ht="15" hidden="false" customHeight="false" outlineLevel="0" collapsed="false">
      <c r="A20" s="0" t="s">
        <v>126</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127</v>
      </c>
      <c r="C21" s="0" t="n">
        <f aca="false">C19*C20</f>
        <v>201.318023013699</v>
      </c>
      <c r="D21" s="0" t="n">
        <f aca="false">D19*D20</f>
        <v>197.460157177707</v>
      </c>
      <c r="E21" s="0" t="n">
        <f aca="false">E19*E20</f>
        <v>192.461726661954</v>
      </c>
      <c r="F21" s="0" t="n">
        <f aca="false">F19*F20</f>
        <v>184.790636789449</v>
      </c>
      <c r="G21" s="0" t="n">
        <f aca="false">G19*G20</f>
        <v>177.178648251003</v>
      </c>
      <c r="H21" s="0" t="n">
        <f aca="false">H19*H20</f>
        <v>165.638019839134</v>
      </c>
      <c r="I21" s="0" t="n">
        <f aca="false">I19*I20</f>
        <v>158.79441477369</v>
      </c>
      <c r="J21" s="0" t="n">
        <f aca="false">J19*J20</f>
        <v>148.643173646605</v>
      </c>
      <c r="K21" s="0" t="n">
        <f aca="false">K19*K20</f>
        <v>140.175794496778</v>
      </c>
      <c r="L21" s="0" t="n">
        <f aca="false">L19*L20</f>
        <v>130.57471268193</v>
      </c>
    </row>
    <row r="23" customFormat="false" ht="15" hidden="false" customHeight="false" outlineLevel="0" collapsed="false">
      <c r="A23" s="0" t="s">
        <v>103</v>
      </c>
      <c r="C23" s="4" t="n">
        <f aca="false">Assumptions!C30</f>
        <v>1.5</v>
      </c>
      <c r="D23" s="4" t="n">
        <f aca="false">Assumptions!D30</f>
        <v>1.5</v>
      </c>
      <c r="E23" s="4" t="n">
        <f aca="false">Assumptions!E30</f>
        <v>1.5</v>
      </c>
      <c r="F23" s="4" t="n">
        <f aca="false">Assumptions!F30</f>
        <v>1.5</v>
      </c>
      <c r="G23" s="4" t="n">
        <f aca="false">Assumptions!G30</f>
        <v>1.5</v>
      </c>
      <c r="H23" s="4" t="n">
        <f aca="false">Assumptions!H30</f>
        <v>1.5</v>
      </c>
      <c r="I23" s="4" t="n">
        <f aca="false">Assumptions!I30</f>
        <v>1.5</v>
      </c>
      <c r="J23" s="4" t="n">
        <f aca="false">Assumptions!J30</f>
        <v>1.5</v>
      </c>
      <c r="K23" s="4" t="n">
        <f aca="false">Assumptions!K30</f>
        <v>1.5</v>
      </c>
      <c r="L23" s="4" t="n">
        <f aca="false">Assumptions!L30</f>
        <v>1.5</v>
      </c>
    </row>
    <row r="24" customFormat="false" ht="15" hidden="false" customHeight="false" outlineLevel="0" collapsed="false">
      <c r="A24" s="0" t="s">
        <v>128</v>
      </c>
      <c r="C24" s="0" t="n">
        <f aca="false">-C6*C23/100</f>
        <v>-20.9196</v>
      </c>
      <c r="D24" s="0" t="n">
        <f aca="false">-D6*D23/100</f>
        <v>-21.756384</v>
      </c>
      <c r="E24" s="0" t="n">
        <f aca="false">-E6*E23/100</f>
        <v>-22.51785744</v>
      </c>
      <c r="F24" s="0" t="n">
        <f aca="false">-F6*F23/100</f>
        <v>-23.3059824504</v>
      </c>
      <c r="G24" s="0" t="n">
        <f aca="false">-G6*G23/100</f>
        <v>-24.005161923912</v>
      </c>
      <c r="H24" s="0" t="n">
        <f aca="false">-H6*H23/100</f>
        <v>-24.7253167816294</v>
      </c>
      <c r="I24" s="0" t="n">
        <f aca="false">-I6*I23/100</f>
        <v>-25.3434497011701</v>
      </c>
      <c r="J24" s="0" t="n">
        <f aca="false">-J6*J23/100</f>
        <v>-25.9770359436993</v>
      </c>
      <c r="K24" s="0" t="n">
        <f aca="false">-K6*K23/100</f>
        <v>-26.4965766625733</v>
      </c>
      <c r="L24" s="0" t="n">
        <f aca="false">-L6*L23/100</f>
        <v>-27.0265081958248</v>
      </c>
    </row>
    <row r="26" customFormat="false" ht="15" hidden="false" customHeight="false" outlineLevel="0" collapsed="false">
      <c r="A26" s="2" t="s">
        <v>129</v>
      </c>
    </row>
    <row r="27" customFormat="false" ht="15" hidden="false" customHeight="false" outlineLevel="0" collapsed="false">
      <c r="A27" s="0" t="s">
        <v>107</v>
      </c>
      <c r="B27" s="4" t="n">
        <f aca="false">Assumptions!$B$34</f>
        <v>9.5</v>
      </c>
    </row>
    <row r="28" customFormat="false" ht="15" hidden="false" customHeight="false" outlineLevel="0" collapsed="false">
      <c r="A28" s="0" t="s">
        <v>108</v>
      </c>
      <c r="B28" s="4" t="n">
        <f aca="false">Assumptions!$B$35</f>
        <v>2</v>
      </c>
    </row>
    <row r="29" customFormat="false" ht="15" hidden="false" customHeight="false" outlineLevel="0" collapsed="false">
      <c r="A29" s="0" t="s">
        <v>109</v>
      </c>
      <c r="B29" s="4" t="n">
        <f aca="false">Assumptions!$B$36</f>
        <v>14</v>
      </c>
    </row>
    <row r="30" customFormat="false" ht="15" hidden="false" customHeight="false" outlineLevel="0" collapsed="false">
      <c r="A30" s="0" t="s">
        <v>130</v>
      </c>
      <c r="B30" s="0" t="n">
        <f aca="false">SUM(C21:L21)</f>
        <v>1697.03530733195</v>
      </c>
    </row>
    <row r="31" customFormat="false" ht="15" hidden="false" customHeight="false" outlineLevel="0" collapsed="false">
      <c r="A31" s="0" t="s">
        <v>131</v>
      </c>
      <c r="B31" s="0" t="n">
        <f aca="false">L19</f>
        <v>323.593858587787</v>
      </c>
    </row>
    <row r="32" customFormat="false" ht="15" hidden="false" customHeight="false" outlineLevel="0" collapsed="false">
      <c r="A32" s="0" t="s">
        <v>132</v>
      </c>
      <c r="B32" s="0" t="n">
        <f aca="false">IF(B27&gt;B28,B31*(1+B28/100)/((B27-B28)/100),B31*B29)</f>
        <v>4400.87647679391</v>
      </c>
    </row>
    <row r="33" customFormat="false" ht="15" hidden="false" customHeight="false" outlineLevel="0" collapsed="false">
      <c r="A33" s="0" t="s">
        <v>133</v>
      </c>
      <c r="B33" s="0" t="n">
        <f aca="false">B31*B29</f>
        <v>4530.31402022902</v>
      </c>
    </row>
    <row r="34" customFormat="false" ht="15" hidden="false" customHeight="false" outlineLevel="0" collapsed="false">
      <c r="A34" s="0" t="s">
        <v>134</v>
      </c>
      <c r="B34" s="0" t="n">
        <f aca="false">MAX(0,MIN(B32,B33))</f>
        <v>4400.87647679391</v>
      </c>
    </row>
    <row r="35" customFormat="false" ht="15" hidden="false" customHeight="false" outlineLevel="0" collapsed="false">
      <c r="A35" s="0" t="s">
        <v>135</v>
      </c>
      <c r="B35" s="0" t="n">
        <f aca="false">B34/(1+B27/100)^L4</f>
        <v>1775.81609247425</v>
      </c>
    </row>
    <row r="36" customFormat="false" ht="15" hidden="false" customHeight="false" outlineLevel="0" collapsed="false">
      <c r="A36" s="0" t="s">
        <v>136</v>
      </c>
      <c r="B36" s="0" t="n">
        <f aca="false">B30+B35</f>
        <v>3472.85139980619</v>
      </c>
    </row>
    <row r="37" customFormat="false" ht="15" hidden="false" customHeight="false" outlineLevel="0" collapsed="false">
      <c r="A37" s="0" t="s">
        <v>137</v>
      </c>
      <c r="B37" s="0" t="n">
        <f aca="false">B36+Assumptions!$B$5-Assumptions!$B$4</f>
        <v>5182.85139980619</v>
      </c>
    </row>
    <row r="38" customFormat="false" ht="15" hidden="false" customHeight="false" outlineLevel="0" collapsed="false">
      <c r="A38" s="0" t="s">
        <v>138</v>
      </c>
      <c r="B38" s="0" t="n">
        <f aca="false">B37/Assumptions!$B$3*Assumptions!$B$10</f>
        <v>282.906735797281</v>
      </c>
    </row>
    <row r="39" customFormat="false" ht="15" hidden="false" customHeight="false" outlineLevel="0" collapsed="false">
      <c r="A39" s="0" t="s">
        <v>139</v>
      </c>
      <c r="B39" s="4" t="n">
        <f aca="false">B38/Assumptions!$B$2-1</f>
        <v>0.163267828113821</v>
      </c>
    </row>
    <row r="41" customFormat="false" ht="15" hidden="false" customHeight="false" outlineLevel="0" collapsed="false">
      <c r="A41" s="0" t="s">
        <v>140</v>
      </c>
      <c r="B41" s="0" t="n">
        <f aca="false">SUMPRODUCT(-C10:L10/(1+$B$27/100)^C4:L4)</f>
        <v>208.336595356536</v>
      </c>
    </row>
    <row r="42" customFormat="false" ht="15" hidden="false" customHeight="false" outlineLevel="0" collapsed="false">
      <c r="A42" s="0" t="s">
        <v>141</v>
      </c>
      <c r="B42" s="0" t="n">
        <f aca="false">IF(B27&gt;B28,-L10*(1+B28/100)/((B27-B28)/100),-L10*20)/(1+B27/100)^L4</f>
        <v>207.64223320486</v>
      </c>
    </row>
    <row r="43" customFormat="false" ht="15" hidden="false" customHeight="false" outlineLevel="0" collapsed="false">
      <c r="A43" s="0" t="s">
        <v>142</v>
      </c>
      <c r="B43" s="0" t="n">
        <f aca="false">(B37+B41+B42)/Assumptions!$B$3*Assumptions!$B$10</f>
        <v>305.613003731855</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2538.96719815033</v>
      </c>
    </row>
    <row r="47" customFormat="false" ht="15" hidden="false" customHeight="false" outlineLevel="0" collapsed="false">
      <c r="A47" s="0" t="s">
        <v>144</v>
      </c>
      <c r="B47" s="0" t="n">
        <f aca="false">(SUMPRODUCT(C19:L19/(1+B45/100)^C4:L4)+B46/(1+B45/100)^L4+Assumptions!$B$5-Assumptions!$B$4)/Assumptions!$B$3*Assumptions!$B$10</f>
        <v>200.422886126395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Assumptions!C41</f>
        <v>5.5</v>
      </c>
      <c r="D5" s="4" t="n">
        <f aca="false">Assumptions!D41</f>
        <v>6</v>
      </c>
      <c r="E5" s="4" t="n">
        <f aca="false">Assumptions!E41</f>
        <v>5.5</v>
      </c>
      <c r="F5" s="4" t="n">
        <f aca="false">Assumptions!F41</f>
        <v>5</v>
      </c>
      <c r="G5" s="4" t="n">
        <f aca="false">Assumptions!G41</f>
        <v>4.5</v>
      </c>
      <c r="H5" s="4" t="n">
        <f aca="false">Assumptions!H41</f>
        <v>4</v>
      </c>
      <c r="I5" s="4" t="n">
        <f aca="false">Assumptions!I41</f>
        <v>3.5</v>
      </c>
      <c r="J5" s="4" t="n">
        <f aca="false">Assumptions!J41</f>
        <v>3</v>
      </c>
      <c r="K5" s="4" t="n">
        <f aca="false">Assumptions!K41</f>
        <v>3</v>
      </c>
      <c r="L5" s="4" t="n">
        <f aca="false">Assumptions!L41</f>
        <v>2.5</v>
      </c>
    </row>
    <row r="6" customFormat="false" ht="15" hidden="false" customHeight="false" outlineLevel="0" collapsed="false">
      <c r="A6" s="0" t="s">
        <v>38</v>
      </c>
      <c r="B6" s="3" t="n">
        <v>1341</v>
      </c>
      <c r="C6" s="0" t="n">
        <f aca="false">B6*(1+C5/100)</f>
        <v>1414.755</v>
      </c>
      <c r="D6" s="0" t="n">
        <f aca="false">C6*(1+D5/100)</f>
        <v>1499.6403</v>
      </c>
      <c r="E6" s="0" t="n">
        <f aca="false">D6*(1+E5/100)</f>
        <v>1582.1205165</v>
      </c>
      <c r="F6" s="0" t="n">
        <f aca="false">E6*(1+F5/100)</f>
        <v>1661.226542325</v>
      </c>
      <c r="G6" s="0" t="n">
        <f aca="false">F6*(1+G5/100)</f>
        <v>1735.98173672962</v>
      </c>
      <c r="H6" s="0" t="n">
        <f aca="false">G6*(1+H5/100)</f>
        <v>1805.42100619881</v>
      </c>
      <c r="I6" s="0" t="n">
        <f aca="false">H6*(1+I5/100)</f>
        <v>1868.61074141577</v>
      </c>
      <c r="J6" s="0" t="n">
        <f aca="false">I6*(1+J5/100)</f>
        <v>1924.66906365824</v>
      </c>
      <c r="K6" s="0" t="n">
        <f aca="false">J6*(1+K5/100)</f>
        <v>1982.40913556799</v>
      </c>
      <c r="L6" s="0" t="n">
        <f aca="false">K6*(1+L5/100)</f>
        <v>2031.96936395719</v>
      </c>
    </row>
    <row r="7" customFormat="false" ht="15" hidden="false" customHeight="false" outlineLevel="0" collapsed="false">
      <c r="A7" s="0" t="s">
        <v>101</v>
      </c>
      <c r="C7" s="4" t="n">
        <f aca="false">Assumptions!C42</f>
        <v>26.4</v>
      </c>
      <c r="D7" s="4" t="n">
        <f aca="false">Assumptions!D42</f>
        <v>28</v>
      </c>
      <c r="E7" s="4" t="n">
        <f aca="false">Assumptions!E42</f>
        <v>29.6</v>
      </c>
      <c r="F7" s="4" t="n">
        <f aca="false">Assumptions!F42</f>
        <v>30.7</v>
      </c>
      <c r="G7" s="4" t="n">
        <f aca="false">Assumptions!G42</f>
        <v>31.8</v>
      </c>
      <c r="H7" s="4" t="n">
        <f aca="false">Assumptions!H42</f>
        <v>32.3</v>
      </c>
      <c r="I7" s="4" t="n">
        <f aca="false">Assumptions!I42</f>
        <v>32.9</v>
      </c>
      <c r="J7" s="4" t="n">
        <f aca="false">Assumptions!J42</f>
        <v>32.9</v>
      </c>
      <c r="K7" s="4" t="n">
        <f aca="false">Assumptions!K42</f>
        <v>33</v>
      </c>
      <c r="L7" s="4" t="n">
        <f aca="false">Assumptions!L42</f>
        <v>33</v>
      </c>
    </row>
    <row r="8" customFormat="false" ht="15" hidden="false" customHeight="false" outlineLevel="0" collapsed="false">
      <c r="A8" s="0" t="s">
        <v>44</v>
      </c>
      <c r="C8" s="0" t="n">
        <f aca="false">C6*C7/100</f>
        <v>373.49532</v>
      </c>
      <c r="D8" s="0" t="n">
        <f aca="false">D6*D7/100</f>
        <v>419.899284</v>
      </c>
      <c r="E8" s="0" t="n">
        <f aca="false">E6*E7/100</f>
        <v>468.307672884</v>
      </c>
      <c r="F8" s="0" t="n">
        <f aca="false">F6*F7/100</f>
        <v>509.996548493775</v>
      </c>
      <c r="G8" s="0" t="n">
        <f aca="false">G6*G7/100</f>
        <v>552.042192280021</v>
      </c>
      <c r="H8" s="0" t="n">
        <f aca="false">H6*H7/100</f>
        <v>583.150985002216</v>
      </c>
      <c r="I8" s="0" t="n">
        <f aca="false">I6*I7/100</f>
        <v>614.772933925788</v>
      </c>
      <c r="J8" s="0" t="n">
        <f aca="false">J6*J7/100</f>
        <v>633.216121943561</v>
      </c>
      <c r="K8" s="0" t="n">
        <f aca="false">K6*K7/100</f>
        <v>654.195014737436</v>
      </c>
      <c r="L8" s="0" t="n">
        <f aca="false">L6*L7/100</f>
        <v>670.549890105872</v>
      </c>
    </row>
    <row r="9" customFormat="false" ht="15" hidden="false" customHeight="false" outlineLevel="0" collapsed="false">
      <c r="A9" s="0" t="s">
        <v>102</v>
      </c>
      <c r="C9" s="4" t="n">
        <f aca="false">Assumptions!C43</f>
        <v>2.1</v>
      </c>
      <c r="D9" s="4" t="n">
        <f aca="false">Assumptions!D43</f>
        <v>2.1</v>
      </c>
      <c r="E9" s="4" t="n">
        <f aca="false">Assumptions!E43</f>
        <v>2.1</v>
      </c>
      <c r="F9" s="4" t="n">
        <f aca="false">Assumptions!F43</f>
        <v>2.1</v>
      </c>
      <c r="G9" s="4" t="n">
        <f aca="false">Assumptions!G43</f>
        <v>2.1</v>
      </c>
      <c r="H9" s="4" t="n">
        <f aca="false">Assumptions!H43</f>
        <v>2.1</v>
      </c>
      <c r="I9" s="4" t="n">
        <f aca="false">Assumptions!I43</f>
        <v>2.1</v>
      </c>
      <c r="J9" s="4" t="n">
        <f aca="false">Assumptions!J43</f>
        <v>2.1</v>
      </c>
      <c r="K9" s="4" t="n">
        <f aca="false">Assumptions!K43</f>
        <v>2.1</v>
      </c>
      <c r="L9" s="4" t="n">
        <f aca="false">Assumptions!L43</f>
        <v>2.1</v>
      </c>
    </row>
    <row r="10" customFormat="false" ht="15" hidden="false" customHeight="false" outlineLevel="0" collapsed="false">
      <c r="A10" s="0" t="s">
        <v>117</v>
      </c>
      <c r="C10" s="0" t="n">
        <f aca="false">-C6*C9/100</f>
        <v>-29.709855</v>
      </c>
      <c r="D10" s="0" t="n">
        <f aca="false">-D6*D9/100</f>
        <v>-31.4924463</v>
      </c>
      <c r="E10" s="0" t="n">
        <f aca="false">-E6*E9/100</f>
        <v>-33.2245308465</v>
      </c>
      <c r="F10" s="0" t="n">
        <f aca="false">-F6*F9/100</f>
        <v>-34.885757388825</v>
      </c>
      <c r="G10" s="0" t="n">
        <f aca="false">-G6*G9/100</f>
        <v>-36.4556164713221</v>
      </c>
      <c r="H10" s="0" t="n">
        <f aca="false">-H6*H9/100</f>
        <v>-37.913841130175</v>
      </c>
      <c r="I10" s="0" t="n">
        <f aca="false">-I6*I9/100</f>
        <v>-39.2408255697311</v>
      </c>
      <c r="J10" s="0" t="n">
        <f aca="false">-J6*J9/100</f>
        <v>-40.4180503368231</v>
      </c>
      <c r="K10" s="0" t="n">
        <f aca="false">-K6*K9/100</f>
        <v>-41.6305918469278</v>
      </c>
      <c r="L10" s="0" t="n">
        <f aca="false">-L6*L9/100</f>
        <v>-42.671356643101</v>
      </c>
    </row>
    <row r="11" customFormat="false" ht="15" hidden="false" customHeight="false" outlineLevel="0" collapsed="false">
      <c r="A11" s="0" t="s">
        <v>118</v>
      </c>
      <c r="C11" s="0" t="n">
        <f aca="false">C8+C10+C24</f>
        <v>322.56414</v>
      </c>
      <c r="D11" s="0" t="n">
        <f aca="false">D8+D10+D24</f>
        <v>365.9122332</v>
      </c>
      <c r="E11" s="0" t="n">
        <f aca="false">E8+E10+E24</f>
        <v>411.35133429</v>
      </c>
      <c r="F11" s="0" t="n">
        <f aca="false">F8+F10+F24</f>
        <v>450.192392970075</v>
      </c>
      <c r="G11" s="0" t="n">
        <f aca="false">G8+G10+G24</f>
        <v>489.546849757754</v>
      </c>
      <c r="H11" s="0" t="n">
        <f aca="false">H8+H10+H24</f>
        <v>518.155828779058</v>
      </c>
      <c r="I11" s="0" t="n">
        <f aca="false">I8+I10+I24</f>
        <v>547.50294723482</v>
      </c>
      <c r="J11" s="0" t="n">
        <f aca="false">J8+J10+J24</f>
        <v>563.928035651865</v>
      </c>
      <c r="K11" s="0" t="n">
        <f aca="false">K8+K10+K24</f>
        <v>582.828285856989</v>
      </c>
      <c r="L11" s="0" t="n">
        <f aca="false">L8+L10+L24</f>
        <v>597.398993003413</v>
      </c>
    </row>
    <row r="12" customFormat="false" ht="15" hidden="false" customHeight="false" outlineLevel="0" collapsed="false">
      <c r="A12" s="0" t="s">
        <v>119</v>
      </c>
      <c r="C12" s="4" t="n">
        <f aca="false">-C6*Assumptions!C45/100</f>
        <v>-16.97706</v>
      </c>
      <c r="D12" s="4" t="n">
        <f aca="false">-D6*Assumptions!D45/100</f>
        <v>-19.4953239</v>
      </c>
      <c r="E12" s="4" t="n">
        <f aca="false">-E6*Assumptions!E45/100</f>
        <v>-22.149687231</v>
      </c>
      <c r="F12" s="4" t="n">
        <f aca="false">-F6*Assumptions!F45/100</f>
        <v>-24.918398134875</v>
      </c>
      <c r="G12" s="4" t="n">
        <f aca="false">-G6*Assumptions!G45/100</f>
        <v>-27.775707787674</v>
      </c>
      <c r="H12" s="4" t="n">
        <f aca="false">-H6*Assumptions!H45/100</f>
        <v>-28.886736099181</v>
      </c>
      <c r="I12" s="4" t="n">
        <f aca="false">-I6*Assumptions!I45/100</f>
        <v>-31.7663826040681</v>
      </c>
      <c r="J12" s="4" t="n">
        <f aca="false">-J6*Assumptions!J45/100</f>
        <v>-32.7193740821901</v>
      </c>
      <c r="K12" s="4" t="n">
        <f aca="false">-K6*Assumptions!K45/100</f>
        <v>-35.6833644402238</v>
      </c>
      <c r="L12" s="4" t="n">
        <f aca="false">-L6*Assumptions!L45/100</f>
        <v>-36.5754485512294</v>
      </c>
    </row>
    <row r="13" customFormat="false" ht="15" hidden="false" customHeight="false" outlineLevel="0" collapsed="false">
      <c r="A13" s="0" t="s">
        <v>120</v>
      </c>
      <c r="C13" s="0" t="n">
        <f aca="false">C11+C12</f>
        <v>305.58708</v>
      </c>
      <c r="D13" s="0" t="n">
        <f aca="false">D11+D12</f>
        <v>346.4169093</v>
      </c>
      <c r="E13" s="0" t="n">
        <f aca="false">E11+E12</f>
        <v>389.201647059</v>
      </c>
      <c r="F13" s="0" t="n">
        <f aca="false">F11+F12</f>
        <v>425.2739948352</v>
      </c>
      <c r="G13" s="0" t="n">
        <f aca="false">G11+G12</f>
        <v>461.77114197008</v>
      </c>
      <c r="H13" s="0" t="n">
        <f aca="false">H11+H12</f>
        <v>489.269092679878</v>
      </c>
      <c r="I13" s="0" t="n">
        <f aca="false">I11+I12</f>
        <v>515.736564630752</v>
      </c>
      <c r="J13" s="0" t="n">
        <f aca="false">J11+J12</f>
        <v>531.208661569675</v>
      </c>
      <c r="K13" s="0" t="n">
        <f aca="false">K11+K12</f>
        <v>547.144921416765</v>
      </c>
      <c r="L13" s="0" t="n">
        <f aca="false">L11+L12</f>
        <v>560.823544452184</v>
      </c>
    </row>
    <row r="14" customFormat="false" ht="15" hidden="false" customHeight="false" outlineLevel="0" collapsed="false">
      <c r="A14" s="0" t="s">
        <v>106</v>
      </c>
      <c r="C14" s="4" t="n">
        <f aca="false">Assumptions!C47</f>
        <v>12</v>
      </c>
      <c r="D14" s="4" t="n">
        <f aca="false">Assumptions!D47</f>
        <v>15</v>
      </c>
      <c r="E14" s="4" t="n">
        <f aca="false">Assumptions!E47</f>
        <v>18</v>
      </c>
      <c r="F14" s="4" t="n">
        <f aca="false">Assumptions!F47</f>
        <v>21</v>
      </c>
      <c r="G14" s="4" t="n">
        <f aca="false">Assumptions!G47</f>
        <v>23</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121</v>
      </c>
      <c r="C15" s="0" t="n">
        <f aca="false">C13-MAX(0,C13)*C14/100</f>
        <v>268.9166304</v>
      </c>
      <c r="D15" s="0" t="n">
        <f aca="false">D13-MAX(0,D13)*D14/100</f>
        <v>294.454372905</v>
      </c>
      <c r="E15" s="0" t="n">
        <f aca="false">E13-MAX(0,E13)*E14/100</f>
        <v>319.14535058838</v>
      </c>
      <c r="F15" s="0" t="n">
        <f aca="false">F13-MAX(0,F13)*F14/100</f>
        <v>335.966455919808</v>
      </c>
      <c r="G15" s="0" t="n">
        <f aca="false">G13-MAX(0,G13)*G14/100</f>
        <v>355.563779316962</v>
      </c>
      <c r="H15" s="0" t="n">
        <f aca="false">H13-MAX(0,H13)*H14/100</f>
        <v>366.951819509908</v>
      </c>
      <c r="I15" s="0" t="n">
        <f aca="false">I13-MAX(0,I13)*I14/100</f>
        <v>386.802423473064</v>
      </c>
      <c r="J15" s="0" t="n">
        <f aca="false">J13-MAX(0,J13)*J14/100</f>
        <v>398.406496177256</v>
      </c>
      <c r="K15" s="0" t="n">
        <f aca="false">K13-MAX(0,K13)*K14/100</f>
        <v>410.358691062574</v>
      </c>
      <c r="L15" s="0" t="n">
        <f aca="false">L13-MAX(0,L13)*L14/100</f>
        <v>420.617658339138</v>
      </c>
    </row>
    <row r="16" customFormat="false" ht="15" hidden="false" customHeight="false" outlineLevel="0" collapsed="false">
      <c r="A16" s="0" t="s">
        <v>122</v>
      </c>
      <c r="C16" s="0" t="n">
        <f aca="false">-C12</f>
        <v>16.97706</v>
      </c>
      <c r="D16" s="0" t="n">
        <f aca="false">-D12</f>
        <v>19.4953239</v>
      </c>
      <c r="E16" s="0" t="n">
        <f aca="false">-E12</f>
        <v>22.149687231</v>
      </c>
      <c r="F16" s="0" t="n">
        <f aca="false">-F12</f>
        <v>24.918398134875</v>
      </c>
      <c r="G16" s="0" t="n">
        <f aca="false">-G12</f>
        <v>27.775707787674</v>
      </c>
      <c r="H16" s="0" t="n">
        <f aca="false">-H12</f>
        <v>28.886736099181</v>
      </c>
      <c r="I16" s="0" t="n">
        <f aca="false">-I12</f>
        <v>31.7663826040681</v>
      </c>
      <c r="J16" s="0" t="n">
        <f aca="false">-J12</f>
        <v>32.7193740821901</v>
      </c>
      <c r="K16" s="0" t="n">
        <f aca="false">-K12</f>
        <v>35.6833644402238</v>
      </c>
      <c r="L16" s="0" t="n">
        <f aca="false">-L12</f>
        <v>36.5754485512294</v>
      </c>
    </row>
    <row r="17" customFormat="false" ht="15" hidden="false" customHeight="false" outlineLevel="0" collapsed="false">
      <c r="A17" s="0" t="s">
        <v>123</v>
      </c>
      <c r="C17" s="4" t="n">
        <f aca="false">-C6*Assumptions!C46/100</f>
        <v>-42.44265</v>
      </c>
      <c r="D17" s="4" t="n">
        <f aca="false">-D6*Assumptions!D46/100</f>
        <v>-41.9899284</v>
      </c>
      <c r="E17" s="4" t="n">
        <f aca="false">-E6*Assumptions!E46/100</f>
        <v>-39.5530129125</v>
      </c>
      <c r="F17" s="4" t="n">
        <f aca="false">-F6*Assumptions!F46/100</f>
        <v>-36.54698393115</v>
      </c>
      <c r="G17" s="4" t="n">
        <f aca="false">-G6*Assumptions!G46/100</f>
        <v>-34.7196347345925</v>
      </c>
      <c r="H17" s="4" t="n">
        <f aca="false">-H6*Assumptions!H46/100</f>
        <v>-36.1084201239762</v>
      </c>
      <c r="I17" s="4" t="n">
        <f aca="false">-I6*Assumptions!I46/100</f>
        <v>-33.6349933454838</v>
      </c>
      <c r="J17" s="4" t="n">
        <f aca="false">-J6*Assumptions!J46/100</f>
        <v>-34.6440431458483</v>
      </c>
      <c r="K17" s="4" t="n">
        <f aca="false">-K6*Assumptions!K46/100</f>
        <v>-35.6833644402238</v>
      </c>
      <c r="L17" s="4" t="n">
        <f aca="false">-L6*Assumptions!L46/100</f>
        <v>-36.5754485512294</v>
      </c>
    </row>
    <row r="18" customFormat="false" ht="15" hidden="false" customHeight="false" outlineLevel="0" collapsed="false">
      <c r="A18" s="0" t="s">
        <v>124</v>
      </c>
      <c r="C18" s="4" t="n">
        <f aca="false">(C6-B6)*Assumptions!$B$51/100</f>
        <v>-18.43875</v>
      </c>
      <c r="D18" s="4" t="n">
        <f aca="false">(D6-C6)*Assumptions!$B$51/100</f>
        <v>-21.221325</v>
      </c>
      <c r="E18" s="4" t="n">
        <f aca="false">(E6-D6)*Assumptions!$B$51/100</f>
        <v>-20.620054125</v>
      </c>
      <c r="F18" s="4" t="n">
        <f aca="false">(F6-E6)*Assumptions!$B$51/100</f>
        <v>-19.77650645625</v>
      </c>
      <c r="G18" s="4" t="n">
        <f aca="false">(G6-F6)*Assumptions!$B$51/100</f>
        <v>-18.6887986011562</v>
      </c>
      <c r="H18" s="4" t="n">
        <f aca="false">(H6-G6)*Assumptions!$B$51/100</f>
        <v>-17.3598173672963</v>
      </c>
      <c r="I18" s="4" t="n">
        <f aca="false">(I6-H6)*Assumptions!$B$51/100</f>
        <v>-15.7974338042396</v>
      </c>
      <c r="J18" s="4" t="n">
        <f aca="false">(J6-I6)*Assumptions!$B$51/100</f>
        <v>-14.0145805606183</v>
      </c>
      <c r="K18" s="4" t="n">
        <f aca="false">(K6-J6)*Assumptions!$B$51/100</f>
        <v>-14.4350179774368</v>
      </c>
      <c r="L18" s="4" t="n">
        <f aca="false">(L6-K6)*Assumptions!$B$51/100</f>
        <v>-12.3900570972999</v>
      </c>
    </row>
    <row r="19" customFormat="false" ht="15" hidden="false" customHeight="false" outlineLevel="0" collapsed="false">
      <c r="A19" s="0" t="s">
        <v>125</v>
      </c>
      <c r="C19" s="0" t="n">
        <f aca="false">C15+C16+C17+C18</f>
        <v>225.0122904</v>
      </c>
      <c r="D19" s="0" t="n">
        <f aca="false">D15+D16+D17+D18</f>
        <v>250.738443405</v>
      </c>
      <c r="E19" s="0" t="n">
        <f aca="false">E15+E16+E17+E18</f>
        <v>281.12197078188</v>
      </c>
      <c r="F19" s="0" t="n">
        <f aca="false">F15+F16+F17+F18</f>
        <v>304.561363667283</v>
      </c>
      <c r="G19" s="0" t="n">
        <f aca="false">G15+G16+G17+G18</f>
        <v>329.931053768887</v>
      </c>
      <c r="H19" s="0" t="n">
        <f aca="false">H15+H16+H17+H18</f>
        <v>342.370318117817</v>
      </c>
      <c r="I19" s="0" t="n">
        <f aca="false">I15+I16+I17+I18</f>
        <v>369.136378927409</v>
      </c>
      <c r="J19" s="0" t="n">
        <f aca="false">J15+J16+J17+J18</f>
        <v>382.467246552979</v>
      </c>
      <c r="K19" s="0" t="n">
        <f aca="false">K15+K16+K17+K18</f>
        <v>395.923673085137</v>
      </c>
      <c r="L19" s="0" t="n">
        <f aca="false">L15+L16+L17+L18</f>
        <v>408.227601241838</v>
      </c>
    </row>
    <row r="20" customFormat="false" ht="15" hidden="false" customHeight="false" outlineLevel="0" collapsed="false">
      <c r="A20" s="0" t="s">
        <v>126</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127</v>
      </c>
      <c r="C21" s="0" t="n">
        <f aca="false">C19*C20</f>
        <v>205.490676164384</v>
      </c>
      <c r="D21" s="0" t="n">
        <f aca="false">D19*D20</f>
        <v>209.118611709514</v>
      </c>
      <c r="E21" s="0" t="n">
        <f aca="false">E19*E20</f>
        <v>214.117631749221</v>
      </c>
      <c r="F21" s="0" t="n">
        <f aca="false">F19*F20</f>
        <v>211.845055355284</v>
      </c>
      <c r="G21" s="0" t="n">
        <f aca="false">G19*G20</f>
        <v>209.581332989594</v>
      </c>
      <c r="H21" s="0" t="n">
        <f aca="false">H19*H20</f>
        <v>198.614701223551</v>
      </c>
      <c r="I21" s="0" t="n">
        <f aca="false">I19*I20</f>
        <v>195.563595551935</v>
      </c>
      <c r="J21" s="0" t="n">
        <f aca="false">J19*J20</f>
        <v>185.046679250812</v>
      </c>
      <c r="K21" s="0" t="n">
        <f aca="false">K19*K20</f>
        <v>174.938096756648</v>
      </c>
      <c r="L21" s="0" t="n">
        <f aca="false">L19*L20</f>
        <v>164.725628519695</v>
      </c>
    </row>
    <row r="23" customFormat="false" ht="15" hidden="false" customHeight="false" outlineLevel="0" collapsed="false">
      <c r="A23" s="0" t="s">
        <v>103</v>
      </c>
      <c r="C23" s="4" t="n">
        <f aca="false">Assumptions!C44</f>
        <v>1.5</v>
      </c>
      <c r="D23" s="4" t="n">
        <f aca="false">Assumptions!D44</f>
        <v>1.5</v>
      </c>
      <c r="E23" s="4" t="n">
        <f aca="false">Assumptions!E44</f>
        <v>1.5</v>
      </c>
      <c r="F23" s="4" t="n">
        <f aca="false">Assumptions!F44</f>
        <v>1.5</v>
      </c>
      <c r="G23" s="4" t="n">
        <f aca="false">Assumptions!G44</f>
        <v>1.5</v>
      </c>
      <c r="H23" s="4" t="n">
        <f aca="false">Assumptions!H44</f>
        <v>1.5</v>
      </c>
      <c r="I23" s="4" t="n">
        <f aca="false">Assumptions!I44</f>
        <v>1.5</v>
      </c>
      <c r="J23" s="4" t="n">
        <f aca="false">Assumptions!J44</f>
        <v>1.5</v>
      </c>
      <c r="K23" s="4" t="n">
        <f aca="false">Assumptions!K44</f>
        <v>1.5</v>
      </c>
      <c r="L23" s="4" t="n">
        <f aca="false">Assumptions!L44</f>
        <v>1.5</v>
      </c>
    </row>
    <row r="24" customFormat="false" ht="15" hidden="false" customHeight="false" outlineLevel="0" collapsed="false">
      <c r="A24" s="0" t="s">
        <v>128</v>
      </c>
      <c r="C24" s="0" t="n">
        <f aca="false">-C6*C23/100</f>
        <v>-21.221325</v>
      </c>
      <c r="D24" s="0" t="n">
        <f aca="false">-D6*D23/100</f>
        <v>-22.4946045</v>
      </c>
      <c r="E24" s="0" t="n">
        <f aca="false">-E6*E23/100</f>
        <v>-23.7318077475</v>
      </c>
      <c r="F24" s="0" t="n">
        <f aca="false">-F6*F23/100</f>
        <v>-24.918398134875</v>
      </c>
      <c r="G24" s="0" t="n">
        <f aca="false">-G6*G23/100</f>
        <v>-26.0397260509444</v>
      </c>
      <c r="H24" s="0" t="n">
        <f aca="false">-H6*H23/100</f>
        <v>-27.0813150929822</v>
      </c>
      <c r="I24" s="0" t="n">
        <f aca="false">-I6*I23/100</f>
        <v>-28.0291611212365</v>
      </c>
      <c r="J24" s="0" t="n">
        <f aca="false">-J6*J23/100</f>
        <v>-28.8700359548736</v>
      </c>
      <c r="K24" s="0" t="n">
        <f aca="false">-K6*K23/100</f>
        <v>-29.7361370335198</v>
      </c>
      <c r="L24" s="0" t="n">
        <f aca="false">-L6*L23/100</f>
        <v>-30.4795404593578</v>
      </c>
    </row>
    <row r="26" customFormat="false" ht="15" hidden="false" customHeight="false" outlineLevel="0" collapsed="false">
      <c r="A26" s="2" t="s">
        <v>129</v>
      </c>
    </row>
    <row r="27" customFormat="false" ht="15" hidden="false" customHeight="false" outlineLevel="0" collapsed="false">
      <c r="A27" s="0" t="s">
        <v>107</v>
      </c>
      <c r="B27" s="4" t="n">
        <f aca="false">Assumptions!$B$48</f>
        <v>9.5</v>
      </c>
    </row>
    <row r="28" customFormat="false" ht="15" hidden="false" customHeight="false" outlineLevel="0" collapsed="false">
      <c r="A28" s="0" t="s">
        <v>108</v>
      </c>
      <c r="B28" s="4" t="n">
        <f aca="false">Assumptions!$B$49</f>
        <v>2</v>
      </c>
    </row>
    <row r="29" customFormat="false" ht="15" hidden="false" customHeight="false" outlineLevel="0" collapsed="false">
      <c r="A29" s="0" t="s">
        <v>109</v>
      </c>
      <c r="B29" s="4" t="n">
        <f aca="false">Assumptions!$B$50</f>
        <v>14</v>
      </c>
    </row>
    <row r="30" customFormat="false" ht="15" hidden="false" customHeight="false" outlineLevel="0" collapsed="false">
      <c r="A30" s="0" t="s">
        <v>130</v>
      </c>
      <c r="B30" s="0" t="n">
        <f aca="false">SUM(C21:L21)</f>
        <v>1969.04200927064</v>
      </c>
    </row>
    <row r="31" customFormat="false" ht="15" hidden="false" customHeight="false" outlineLevel="0" collapsed="false">
      <c r="A31" s="0" t="s">
        <v>131</v>
      </c>
      <c r="B31" s="0" t="n">
        <f aca="false">L19</f>
        <v>408.227601241838</v>
      </c>
    </row>
    <row r="32" customFormat="false" ht="15" hidden="false" customHeight="false" outlineLevel="0" collapsed="false">
      <c r="A32" s="0" t="s">
        <v>132</v>
      </c>
      <c r="B32" s="0" t="n">
        <f aca="false">IF(B27&gt;B28,B31*(1+B28/100)/((B27-B28)/100),B31*B29)</f>
        <v>5551.895376889</v>
      </c>
    </row>
    <row r="33" customFormat="false" ht="15" hidden="false" customHeight="false" outlineLevel="0" collapsed="false">
      <c r="A33" s="0" t="s">
        <v>133</v>
      </c>
      <c r="B33" s="0" t="n">
        <f aca="false">B31*B29</f>
        <v>5715.18641738573</v>
      </c>
    </row>
    <row r="34" customFormat="false" ht="15" hidden="false" customHeight="false" outlineLevel="0" collapsed="false">
      <c r="A34" s="0" t="s">
        <v>134</v>
      </c>
      <c r="B34" s="0" t="n">
        <f aca="false">MAX(0,MIN(B32,B33))</f>
        <v>5551.895376889</v>
      </c>
    </row>
    <row r="35" customFormat="false" ht="15" hidden="false" customHeight="false" outlineLevel="0" collapsed="false">
      <c r="A35" s="0" t="s">
        <v>135</v>
      </c>
      <c r="B35" s="0" t="n">
        <f aca="false">B34/(1+B27/100)^L4</f>
        <v>2240.26854786785</v>
      </c>
    </row>
    <row r="36" customFormat="false" ht="15" hidden="false" customHeight="false" outlineLevel="0" collapsed="false">
      <c r="A36" s="0" t="s">
        <v>136</v>
      </c>
      <c r="B36" s="0" t="n">
        <f aca="false">B30+B35</f>
        <v>4209.31055713848</v>
      </c>
    </row>
    <row r="37" customFormat="false" ht="15" hidden="false" customHeight="false" outlineLevel="0" collapsed="false">
      <c r="A37" s="0" t="s">
        <v>137</v>
      </c>
      <c r="B37" s="0" t="n">
        <f aca="false">B36+Assumptions!$B$5-Assumptions!$B$4</f>
        <v>5919.31055713848</v>
      </c>
    </row>
    <row r="38" customFormat="false" ht="15" hidden="false" customHeight="false" outlineLevel="0" collapsed="false">
      <c r="A38" s="0" t="s">
        <v>138</v>
      </c>
      <c r="B38" s="0" t="n">
        <f aca="false">B37/Assumptions!$B$3*Assumptions!$B$10</f>
        <v>323.106471459524</v>
      </c>
    </row>
    <row r="39" customFormat="false" ht="15" hidden="false" customHeight="false" outlineLevel="0" collapsed="false">
      <c r="A39" s="0" t="s">
        <v>139</v>
      </c>
      <c r="B39" s="4" t="n">
        <f aca="false">B38/Assumptions!$B$2-1</f>
        <v>0.32856279383028</v>
      </c>
    </row>
    <row r="41" customFormat="false" ht="15" hidden="false" customHeight="false" outlineLevel="0" collapsed="false">
      <c r="A41" s="0" t="s">
        <v>140</v>
      </c>
      <c r="B41" s="0" t="n">
        <f aca="false">SUMPRODUCT(-C10:L10/(1+$B$27/100)^C4:L4)</f>
        <v>224.077997981829</v>
      </c>
    </row>
    <row r="42" customFormat="false" ht="15" hidden="false" customHeight="false" outlineLevel="0" collapsed="false">
      <c r="A42" s="0" t="s">
        <v>141</v>
      </c>
      <c r="B42" s="0" t="n">
        <f aca="false">IF(B27&gt;B28,-L10*(1+B28/100)/((B27-B28)/100),-L10*20)/(1+B27/100)^L4</f>
        <v>234.171569711572</v>
      </c>
    </row>
    <row r="43" customFormat="false" ht="15" hidden="false" customHeight="false" outlineLevel="0" collapsed="false">
      <c r="A43" s="0" t="s">
        <v>142</v>
      </c>
      <c r="B43" s="0" t="n">
        <f aca="false">(B37+B41+B42)/Assumptions!$B$3*Assumptions!$B$10</f>
        <v>348.120094150212</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3203.01656358981</v>
      </c>
    </row>
    <row r="47" customFormat="false" ht="15" hidden="false" customHeight="false" outlineLevel="0" collapsed="false">
      <c r="A47" s="0" t="s">
        <v>144</v>
      </c>
      <c r="B47" s="0" t="n">
        <f aca="false">(SUMPRODUCT(C19:L19/(1+B45/100)^C4:L4)+B46/(1+B45/100)^L4+Assumptions!$B$5-Assumptions!$B$4)/Assumptions!$B$3*Assumptions!$B$10</f>
        <v>220.266121189318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147</v>
      </c>
    </row>
    <row r="3" customFormat="false" ht="15" hidden="false" customHeight="false" outlineLevel="0" collapsed="false">
      <c r="A3" s="2" t="s">
        <v>148</v>
      </c>
      <c r="B3" s="2" t="s">
        <v>149</v>
      </c>
      <c r="C3" s="2" t="s">
        <v>139</v>
      </c>
      <c r="D3" s="2" t="s">
        <v>150</v>
      </c>
      <c r="E3" s="2" t="s">
        <v>142</v>
      </c>
      <c r="F3" s="2" t="s">
        <v>151</v>
      </c>
    </row>
    <row r="4" customFormat="false" ht="15" hidden="false" customHeight="false" outlineLevel="0" collapsed="false">
      <c r="A4" s="0" t="s">
        <v>152</v>
      </c>
      <c r="B4" s="4" t="n">
        <f aca="false">DCF_Bear!$B$38</f>
        <v>209.3206817182</v>
      </c>
      <c r="C4" s="0" t="n">
        <f aca="false">B4/Assumptions!$B$2-1</f>
        <v>-0.139306407408717</v>
      </c>
      <c r="D4" s="4" t="n">
        <f aca="false">Assumptions!$B$24</f>
        <v>0.25</v>
      </c>
      <c r="E4" s="4" t="n">
        <f aca="false">DCF_Bear!$B$43</f>
        <v>228.422414148765</v>
      </c>
      <c r="F4" s="4" t="n">
        <f aca="false">DCF_Bear!$B$47</f>
        <v>161.944377245269</v>
      </c>
    </row>
    <row r="5" customFormat="false" ht="15" hidden="false" customHeight="false" outlineLevel="0" collapsed="false">
      <c r="A5" s="0" t="s">
        <v>153</v>
      </c>
      <c r="B5" s="4" t="n">
        <f aca="false">DCF_Base!$B$38</f>
        <v>282.906735797281</v>
      </c>
      <c r="C5" s="0" t="n">
        <f aca="false">B5/Assumptions!$B$2-1</f>
        <v>0.163267828113821</v>
      </c>
      <c r="D5" s="4" t="n">
        <f aca="false">Assumptions!$B$38</f>
        <v>0.5</v>
      </c>
      <c r="E5" s="4" t="n">
        <f aca="false">DCF_Base!$B$43</f>
        <v>305.613003731855</v>
      </c>
      <c r="F5" s="4" t="n">
        <f aca="false">DCF_Base!$B$47</f>
        <v>200.422886126395</v>
      </c>
    </row>
    <row r="6" customFormat="false" ht="15" hidden="false" customHeight="false" outlineLevel="0" collapsed="false">
      <c r="A6" s="0" t="s">
        <v>154</v>
      </c>
      <c r="B6" s="4" t="n">
        <f aca="false">DCF_Bull!$B$38</f>
        <v>323.106471459524</v>
      </c>
      <c r="C6" s="0" t="n">
        <f aca="false">B6/Assumptions!$B$2-1</f>
        <v>0.32856279383028</v>
      </c>
      <c r="D6" s="4" t="n">
        <f aca="false">Assumptions!$B$52</f>
        <v>0.25</v>
      </c>
      <c r="E6" s="4" t="n">
        <f aca="false">DCF_Bull!$B$43</f>
        <v>348.120094150212</v>
      </c>
      <c r="F6" s="4" t="n">
        <f aca="false">DCF_Bull!$B$47</f>
        <v>220.266121189318</v>
      </c>
    </row>
    <row r="8" customFormat="false" ht="15" hidden="false" customHeight="false" outlineLevel="0" collapsed="false">
      <c r="A8" s="0" t="s">
        <v>155</v>
      </c>
      <c r="B8" s="0" t="n">
        <f aca="false">SUMPRODUCT(B4:B6,D4:D6)</f>
        <v>274.560156193072</v>
      </c>
    </row>
    <row r="9" customFormat="false" ht="15" hidden="false" customHeight="false" outlineLevel="0" collapsed="false">
      <c r="A9" s="0" t="s">
        <v>156</v>
      </c>
      <c r="B9" s="0" t="n">
        <f aca="false">SUMPRODUCT(E4:E6,D4:D6)</f>
        <v>296.942128940672</v>
      </c>
    </row>
    <row r="10" customFormat="false" ht="15" hidden="false" customHeight="false" outlineLevel="0" collapsed="false">
      <c r="A10" s="0" t="s">
        <v>157</v>
      </c>
      <c r="B10" s="0" t="n">
        <f aca="false">1-Assumptions!$B$2/B8</f>
        <v>0.114219618126306</v>
      </c>
    </row>
    <row r="11" customFormat="false" ht="15" hidden="false" customHeight="false" outlineLevel="0" collapsed="false">
      <c r="A11" s="0" t="s">
        <v>158</v>
      </c>
      <c r="B11" s="0" t="n">
        <f aca="false">IF(ABS(B9-B8)&gt;0.01*ABS(B8),(Assumptions!$B$2-B8)/(B9-B8)*100,"n/a")</f>
        <v>-140.113458928387</v>
      </c>
    </row>
    <row r="12" customFormat="false" ht="15" hidden="false" customHeight="false" outlineLevel="0" collapsed="false">
      <c r="A12" s="0" t="s">
        <v>159</v>
      </c>
      <c r="B12" s="0" t="n">
        <f aca="false">SUMPRODUCT(F4:F6,D4:D6)</f>
        <v>195.764067671844</v>
      </c>
    </row>
    <row r="14" customFormat="false" ht="15" hidden="false" customHeight="false" outlineLevel="0" collapsed="false">
      <c r="A14" s="2" t="s">
        <v>160</v>
      </c>
      <c r="C14" s="0" t="s">
        <v>161</v>
      </c>
    </row>
    <row r="15" customFormat="false" ht="15" hidden="false" customHeight="false" outlineLevel="0" collapsed="false">
      <c r="A15" s="0" t="s">
        <v>162</v>
      </c>
      <c r="B15" s="0" t="n">
        <f aca="false">(SUMPRODUCT(DCF_Base!$C$19:$L$19/(1+$C$15/100)^DCF_Base!$C$4:$L$4)+MAX(0,MIN(IF($C$15&gt;DCF_Base!$B$28,DCF_Base!$L$19*(1+DCF_Base!$B$28/100)/(($C$15-DCF_Base!$B$28)/100),DCF_Base!$L$19*DCF_Base!$B$29),DCF_Base!$L$19*DCF_Base!$B$29))/(1+$C$15/100)^DCF_Base!$L$4+Assumptions!$B$5-Assumptions!$B$4)/Assumptions!$B$3*Assumptions!$B$10</f>
        <v>292.627594689099</v>
      </c>
      <c r="C15" s="3" t="n">
        <v>9</v>
      </c>
    </row>
    <row r="16" customFormat="false" ht="15" hidden="false" customHeight="false" outlineLevel="0" collapsed="false">
      <c r="A16" s="0" t="s">
        <v>163</v>
      </c>
      <c r="B16" s="0" t="n">
        <f aca="false">(SUMPRODUCT(DCF_Base!$C$19:$L$19/(1+$C$16/100)^DCF_Base!$C$4:$L$4)+MAX(0,MIN(IF($C$16&gt;DCF_Base!$B$28,DCF_Base!$L$19*(1+DCF_Base!$B$28/100)/(($C$16-DCF_Base!$B$28)/100),DCF_Base!$L$19*DCF_Base!$B$29),DCF_Base!$L$19*DCF_Base!$B$29))/(1+$C$16/100)^DCF_Base!$L$4+Assumptions!$B$5-Assumptions!$B$4)/Assumptions!$B$3*Assumptions!$B$10</f>
        <v>282.906735797281</v>
      </c>
      <c r="C16" s="3" t="n">
        <v>9.5</v>
      </c>
    </row>
    <row r="17" customFormat="false" ht="15" hidden="false" customHeight="false" outlineLevel="0" collapsed="false">
      <c r="A17" s="0" t="s">
        <v>164</v>
      </c>
      <c r="B17" s="0" t="n">
        <f aca="false">(SUMPRODUCT(DCF_Base!$C$19:$L$19/(1+$C$17/100)^DCF_Base!$C$4:$L$4)+MAX(0,MIN(IF($C$17&gt;DCF_Base!$B$28,DCF_Base!$L$19*(1+DCF_Base!$B$28/100)/(($C$17-DCF_Base!$B$28)/100),DCF_Base!$L$19*DCF_Base!$B$29),DCF_Base!$L$19*DCF_Base!$B$29))/(1+$C$17/100)^DCF_Base!$L$4+Assumptions!$B$5-Assumptions!$B$4)/Assumptions!$B$3*Assumptions!$B$10</f>
        <v>270.679861717361</v>
      </c>
      <c r="C17" s="3" t="n">
        <v>10</v>
      </c>
    </row>
    <row r="18" customFormat="false" ht="15" hidden="false" customHeight="false" outlineLevel="0" collapsed="false">
      <c r="A18" s="0" t="s">
        <v>165</v>
      </c>
      <c r="B18" s="0" t="n">
        <f aca="false">(SUMPRODUCT(DCF_Base!$C$19:$L$19/(1+$C$18/100)^DCF_Base!$C$4:$L$4)+MAX(0,MIN(IF($C$18&gt;DCF_Base!$B$28,DCF_Base!$L$19*(1+DCF_Base!$B$28/100)/(($C$18-DCF_Base!$B$28)/100),DCF_Base!$L$19*DCF_Base!$B$29),DCF_Base!$L$19*DCF_Base!$B$29))/(1+$C$18/100)^DCF_Base!$L$4+Assumptions!$B$5-Assumptions!$B$4)/Assumptions!$B$3*Assumptions!$B$10</f>
        <v>250.32594841978</v>
      </c>
      <c r="C18" s="3" t="n">
        <v>11</v>
      </c>
    </row>
    <row r="19" customFormat="false" ht="15" hidden="false" customHeight="false" outlineLevel="0" collapsed="false">
      <c r="A19" s="0" t="s">
        <v>166</v>
      </c>
      <c r="B19" s="0" t="n">
        <f aca="false">(SUMPRODUCT(DCF_Base!$C$19:$L$19/(1+$C$19/100)^DCF_Base!$C$4:$L$4)+MAX(0,MIN(IF($C$19&gt;DCF_Base!$B$28,DCF_Base!$L$19*(1+DCF_Base!$B$28/100)/(($C$19-DCF_Base!$B$28)/100),DCF_Base!$L$19*DCF_Base!$B$29),DCF_Base!$L$19*DCF_Base!$B$29))/(1+$C$19/100)^DCF_Base!$L$4+Assumptions!$B$5-Assumptions!$B$4)/Assumptions!$B$3*Assumptions!$B$10</f>
        <v>234.070331173747</v>
      </c>
      <c r="C19" s="3" t="n">
        <v>12</v>
      </c>
    </row>
    <row r="20" customFormat="false" ht="15" hidden="false" customHeight="false" outlineLevel="0" collapsed="false">
      <c r="A20" s="0" t="s">
        <v>167</v>
      </c>
      <c r="B20" s="0" t="n">
        <f aca="false">(SUMPRODUCT(DCF_Base!$C$19:$L$19/(1+$C$20/100)^DCF_Base!$C$4:$L$4)+MAX(0,MIN(IF($C$20&gt;DCF_Base!$B$28,DCF_Base!$L$19*(1+DCF_Base!$B$28/100)/(($C$20-DCF_Base!$B$28)/100),DCF_Base!$L$19*DCF_Base!$B$29),DCF_Base!$L$19*DCF_Base!$B$29))/(1+$C$20/100)^DCF_Base!$L$4+Assumptions!$B$5-Assumptions!$B$4)/Assumptions!$B$3*Assumptions!$B$10</f>
        <v>200.422886126395</v>
      </c>
      <c r="C20" s="3" t="n">
        <v>15</v>
      </c>
    </row>
    <row r="22" customFormat="false" ht="15" hidden="false" customHeight="false" outlineLevel="0" collapsed="false">
      <c r="A22" s="2" t="s">
        <v>168</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315.232309781167</v>
      </c>
      <c r="C24" s="0" t="n">
        <f aca="false">(SUMPRODUCT(DCF_Base!$C$19:$L$19/(1+$A$24/100)^DCF_Base!$C$4:$L$4)+MAX(0,MIN(IF($A$24&gt;$C$23,DCF_Base!$L$19*(1+$C$23/100)/(($A$24-$C$23)/100),DCF_Base!$L$19*DCF_Base!$B$29),DCF_Base!$L$19*DCF_Base!$B$29))/(1+$A$24/100)^DCF_Base!$L$4+Assumptions!$B$5-Assumptions!$B$4)/Assumptions!$B$3*Assumptions!$B$10</f>
        <v>315.232309781167</v>
      </c>
      <c r="D24" s="0" t="n">
        <f aca="false">(SUMPRODUCT(DCF_Base!$C$19:$L$19/(1+$A$24/100)^DCF_Base!$C$4:$L$4)+MAX(0,MIN(IF($A$24&gt;$D$23,DCF_Base!$L$19*(1+$D$23/100)/(($A$24-$D$23)/100),DCF_Base!$L$19*DCF_Base!$B$29),DCF_Base!$L$19*DCF_Base!$B$29))/(1+$A$24/100)^DCF_Base!$L$4+Assumptions!$B$5-Assumptions!$B$4)/Assumptions!$B$3*Assumptions!$B$10</f>
        <v>315.232309781167</v>
      </c>
      <c r="E24" s="0" t="n">
        <f aca="false">(SUMPRODUCT(DCF_Base!$C$19:$L$19/(1+$A$24/100)^DCF_Base!$C$4:$L$4)+MAX(0,MIN(IF($A$24&gt;$E$23,DCF_Base!$L$19*(1+$E$23/100)/(($A$24-$E$23)/100),DCF_Base!$L$19*DCF_Base!$B$29),DCF_Base!$L$19*DCF_Base!$B$29))/(1+$A$24/100)^DCF_Base!$L$4+Assumptions!$B$5-Assumptions!$B$4)/Assumptions!$B$3*Assumptions!$B$10</f>
        <v>315.232309781167</v>
      </c>
      <c r="F24" s="0" t="n">
        <f aca="false">(SUMPRODUCT(DCF_Base!$C$19:$L$19/(1+$A$24/100)^DCF_Base!$C$4:$L$4)+MAX(0,MIN(IF($A$24&gt;$F$23,DCF_Base!$L$19*(1+$F$23/100)/(($A$24-$F$23)/100),DCF_Base!$L$19*DCF_Base!$B$29),DCF_Base!$L$19*DCF_Base!$B$29))/(1+$A$24/100)^DCF_Base!$L$4+Assumptions!$B$5-Assumptions!$B$4)/Assumptions!$B$3*Assumptions!$B$10</f>
        <v>315.232309781167</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295.651767314619</v>
      </c>
      <c r="C25" s="0" t="n">
        <f aca="false">(SUMPRODUCT(DCF_Base!$C$19:$L$19/(1+$A$25/100)^DCF_Base!$C$4:$L$4)+MAX(0,MIN(IF($A$25&gt;$C$23,DCF_Base!$L$19*(1+$C$23/100)/(($A$25-$C$23)/100),DCF_Base!$L$19*DCF_Base!$B$29),DCF_Base!$L$19*DCF_Base!$B$29))/(1+$A$25/100)^DCF_Base!$L$4+Assumptions!$B$5-Assumptions!$B$4)/Assumptions!$B$3*Assumptions!$B$10</f>
        <v>299.818312992898</v>
      </c>
      <c r="D25" s="0" t="n">
        <f aca="false">(SUMPRODUCT(DCF_Base!$C$19:$L$19/(1+$A$25/100)^DCF_Base!$C$4:$L$4)+MAX(0,MIN(IF($A$25&gt;$D$23,DCF_Base!$L$19*(1+$D$23/100)/(($A$25-$D$23)/100),DCF_Base!$L$19*DCF_Base!$B$29),DCF_Base!$L$19*DCF_Base!$B$29))/(1+$A$25/100)^DCF_Base!$L$4+Assumptions!$B$5-Assumptions!$B$4)/Assumptions!$B$3*Assumptions!$B$10</f>
        <v>299.818312992898</v>
      </c>
      <c r="E25" s="0" t="n">
        <f aca="false">(SUMPRODUCT(DCF_Base!$C$19:$L$19/(1+$A$25/100)^DCF_Base!$C$4:$L$4)+MAX(0,MIN(IF($A$25&gt;$E$23,DCF_Base!$L$19*(1+$E$23/100)/(($A$25-$E$23)/100),DCF_Base!$L$19*DCF_Base!$B$29),DCF_Base!$L$19*DCF_Base!$B$29))/(1+$A$25/100)^DCF_Base!$L$4+Assumptions!$B$5-Assumptions!$B$4)/Assumptions!$B$3*Assumptions!$B$10</f>
        <v>299.818312992898</v>
      </c>
      <c r="F25" s="0" t="n">
        <f aca="false">(SUMPRODUCT(DCF_Base!$C$19:$L$19/(1+$A$25/100)^DCF_Base!$C$4:$L$4)+MAX(0,MIN(IF($A$25&gt;$F$23,DCF_Base!$L$19*(1+$F$23/100)/(($A$25-$F$23)/100),DCF_Base!$L$19*DCF_Base!$B$29),DCF_Base!$L$19*DCF_Base!$B$29))/(1+$A$25/100)^DCF_Base!$L$4+Assumptions!$B$5-Assumptions!$B$4)/Assumptions!$B$3*Assumptions!$B$10</f>
        <v>299.818312992898</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270.664308330314</v>
      </c>
      <c r="C26" s="0" t="n">
        <f aca="false">(SUMPRODUCT(DCF_Base!$C$19:$L$19/(1+$A$26/100)^DCF_Base!$C$4:$L$4)+MAX(0,MIN(IF($A$26&gt;$C$23,DCF_Base!$L$19*(1+$C$23/100)/(($A$26-$C$23)/100),DCF_Base!$L$19*DCF_Base!$B$29),DCF_Base!$L$19*DCF_Base!$B$29))/(1+$A$26/100)^DCF_Base!$L$4+Assumptions!$B$5-Assumptions!$B$4)/Assumptions!$B$3*Assumptions!$B$10</f>
        <v>276.402946205455</v>
      </c>
      <c r="D26" s="0" t="n">
        <f aca="false">(SUMPRODUCT(DCF_Base!$C$19:$L$19/(1+$A$26/100)^DCF_Base!$C$4:$L$4)+MAX(0,MIN(IF($A$26&gt;$D$23,DCF_Base!$L$19*(1+$D$23/100)/(($A$26-$D$23)/100),DCF_Base!$L$19*DCF_Base!$B$29),DCF_Base!$L$19*DCF_Base!$B$29))/(1+$A$26/100)^DCF_Base!$L$4+Assumptions!$B$5-Assumptions!$B$4)/Assumptions!$B$3*Assumptions!$B$10</f>
        <v>282.906735797281</v>
      </c>
      <c r="E26" s="0" t="n">
        <f aca="false">(SUMPRODUCT(DCF_Base!$C$19:$L$19/(1+$A$26/100)^DCF_Base!$C$4:$L$4)+MAX(0,MIN(IF($A$26&gt;$E$23,DCF_Base!$L$19*(1+$E$23/100)/(($A$26-$E$23)/100),DCF_Base!$L$19*DCF_Base!$B$29),DCF_Base!$L$19*DCF_Base!$B$29))/(1+$A$26/100)^DCF_Base!$L$4+Assumptions!$B$5-Assumptions!$B$4)/Assumptions!$B$3*Assumptions!$B$10</f>
        <v>285.757712056712</v>
      </c>
      <c r="F26" s="0" t="n">
        <f aca="false">(SUMPRODUCT(DCF_Base!$C$19:$L$19/(1+$A$26/100)^DCF_Base!$C$4:$L$4)+MAX(0,MIN(IF($A$26&gt;$F$23,DCF_Base!$L$19*(1+$F$23/100)/(($A$26-$F$23)/100),DCF_Base!$L$19*DCF_Base!$B$29),DCF_Base!$L$19*DCF_Base!$B$29))/(1+$A$26/100)^DCF_Base!$L$4+Assumptions!$B$5-Assumptions!$B$4)/Assumptions!$B$3*Assumptions!$B$10</f>
        <v>285.757712056712</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250.994305396218</v>
      </c>
      <c r="C27" s="0" t="n">
        <f aca="false">(SUMPRODUCT(DCF_Base!$C$19:$L$19/(1+$A$27/100)^DCF_Base!$C$4:$L$4)+MAX(0,MIN(IF($A$27&gt;$C$23,DCF_Base!$L$19*(1+$C$23/100)/(($A$27-$C$23)/100),DCF_Base!$L$19*DCF_Base!$B$29),DCF_Base!$L$19*DCF_Base!$B$29))/(1+$A$27/100)^DCF_Base!$L$4+Assumptions!$B$5-Assumptions!$B$4)/Assumptions!$B$3*Assumptions!$B$10</f>
        <v>255.199810735901</v>
      </c>
      <c r="D27" s="0" t="n">
        <f aca="false">(SUMPRODUCT(DCF_Base!$C$19:$L$19/(1+$A$27/100)^DCF_Base!$C$4:$L$4)+MAX(0,MIN(IF($A$27&gt;$D$23,DCF_Base!$L$19*(1+$D$23/100)/(($A$27-$D$23)/100),DCF_Base!$L$19*DCF_Base!$B$29),DCF_Base!$L$19*DCF_Base!$B$29))/(1+$A$27/100)^DCF_Base!$L$4+Assumptions!$B$5-Assumptions!$B$4)/Assumptions!$B$3*Assumptions!$B$10</f>
        <v>259.900081409666</v>
      </c>
      <c r="E27" s="0" t="n">
        <f aca="false">(SUMPRODUCT(DCF_Base!$C$19:$L$19/(1+$A$27/100)^DCF_Base!$C$4:$L$4)+MAX(0,MIN(IF($A$27&gt;$E$23,DCF_Base!$L$19*(1+$E$23/100)/(($A$27-$E$23)/100),DCF_Base!$L$19*DCF_Base!$B$29),DCF_Base!$L$19*DCF_Base!$B$29))/(1+$A$27/100)^DCF_Base!$L$4+Assumptions!$B$5-Assumptions!$B$4)/Assumptions!$B$3*Assumptions!$B$10</f>
        <v>265.187885917651</v>
      </c>
      <c r="F27" s="0" t="n">
        <f aca="false">(SUMPRODUCT(DCF_Base!$C$19:$L$19/(1+$A$27/100)^DCF_Base!$C$4:$L$4)+MAX(0,MIN(IF($A$27&gt;$F$23,DCF_Base!$L$19*(1+$F$23/100)/(($A$27-$F$23)/100),DCF_Base!$L$19*DCF_Base!$B$29),DCF_Base!$L$19*DCF_Base!$B$29))/(1+$A$27/100)^DCF_Base!$L$4+Assumptions!$B$5-Assumptions!$B$4)/Assumptions!$B$3*Assumptions!$B$10</f>
        <v>271.1807310267</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235.11890163095</v>
      </c>
      <c r="C28" s="0" t="n">
        <f aca="false">(SUMPRODUCT(DCF_Base!$C$19:$L$19/(1+$A$28/100)^DCF_Base!$C$4:$L$4)+MAX(0,MIN(IF($A$28&gt;$C$23,DCF_Base!$L$19*(1+$C$23/100)/(($A$28-$C$23)/100),DCF_Base!$L$19*DCF_Base!$B$29),DCF_Base!$L$19*DCF_Base!$B$29))/(1+$A$28/100)^DCF_Base!$L$4+Assumptions!$B$5-Assumptions!$B$4)/Assumptions!$B$3*Assumptions!$B$10</f>
        <v>238.276680397369</v>
      </c>
      <c r="D28" s="0" t="n">
        <f aca="false">(SUMPRODUCT(DCF_Base!$C$19:$L$19/(1+$A$28/100)^DCF_Base!$C$4:$L$4)+MAX(0,MIN(IF($A$28&gt;$D$23,DCF_Base!$L$19*(1+$D$23/100)/(($A$28-$D$23)/100),DCF_Base!$L$19*DCF_Base!$B$29),DCF_Base!$L$19*DCF_Base!$B$29))/(1+$A$28/100)^DCF_Base!$L$4+Assumptions!$B$5-Assumptions!$B$4)/Assumptions!$B$3*Assumptions!$B$10</f>
        <v>241.766856928674</v>
      </c>
      <c r="E28" s="0" t="n">
        <f aca="false">(SUMPRODUCT(DCF_Base!$C$19:$L$19/(1+$A$28/100)^DCF_Base!$C$4:$L$4)+MAX(0,MIN(IF($A$28&gt;$E$23,DCF_Base!$L$19*(1+$E$23/100)/(($A$28-$E$23)/100),DCF_Base!$L$19*DCF_Base!$B$29),DCF_Base!$L$19*DCF_Base!$B$29))/(1+$A$28/100)^DCF_Base!$L$4+Assumptions!$B$5-Assumptions!$B$4)/Assumptions!$B$3*Assumptions!$B$10</f>
        <v>245.644830852347</v>
      </c>
      <c r="F28" s="0" t="n">
        <f aca="false">(SUMPRODUCT(DCF_Base!$C$19:$L$19/(1+$A$28/100)^DCF_Base!$C$4:$L$4)+MAX(0,MIN(IF($A$28&gt;$F$23,DCF_Base!$L$19*(1+$F$23/100)/(($A$28-$F$23)/100),DCF_Base!$L$19*DCF_Base!$B$29),DCF_Base!$L$19*DCF_Base!$B$29))/(1+$A$28/100)^DCF_Base!$L$4+Assumptions!$B$5-Assumptions!$B$4)/Assumptions!$B$3*Assumptions!$B$10</f>
        <v>249.979037002334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2026-10-04T10:08:44Z</dcterms:created>
  <dc:creator>openpyxl</dc:creator>
  <dc:description/>
  <dc:language>en-NZ</dc:language>
  <cp:lastModifiedBy/>
  <dcterms:modified xsi:type="dcterms:W3CDTF">2026-10-04T10:08:44Z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