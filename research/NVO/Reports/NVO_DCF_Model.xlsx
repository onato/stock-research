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<sst xmlns="http://schemas.openxmlformats.org/spreadsheetml/2006/main" count="357" uniqueCount="165">
  <si>
    <t xml:space="preserve">Ticker</t>
  </si>
  <si>
    <t xml:space="preserve">NVO</t>
  </si>
  <si>
    <t xml:space="preserve">Company</t>
  </si>
  <si>
    <t xml:space="preserve">Novo Nordisk A/S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</si>
  <si>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</si>
  <si>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</si>
  <si>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</si>
  <si>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</si>
  <si>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</si>
  <si>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</si>
  <si>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</si>
  <si>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</si>
  <si>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</si>
  <si>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</si>
  <si>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DKK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</si>
  <si>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</si>
  <si>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</si>
  <si>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</si>
  <si>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</si>
  <si>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</si>
  <si>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</si>
  <si>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</si>
  <si>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2026-10-03T23:59:39Z</t>
  </si>
  <si>
    <t xml:space="preserve">Drivers file</t>
  </si>
  <si>
    <t xml:space="preserve">NVO_Drivers.json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</si>
  <si>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</si>
  <si>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</si>
  <si>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</si>
  <si>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cash a DKK-reporting pharma company generates through a known patent cliff, on an owner basis (SBC expensed, intangible in-licensing charged as capex), discounted at a DKK WACC with all molecule, pricing and competition risk carried in three scenarios rather than in the discount rate. The FY2025 owner FCF of DKK 27.6bn is a trough distorted by a DKK 30bn intangibles spike and peak PP&amp;E capex; the build starts from adjusted sales and margins, not from that FCF.
key_risks_to_valuation: Semaglutide exclusivity erodes earlier or faster than the 2031-32 dates (Canada lost it in Jan 2026); Further US price resets beyond MFN/IRA, or Medicare Bridge coverage not delivering volume; Tirzepatide and next-gen oral/amylin competitors take more share than the base case assumes; Pipeline failures (CagriSema, amycretin) leave nothing to backfill the cliff; Capex does not decline as guided, or capacity is stranded (further right-sizing charges); USD/DKK: about half of sales are US; a weaker USD lowers DKK flows and the USD value per ADR moves with the rate; GLP-1 product-liability MDL and IT-security class actions</t>
  </si>
  <si>
    <t xml:space="preserve">Data sources</t>
  </si>
  <si>
    <t xml:space="preserve">price: Yahoo Finance chart API at inputs.price_as_of (NVO, NYSE, USD); 52-week range 35.12-64.16. FX from Yahoo DKK=X; parity vs NOVO-B.CO in inputs.fx_note.
financials: NVO_Metrics.csv (core_metrics, DKK millions, text-extracted from 20-F/6-K; SEC XBRL currency mislabelled USD and not used); 6-K Q2-2026 (H1 2026 cash flow, net debt reconciliation, FY2026 guidance); 6-K Q4-2025 (FY2025 sales and 340B adjustment).
qualitative: NVO_Analysis.json (2026-10-04)</t>
  </si>
  <si>
    <t xml:space="preserve">Scenario narrative: bear</t>
  </si>
  <si>
    <t xml:space="preserve">Lilly's tirzepatide and next-gen orals (orforglipron, retatrutide), plus Pfizer/Metsera and Amgen, take share; CagriSema and amycretin keep underwhelming; realised prices keep sliding under MFN/IRA and international semaglutide generics spread market by market (as in Canada in 2026) well before 2031. Revenue falls 6% a year in 2026-27 and the US/EU LOE in 2031-33 removes ~20% more. Margins compress to 33% as fixed manufacturing capacity is under-utilised (the 2026 right-sizing charges are the early sign) and R&amp;D spend is held up to rebuild the pipeline. GLP-1 product-liability litigation is a further tail not separately modelled.</t>
  </si>
  <si>
    <t xml:space="preserve">Scenario narrative: base</t>
  </si>
  <si>
    <t xml:space="preserve">Novo remains a GLP-1 co-leader behind Lilly. FY2026 lands near the guidance midpoint on adjusted sales (-3.5% DKK); the Wegovy pill and Wegovy HD carry volume while MFN, the 2027 IRA Medicare price and the Jan-2027 WAC cuts keep realised prices falling, giving low-single-digit growth to 2030. The DKK 8bn transformation savings are largely reinvested, holding EBITDA margins ~46%. Capex falls from ~DKK 55bn as the capacity build completes. The 2031-32 semaglutide patent expiry costs ~10% of revenue over two years and margins settle at 40%; CagriSema/amycretin and the Akero MASH asset partly backfill. Terminal value is capped at 14x FCF, a post-LOE big-pharma multiple.</t>
  </si>
  <si>
    <t xml:space="preserve">Scenario narrative: bull</t>
  </si>
  <si>
    <t xml:space="preserve">The Wegovy pill becomes the dominant oral obesity therapy, the US Bridge/Medicare coverage expansion turns the MFN price cut into a net volume unlock, and ex-US pill launches across 30+ markets drive 6-8% growth in 2027-30. Amycretin succeeds in phase 3 and arrives before the semaglutide cliff, so the 2031-33 LOE only flattens revenue. Margins recover toward 49-50% on cost discipline and stay ~46% after the cliff.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</si>
  <si>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</si>
  <si>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</si>
  <si>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</si>
  <si>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</si>
  <si>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</si>
  <si>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</si>
  <si>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</si>
  <si>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</si>
  <si>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</si>
  <si>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</si>
  <si>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</si>
  <si>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</si>
  <si>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</si>
  <si>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</si>
  <si>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</si>
  <si>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</si>
  <si>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</si>
  <si>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</si>
  <si>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</si>
  <si>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</si>
  <si>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</si>
  <si>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</si>
  <si>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</si>
  <si>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</si>
  <si>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</si>
  <si>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</si>
  <si>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</si>
  <si>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</si>
  <si>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</si>
  <si>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</si>
  <si>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</si>
  <si>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</si>
  <si>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</si>
  <si>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</si>
  <si>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</si>
  <si>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</si>
  <si>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</si>
  <si>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</si>
  <si>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</si>
  <si>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</si>
  <si>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</si>
  <si>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</si>
  <si>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</si>
  <si>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</si>
  <si>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</si>
  <si>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</si>
  <si>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DKK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</si>
  <si>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</si>
  <si>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</si>
  <si>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</si>
  <si>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</si>
  <si>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</si>
  <si>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</si>
  <si>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</si>
  <si>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</si>
  <si>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</si>
  <si>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</si>
  <si>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</si>
  <si>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</si>
  <si>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</si>
  <si>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</si>
  <si>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</si>
  <si>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</si>
  <si>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</si>
  <si>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</si>
  <si>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</si>
  <si>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</si>
  <si>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</si>
  <si>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</si>
  <si>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</si>
  <si>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</si>
  <si>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</si>
  <si>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</si>
  <si>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NVO owner-FCF component DCF: bear case (millions, DKK)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</si>
  <si>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</si>
  <si>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</si>
  <si>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</si>
  <si>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</si>
  <si>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</si>
  <si>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</si>
  <si>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</si>
  <si>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</si>
  <si>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</si>
  <si>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</si>
  <si>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</si>
  <si>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</si>
  <si>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</si>
  <si>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</si>
  <si>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</si>
  <si>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</si>
  <si>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</si>
  <si>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</si>
  <si>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</si>
  <si>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</si>
  <si>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</si>
  <si>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</si>
  <si>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</si>
  <si>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</si>
  <si>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</si>
  <si>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</si>
  <si>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</si>
  <si>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</si>
  <si>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</si>
  <si>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</si>
  <si>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NVO owner-FCF component DCF: base case (millions, DKK)</t>
  </si>
  <si>
    <t xml:space="preserve">NVO owner-FCF component DCF: bull case (millions, DKK)</t>
  </si>
  <si>
    <t xml:space="preserve">NVO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</si>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</sst>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37.32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111696</v>
      </c>
      <c r="C2" s="0" t="n">
        <v>17632</v>
      </c>
      <c r="D2" s="0" t="n">
        <v>94064</v>
      </c>
      <c r="E2" s="0" t="n">
        <v>84.2</v>
      </c>
      <c r="F2" s="0" t="n">
        <v>48967</v>
      </c>
      <c r="G2" s="0" t="n">
        <v>43.8</v>
      </c>
      <c r="H2" s="0" t="n">
        <v>52149</v>
      </c>
      <c r="I2" s="0" t="n">
        <v>38130</v>
      </c>
      <c r="J2" s="0" t="n">
        <v>34.1</v>
      </c>
      <c r="K2" s="0" t="n">
        <v>7.695</v>
      </c>
      <c r="L2" s="0" t="n">
        <v>41168</v>
      </c>
      <c r="M2" s="0" t="n">
        <v>8648</v>
      </c>
      <c r="N2" s="0" t="n">
        <v>32520</v>
      </c>
      <c r="O2" s="0" t="n">
        <v>49815</v>
      </c>
      <c r="P2" s="0" t="n">
        <v>102355</v>
      </c>
      <c r="Q2" s="0" t="n">
        <v>52540</v>
      </c>
      <c r="R2" s="0" t="n">
        <v>1694</v>
      </c>
      <c r="S2" s="0" t="n">
        <v>18852</v>
      </c>
      <c r="T2" s="0" t="n">
        <v>4955.2</v>
      </c>
      <c r="U2" s="0" t="n">
        <v>292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111831</v>
      </c>
      <c r="C3" s="0" t="n">
        <v>17617</v>
      </c>
      <c r="D3" s="0" t="n">
        <v>94214</v>
      </c>
      <c r="E3" s="0" t="n">
        <v>84.2</v>
      </c>
      <c r="F3" s="0" t="n">
        <v>47248</v>
      </c>
      <c r="G3" s="0" t="n">
        <v>42.2</v>
      </c>
      <c r="H3" s="0" t="n">
        <v>51173</v>
      </c>
      <c r="I3" s="0" t="n">
        <v>38628</v>
      </c>
      <c r="J3" s="0" t="n">
        <v>34.5</v>
      </c>
      <c r="K3" s="0" t="n">
        <v>7.965</v>
      </c>
      <c r="L3" s="0" t="n">
        <v>44616</v>
      </c>
      <c r="M3" s="0" t="n">
        <v>12410</v>
      </c>
      <c r="N3" s="0" t="n">
        <v>32206</v>
      </c>
      <c r="O3" s="0" t="n">
        <v>51839</v>
      </c>
      <c r="P3" s="0" t="n">
        <v>110769</v>
      </c>
      <c r="Q3" s="0" t="n">
        <v>58930</v>
      </c>
      <c r="R3" s="0" t="n">
        <v>515</v>
      </c>
      <c r="S3" s="0" t="n">
        <v>15638</v>
      </c>
      <c r="T3" s="0" t="n">
        <v>4849.7</v>
      </c>
      <c r="U3" s="0" t="n">
        <v>414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122021</v>
      </c>
      <c r="C4" s="0" t="n">
        <v>20088</v>
      </c>
      <c r="D4" s="0" t="n">
        <v>101933</v>
      </c>
      <c r="E4" s="0" t="n">
        <v>83.5</v>
      </c>
      <c r="F4" s="0" t="n">
        <v>52483</v>
      </c>
      <c r="G4" s="0" t="n">
        <v>43</v>
      </c>
      <c r="H4" s="0" t="n">
        <v>58144</v>
      </c>
      <c r="I4" s="0" t="n">
        <v>38951</v>
      </c>
      <c r="J4" s="0" t="n">
        <v>31.9</v>
      </c>
      <c r="K4" s="0" t="n">
        <v>8.19</v>
      </c>
      <c r="L4" s="0" t="n">
        <v>46782</v>
      </c>
      <c r="M4" s="0" t="n">
        <v>11231</v>
      </c>
      <c r="N4" s="0" t="n">
        <v>35551</v>
      </c>
      <c r="O4" s="0" t="n">
        <v>57593</v>
      </c>
      <c r="P4" s="0" t="n">
        <v>125612</v>
      </c>
      <c r="Q4" s="0" t="n">
        <v>68019</v>
      </c>
      <c r="R4" s="0" t="n">
        <v>4483</v>
      </c>
      <c r="S4" s="0" t="n">
        <v>15475</v>
      </c>
      <c r="T4" s="0" t="n">
        <v>4755.9</v>
      </c>
      <c r="U4" s="0" t="n">
        <v>363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126946</v>
      </c>
      <c r="C5" s="0" t="n">
        <v>20932</v>
      </c>
      <c r="D5" s="0" t="n">
        <v>106014</v>
      </c>
      <c r="E5" s="0" t="n">
        <v>83.5</v>
      </c>
      <c r="F5" s="0" t="n">
        <v>54126</v>
      </c>
      <c r="G5" s="0" t="n">
        <v>42.6</v>
      </c>
      <c r="H5" s="0" t="n">
        <v>59879</v>
      </c>
      <c r="I5" s="0" t="n">
        <v>42138</v>
      </c>
      <c r="J5" s="0" t="n">
        <v>33.2</v>
      </c>
      <c r="K5" s="0" t="n">
        <v>9.005</v>
      </c>
      <c r="L5" s="0" t="n">
        <v>51951</v>
      </c>
      <c r="M5" s="0" t="n">
        <v>22081</v>
      </c>
      <c r="N5" s="0" t="n">
        <v>29870</v>
      </c>
      <c r="O5" s="0" t="n">
        <v>63325</v>
      </c>
      <c r="P5" s="0" t="n">
        <v>144922</v>
      </c>
      <c r="Q5" s="0" t="n">
        <v>81597</v>
      </c>
      <c r="R5" s="0" t="n">
        <v>10356</v>
      </c>
      <c r="S5" s="0" t="n">
        <v>12757</v>
      </c>
      <c r="T5" s="0" t="n">
        <v>4679.4</v>
      </c>
      <c r="U5" s="0" t="n">
        <v>823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140800</v>
      </c>
      <c r="C6" s="0" t="n">
        <v>23658</v>
      </c>
      <c r="D6" s="0" t="n">
        <v>117142</v>
      </c>
      <c r="E6" s="0" t="n">
        <v>83.2</v>
      </c>
      <c r="F6" s="0" t="n">
        <v>58644</v>
      </c>
      <c r="G6" s="0" t="n">
        <v>41.7</v>
      </c>
      <c r="H6" s="0" t="n">
        <v>64669</v>
      </c>
      <c r="I6" s="0" t="n">
        <v>47757</v>
      </c>
      <c r="J6" s="0" t="n">
        <v>33.9</v>
      </c>
      <c r="K6" s="0" t="n">
        <v>10.37</v>
      </c>
      <c r="L6" s="0" t="n">
        <v>55000</v>
      </c>
      <c r="M6" s="0" t="n">
        <v>7385</v>
      </c>
      <c r="N6" s="0" t="n">
        <v>47615</v>
      </c>
      <c r="O6" s="0" t="n">
        <v>70746</v>
      </c>
      <c r="P6" s="0" t="n">
        <v>194508</v>
      </c>
      <c r="Q6" s="0" t="n">
        <v>123762</v>
      </c>
      <c r="R6" s="0" t="n">
        <v>26645</v>
      </c>
      <c r="S6" s="0" t="n">
        <v>17485</v>
      </c>
      <c r="T6" s="0" t="n">
        <v>4605.3</v>
      </c>
      <c r="U6" s="0" t="n">
        <v>1040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176954</v>
      </c>
      <c r="C7" s="0" t="n">
        <v>28448</v>
      </c>
      <c r="D7" s="0" t="n">
        <v>148506</v>
      </c>
      <c r="E7" s="0" t="n">
        <v>83.9</v>
      </c>
      <c r="F7" s="0" t="n">
        <v>74809</v>
      </c>
      <c r="G7" s="0" t="n">
        <v>42.3</v>
      </c>
      <c r="H7" s="0" t="n">
        <v>82171</v>
      </c>
      <c r="I7" s="0" t="n">
        <v>55525</v>
      </c>
      <c r="J7" s="0" t="n">
        <v>31.4</v>
      </c>
      <c r="K7" s="0" t="n">
        <v>12.22</v>
      </c>
      <c r="L7" s="0" t="n">
        <v>78887</v>
      </c>
      <c r="M7" s="0" t="n">
        <v>14753</v>
      </c>
      <c r="N7" s="0" t="n">
        <v>64134</v>
      </c>
      <c r="O7" s="0" t="n">
        <v>83486</v>
      </c>
      <c r="P7" s="0" t="n">
        <v>241257</v>
      </c>
      <c r="Q7" s="0" t="n">
        <v>157771</v>
      </c>
      <c r="R7" s="0" t="n">
        <v>25784</v>
      </c>
      <c r="S7" s="0" t="n">
        <v>23574</v>
      </c>
      <c r="T7" s="0" t="n">
        <v>4543.8</v>
      </c>
      <c r="U7" s="0" t="n">
        <v>1539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232261</v>
      </c>
      <c r="C8" s="0" t="n">
        <v>35765</v>
      </c>
      <c r="D8" s="0" t="n">
        <v>196496</v>
      </c>
      <c r="E8" s="0" t="n">
        <v>84.6</v>
      </c>
      <c r="F8" s="0" t="n">
        <v>102574</v>
      </c>
      <c r="G8" s="0" t="n">
        <v>44.2</v>
      </c>
      <c r="H8" s="0" t="n">
        <v>111987</v>
      </c>
      <c r="I8" s="0" t="n">
        <v>83683</v>
      </c>
      <c r="J8" s="0" t="n">
        <v>36</v>
      </c>
      <c r="K8" s="0" t="n">
        <v>18.62</v>
      </c>
      <c r="L8" s="0" t="n">
        <v>108908</v>
      </c>
      <c r="M8" s="0" t="n">
        <v>38896</v>
      </c>
      <c r="N8" s="0" t="n">
        <v>70012</v>
      </c>
      <c r="O8" s="0" t="n">
        <v>106561</v>
      </c>
      <c r="P8" s="0" t="n">
        <v>314486</v>
      </c>
      <c r="Q8" s="0" t="n">
        <v>207925</v>
      </c>
      <c r="R8" s="0" t="n">
        <v>27006</v>
      </c>
      <c r="S8" s="0" t="n">
        <v>30230</v>
      </c>
      <c r="T8" s="0" t="n">
        <v>4494.3</v>
      </c>
      <c r="U8" s="0" t="n">
        <v>2149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290403</v>
      </c>
      <c r="C9" s="0" t="n">
        <v>44522</v>
      </c>
      <c r="D9" s="0" t="n">
        <v>245881</v>
      </c>
      <c r="E9" s="0" t="n">
        <v>84.7</v>
      </c>
      <c r="F9" s="0" t="n">
        <v>128339</v>
      </c>
      <c r="G9" s="0" t="n">
        <v>44.2</v>
      </c>
      <c r="H9" s="0" t="n">
        <v>147446</v>
      </c>
      <c r="I9" s="0" t="n">
        <v>100988</v>
      </c>
      <c r="J9" s="0" t="n">
        <v>34.8</v>
      </c>
      <c r="K9" s="0" t="n">
        <v>22.63</v>
      </c>
      <c r="L9" s="0" t="n">
        <v>120968</v>
      </c>
      <c r="M9" s="0" t="n">
        <v>51309</v>
      </c>
      <c r="N9" s="0" t="n">
        <v>69659</v>
      </c>
      <c r="O9" s="0" t="n">
        <v>143486</v>
      </c>
      <c r="P9" s="0" t="n">
        <v>465795</v>
      </c>
      <c r="Q9" s="0" t="n">
        <v>322309</v>
      </c>
      <c r="R9" s="0" t="n">
        <v>102787</v>
      </c>
      <c r="S9" s="0" t="n">
        <v>26308</v>
      </c>
      <c r="T9" s="0" t="n">
        <v>4462.6</v>
      </c>
      <c r="U9" s="0" t="n">
        <v>2289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309064</v>
      </c>
      <c r="C10" s="0" t="n">
        <v>58788</v>
      </c>
      <c r="D10" s="0" t="n">
        <v>250276</v>
      </c>
      <c r="E10" s="0" t="n">
        <v>81</v>
      </c>
      <c r="F10" s="0" t="n">
        <v>127658</v>
      </c>
      <c r="G10" s="0" t="n">
        <v>41.3</v>
      </c>
      <c r="H10" s="0" t="n">
        <v>149640</v>
      </c>
      <c r="I10" s="0" t="n">
        <v>102434</v>
      </c>
      <c r="J10" s="0" t="n">
        <v>33.1</v>
      </c>
      <c r="K10" s="0" t="n">
        <v>23.03</v>
      </c>
      <c r="L10" s="0" t="n">
        <v>119102</v>
      </c>
      <c r="M10" s="0" t="n">
        <v>90113</v>
      </c>
      <c r="N10" s="0" t="n">
        <v>28989</v>
      </c>
      <c r="O10" s="0" t="n">
        <v>194047</v>
      </c>
      <c r="P10" s="0" t="n">
        <v>542902</v>
      </c>
      <c r="Q10" s="0" t="n">
        <v>348855</v>
      </c>
      <c r="R10" s="0" t="n">
        <v>130958</v>
      </c>
      <c r="S10" s="0" t="n">
        <v>26962</v>
      </c>
      <c r="T10" s="0" t="n">
        <v>4447.9</v>
      </c>
      <c r="U10" s="0" t="n">
        <v>1435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37.32</v>
      </c>
    </row>
    <row r="3" customFormat="false" ht="15" hidden="false" customHeight="false" outlineLevel="0" collapsed="false">
      <c r="A3" s="0" t="s">
        <v>76</v>
      </c>
      <c r="B3" s="3" t="n">
        <v>4441</v>
      </c>
    </row>
    <row r="4" customFormat="false" ht="15" hidden="false" customHeight="false" outlineLevel="0" collapsed="false">
      <c r="A4" s="0" t="s">
        <v>77</v>
      </c>
      <c r="B4" s="3" t="n">
        <v>95145</v>
      </c>
    </row>
    <row r="5" customFormat="false" ht="15" hidden="false" customHeight="false" outlineLevel="0" collapsed="false">
      <c r="A5" s="0" t="s">
        <v>78</v>
      </c>
      <c r="B5" s="3" t="n">
        <v>0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306400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0.150555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-6</v>
      </c>
      <c r="D13" s="3" t="n">
        <v>-6</v>
      </c>
      <c r="E13" s="3" t="n">
        <v>-1</v>
      </c>
      <c r="F13" s="3" t="n">
        <v>1</v>
      </c>
      <c r="G13" s="3" t="n">
        <v>0</v>
      </c>
      <c r="H13" s="3" t="n">
        <v>-5</v>
      </c>
      <c r="I13" s="3" t="n">
        <v>-10</v>
      </c>
      <c r="J13" s="3" t="n">
        <v>-8</v>
      </c>
      <c r="K13" s="3" t="n">
        <v>-2</v>
      </c>
      <c r="L13" s="3" t="n">
        <v>1</v>
      </c>
    </row>
    <row r="14" customFormat="false" ht="15" hidden="false" customHeight="false" outlineLevel="0" collapsed="false">
      <c r="A14" s="0" t="s">
        <v>97</v>
      </c>
      <c r="C14" s="3" t="n">
        <v>46</v>
      </c>
      <c r="D14" s="3" t="n">
        <v>43</v>
      </c>
      <c r="E14" s="3" t="n">
        <v>42</v>
      </c>
      <c r="F14" s="3" t="n">
        <v>41</v>
      </c>
      <c r="G14" s="3" t="n">
        <v>40</v>
      </c>
      <c r="H14" s="3" t="n">
        <v>38</v>
      </c>
      <c r="I14" s="3" t="n">
        <v>35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98</v>
      </c>
      <c r="C15" s="3" t="n">
        <v>0.45</v>
      </c>
      <c r="D15" s="3" t="n">
        <v>0.45</v>
      </c>
      <c r="E15" s="3" t="n">
        <v>0.45</v>
      </c>
      <c r="F15" s="3" t="n">
        <v>0.45</v>
      </c>
      <c r="G15" s="3" t="n">
        <v>0.45</v>
      </c>
      <c r="H15" s="3" t="n">
        <v>0.45</v>
      </c>
      <c r="I15" s="3" t="n">
        <v>0.45</v>
      </c>
      <c r="J15" s="3" t="n">
        <v>0.45</v>
      </c>
      <c r="K15" s="3" t="n">
        <v>0.45</v>
      </c>
      <c r="L15" s="3" t="n">
        <v>0.45</v>
      </c>
    </row>
    <row r="16" customFormat="false" ht="15" hidden="false" customHeight="false" outlineLevel="0" collapsed="false">
      <c r="A16" s="0" t="s">
        <v>99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100</v>
      </c>
      <c r="C17" s="3" t="n">
        <v>5</v>
      </c>
      <c r="D17" s="3" t="n">
        <v>5.7</v>
      </c>
      <c r="E17" s="3" t="n">
        <v>6.3</v>
      </c>
      <c r="F17" s="3" t="n">
        <v>6.8</v>
      </c>
      <c r="G17" s="3" t="n">
        <v>7</v>
      </c>
      <c r="H17" s="3" t="n">
        <v>7.2</v>
      </c>
      <c r="I17" s="3" t="n">
        <v>7.5</v>
      </c>
      <c r="J17" s="3" t="n">
        <v>7.8</v>
      </c>
      <c r="K17" s="3" t="n">
        <v>7.8</v>
      </c>
      <c r="L17" s="3" t="n">
        <v>7.8</v>
      </c>
    </row>
    <row r="18" customFormat="false" ht="15" hidden="false" customHeight="false" outlineLevel="0" collapsed="false">
      <c r="A18" s="0" t="s">
        <v>101</v>
      </c>
      <c r="C18" s="3" t="n">
        <v>19.8</v>
      </c>
      <c r="D18" s="3" t="n">
        <v>16</v>
      </c>
      <c r="E18" s="3" t="n">
        <v>13</v>
      </c>
      <c r="F18" s="3" t="n">
        <v>11</v>
      </c>
      <c r="G18" s="3" t="n">
        <v>10</v>
      </c>
      <c r="H18" s="3" t="n">
        <v>9</v>
      </c>
      <c r="I18" s="3" t="n">
        <v>9</v>
      </c>
      <c r="J18" s="3" t="n">
        <v>9</v>
      </c>
      <c r="K18" s="3" t="n">
        <v>9</v>
      </c>
      <c r="L18" s="3" t="n">
        <v>9</v>
      </c>
    </row>
    <row r="19" customFormat="false" ht="15" hidden="false" customHeight="false" outlineLevel="0" collapsed="false">
      <c r="A19" s="0" t="s">
        <v>102</v>
      </c>
      <c r="C19" s="3" t="n">
        <v>24</v>
      </c>
      <c r="D19" s="3" t="n">
        <v>22.5</v>
      </c>
      <c r="E19" s="3" t="n">
        <v>22</v>
      </c>
      <c r="F19" s="3" t="n">
        <v>22</v>
      </c>
      <c r="G19" s="3" t="n">
        <v>22</v>
      </c>
      <c r="H19" s="3" t="n">
        <v>22</v>
      </c>
      <c r="I19" s="3" t="n">
        <v>22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103</v>
      </c>
      <c r="B20" s="3" t="n">
        <v>7.5</v>
      </c>
    </row>
    <row r="21" customFormat="false" ht="15" hidden="false" customHeight="false" outlineLevel="0" collapsed="false">
      <c r="A21" s="0" t="s">
        <v>104</v>
      </c>
      <c r="B21" s="3" t="n">
        <v>1.5</v>
      </c>
    </row>
    <row r="22" customFormat="false" ht="15" hidden="false" customHeight="false" outlineLevel="0" collapsed="false">
      <c r="A22" s="0" t="s">
        <v>105</v>
      </c>
      <c r="B22" s="3" t="n">
        <v>14</v>
      </c>
    </row>
    <row r="23" customFormat="false" ht="15" hidden="false" customHeight="false" outlineLevel="0" collapsed="false">
      <c r="A23" s="0" t="s">
        <v>106</v>
      </c>
      <c r="B23" s="3" t="n">
        <v>-10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-3.5</v>
      </c>
      <c r="D27" s="3" t="n">
        <v>1</v>
      </c>
      <c r="E27" s="3" t="n">
        <v>4</v>
      </c>
      <c r="F27" s="3" t="n">
        <v>4</v>
      </c>
      <c r="G27" s="3" t="n">
        <v>3</v>
      </c>
      <c r="H27" s="3" t="n">
        <v>0</v>
      </c>
      <c r="I27" s="3" t="n">
        <v>-6</v>
      </c>
      <c r="J27" s="3" t="n">
        <v>-4</v>
      </c>
      <c r="K27" s="3" t="n">
        <v>1</v>
      </c>
      <c r="L27" s="3" t="n">
        <v>2</v>
      </c>
    </row>
    <row r="28" customFormat="false" ht="15" hidden="false" customHeight="false" outlineLevel="0" collapsed="false">
      <c r="A28" s="0" t="s">
        <v>97</v>
      </c>
      <c r="C28" s="3" t="n">
        <v>47</v>
      </c>
      <c r="D28" s="3" t="n">
        <v>46</v>
      </c>
      <c r="E28" s="3" t="n">
        <v>46.5</v>
      </c>
      <c r="F28" s="3" t="n">
        <v>46.5</v>
      </c>
      <c r="G28" s="3" t="n">
        <v>46</v>
      </c>
      <c r="H28" s="3" t="n">
        <v>45</v>
      </c>
      <c r="I28" s="3" t="n">
        <v>42</v>
      </c>
      <c r="J28" s="3" t="n">
        <v>40</v>
      </c>
      <c r="K28" s="3" t="n">
        <v>40</v>
      </c>
      <c r="L28" s="3" t="n">
        <v>40</v>
      </c>
    </row>
    <row r="29" customFormat="false" ht="15" hidden="false" customHeight="false" outlineLevel="0" collapsed="false">
      <c r="A29" s="0" t="s">
        <v>98</v>
      </c>
      <c r="C29" s="3" t="n">
        <v>0.45</v>
      </c>
      <c r="D29" s="3" t="n">
        <v>0.45</v>
      </c>
      <c r="E29" s="3" t="n">
        <v>0.45</v>
      </c>
      <c r="F29" s="3" t="n">
        <v>0.45</v>
      </c>
      <c r="G29" s="3" t="n">
        <v>0.45</v>
      </c>
      <c r="H29" s="3" t="n">
        <v>0.45</v>
      </c>
      <c r="I29" s="3" t="n">
        <v>0.45</v>
      </c>
      <c r="J29" s="3" t="n">
        <v>0.45</v>
      </c>
      <c r="K29" s="3" t="n">
        <v>0.45</v>
      </c>
      <c r="L29" s="3" t="n">
        <v>0.45</v>
      </c>
    </row>
    <row r="30" customFormat="false" ht="15" hidden="false" customHeight="false" outlineLevel="0" collapsed="false">
      <c r="A30" s="0" t="s">
        <v>99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100</v>
      </c>
      <c r="C31" s="3" t="n">
        <v>5</v>
      </c>
      <c r="D31" s="3" t="n">
        <v>5.5</v>
      </c>
      <c r="E31" s="3" t="n">
        <v>6</v>
      </c>
      <c r="F31" s="3" t="n">
        <v>6.5</v>
      </c>
      <c r="G31" s="3" t="n">
        <v>6.5</v>
      </c>
      <c r="H31" s="3" t="n">
        <v>6.5</v>
      </c>
      <c r="I31" s="3" t="n">
        <v>6.8</v>
      </c>
      <c r="J31" s="3" t="n">
        <v>7</v>
      </c>
      <c r="K31" s="3" t="n">
        <v>7</v>
      </c>
      <c r="L31" s="3" t="n">
        <v>7</v>
      </c>
    </row>
    <row r="32" customFormat="false" ht="15" hidden="false" customHeight="false" outlineLevel="0" collapsed="false">
      <c r="A32" s="0" t="s">
        <v>101</v>
      </c>
      <c r="C32" s="3" t="n">
        <v>19.5</v>
      </c>
      <c r="D32" s="3" t="n">
        <v>15</v>
      </c>
      <c r="E32" s="3" t="n">
        <v>12</v>
      </c>
      <c r="F32" s="3" t="n">
        <v>10</v>
      </c>
      <c r="G32" s="3" t="n">
        <v>9</v>
      </c>
      <c r="H32" s="3" t="n">
        <v>8.5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102</v>
      </c>
      <c r="C33" s="3" t="n">
        <v>24</v>
      </c>
      <c r="D33" s="3" t="n">
        <v>22.5</v>
      </c>
      <c r="E33" s="3" t="n">
        <v>22</v>
      </c>
      <c r="F33" s="3" t="n">
        <v>22</v>
      </c>
      <c r="G33" s="3" t="n">
        <v>22</v>
      </c>
      <c r="H33" s="3" t="n">
        <v>22</v>
      </c>
      <c r="I33" s="3" t="n">
        <v>22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103</v>
      </c>
      <c r="B34" s="3" t="n">
        <v>7.5</v>
      </c>
    </row>
    <row r="35" customFormat="false" ht="15" hidden="false" customHeight="false" outlineLevel="0" collapsed="false">
      <c r="A35" s="0" t="s">
        <v>104</v>
      </c>
      <c r="B35" s="3" t="n">
        <v>2</v>
      </c>
    </row>
    <row r="36" customFormat="false" ht="15" hidden="false" customHeight="false" outlineLevel="0" collapsed="false">
      <c r="A36" s="0" t="s">
        <v>105</v>
      </c>
      <c r="B36" s="3" t="n">
        <v>14</v>
      </c>
    </row>
    <row r="37" customFormat="false" ht="15" hidden="false" customHeight="false" outlineLevel="0" collapsed="false">
      <c r="A37" s="0" t="s">
        <v>106</v>
      </c>
      <c r="B37" s="3" t="n">
        <v>-10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-1.5</v>
      </c>
      <c r="D41" s="3" t="n">
        <v>5</v>
      </c>
      <c r="E41" s="3" t="n">
        <v>8</v>
      </c>
      <c r="F41" s="3" t="n">
        <v>7</v>
      </c>
      <c r="G41" s="3" t="n">
        <v>6</v>
      </c>
      <c r="H41" s="3" t="n">
        <v>3</v>
      </c>
      <c r="I41" s="3" t="n">
        <v>-2</v>
      </c>
      <c r="J41" s="3" t="n">
        <v>0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48</v>
      </c>
      <c r="D42" s="3" t="n">
        <v>48</v>
      </c>
      <c r="E42" s="3" t="n">
        <v>49</v>
      </c>
      <c r="F42" s="3" t="n">
        <v>49.5</v>
      </c>
      <c r="G42" s="3" t="n">
        <v>49.5</v>
      </c>
      <c r="H42" s="3" t="n">
        <v>49</v>
      </c>
      <c r="I42" s="3" t="n">
        <v>47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98</v>
      </c>
      <c r="C43" s="3" t="n">
        <v>0.45</v>
      </c>
      <c r="D43" s="3" t="n">
        <v>0.45</v>
      </c>
      <c r="E43" s="3" t="n">
        <v>0.45</v>
      </c>
      <c r="F43" s="3" t="n">
        <v>0.45</v>
      </c>
      <c r="G43" s="3" t="n">
        <v>0.45</v>
      </c>
      <c r="H43" s="3" t="n">
        <v>0.45</v>
      </c>
      <c r="I43" s="3" t="n">
        <v>0.45</v>
      </c>
      <c r="J43" s="3" t="n">
        <v>0.45</v>
      </c>
      <c r="K43" s="3" t="n">
        <v>0.45</v>
      </c>
      <c r="L43" s="3" t="n">
        <v>0.45</v>
      </c>
    </row>
    <row r="44" customFormat="false" ht="15" hidden="false" customHeight="false" outlineLevel="0" collapsed="false">
      <c r="A44" s="0" t="s">
        <v>99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100</v>
      </c>
      <c r="C45" s="3" t="n">
        <v>5</v>
      </c>
      <c r="D45" s="3" t="n">
        <v>5.5</v>
      </c>
      <c r="E45" s="3" t="n">
        <v>6</v>
      </c>
      <c r="F45" s="3" t="n">
        <v>6.5</v>
      </c>
      <c r="G45" s="3" t="n">
        <v>6.5</v>
      </c>
      <c r="H45" s="3" t="n">
        <v>6.5</v>
      </c>
      <c r="I45" s="3" t="n">
        <v>6.8</v>
      </c>
      <c r="J45" s="3" t="n">
        <v>7</v>
      </c>
      <c r="K45" s="3" t="n">
        <v>7</v>
      </c>
      <c r="L45" s="3" t="n">
        <v>7</v>
      </c>
    </row>
    <row r="46" customFormat="false" ht="15" hidden="false" customHeight="false" outlineLevel="0" collapsed="false">
      <c r="A46" s="0" t="s">
        <v>101</v>
      </c>
      <c r="C46" s="3" t="n">
        <v>19</v>
      </c>
      <c r="D46" s="3" t="n">
        <v>14.5</v>
      </c>
      <c r="E46" s="3" t="n">
        <v>11.5</v>
      </c>
      <c r="F46" s="3" t="n">
        <v>9.5</v>
      </c>
      <c r="G46" s="3" t="n">
        <v>8.5</v>
      </c>
      <c r="H46" s="3" t="n">
        <v>8</v>
      </c>
      <c r="I46" s="3" t="n">
        <v>8</v>
      </c>
      <c r="J46" s="3" t="n">
        <v>8</v>
      </c>
      <c r="K46" s="3" t="n">
        <v>8</v>
      </c>
      <c r="L46" s="3" t="n">
        <v>8</v>
      </c>
    </row>
    <row r="47" customFormat="false" ht="15" hidden="false" customHeight="false" outlineLevel="0" collapsed="false">
      <c r="A47" s="0" t="s">
        <v>102</v>
      </c>
      <c r="C47" s="3" t="n">
        <v>24</v>
      </c>
      <c r="D47" s="3" t="n">
        <v>22.5</v>
      </c>
      <c r="E47" s="3" t="n">
        <v>22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103</v>
      </c>
      <c r="B48" s="3" t="n">
        <v>7.5</v>
      </c>
    </row>
    <row r="49" customFormat="false" ht="15" hidden="false" customHeight="false" outlineLevel="0" collapsed="false">
      <c r="A49" s="0" t="s">
        <v>104</v>
      </c>
      <c r="B49" s="3" t="n">
        <v>2.5</v>
      </c>
    </row>
    <row r="50" customFormat="false" ht="15" hidden="false" customHeight="false" outlineLevel="0" collapsed="false">
      <c r="A50" s="0" t="s">
        <v>105</v>
      </c>
      <c r="B50" s="3" t="n">
        <v>14</v>
      </c>
    </row>
    <row r="51" customFormat="false" ht="15" hidden="false" customHeight="false" outlineLevel="0" collapsed="false">
      <c r="A51" s="0" t="s">
        <v>106</v>
      </c>
      <c r="B51" s="3" t="n">
        <v>-10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-6</v>
      </c>
      <c r="D5" s="4" t="n">
        <f aca="false">Assumptions!D13</f>
        <v>-6</v>
      </c>
      <c r="E5" s="4" t="n">
        <f aca="false">Assumptions!E13</f>
        <v>-1</v>
      </c>
      <c r="F5" s="4" t="n">
        <f aca="false">Assumptions!F13</f>
        <v>1</v>
      </c>
      <c r="G5" s="4" t="n">
        <f aca="false">Assumptions!G13</f>
        <v>0</v>
      </c>
      <c r="H5" s="4" t="n">
        <f aca="false">Assumptions!H13</f>
        <v>-5</v>
      </c>
      <c r="I5" s="4" t="n">
        <f aca="false">Assumptions!I13</f>
        <v>-10</v>
      </c>
      <c r="J5" s="4" t="n">
        <f aca="false">Assumptions!J13</f>
        <v>-8</v>
      </c>
      <c r="K5" s="4" t="n">
        <f aca="false">Assumptions!K13</f>
        <v>-2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306400</v>
      </c>
      <c r="C6" s="0" t="n">
        <f aca="false">B6*(1+C5/100)</f>
        <v>288016</v>
      </c>
      <c r="D6" s="0" t="n">
        <f aca="false">C6*(1+D5/100)</f>
        <v>270735.04</v>
      </c>
      <c r="E6" s="0" t="n">
        <f aca="false">D6*(1+E5/100)</f>
        <v>268027.6896</v>
      </c>
      <c r="F6" s="0" t="n">
        <f aca="false">E6*(1+F5/100)</f>
        <v>270707.966496</v>
      </c>
      <c r="G6" s="0" t="n">
        <f aca="false">F6*(1+G5/100)</f>
        <v>270707.966496</v>
      </c>
      <c r="H6" s="0" t="n">
        <f aca="false">G6*(1+H5/100)</f>
        <v>257172.5681712</v>
      </c>
      <c r="I6" s="0" t="n">
        <f aca="false">H6*(1+I5/100)</f>
        <v>231455.31135408</v>
      </c>
      <c r="J6" s="0" t="n">
        <f aca="false">I6*(1+J5/100)</f>
        <v>212938.886445754</v>
      </c>
      <c r="K6" s="0" t="n">
        <f aca="false">J6*(1+K5/100)</f>
        <v>208680.108716839</v>
      </c>
      <c r="L6" s="0" t="n">
        <f aca="false">K6*(1+L5/100)</f>
        <v>210766.909804007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46</v>
      </c>
      <c r="D7" s="4" t="n">
        <f aca="false">Assumptions!D14</f>
        <v>43</v>
      </c>
      <c r="E7" s="4" t="n">
        <f aca="false">Assumptions!E14</f>
        <v>42</v>
      </c>
      <c r="F7" s="4" t="n">
        <f aca="false">Assumptions!F14</f>
        <v>41</v>
      </c>
      <c r="G7" s="4" t="n">
        <f aca="false">Assumptions!G14</f>
        <v>40</v>
      </c>
      <c r="H7" s="4" t="n">
        <f aca="false">Assumptions!H14</f>
        <v>38</v>
      </c>
      <c r="I7" s="4" t="n">
        <f aca="false">Assumptions!I14</f>
        <v>35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132487.36</v>
      </c>
      <c r="D8" s="0" t="n">
        <f aca="false">D6*D7/100</f>
        <v>116416.0672</v>
      </c>
      <c r="E8" s="0" t="n">
        <f aca="false">E6*E7/100</f>
        <v>112571.629632</v>
      </c>
      <c r="F8" s="0" t="n">
        <f aca="false">F6*F7/100</f>
        <v>110990.26626336</v>
      </c>
      <c r="G8" s="0" t="n">
        <f aca="false">G6*G7/100</f>
        <v>108283.1865984</v>
      </c>
      <c r="H8" s="0" t="n">
        <f aca="false">H6*H7/100</f>
        <v>97725.575905056</v>
      </c>
      <c r="I8" s="0" t="n">
        <f aca="false">I6*I7/100</f>
        <v>81009.358973928</v>
      </c>
      <c r="J8" s="0" t="n">
        <f aca="false">J6*J7/100</f>
        <v>70269.8325270987</v>
      </c>
      <c r="K8" s="0" t="n">
        <f aca="false">K6*K7/100</f>
        <v>68864.4358765567</v>
      </c>
      <c r="L8" s="0" t="n">
        <f aca="false">L6*L7/100</f>
        <v>69553.0802353223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0.45</v>
      </c>
      <c r="D9" s="4" t="n">
        <f aca="false">Assumptions!D15</f>
        <v>0.45</v>
      </c>
      <c r="E9" s="4" t="n">
        <f aca="false">Assumptions!E15</f>
        <v>0.45</v>
      </c>
      <c r="F9" s="4" t="n">
        <f aca="false">Assumptions!F15</f>
        <v>0.45</v>
      </c>
      <c r="G9" s="4" t="n">
        <f aca="false">Assumptions!G15</f>
        <v>0.45</v>
      </c>
      <c r="H9" s="4" t="n">
        <f aca="false">Assumptions!H15</f>
        <v>0.45</v>
      </c>
      <c r="I9" s="4" t="n">
        <f aca="false">Assumptions!I15</f>
        <v>0.45</v>
      </c>
      <c r="J9" s="4" t="n">
        <f aca="false">Assumptions!J15</f>
        <v>0.45</v>
      </c>
      <c r="K9" s="4" t="n">
        <f aca="false">Assumptions!K15</f>
        <v>0.45</v>
      </c>
      <c r="L9" s="4" t="n">
        <f aca="false">Assumptions!L15</f>
        <v>0.45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-1296.072</v>
      </c>
      <c r="D10" s="0" t="n">
        <f aca="false">-D6*D9/100</f>
        <v>-1218.30768</v>
      </c>
      <c r="E10" s="0" t="n">
        <f aca="false">-E6*E9/100</f>
        <v>-1206.1246032</v>
      </c>
      <c r="F10" s="0" t="n">
        <f aca="false">-F6*F9/100</f>
        <v>-1218.185849232</v>
      </c>
      <c r="G10" s="0" t="n">
        <f aca="false">-G6*G9/100</f>
        <v>-1218.185849232</v>
      </c>
      <c r="H10" s="0" t="n">
        <f aca="false">-H6*H9/100</f>
        <v>-1157.2765567704</v>
      </c>
      <c r="I10" s="0" t="n">
        <f aca="false">-I6*I9/100</f>
        <v>-1041.54890109336</v>
      </c>
      <c r="J10" s="0" t="n">
        <f aca="false">-J6*J9/100</f>
        <v>-958.224989005891</v>
      </c>
      <c r="K10" s="0" t="n">
        <f aca="false">-K6*K9/100</f>
        <v>-939.060489225774</v>
      </c>
      <c r="L10" s="0" t="n">
        <f aca="false">-L6*L9/100</f>
        <v>-948.451094118031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131191.288</v>
      </c>
      <c r="D11" s="0" t="n">
        <f aca="false">D8+D10+D24</f>
        <v>115197.75952</v>
      </c>
      <c r="E11" s="0" t="n">
        <f aca="false">E8+E10+E24</f>
        <v>111365.5050288</v>
      </c>
      <c r="F11" s="0" t="n">
        <f aca="false">F8+F10+F24</f>
        <v>109772.080414128</v>
      </c>
      <c r="G11" s="0" t="n">
        <f aca="false">G8+G10+G24</f>
        <v>107065.000749168</v>
      </c>
      <c r="H11" s="0" t="n">
        <f aca="false">H8+H10+H24</f>
        <v>96568.2993482856</v>
      </c>
      <c r="I11" s="0" t="n">
        <f aca="false">I8+I10+I24</f>
        <v>79967.8100728346</v>
      </c>
      <c r="J11" s="0" t="n">
        <f aca="false">J8+J10+J24</f>
        <v>69311.6075380928</v>
      </c>
      <c r="K11" s="0" t="n">
        <f aca="false">K8+K10+K24</f>
        <v>67925.375387331</v>
      </c>
      <c r="L11" s="0" t="n">
        <f aca="false">L8+L10+L24</f>
        <v>68604.6291412043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-14400.8</v>
      </c>
      <c r="D12" s="4" t="n">
        <f aca="false">-D6*Assumptions!D17/100</f>
        <v>-15431.89728</v>
      </c>
      <c r="E12" s="4" t="n">
        <f aca="false">-E6*Assumptions!E17/100</f>
        <v>-16885.7444448</v>
      </c>
      <c r="F12" s="4" t="n">
        <f aca="false">-F6*Assumptions!F17/100</f>
        <v>-18408.141721728</v>
      </c>
      <c r="G12" s="4" t="n">
        <f aca="false">-G6*Assumptions!G17/100</f>
        <v>-18949.55765472</v>
      </c>
      <c r="H12" s="4" t="n">
        <f aca="false">-H6*Assumptions!H17/100</f>
        <v>-18516.4249083264</v>
      </c>
      <c r="I12" s="4" t="n">
        <f aca="false">-I6*Assumptions!I17/100</f>
        <v>-17359.148351556</v>
      </c>
      <c r="J12" s="4" t="n">
        <f aca="false">-J6*Assumptions!J17/100</f>
        <v>-16609.2331427688</v>
      </c>
      <c r="K12" s="4" t="n">
        <f aca="false">-K6*Assumptions!K17/100</f>
        <v>-16277.0484799134</v>
      </c>
      <c r="L12" s="4" t="n">
        <f aca="false">-L6*Assumptions!L17/100</f>
        <v>-16439.8189647125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116790.488</v>
      </c>
      <c r="D13" s="0" t="n">
        <f aca="false">D11+D12</f>
        <v>99765.86224</v>
      </c>
      <c r="E13" s="0" t="n">
        <f aca="false">E11+E12</f>
        <v>94479.760584</v>
      </c>
      <c r="F13" s="0" t="n">
        <f aca="false">F11+F12</f>
        <v>91363.9386924</v>
      </c>
      <c r="G13" s="0" t="n">
        <f aca="false">G11+G12</f>
        <v>88115.443094448</v>
      </c>
      <c r="H13" s="0" t="n">
        <f aca="false">H11+H12</f>
        <v>78051.8744399592</v>
      </c>
      <c r="I13" s="0" t="n">
        <f aca="false">I11+I12</f>
        <v>62608.6617212786</v>
      </c>
      <c r="J13" s="0" t="n">
        <f aca="false">J11+J12</f>
        <v>52702.374395324</v>
      </c>
      <c r="K13" s="0" t="n">
        <f aca="false">K11+K12</f>
        <v>51648.3269074176</v>
      </c>
      <c r="L13" s="0" t="n">
        <f aca="false">L11+L12</f>
        <v>52164.8101764917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24</v>
      </c>
      <c r="D14" s="4" t="n">
        <f aca="false">Assumptions!D19</f>
        <v>22.5</v>
      </c>
      <c r="E14" s="4" t="n">
        <f aca="false">Assumptions!E19</f>
        <v>22</v>
      </c>
      <c r="F14" s="4" t="n">
        <f aca="false">Assumptions!F19</f>
        <v>22</v>
      </c>
      <c r="G14" s="4" t="n">
        <f aca="false">Assumptions!G19</f>
        <v>22</v>
      </c>
      <c r="H14" s="4" t="n">
        <f aca="false">Assumptions!H19</f>
        <v>22</v>
      </c>
      <c r="I14" s="4" t="n">
        <f aca="false">Assumptions!I19</f>
        <v>22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88760.77088</v>
      </c>
      <c r="D15" s="0" t="n">
        <f aca="false">D13-MAX(0,D13)*D14/100</f>
        <v>77318.543236</v>
      </c>
      <c r="E15" s="0" t="n">
        <f aca="false">E13-MAX(0,E13)*E14/100</f>
        <v>73694.21325552</v>
      </c>
      <c r="F15" s="0" t="n">
        <f aca="false">F13-MAX(0,F13)*F14/100</f>
        <v>71263.872180072</v>
      </c>
      <c r="G15" s="0" t="n">
        <f aca="false">G13-MAX(0,G13)*G14/100</f>
        <v>68730.0456136694</v>
      </c>
      <c r="H15" s="0" t="n">
        <f aca="false">H13-MAX(0,H13)*H14/100</f>
        <v>60880.4620631682</v>
      </c>
      <c r="I15" s="0" t="n">
        <f aca="false">I13-MAX(0,I13)*I14/100</f>
        <v>48834.7561425973</v>
      </c>
      <c r="J15" s="0" t="n">
        <f aca="false">J13-MAX(0,J13)*J14/100</f>
        <v>41107.8520283527</v>
      </c>
      <c r="K15" s="0" t="n">
        <f aca="false">K13-MAX(0,K13)*K14/100</f>
        <v>40285.6949877857</v>
      </c>
      <c r="L15" s="0" t="n">
        <f aca="false">L13-MAX(0,L13)*L14/100</f>
        <v>40688.5519376635</v>
      </c>
    </row>
    <row r="16" customFormat="false" ht="15" hidden="false" customHeight="false" outlineLevel="0" collapsed="false">
      <c r="A16" s="0" t="s">
        <v>118</v>
      </c>
      <c r="C16" s="0" t="n">
        <f aca="false">-C12</f>
        <v>14400.8</v>
      </c>
      <c r="D16" s="0" t="n">
        <f aca="false">-D12</f>
        <v>15431.89728</v>
      </c>
      <c r="E16" s="0" t="n">
        <f aca="false">-E12</f>
        <v>16885.7444448</v>
      </c>
      <c r="F16" s="0" t="n">
        <f aca="false">-F12</f>
        <v>18408.141721728</v>
      </c>
      <c r="G16" s="0" t="n">
        <f aca="false">-G12</f>
        <v>18949.55765472</v>
      </c>
      <c r="H16" s="0" t="n">
        <f aca="false">-H12</f>
        <v>18516.4249083264</v>
      </c>
      <c r="I16" s="0" t="n">
        <f aca="false">-I12</f>
        <v>17359.148351556</v>
      </c>
      <c r="J16" s="0" t="n">
        <f aca="false">-J12</f>
        <v>16609.2331427688</v>
      </c>
      <c r="K16" s="0" t="n">
        <f aca="false">-K12</f>
        <v>16277.0484799134</v>
      </c>
      <c r="L16" s="0" t="n">
        <f aca="false">-L12</f>
        <v>16439.8189647125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-57027.168</v>
      </c>
      <c r="D17" s="4" t="n">
        <f aca="false">-D6*Assumptions!D18/100</f>
        <v>-43317.6064</v>
      </c>
      <c r="E17" s="4" t="n">
        <f aca="false">-E6*Assumptions!E18/100</f>
        <v>-34843.599648</v>
      </c>
      <c r="F17" s="4" t="n">
        <f aca="false">-F6*Assumptions!F18/100</f>
        <v>-29777.87631456</v>
      </c>
      <c r="G17" s="4" t="n">
        <f aca="false">-G6*Assumptions!G18/100</f>
        <v>-27070.7966496</v>
      </c>
      <c r="H17" s="4" t="n">
        <f aca="false">-H6*Assumptions!H18/100</f>
        <v>-23145.531135408</v>
      </c>
      <c r="I17" s="4" t="n">
        <f aca="false">-I6*Assumptions!I18/100</f>
        <v>-20830.9780218672</v>
      </c>
      <c r="J17" s="4" t="n">
        <f aca="false">-J6*Assumptions!J18/100</f>
        <v>-19164.4997801178</v>
      </c>
      <c r="K17" s="4" t="n">
        <f aca="false">-K6*Assumptions!K18/100</f>
        <v>-18781.2097845155</v>
      </c>
      <c r="L17" s="4" t="n">
        <f aca="false">-L6*Assumptions!L18/100</f>
        <v>-18969.0218823606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1838.4</v>
      </c>
      <c r="D18" s="4" t="n">
        <f aca="false">(D6-C6)*Assumptions!$B$23/100</f>
        <v>1728.096</v>
      </c>
      <c r="E18" s="4" t="n">
        <f aca="false">(E6-D6)*Assumptions!$B$23/100</f>
        <v>270.73504</v>
      </c>
      <c r="F18" s="4" t="n">
        <f aca="false">(F6-E6)*Assumptions!$B$23/100</f>
        <v>-268.027689600003</v>
      </c>
      <c r="G18" s="4" t="n">
        <f aca="false">(G6-F6)*Assumptions!$B$23/100</f>
        <v>-0</v>
      </c>
      <c r="H18" s="4" t="n">
        <f aca="false">(H6-G6)*Assumptions!$B$23/100</f>
        <v>1353.53983248</v>
      </c>
      <c r="I18" s="4" t="n">
        <f aca="false">(I6-H6)*Assumptions!$B$23/100</f>
        <v>2571.725681712</v>
      </c>
      <c r="J18" s="4" t="n">
        <f aca="false">(J6-I6)*Assumptions!$B$23/100</f>
        <v>1851.64249083264</v>
      </c>
      <c r="K18" s="4" t="n">
        <f aca="false">(K6-J6)*Assumptions!$B$23/100</f>
        <v>425.877772891507</v>
      </c>
      <c r="L18" s="4" t="n">
        <f aca="false">(L6-K6)*Assumptions!$B$23/100</f>
        <v>-208.680108716839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47972.80288</v>
      </c>
      <c r="D19" s="0" t="n">
        <f aca="false">D15+D16+D17+D18</f>
        <v>51160.930116</v>
      </c>
      <c r="E19" s="0" t="n">
        <f aca="false">E15+E16+E17+E18</f>
        <v>56007.09309232</v>
      </c>
      <c r="F19" s="0" t="n">
        <f aca="false">F15+F16+F17+F18</f>
        <v>59626.10989764</v>
      </c>
      <c r="G19" s="0" t="n">
        <f aca="false">G15+G16+G17+G18</f>
        <v>60608.8066187894</v>
      </c>
      <c r="H19" s="0" t="n">
        <f aca="false">H15+H16+H17+H18</f>
        <v>57604.8956685666</v>
      </c>
      <c r="I19" s="0" t="n">
        <f aca="false">I15+I16+I17+I18</f>
        <v>47934.6521539981</v>
      </c>
      <c r="J19" s="0" t="n">
        <f aca="false">J15+J16+J17+J18</f>
        <v>40404.2278818363</v>
      </c>
      <c r="K19" s="0" t="n">
        <f aca="false">K15+K16+K17+K18</f>
        <v>38207.4114560751</v>
      </c>
      <c r="L19" s="0" t="n">
        <f aca="false">L15+L16+L17+L18</f>
        <v>37950.6689112986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44625.8631441861</v>
      </c>
      <c r="D21" s="0" t="n">
        <f aca="false">D19*D20</f>
        <v>44271.2213010276</v>
      </c>
      <c r="E21" s="0" t="n">
        <f aca="false">E19*E20</f>
        <v>45083.5015521713</v>
      </c>
      <c r="F21" s="0" t="n">
        <f aca="false">F19*F20</f>
        <v>44648.0626798572</v>
      </c>
      <c r="G21" s="0" t="n">
        <f aca="false">G19*G20</f>
        <v>42217.5874467567</v>
      </c>
      <c r="H21" s="0" t="n">
        <f aca="false">H19*H20</f>
        <v>37325.7556684352</v>
      </c>
      <c r="I21" s="0" t="n">
        <f aca="false">I19*I20</f>
        <v>28892.8465086576</v>
      </c>
      <c r="J21" s="0" t="n">
        <f aca="false">J19*J20</f>
        <v>22654.7408118807</v>
      </c>
      <c r="K21" s="0" t="n">
        <f aca="false">K19*K20</f>
        <v>19928.3543586987</v>
      </c>
      <c r="L21" s="0" t="n">
        <f aca="false">L19*L20</f>
        <v>18413.4341307412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348061.367602412</v>
      </c>
    </row>
    <row r="31" customFormat="false" ht="15" hidden="false" customHeight="false" outlineLevel="0" collapsed="false">
      <c r="A31" s="0" t="s">
        <v>127</v>
      </c>
      <c r="B31" s="0" t="n">
        <f aca="false">L19</f>
        <v>37950.6689112986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641998.815749468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531309.364758181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531309.364758181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257788.077830377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605849.44543279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510704.44543279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17.3134671880508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-0.536080729151908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7856.41797968032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7784.75754732173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17.8437210005858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285332.806999764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7.90609530402021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-3.5</v>
      </c>
      <c r="D5" s="4" t="n">
        <f aca="false">Assumptions!D27</f>
        <v>1</v>
      </c>
      <c r="E5" s="4" t="n">
        <f aca="false">Assumptions!E27</f>
        <v>4</v>
      </c>
      <c r="F5" s="4" t="n">
        <f aca="false">Assumptions!F27</f>
        <v>4</v>
      </c>
      <c r="G5" s="4" t="n">
        <f aca="false">Assumptions!G27</f>
        <v>3</v>
      </c>
      <c r="H5" s="4" t="n">
        <f aca="false">Assumptions!H27</f>
        <v>0</v>
      </c>
      <c r="I5" s="4" t="n">
        <f aca="false">Assumptions!I27</f>
        <v>-6</v>
      </c>
      <c r="J5" s="4" t="n">
        <f aca="false">Assumptions!J27</f>
        <v>-4</v>
      </c>
      <c r="K5" s="4" t="n">
        <f aca="false">Assumptions!K27</f>
        <v>1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306400</v>
      </c>
      <c r="C6" s="0" t="n">
        <f aca="false">B6*(1+C5/100)</f>
        <v>295676</v>
      </c>
      <c r="D6" s="0" t="n">
        <f aca="false">C6*(1+D5/100)</f>
        <v>298632.76</v>
      </c>
      <c r="E6" s="0" t="n">
        <f aca="false">D6*(1+E5/100)</f>
        <v>310578.0704</v>
      </c>
      <c r="F6" s="0" t="n">
        <f aca="false">E6*(1+F5/100)</f>
        <v>323001.193216</v>
      </c>
      <c r="G6" s="0" t="n">
        <f aca="false">F6*(1+G5/100)</f>
        <v>332691.22901248</v>
      </c>
      <c r="H6" s="0" t="n">
        <f aca="false">G6*(1+H5/100)</f>
        <v>332691.22901248</v>
      </c>
      <c r="I6" s="0" t="n">
        <f aca="false">H6*(1+I5/100)</f>
        <v>312729.755271731</v>
      </c>
      <c r="J6" s="0" t="n">
        <f aca="false">I6*(1+J5/100)</f>
        <v>300220.565060862</v>
      </c>
      <c r="K6" s="0" t="n">
        <f aca="false">J6*(1+K5/100)</f>
        <v>303222.770711471</v>
      </c>
      <c r="L6" s="0" t="n">
        <f aca="false">K6*(1+L5/100)</f>
        <v>309287.2261257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47</v>
      </c>
      <c r="D7" s="4" t="n">
        <f aca="false">Assumptions!D28</f>
        <v>46</v>
      </c>
      <c r="E7" s="4" t="n">
        <f aca="false">Assumptions!E28</f>
        <v>46.5</v>
      </c>
      <c r="F7" s="4" t="n">
        <f aca="false">Assumptions!F28</f>
        <v>46.5</v>
      </c>
      <c r="G7" s="4" t="n">
        <f aca="false">Assumptions!G28</f>
        <v>46</v>
      </c>
      <c r="H7" s="4" t="n">
        <f aca="false">Assumptions!H28</f>
        <v>45</v>
      </c>
      <c r="I7" s="4" t="n">
        <f aca="false">Assumptions!I28</f>
        <v>42</v>
      </c>
      <c r="J7" s="4" t="n">
        <f aca="false">Assumptions!J28</f>
        <v>40</v>
      </c>
      <c r="K7" s="4" t="n">
        <f aca="false">Assumptions!K28</f>
        <v>40</v>
      </c>
      <c r="L7" s="4" t="n">
        <f aca="false">Assumptions!L28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138967.72</v>
      </c>
      <c r="D8" s="0" t="n">
        <f aca="false">D6*D7/100</f>
        <v>137371.0696</v>
      </c>
      <c r="E8" s="0" t="n">
        <f aca="false">E6*E7/100</f>
        <v>144418.802736</v>
      </c>
      <c r="F8" s="0" t="n">
        <f aca="false">F6*F7/100</f>
        <v>150195.55484544</v>
      </c>
      <c r="G8" s="0" t="n">
        <f aca="false">G6*G7/100</f>
        <v>153037.965345741</v>
      </c>
      <c r="H8" s="0" t="n">
        <f aca="false">H6*H7/100</f>
        <v>149711.053055616</v>
      </c>
      <c r="I8" s="0" t="n">
        <f aca="false">I6*I7/100</f>
        <v>131346.497214127</v>
      </c>
      <c r="J8" s="0" t="n">
        <f aca="false">J6*J7/100</f>
        <v>120088.226024345</v>
      </c>
      <c r="K8" s="0" t="n">
        <f aca="false">K6*K7/100</f>
        <v>121289.108284588</v>
      </c>
      <c r="L8" s="0" t="n">
        <f aca="false">L6*L7/100</f>
        <v>123714.89045028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0.45</v>
      </c>
      <c r="D9" s="4" t="n">
        <f aca="false">Assumptions!D29</f>
        <v>0.45</v>
      </c>
      <c r="E9" s="4" t="n">
        <f aca="false">Assumptions!E29</f>
        <v>0.45</v>
      </c>
      <c r="F9" s="4" t="n">
        <f aca="false">Assumptions!F29</f>
        <v>0.45</v>
      </c>
      <c r="G9" s="4" t="n">
        <f aca="false">Assumptions!G29</f>
        <v>0.45</v>
      </c>
      <c r="H9" s="4" t="n">
        <f aca="false">Assumptions!H29</f>
        <v>0.45</v>
      </c>
      <c r="I9" s="4" t="n">
        <f aca="false">Assumptions!I29</f>
        <v>0.45</v>
      </c>
      <c r="J9" s="4" t="n">
        <f aca="false">Assumptions!J29</f>
        <v>0.45</v>
      </c>
      <c r="K9" s="4" t="n">
        <f aca="false">Assumptions!K29</f>
        <v>0.45</v>
      </c>
      <c r="L9" s="4" t="n">
        <f aca="false">Assumptions!L29</f>
        <v>0.45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-1330.542</v>
      </c>
      <c r="D10" s="0" t="n">
        <f aca="false">-D6*D9/100</f>
        <v>-1343.84742</v>
      </c>
      <c r="E10" s="0" t="n">
        <f aca="false">-E6*E9/100</f>
        <v>-1397.6013168</v>
      </c>
      <c r="F10" s="0" t="n">
        <f aca="false">-F6*F9/100</f>
        <v>-1453.505369472</v>
      </c>
      <c r="G10" s="0" t="n">
        <f aca="false">-G6*G9/100</f>
        <v>-1497.11053055616</v>
      </c>
      <c r="H10" s="0" t="n">
        <f aca="false">-H6*H9/100</f>
        <v>-1497.11053055616</v>
      </c>
      <c r="I10" s="0" t="n">
        <f aca="false">-I6*I9/100</f>
        <v>-1407.28389872279</v>
      </c>
      <c r="J10" s="0" t="n">
        <f aca="false">-J6*J9/100</f>
        <v>-1350.99254277388</v>
      </c>
      <c r="K10" s="0" t="n">
        <f aca="false">-K6*K9/100</f>
        <v>-1364.50246820162</v>
      </c>
      <c r="L10" s="0" t="n">
        <f aca="false">-L6*L9/100</f>
        <v>-1391.79251756565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137637.178</v>
      </c>
      <c r="D11" s="0" t="n">
        <f aca="false">D8+D10+D24</f>
        <v>136027.22218</v>
      </c>
      <c r="E11" s="0" t="n">
        <f aca="false">E8+E10+E24</f>
        <v>143021.2014192</v>
      </c>
      <c r="F11" s="0" t="n">
        <f aca="false">F8+F10+F24</f>
        <v>148742.049475968</v>
      </c>
      <c r="G11" s="0" t="n">
        <f aca="false">G8+G10+G24</f>
        <v>151540.854815185</v>
      </c>
      <c r="H11" s="0" t="n">
        <f aca="false">H8+H10+H24</f>
        <v>148213.94252506</v>
      </c>
      <c r="I11" s="0" t="n">
        <f aca="false">I8+I10+I24</f>
        <v>129939.213315404</v>
      </c>
      <c r="J11" s="0" t="n">
        <f aca="false">J8+J10+J24</f>
        <v>118737.233481571</v>
      </c>
      <c r="K11" s="0" t="n">
        <f aca="false">K8+K10+K24</f>
        <v>119924.605816387</v>
      </c>
      <c r="L11" s="0" t="n">
        <f aca="false">L8+L10+L24</f>
        <v>122323.097932714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-14783.8</v>
      </c>
      <c r="D12" s="4" t="n">
        <f aca="false">-D6*Assumptions!D31/100</f>
        <v>-16424.8018</v>
      </c>
      <c r="E12" s="4" t="n">
        <f aca="false">-E6*Assumptions!E31/100</f>
        <v>-18634.684224</v>
      </c>
      <c r="F12" s="4" t="n">
        <f aca="false">-F6*Assumptions!F31/100</f>
        <v>-20995.07755904</v>
      </c>
      <c r="G12" s="4" t="n">
        <f aca="false">-G6*Assumptions!G31/100</f>
        <v>-21624.9298858112</v>
      </c>
      <c r="H12" s="4" t="n">
        <f aca="false">-H6*Assumptions!H31/100</f>
        <v>-21624.9298858112</v>
      </c>
      <c r="I12" s="4" t="n">
        <f aca="false">-I6*Assumptions!I31/100</f>
        <v>-21265.6233584777</v>
      </c>
      <c r="J12" s="4" t="n">
        <f aca="false">-J6*Assumptions!J31/100</f>
        <v>-21015.4395542603</v>
      </c>
      <c r="K12" s="4" t="n">
        <f aca="false">-K6*Assumptions!K31/100</f>
        <v>-21225.5939498029</v>
      </c>
      <c r="L12" s="4" t="n">
        <f aca="false">-L6*Assumptions!L31/100</f>
        <v>-21650.105828799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122853.378</v>
      </c>
      <c r="D13" s="0" t="n">
        <f aca="false">D11+D12</f>
        <v>119602.42038</v>
      </c>
      <c r="E13" s="0" t="n">
        <f aca="false">E11+E12</f>
        <v>124386.5171952</v>
      </c>
      <c r="F13" s="0" t="n">
        <f aca="false">F11+F12</f>
        <v>127746.971916928</v>
      </c>
      <c r="G13" s="0" t="n">
        <f aca="false">G11+G12</f>
        <v>129915.924929373</v>
      </c>
      <c r="H13" s="0" t="n">
        <f aca="false">H11+H12</f>
        <v>126589.012639249</v>
      </c>
      <c r="I13" s="0" t="n">
        <f aca="false">I11+I12</f>
        <v>108673.589956927</v>
      </c>
      <c r="J13" s="0" t="n">
        <f aca="false">J11+J12</f>
        <v>97721.7939273106</v>
      </c>
      <c r="K13" s="0" t="n">
        <f aca="false">K11+K12</f>
        <v>98699.0118665837</v>
      </c>
      <c r="L13" s="0" t="n">
        <f aca="false">L11+L12</f>
        <v>100672.992103915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24</v>
      </c>
      <c r="D14" s="4" t="n">
        <f aca="false">Assumptions!D33</f>
        <v>22.5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22</v>
      </c>
      <c r="H14" s="4" t="n">
        <f aca="false">Assumptions!H33</f>
        <v>22</v>
      </c>
      <c r="I14" s="4" t="n">
        <f aca="false">Assumptions!I33</f>
        <v>22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93368.56728</v>
      </c>
      <c r="D15" s="0" t="n">
        <f aca="false">D13-MAX(0,D13)*D14/100</f>
        <v>92691.8757945</v>
      </c>
      <c r="E15" s="0" t="n">
        <f aca="false">E13-MAX(0,E13)*E14/100</f>
        <v>97021.483412256</v>
      </c>
      <c r="F15" s="0" t="n">
        <f aca="false">F13-MAX(0,F13)*F14/100</f>
        <v>99642.6380952039</v>
      </c>
      <c r="G15" s="0" t="n">
        <f aca="false">G13-MAX(0,G13)*G14/100</f>
        <v>101334.421444911</v>
      </c>
      <c r="H15" s="0" t="n">
        <f aca="false">H13-MAX(0,H13)*H14/100</f>
        <v>98739.429858614</v>
      </c>
      <c r="I15" s="0" t="n">
        <f aca="false">I13-MAX(0,I13)*I14/100</f>
        <v>84765.4001664028</v>
      </c>
      <c r="J15" s="0" t="n">
        <f aca="false">J13-MAX(0,J13)*J14/100</f>
        <v>76222.9992633022</v>
      </c>
      <c r="K15" s="0" t="n">
        <f aca="false">K13-MAX(0,K13)*K14/100</f>
        <v>76985.2292559353</v>
      </c>
      <c r="L15" s="0" t="n">
        <f aca="false">L13-MAX(0,L13)*L14/100</f>
        <v>78524.933841054</v>
      </c>
    </row>
    <row r="16" customFormat="false" ht="15" hidden="false" customHeight="false" outlineLevel="0" collapsed="false">
      <c r="A16" s="0" t="s">
        <v>118</v>
      </c>
      <c r="C16" s="0" t="n">
        <f aca="false">-C12</f>
        <v>14783.8</v>
      </c>
      <c r="D16" s="0" t="n">
        <f aca="false">-D12</f>
        <v>16424.8018</v>
      </c>
      <c r="E16" s="0" t="n">
        <f aca="false">-E12</f>
        <v>18634.684224</v>
      </c>
      <c r="F16" s="0" t="n">
        <f aca="false">-F12</f>
        <v>20995.07755904</v>
      </c>
      <c r="G16" s="0" t="n">
        <f aca="false">-G12</f>
        <v>21624.9298858112</v>
      </c>
      <c r="H16" s="0" t="n">
        <f aca="false">-H12</f>
        <v>21624.9298858112</v>
      </c>
      <c r="I16" s="0" t="n">
        <f aca="false">-I12</f>
        <v>21265.6233584777</v>
      </c>
      <c r="J16" s="0" t="n">
        <f aca="false">-J12</f>
        <v>21015.4395542603</v>
      </c>
      <c r="K16" s="0" t="n">
        <f aca="false">-K12</f>
        <v>21225.5939498029</v>
      </c>
      <c r="L16" s="0" t="n">
        <f aca="false">-L12</f>
        <v>21650.105828799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-57656.82</v>
      </c>
      <c r="D17" s="4" t="n">
        <f aca="false">-D6*Assumptions!D32/100</f>
        <v>-44794.914</v>
      </c>
      <c r="E17" s="4" t="n">
        <f aca="false">-E6*Assumptions!E32/100</f>
        <v>-37269.368448</v>
      </c>
      <c r="F17" s="4" t="n">
        <f aca="false">-F6*Assumptions!F32/100</f>
        <v>-32300.1193216</v>
      </c>
      <c r="G17" s="4" t="n">
        <f aca="false">-G6*Assumptions!G32/100</f>
        <v>-29942.2106111232</v>
      </c>
      <c r="H17" s="4" t="n">
        <f aca="false">-H6*Assumptions!H32/100</f>
        <v>-28278.7544660608</v>
      </c>
      <c r="I17" s="4" t="n">
        <f aca="false">-I6*Assumptions!I32/100</f>
        <v>-25018.3804217385</v>
      </c>
      <c r="J17" s="4" t="n">
        <f aca="false">-J6*Assumptions!J32/100</f>
        <v>-24017.645204869</v>
      </c>
      <c r="K17" s="4" t="n">
        <f aca="false">-K6*Assumptions!K32/100</f>
        <v>-24257.8216569177</v>
      </c>
      <c r="L17" s="4" t="n">
        <f aca="false">-L6*Assumptions!L32/100</f>
        <v>-24742.978090056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1072.4</v>
      </c>
      <c r="D18" s="4" t="n">
        <f aca="false">(D6-C6)*Assumptions!$B$37/100</f>
        <v>-295.676000000001</v>
      </c>
      <c r="E18" s="4" t="n">
        <f aca="false">(E6-D6)*Assumptions!$B$37/100</f>
        <v>-1194.53104</v>
      </c>
      <c r="F18" s="4" t="n">
        <f aca="false">(F6-E6)*Assumptions!$B$37/100</f>
        <v>-1242.3122816</v>
      </c>
      <c r="G18" s="4" t="n">
        <f aca="false">(G6-F6)*Assumptions!$B$37/100</f>
        <v>-969.003579648002</v>
      </c>
      <c r="H18" s="4" t="n">
        <f aca="false">(H6-G6)*Assumptions!$B$37/100</f>
        <v>-0</v>
      </c>
      <c r="I18" s="4" t="n">
        <f aca="false">(I6-H6)*Assumptions!$B$37/100</f>
        <v>1996.14737407488</v>
      </c>
      <c r="J18" s="4" t="n">
        <f aca="false">(J6-I6)*Assumptions!$B$37/100</f>
        <v>1250.91902108692</v>
      </c>
      <c r="K18" s="4" t="n">
        <f aca="false">(K6-J6)*Assumptions!$B$37/100</f>
        <v>-300.220565060864</v>
      </c>
      <c r="L18" s="4" t="n">
        <f aca="false">(L6-K6)*Assumptions!$B$37/100</f>
        <v>-606.445541422942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51567.94728</v>
      </c>
      <c r="D19" s="0" t="n">
        <f aca="false">D15+D16+D17+D18</f>
        <v>64026.0875945</v>
      </c>
      <c r="E19" s="0" t="n">
        <f aca="false">E15+E16+E17+E18</f>
        <v>77192.268148256</v>
      </c>
      <c r="F19" s="0" t="n">
        <f aca="false">F15+F16+F17+F18</f>
        <v>87095.2840510439</v>
      </c>
      <c r="G19" s="0" t="n">
        <f aca="false">G15+G16+G17+G18</f>
        <v>92048.1371399513</v>
      </c>
      <c r="H19" s="0" t="n">
        <f aca="false">H15+H16+H17+H18</f>
        <v>92085.6052783644</v>
      </c>
      <c r="I19" s="0" t="n">
        <f aca="false">I15+I16+I17+I18</f>
        <v>83008.7904772169</v>
      </c>
      <c r="J19" s="0" t="n">
        <f aca="false">J15+J16+J17+J18</f>
        <v>74471.7126337805</v>
      </c>
      <c r="K19" s="0" t="n">
        <f aca="false">K15+K16+K17+K18</f>
        <v>73652.7809837597</v>
      </c>
      <c r="L19" s="0" t="n">
        <f aca="false">L15+L16+L17+L18</f>
        <v>74825.616038374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47970.1835162791</v>
      </c>
      <c r="D21" s="0" t="n">
        <f aca="false">D19*D20</f>
        <v>55403.861628556</v>
      </c>
      <c r="E21" s="0" t="n">
        <f aca="false">E19*E20</f>
        <v>62136.7321303582</v>
      </c>
      <c r="F21" s="0" t="n">
        <f aca="false">F19*F20</f>
        <v>65216.9948384455</v>
      </c>
      <c r="G21" s="0" t="n">
        <f aca="false">G19*G20</f>
        <v>64116.9245165804</v>
      </c>
      <c r="H21" s="0" t="n">
        <f aca="false">H19*H20</f>
        <v>59667.9286249583</v>
      </c>
      <c r="I21" s="0" t="n">
        <f aca="false">I19*I20</f>
        <v>50033.955277748</v>
      </c>
      <c r="J21" s="0" t="n">
        <f aca="false">J19*J20</f>
        <v>41756.4555983907</v>
      </c>
      <c r="K21" s="0" t="n">
        <f aca="false">K19*K20</f>
        <v>38416.0732960256</v>
      </c>
      <c r="L21" s="0" t="n">
        <f aca="false">L19*L20</f>
        <v>36304.9345832358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521024.044010578</v>
      </c>
    </row>
    <row r="31" customFormat="false" ht="15" hidden="false" customHeight="false" outlineLevel="0" collapsed="false">
      <c r="A31" s="0" t="s">
        <v>127</v>
      </c>
      <c r="B31" s="0" t="n">
        <f aca="false">L19</f>
        <v>74825.616038374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1387675.0610753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1047558.62453724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1047558.62453724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508269.084165301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1029293.12817588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934148.128175878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31.6686943115333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-0.151428341062881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9619.62632378963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12523.5466283241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32.4193733036084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587093.295070319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14.3856505285091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-1.5</v>
      </c>
      <c r="D5" s="4" t="n">
        <f aca="false">Assumptions!D41</f>
        <v>5</v>
      </c>
      <c r="E5" s="4" t="n">
        <f aca="false">Assumptions!E41</f>
        <v>8</v>
      </c>
      <c r="F5" s="4" t="n">
        <f aca="false">Assumptions!F41</f>
        <v>7</v>
      </c>
      <c r="G5" s="4" t="n">
        <f aca="false">Assumptions!G41</f>
        <v>6</v>
      </c>
      <c r="H5" s="4" t="n">
        <f aca="false">Assumptions!H41</f>
        <v>3</v>
      </c>
      <c r="I5" s="4" t="n">
        <f aca="false">Assumptions!I41</f>
        <v>-2</v>
      </c>
      <c r="J5" s="4" t="n">
        <f aca="false">Assumptions!J41</f>
        <v>0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306400</v>
      </c>
      <c r="C6" s="0" t="n">
        <f aca="false">B6*(1+C5/100)</f>
        <v>301804</v>
      </c>
      <c r="D6" s="0" t="n">
        <f aca="false">C6*(1+D5/100)</f>
        <v>316894.2</v>
      </c>
      <c r="E6" s="0" t="n">
        <f aca="false">D6*(1+E5/100)</f>
        <v>342245.736</v>
      </c>
      <c r="F6" s="0" t="n">
        <f aca="false">E6*(1+F5/100)</f>
        <v>366202.93752</v>
      </c>
      <c r="G6" s="0" t="n">
        <f aca="false">F6*(1+G5/100)</f>
        <v>388175.1137712</v>
      </c>
      <c r="H6" s="0" t="n">
        <f aca="false">G6*(1+H5/100)</f>
        <v>399820.367184336</v>
      </c>
      <c r="I6" s="0" t="n">
        <f aca="false">H6*(1+I5/100)</f>
        <v>391823.959840649</v>
      </c>
      <c r="J6" s="0" t="n">
        <f aca="false">I6*(1+J5/100)</f>
        <v>391823.959840649</v>
      </c>
      <c r="K6" s="0" t="n">
        <f aca="false">J6*(1+K5/100)</f>
        <v>403578.678635869</v>
      </c>
      <c r="L6" s="0" t="n">
        <f aca="false">K6*(1+L5/100)</f>
        <v>415686.038994945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48</v>
      </c>
      <c r="D7" s="4" t="n">
        <f aca="false">Assumptions!D42</f>
        <v>48</v>
      </c>
      <c r="E7" s="4" t="n">
        <f aca="false">Assumptions!E42</f>
        <v>49</v>
      </c>
      <c r="F7" s="4" t="n">
        <f aca="false">Assumptions!F42</f>
        <v>49.5</v>
      </c>
      <c r="G7" s="4" t="n">
        <f aca="false">Assumptions!G42</f>
        <v>49.5</v>
      </c>
      <c r="H7" s="4" t="n">
        <f aca="false">Assumptions!H42</f>
        <v>49</v>
      </c>
      <c r="I7" s="4" t="n">
        <f aca="false">Assumptions!I42</f>
        <v>47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144865.92</v>
      </c>
      <c r="D8" s="0" t="n">
        <f aca="false">D6*D7/100</f>
        <v>152109.216</v>
      </c>
      <c r="E8" s="0" t="n">
        <f aca="false">E6*E7/100</f>
        <v>167700.41064</v>
      </c>
      <c r="F8" s="0" t="n">
        <f aca="false">F6*F7/100</f>
        <v>181270.4540724</v>
      </c>
      <c r="G8" s="0" t="n">
        <f aca="false">G6*G7/100</f>
        <v>192146.681316744</v>
      </c>
      <c r="H8" s="0" t="n">
        <f aca="false">H6*H7/100</f>
        <v>195911.979920325</v>
      </c>
      <c r="I8" s="0" t="n">
        <f aca="false">I6*I7/100</f>
        <v>184157.261125105</v>
      </c>
      <c r="J8" s="0" t="n">
        <f aca="false">J6*J7/100</f>
        <v>180239.021526699</v>
      </c>
      <c r="K8" s="0" t="n">
        <f aca="false">K6*K7/100</f>
        <v>185646.1921725</v>
      </c>
      <c r="L8" s="0" t="n">
        <f aca="false">L6*L7/100</f>
        <v>191215.577937675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0.45</v>
      </c>
      <c r="D9" s="4" t="n">
        <f aca="false">Assumptions!D43</f>
        <v>0.45</v>
      </c>
      <c r="E9" s="4" t="n">
        <f aca="false">Assumptions!E43</f>
        <v>0.45</v>
      </c>
      <c r="F9" s="4" t="n">
        <f aca="false">Assumptions!F43</f>
        <v>0.45</v>
      </c>
      <c r="G9" s="4" t="n">
        <f aca="false">Assumptions!G43</f>
        <v>0.45</v>
      </c>
      <c r="H9" s="4" t="n">
        <f aca="false">Assumptions!H43</f>
        <v>0.45</v>
      </c>
      <c r="I9" s="4" t="n">
        <f aca="false">Assumptions!I43</f>
        <v>0.45</v>
      </c>
      <c r="J9" s="4" t="n">
        <f aca="false">Assumptions!J43</f>
        <v>0.45</v>
      </c>
      <c r="K9" s="4" t="n">
        <f aca="false">Assumptions!K43</f>
        <v>0.45</v>
      </c>
      <c r="L9" s="4" t="n">
        <f aca="false">Assumptions!L43</f>
        <v>0.45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-1358.118</v>
      </c>
      <c r="D10" s="0" t="n">
        <f aca="false">-D6*D9/100</f>
        <v>-1426.0239</v>
      </c>
      <c r="E10" s="0" t="n">
        <f aca="false">-E6*E9/100</f>
        <v>-1540.105812</v>
      </c>
      <c r="F10" s="0" t="n">
        <f aca="false">-F6*F9/100</f>
        <v>-1647.91321884</v>
      </c>
      <c r="G10" s="0" t="n">
        <f aca="false">-G6*G9/100</f>
        <v>-1746.7880119704</v>
      </c>
      <c r="H10" s="0" t="n">
        <f aca="false">-H6*H9/100</f>
        <v>-1799.19165232951</v>
      </c>
      <c r="I10" s="0" t="n">
        <f aca="false">-I6*I9/100</f>
        <v>-1763.20781928292</v>
      </c>
      <c r="J10" s="0" t="n">
        <f aca="false">-J6*J9/100</f>
        <v>-1763.20781928292</v>
      </c>
      <c r="K10" s="0" t="n">
        <f aca="false">-K6*K9/100</f>
        <v>-1816.10405386141</v>
      </c>
      <c r="L10" s="0" t="n">
        <f aca="false">-L6*L9/100</f>
        <v>-1870.58717547725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143507.802</v>
      </c>
      <c r="D11" s="0" t="n">
        <f aca="false">D8+D10+D24</f>
        <v>150683.1921</v>
      </c>
      <c r="E11" s="0" t="n">
        <f aca="false">E8+E10+E24</f>
        <v>166160.304828</v>
      </c>
      <c r="F11" s="0" t="n">
        <f aca="false">F8+F10+F24</f>
        <v>179622.54085356</v>
      </c>
      <c r="G11" s="0" t="n">
        <f aca="false">G8+G10+G24</f>
        <v>190399.893304774</v>
      </c>
      <c r="H11" s="0" t="n">
        <f aca="false">H8+H10+H24</f>
        <v>194112.788267995</v>
      </c>
      <c r="I11" s="0" t="n">
        <f aca="false">I8+I10+I24</f>
        <v>182394.053305822</v>
      </c>
      <c r="J11" s="0" t="n">
        <f aca="false">J8+J10+J24</f>
        <v>178475.813707416</v>
      </c>
      <c r="K11" s="0" t="n">
        <f aca="false">K8+K10+K24</f>
        <v>183830.088118638</v>
      </c>
      <c r="L11" s="0" t="n">
        <f aca="false">L8+L10+L24</f>
        <v>189344.990762197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-15090.2</v>
      </c>
      <c r="D12" s="4" t="n">
        <f aca="false">-D6*Assumptions!D45/100</f>
        <v>-17429.181</v>
      </c>
      <c r="E12" s="4" t="n">
        <f aca="false">-E6*Assumptions!E45/100</f>
        <v>-20534.74416</v>
      </c>
      <c r="F12" s="4" t="n">
        <f aca="false">-F6*Assumptions!F45/100</f>
        <v>-23803.1909388</v>
      </c>
      <c r="G12" s="4" t="n">
        <f aca="false">-G6*Assumptions!G45/100</f>
        <v>-25231.382395128</v>
      </c>
      <c r="H12" s="4" t="n">
        <f aca="false">-H6*Assumptions!H45/100</f>
        <v>-25988.3238669818</v>
      </c>
      <c r="I12" s="4" t="n">
        <f aca="false">-I6*Assumptions!I45/100</f>
        <v>-26644.0292691642</v>
      </c>
      <c r="J12" s="4" t="n">
        <f aca="false">-J6*Assumptions!J45/100</f>
        <v>-27427.6771888455</v>
      </c>
      <c r="K12" s="4" t="n">
        <f aca="false">-K6*Assumptions!K45/100</f>
        <v>-28250.5075045108</v>
      </c>
      <c r="L12" s="4" t="n">
        <f aca="false">-L6*Assumptions!L45/100</f>
        <v>-29098.0227296461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128417.602</v>
      </c>
      <c r="D13" s="0" t="n">
        <f aca="false">D11+D12</f>
        <v>133254.0111</v>
      </c>
      <c r="E13" s="0" t="n">
        <f aca="false">E11+E12</f>
        <v>145625.560668</v>
      </c>
      <c r="F13" s="0" t="n">
        <f aca="false">F11+F12</f>
        <v>155819.34991476</v>
      </c>
      <c r="G13" s="0" t="n">
        <f aca="false">G11+G12</f>
        <v>165168.510909646</v>
      </c>
      <c r="H13" s="0" t="n">
        <f aca="false">H11+H12</f>
        <v>168124.464401013</v>
      </c>
      <c r="I13" s="0" t="n">
        <f aca="false">I11+I12</f>
        <v>155750.024036658</v>
      </c>
      <c r="J13" s="0" t="n">
        <f aca="false">J11+J12</f>
        <v>151048.13651857</v>
      </c>
      <c r="K13" s="0" t="n">
        <f aca="false">K11+K12</f>
        <v>155579.580614127</v>
      </c>
      <c r="L13" s="0" t="n">
        <f aca="false">L11+L12</f>
        <v>160246.968032551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24</v>
      </c>
      <c r="D14" s="4" t="n">
        <f aca="false">Assumptions!D47</f>
        <v>22.5</v>
      </c>
      <c r="E14" s="4" t="n">
        <f aca="false">Assumptions!E47</f>
        <v>22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97597.37752</v>
      </c>
      <c r="D15" s="0" t="n">
        <f aca="false">D13-MAX(0,D13)*D14/100</f>
        <v>103271.8586025</v>
      </c>
      <c r="E15" s="0" t="n">
        <f aca="false">E13-MAX(0,E13)*E14/100</f>
        <v>113587.93732104</v>
      </c>
      <c r="F15" s="0" t="n">
        <f aca="false">F13-MAX(0,F13)*F14/100</f>
        <v>121539.092933513</v>
      </c>
      <c r="G15" s="0" t="n">
        <f aca="false">G13-MAX(0,G13)*G14/100</f>
        <v>128831.438509524</v>
      </c>
      <c r="H15" s="0" t="n">
        <f aca="false">H13-MAX(0,H13)*H14/100</f>
        <v>131137.08223279</v>
      </c>
      <c r="I15" s="0" t="n">
        <f aca="false">I13-MAX(0,I13)*I14/100</f>
        <v>121485.018748593</v>
      </c>
      <c r="J15" s="0" t="n">
        <f aca="false">J13-MAX(0,J13)*J14/100</f>
        <v>117817.546484485</v>
      </c>
      <c r="K15" s="0" t="n">
        <f aca="false">K13-MAX(0,K13)*K14/100</f>
        <v>121352.072879019</v>
      </c>
      <c r="L15" s="0" t="n">
        <f aca="false">L13-MAX(0,L13)*L14/100</f>
        <v>124992.63506539</v>
      </c>
    </row>
    <row r="16" customFormat="false" ht="15" hidden="false" customHeight="false" outlineLevel="0" collapsed="false">
      <c r="A16" s="0" t="s">
        <v>118</v>
      </c>
      <c r="C16" s="0" t="n">
        <f aca="false">-C12</f>
        <v>15090.2</v>
      </c>
      <c r="D16" s="0" t="n">
        <f aca="false">-D12</f>
        <v>17429.181</v>
      </c>
      <c r="E16" s="0" t="n">
        <f aca="false">-E12</f>
        <v>20534.74416</v>
      </c>
      <c r="F16" s="0" t="n">
        <f aca="false">-F12</f>
        <v>23803.1909388</v>
      </c>
      <c r="G16" s="0" t="n">
        <f aca="false">-G12</f>
        <v>25231.382395128</v>
      </c>
      <c r="H16" s="0" t="n">
        <f aca="false">-H12</f>
        <v>25988.3238669818</v>
      </c>
      <c r="I16" s="0" t="n">
        <f aca="false">-I12</f>
        <v>26644.0292691642</v>
      </c>
      <c r="J16" s="0" t="n">
        <f aca="false">-J12</f>
        <v>27427.6771888455</v>
      </c>
      <c r="K16" s="0" t="n">
        <f aca="false">-K12</f>
        <v>28250.5075045108</v>
      </c>
      <c r="L16" s="0" t="n">
        <f aca="false">-L12</f>
        <v>29098.0227296461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-57342.76</v>
      </c>
      <c r="D17" s="4" t="n">
        <f aca="false">-D6*Assumptions!D46/100</f>
        <v>-45949.659</v>
      </c>
      <c r="E17" s="4" t="n">
        <f aca="false">-E6*Assumptions!E46/100</f>
        <v>-39358.25964</v>
      </c>
      <c r="F17" s="4" t="n">
        <f aca="false">-F6*Assumptions!F46/100</f>
        <v>-34789.2790644</v>
      </c>
      <c r="G17" s="4" t="n">
        <f aca="false">-G6*Assumptions!G46/100</f>
        <v>-32994.884670552</v>
      </c>
      <c r="H17" s="4" t="n">
        <f aca="false">-H6*Assumptions!H46/100</f>
        <v>-31985.6293747469</v>
      </c>
      <c r="I17" s="4" t="n">
        <f aca="false">-I6*Assumptions!I46/100</f>
        <v>-31345.9167872519</v>
      </c>
      <c r="J17" s="4" t="n">
        <f aca="false">-J6*Assumptions!J46/100</f>
        <v>-31345.9167872519</v>
      </c>
      <c r="K17" s="4" t="n">
        <f aca="false">-K6*Assumptions!K46/100</f>
        <v>-32286.2942908695</v>
      </c>
      <c r="L17" s="4" t="n">
        <f aca="false">-L6*Assumptions!L46/100</f>
        <v>-33254.8831195956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459.6</v>
      </c>
      <c r="D18" s="4" t="n">
        <f aca="false">(D6-C6)*Assumptions!$B$51/100</f>
        <v>-1509.02</v>
      </c>
      <c r="E18" s="4" t="n">
        <f aca="false">(E6-D6)*Assumptions!$B$51/100</f>
        <v>-2535.1536</v>
      </c>
      <c r="F18" s="4" t="n">
        <f aca="false">(F6-E6)*Assumptions!$B$51/100</f>
        <v>-2395.720152</v>
      </c>
      <c r="G18" s="4" t="n">
        <f aca="false">(G6-F6)*Assumptions!$B$51/100</f>
        <v>-2197.21762512</v>
      </c>
      <c r="H18" s="4" t="n">
        <f aca="false">(H6-G6)*Assumptions!$B$51/100</f>
        <v>-1164.5253413136</v>
      </c>
      <c r="I18" s="4" t="n">
        <f aca="false">(I6-H6)*Assumptions!$B$51/100</f>
        <v>799.640734368673</v>
      </c>
      <c r="J18" s="4" t="n">
        <f aca="false">(J6-I6)*Assumptions!$B$51/100</f>
        <v>-0</v>
      </c>
      <c r="K18" s="4" t="n">
        <f aca="false">(K6-J6)*Assumptions!$B$51/100</f>
        <v>-1175.47187952195</v>
      </c>
      <c r="L18" s="4" t="n">
        <f aca="false">(L6-K6)*Assumptions!$B$51/100</f>
        <v>-1210.73603590761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55804.41752</v>
      </c>
      <c r="D19" s="0" t="n">
        <f aca="false">D15+D16+D17+D18</f>
        <v>73242.3606025</v>
      </c>
      <c r="E19" s="0" t="n">
        <f aca="false">E15+E16+E17+E18</f>
        <v>92229.26824104</v>
      </c>
      <c r="F19" s="0" t="n">
        <f aca="false">F15+F16+F17+F18</f>
        <v>108157.284655913</v>
      </c>
      <c r="G19" s="0" t="n">
        <f aca="false">G15+G16+G17+G18</f>
        <v>118870.71860898</v>
      </c>
      <c r="H19" s="0" t="n">
        <f aca="false">H15+H16+H17+H18</f>
        <v>123975.251383712</v>
      </c>
      <c r="I19" s="0" t="n">
        <f aca="false">I15+I16+I17+I18</f>
        <v>117582.771964874</v>
      </c>
      <c r="J19" s="0" t="n">
        <f aca="false">J15+J16+J17+J18</f>
        <v>113899.306886078</v>
      </c>
      <c r="K19" s="0" t="n">
        <f aca="false">K15+K16+K17+K18</f>
        <v>116140.814213139</v>
      </c>
      <c r="L19" s="0" t="n">
        <f aca="false">L15+L16+L17+L18</f>
        <v>119625.038639533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51911.0860651163</v>
      </c>
      <c r="D21" s="0" t="n">
        <f aca="false">D19*D20</f>
        <v>63379.0032255273</v>
      </c>
      <c r="E21" s="0" t="n">
        <f aca="false">E19*E20</f>
        <v>74240.9242887615</v>
      </c>
      <c r="F21" s="0" t="n">
        <f aca="false">F19*F20</f>
        <v>80988.2320495217</v>
      </c>
      <c r="G21" s="0" t="n">
        <f aca="false">G19*G20</f>
        <v>82800.4251807463</v>
      </c>
      <c r="H21" s="0" t="n">
        <f aca="false">H19*H20</f>
        <v>80331.1921386978</v>
      </c>
      <c r="I21" s="0" t="n">
        <f aca="false">I19*I20</f>
        <v>70873.5920629862</v>
      </c>
      <c r="J21" s="0" t="n">
        <f aca="false">J19*J20</f>
        <v>63863.5957529821</v>
      </c>
      <c r="K21" s="0" t="n">
        <f aca="false">K19*K20</f>
        <v>60577.1292255186</v>
      </c>
      <c r="L21" s="0" t="n">
        <f aca="false">L19*L20</f>
        <v>58041.3424207294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687006.522410587</v>
      </c>
    </row>
    <row r="31" customFormat="false" ht="15" hidden="false" customHeight="false" outlineLevel="0" collapsed="false">
      <c r="A31" s="0" t="s">
        <v>127</v>
      </c>
      <c r="B31" s="0" t="n">
        <f aca="false">L19</f>
        <v>119625.038639533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2452313.29211042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1674750.54095346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1674750.54095346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812578.793890212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1499585.3163008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1404440.3163008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47.6121395678151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0.275780802996117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11259.8446504646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18605.749567953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48.6246175091693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980925.31684417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21.3723963831115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17.3134671880508</v>
      </c>
      <c r="C4" s="0" t="n">
        <f aca="false">B4/Assumptions!$B$2-1</f>
        <v>-0.536080729151908</v>
      </c>
      <c r="D4" s="4" t="n">
        <f aca="false">Assumptions!$B$24</f>
        <v>0.25</v>
      </c>
      <c r="E4" s="4" t="n">
        <f aca="false">DCF_Bear!$B$43</f>
        <v>17.8437210005858</v>
      </c>
      <c r="F4" s="4" t="n">
        <f aca="false">DCF_Bear!$B$47</f>
        <v>7.90609530402021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31.6686943115333</v>
      </c>
      <c r="C5" s="0" t="n">
        <f aca="false">B5/Assumptions!$B$2-1</f>
        <v>-0.151428341062881</v>
      </c>
      <c r="D5" s="4" t="n">
        <f aca="false">Assumptions!$B$38</f>
        <v>0.5</v>
      </c>
      <c r="E5" s="4" t="n">
        <f aca="false">DCF_Base!$B$43</f>
        <v>32.4193733036084</v>
      </c>
      <c r="F5" s="4" t="n">
        <f aca="false">DCF_Base!$B$47</f>
        <v>14.3856505285091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47.6121395678151</v>
      </c>
      <c r="C6" s="0" t="n">
        <f aca="false">B6/Assumptions!$B$2-1</f>
        <v>0.275780802996117</v>
      </c>
      <c r="D6" s="4" t="n">
        <f aca="false">Assumptions!$B$52</f>
        <v>0.25</v>
      </c>
      <c r="E6" s="4" t="n">
        <f aca="false">DCF_Bull!$B$43</f>
        <v>48.6246175091693</v>
      </c>
      <c r="F6" s="4" t="n">
        <f aca="false">DCF_Bull!$B$47</f>
        <v>21.3723963831115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32.0657488447331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32.826771279243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-0.163858676144091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690.420008268363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14.5124481860375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31.6686943115333</v>
      </c>
      <c r="C15" s="3" t="n">
        <v>7.5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28.2361557104435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24.9684625866123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21.935878114465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19.4976703195636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14.3856505285091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37.0428617220114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37.0428617220114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37.0428617220114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37.0428617220114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37.0428617220114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34.231628954253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34.231628954253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34.231628954253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34.231628954253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34.231628954253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31.6686943115333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31.6686943115333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31.6686943115333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31.6686943115333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31.6686943115333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28.7307998574157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29.3291646847232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29.3291646847232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29.3291646847232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29.3291646847232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25.0232958574867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25.8474315627641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26.7814520287452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27.1908856576684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27.1908856576684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2026-10-03T23:59:39Z</dcterms:created>
  <dc:creator>openpyxl</dc:creator>
  <dc:description/>
  <dc:language>en-NZ</dc:language>
  <cp:lastModifiedBy/>
  <dcterms:modified xsi:type="dcterms:W3CDTF">2026-10-03T23:59:39Z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