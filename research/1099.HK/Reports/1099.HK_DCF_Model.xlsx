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<sst xmlns="http://schemas.openxmlformats.org/spreadsheetml/2006/main" count="361" uniqueCount="170">
  <si>
    <t xml:space="preserve">Ticker</t>
  </si>
  <si>
    <t xml:space="preserve">1099.HK</t>
  </si>
  <si>
    <t xml:space="preserve">Company</t>
  </si>
  <si>
    <t xml:space="preserve">Sinopharm Group Co. Ltd.</t>
  </si>
  <si>
    <t xml:space="preserve">Valuation date</t>
  </si>
  <si>
    <t xml:space="preserve">2026-10-12</t>
  </si>
  <si>
    <t xml:space="preserve">Current price</t>
  </si>
  <si>
    <t xml:space="preserve">Price as of</t>
  </si>
  <si>
    <t xml:space="preserve">2026-10-09T08:08:06Z (HKEX regular close, Friday; 52-week range 14.55-22.34)</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</si>
  <si>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</si>
  <si>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</si>
  <si>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</si>
  <si>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</si>
  <si>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</si>
  <si>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</si>
  <si>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</si>
  <si>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</si>
  <si>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</si>
  <si>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</si>
  <si>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</si>
  <si>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</si>
  <si>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</si>
  <si>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2026-10-11T16:43:57Z</t>
  </si>
  <si>
    <t xml:space="preserve">Drivers file</t>
  </si>
  <si>
    <t xml:space="preserve">1099.HK_Drivers.json</t>
  </si>
  <si>
    <t xml:space="preserve">Convention</t>
  </si>
  <si>
    <t xml:space="preserve">Percents stored as percents; formulas divide by 100. Blue = input, green = link, black = formula.</t>
  </si>
  <si>
    <t xml:space="preserve">Methodology</t>
  </si>
  <si>
    <t xml:space="preserve">summary: Value Sinopharm as a thin-margin, high-volume distributor whose cash generation is governed by three things the headline P&amp;L hides: the working capital that every yuan of growth consumes, the 34% of profit that belongs to minorities, and the structural VBP compression of spread. Flows are attributable and unlevered in RMB, leases are an operating cost, the seasonal peak in net debt is normalised explicitly in the bridge, and the terminal multiple is capped at 12x because the business is policy-regulated and slow. The result is converted to HKD at the quoted rate. The house and street bases coincide (no SBC).
key_risks_to_valuation: Net-debt seasonality: the June and December balance sheets differ by ~RMB28bn (~HK$10/share); the mid-point is used and both extremes are stated in inputs.net_debt_note.; NCI leakage is modelled as a flat 34% of profit; if minorities are bought out or their subsidiaries outgrow the parent's, the leakage and hence value move materially (each 1pp of leakage is ~HK$0.35/share).; Working-capital capture at 10% of incremental revenue is the observed marginal rate; the 20.6% balance-sheet ratio would roughly halve the value of growth.; Receivables of RMB236bn (June 2026) at 130+ days against public hospitals: a credit event or further DSO stretch is not in the base flows beyond the recurring ECL and derecognition losses already inside operating profit.; Terminal cap of 12x FCF implies ~10x attributable earnings against a 5.5x current P/E: half the base-case upside is a re-rating the market has refused for a decade (the bear case, at 9x, is the no-re-rate value).; CNY/HKD rate is a point estimate dated 2026-10-09; refresh_price.py does not move it.</t>
  </si>
  <si>
    <t xml:space="preserve">Data sources</t>
  </si>
  <si>
    <t xml:space="preserve">price: Yahoo Finance chart API at inputs.price_as_of; 52-week range 14.55-22.34 HKD. CNYHKD=X at the same timestamp.
financials: research/1099.HK/Reports/1099.HK_Metrics.csv and core_metrics/kpis (RMB thousands in the DB, millions here); FY2025 annual report (income statement, segment note p.149 for D&amp;A, note 21 associates, note 32 pledged deposits, net-debt note); H1 2026 interim report (balance sheet 30 Jun 2026, cash-flow reconciliation, note 12 finance costs, note 20 borrowings, note 21 leases).
qualitative: research/1099.HK/Reports/1099.HK_Analysis.json (2026-10-12): VBP policy path, innovative-drug growth, Guoda turnaround, receivables and gearing guidance.</t>
  </si>
  <si>
    <t xml:space="preserve">Scenario narrative: bear</t>
  </si>
  <si>
    <t xml:space="preserve">The 12th and later VBP batches, medical-insurance cost control and anti-corruption enforcement keep cutting both volume and spread: revenue falls ~8% cumulatively by FY2029 and EBITDA margin compresses to 2.75%. Hospital finances deteriorate under the macro slowdown, DSO lengthens further and ECL charges rise, so none of the working-capital release from a shrinking book reaches shareholders. SOE capital allocation keeps minorities' share of profit at 36%, and the H-share discount never closes: terminal value at 9x, the top of the stock's own 2016-26 range.</t>
  </si>
  <si>
    <t xml:space="preserve">Scenario narrative: base</t>
  </si>
  <si>
    <t xml:space="preserve">Sinopharm remains China's largest drug and device distributor through a multi-year policy squeeze. Revenue dips 1% in FY2026 and is flat in FY2027 as VBP batches 11-12 and 'red-and-yellow label' price governance shrink the generics base, then recovers to 2.5-3% as national-negotiated and innovative-drug distribution (+27-30% YoY in H1 2026), CSO/SPD services and prescription outflow to Guoda's specialty pharmacies outgrow the decline. Post-IFRS-16 EBITDA margin drifts from 3.53% to 3.25% because expense-ratio cuts recover most, not all, of the gross-margin erosion. Growth consumes 10% of incremental revenue in working capital, and 52.5% of EBIT leaks to cash tax and the 34% minorities. Terminal value capped at 12x attributable unlevered FCF.</t>
  </si>
  <si>
    <t xml:space="preserve">Scenario narrative: bull</t>
  </si>
  <si>
    <t xml:space="preserve">The compliance/traceability regime (QR-code settlement July 2025, full traceability-code upload January 2026) and the 'no VBP for innovative drugs' price-formation reform turn Sinopharm into the consolidation winner: share gains and the innovative-drug mix return revenue to 4-5% growth by FY2028, Guoda Drugstore moves from a RMB217m loss to profit, and the CSO/cold-chain mix lifts EBITDA margin to 3.6%. Receivables discipline (balance already -2.8% YoY in H1 2026) cuts the working-capital toll to 8%, gearing keeps falling, and the market pays 14x terminal FCF.</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</si>
  <si>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</si>
  <si>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</si>
  <si>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</si>
  <si>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</si>
  <si>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</si>
  <si>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</si>
  <si>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</si>
  <si>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</si>
  <si>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</si>
  <si>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</si>
  <si>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</si>
  <si>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</si>
  <si>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</si>
  <si>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</si>
  <si>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</si>
  <si>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</si>
  <si>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</si>
  <si>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</si>
  <si>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</si>
  <si>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</si>
  <si>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</si>
  <si>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</si>
  <si>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</si>
  <si>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</si>
  <si>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</si>
  <si>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</si>
  <si>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</si>
  <si>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InterestPaid</t>
  </si>
  <si>
    <t xml:space="preserve">LeasePrincipalPaid</t>
  </si>
  <si>
    <t xml:space="preserve">NetIncomeInclNCI</t>
  </si>
  <si>
    <t xml:space="preserve">TotalEquityInclNCI</t>
  </si>
  <si>
    <t xml:space="preserve">FY2017</t>
  </si>
  <si>
    <t xml:space="preserve">thousands</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</si>
  <si>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</si>
  <si>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</si>
  <si>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</si>
  <si>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</si>
  <si>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</si>
  <si>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</si>
  <si>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</si>
  <si>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</si>
  <si>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</si>
  <si>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</si>
  <si>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</si>
  <si>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</si>
  <si>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</si>
  <si>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</si>
  <si>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</si>
  <si>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</si>
  <si>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</si>
  <si>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</si>
  <si>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</si>
  <si>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</si>
  <si>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</si>
  <si>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</si>
  <si>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</si>
  <si>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</si>
  <si>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</si>
  <si>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</si>
  <si>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</si>
  <si>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</si>
  <si>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</si>
  <si>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</si>
  <si>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</si>
  <si>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</si>
  <si>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</si>
  <si>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</si>
  <si>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</si>
  <si>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</si>
  <si>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</si>
  <si>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</si>
  <si>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</si>
  <si>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</si>
  <si>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</si>
  <si>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</si>
  <si>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</si>
  <si>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</si>
  <si>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</si>
  <si>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1099.HK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</si>
  <si>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</si>
  <si>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</si>
  <si>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</si>
  <si>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</si>
  <si>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</si>
  <si>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</si>
  <si>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</si>
  <si>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</si>
  <si>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</si>
  <si>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</si>
  <si>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</si>
  <si>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</si>
  <si>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</si>
  <si>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</si>
  <si>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</si>
  <si>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</si>
  <si>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</si>
  <si>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</si>
  <si>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</si>
  <si>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</si>
  <si>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</si>
  <si>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</si>
  <si>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</si>
  <si>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</si>
  <si>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</si>
  <si>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</si>
  <si>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</si>
  <si>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</si>
  <si>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</si>
  <si>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</si>
  <si>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1099.HK owner-FCF component DCF: base case (millions, CNY)</t>
  </si>
  <si>
    <t xml:space="preserve">1099.HK owner-FCF component DCF: bull case (millions, CNY)</t>
  </si>
  <si>
    <t xml:space="preserve">1099.HK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</si>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</sst>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14.87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308353579</v>
      </c>
      <c r="C2" s="0" t="n">
        <v>282304714</v>
      </c>
      <c r="D2" s="0" t="n">
        <v>26048865</v>
      </c>
      <c r="E2" s="0" t="n">
        <v>8.4</v>
      </c>
      <c r="F2" s="0" t="n">
        <v>13140388</v>
      </c>
      <c r="G2" s="0" t="n">
        <v>4.3</v>
      </c>
      <c r="I2" s="0" t="n">
        <v>5575584</v>
      </c>
      <c r="J2" s="0" t="n">
        <v>1.8</v>
      </c>
      <c r="K2" s="0" t="n">
        <v>1.88</v>
      </c>
      <c r="L2" s="0" t="n">
        <v>3208668</v>
      </c>
      <c r="M2" s="0" t="n">
        <v>2217073</v>
      </c>
      <c r="N2" s="0" t="n">
        <v>991595</v>
      </c>
      <c r="O2" s="0" t="n">
        <v>38301481</v>
      </c>
      <c r="P2" s="0" t="n">
        <v>190693400</v>
      </c>
      <c r="Q2" s="0" t="n">
        <v>132746210</v>
      </c>
      <c r="R2" s="0" t="n">
        <v>37101298</v>
      </c>
      <c r="S2" s="0" t="n">
        <v>32240796</v>
      </c>
      <c r="T2" s="0" t="n">
        <v>2767095</v>
      </c>
      <c r="AA2" s="0" t="s">
        <v>69</v>
      </c>
      <c r="AB2" s="0" t="s">
        <v>14</v>
      </c>
      <c r="AE2" s="0" t="n">
        <v>8664978</v>
      </c>
      <c r="AF2" s="0" t="n">
        <v>57947190</v>
      </c>
    </row>
    <row r="3" customFormat="false" ht="15" hidden="false" customHeight="false" outlineLevel="0" collapsed="false">
      <c r="A3" s="0" t="s">
        <v>70</v>
      </c>
      <c r="B3" s="0" t="n">
        <v>344525821</v>
      </c>
      <c r="C3" s="0" t="n">
        <v>313297729</v>
      </c>
      <c r="D3" s="0" t="n">
        <v>31228092</v>
      </c>
      <c r="E3" s="0" t="n">
        <v>9.1</v>
      </c>
      <c r="F3" s="0" t="n">
        <v>15396806</v>
      </c>
      <c r="G3" s="0" t="n">
        <v>4.5</v>
      </c>
      <c r="I3" s="0" t="n">
        <v>5835842</v>
      </c>
      <c r="J3" s="0" t="n">
        <v>1.7</v>
      </c>
      <c r="K3" s="0" t="n">
        <v>1.97</v>
      </c>
      <c r="L3" s="0" t="n">
        <v>3653739</v>
      </c>
      <c r="M3" s="0" t="n">
        <v>3266030</v>
      </c>
      <c r="N3" s="0" t="n">
        <v>387709</v>
      </c>
      <c r="O3" s="0" t="n">
        <v>42821826</v>
      </c>
      <c r="P3" s="0" t="n">
        <v>235771077</v>
      </c>
      <c r="Q3" s="0" t="n">
        <v>167495310</v>
      </c>
      <c r="R3" s="0" t="n">
        <v>55036385</v>
      </c>
      <c r="S3" s="0" t="n">
        <v>40298985</v>
      </c>
      <c r="T3" s="0" t="n">
        <v>2971656</v>
      </c>
      <c r="AA3" s="0" t="s">
        <v>69</v>
      </c>
      <c r="AB3" s="0" t="s">
        <v>14</v>
      </c>
      <c r="AE3" s="0" t="n">
        <v>9404484</v>
      </c>
      <c r="AF3" s="0" t="n">
        <v>68275767</v>
      </c>
    </row>
    <row r="4" customFormat="false" ht="15" hidden="false" customHeight="false" outlineLevel="0" collapsed="false">
      <c r="A4" s="0" t="s">
        <v>71</v>
      </c>
      <c r="B4" s="0" t="n">
        <v>425272726</v>
      </c>
      <c r="C4" s="0" t="n">
        <v>387741423</v>
      </c>
      <c r="D4" s="0" t="n">
        <v>37531303</v>
      </c>
      <c r="E4" s="0" t="n">
        <v>8.8</v>
      </c>
      <c r="F4" s="0" t="n">
        <v>16136744</v>
      </c>
      <c r="G4" s="0" t="n">
        <v>3.8</v>
      </c>
      <c r="I4" s="0" t="n">
        <v>6252537</v>
      </c>
      <c r="J4" s="0" t="n">
        <v>1.5</v>
      </c>
      <c r="K4" s="0" t="n">
        <v>2.11</v>
      </c>
      <c r="L4" s="0" t="n">
        <v>18777096</v>
      </c>
      <c r="M4" s="0" t="n">
        <v>2366883</v>
      </c>
      <c r="N4" s="0" t="n">
        <v>16410213</v>
      </c>
      <c r="O4" s="0" t="n">
        <v>47422146</v>
      </c>
      <c r="P4" s="0" t="n">
        <v>269888371</v>
      </c>
      <c r="Q4" s="0" t="n">
        <v>192949004</v>
      </c>
      <c r="R4" s="0" t="n">
        <v>50849565</v>
      </c>
      <c r="S4" s="0" t="n">
        <v>39191967</v>
      </c>
      <c r="T4" s="0" t="n">
        <v>2971656</v>
      </c>
      <c r="AA4" s="0" t="s">
        <v>69</v>
      </c>
      <c r="AB4" s="0" t="s">
        <v>14</v>
      </c>
      <c r="AF4" s="0" t="n">
        <v>76939367</v>
      </c>
    </row>
    <row r="5" customFormat="false" ht="15" hidden="false" customHeight="false" outlineLevel="0" collapsed="false">
      <c r="A5" s="0" t="s">
        <v>72</v>
      </c>
      <c r="B5" s="0" t="n">
        <v>456414611</v>
      </c>
      <c r="C5" s="0" t="n">
        <v>416091300</v>
      </c>
      <c r="D5" s="0" t="n">
        <v>40323311</v>
      </c>
      <c r="E5" s="0" t="n">
        <v>8.8</v>
      </c>
      <c r="F5" s="0" t="n">
        <v>17759975</v>
      </c>
      <c r="G5" s="0" t="n">
        <v>3.9</v>
      </c>
      <c r="I5" s="0" t="n">
        <v>7187278</v>
      </c>
      <c r="J5" s="0" t="n">
        <v>1.6</v>
      </c>
      <c r="K5" s="0" t="n">
        <v>2.31</v>
      </c>
      <c r="L5" s="0" t="n">
        <v>11154609</v>
      </c>
      <c r="M5" s="0" t="n">
        <v>2062995</v>
      </c>
      <c r="N5" s="0" t="n">
        <v>9091614</v>
      </c>
      <c r="O5" s="0" t="n">
        <v>56358845</v>
      </c>
      <c r="P5" s="0" t="n">
        <v>311236706</v>
      </c>
      <c r="Q5" s="0" t="n">
        <v>221289385</v>
      </c>
      <c r="R5" s="0" t="n">
        <v>63877680</v>
      </c>
      <c r="S5" s="0" t="n">
        <v>50178265</v>
      </c>
      <c r="T5" s="0" t="n">
        <v>3120656</v>
      </c>
      <c r="AA5" s="0" t="s">
        <v>69</v>
      </c>
      <c r="AB5" s="0" t="s">
        <v>14</v>
      </c>
      <c r="AE5" s="0" t="n">
        <v>12097291</v>
      </c>
      <c r="AF5" s="0" t="n">
        <v>89947321</v>
      </c>
    </row>
    <row r="6" customFormat="false" ht="15" hidden="false" customHeight="false" outlineLevel="0" collapsed="false">
      <c r="A6" s="0" t="s">
        <v>73</v>
      </c>
      <c r="B6" s="0" t="n">
        <v>521051235</v>
      </c>
      <c r="C6" s="0" t="n">
        <v>477000627</v>
      </c>
      <c r="D6" s="0" t="n">
        <v>44050608</v>
      </c>
      <c r="E6" s="0" t="n">
        <v>8.5</v>
      </c>
      <c r="F6" s="0" t="n">
        <v>19711976</v>
      </c>
      <c r="G6" s="0" t="n">
        <v>3.8</v>
      </c>
      <c r="I6" s="0" t="n">
        <v>7758646</v>
      </c>
      <c r="J6" s="0" t="n">
        <v>1.5</v>
      </c>
      <c r="K6" s="0" t="n">
        <v>2.49</v>
      </c>
      <c r="L6" s="0" t="n">
        <v>9308085</v>
      </c>
      <c r="M6" s="0" t="n">
        <v>2232802</v>
      </c>
      <c r="N6" s="0" t="n">
        <v>7075283</v>
      </c>
      <c r="O6" s="0" t="n">
        <v>61886015</v>
      </c>
      <c r="P6" s="0" t="n">
        <v>335412321</v>
      </c>
      <c r="Q6" s="0" t="n">
        <v>235758386</v>
      </c>
      <c r="R6" s="0" t="n">
        <v>63570330</v>
      </c>
      <c r="S6" s="0" t="n">
        <v>43529428</v>
      </c>
      <c r="T6" s="0" t="n">
        <v>3120656</v>
      </c>
      <c r="AA6" s="0" t="s">
        <v>69</v>
      </c>
      <c r="AB6" s="0" t="s">
        <v>14</v>
      </c>
      <c r="AE6" s="0" t="n">
        <v>13064773</v>
      </c>
      <c r="AF6" s="0" t="n">
        <v>99653935</v>
      </c>
    </row>
    <row r="7" customFormat="false" ht="15" hidden="false" customHeight="false" outlineLevel="0" collapsed="false">
      <c r="A7" s="0" t="s">
        <v>74</v>
      </c>
      <c r="B7" s="0" t="n">
        <v>552147550</v>
      </c>
      <c r="C7" s="0" t="n">
        <v>504713490</v>
      </c>
      <c r="D7" s="0" t="n">
        <v>47434060</v>
      </c>
      <c r="E7" s="0" t="n">
        <v>8.6</v>
      </c>
      <c r="F7" s="0" t="n">
        <v>20604466</v>
      </c>
      <c r="G7" s="0" t="n">
        <v>3.7</v>
      </c>
      <c r="I7" s="0" t="n">
        <v>8525655</v>
      </c>
      <c r="J7" s="0" t="n">
        <v>1.5</v>
      </c>
      <c r="K7" s="0" t="n">
        <v>2.73</v>
      </c>
      <c r="L7" s="0" t="n">
        <v>20963787</v>
      </c>
      <c r="M7" s="0" t="n">
        <v>2320214</v>
      </c>
      <c r="N7" s="0" t="n">
        <v>18643573</v>
      </c>
      <c r="O7" s="0" t="n">
        <v>68068559</v>
      </c>
      <c r="P7" s="0" t="n">
        <v>364775134</v>
      </c>
      <c r="Q7" s="0" t="n">
        <v>254705944</v>
      </c>
      <c r="R7" s="0" t="n">
        <v>64747679</v>
      </c>
      <c r="S7" s="0" t="n">
        <v>55221624</v>
      </c>
      <c r="T7" s="0" t="n">
        <v>3120656</v>
      </c>
      <c r="AA7" s="0" t="s">
        <v>69</v>
      </c>
      <c r="AB7" s="0" t="s">
        <v>14</v>
      </c>
      <c r="AE7" s="0" t="n">
        <v>14345442</v>
      </c>
      <c r="AF7" s="0" t="n">
        <v>110069190</v>
      </c>
    </row>
    <row r="8" customFormat="false" ht="15" hidden="false" customHeight="false" outlineLevel="0" collapsed="false">
      <c r="A8" s="0" t="s">
        <v>75</v>
      </c>
      <c r="B8" s="0" t="n">
        <v>596569565</v>
      </c>
      <c r="C8" s="0" t="n">
        <v>548057887</v>
      </c>
      <c r="D8" s="0" t="n">
        <v>48511678</v>
      </c>
      <c r="E8" s="0" t="n">
        <v>8.1</v>
      </c>
      <c r="F8" s="0" t="n">
        <v>20209195</v>
      </c>
      <c r="G8" s="0" t="n">
        <v>3.4</v>
      </c>
      <c r="I8" s="0" t="n">
        <v>9053760</v>
      </c>
      <c r="J8" s="0" t="n">
        <v>1.5</v>
      </c>
      <c r="K8" s="0" t="n">
        <v>2.9</v>
      </c>
      <c r="L8" s="0" t="n">
        <v>17173030</v>
      </c>
      <c r="M8" s="0" t="n">
        <v>2283578</v>
      </c>
      <c r="N8" s="0" t="n">
        <v>14889452</v>
      </c>
      <c r="O8" s="0" t="n">
        <v>74582217</v>
      </c>
      <c r="P8" s="0" t="n">
        <v>383394844</v>
      </c>
      <c r="Q8" s="0" t="n">
        <v>263076099</v>
      </c>
      <c r="R8" s="0" t="n">
        <v>68564486</v>
      </c>
      <c r="S8" s="0" t="n">
        <v>63808538</v>
      </c>
      <c r="T8" s="0" t="n">
        <v>3120656</v>
      </c>
      <c r="AA8" s="0" t="s">
        <v>69</v>
      </c>
      <c r="AB8" s="0" t="s">
        <v>14</v>
      </c>
      <c r="AE8" s="0" t="n">
        <v>15009828</v>
      </c>
      <c r="AF8" s="0" t="n">
        <v>120318745</v>
      </c>
    </row>
    <row r="9" customFormat="false" ht="15" hidden="false" customHeight="false" outlineLevel="0" collapsed="false">
      <c r="A9" s="0" t="s">
        <v>76</v>
      </c>
      <c r="B9" s="0" t="n">
        <v>584507930</v>
      </c>
      <c r="C9" s="0" t="n">
        <v>540252540</v>
      </c>
      <c r="D9" s="0" t="n">
        <v>44255390</v>
      </c>
      <c r="E9" s="0" t="n">
        <v>7.6</v>
      </c>
      <c r="F9" s="0" t="n">
        <v>16188403</v>
      </c>
      <c r="G9" s="0" t="n">
        <v>2.8</v>
      </c>
      <c r="I9" s="0" t="n">
        <v>7049683</v>
      </c>
      <c r="J9" s="0" t="n">
        <v>1.2</v>
      </c>
      <c r="K9" s="0" t="n">
        <v>2.26</v>
      </c>
      <c r="L9" s="0" t="n">
        <v>11546015</v>
      </c>
      <c r="M9" s="0" t="n">
        <v>1738424</v>
      </c>
      <c r="N9" s="0" t="n">
        <v>9807591</v>
      </c>
      <c r="O9" s="0" t="n">
        <v>78883795</v>
      </c>
      <c r="P9" s="0" t="n">
        <v>392831244</v>
      </c>
      <c r="Q9" s="0" t="n">
        <v>266143942</v>
      </c>
      <c r="R9" s="0" t="n">
        <v>71366279</v>
      </c>
      <c r="S9" s="0" t="n">
        <v>54313359</v>
      </c>
      <c r="T9" s="0" t="n">
        <v>3120656</v>
      </c>
      <c r="AA9" s="0" t="s">
        <v>69</v>
      </c>
      <c r="AB9" s="0" t="s">
        <v>14</v>
      </c>
      <c r="AC9" s="0" t="n">
        <v>3321966</v>
      </c>
      <c r="AD9" s="0" t="n">
        <v>2204281</v>
      </c>
      <c r="AE9" s="0" t="n">
        <v>10423594</v>
      </c>
      <c r="AF9" s="0" t="n">
        <v>126687302</v>
      </c>
    </row>
    <row r="10" customFormat="false" ht="15" hidden="false" customHeight="false" outlineLevel="0" collapsed="false">
      <c r="A10" s="0" t="s">
        <v>77</v>
      </c>
      <c r="B10" s="0" t="n">
        <v>575167877</v>
      </c>
      <c r="C10" s="0" t="n">
        <v>533495864</v>
      </c>
      <c r="D10" s="0" t="n">
        <v>41672013</v>
      </c>
      <c r="E10" s="0" t="n">
        <v>7.2</v>
      </c>
      <c r="F10" s="0" t="n">
        <v>16038224</v>
      </c>
      <c r="G10" s="0" t="n">
        <v>2.8</v>
      </c>
      <c r="I10" s="0" t="n">
        <v>7155094</v>
      </c>
      <c r="J10" s="0" t="n">
        <v>1.2</v>
      </c>
      <c r="K10" s="0" t="n">
        <v>2.29</v>
      </c>
      <c r="L10" s="0" t="n">
        <v>14138206</v>
      </c>
      <c r="M10" s="0" t="n">
        <v>1604208</v>
      </c>
      <c r="N10" s="0" t="n">
        <v>12533998</v>
      </c>
      <c r="O10" s="0" t="n">
        <v>83953384</v>
      </c>
      <c r="P10" s="0" t="n">
        <v>390361212</v>
      </c>
      <c r="Q10" s="0" t="n">
        <v>256201470</v>
      </c>
      <c r="R10" s="0" t="n">
        <v>66966648</v>
      </c>
      <c r="S10" s="0" t="n">
        <v>48796132</v>
      </c>
      <c r="T10" s="0" t="n">
        <v>3120656</v>
      </c>
      <c r="AA10" s="0" t="s">
        <v>69</v>
      </c>
      <c r="AB10" s="0" t="s">
        <v>14</v>
      </c>
      <c r="AC10" s="0" t="n">
        <v>2474410</v>
      </c>
      <c r="AD10" s="0" t="n">
        <v>1986147</v>
      </c>
      <c r="AE10" s="0" t="n">
        <v>10834434</v>
      </c>
      <c r="AF10" s="0" t="n">
        <v>134159742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14.87</v>
      </c>
    </row>
    <row r="3" customFormat="false" ht="15" hidden="false" customHeight="false" outlineLevel="0" collapsed="false">
      <c r="A3" s="0" t="s">
        <v>81</v>
      </c>
      <c r="B3" s="3" t="n">
        <v>3120.656</v>
      </c>
    </row>
    <row r="4" customFormat="false" ht="15" hidden="false" customHeight="false" outlineLevel="0" collapsed="false">
      <c r="A4" s="0" t="s">
        <v>82</v>
      </c>
      <c r="B4" s="3" t="n">
        <v>46609.319</v>
      </c>
    </row>
    <row r="5" customFormat="false" ht="15" hidden="false" customHeight="false" outlineLevel="0" collapsed="false">
      <c r="A5" s="0" t="s">
        <v>83</v>
      </c>
      <c r="B5" s="3" t="n">
        <v>19429</v>
      </c>
    </row>
    <row r="6" customFormat="false" ht="15" hidden="false" customHeight="false" outlineLevel="0" collapsed="false">
      <c r="A6" s="0" t="s">
        <v>84</v>
      </c>
      <c r="B6" s="3" t="n">
        <v>15</v>
      </c>
    </row>
    <row r="7" customFormat="false" ht="15" hidden="false" customHeight="false" outlineLevel="0" collapsed="false">
      <c r="A7" s="0" t="s">
        <v>85</v>
      </c>
      <c r="B7" s="3" t="n">
        <v>575167.877</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1.1722</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-2.5</v>
      </c>
      <c r="D13" s="3" t="n">
        <v>-3</v>
      </c>
      <c r="E13" s="3" t="n">
        <v>-2</v>
      </c>
      <c r="F13" s="3" t="n">
        <v>-1</v>
      </c>
      <c r="G13" s="3" t="n">
        <v>0</v>
      </c>
      <c r="H13" s="3" t="n">
        <v>0.5</v>
      </c>
      <c r="I13" s="3" t="n">
        <v>1</v>
      </c>
      <c r="J13" s="3" t="n">
        <v>1</v>
      </c>
      <c r="K13" s="3" t="n">
        <v>1</v>
      </c>
      <c r="L13" s="3" t="n">
        <v>1</v>
      </c>
    </row>
    <row r="14" customFormat="false" ht="15" hidden="false" customHeight="false" outlineLevel="0" collapsed="false">
      <c r="A14" s="0" t="s">
        <v>102</v>
      </c>
      <c r="C14" s="3" t="n">
        <v>3.3</v>
      </c>
      <c r="D14" s="3" t="n">
        <v>3.15</v>
      </c>
      <c r="E14" s="3" t="n">
        <v>3</v>
      </c>
      <c r="F14" s="3" t="n">
        <v>2.9</v>
      </c>
      <c r="G14" s="3" t="n">
        <v>2.8</v>
      </c>
      <c r="H14" s="3" t="n">
        <v>2.75</v>
      </c>
      <c r="I14" s="3" t="n">
        <v>2.75</v>
      </c>
      <c r="J14" s="3" t="n">
        <v>2.75</v>
      </c>
      <c r="K14" s="3" t="n">
        <v>2.75</v>
      </c>
      <c r="L14" s="3" t="n">
        <v>2.75</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0.37</v>
      </c>
      <c r="D16" s="3" t="n">
        <v>0.37</v>
      </c>
      <c r="E16" s="3" t="n">
        <v>0.37</v>
      </c>
      <c r="F16" s="3" t="n">
        <v>0.37</v>
      </c>
      <c r="G16" s="3" t="n">
        <v>0.37</v>
      </c>
      <c r="H16" s="3" t="n">
        <v>0.37</v>
      </c>
      <c r="I16" s="3" t="n">
        <v>0.37</v>
      </c>
      <c r="J16" s="3" t="n">
        <v>0.37</v>
      </c>
      <c r="K16" s="3" t="n">
        <v>0.37</v>
      </c>
      <c r="L16" s="3" t="n">
        <v>0.37</v>
      </c>
    </row>
    <row r="17" customFormat="false" ht="15" hidden="false" customHeight="false" outlineLevel="0" collapsed="false">
      <c r="A17" s="0" t="s">
        <v>105</v>
      </c>
      <c r="C17" s="3" t="n">
        <v>0.38</v>
      </c>
      <c r="D17" s="3" t="n">
        <v>0.38</v>
      </c>
      <c r="E17" s="3" t="n">
        <v>0.38</v>
      </c>
      <c r="F17" s="3" t="n">
        <v>0.38</v>
      </c>
      <c r="G17" s="3" t="n">
        <v>0.38</v>
      </c>
      <c r="H17" s="3" t="n">
        <v>0.38</v>
      </c>
      <c r="I17" s="3" t="n">
        <v>0.38</v>
      </c>
      <c r="J17" s="3" t="n">
        <v>0.38</v>
      </c>
      <c r="K17" s="3" t="n">
        <v>0.38</v>
      </c>
      <c r="L17" s="3" t="n">
        <v>0.38</v>
      </c>
    </row>
    <row r="18" customFormat="false" ht="15" hidden="false" customHeight="false" outlineLevel="0" collapsed="false">
      <c r="A18" s="0" t="s">
        <v>106</v>
      </c>
      <c r="C18" s="3" t="n">
        <v>0.3</v>
      </c>
      <c r="D18" s="3" t="n">
        <v>0.31</v>
      </c>
      <c r="E18" s="3" t="n">
        <v>0.32</v>
      </c>
      <c r="F18" s="3" t="n">
        <v>0.33</v>
      </c>
      <c r="G18" s="3" t="n">
        <v>0.34</v>
      </c>
      <c r="H18" s="3" t="n">
        <v>0.35</v>
      </c>
      <c r="I18" s="3" t="n">
        <v>0.35</v>
      </c>
      <c r="J18" s="3" t="n">
        <v>0.35</v>
      </c>
      <c r="K18" s="3" t="n">
        <v>0.35</v>
      </c>
      <c r="L18" s="3" t="n">
        <v>0.35</v>
      </c>
    </row>
    <row r="19" customFormat="false" ht="15" hidden="false" customHeight="false" outlineLevel="0" collapsed="false">
      <c r="A19" s="0" t="s">
        <v>107</v>
      </c>
      <c r="C19" s="3" t="n">
        <v>54</v>
      </c>
      <c r="D19" s="3" t="n">
        <v>54</v>
      </c>
      <c r="E19" s="3" t="n">
        <v>54</v>
      </c>
      <c r="F19" s="3" t="n">
        <v>54</v>
      </c>
      <c r="G19" s="3" t="n">
        <v>54</v>
      </c>
      <c r="H19" s="3" t="n">
        <v>54</v>
      </c>
      <c r="I19" s="3" t="n">
        <v>54</v>
      </c>
      <c r="J19" s="3" t="n">
        <v>54</v>
      </c>
      <c r="K19" s="3" t="n">
        <v>54</v>
      </c>
      <c r="L19" s="3" t="n">
        <v>54</v>
      </c>
    </row>
    <row r="20" customFormat="false" ht="15" hidden="false" customHeight="false" outlineLevel="0" collapsed="false">
      <c r="A20" s="0" t="s">
        <v>108</v>
      </c>
      <c r="B20" s="3" t="n">
        <v>7</v>
      </c>
    </row>
    <row r="21" customFormat="false" ht="15" hidden="false" customHeight="false" outlineLevel="0" collapsed="false">
      <c r="A21" s="0" t="s">
        <v>109</v>
      </c>
      <c r="B21" s="3" t="n">
        <v>1.5</v>
      </c>
    </row>
    <row r="22" customFormat="false" ht="15" hidden="false" customHeight="false" outlineLevel="0" collapsed="false">
      <c r="A22" s="0" t="s">
        <v>110</v>
      </c>
      <c r="B22" s="3" t="n">
        <v>9</v>
      </c>
    </row>
    <row r="23" customFormat="false" ht="15" hidden="false" customHeight="false" outlineLevel="0" collapsed="false">
      <c r="A23" s="0" t="s">
        <v>111</v>
      </c>
      <c r="B23" s="3" t="n">
        <v>0</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v>
      </c>
      <c r="D27" s="3" t="n">
        <v>0</v>
      </c>
      <c r="E27" s="3" t="n">
        <v>1.5</v>
      </c>
      <c r="F27" s="3" t="n">
        <v>2.5</v>
      </c>
      <c r="G27" s="3" t="n">
        <v>3</v>
      </c>
      <c r="H27" s="3" t="n">
        <v>3</v>
      </c>
      <c r="I27" s="3" t="n">
        <v>3</v>
      </c>
      <c r="J27" s="3" t="n">
        <v>2.5</v>
      </c>
      <c r="K27" s="3" t="n">
        <v>2.5</v>
      </c>
      <c r="L27" s="3" t="n">
        <v>2.5</v>
      </c>
    </row>
    <row r="28" customFormat="false" ht="15" hidden="false" customHeight="false" outlineLevel="0" collapsed="false">
      <c r="A28" s="0" t="s">
        <v>102</v>
      </c>
      <c r="C28" s="3" t="n">
        <v>3.38</v>
      </c>
      <c r="D28" s="3" t="n">
        <v>3.32</v>
      </c>
      <c r="E28" s="3" t="n">
        <v>3.28</v>
      </c>
      <c r="F28" s="3" t="n">
        <v>3.25</v>
      </c>
      <c r="G28" s="3" t="n">
        <v>3.25</v>
      </c>
      <c r="H28" s="3" t="n">
        <v>3.25</v>
      </c>
      <c r="I28" s="3" t="n">
        <v>3.25</v>
      </c>
      <c r="J28" s="3" t="n">
        <v>3.25</v>
      </c>
      <c r="K28" s="3" t="n">
        <v>3.25</v>
      </c>
      <c r="L28" s="3" t="n">
        <v>3.25</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0.36</v>
      </c>
      <c r="D30" s="3" t="n">
        <v>0.36</v>
      </c>
      <c r="E30" s="3" t="n">
        <v>0.36</v>
      </c>
      <c r="F30" s="3" t="n">
        <v>0.36</v>
      </c>
      <c r="G30" s="3" t="n">
        <v>0.36</v>
      </c>
      <c r="H30" s="3" t="n">
        <v>0.36</v>
      </c>
      <c r="I30" s="3" t="n">
        <v>0.36</v>
      </c>
      <c r="J30" s="3" t="n">
        <v>0.36</v>
      </c>
      <c r="K30" s="3" t="n">
        <v>0.36</v>
      </c>
      <c r="L30" s="3" t="n">
        <v>0.36</v>
      </c>
    </row>
    <row r="31" customFormat="false" ht="15" hidden="false" customHeight="false" outlineLevel="0" collapsed="false">
      <c r="A31" s="0" t="s">
        <v>105</v>
      </c>
      <c r="C31" s="3" t="n">
        <v>0.38</v>
      </c>
      <c r="D31" s="3" t="n">
        <v>0.38</v>
      </c>
      <c r="E31" s="3" t="n">
        <v>0.38</v>
      </c>
      <c r="F31" s="3" t="n">
        <v>0.38</v>
      </c>
      <c r="G31" s="3" t="n">
        <v>0.38</v>
      </c>
      <c r="H31" s="3" t="n">
        <v>0.38</v>
      </c>
      <c r="I31" s="3" t="n">
        <v>0.38</v>
      </c>
      <c r="J31" s="3" t="n">
        <v>0.38</v>
      </c>
      <c r="K31" s="3" t="n">
        <v>0.38</v>
      </c>
      <c r="L31" s="3" t="n">
        <v>0.38</v>
      </c>
    </row>
    <row r="32" customFormat="false" ht="15" hidden="false" customHeight="false" outlineLevel="0" collapsed="false">
      <c r="A32" s="0" t="s">
        <v>106</v>
      </c>
      <c r="C32" s="3" t="n">
        <v>0.3</v>
      </c>
      <c r="D32" s="3" t="n">
        <v>0.31</v>
      </c>
      <c r="E32" s="3" t="n">
        <v>0.32</v>
      </c>
      <c r="F32" s="3" t="n">
        <v>0.33</v>
      </c>
      <c r="G32" s="3" t="n">
        <v>0.34</v>
      </c>
      <c r="H32" s="3" t="n">
        <v>0.35</v>
      </c>
      <c r="I32" s="3" t="n">
        <v>0.35</v>
      </c>
      <c r="J32" s="3" t="n">
        <v>0.35</v>
      </c>
      <c r="K32" s="3" t="n">
        <v>0.35</v>
      </c>
      <c r="L32" s="3" t="n">
        <v>0.35</v>
      </c>
    </row>
    <row r="33" customFormat="false" ht="15" hidden="false" customHeight="false" outlineLevel="0" collapsed="false">
      <c r="A33" s="0" t="s">
        <v>107</v>
      </c>
      <c r="C33" s="3" t="n">
        <v>52.5</v>
      </c>
      <c r="D33" s="3" t="n">
        <v>52.5</v>
      </c>
      <c r="E33" s="3" t="n">
        <v>52.5</v>
      </c>
      <c r="F33" s="3" t="n">
        <v>52.5</v>
      </c>
      <c r="G33" s="3" t="n">
        <v>52.5</v>
      </c>
      <c r="H33" s="3" t="n">
        <v>52.5</v>
      </c>
      <c r="I33" s="3" t="n">
        <v>52.5</v>
      </c>
      <c r="J33" s="3" t="n">
        <v>52.5</v>
      </c>
      <c r="K33" s="3" t="n">
        <v>52.5</v>
      </c>
      <c r="L33" s="3" t="n">
        <v>52.5</v>
      </c>
    </row>
    <row r="34" customFormat="false" ht="15" hidden="false" customHeight="false" outlineLevel="0" collapsed="false">
      <c r="A34" s="0" t="s">
        <v>108</v>
      </c>
      <c r="B34" s="3" t="n">
        <v>7</v>
      </c>
    </row>
    <row r="35" customFormat="false" ht="15" hidden="false" customHeight="false" outlineLevel="0" collapsed="false">
      <c r="A35" s="0" t="s">
        <v>109</v>
      </c>
      <c r="B35" s="3" t="n">
        <v>2</v>
      </c>
    </row>
    <row r="36" customFormat="false" ht="15" hidden="false" customHeight="false" outlineLevel="0" collapsed="false">
      <c r="A36" s="0" t="s">
        <v>110</v>
      </c>
      <c r="B36" s="3" t="n">
        <v>12</v>
      </c>
    </row>
    <row r="37" customFormat="false" ht="15" hidden="false" customHeight="false" outlineLevel="0" collapsed="false">
      <c r="A37" s="0" t="s">
        <v>111</v>
      </c>
      <c r="B37" s="3" t="n">
        <v>-10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0</v>
      </c>
      <c r="D41" s="3" t="n">
        <v>2</v>
      </c>
      <c r="E41" s="3" t="n">
        <v>4</v>
      </c>
      <c r="F41" s="3" t="n">
        <v>5</v>
      </c>
      <c r="G41" s="3" t="n">
        <v>5</v>
      </c>
      <c r="H41" s="3" t="n">
        <v>4.5</v>
      </c>
      <c r="I41" s="3" t="n">
        <v>4</v>
      </c>
      <c r="J41" s="3" t="n">
        <v>3.5</v>
      </c>
      <c r="K41" s="3" t="n">
        <v>3</v>
      </c>
      <c r="L41" s="3" t="n">
        <v>3</v>
      </c>
    </row>
    <row r="42" customFormat="false" ht="15" hidden="false" customHeight="false" outlineLevel="0" collapsed="false">
      <c r="A42" s="0" t="s">
        <v>102</v>
      </c>
      <c r="C42" s="3" t="n">
        <v>3.42</v>
      </c>
      <c r="D42" s="3" t="n">
        <v>3.45</v>
      </c>
      <c r="E42" s="3" t="n">
        <v>3.5</v>
      </c>
      <c r="F42" s="3" t="n">
        <v>3.55</v>
      </c>
      <c r="G42" s="3" t="n">
        <v>3.6</v>
      </c>
      <c r="H42" s="3" t="n">
        <v>3.6</v>
      </c>
      <c r="I42" s="3" t="n">
        <v>3.6</v>
      </c>
      <c r="J42" s="3" t="n">
        <v>3.6</v>
      </c>
      <c r="K42" s="3" t="n">
        <v>3.6</v>
      </c>
      <c r="L42" s="3" t="n">
        <v>3.6</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0.35</v>
      </c>
      <c r="D44" s="3" t="n">
        <v>0.35</v>
      </c>
      <c r="E44" s="3" t="n">
        <v>0.35</v>
      </c>
      <c r="F44" s="3" t="n">
        <v>0.35</v>
      </c>
      <c r="G44" s="3" t="n">
        <v>0.35</v>
      </c>
      <c r="H44" s="3" t="n">
        <v>0.35</v>
      </c>
      <c r="I44" s="3" t="n">
        <v>0.35</v>
      </c>
      <c r="J44" s="3" t="n">
        <v>0.35</v>
      </c>
      <c r="K44" s="3" t="n">
        <v>0.35</v>
      </c>
      <c r="L44" s="3" t="n">
        <v>0.35</v>
      </c>
    </row>
    <row r="45" customFormat="false" ht="15" hidden="false" customHeight="false" outlineLevel="0" collapsed="false">
      <c r="A45" s="0" t="s">
        <v>105</v>
      </c>
      <c r="C45" s="3" t="n">
        <v>0.38</v>
      </c>
      <c r="D45" s="3" t="n">
        <v>0.38</v>
      </c>
      <c r="E45" s="3" t="n">
        <v>0.38</v>
      </c>
      <c r="F45" s="3" t="n">
        <v>0.38</v>
      </c>
      <c r="G45" s="3" t="n">
        <v>0.38</v>
      </c>
      <c r="H45" s="3" t="n">
        <v>0.38</v>
      </c>
      <c r="I45" s="3" t="n">
        <v>0.38</v>
      </c>
      <c r="J45" s="3" t="n">
        <v>0.38</v>
      </c>
      <c r="K45" s="3" t="n">
        <v>0.38</v>
      </c>
      <c r="L45" s="3" t="n">
        <v>0.38</v>
      </c>
    </row>
    <row r="46" customFormat="false" ht="15" hidden="false" customHeight="false" outlineLevel="0" collapsed="false">
      <c r="A46" s="0" t="s">
        <v>106</v>
      </c>
      <c r="C46" s="3" t="n">
        <v>0.3</v>
      </c>
      <c r="D46" s="3" t="n">
        <v>0.31</v>
      </c>
      <c r="E46" s="3" t="n">
        <v>0.32</v>
      </c>
      <c r="F46" s="3" t="n">
        <v>0.33</v>
      </c>
      <c r="G46" s="3" t="n">
        <v>0.34</v>
      </c>
      <c r="H46" s="3" t="n">
        <v>0.35</v>
      </c>
      <c r="I46" s="3" t="n">
        <v>0.35</v>
      </c>
      <c r="J46" s="3" t="n">
        <v>0.35</v>
      </c>
      <c r="K46" s="3" t="n">
        <v>0.35</v>
      </c>
      <c r="L46" s="3" t="n">
        <v>0.35</v>
      </c>
    </row>
    <row r="47" customFormat="false" ht="15" hidden="false" customHeight="false" outlineLevel="0" collapsed="false">
      <c r="A47" s="0" t="s">
        <v>107</v>
      </c>
      <c r="C47" s="3" t="n">
        <v>51</v>
      </c>
      <c r="D47" s="3" t="n">
        <v>51</v>
      </c>
      <c r="E47" s="3" t="n">
        <v>51</v>
      </c>
      <c r="F47" s="3" t="n">
        <v>51</v>
      </c>
      <c r="G47" s="3" t="n">
        <v>51</v>
      </c>
      <c r="H47" s="3" t="n">
        <v>51</v>
      </c>
      <c r="I47" s="3" t="n">
        <v>51</v>
      </c>
      <c r="J47" s="3" t="n">
        <v>51</v>
      </c>
      <c r="K47" s="3" t="n">
        <v>51</v>
      </c>
      <c r="L47" s="3" t="n">
        <v>51</v>
      </c>
    </row>
    <row r="48" customFormat="false" ht="15" hidden="false" customHeight="false" outlineLevel="0" collapsed="false">
      <c r="A48" s="0" t="s">
        <v>108</v>
      </c>
      <c r="B48" s="3" t="n">
        <v>7</v>
      </c>
    </row>
    <row r="49" customFormat="false" ht="15" hidden="false" customHeight="false" outlineLevel="0" collapsed="false">
      <c r="A49" s="0" t="s">
        <v>109</v>
      </c>
      <c r="B49" s="3" t="n">
        <v>2.5</v>
      </c>
    </row>
    <row r="50" customFormat="false" ht="15" hidden="false" customHeight="false" outlineLevel="0" collapsed="false">
      <c r="A50" s="0" t="s">
        <v>110</v>
      </c>
      <c r="B50" s="3" t="n">
        <v>14</v>
      </c>
    </row>
    <row r="51" customFormat="false" ht="15" hidden="false" customHeight="false" outlineLevel="0" collapsed="false">
      <c r="A51" s="0" t="s">
        <v>111</v>
      </c>
      <c r="B51" s="3" t="n">
        <v>-8</v>
      </c>
    </row>
    <row r="52" customFormat="false" ht="15" hidden="false" customHeight="false" outlineLevel="0" collapsed="false">
      <c r="A52" s="0" t="s">
        <v>112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-2.5</v>
      </c>
      <c r="D5" s="4" t="n">
        <f aca="false">Assumptions!D13</f>
        <v>-3</v>
      </c>
      <c r="E5" s="4" t="n">
        <f aca="false">Assumptions!E13</f>
        <v>-2</v>
      </c>
      <c r="F5" s="4" t="n">
        <f aca="false">Assumptions!F13</f>
        <v>-1</v>
      </c>
      <c r="G5" s="4" t="n">
        <f aca="false">Assumptions!G13</f>
        <v>0</v>
      </c>
      <c r="H5" s="4" t="n">
        <f aca="false">Assumptions!H13</f>
        <v>0.5</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575167.877</v>
      </c>
      <c r="C6" s="0" t="n">
        <f aca="false">B6*(1+C5/100)</f>
        <v>560788.680075</v>
      </c>
      <c r="D6" s="0" t="n">
        <f aca="false">C6*(1+D5/100)</f>
        <v>543965.01967275</v>
      </c>
      <c r="E6" s="0" t="n">
        <f aca="false">D6*(1+E5/100)</f>
        <v>533085.719279295</v>
      </c>
      <c r="F6" s="0" t="n">
        <f aca="false">E6*(1+F5/100)</f>
        <v>527754.862086502</v>
      </c>
      <c r="G6" s="0" t="n">
        <f aca="false">F6*(1+G5/100)</f>
        <v>527754.862086502</v>
      </c>
      <c r="H6" s="0" t="n">
        <f aca="false">G6*(1+H5/100)</f>
        <v>530393.636396935</v>
      </c>
      <c r="I6" s="0" t="n">
        <f aca="false">H6*(1+I5/100)</f>
        <v>535697.572760904</v>
      </c>
      <c r="J6" s="0" t="n">
        <f aca="false">I6*(1+J5/100)</f>
        <v>541054.548488513</v>
      </c>
      <c r="K6" s="0" t="n">
        <f aca="false">J6*(1+K5/100)</f>
        <v>546465.093973398</v>
      </c>
      <c r="L6" s="0" t="n">
        <f aca="false">K6*(1+L5/100)</f>
        <v>551929.744913132</v>
      </c>
    </row>
    <row r="7" customFormat="false" ht="15" hidden="false" customHeight="false" outlineLevel="0" collapsed="false">
      <c r="A7" s="0" t="s">
        <v>102</v>
      </c>
      <c r="C7" s="4" t="n">
        <f aca="false">Assumptions!C14</f>
        <v>3.3</v>
      </c>
      <c r="D7" s="4" t="n">
        <f aca="false">Assumptions!D14</f>
        <v>3.15</v>
      </c>
      <c r="E7" s="4" t="n">
        <f aca="false">Assumptions!E14</f>
        <v>3</v>
      </c>
      <c r="F7" s="4" t="n">
        <f aca="false">Assumptions!F14</f>
        <v>2.9</v>
      </c>
      <c r="G7" s="4" t="n">
        <f aca="false">Assumptions!G14</f>
        <v>2.8</v>
      </c>
      <c r="H7" s="4" t="n">
        <f aca="false">Assumptions!H14</f>
        <v>2.75</v>
      </c>
      <c r="I7" s="4" t="n">
        <f aca="false">Assumptions!I14</f>
        <v>2.75</v>
      </c>
      <c r="J7" s="4" t="n">
        <f aca="false">Assumptions!J14</f>
        <v>2.75</v>
      </c>
      <c r="K7" s="4" t="n">
        <f aca="false">Assumptions!K14</f>
        <v>2.75</v>
      </c>
      <c r="L7" s="4" t="n">
        <f aca="false">Assumptions!L14</f>
        <v>2.75</v>
      </c>
    </row>
    <row r="8" customFormat="false" ht="15" hidden="false" customHeight="false" outlineLevel="0" collapsed="false">
      <c r="A8" s="0" t="s">
        <v>44</v>
      </c>
      <c r="C8" s="0" t="n">
        <f aca="false">C6*C7/100</f>
        <v>18506.026442475</v>
      </c>
      <c r="D8" s="0" t="n">
        <f aca="false">D6*D7/100</f>
        <v>17134.8981196916</v>
      </c>
      <c r="E8" s="0" t="n">
        <f aca="false">E6*E7/100</f>
        <v>15992.5715783789</v>
      </c>
      <c r="F8" s="0" t="n">
        <f aca="false">F6*F7/100</f>
        <v>15304.8910005086</v>
      </c>
      <c r="G8" s="0" t="n">
        <f aca="false">G6*G7/100</f>
        <v>14777.1361384221</v>
      </c>
      <c r="H8" s="0" t="n">
        <f aca="false">H6*H7/100</f>
        <v>14585.8250009157</v>
      </c>
      <c r="I8" s="0" t="n">
        <f aca="false">I6*I7/100</f>
        <v>14731.6832509249</v>
      </c>
      <c r="J8" s="0" t="n">
        <f aca="false">J6*J7/100</f>
        <v>14879.0000834341</v>
      </c>
      <c r="K8" s="0" t="n">
        <f aca="false">K6*K7/100</f>
        <v>15027.7900842684</v>
      </c>
      <c r="L8" s="0" t="n">
        <f aca="false">L6*L7/100</f>
        <v>15178.0679851111</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16431.1083261975</v>
      </c>
      <c r="D11" s="0" t="n">
        <f aca="false">D8+D10+D24</f>
        <v>15122.2275469024</v>
      </c>
      <c r="E11" s="0" t="n">
        <f aca="false">E8+E10+E24</f>
        <v>14020.1544170455</v>
      </c>
      <c r="F11" s="0" t="n">
        <f aca="false">F8+F10+F24</f>
        <v>13352.1980107885</v>
      </c>
      <c r="G11" s="0" t="n">
        <f aca="false">G8+G10+G24</f>
        <v>12824.443148702</v>
      </c>
      <c r="H11" s="0" t="n">
        <f aca="false">H8+H10+H24</f>
        <v>12623.368546247</v>
      </c>
      <c r="I11" s="0" t="n">
        <f aca="false">I8+I10+I24</f>
        <v>12749.6022317095</v>
      </c>
      <c r="J11" s="0" t="n">
        <f aca="false">J8+J10+J24</f>
        <v>12877.0982540266</v>
      </c>
      <c r="K11" s="0" t="n">
        <f aca="false">K8+K10+K24</f>
        <v>13005.8692365669</v>
      </c>
      <c r="L11" s="0" t="n">
        <f aca="false">L8+L10+L24</f>
        <v>13135.9279289325</v>
      </c>
    </row>
    <row r="12" customFormat="false" ht="15" hidden="false" customHeight="false" outlineLevel="0" collapsed="false">
      <c r="A12" s="0" t="s">
        <v>120</v>
      </c>
      <c r="C12" s="4" t="n">
        <f aca="false">-C6*Assumptions!C17/100</f>
        <v>-2130.996984285</v>
      </c>
      <c r="D12" s="4" t="n">
        <f aca="false">-D6*Assumptions!D17/100</f>
        <v>-2067.06707475645</v>
      </c>
      <c r="E12" s="4" t="n">
        <f aca="false">-E6*Assumptions!E17/100</f>
        <v>-2025.72573326132</v>
      </c>
      <c r="F12" s="4" t="n">
        <f aca="false">-F6*Assumptions!F17/100</f>
        <v>-2005.46847592871</v>
      </c>
      <c r="G12" s="4" t="n">
        <f aca="false">-G6*Assumptions!G17/100</f>
        <v>-2005.46847592871</v>
      </c>
      <c r="H12" s="4" t="n">
        <f aca="false">-H6*Assumptions!H17/100</f>
        <v>-2015.49581830835</v>
      </c>
      <c r="I12" s="4" t="n">
        <f aca="false">-I6*Assumptions!I17/100</f>
        <v>-2035.65077649143</v>
      </c>
      <c r="J12" s="4" t="n">
        <f aca="false">-J6*Assumptions!J17/100</f>
        <v>-2056.00728425635</v>
      </c>
      <c r="K12" s="4" t="n">
        <f aca="false">-K6*Assumptions!K17/100</f>
        <v>-2076.56735709891</v>
      </c>
      <c r="L12" s="4" t="n">
        <f aca="false">-L6*Assumptions!L17/100</f>
        <v>-2097.3330306699</v>
      </c>
    </row>
    <row r="13" customFormat="false" ht="15" hidden="false" customHeight="false" outlineLevel="0" collapsed="false">
      <c r="A13" s="0" t="s">
        <v>121</v>
      </c>
      <c r="C13" s="0" t="n">
        <f aca="false">C11+C12</f>
        <v>14300.1113419125</v>
      </c>
      <c r="D13" s="0" t="n">
        <f aca="false">D11+D12</f>
        <v>13055.160472146</v>
      </c>
      <c r="E13" s="0" t="n">
        <f aca="false">E11+E12</f>
        <v>11994.4286837841</v>
      </c>
      <c r="F13" s="0" t="n">
        <f aca="false">F11+F12</f>
        <v>11346.7295348598</v>
      </c>
      <c r="G13" s="0" t="n">
        <f aca="false">G11+G12</f>
        <v>10818.9746727733</v>
      </c>
      <c r="H13" s="0" t="n">
        <f aca="false">H11+H12</f>
        <v>10607.8727279387</v>
      </c>
      <c r="I13" s="0" t="n">
        <f aca="false">I11+I12</f>
        <v>10713.9514552181</v>
      </c>
      <c r="J13" s="0" t="n">
        <f aca="false">J11+J12</f>
        <v>10821.0909697703</v>
      </c>
      <c r="K13" s="0" t="n">
        <f aca="false">K11+K12</f>
        <v>10929.301879468</v>
      </c>
      <c r="L13" s="0" t="n">
        <f aca="false">L11+L12</f>
        <v>11038.5948982626</v>
      </c>
    </row>
    <row r="14" customFormat="false" ht="15" hidden="false" customHeight="false" outlineLevel="0" collapsed="false">
      <c r="A14" s="0" t="s">
        <v>107</v>
      </c>
      <c r="C14" s="4" t="n">
        <f aca="false">Assumptions!C19</f>
        <v>54</v>
      </c>
      <c r="D14" s="4" t="n">
        <f aca="false">Assumptions!D19</f>
        <v>54</v>
      </c>
      <c r="E14" s="4" t="n">
        <f aca="false">Assumptions!E19</f>
        <v>54</v>
      </c>
      <c r="F14" s="4" t="n">
        <f aca="false">Assumptions!F19</f>
        <v>54</v>
      </c>
      <c r="G14" s="4" t="n">
        <f aca="false">Assumptions!G19</f>
        <v>54</v>
      </c>
      <c r="H14" s="4" t="n">
        <f aca="false">Assumptions!H19</f>
        <v>54</v>
      </c>
      <c r="I14" s="4" t="n">
        <f aca="false">Assumptions!I19</f>
        <v>54</v>
      </c>
      <c r="J14" s="4" t="n">
        <f aca="false">Assumptions!J19</f>
        <v>54</v>
      </c>
      <c r="K14" s="4" t="n">
        <f aca="false">Assumptions!K19</f>
        <v>54</v>
      </c>
      <c r="L14" s="4" t="n">
        <f aca="false">Assumptions!L19</f>
        <v>54</v>
      </c>
    </row>
    <row r="15" customFormat="false" ht="15" hidden="false" customHeight="false" outlineLevel="0" collapsed="false">
      <c r="A15" s="0" t="s">
        <v>122</v>
      </c>
      <c r="C15" s="0" t="n">
        <f aca="false">C13-MAX(0,C13)*C14/100</f>
        <v>6578.05121727975</v>
      </c>
      <c r="D15" s="0" t="n">
        <f aca="false">D13-MAX(0,D13)*D14/100</f>
        <v>6005.37381718716</v>
      </c>
      <c r="E15" s="0" t="n">
        <f aca="false">E13-MAX(0,E13)*E14/100</f>
        <v>5517.4371945407</v>
      </c>
      <c r="F15" s="0" t="n">
        <f aca="false">F13-MAX(0,F13)*F14/100</f>
        <v>5219.49558603551</v>
      </c>
      <c r="G15" s="0" t="n">
        <f aca="false">G13-MAX(0,G13)*G14/100</f>
        <v>4976.72834947571</v>
      </c>
      <c r="H15" s="0" t="n">
        <f aca="false">H13-MAX(0,H13)*H14/100</f>
        <v>4879.6214548518</v>
      </c>
      <c r="I15" s="0" t="n">
        <f aca="false">I13-MAX(0,I13)*I14/100</f>
        <v>4928.41766940032</v>
      </c>
      <c r="J15" s="0" t="n">
        <f aca="false">J13-MAX(0,J13)*J14/100</f>
        <v>4977.70184609432</v>
      </c>
      <c r="K15" s="0" t="n">
        <f aca="false">K13-MAX(0,K13)*K14/100</f>
        <v>5027.47886455526</v>
      </c>
      <c r="L15" s="0" t="n">
        <f aca="false">L13-MAX(0,L13)*L14/100</f>
        <v>5077.75365320081</v>
      </c>
    </row>
    <row r="16" customFormat="false" ht="15" hidden="false" customHeight="false" outlineLevel="0" collapsed="false">
      <c r="A16" s="0" t="s">
        <v>123</v>
      </c>
      <c r="C16" s="0" t="n">
        <f aca="false">-C12</f>
        <v>2130.996984285</v>
      </c>
      <c r="D16" s="0" t="n">
        <f aca="false">-D12</f>
        <v>2067.06707475645</v>
      </c>
      <c r="E16" s="0" t="n">
        <f aca="false">-E12</f>
        <v>2025.72573326132</v>
      </c>
      <c r="F16" s="0" t="n">
        <f aca="false">-F12</f>
        <v>2005.46847592871</v>
      </c>
      <c r="G16" s="0" t="n">
        <f aca="false">-G12</f>
        <v>2005.46847592871</v>
      </c>
      <c r="H16" s="0" t="n">
        <f aca="false">-H12</f>
        <v>2015.49581830835</v>
      </c>
      <c r="I16" s="0" t="n">
        <f aca="false">-I12</f>
        <v>2035.65077649143</v>
      </c>
      <c r="J16" s="0" t="n">
        <f aca="false">-J12</f>
        <v>2056.00728425635</v>
      </c>
      <c r="K16" s="0" t="n">
        <f aca="false">-K12</f>
        <v>2076.56735709891</v>
      </c>
      <c r="L16" s="0" t="n">
        <f aca="false">-L12</f>
        <v>2097.3330306699</v>
      </c>
    </row>
    <row r="17" customFormat="false" ht="15" hidden="false" customHeight="false" outlineLevel="0" collapsed="false">
      <c r="A17" s="0" t="s">
        <v>124</v>
      </c>
      <c r="C17" s="4" t="n">
        <f aca="false">-C6*Assumptions!C18/100</f>
        <v>-1682.366040225</v>
      </c>
      <c r="D17" s="4" t="n">
        <f aca="false">-D6*Assumptions!D18/100</f>
        <v>-1686.29156098553</v>
      </c>
      <c r="E17" s="4" t="n">
        <f aca="false">-E6*Assumptions!E18/100</f>
        <v>-1705.87430169374</v>
      </c>
      <c r="F17" s="4" t="n">
        <f aca="false">-F6*Assumptions!F18/100</f>
        <v>-1741.59104488546</v>
      </c>
      <c r="G17" s="4" t="n">
        <f aca="false">-G6*Assumptions!G18/100</f>
        <v>-1794.36653109411</v>
      </c>
      <c r="H17" s="4" t="n">
        <f aca="false">-H6*Assumptions!H18/100</f>
        <v>-1856.37772738927</v>
      </c>
      <c r="I17" s="4" t="n">
        <f aca="false">-I6*Assumptions!I18/100</f>
        <v>-1874.94150466316</v>
      </c>
      <c r="J17" s="4" t="n">
        <f aca="false">-J6*Assumptions!J18/100</f>
        <v>-1893.6909197098</v>
      </c>
      <c r="K17" s="4" t="n">
        <f aca="false">-K6*Assumptions!K18/100</f>
        <v>-1912.62782890689</v>
      </c>
      <c r="L17" s="4" t="n">
        <f aca="false">-L6*Assumptions!L18/100</f>
        <v>-1931.75410719596</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7026.68216133975</v>
      </c>
      <c r="D19" s="0" t="n">
        <f aca="false">D15+D16+D17+D18</f>
        <v>6386.14933095808</v>
      </c>
      <c r="E19" s="0" t="n">
        <f aca="false">E15+E16+E17+E18</f>
        <v>5837.28862610828</v>
      </c>
      <c r="F19" s="0" t="n">
        <f aca="false">F15+F16+F17+F18</f>
        <v>5483.37301707876</v>
      </c>
      <c r="G19" s="0" t="n">
        <f aca="false">G15+G16+G17+G18</f>
        <v>5187.83029431031</v>
      </c>
      <c r="H19" s="0" t="n">
        <f aca="false">H15+H16+H17+H18</f>
        <v>5038.73954577088</v>
      </c>
      <c r="I19" s="0" t="n">
        <f aca="false">I15+I16+I17+I18</f>
        <v>5089.12694122859</v>
      </c>
      <c r="J19" s="0" t="n">
        <f aca="false">J15+J16+J17+J18</f>
        <v>5140.01821064087</v>
      </c>
      <c r="K19" s="0" t="n">
        <f aca="false">K15+K16+K17+K18</f>
        <v>5191.41839274728</v>
      </c>
      <c r="L19" s="0" t="n">
        <f aca="false">L15+L16+L17+L18</f>
        <v>5243.33257667475</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6566.9926741493</v>
      </c>
      <c r="D21" s="0" t="n">
        <f aca="false">D19*D20</f>
        <v>5577.91015019485</v>
      </c>
      <c r="E21" s="0" t="n">
        <f aca="false">E19*E20</f>
        <v>4764.96631229131</v>
      </c>
      <c r="F21" s="0" t="n">
        <f aca="false">F19*F20</f>
        <v>4183.23902059997</v>
      </c>
      <c r="G21" s="0" t="n">
        <f aca="false">G19*G20</f>
        <v>3698.85130134995</v>
      </c>
      <c r="H21" s="0" t="n">
        <f aca="false">H19*H20</f>
        <v>3357.52491416117</v>
      </c>
      <c r="I21" s="0" t="n">
        <f aca="false">I19*I20</f>
        <v>3169.25248906802</v>
      </c>
      <c r="J21" s="0" t="n">
        <f aca="false">J19*J20</f>
        <v>2991.53739622308</v>
      </c>
      <c r="K21" s="0" t="n">
        <f aca="false">K19*K20</f>
        <v>2823.78763568721</v>
      </c>
      <c r="L21" s="0" t="n">
        <f aca="false">L19*L20</f>
        <v>2665.44440377952</v>
      </c>
    </row>
    <row r="23" customFormat="false" ht="15" hidden="false" customHeight="false" outlineLevel="0" collapsed="false">
      <c r="A23" s="0" t="s">
        <v>104</v>
      </c>
      <c r="C23" s="4" t="n">
        <f aca="false">Assumptions!C16</f>
        <v>0.37</v>
      </c>
      <c r="D23" s="4" t="n">
        <f aca="false">Assumptions!D16</f>
        <v>0.37</v>
      </c>
      <c r="E23" s="4" t="n">
        <f aca="false">Assumptions!E16</f>
        <v>0.37</v>
      </c>
      <c r="F23" s="4" t="n">
        <f aca="false">Assumptions!F16</f>
        <v>0.37</v>
      </c>
      <c r="G23" s="4" t="n">
        <f aca="false">Assumptions!G16</f>
        <v>0.37</v>
      </c>
      <c r="H23" s="4" t="n">
        <f aca="false">Assumptions!H16</f>
        <v>0.37</v>
      </c>
      <c r="I23" s="4" t="n">
        <f aca="false">Assumptions!I16</f>
        <v>0.37</v>
      </c>
      <c r="J23" s="4" t="n">
        <f aca="false">Assumptions!J16</f>
        <v>0.37</v>
      </c>
      <c r="K23" s="4" t="n">
        <f aca="false">Assumptions!K16</f>
        <v>0.37</v>
      </c>
      <c r="L23" s="4" t="n">
        <f aca="false">Assumptions!L16</f>
        <v>0.37</v>
      </c>
    </row>
    <row r="24" customFormat="false" ht="15" hidden="false" customHeight="false" outlineLevel="0" collapsed="false">
      <c r="A24" s="0" t="s">
        <v>129</v>
      </c>
      <c r="C24" s="0" t="n">
        <f aca="false">-C6*C23/100</f>
        <v>-2074.9181162775</v>
      </c>
      <c r="D24" s="0" t="n">
        <f aca="false">-D6*D23/100</f>
        <v>-2012.67057278917</v>
      </c>
      <c r="E24" s="0" t="n">
        <f aca="false">-E6*E23/100</f>
        <v>-1972.41716133339</v>
      </c>
      <c r="F24" s="0" t="n">
        <f aca="false">-F6*F23/100</f>
        <v>-1952.69298972006</v>
      </c>
      <c r="G24" s="0" t="n">
        <f aca="false">-G6*G23/100</f>
        <v>-1952.69298972006</v>
      </c>
      <c r="H24" s="0" t="n">
        <f aca="false">-H6*H23/100</f>
        <v>-1962.45645466866</v>
      </c>
      <c r="I24" s="0" t="n">
        <f aca="false">-I6*I23/100</f>
        <v>-1982.08101921534</v>
      </c>
      <c r="J24" s="0" t="n">
        <f aca="false">-J6*J23/100</f>
        <v>-2001.9018294075</v>
      </c>
      <c r="K24" s="0" t="n">
        <f aca="false">-K6*K23/100</f>
        <v>-2021.92084770157</v>
      </c>
      <c r="L24" s="0" t="n">
        <f aca="false">-L6*L23/100</f>
        <v>-2042.14005617859</v>
      </c>
    </row>
    <row r="26" customFormat="false" ht="15" hidden="false" customHeight="false" outlineLevel="0" collapsed="false">
      <c r="A26" s="2" t="s">
        <v>130</v>
      </c>
    </row>
    <row r="27" customFormat="false" ht="15" hidden="false" customHeight="false" outlineLevel="0" collapsed="false">
      <c r="A27" s="0" t="s">
        <v>108</v>
      </c>
      <c r="B27" s="4" t="n">
        <f aca="false">Assumptions!$B$20</f>
        <v>7</v>
      </c>
    </row>
    <row r="28" customFormat="false" ht="15" hidden="false" customHeight="false" outlineLevel="0" collapsed="false">
      <c r="A28" s="0" t="s">
        <v>109</v>
      </c>
      <c r="B28" s="4" t="n">
        <f aca="false">Assumptions!$B$21</f>
        <v>1.5</v>
      </c>
    </row>
    <row r="29" customFormat="false" ht="15" hidden="false" customHeight="false" outlineLevel="0" collapsed="false">
      <c r="A29" s="0" t="s">
        <v>110</v>
      </c>
      <c r="B29" s="4" t="n">
        <f aca="false">Assumptions!$B$22</f>
        <v>9</v>
      </c>
    </row>
    <row r="30" customFormat="false" ht="15" hidden="false" customHeight="false" outlineLevel="0" collapsed="false">
      <c r="A30" s="0" t="s">
        <v>131</v>
      </c>
      <c r="B30" s="0" t="n">
        <f aca="false">SUM(C21:L21)</f>
        <v>39799.5062975044</v>
      </c>
    </row>
    <row r="31" customFormat="false" ht="15" hidden="false" customHeight="false" outlineLevel="0" collapsed="false">
      <c r="A31" s="0" t="s">
        <v>132</v>
      </c>
      <c r="B31" s="0" t="n">
        <f aca="false">L19</f>
        <v>5243.33257667475</v>
      </c>
    </row>
    <row r="32" customFormat="false" ht="15" hidden="false" customHeight="false" outlineLevel="0" collapsed="false">
      <c r="A32" s="0" t="s">
        <v>133</v>
      </c>
      <c r="B32" s="0" t="n">
        <f aca="false">IF(B27&gt;B28,B31*(1+B28/100)/((B27-B28)/100),B31*B29)</f>
        <v>96763.3193695432</v>
      </c>
    </row>
    <row r="33" customFormat="false" ht="15" hidden="false" customHeight="false" outlineLevel="0" collapsed="false">
      <c r="A33" s="0" t="s">
        <v>134</v>
      </c>
      <c r="B33" s="0" t="n">
        <f aca="false">B31*B29</f>
        <v>47189.9931900728</v>
      </c>
    </row>
    <row r="34" customFormat="false" ht="15" hidden="false" customHeight="false" outlineLevel="0" collapsed="false">
      <c r="A34" s="0" t="s">
        <v>135</v>
      </c>
      <c r="B34" s="0" t="n">
        <f aca="false">MAX(0,MIN(B32,B33))</f>
        <v>47189.9931900728</v>
      </c>
    </row>
    <row r="35" customFormat="false" ht="15" hidden="false" customHeight="false" outlineLevel="0" collapsed="false">
      <c r="A35" s="0" t="s">
        <v>136</v>
      </c>
      <c r="B35" s="0" t="n">
        <f aca="false">B34/(1+B27/100)^L4</f>
        <v>23988.9996340156</v>
      </c>
    </row>
    <row r="36" customFormat="false" ht="15" hidden="false" customHeight="false" outlineLevel="0" collapsed="false">
      <c r="A36" s="0" t="s">
        <v>137</v>
      </c>
      <c r="B36" s="0" t="n">
        <f aca="false">B30+B35</f>
        <v>63788.50593152</v>
      </c>
    </row>
    <row r="37" customFormat="false" ht="15" hidden="false" customHeight="false" outlineLevel="0" collapsed="false">
      <c r="A37" s="0" t="s">
        <v>138</v>
      </c>
      <c r="B37" s="0" t="n">
        <f aca="false">B36+Assumptions!$B$5-Assumptions!$B$4</f>
        <v>36608.18693152</v>
      </c>
    </row>
    <row r="38" customFormat="false" ht="15" hidden="false" customHeight="false" outlineLevel="0" collapsed="false">
      <c r="A38" s="0" t="s">
        <v>139</v>
      </c>
      <c r="B38" s="0" t="n">
        <f aca="false">B37/Assumptions!$B$3*Assumptions!$B$10</f>
        <v>13.7509923301792</v>
      </c>
    </row>
    <row r="39" customFormat="false" ht="15" hidden="false" customHeight="false" outlineLevel="0" collapsed="false">
      <c r="A39" s="0" t="s">
        <v>140</v>
      </c>
      <c r="B39" s="4" t="n">
        <f aca="false">B38/Assumptions!$B$2-1</f>
        <v>-0.0752527014001869</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13.7509923301792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39422.0930764805</v>
      </c>
    </row>
    <row r="47" customFormat="false" ht="15" hidden="false" customHeight="false" outlineLevel="0" collapsed="false">
      <c r="A47" s="0" t="s">
        <v>145</v>
      </c>
      <c r="B47" s="0" t="n">
        <f aca="false">(SUMPRODUCT(C19:L19/(1+B45/100)^C4:L4)+B46/(1+B45/100)^L4+Assumptions!$B$5-Assumptions!$B$4)/Assumptions!$B$3*Assumptions!$B$10</f>
        <v>4.35703662444518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v>
      </c>
      <c r="D5" s="4" t="n">
        <f aca="false">Assumptions!D27</f>
        <v>0</v>
      </c>
      <c r="E5" s="4" t="n">
        <f aca="false">Assumptions!E27</f>
        <v>1.5</v>
      </c>
      <c r="F5" s="4" t="n">
        <f aca="false">Assumptions!F27</f>
        <v>2.5</v>
      </c>
      <c r="G5" s="4" t="n">
        <f aca="false">Assumptions!G27</f>
        <v>3</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575167.877</v>
      </c>
      <c r="C6" s="0" t="n">
        <f aca="false">B6*(1+C5/100)</f>
        <v>569416.19823</v>
      </c>
      <c r="D6" s="0" t="n">
        <f aca="false">C6*(1+D5/100)</f>
        <v>569416.19823</v>
      </c>
      <c r="E6" s="0" t="n">
        <f aca="false">D6*(1+E5/100)</f>
        <v>577957.44120345</v>
      </c>
      <c r="F6" s="0" t="n">
        <f aca="false">E6*(1+F5/100)</f>
        <v>592406.377233536</v>
      </c>
      <c r="G6" s="0" t="n">
        <f aca="false">F6*(1+G5/100)</f>
        <v>610178.568550542</v>
      </c>
      <c r="H6" s="0" t="n">
        <f aca="false">G6*(1+H5/100)</f>
        <v>628483.925607059</v>
      </c>
      <c r="I6" s="0" t="n">
        <f aca="false">H6*(1+I5/100)</f>
        <v>647338.443375271</v>
      </c>
      <c r="J6" s="0" t="n">
        <f aca="false">I6*(1+J5/100)</f>
        <v>663521.904459652</v>
      </c>
      <c r="K6" s="0" t="n">
        <f aca="false">J6*(1+K5/100)</f>
        <v>680109.952071143</v>
      </c>
      <c r="L6" s="0" t="n">
        <f aca="false">K6*(1+L5/100)</f>
        <v>697112.700872922</v>
      </c>
    </row>
    <row r="7" customFormat="false" ht="15" hidden="false" customHeight="false" outlineLevel="0" collapsed="false">
      <c r="A7" s="0" t="s">
        <v>102</v>
      </c>
      <c r="C7" s="4" t="n">
        <f aca="false">Assumptions!C28</f>
        <v>3.38</v>
      </c>
      <c r="D7" s="4" t="n">
        <f aca="false">Assumptions!D28</f>
        <v>3.32</v>
      </c>
      <c r="E7" s="4" t="n">
        <f aca="false">Assumptions!E28</f>
        <v>3.28</v>
      </c>
      <c r="F7" s="4" t="n">
        <f aca="false">Assumptions!F28</f>
        <v>3.25</v>
      </c>
      <c r="G7" s="4" t="n">
        <f aca="false">Assumptions!G28</f>
        <v>3.25</v>
      </c>
      <c r="H7" s="4" t="n">
        <f aca="false">Assumptions!H28</f>
        <v>3.25</v>
      </c>
      <c r="I7" s="4" t="n">
        <f aca="false">Assumptions!I28</f>
        <v>3.25</v>
      </c>
      <c r="J7" s="4" t="n">
        <f aca="false">Assumptions!J28</f>
        <v>3.25</v>
      </c>
      <c r="K7" s="4" t="n">
        <f aca="false">Assumptions!K28</f>
        <v>3.25</v>
      </c>
      <c r="L7" s="4" t="n">
        <f aca="false">Assumptions!L28</f>
        <v>3.25</v>
      </c>
    </row>
    <row r="8" customFormat="false" ht="15" hidden="false" customHeight="false" outlineLevel="0" collapsed="false">
      <c r="A8" s="0" t="s">
        <v>44</v>
      </c>
      <c r="C8" s="0" t="n">
        <f aca="false">C6*C7/100</f>
        <v>19246.267500174</v>
      </c>
      <c r="D8" s="0" t="n">
        <f aca="false">D6*D7/100</f>
        <v>18904.617781236</v>
      </c>
      <c r="E8" s="0" t="n">
        <f aca="false">E6*E7/100</f>
        <v>18957.0040714732</v>
      </c>
      <c r="F8" s="0" t="n">
        <f aca="false">F6*F7/100</f>
        <v>19253.2072600899</v>
      </c>
      <c r="G8" s="0" t="n">
        <f aca="false">G6*G7/100</f>
        <v>19830.8034778926</v>
      </c>
      <c r="H8" s="0" t="n">
        <f aca="false">H6*H7/100</f>
        <v>20425.7275822294</v>
      </c>
      <c r="I8" s="0" t="n">
        <f aca="false">I6*I7/100</f>
        <v>21038.4994096963</v>
      </c>
      <c r="J8" s="0" t="n">
        <f aca="false">J6*J7/100</f>
        <v>21564.4618949387</v>
      </c>
      <c r="K8" s="0" t="n">
        <f aca="false">K6*K7/100</f>
        <v>22103.5734423122</v>
      </c>
      <c r="L8" s="0" t="n">
        <f aca="false">L6*L7/100</f>
        <v>22656.16277837</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17196.369186546</v>
      </c>
      <c r="D11" s="0" t="n">
        <f aca="false">D8+D10+D24</f>
        <v>16854.719467608</v>
      </c>
      <c r="E11" s="0" t="n">
        <f aca="false">E8+E10+E24</f>
        <v>16876.3572831407</v>
      </c>
      <c r="F11" s="0" t="n">
        <f aca="false">F8+F10+F24</f>
        <v>17120.5443020492</v>
      </c>
      <c r="G11" s="0" t="n">
        <f aca="false">G8+G10+G24</f>
        <v>17634.1606311107</v>
      </c>
      <c r="H11" s="0" t="n">
        <f aca="false">H8+H10+H24</f>
        <v>18163.185450044</v>
      </c>
      <c r="I11" s="0" t="n">
        <f aca="false">I8+I10+I24</f>
        <v>18708.0810135453</v>
      </c>
      <c r="J11" s="0" t="n">
        <f aca="false">J8+J10+J24</f>
        <v>19175.7830388839</v>
      </c>
      <c r="K11" s="0" t="n">
        <f aca="false">K8+K10+K24</f>
        <v>19655.177614856</v>
      </c>
      <c r="L11" s="0" t="n">
        <f aca="false">L8+L10+L24</f>
        <v>20146.5570552274</v>
      </c>
    </row>
    <row r="12" customFormat="false" ht="15" hidden="false" customHeight="false" outlineLevel="0" collapsed="false">
      <c r="A12" s="0" t="s">
        <v>120</v>
      </c>
      <c r="C12" s="4" t="n">
        <f aca="false">-C6*Assumptions!C31/100</f>
        <v>-2163.781553274</v>
      </c>
      <c r="D12" s="4" t="n">
        <f aca="false">-D6*Assumptions!D31/100</f>
        <v>-2163.781553274</v>
      </c>
      <c r="E12" s="4" t="n">
        <f aca="false">-E6*Assumptions!E31/100</f>
        <v>-2196.23827657311</v>
      </c>
      <c r="F12" s="4" t="n">
        <f aca="false">-F6*Assumptions!F31/100</f>
        <v>-2251.14423348744</v>
      </c>
      <c r="G12" s="4" t="n">
        <f aca="false">-G6*Assumptions!G31/100</f>
        <v>-2318.67856049206</v>
      </c>
      <c r="H12" s="4" t="n">
        <f aca="false">-H6*Assumptions!H31/100</f>
        <v>-2388.23891730682</v>
      </c>
      <c r="I12" s="4" t="n">
        <f aca="false">-I6*Assumptions!I31/100</f>
        <v>-2459.88608482603</v>
      </c>
      <c r="J12" s="4" t="n">
        <f aca="false">-J6*Assumptions!J31/100</f>
        <v>-2521.38323694668</v>
      </c>
      <c r="K12" s="4" t="n">
        <f aca="false">-K6*Assumptions!K31/100</f>
        <v>-2584.41781787035</v>
      </c>
      <c r="L12" s="4" t="n">
        <f aca="false">-L6*Assumptions!L31/100</f>
        <v>-2649.0282633171</v>
      </c>
    </row>
    <row r="13" customFormat="false" ht="15" hidden="false" customHeight="false" outlineLevel="0" collapsed="false">
      <c r="A13" s="0" t="s">
        <v>121</v>
      </c>
      <c r="C13" s="0" t="n">
        <f aca="false">C11+C12</f>
        <v>15032.587633272</v>
      </c>
      <c r="D13" s="0" t="n">
        <f aca="false">D11+D12</f>
        <v>14690.937914334</v>
      </c>
      <c r="E13" s="0" t="n">
        <f aca="false">E11+E12</f>
        <v>14680.1190065676</v>
      </c>
      <c r="F13" s="0" t="n">
        <f aca="false">F11+F12</f>
        <v>14869.4000685618</v>
      </c>
      <c r="G13" s="0" t="n">
        <f aca="false">G11+G12</f>
        <v>15315.4820706186</v>
      </c>
      <c r="H13" s="0" t="n">
        <f aca="false">H11+H12</f>
        <v>15774.9465327372</v>
      </c>
      <c r="I13" s="0" t="n">
        <f aca="false">I11+I12</f>
        <v>16248.1949287193</v>
      </c>
      <c r="J13" s="0" t="n">
        <f aca="false">J11+J12</f>
        <v>16654.3998019373</v>
      </c>
      <c r="K13" s="0" t="n">
        <f aca="false">K11+K12</f>
        <v>17070.7597969857</v>
      </c>
      <c r="L13" s="0" t="n">
        <f aca="false">L11+L12</f>
        <v>17497.5287919103</v>
      </c>
    </row>
    <row r="14" customFormat="false" ht="15" hidden="false" customHeight="false" outlineLevel="0" collapsed="false">
      <c r="A14" s="0" t="s">
        <v>107</v>
      </c>
      <c r="C14" s="4" t="n">
        <f aca="false">Assumptions!C33</f>
        <v>52.5</v>
      </c>
      <c r="D14" s="4" t="n">
        <f aca="false">Assumptions!D33</f>
        <v>52.5</v>
      </c>
      <c r="E14" s="4" t="n">
        <f aca="false">Assumptions!E33</f>
        <v>52.5</v>
      </c>
      <c r="F14" s="4" t="n">
        <f aca="false">Assumptions!F33</f>
        <v>52.5</v>
      </c>
      <c r="G14" s="4" t="n">
        <f aca="false">Assumptions!G33</f>
        <v>52.5</v>
      </c>
      <c r="H14" s="4" t="n">
        <f aca="false">Assumptions!H33</f>
        <v>52.5</v>
      </c>
      <c r="I14" s="4" t="n">
        <f aca="false">Assumptions!I33</f>
        <v>52.5</v>
      </c>
      <c r="J14" s="4" t="n">
        <f aca="false">Assumptions!J33</f>
        <v>52.5</v>
      </c>
      <c r="K14" s="4" t="n">
        <f aca="false">Assumptions!K33</f>
        <v>52.5</v>
      </c>
      <c r="L14" s="4" t="n">
        <f aca="false">Assumptions!L33</f>
        <v>52.5</v>
      </c>
    </row>
    <row r="15" customFormat="false" ht="15" hidden="false" customHeight="false" outlineLevel="0" collapsed="false">
      <c r="A15" s="0" t="s">
        <v>122</v>
      </c>
      <c r="C15" s="0" t="n">
        <f aca="false">C13-MAX(0,C13)*C14/100</f>
        <v>7140.4791258042</v>
      </c>
      <c r="D15" s="0" t="n">
        <f aca="false">D13-MAX(0,D13)*D14/100</f>
        <v>6978.19550930865</v>
      </c>
      <c r="E15" s="0" t="n">
        <f aca="false">E13-MAX(0,E13)*E14/100</f>
        <v>6973.05652811963</v>
      </c>
      <c r="F15" s="0" t="n">
        <f aca="false">F13-MAX(0,F13)*F14/100</f>
        <v>7062.96503256684</v>
      </c>
      <c r="G15" s="0" t="n">
        <f aca="false">G13-MAX(0,G13)*G14/100</f>
        <v>7274.85398354384</v>
      </c>
      <c r="H15" s="0" t="n">
        <f aca="false">H13-MAX(0,H13)*H14/100</f>
        <v>7493.09960305016</v>
      </c>
      <c r="I15" s="0" t="n">
        <f aca="false">I13-MAX(0,I13)*I14/100</f>
        <v>7717.89259114166</v>
      </c>
      <c r="J15" s="0" t="n">
        <f aca="false">J13-MAX(0,J13)*J14/100</f>
        <v>7910.8399059202</v>
      </c>
      <c r="K15" s="0" t="n">
        <f aca="false">K13-MAX(0,K13)*K14/100</f>
        <v>8108.61090356821</v>
      </c>
      <c r="L15" s="0" t="n">
        <f aca="false">L13-MAX(0,L13)*L14/100</f>
        <v>8311.32617615741</v>
      </c>
    </row>
    <row r="16" customFormat="false" ht="15" hidden="false" customHeight="false" outlineLevel="0" collapsed="false">
      <c r="A16" s="0" t="s">
        <v>123</v>
      </c>
      <c r="C16" s="0" t="n">
        <f aca="false">-C12</f>
        <v>2163.781553274</v>
      </c>
      <c r="D16" s="0" t="n">
        <f aca="false">-D12</f>
        <v>2163.781553274</v>
      </c>
      <c r="E16" s="0" t="n">
        <f aca="false">-E12</f>
        <v>2196.23827657311</v>
      </c>
      <c r="F16" s="0" t="n">
        <f aca="false">-F12</f>
        <v>2251.14423348744</v>
      </c>
      <c r="G16" s="0" t="n">
        <f aca="false">-G12</f>
        <v>2318.67856049206</v>
      </c>
      <c r="H16" s="0" t="n">
        <f aca="false">-H12</f>
        <v>2388.23891730682</v>
      </c>
      <c r="I16" s="0" t="n">
        <f aca="false">-I12</f>
        <v>2459.88608482603</v>
      </c>
      <c r="J16" s="0" t="n">
        <f aca="false">-J12</f>
        <v>2521.38323694668</v>
      </c>
      <c r="K16" s="0" t="n">
        <f aca="false">-K12</f>
        <v>2584.41781787035</v>
      </c>
      <c r="L16" s="0" t="n">
        <f aca="false">-L12</f>
        <v>2649.0282633171</v>
      </c>
    </row>
    <row r="17" customFormat="false" ht="15" hidden="false" customHeight="false" outlineLevel="0" collapsed="false">
      <c r="A17" s="0" t="s">
        <v>124</v>
      </c>
      <c r="C17" s="4" t="n">
        <f aca="false">-C6*Assumptions!C32/100</f>
        <v>-1708.24859469</v>
      </c>
      <c r="D17" s="4" t="n">
        <f aca="false">-D6*Assumptions!D32/100</f>
        <v>-1765.190214513</v>
      </c>
      <c r="E17" s="4" t="n">
        <f aca="false">-E6*Assumptions!E32/100</f>
        <v>-1849.46381185104</v>
      </c>
      <c r="F17" s="4" t="n">
        <f aca="false">-F6*Assumptions!F32/100</f>
        <v>-1954.94104487067</v>
      </c>
      <c r="G17" s="4" t="n">
        <f aca="false">-G6*Assumptions!G32/100</f>
        <v>-2074.60713307184</v>
      </c>
      <c r="H17" s="4" t="n">
        <f aca="false">-H6*Assumptions!H32/100</f>
        <v>-2199.69373962471</v>
      </c>
      <c r="I17" s="4" t="n">
        <f aca="false">-I6*Assumptions!I32/100</f>
        <v>-2265.68455181345</v>
      </c>
      <c r="J17" s="4" t="n">
        <f aca="false">-J6*Assumptions!J32/100</f>
        <v>-2322.32666560878</v>
      </c>
      <c r="K17" s="4" t="n">
        <f aca="false">-K6*Assumptions!K32/100</f>
        <v>-2380.384832249</v>
      </c>
      <c r="L17" s="4" t="n">
        <f aca="false">-L6*Assumptions!L32/100</f>
        <v>-2439.89445305523</v>
      </c>
    </row>
    <row r="18" customFormat="false" ht="15" hidden="false" customHeight="false" outlineLevel="0" collapsed="false">
      <c r="A18" s="0" t="s">
        <v>125</v>
      </c>
      <c r="C18" s="4" t="n">
        <f aca="false">(C6-B6)*Assumptions!$B$37/100</f>
        <v>575.167877</v>
      </c>
      <c r="D18" s="4" t="n">
        <f aca="false">(D6-C6)*Assumptions!$B$37/100</f>
        <v>-0</v>
      </c>
      <c r="E18" s="4" t="n">
        <f aca="false">(E6-D6)*Assumptions!$B$37/100</f>
        <v>-854.124297344999</v>
      </c>
      <c r="F18" s="4" t="n">
        <f aca="false">(F6-E6)*Assumptions!$B$37/100</f>
        <v>-1444.89360300862</v>
      </c>
      <c r="G18" s="4" t="n">
        <f aca="false">(G6-F6)*Assumptions!$B$37/100</f>
        <v>-1777.21913170061</v>
      </c>
      <c r="H18" s="4" t="n">
        <f aca="false">(H6-G6)*Assumptions!$B$37/100</f>
        <v>-1830.53570565163</v>
      </c>
      <c r="I18" s="4" t="n">
        <f aca="false">(I6-H6)*Assumptions!$B$37/100</f>
        <v>-1885.45177682118</v>
      </c>
      <c r="J18" s="4" t="n">
        <f aca="false">(J6-I6)*Assumptions!$B$37/100</f>
        <v>-1618.34610843817</v>
      </c>
      <c r="K18" s="4" t="n">
        <f aca="false">(K6-J6)*Assumptions!$B$37/100</f>
        <v>-1658.80476114913</v>
      </c>
      <c r="L18" s="4" t="n">
        <f aca="false">(L6-K6)*Assumptions!$B$37/100</f>
        <v>-1700.27488017785</v>
      </c>
    </row>
    <row r="19" customFormat="false" ht="15" hidden="false" customHeight="false" outlineLevel="0" collapsed="false">
      <c r="A19" s="0" t="s">
        <v>126</v>
      </c>
      <c r="C19" s="0" t="n">
        <f aca="false">C15+C16+C17+C18</f>
        <v>8171.1799613882</v>
      </c>
      <c r="D19" s="0" t="n">
        <f aca="false">D15+D16+D17+D18</f>
        <v>7376.78684806965</v>
      </c>
      <c r="E19" s="0" t="n">
        <f aca="false">E15+E16+E17+E18</f>
        <v>6465.7066954967</v>
      </c>
      <c r="F19" s="0" t="n">
        <f aca="false">F15+F16+F17+F18</f>
        <v>5914.27461817498</v>
      </c>
      <c r="G19" s="0" t="n">
        <f aca="false">G15+G16+G17+G18</f>
        <v>5741.70627926345</v>
      </c>
      <c r="H19" s="0" t="n">
        <f aca="false">H15+H16+H17+H18</f>
        <v>5851.10907508064</v>
      </c>
      <c r="I19" s="0" t="n">
        <f aca="false">I15+I16+I17+I18</f>
        <v>6026.64234733307</v>
      </c>
      <c r="J19" s="0" t="n">
        <f aca="false">J15+J16+J17+J18</f>
        <v>6491.55036881993</v>
      </c>
      <c r="K19" s="0" t="n">
        <f aca="false">K15+K16+K17+K18</f>
        <v>6653.83912804042</v>
      </c>
      <c r="L19" s="0" t="n">
        <f aca="false">L15+L16+L17+L18</f>
        <v>6820.18510624143</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7636.61678634411</v>
      </c>
      <c r="D21" s="0" t="n">
        <f aca="false">D19*D20</f>
        <v>6443.17132332051</v>
      </c>
      <c r="E21" s="0" t="n">
        <f aca="false">E19*E20</f>
        <v>5277.94264813292</v>
      </c>
      <c r="F21" s="0" t="n">
        <f aca="false">F19*F20</f>
        <v>4511.9717889399</v>
      </c>
      <c r="G21" s="0" t="n">
        <f aca="false">G19*G20</f>
        <v>4093.75722376943</v>
      </c>
      <c r="H21" s="0" t="n">
        <f aca="false">H19*H20</f>
        <v>3898.84103288221</v>
      </c>
      <c r="I21" s="0" t="n">
        <f aca="false">I19*I20</f>
        <v>3753.08996623241</v>
      </c>
      <c r="J21" s="0" t="n">
        <f aca="false">J19*J20</f>
        <v>3778.14141739573</v>
      </c>
      <c r="K21" s="0" t="n">
        <f aca="false">K19*K20</f>
        <v>3619.24761946787</v>
      </c>
      <c r="L21" s="0" t="n">
        <f aca="false">L19*L20</f>
        <v>3467.03627098558</v>
      </c>
    </row>
    <row r="23" customFormat="false" ht="15" hidden="false" customHeight="false" outlineLevel="0" collapsed="false">
      <c r="A23" s="0" t="s">
        <v>104</v>
      </c>
      <c r="C23" s="4" t="n">
        <f aca="false">Assumptions!C30</f>
        <v>0.36</v>
      </c>
      <c r="D23" s="4" t="n">
        <f aca="false">Assumptions!D30</f>
        <v>0.36</v>
      </c>
      <c r="E23" s="4" t="n">
        <f aca="false">Assumptions!E30</f>
        <v>0.36</v>
      </c>
      <c r="F23" s="4" t="n">
        <f aca="false">Assumptions!F30</f>
        <v>0.36</v>
      </c>
      <c r="G23" s="4" t="n">
        <f aca="false">Assumptions!G30</f>
        <v>0.36</v>
      </c>
      <c r="H23" s="4" t="n">
        <f aca="false">Assumptions!H30</f>
        <v>0.36</v>
      </c>
      <c r="I23" s="4" t="n">
        <f aca="false">Assumptions!I30</f>
        <v>0.36</v>
      </c>
      <c r="J23" s="4" t="n">
        <f aca="false">Assumptions!J30</f>
        <v>0.36</v>
      </c>
      <c r="K23" s="4" t="n">
        <f aca="false">Assumptions!K30</f>
        <v>0.36</v>
      </c>
      <c r="L23" s="4" t="n">
        <f aca="false">Assumptions!L30</f>
        <v>0.36</v>
      </c>
    </row>
    <row r="24" customFormat="false" ht="15" hidden="false" customHeight="false" outlineLevel="0" collapsed="false">
      <c r="A24" s="0" t="s">
        <v>129</v>
      </c>
      <c r="C24" s="0" t="n">
        <f aca="false">-C6*C23/100</f>
        <v>-2049.898313628</v>
      </c>
      <c r="D24" s="0" t="n">
        <f aca="false">-D6*D23/100</f>
        <v>-2049.898313628</v>
      </c>
      <c r="E24" s="0" t="n">
        <f aca="false">-E6*E23/100</f>
        <v>-2080.64678833242</v>
      </c>
      <c r="F24" s="0" t="n">
        <f aca="false">-F6*F23/100</f>
        <v>-2132.66295804073</v>
      </c>
      <c r="G24" s="0" t="n">
        <f aca="false">-G6*G23/100</f>
        <v>-2196.64284678195</v>
      </c>
      <c r="H24" s="0" t="n">
        <f aca="false">-H6*H23/100</f>
        <v>-2262.54213218541</v>
      </c>
      <c r="I24" s="0" t="n">
        <f aca="false">-I6*I23/100</f>
        <v>-2330.41839615097</v>
      </c>
      <c r="J24" s="0" t="n">
        <f aca="false">-J6*J23/100</f>
        <v>-2388.67885605475</v>
      </c>
      <c r="K24" s="0" t="n">
        <f aca="false">-K6*K23/100</f>
        <v>-2448.39582745612</v>
      </c>
      <c r="L24" s="0" t="n">
        <f aca="false">-L6*L23/100</f>
        <v>-2509.60572314252</v>
      </c>
    </row>
    <row r="26" customFormat="false" ht="15" hidden="false" customHeight="false" outlineLevel="0" collapsed="false">
      <c r="A26" s="2" t="s">
        <v>130</v>
      </c>
    </row>
    <row r="27" customFormat="false" ht="15" hidden="false" customHeight="false" outlineLevel="0" collapsed="false">
      <c r="A27" s="0" t="s">
        <v>108</v>
      </c>
      <c r="B27" s="4" t="n">
        <f aca="false">Assumptions!$B$34</f>
        <v>7</v>
      </c>
    </row>
    <row r="28" customFormat="false" ht="15" hidden="false" customHeight="false" outlineLevel="0" collapsed="false">
      <c r="A28" s="0" t="s">
        <v>109</v>
      </c>
      <c r="B28" s="4" t="n">
        <f aca="false">Assumptions!$B$35</f>
        <v>2</v>
      </c>
    </row>
    <row r="29" customFormat="false" ht="15" hidden="false" customHeight="false" outlineLevel="0" collapsed="false">
      <c r="A29" s="0" t="s">
        <v>110</v>
      </c>
      <c r="B29" s="4" t="n">
        <f aca="false">Assumptions!$B$36</f>
        <v>12</v>
      </c>
    </row>
    <row r="30" customFormat="false" ht="15" hidden="false" customHeight="false" outlineLevel="0" collapsed="false">
      <c r="A30" s="0" t="s">
        <v>131</v>
      </c>
      <c r="B30" s="0" t="n">
        <f aca="false">SUM(C21:L21)</f>
        <v>46479.8160774707</v>
      </c>
    </row>
    <row r="31" customFormat="false" ht="15" hidden="false" customHeight="false" outlineLevel="0" collapsed="false">
      <c r="A31" s="0" t="s">
        <v>132</v>
      </c>
      <c r="B31" s="0" t="n">
        <f aca="false">L19</f>
        <v>6820.18510624143</v>
      </c>
    </row>
    <row r="32" customFormat="false" ht="15" hidden="false" customHeight="false" outlineLevel="0" collapsed="false">
      <c r="A32" s="0" t="s">
        <v>133</v>
      </c>
      <c r="B32" s="0" t="n">
        <f aca="false">IF(B27&gt;B28,B31*(1+B28/100)/((B27-B28)/100),B31*B29)</f>
        <v>139131.776167325</v>
      </c>
    </row>
    <row r="33" customFormat="false" ht="15" hidden="false" customHeight="false" outlineLevel="0" collapsed="false">
      <c r="A33" s="0" t="s">
        <v>134</v>
      </c>
      <c r="B33" s="0" t="n">
        <f aca="false">B31*B29</f>
        <v>81842.2212748972</v>
      </c>
    </row>
    <row r="34" customFormat="false" ht="15" hidden="false" customHeight="false" outlineLevel="0" collapsed="false">
      <c r="A34" s="0" t="s">
        <v>135</v>
      </c>
      <c r="B34" s="0" t="n">
        <f aca="false">MAX(0,MIN(B32,B33))</f>
        <v>81842.2212748972</v>
      </c>
    </row>
    <row r="35" customFormat="false" ht="15" hidden="false" customHeight="false" outlineLevel="0" collapsed="false">
      <c r="A35" s="0" t="s">
        <v>136</v>
      </c>
      <c r="B35" s="0" t="n">
        <f aca="false">B34/(1+B27/100)^L4</f>
        <v>41604.4352518269</v>
      </c>
    </row>
    <row r="36" customFormat="false" ht="15" hidden="false" customHeight="false" outlineLevel="0" collapsed="false">
      <c r="A36" s="0" t="s">
        <v>137</v>
      </c>
      <c r="B36" s="0" t="n">
        <f aca="false">B30+B35</f>
        <v>88084.2513292976</v>
      </c>
    </row>
    <row r="37" customFormat="false" ht="15" hidden="false" customHeight="false" outlineLevel="0" collapsed="false">
      <c r="A37" s="0" t="s">
        <v>138</v>
      </c>
      <c r="B37" s="0" t="n">
        <f aca="false">B36+Assumptions!$B$5-Assumptions!$B$4</f>
        <v>60903.9323292976</v>
      </c>
    </row>
    <row r="38" customFormat="false" ht="15" hidden="false" customHeight="false" outlineLevel="0" collapsed="false">
      <c r="A38" s="0" t="s">
        <v>139</v>
      </c>
      <c r="B38" s="0" t="n">
        <f aca="false">B37/Assumptions!$B$3*Assumptions!$B$10</f>
        <v>22.8771096450242</v>
      </c>
    </row>
    <row r="39" customFormat="false" ht="15" hidden="false" customHeight="false" outlineLevel="0" collapsed="false">
      <c r="A39" s="0" t="s">
        <v>140</v>
      </c>
      <c r="B39" s="4" t="n">
        <f aca="false">B38/Assumptions!$B$2-1</f>
        <v>0.538474085072239</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22.8771096450242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53512.2216028174</v>
      </c>
    </row>
    <row r="47" customFormat="false" ht="15" hidden="false" customHeight="false" outlineLevel="0" collapsed="false">
      <c r="A47" s="0" t="s">
        <v>145</v>
      </c>
      <c r="B47" s="0" t="n">
        <f aca="false">(SUMPRODUCT(C19:L19/(1+B45/100)^C4:L4)+B46/(1+B45/100)^L4+Assumptions!$B$5-Assumptions!$B$4)/Assumptions!$B$3*Assumptions!$B$10</f>
        <v>7.40450759695472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0</v>
      </c>
      <c r="D5" s="4" t="n">
        <f aca="false">Assumptions!D41</f>
        <v>2</v>
      </c>
      <c r="E5" s="4" t="n">
        <f aca="false">Assumptions!E41</f>
        <v>4</v>
      </c>
      <c r="F5" s="4" t="n">
        <f aca="false">Assumptions!F41</f>
        <v>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575167.877</v>
      </c>
      <c r="C6" s="0" t="n">
        <f aca="false">B6*(1+C5/100)</f>
        <v>575167.877</v>
      </c>
      <c r="D6" s="0" t="n">
        <f aca="false">C6*(1+D5/100)</f>
        <v>586671.23454</v>
      </c>
      <c r="E6" s="0" t="n">
        <f aca="false">D6*(1+E5/100)</f>
        <v>610138.0839216</v>
      </c>
      <c r="F6" s="0" t="n">
        <f aca="false">E6*(1+F5/100)</f>
        <v>640644.98811768</v>
      </c>
      <c r="G6" s="0" t="n">
        <f aca="false">F6*(1+G5/100)</f>
        <v>672677.237523564</v>
      </c>
      <c r="H6" s="0" t="n">
        <f aca="false">G6*(1+H5/100)</f>
        <v>702947.713212124</v>
      </c>
      <c r="I6" s="0" t="n">
        <f aca="false">H6*(1+I5/100)</f>
        <v>731065.621740609</v>
      </c>
      <c r="J6" s="0" t="n">
        <f aca="false">I6*(1+J5/100)</f>
        <v>756652.918501531</v>
      </c>
      <c r="K6" s="0" t="n">
        <f aca="false">J6*(1+K5/100)</f>
        <v>779352.506056577</v>
      </c>
      <c r="L6" s="0" t="n">
        <f aca="false">K6*(1+L5/100)</f>
        <v>802733.081238274</v>
      </c>
    </row>
    <row r="7" customFormat="false" ht="15" hidden="false" customHeight="false" outlineLevel="0" collapsed="false">
      <c r="A7" s="0" t="s">
        <v>102</v>
      </c>
      <c r="C7" s="4" t="n">
        <f aca="false">Assumptions!C42</f>
        <v>3.42</v>
      </c>
      <c r="D7" s="4" t="n">
        <f aca="false">Assumptions!D42</f>
        <v>3.45</v>
      </c>
      <c r="E7" s="4" t="n">
        <f aca="false">Assumptions!E42</f>
        <v>3.5</v>
      </c>
      <c r="F7" s="4" t="n">
        <f aca="false">Assumptions!F42</f>
        <v>3.55</v>
      </c>
      <c r="G7" s="4" t="n">
        <f aca="false">Assumptions!G42</f>
        <v>3.6</v>
      </c>
      <c r="H7" s="4" t="n">
        <f aca="false">Assumptions!H42</f>
        <v>3.6</v>
      </c>
      <c r="I7" s="4" t="n">
        <f aca="false">Assumptions!I42</f>
        <v>3.6</v>
      </c>
      <c r="J7" s="4" t="n">
        <f aca="false">Assumptions!J42</f>
        <v>3.6</v>
      </c>
      <c r="K7" s="4" t="n">
        <f aca="false">Assumptions!K42</f>
        <v>3.6</v>
      </c>
      <c r="L7" s="4" t="n">
        <f aca="false">Assumptions!L42</f>
        <v>3.6</v>
      </c>
    </row>
    <row r="8" customFormat="false" ht="15" hidden="false" customHeight="false" outlineLevel="0" collapsed="false">
      <c r="A8" s="0" t="s">
        <v>44</v>
      </c>
      <c r="C8" s="0" t="n">
        <f aca="false">C6*C7/100</f>
        <v>19670.7413934</v>
      </c>
      <c r="D8" s="0" t="n">
        <f aca="false">D6*D7/100</f>
        <v>20240.15759163</v>
      </c>
      <c r="E8" s="0" t="n">
        <f aca="false">E6*E7/100</f>
        <v>21354.832937256</v>
      </c>
      <c r="F8" s="0" t="n">
        <f aca="false">F6*F7/100</f>
        <v>22742.8970781776</v>
      </c>
      <c r="G8" s="0" t="n">
        <f aca="false">G6*G7/100</f>
        <v>24216.3805508483</v>
      </c>
      <c r="H8" s="0" t="n">
        <f aca="false">H6*H7/100</f>
        <v>25306.1176756365</v>
      </c>
      <c r="I8" s="0" t="n">
        <f aca="false">I6*I7/100</f>
        <v>26318.3623826619</v>
      </c>
      <c r="J8" s="0" t="n">
        <f aca="false">J6*J7/100</f>
        <v>27239.5050660551</v>
      </c>
      <c r="K8" s="0" t="n">
        <f aca="false">K6*K7/100</f>
        <v>28056.6902180368</v>
      </c>
      <c r="L8" s="0" t="n">
        <f aca="false">L6*L7/100</f>
        <v>28898.3909245779</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17657.6538239</v>
      </c>
      <c r="D11" s="0" t="n">
        <f aca="false">D8+D10+D24</f>
        <v>18186.80827074</v>
      </c>
      <c r="E11" s="0" t="n">
        <f aca="false">E8+E10+E24</f>
        <v>19219.3496435304</v>
      </c>
      <c r="F11" s="0" t="n">
        <f aca="false">F8+F10+F24</f>
        <v>20500.6396197658</v>
      </c>
      <c r="G11" s="0" t="n">
        <f aca="false">G8+G10+G24</f>
        <v>21862.0102195158</v>
      </c>
      <c r="H11" s="0" t="n">
        <f aca="false">H8+H10+H24</f>
        <v>22845.800679394</v>
      </c>
      <c r="I11" s="0" t="n">
        <f aca="false">I8+I10+I24</f>
        <v>23759.6327065698</v>
      </c>
      <c r="J11" s="0" t="n">
        <f aca="false">J8+J10+J24</f>
        <v>24591.2198512998</v>
      </c>
      <c r="K11" s="0" t="n">
        <f aca="false">K8+K10+K24</f>
        <v>25328.9564468387</v>
      </c>
      <c r="L11" s="0" t="n">
        <f aca="false">L8+L10+L24</f>
        <v>26088.8251402439</v>
      </c>
    </row>
    <row r="12" customFormat="false" ht="15" hidden="false" customHeight="false" outlineLevel="0" collapsed="false">
      <c r="A12" s="0" t="s">
        <v>120</v>
      </c>
      <c r="C12" s="4" t="n">
        <f aca="false">-C6*Assumptions!C45/100</f>
        <v>-2185.6379326</v>
      </c>
      <c r="D12" s="4" t="n">
        <f aca="false">-D6*Assumptions!D45/100</f>
        <v>-2229.350691252</v>
      </c>
      <c r="E12" s="4" t="n">
        <f aca="false">-E6*Assumptions!E45/100</f>
        <v>-2318.52471890208</v>
      </c>
      <c r="F12" s="4" t="n">
        <f aca="false">-F6*Assumptions!F45/100</f>
        <v>-2434.45095484718</v>
      </c>
      <c r="G12" s="4" t="n">
        <f aca="false">-G6*Assumptions!G45/100</f>
        <v>-2556.17350258954</v>
      </c>
      <c r="H12" s="4" t="n">
        <f aca="false">-H6*Assumptions!H45/100</f>
        <v>-2671.20131020607</v>
      </c>
      <c r="I12" s="4" t="n">
        <f aca="false">-I6*Assumptions!I45/100</f>
        <v>-2778.04936261432</v>
      </c>
      <c r="J12" s="4" t="n">
        <f aca="false">-J6*Assumptions!J45/100</f>
        <v>-2875.28109030582</v>
      </c>
      <c r="K12" s="4" t="n">
        <f aca="false">-K6*Assumptions!K45/100</f>
        <v>-2961.53952301499</v>
      </c>
      <c r="L12" s="4" t="n">
        <f aca="false">-L6*Assumptions!L45/100</f>
        <v>-3050.38570870544</v>
      </c>
    </row>
    <row r="13" customFormat="false" ht="15" hidden="false" customHeight="false" outlineLevel="0" collapsed="false">
      <c r="A13" s="0" t="s">
        <v>121</v>
      </c>
      <c r="C13" s="0" t="n">
        <f aca="false">C11+C12</f>
        <v>15472.0158913</v>
      </c>
      <c r="D13" s="0" t="n">
        <f aca="false">D11+D12</f>
        <v>15957.457579488</v>
      </c>
      <c r="E13" s="0" t="n">
        <f aca="false">E11+E12</f>
        <v>16900.8249246283</v>
      </c>
      <c r="F13" s="0" t="n">
        <f aca="false">F11+F12</f>
        <v>18066.1886649186</v>
      </c>
      <c r="G13" s="0" t="n">
        <f aca="false">G11+G12</f>
        <v>19305.8367169263</v>
      </c>
      <c r="H13" s="0" t="n">
        <f aca="false">H11+H12</f>
        <v>20174.599369188</v>
      </c>
      <c r="I13" s="0" t="n">
        <f aca="false">I11+I12</f>
        <v>20981.5833439555</v>
      </c>
      <c r="J13" s="0" t="n">
        <f aca="false">J11+J12</f>
        <v>21715.9387609939</v>
      </c>
      <c r="K13" s="0" t="n">
        <f aca="false">K11+K12</f>
        <v>22367.4169238238</v>
      </c>
      <c r="L13" s="0" t="n">
        <f aca="false">L11+L12</f>
        <v>23038.4394315385</v>
      </c>
    </row>
    <row r="14" customFormat="false" ht="15" hidden="false" customHeight="false" outlineLevel="0" collapsed="false">
      <c r="A14" s="0" t="s">
        <v>107</v>
      </c>
      <c r="C14" s="4" t="n">
        <f aca="false">Assumptions!C47</f>
        <v>51</v>
      </c>
      <c r="D14" s="4" t="n">
        <f aca="false">Assumptions!D47</f>
        <v>51</v>
      </c>
      <c r="E14" s="4" t="n">
        <f aca="false">Assumptions!E47</f>
        <v>51</v>
      </c>
      <c r="F14" s="4" t="n">
        <f aca="false">Assumptions!F47</f>
        <v>51</v>
      </c>
      <c r="G14" s="4" t="n">
        <f aca="false">Assumptions!G47</f>
        <v>51</v>
      </c>
      <c r="H14" s="4" t="n">
        <f aca="false">Assumptions!H47</f>
        <v>51</v>
      </c>
      <c r="I14" s="4" t="n">
        <f aca="false">Assumptions!I47</f>
        <v>51</v>
      </c>
      <c r="J14" s="4" t="n">
        <f aca="false">Assumptions!J47</f>
        <v>51</v>
      </c>
      <c r="K14" s="4" t="n">
        <f aca="false">Assumptions!K47</f>
        <v>51</v>
      </c>
      <c r="L14" s="4" t="n">
        <f aca="false">Assumptions!L47</f>
        <v>51</v>
      </c>
    </row>
    <row r="15" customFormat="false" ht="15" hidden="false" customHeight="false" outlineLevel="0" collapsed="false">
      <c r="A15" s="0" t="s">
        <v>122</v>
      </c>
      <c r="C15" s="0" t="n">
        <f aca="false">C13-MAX(0,C13)*C14/100</f>
        <v>7581.287786737</v>
      </c>
      <c r="D15" s="0" t="n">
        <f aca="false">D13-MAX(0,D13)*D14/100</f>
        <v>7819.15421394912</v>
      </c>
      <c r="E15" s="0" t="n">
        <f aca="false">E13-MAX(0,E13)*E14/100</f>
        <v>8281.40421306788</v>
      </c>
      <c r="F15" s="0" t="n">
        <f aca="false">F13-MAX(0,F13)*F14/100</f>
        <v>8852.4324458101</v>
      </c>
      <c r="G15" s="0" t="n">
        <f aca="false">G13-MAX(0,G13)*G14/100</f>
        <v>9459.85999129388</v>
      </c>
      <c r="H15" s="0" t="n">
        <f aca="false">H13-MAX(0,H13)*H14/100</f>
        <v>9885.55369090211</v>
      </c>
      <c r="I15" s="0" t="n">
        <f aca="false">I13-MAX(0,I13)*I14/100</f>
        <v>10280.9758385382</v>
      </c>
      <c r="J15" s="0" t="n">
        <f aca="false">J13-MAX(0,J13)*J14/100</f>
        <v>10640.809992887</v>
      </c>
      <c r="K15" s="0" t="n">
        <f aca="false">K13-MAX(0,K13)*K14/100</f>
        <v>10960.0342926736</v>
      </c>
      <c r="L15" s="0" t="n">
        <f aca="false">L13-MAX(0,L13)*L14/100</f>
        <v>11288.8353214538</v>
      </c>
    </row>
    <row r="16" customFormat="false" ht="15" hidden="false" customHeight="false" outlineLevel="0" collapsed="false">
      <c r="A16" s="0" t="s">
        <v>123</v>
      </c>
      <c r="C16" s="0" t="n">
        <f aca="false">-C12</f>
        <v>2185.6379326</v>
      </c>
      <c r="D16" s="0" t="n">
        <f aca="false">-D12</f>
        <v>2229.350691252</v>
      </c>
      <c r="E16" s="0" t="n">
        <f aca="false">-E12</f>
        <v>2318.52471890208</v>
      </c>
      <c r="F16" s="0" t="n">
        <f aca="false">-F12</f>
        <v>2434.45095484718</v>
      </c>
      <c r="G16" s="0" t="n">
        <f aca="false">-G12</f>
        <v>2556.17350258954</v>
      </c>
      <c r="H16" s="0" t="n">
        <f aca="false">-H12</f>
        <v>2671.20131020607</v>
      </c>
      <c r="I16" s="0" t="n">
        <f aca="false">-I12</f>
        <v>2778.04936261432</v>
      </c>
      <c r="J16" s="0" t="n">
        <f aca="false">-J12</f>
        <v>2875.28109030582</v>
      </c>
      <c r="K16" s="0" t="n">
        <f aca="false">-K12</f>
        <v>2961.53952301499</v>
      </c>
      <c r="L16" s="0" t="n">
        <f aca="false">-L12</f>
        <v>3050.38570870544</v>
      </c>
    </row>
    <row r="17" customFormat="false" ht="15" hidden="false" customHeight="false" outlineLevel="0" collapsed="false">
      <c r="A17" s="0" t="s">
        <v>124</v>
      </c>
      <c r="C17" s="4" t="n">
        <f aca="false">-C6*Assumptions!C46/100</f>
        <v>-1725.503631</v>
      </c>
      <c r="D17" s="4" t="n">
        <f aca="false">-D6*Assumptions!D46/100</f>
        <v>-1818.680827074</v>
      </c>
      <c r="E17" s="4" t="n">
        <f aca="false">-E6*Assumptions!E46/100</f>
        <v>-1952.44186854912</v>
      </c>
      <c r="F17" s="4" t="n">
        <f aca="false">-F6*Assumptions!F46/100</f>
        <v>-2114.12846078834</v>
      </c>
      <c r="G17" s="4" t="n">
        <f aca="false">-G6*Assumptions!G46/100</f>
        <v>-2287.10260758012</v>
      </c>
      <c r="H17" s="4" t="n">
        <f aca="false">-H6*Assumptions!H46/100</f>
        <v>-2460.31699624244</v>
      </c>
      <c r="I17" s="4" t="n">
        <f aca="false">-I6*Assumptions!I46/100</f>
        <v>-2558.72967609213</v>
      </c>
      <c r="J17" s="4" t="n">
        <f aca="false">-J6*Assumptions!J46/100</f>
        <v>-2648.28521475536</v>
      </c>
      <c r="K17" s="4" t="n">
        <f aca="false">-K6*Assumptions!K46/100</f>
        <v>-2727.73377119802</v>
      </c>
      <c r="L17" s="4" t="n">
        <f aca="false">-L6*Assumptions!L46/100</f>
        <v>-2809.56578433396</v>
      </c>
    </row>
    <row r="18" customFormat="false" ht="15" hidden="false" customHeight="false" outlineLevel="0" collapsed="false">
      <c r="A18" s="0" t="s">
        <v>125</v>
      </c>
      <c r="C18" s="4" t="n">
        <f aca="false">(C6-B6)*Assumptions!$B$51/100</f>
        <v>-0</v>
      </c>
      <c r="D18" s="4" t="n">
        <f aca="false">(D6-C6)*Assumptions!$B$51/100</f>
        <v>-920.2686032</v>
      </c>
      <c r="E18" s="4" t="n">
        <f aca="false">(E6-D6)*Assumptions!$B$51/100</f>
        <v>-1877.347950528</v>
      </c>
      <c r="F18" s="4" t="n">
        <f aca="false">(F6-E6)*Assumptions!$B$51/100</f>
        <v>-2440.5523356864</v>
      </c>
      <c r="G18" s="4" t="n">
        <f aca="false">(G6-F6)*Assumptions!$B$51/100</f>
        <v>-2562.57995247073</v>
      </c>
      <c r="H18" s="4" t="n">
        <f aca="false">(H6-G6)*Assumptions!$B$51/100</f>
        <v>-2421.63805508482</v>
      </c>
      <c r="I18" s="4" t="n">
        <f aca="false">(I6-H6)*Assumptions!$B$51/100</f>
        <v>-2249.4326822788</v>
      </c>
      <c r="J18" s="4" t="n">
        <f aca="false">(J6-I6)*Assumptions!$B$51/100</f>
        <v>-2046.9837408737</v>
      </c>
      <c r="K18" s="4" t="n">
        <f aca="false">(K6-J6)*Assumptions!$B$51/100</f>
        <v>-1815.96700440368</v>
      </c>
      <c r="L18" s="4" t="n">
        <f aca="false">(L6-K6)*Assumptions!$B$51/100</f>
        <v>-1870.44601453578</v>
      </c>
    </row>
    <row r="19" customFormat="false" ht="15" hidden="false" customHeight="false" outlineLevel="0" collapsed="false">
      <c r="A19" s="0" t="s">
        <v>126</v>
      </c>
      <c r="C19" s="0" t="n">
        <f aca="false">C15+C16+C17+C18</f>
        <v>8041.422088337</v>
      </c>
      <c r="D19" s="0" t="n">
        <f aca="false">D15+D16+D17+D18</f>
        <v>7309.55547492712</v>
      </c>
      <c r="E19" s="0" t="n">
        <f aca="false">E15+E16+E17+E18</f>
        <v>6770.13911289283</v>
      </c>
      <c r="F19" s="0" t="n">
        <f aca="false">F15+F16+F17+F18</f>
        <v>6732.20260418254</v>
      </c>
      <c r="G19" s="0" t="n">
        <f aca="false">G15+G16+G17+G18</f>
        <v>7166.35093383258</v>
      </c>
      <c r="H19" s="0" t="n">
        <f aca="false">H15+H16+H17+H18</f>
        <v>7674.79994978092</v>
      </c>
      <c r="I19" s="0" t="n">
        <f aca="false">I15+I16+I17+I18</f>
        <v>8250.86284278158</v>
      </c>
      <c r="J19" s="0" t="n">
        <f aca="false">J15+J16+J17+J18</f>
        <v>8820.82212756379</v>
      </c>
      <c r="K19" s="0" t="n">
        <f aca="false">K15+K16+K17+K18</f>
        <v>9377.87304008693</v>
      </c>
      <c r="L19" s="0" t="n">
        <f aca="false">L15+L16+L17+L18</f>
        <v>9659.20923128955</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7515.34774610935</v>
      </c>
      <c r="D21" s="0" t="n">
        <f aca="false">D19*D20</f>
        <v>6384.44883826283</v>
      </c>
      <c r="E21" s="0" t="n">
        <f aca="false">E19*E20</f>
        <v>5526.45018411014</v>
      </c>
      <c r="F21" s="0" t="n">
        <f aca="false">F19*F20</f>
        <v>5135.96513326474</v>
      </c>
      <c r="G21" s="0" t="n">
        <f aca="false">G19*G20</f>
        <v>5109.50917315251</v>
      </c>
      <c r="H21" s="0" t="n">
        <f aca="false">H19*H20</f>
        <v>5114.04326588388</v>
      </c>
      <c r="I21" s="0" t="n">
        <f aca="false">I19*I20</f>
        <v>5138.22270566739</v>
      </c>
      <c r="J21" s="0" t="n">
        <f aca="false">J19*J20</f>
        <v>5133.79878799087</v>
      </c>
      <c r="K21" s="0" t="n">
        <f aca="false">K19*K20</f>
        <v>5100.94158017347</v>
      </c>
      <c r="L21" s="0" t="n">
        <f aca="false">L19*L20</f>
        <v>4910.25217530717</v>
      </c>
    </row>
    <row r="23" customFormat="false" ht="15" hidden="false" customHeight="false" outlineLevel="0" collapsed="false">
      <c r="A23" s="0" t="s">
        <v>104</v>
      </c>
      <c r="C23" s="4" t="n">
        <f aca="false">Assumptions!C44</f>
        <v>0.35</v>
      </c>
      <c r="D23" s="4" t="n">
        <f aca="false">Assumptions!D44</f>
        <v>0.35</v>
      </c>
      <c r="E23" s="4" t="n">
        <f aca="false">Assumptions!E44</f>
        <v>0.35</v>
      </c>
      <c r="F23" s="4" t="n">
        <f aca="false">Assumptions!F44</f>
        <v>0.35</v>
      </c>
      <c r="G23" s="4" t="n">
        <f aca="false">Assumptions!G44</f>
        <v>0.35</v>
      </c>
      <c r="H23" s="4" t="n">
        <f aca="false">Assumptions!H44</f>
        <v>0.35</v>
      </c>
      <c r="I23" s="4" t="n">
        <f aca="false">Assumptions!I44</f>
        <v>0.35</v>
      </c>
      <c r="J23" s="4" t="n">
        <f aca="false">Assumptions!J44</f>
        <v>0.35</v>
      </c>
      <c r="K23" s="4" t="n">
        <f aca="false">Assumptions!K44</f>
        <v>0.35</v>
      </c>
      <c r="L23" s="4" t="n">
        <f aca="false">Assumptions!L44</f>
        <v>0.35</v>
      </c>
    </row>
    <row r="24" customFormat="false" ht="15" hidden="false" customHeight="false" outlineLevel="0" collapsed="false">
      <c r="A24" s="0" t="s">
        <v>129</v>
      </c>
      <c r="C24" s="0" t="n">
        <f aca="false">-C6*C23/100</f>
        <v>-2013.0875695</v>
      </c>
      <c r="D24" s="0" t="n">
        <f aca="false">-D6*D23/100</f>
        <v>-2053.34932089</v>
      </c>
      <c r="E24" s="0" t="n">
        <f aca="false">-E6*E23/100</f>
        <v>-2135.4832937256</v>
      </c>
      <c r="F24" s="0" t="n">
        <f aca="false">-F6*F23/100</f>
        <v>-2242.25745841188</v>
      </c>
      <c r="G24" s="0" t="n">
        <f aca="false">-G6*G23/100</f>
        <v>-2354.37033133247</v>
      </c>
      <c r="H24" s="0" t="n">
        <f aca="false">-H6*H23/100</f>
        <v>-2460.31699624244</v>
      </c>
      <c r="I24" s="0" t="n">
        <f aca="false">-I6*I23/100</f>
        <v>-2558.72967609213</v>
      </c>
      <c r="J24" s="0" t="n">
        <f aca="false">-J6*J23/100</f>
        <v>-2648.28521475536</v>
      </c>
      <c r="K24" s="0" t="n">
        <f aca="false">-K6*K23/100</f>
        <v>-2727.73377119802</v>
      </c>
      <c r="L24" s="0" t="n">
        <f aca="false">-L6*L23/100</f>
        <v>-2809.56578433396</v>
      </c>
    </row>
    <row r="26" customFormat="false" ht="15" hidden="false" customHeight="false" outlineLevel="0" collapsed="false">
      <c r="A26" s="2" t="s">
        <v>130</v>
      </c>
    </row>
    <row r="27" customFormat="false" ht="15" hidden="false" customHeight="false" outlineLevel="0" collapsed="false">
      <c r="A27" s="0" t="s">
        <v>108</v>
      </c>
      <c r="B27" s="4" t="n">
        <f aca="false">Assumptions!$B$48</f>
        <v>7</v>
      </c>
    </row>
    <row r="28" customFormat="false" ht="15" hidden="false" customHeight="false" outlineLevel="0" collapsed="false">
      <c r="A28" s="0" t="s">
        <v>109</v>
      </c>
      <c r="B28" s="4" t="n">
        <f aca="false">Assumptions!$B$49</f>
        <v>2.5</v>
      </c>
    </row>
    <row r="29" customFormat="false" ht="15" hidden="false" customHeight="false" outlineLevel="0" collapsed="false">
      <c r="A29" s="0" t="s">
        <v>110</v>
      </c>
      <c r="B29" s="4" t="n">
        <f aca="false">Assumptions!$B$50</f>
        <v>14</v>
      </c>
    </row>
    <row r="30" customFormat="false" ht="15" hidden="false" customHeight="false" outlineLevel="0" collapsed="false">
      <c r="A30" s="0" t="s">
        <v>131</v>
      </c>
      <c r="B30" s="0" t="n">
        <f aca="false">SUM(C21:L21)</f>
        <v>55068.9795899223</v>
      </c>
    </row>
    <row r="31" customFormat="false" ht="15" hidden="false" customHeight="false" outlineLevel="0" collapsed="false">
      <c r="A31" s="0" t="s">
        <v>132</v>
      </c>
      <c r="B31" s="0" t="n">
        <f aca="false">L19</f>
        <v>9659.20923128955</v>
      </c>
    </row>
    <row r="32" customFormat="false" ht="15" hidden="false" customHeight="false" outlineLevel="0" collapsed="false">
      <c r="A32" s="0" t="s">
        <v>133</v>
      </c>
      <c r="B32" s="0" t="n">
        <f aca="false">IF(B27&gt;B28,B31*(1+B28/100)/((B27-B28)/100),B31*B29)</f>
        <v>220015.321379373</v>
      </c>
    </row>
    <row r="33" customFormat="false" ht="15" hidden="false" customHeight="false" outlineLevel="0" collapsed="false">
      <c r="A33" s="0" t="s">
        <v>134</v>
      </c>
      <c r="B33" s="0" t="n">
        <f aca="false">B31*B29</f>
        <v>135228.929238054</v>
      </c>
    </row>
    <row r="34" customFormat="false" ht="15" hidden="false" customHeight="false" outlineLevel="0" collapsed="false">
      <c r="A34" s="0" t="s">
        <v>135</v>
      </c>
      <c r="B34" s="0" t="n">
        <f aca="false">MAX(0,MIN(B32,B33))</f>
        <v>135228.929238054</v>
      </c>
    </row>
    <row r="35" customFormat="false" ht="15" hidden="false" customHeight="false" outlineLevel="0" collapsed="false">
      <c r="A35" s="0" t="s">
        <v>136</v>
      </c>
      <c r="B35" s="0" t="n">
        <f aca="false">B34/(1+B27/100)^L4</f>
        <v>68743.5304543004</v>
      </c>
    </row>
    <row r="36" customFormat="false" ht="15" hidden="false" customHeight="false" outlineLevel="0" collapsed="false">
      <c r="A36" s="0" t="s">
        <v>137</v>
      </c>
      <c r="B36" s="0" t="n">
        <f aca="false">B30+B35</f>
        <v>123812.510044223</v>
      </c>
    </row>
    <row r="37" customFormat="false" ht="15" hidden="false" customHeight="false" outlineLevel="0" collapsed="false">
      <c r="A37" s="0" t="s">
        <v>138</v>
      </c>
      <c r="B37" s="0" t="n">
        <f aca="false">B36+Assumptions!$B$5-Assumptions!$B$4</f>
        <v>96632.1910442228</v>
      </c>
    </row>
    <row r="38" customFormat="false" ht="15" hidden="false" customHeight="false" outlineLevel="0" collapsed="false">
      <c r="A38" s="0" t="s">
        <v>139</v>
      </c>
      <c r="B38" s="0" t="n">
        <f aca="false">B37/Assumptions!$B$3*Assumptions!$B$10</f>
        <v>36.2975779265763</v>
      </c>
    </row>
    <row r="39" customFormat="false" ht="15" hidden="false" customHeight="false" outlineLevel="0" collapsed="false">
      <c r="A39" s="0" t="s">
        <v>140</v>
      </c>
      <c r="B39" s="4" t="n">
        <f aca="false">B38/Assumptions!$B$2-1</f>
        <v>1.4409938081087</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36.2975779265763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79205.5156965743</v>
      </c>
    </row>
    <row r="47" customFormat="false" ht="15" hidden="false" customHeight="false" outlineLevel="0" collapsed="false">
      <c r="A47" s="0" t="s">
        <v>145</v>
      </c>
      <c r="B47" s="0" t="n">
        <f aca="false">(SUMPRODUCT(C19:L19/(1+B45/100)^C4:L4)+B46/(1+B45/100)^L4+Assumptions!$B$5-Assumptions!$B$4)/Assumptions!$B$3*Assumptions!$B$10</f>
        <v>11.6962571882216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13.7509923301792</v>
      </c>
      <c r="C4" s="0" t="n">
        <f aca="false">B4/Assumptions!$B$2-1</f>
        <v>-0.0752527014001869</v>
      </c>
      <c r="D4" s="4" t="n">
        <f aca="false">Assumptions!$B$24</f>
        <v>0.3</v>
      </c>
      <c r="E4" s="4" t="n">
        <f aca="false">DCF_Bear!$B$43</f>
        <v>13.7509923301792</v>
      </c>
      <c r="F4" s="4" t="n">
        <f aca="false">DCF_Bear!$B$47</f>
        <v>4.35703662444518</v>
      </c>
    </row>
    <row r="5" customFormat="false" ht="15" hidden="false" customHeight="false" outlineLevel="0" collapsed="false">
      <c r="A5" s="0" t="s">
        <v>154</v>
      </c>
      <c r="B5" s="4" t="n">
        <f aca="false">DCF_Base!$B$38</f>
        <v>22.8771096450242</v>
      </c>
      <c r="C5" s="0" t="n">
        <f aca="false">B5/Assumptions!$B$2-1</f>
        <v>0.538474085072239</v>
      </c>
      <c r="D5" s="4" t="n">
        <f aca="false">Assumptions!$B$38</f>
        <v>0.5</v>
      </c>
      <c r="E5" s="4" t="n">
        <f aca="false">DCF_Base!$B$43</f>
        <v>22.8771096450242</v>
      </c>
      <c r="F5" s="4" t="n">
        <f aca="false">DCF_Base!$B$47</f>
        <v>7.40450759695472</v>
      </c>
    </row>
    <row r="6" customFormat="false" ht="15" hidden="false" customHeight="false" outlineLevel="0" collapsed="false">
      <c r="A6" s="0" t="s">
        <v>155</v>
      </c>
      <c r="B6" s="4" t="n">
        <f aca="false">DCF_Bull!$B$38</f>
        <v>36.2975779265763</v>
      </c>
      <c r="C6" s="0" t="n">
        <f aca="false">B6/Assumptions!$B$2-1</f>
        <v>1.4409938081087</v>
      </c>
      <c r="D6" s="4" t="n">
        <f aca="false">Assumptions!$B$52</f>
        <v>0.2</v>
      </c>
      <c r="E6" s="4" t="n">
        <f aca="false">DCF_Bull!$B$43</f>
        <v>36.2975779265763</v>
      </c>
      <c r="F6" s="4" t="n">
        <f aca="false">DCF_Bull!$B$47</f>
        <v>11.6962571882216</v>
      </c>
    </row>
    <row r="8" customFormat="false" ht="15" hidden="false" customHeight="false" outlineLevel="0" collapsed="false">
      <c r="A8" s="0" t="s">
        <v>156</v>
      </c>
      <c r="B8" s="0" t="n">
        <f aca="false">SUMPRODUCT(B4:B6,D4:D6)</f>
        <v>22.8233681068811</v>
      </c>
    </row>
    <row r="9" customFormat="false" ht="15" hidden="false" customHeight="false" outlineLevel="0" collapsed="false">
      <c r="A9" s="0" t="s">
        <v>157</v>
      </c>
      <c r="B9" s="0" t="n">
        <f aca="false">SUMPRODUCT(E4:E6,D4:D6)</f>
        <v>22.8233681068811</v>
      </c>
    </row>
    <row r="10" customFormat="false" ht="15" hidden="false" customHeight="false" outlineLevel="0" collapsed="false">
      <c r="A10" s="0" t="s">
        <v>158</v>
      </c>
      <c r="B10" s="0" t="n">
        <f aca="false">1-Assumptions!$B$2/B8</f>
        <v>0.348474776800503</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7.34861622345524</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22.8771096450242</v>
      </c>
      <c r="C15" s="3" t="n">
        <v>7</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18.7807007662454</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16.9917685283366</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14.7517869109142</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12.365964951279</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7.40450759695472</v>
      </c>
      <c r="C20" s="3" t="n">
        <v>15</v>
      </c>
    </row>
    <row r="22" customFormat="false" ht="15" hidden="false" customHeight="false" outlineLevel="0" collapsed="false">
      <c r="A22" s="2" t="s">
        <v>169</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27.7984399082506</v>
      </c>
      <c r="C24" s="0" t="n">
        <f aca="false">(SUMPRODUCT(DCF_Base!$C$19:$L$19/(1+$A$24/100)^DCF_Base!$C$4:$L$4)+MAX(0,MIN(IF($A$24&gt;$C$23,DCF_Base!$L$19*(1+$C$23/100)/(($A$24-$C$23)/100),DCF_Base!$L$19*DCF_Base!$B$29),DCF_Base!$L$19*DCF_Base!$B$29))/(1+$A$24/100)^DCF_Base!$L$4+Assumptions!$B$5-Assumptions!$B$4)/Assumptions!$B$3*Assumptions!$B$10</f>
        <v>27.7984399082506</v>
      </c>
      <c r="D24" s="0" t="n">
        <f aca="false">(SUMPRODUCT(DCF_Base!$C$19:$L$19/(1+$A$24/100)^DCF_Base!$C$4:$L$4)+MAX(0,MIN(IF($A$24&gt;$D$23,DCF_Base!$L$19*(1+$D$23/100)/(($A$24-$D$23)/100),DCF_Base!$L$19*DCF_Base!$B$29),DCF_Base!$L$19*DCF_Base!$B$29))/(1+$A$24/100)^DCF_Base!$L$4+Assumptions!$B$5-Assumptions!$B$4)/Assumptions!$B$3*Assumptions!$B$10</f>
        <v>27.7984399082506</v>
      </c>
      <c r="E24" s="0" t="n">
        <f aca="false">(SUMPRODUCT(DCF_Base!$C$19:$L$19/(1+$A$24/100)^DCF_Base!$C$4:$L$4)+MAX(0,MIN(IF($A$24&gt;$E$23,DCF_Base!$L$19*(1+$E$23/100)/(($A$24-$E$23)/100),DCF_Base!$L$19*DCF_Base!$B$29),DCF_Base!$L$19*DCF_Base!$B$29))/(1+$A$24/100)^DCF_Base!$L$4+Assumptions!$B$5-Assumptions!$B$4)/Assumptions!$B$3*Assumptions!$B$10</f>
        <v>27.7984399082506</v>
      </c>
      <c r="F24" s="0" t="n">
        <f aca="false">(SUMPRODUCT(DCF_Base!$C$19:$L$19/(1+$A$24/100)^DCF_Base!$C$4:$L$4)+MAX(0,MIN(IF($A$24&gt;$F$23,DCF_Base!$L$19*(1+$F$23/100)/(($A$24-$F$23)/100),DCF_Base!$L$19*DCF_Base!$B$29),DCF_Base!$L$19*DCF_Base!$B$29))/(1+$A$24/100)^DCF_Base!$L$4+Assumptions!$B$5-Assumptions!$B$4)/Assumptions!$B$3*Assumptions!$B$10</f>
        <v>27.7984399082506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25.2234263282815</v>
      </c>
      <c r="C25" s="0" t="n">
        <f aca="false">(SUMPRODUCT(DCF_Base!$C$19:$L$19/(1+$A$25/100)^DCF_Base!$C$4:$L$4)+MAX(0,MIN(IF($A$25&gt;$C$23,DCF_Base!$L$19*(1+$C$23/100)/(($A$25-$C$23)/100),DCF_Base!$L$19*DCF_Base!$B$29),DCF_Base!$L$19*DCF_Base!$B$29))/(1+$A$25/100)^DCF_Base!$L$4+Assumptions!$B$5-Assumptions!$B$4)/Assumptions!$B$3*Assumptions!$B$10</f>
        <v>25.2234263282815</v>
      </c>
      <c r="D25" s="0" t="n">
        <f aca="false">(SUMPRODUCT(DCF_Base!$C$19:$L$19/(1+$A$25/100)^DCF_Base!$C$4:$L$4)+MAX(0,MIN(IF($A$25&gt;$D$23,DCF_Base!$L$19*(1+$D$23/100)/(($A$25-$D$23)/100),DCF_Base!$L$19*DCF_Base!$B$29),DCF_Base!$L$19*DCF_Base!$B$29))/(1+$A$25/100)^DCF_Base!$L$4+Assumptions!$B$5-Assumptions!$B$4)/Assumptions!$B$3*Assumptions!$B$10</f>
        <v>25.2234263282815</v>
      </c>
      <c r="E25" s="0" t="n">
        <f aca="false">(SUMPRODUCT(DCF_Base!$C$19:$L$19/(1+$A$25/100)^DCF_Base!$C$4:$L$4)+MAX(0,MIN(IF($A$25&gt;$E$23,DCF_Base!$L$19*(1+$E$23/100)/(($A$25-$E$23)/100),DCF_Base!$L$19*DCF_Base!$B$29),DCF_Base!$L$19*DCF_Base!$B$29))/(1+$A$25/100)^DCF_Base!$L$4+Assumptions!$B$5-Assumptions!$B$4)/Assumptions!$B$3*Assumptions!$B$10</f>
        <v>25.2234263282815</v>
      </c>
      <c r="F25" s="0" t="n">
        <f aca="false">(SUMPRODUCT(DCF_Base!$C$19:$L$19/(1+$A$25/100)^DCF_Base!$C$4:$L$4)+MAX(0,MIN(IF($A$25&gt;$F$23,DCF_Base!$L$19*(1+$F$23/100)/(($A$25-$F$23)/100),DCF_Base!$L$19*DCF_Base!$B$29),DCF_Base!$L$19*DCF_Base!$B$29))/(1+$A$25/100)^DCF_Base!$L$4+Assumptions!$B$5-Assumptions!$B$4)/Assumptions!$B$3*Assumptions!$B$10</f>
        <v>25.2234263282815</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22.8771096450242</v>
      </c>
      <c r="C26" s="0" t="n">
        <f aca="false">(SUMPRODUCT(DCF_Base!$C$19:$L$19/(1+$A$26/100)^DCF_Base!$C$4:$L$4)+MAX(0,MIN(IF($A$26&gt;$C$23,DCF_Base!$L$19*(1+$C$23/100)/(($A$26-$C$23)/100),DCF_Base!$L$19*DCF_Base!$B$29),DCF_Base!$L$19*DCF_Base!$B$29))/(1+$A$26/100)^DCF_Base!$L$4+Assumptions!$B$5-Assumptions!$B$4)/Assumptions!$B$3*Assumptions!$B$10</f>
        <v>22.8771096450242</v>
      </c>
      <c r="D26" s="0" t="n">
        <f aca="false">(SUMPRODUCT(DCF_Base!$C$19:$L$19/(1+$A$26/100)^DCF_Base!$C$4:$L$4)+MAX(0,MIN(IF($A$26&gt;$D$23,DCF_Base!$L$19*(1+$D$23/100)/(($A$26-$D$23)/100),DCF_Base!$L$19*DCF_Base!$B$29),DCF_Base!$L$19*DCF_Base!$B$29))/(1+$A$26/100)^DCF_Base!$L$4+Assumptions!$B$5-Assumptions!$B$4)/Assumptions!$B$3*Assumptions!$B$10</f>
        <v>22.8771096450242</v>
      </c>
      <c r="E26" s="0" t="n">
        <f aca="false">(SUMPRODUCT(DCF_Base!$C$19:$L$19/(1+$A$26/100)^DCF_Base!$C$4:$L$4)+MAX(0,MIN(IF($A$26&gt;$E$23,DCF_Base!$L$19*(1+$E$23/100)/(($A$26-$E$23)/100),DCF_Base!$L$19*DCF_Base!$B$29),DCF_Base!$L$19*DCF_Base!$B$29))/(1+$A$26/100)^DCF_Base!$L$4+Assumptions!$B$5-Assumptions!$B$4)/Assumptions!$B$3*Assumptions!$B$10</f>
        <v>22.8771096450242</v>
      </c>
      <c r="F26" s="0" t="n">
        <f aca="false">(SUMPRODUCT(DCF_Base!$C$19:$L$19/(1+$A$26/100)^DCF_Base!$C$4:$L$4)+MAX(0,MIN(IF($A$26&gt;$F$23,DCF_Base!$L$19*(1+$F$23/100)/(($A$26-$F$23)/100),DCF_Base!$L$19*DCF_Base!$B$29),DCF_Base!$L$19*DCF_Base!$B$29))/(1+$A$26/100)^DCF_Base!$L$4+Assumptions!$B$5-Assumptions!$B$4)/Assumptions!$B$3*Assumptions!$B$10</f>
        <v>22.8771096450242</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20.7363834140542</v>
      </c>
      <c r="C27" s="0" t="n">
        <f aca="false">(SUMPRODUCT(DCF_Base!$C$19:$L$19/(1+$A$27/100)^DCF_Base!$C$4:$L$4)+MAX(0,MIN(IF($A$27&gt;$C$23,DCF_Base!$L$19*(1+$C$23/100)/(($A$27-$C$23)/100),DCF_Base!$L$19*DCF_Base!$B$29),DCF_Base!$L$19*DCF_Base!$B$29))/(1+$A$27/100)^DCF_Base!$L$4+Assumptions!$B$5-Assumptions!$B$4)/Assumptions!$B$3*Assumptions!$B$10</f>
        <v>20.7363834140542</v>
      </c>
      <c r="D27" s="0" t="n">
        <f aca="false">(SUMPRODUCT(DCF_Base!$C$19:$L$19/(1+$A$27/100)^DCF_Base!$C$4:$L$4)+MAX(0,MIN(IF($A$27&gt;$D$23,DCF_Base!$L$19*(1+$D$23/100)/(($A$27-$D$23)/100),DCF_Base!$L$19*DCF_Base!$B$29),DCF_Base!$L$19*DCF_Base!$B$29))/(1+$A$27/100)^DCF_Base!$L$4+Assumptions!$B$5-Assumptions!$B$4)/Assumptions!$B$3*Assumptions!$B$10</f>
        <v>20.7363834140542</v>
      </c>
      <c r="E27" s="0" t="n">
        <f aca="false">(SUMPRODUCT(DCF_Base!$C$19:$L$19/(1+$A$27/100)^DCF_Base!$C$4:$L$4)+MAX(0,MIN(IF($A$27&gt;$E$23,DCF_Base!$L$19*(1+$E$23/100)/(($A$27-$E$23)/100),DCF_Base!$L$19*DCF_Base!$B$29),DCF_Base!$L$19*DCF_Base!$B$29))/(1+$A$27/100)^DCF_Base!$L$4+Assumptions!$B$5-Assumptions!$B$4)/Assumptions!$B$3*Assumptions!$B$10</f>
        <v>20.7363834140542</v>
      </c>
      <c r="F27" s="0" t="n">
        <f aca="false">(SUMPRODUCT(DCF_Base!$C$19:$L$19/(1+$A$27/100)^DCF_Base!$C$4:$L$4)+MAX(0,MIN(IF($A$27&gt;$F$23,DCF_Base!$L$19*(1+$F$23/100)/(($A$27-$F$23)/100),DCF_Base!$L$19*DCF_Base!$B$29),DCF_Base!$L$19*DCF_Base!$B$29))/(1+$A$27/100)^DCF_Base!$L$4+Assumptions!$B$5-Assumptions!$B$4)/Assumptions!$B$3*Assumptions!$B$10</f>
        <v>20.7363834140542</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18.7807007662454</v>
      </c>
      <c r="C28" s="0" t="n">
        <f aca="false">(SUMPRODUCT(DCF_Base!$C$19:$L$19/(1+$A$28/100)^DCF_Base!$C$4:$L$4)+MAX(0,MIN(IF($A$28&gt;$C$23,DCF_Base!$L$19*(1+$C$23/100)/(($A$28-$C$23)/100),DCF_Base!$L$19*DCF_Base!$B$29),DCF_Base!$L$19*DCF_Base!$B$29))/(1+$A$28/100)^DCF_Base!$L$4+Assumptions!$B$5-Assumptions!$B$4)/Assumptions!$B$3*Assumptions!$B$10</f>
        <v>18.7807007662454</v>
      </c>
      <c r="D28" s="0" t="n">
        <f aca="false">(SUMPRODUCT(DCF_Base!$C$19:$L$19/(1+$A$28/100)^DCF_Base!$C$4:$L$4)+MAX(0,MIN(IF($A$28&gt;$D$23,DCF_Base!$L$19*(1+$D$23/100)/(($A$28-$D$23)/100),DCF_Base!$L$19*DCF_Base!$B$29),DCF_Base!$L$19*DCF_Base!$B$29))/(1+$A$28/100)^DCF_Base!$L$4+Assumptions!$B$5-Assumptions!$B$4)/Assumptions!$B$3*Assumptions!$B$10</f>
        <v>18.7807007662454</v>
      </c>
      <c r="E28" s="0" t="n">
        <f aca="false">(SUMPRODUCT(DCF_Base!$C$19:$L$19/(1+$A$28/100)^DCF_Base!$C$4:$L$4)+MAX(0,MIN(IF($A$28&gt;$E$23,DCF_Base!$L$19*(1+$E$23/100)/(($A$28-$E$23)/100),DCF_Base!$L$19*DCF_Base!$B$29),DCF_Base!$L$19*DCF_Base!$B$29))/(1+$A$28/100)^DCF_Base!$L$4+Assumptions!$B$5-Assumptions!$B$4)/Assumptions!$B$3*Assumptions!$B$10</f>
        <v>18.7807007662454</v>
      </c>
      <c r="F28" s="0" t="n">
        <f aca="false">(SUMPRODUCT(DCF_Base!$C$19:$L$19/(1+$A$28/100)^DCF_Base!$C$4:$L$4)+MAX(0,MIN(IF($A$28&gt;$F$23,DCF_Base!$L$19*(1+$F$23/100)/(($A$28-$F$23)/100),DCF_Base!$L$19*DCF_Base!$B$29),DCF_Base!$L$19*DCF_Base!$B$29))/(1+$A$28/100)^DCF_Base!$L$4+Assumptions!$B$5-Assumptions!$B$4)/Assumptions!$B$3*Assumptions!$B$10</f>
        <v>18.7807007662454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2026-10-11T16:43:57Z</dcterms:created>
  <dc:creator>openpyxl</dc:creator>
  <dc:description/>
  <dc:language>en-NZ</dc:language>
  <cp:lastModifiedBy/>
  <dcterms:modified xsi:type="dcterms:W3CDTF">2026-10-11T16:43:57Z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