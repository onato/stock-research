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<sst xmlns="http://schemas.openxmlformats.org/spreadsheetml/2006/main" count="358" uniqueCount="168">
  <si>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</si>
  <si>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HLMA.L</t>
  </si>
  <si>
    <t xml:space="preserve">Company</t>
  </si>
  <si>
    <t xml:space="preserve">Halma plc</t>
  </si>
  <si>
    <t xml:space="preserve">Valuation date</t>
  </si>
  <si>
    <t xml:space="preserve">2026-10-10</t>
  </si>
  <si>
    <t xml:space="preserve">Current price</t>
  </si>
  <si>
    <t xml:space="preserve">Price as of</t>
  </si>
  <si>
    <t xml:space="preserve">2026-10-09T15:35:04Z</t>
  </si>
  <si>
    <t xml:space="preserve">Balance sheet date</t>
  </si>
  <si>
    <t xml:space="preserve">2026-03-31</t>
  </si>
  <si>
    <t xml:space="preserve">Model</t>
  </si>
  <si>
    <t xml:space="preserve">owner_fcf_dcf_component</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</si>
  <si>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</si>
  <si>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</si>
  <si>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</si>
  <si>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</si>
  <si>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</si>
  <si>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</si>
  <si>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</si>
  <si>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</si>
  <si>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</si>
  <si>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2026-10-09T23:29:04Z</t>
  </si>
  <si>
    <t xml:space="preserve">Drivers file</t>
  </si>
  <si>
    <t xml:space="preserve">HLMA.L_Drivers.json</t>
  </si>
  <si>
    <t xml:space="preserve">Convention</t>
  </si>
  <si>
    <t xml:space="preserve">Percents stored as percents; formulas divide by 100. Blue = input, green = link, black = formula.</t>
  </si>
  <si>
    <t xml:space="preserve">Methodology</t>
  </si>
  <si>
    <t xml:space="preserve">summary: Value the organic owner-FCF stream of a decentralised, high-return niche industrial at a GBP-built 8.5% WACC, charging SBC and IFRS-16 lease cash in the flows once each and treating Halma's large and continuous M&amp;A programme as NPV-neutral. The deliberate consequence is that this model does not credit the thing the market has historically paid ~30x earnings for: 20+ years of redeploying cash into bolt-ons at returns above WACC. The gap between the model's weighted value and the price is therefore an explicit statement of how much of today's price rests on (a) the AI photonics premium persisting and (b) continued value-accretive M&amp;A, rather than a claim that the market is simply wrong. The required-return table says what return the current price implies on the base organic path.
key_risks_to_valuation: Single hyperscaler customer at ~20% of Group revenue (12% in FY2024) in an AI-capex-cyclical photonics niche; a pause is the bear case and carries 30% weight; Base case assumes the photonics premium fades gently rather than reversing; a sharper reversal pushes base toward bear; M&amp;A treated as NPV-neutral: if Halma keeps compounding acquired capital at ~14-15% ROTIC, intrinsic value is understated; if the record GBP 900m+ of FY2026-27 deals integrates poorly, it is overstated via the base growth path; Terminal value is the majority of EV at 8.5% WACC / 2.5% g; each 50bp of WACC moves the base value by roughly 8-10%; 52% USD revenue: sterling strength is a persistent translation drag (FY2026 -2.7% revenue); flows are modelled in GBP at the September 2026 FX assumption; Cash tax modelled at 24% on unlevered EBIT vs ~20% actually paid in FY2026: conservative by ~GBP 25-30m/yr if the timing benefit persists; Leadership transition: Environmental &amp; Analysis sector CE departed to competitor Spectris, CTO leaving, in a model that depends on a deep bench of entrepreneurial managers</t>
  </si>
  <si>
    <t xml:space="preserve">Data sources</t>
  </si>
  <si>
    <t xml:space="preserve">price: Yahoo Finance chart API at inputs.price_as_of (LSE regular close); 52-week range 3268-4902 GBp
financials: HLMA.L_Metrics.csv (FY2019-FY2026 annual + half-years, extraction gate clean); FY2026 Annual Report: consolidated cash flow statement (Extracted/HLMA.L_Annual_FY2026.txt:11374-11423), EPS note diluted shares (:12491-12495), leases note 28 (:14394-14455: ROU depreciation 26.4, lease interest 4.3, total lease cash 29.3), balance sheet working capital (:11254-11276)
qualitative: HLMA.L_Analysis.json (2026-10-10): FY2026 results June 2026, 24 Sept 2026 trading update guidance (low-double-digit organic, 23.5-24% adjusted EBIT margin, ~30% photonics growth, capex GBP 55-60m, ETR 23.5-24%, central costs ~GBP 60m, FX -GBP 8m revenue), hyperscaler customer concentration disclosure</t>
  </si>
  <si>
    <t xml:space="preserve">Scenario narrative: bear</t>
  </si>
  <si>
    <t xml:space="preserve">The June 2026 de-rating was the first signal, not the last: the single hyperscaler customer (~20% of FY2026 revenue, up from 12% two years ago) pauses or re-sources optical-switch capacity in FY2028, taking photonics down ~30% and Group organic growth to zero for a year while the above-Group-margin business de-leverages (adjusted EBIT margin ~21%). The remaining portfolio is sound but grows at the bottom of its historical 4-5% organic range, the record GBP 900m+ of FY2026-27 acquisitions carry integration risk under new sector leadership (E&amp;A sector CE left for Spectris, CTO departing), and the market stops paying for an AI premium (terminal cap 18x). No solvency issue: net debt/EBITDA 1.16x against a 3.5x covenant, so this is a growth-and-multiple bear, not a balance-sheet one.</t>
  </si>
  <si>
    <t xml:space="preserve">Scenario narrative: base</t>
  </si>
  <si>
    <t xml:space="preserve">Halma delivers FY2027 as guided at the September 2026 trading update: low-double-digit organic growth with ~5pp from photonics (growing ~30%, down from 52%) and an adjusted EBIT margin of 23.5-24%. The photonics premium then fades over two years as the optical-switch programme matures and the hyperscaler customer's share of Group revenue plateaus around 20% and dilutes, leaving the other ~45 companies compounding at Halma's long-run ~7% organic trend before easing to 4% by FY2036. Margins hold at the FY2027 level; cash conversion stays ~90% with working capital absorbing ~17% of each year's revenue increase. M&amp;A continues at GBP 400-500m/yr but is NPV-neutral in the model, so the value here is the organic cash stream only.</t>
  </si>
  <si>
    <t xml:space="preserve">Scenario narrative: bull</t>
  </si>
  <si>
    <t xml:space="preserve">The AI data-centre build-out runs for several more years and Avo Photonics wins the next two generations of co-designed optical switch, with a second hyperscaler diversifying the concentration; the order book ahead of revenue (Sept 2026) converts into 14% growth in FY2027 and 10-12% through FY2029. Operating leverage and pricing lift adjusted EBIT margin toward 25%, the top of Halma's historical range, and the group re-earns its compounder premium. Terminal growth 3%, same 8.5% WACC.</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</si>
  <si>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</si>
  <si>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</si>
  <si>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</si>
  <si>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</si>
  <si>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</si>
  <si>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</si>
  <si>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</si>
  <si>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</si>
  <si>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</si>
  <si>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</si>
  <si>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</si>
  <si>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</si>
  <si>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</si>
  <si>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</si>
  <si>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</si>
  <si>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</si>
  <si>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</si>
  <si>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</si>
  <si>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</si>
  <si>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</si>
  <si>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</si>
  <si>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</si>
  <si>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</si>
  <si>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</si>
  <si>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</si>
  <si>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</si>
  <si>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</si>
  <si>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AdjustedEPS</t>
  </si>
  <si>
    <t xml:space="preserve">AdjustedOperatingProfit</t>
  </si>
  <si>
    <t xml:space="preserve">CapitalisedDevelopmentCosts</t>
  </si>
  <si>
    <t xml:space="preserve">ShareAwardSettlement</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</si>
  <si>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</si>
  <si>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</si>
  <si>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</si>
  <si>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</si>
  <si>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</si>
  <si>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</si>
  <si>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</si>
  <si>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</si>
  <si>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</si>
  <si>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</si>
  <si>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</si>
  <si>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</si>
  <si>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</si>
  <si>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</si>
  <si>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</si>
  <si>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</si>
  <si>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</si>
  <si>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</si>
  <si>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</si>
  <si>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</si>
  <si>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</si>
  <si>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</si>
  <si>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</si>
  <si>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</si>
  <si>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</si>
  <si>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</si>
  <si>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</si>
  <si>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</si>
  <si>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</si>
  <si>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</si>
  <si>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</si>
  <si>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</si>
  <si>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</si>
  <si>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</si>
  <si>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</si>
  <si>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</si>
  <si>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</si>
  <si>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</si>
  <si>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</si>
  <si>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</si>
  <si>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</si>
  <si>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</si>
  <si>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</si>
  <si>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</si>
  <si>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</si>
  <si>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HLMA.L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</si>
  <si>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</si>
  <si>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</si>
  <si>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</si>
  <si>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</si>
  <si>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</si>
  <si>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</si>
  <si>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</si>
  <si>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</si>
  <si>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</si>
  <si>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</si>
  <si>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</si>
  <si>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</si>
  <si>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</si>
  <si>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</si>
  <si>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</si>
  <si>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</si>
  <si>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</si>
  <si>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</si>
  <si>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</si>
  <si>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</si>
  <si>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</si>
  <si>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</si>
  <si>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</si>
  <si>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</si>
  <si>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</si>
  <si>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</si>
  <si>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</si>
  <si>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</si>
  <si>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</si>
  <si>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</si>
  <si>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HLMA.L owner-FCF component DCF: base case (millions, GBP)</t>
  </si>
  <si>
    <t xml:space="preserve">HLMA.L owner-FCF component DCF: bull case (millions, GBP)</t>
  </si>
  <si>
    <t xml:space="preserve">HLMA.L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</si>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</sst>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3528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1210.9</v>
      </c>
      <c r="F2" s="0" t="n">
        <v>217.8</v>
      </c>
      <c r="G2" s="0" t="n">
        <v>18</v>
      </c>
      <c r="H2" s="0" t="n">
        <v>287.2</v>
      </c>
      <c r="I2" s="0" t="n">
        <v>169.8</v>
      </c>
      <c r="J2" s="0" t="n">
        <v>14</v>
      </c>
      <c r="K2" s="0" t="n">
        <v>0.4478</v>
      </c>
      <c r="L2" s="0" t="n">
        <v>219</v>
      </c>
      <c r="M2" s="0" t="n">
        <v>42.1</v>
      </c>
      <c r="N2" s="0" t="n">
        <v>176.9</v>
      </c>
      <c r="O2" s="0" t="n">
        <v>981.4</v>
      </c>
      <c r="P2" s="0" t="n">
        <v>1543.1</v>
      </c>
      <c r="Q2" s="0" t="n">
        <v>561.7</v>
      </c>
      <c r="R2" s="0" t="n">
        <v>262.9</v>
      </c>
      <c r="S2" s="0" t="n">
        <v>81.2</v>
      </c>
      <c r="T2" s="0" t="n">
        <v>379.2</v>
      </c>
      <c r="U2" s="0" t="n">
        <v>10.8</v>
      </c>
      <c r="V2" s="0" t="n">
        <v>0.1571</v>
      </c>
      <c r="AA2" s="0" t="s">
        <v>18</v>
      </c>
      <c r="AB2" s="0" t="s">
        <v>14</v>
      </c>
      <c r="AC2" s="0" t="n">
        <v>0.5274</v>
      </c>
      <c r="AD2" s="0" t="n">
        <v>255.8</v>
      </c>
      <c r="AE2" s="0" t="n">
        <v>10.8</v>
      </c>
      <c r="AF2" s="0" t="n">
        <v>3.8</v>
      </c>
    </row>
    <row r="3" customFormat="false" ht="15" hidden="false" customHeight="false" outlineLevel="0" collapsed="false">
      <c r="A3" s="0" t="s">
        <v>69</v>
      </c>
      <c r="B3" s="0" t="n">
        <v>1338.4</v>
      </c>
      <c r="F3" s="0" t="n">
        <v>233.4</v>
      </c>
      <c r="G3" s="0" t="n">
        <v>17.4</v>
      </c>
      <c r="H3" s="0" t="n">
        <v>330.7</v>
      </c>
      <c r="I3" s="0" t="n">
        <v>184.4</v>
      </c>
      <c r="J3" s="0" t="n">
        <v>13.8</v>
      </c>
      <c r="K3" s="0" t="n">
        <v>0.4866</v>
      </c>
      <c r="L3" s="0" t="n">
        <v>255.5</v>
      </c>
      <c r="M3" s="0" t="n">
        <v>48.8</v>
      </c>
      <c r="N3" s="0" t="n">
        <v>206.7</v>
      </c>
      <c r="O3" s="0" t="n">
        <v>1136.9</v>
      </c>
      <c r="P3" s="0" t="n">
        <v>1937.8</v>
      </c>
      <c r="Q3" s="0" t="n">
        <v>800.9</v>
      </c>
      <c r="R3" s="0" t="n">
        <v>420.1</v>
      </c>
      <c r="S3" s="0" t="n">
        <v>106.3</v>
      </c>
      <c r="T3" s="0" t="n">
        <v>379</v>
      </c>
      <c r="U3" s="0" t="n">
        <v>12.3</v>
      </c>
      <c r="V3" s="0" t="n">
        <v>0.165</v>
      </c>
      <c r="AA3" s="0" t="s">
        <v>18</v>
      </c>
      <c r="AB3" s="0" t="s">
        <v>14</v>
      </c>
      <c r="AC3" s="0" t="n">
        <v>0.5739</v>
      </c>
      <c r="AD3" s="0" t="n">
        <v>279.2</v>
      </c>
      <c r="AE3" s="0" t="n">
        <v>14.7</v>
      </c>
      <c r="AF3" s="0" t="n">
        <v>16.7</v>
      </c>
    </row>
    <row r="4" customFormat="false" ht="15" hidden="false" customHeight="false" outlineLevel="0" collapsed="false">
      <c r="A4" s="0" t="s">
        <v>70</v>
      </c>
      <c r="B4" s="0" t="n">
        <v>1318.2</v>
      </c>
      <c r="F4" s="0" t="n">
        <v>240.8</v>
      </c>
      <c r="G4" s="0" t="n">
        <v>18.3</v>
      </c>
      <c r="H4" s="0" t="n">
        <v>339.1</v>
      </c>
      <c r="I4" s="0" t="n">
        <v>203.4</v>
      </c>
      <c r="J4" s="0" t="n">
        <v>15.4</v>
      </c>
      <c r="K4" s="0" t="n">
        <v>0.5361</v>
      </c>
      <c r="L4" s="0" t="n">
        <v>277.6</v>
      </c>
      <c r="M4" s="0" t="n">
        <v>42.2</v>
      </c>
      <c r="N4" s="0" t="n">
        <v>235.4</v>
      </c>
      <c r="O4" s="0" t="n">
        <v>1167.6</v>
      </c>
      <c r="P4" s="0" t="n">
        <v>1877.9</v>
      </c>
      <c r="Q4" s="0" t="n">
        <v>710.3</v>
      </c>
      <c r="R4" s="0" t="n">
        <v>325.3</v>
      </c>
      <c r="S4" s="0" t="n">
        <v>134.1</v>
      </c>
      <c r="T4" s="0" t="n">
        <v>379.4</v>
      </c>
      <c r="U4" s="0" t="n">
        <v>13.4</v>
      </c>
      <c r="V4" s="0" t="n">
        <v>0.1765</v>
      </c>
      <c r="AA4" s="0" t="s">
        <v>18</v>
      </c>
      <c r="AB4" s="0" t="s">
        <v>14</v>
      </c>
      <c r="AC4" s="0" t="n">
        <v>0.5867</v>
      </c>
      <c r="AD4" s="0" t="n">
        <v>288.3</v>
      </c>
      <c r="AE4" s="0" t="n">
        <v>15.4</v>
      </c>
      <c r="AF4" s="0" t="n">
        <v>16.2</v>
      </c>
    </row>
    <row r="5" customFormat="false" ht="15" hidden="false" customHeight="false" outlineLevel="0" collapsed="false">
      <c r="A5" s="0" t="s">
        <v>71</v>
      </c>
      <c r="B5" s="0" t="n">
        <v>1525.3</v>
      </c>
      <c r="F5" s="0" t="n">
        <v>278.9</v>
      </c>
      <c r="G5" s="0" t="n">
        <v>18.3</v>
      </c>
      <c r="H5" s="0" t="n">
        <v>373.8</v>
      </c>
      <c r="I5" s="0" t="n">
        <v>244.4</v>
      </c>
      <c r="J5" s="0" t="n">
        <v>16</v>
      </c>
      <c r="K5" s="0" t="n">
        <v>0.6454</v>
      </c>
      <c r="L5" s="0" t="n">
        <v>237.4</v>
      </c>
      <c r="M5" s="0" t="n">
        <v>40</v>
      </c>
      <c r="N5" s="0" t="n">
        <v>197.4</v>
      </c>
      <c r="O5" s="0" t="n">
        <v>1403.1</v>
      </c>
      <c r="P5" s="0" t="n">
        <v>2197</v>
      </c>
      <c r="Q5" s="0" t="n">
        <v>793.9</v>
      </c>
      <c r="R5" s="0" t="n">
        <v>360.1</v>
      </c>
      <c r="S5" s="0" t="n">
        <v>157.4</v>
      </c>
      <c r="T5" s="0" t="n">
        <v>378.7</v>
      </c>
      <c r="U5" s="0" t="n">
        <v>14.6</v>
      </c>
      <c r="V5" s="0" t="n">
        <v>0.1888</v>
      </c>
      <c r="AA5" s="0" t="s">
        <v>18</v>
      </c>
      <c r="AB5" s="0" t="s">
        <v>14</v>
      </c>
      <c r="AC5" s="0" t="n">
        <v>0.6548</v>
      </c>
      <c r="AD5" s="0" t="n">
        <v>324.7</v>
      </c>
      <c r="AE5" s="0" t="n">
        <v>13.4</v>
      </c>
      <c r="AF5" s="0" t="n">
        <v>19.3</v>
      </c>
    </row>
    <row r="6" customFormat="false" ht="15" hidden="false" customHeight="false" outlineLevel="0" collapsed="false">
      <c r="A6" s="0" t="s">
        <v>72</v>
      </c>
      <c r="B6" s="0" t="n">
        <v>1852.8</v>
      </c>
      <c r="F6" s="0" t="n">
        <v>308.4</v>
      </c>
      <c r="G6" s="0" t="n">
        <v>16.6</v>
      </c>
      <c r="H6" s="0" t="n">
        <v>431.7</v>
      </c>
      <c r="I6" s="0" t="n">
        <v>234.5</v>
      </c>
      <c r="J6" s="0" t="n">
        <v>12.7</v>
      </c>
      <c r="K6" s="0" t="n">
        <v>0.6204</v>
      </c>
      <c r="L6" s="0" t="n">
        <v>258</v>
      </c>
      <c r="M6" s="0" t="n">
        <v>45.9</v>
      </c>
      <c r="N6" s="0" t="n">
        <v>212.1</v>
      </c>
      <c r="O6" s="0" t="n">
        <v>1598.9</v>
      </c>
      <c r="P6" s="0" t="n">
        <v>2788.4</v>
      </c>
      <c r="Q6" s="0" t="n">
        <v>1189.5</v>
      </c>
      <c r="R6" s="0" t="n">
        <v>678.3</v>
      </c>
      <c r="S6" s="0" t="n">
        <v>169.5</v>
      </c>
      <c r="T6" s="0" t="n">
        <v>378</v>
      </c>
      <c r="U6" s="0" t="n">
        <v>19.6</v>
      </c>
      <c r="V6" s="0" t="n">
        <v>0.202</v>
      </c>
      <c r="AA6" s="0" t="s">
        <v>18</v>
      </c>
      <c r="AB6" s="0" t="s">
        <v>14</v>
      </c>
      <c r="AC6" s="0" t="n">
        <v>0.7634</v>
      </c>
      <c r="AD6" s="0" t="n">
        <v>378.2</v>
      </c>
      <c r="AE6" s="0" t="n">
        <v>15.8</v>
      </c>
      <c r="AF6" s="0" t="n">
        <v>22.3</v>
      </c>
    </row>
    <row r="7" customFormat="false" ht="15" hidden="false" customHeight="false" outlineLevel="0" collapsed="false">
      <c r="A7" s="0" t="s">
        <v>73</v>
      </c>
      <c r="B7" s="0" t="n">
        <v>2034.1</v>
      </c>
      <c r="F7" s="0" t="n">
        <v>367.7</v>
      </c>
      <c r="G7" s="0" t="n">
        <v>18.1</v>
      </c>
      <c r="H7" s="0" t="n">
        <v>483.1</v>
      </c>
      <c r="I7" s="0" t="n">
        <v>268.8</v>
      </c>
      <c r="J7" s="0" t="n">
        <v>13.2</v>
      </c>
      <c r="K7" s="0" t="n">
        <v>0.7123</v>
      </c>
      <c r="L7" s="0" t="n">
        <v>385</v>
      </c>
      <c r="M7" s="0" t="n">
        <v>51.6</v>
      </c>
      <c r="N7" s="0" t="n">
        <v>333.4</v>
      </c>
      <c r="O7" s="0" t="n">
        <v>1736.5</v>
      </c>
      <c r="P7" s="0" t="n">
        <v>2999.9</v>
      </c>
      <c r="Q7" s="0" t="n">
        <v>1263.4</v>
      </c>
      <c r="R7" s="0" t="n">
        <v>712.2</v>
      </c>
      <c r="S7" s="0" t="n">
        <v>142.7</v>
      </c>
      <c r="T7" s="0" t="n">
        <v>377.3</v>
      </c>
      <c r="U7" s="0" t="n">
        <v>22.9</v>
      </c>
      <c r="V7" s="0" t="n">
        <v>0.2161</v>
      </c>
      <c r="AA7" s="0" t="s">
        <v>18</v>
      </c>
      <c r="AB7" s="0" t="s">
        <v>14</v>
      </c>
      <c r="AC7" s="0" t="n">
        <v>0.824</v>
      </c>
      <c r="AD7" s="0" t="n">
        <v>424.3</v>
      </c>
      <c r="AE7" s="0" t="n">
        <v>16.4</v>
      </c>
      <c r="AF7" s="0" t="n">
        <v>21.1</v>
      </c>
    </row>
    <row r="8" customFormat="false" ht="15" hidden="false" customHeight="false" outlineLevel="0" collapsed="false">
      <c r="A8" s="0" t="s">
        <v>74</v>
      </c>
      <c r="B8" s="0" t="n">
        <v>2248.1</v>
      </c>
      <c r="F8" s="0" t="n">
        <v>409.5</v>
      </c>
      <c r="G8" s="0" t="n">
        <v>18.2</v>
      </c>
      <c r="H8" s="0" t="n">
        <v>552.8</v>
      </c>
      <c r="I8" s="0" t="n">
        <v>296.4</v>
      </c>
      <c r="J8" s="0" t="n">
        <v>13.2</v>
      </c>
      <c r="K8" s="0" t="n">
        <v>0.7849</v>
      </c>
      <c r="L8" s="0" t="n">
        <v>492.4</v>
      </c>
      <c r="M8" s="0" t="n">
        <v>59.4</v>
      </c>
      <c r="N8" s="0" t="n">
        <v>433</v>
      </c>
      <c r="O8" s="0" t="n">
        <v>1899.4</v>
      </c>
      <c r="P8" s="0" t="n">
        <v>3258.6</v>
      </c>
      <c r="Q8" s="0" t="n">
        <v>1359.2</v>
      </c>
      <c r="R8" s="0" t="n">
        <v>739.4</v>
      </c>
      <c r="S8" s="0" t="n">
        <v>313.2</v>
      </c>
      <c r="T8" s="0" t="n">
        <v>377.6</v>
      </c>
      <c r="U8" s="0" t="n">
        <v>26.3</v>
      </c>
      <c r="V8" s="0" t="n">
        <v>0.2312</v>
      </c>
      <c r="AA8" s="0" t="s">
        <v>18</v>
      </c>
      <c r="AB8" s="0" t="s">
        <v>14</v>
      </c>
      <c r="AC8" s="0" t="n">
        <v>0.9423</v>
      </c>
      <c r="AD8" s="0" t="n">
        <v>486.6</v>
      </c>
      <c r="AE8" s="0" t="n">
        <v>13.8</v>
      </c>
      <c r="AF8" s="0" t="n">
        <v>7.9</v>
      </c>
    </row>
    <row r="9" customFormat="false" ht="15" hidden="false" customHeight="false" outlineLevel="0" collapsed="false">
      <c r="A9" s="0" t="s">
        <v>75</v>
      </c>
      <c r="B9" s="0" t="n">
        <v>2582.3</v>
      </c>
      <c r="F9" s="0" t="n">
        <v>525.8</v>
      </c>
      <c r="G9" s="0" t="n">
        <v>20.4</v>
      </c>
      <c r="H9" s="0" t="n">
        <v>661.5</v>
      </c>
      <c r="I9" s="0" t="n">
        <v>372.3</v>
      </c>
      <c r="J9" s="0" t="n">
        <v>14.4</v>
      </c>
      <c r="K9" s="0" t="n">
        <v>0.9857</v>
      </c>
      <c r="L9" s="0" t="n">
        <v>480.6</v>
      </c>
      <c r="M9" s="0" t="n">
        <v>71</v>
      </c>
      <c r="N9" s="0" t="n">
        <v>409.6</v>
      </c>
      <c r="O9" s="0" t="n">
        <v>2168</v>
      </c>
      <c r="P9" s="0" t="n">
        <v>3712.7</v>
      </c>
      <c r="Q9" s="0" t="n">
        <v>1544.7</v>
      </c>
      <c r="R9" s="0" t="n">
        <v>805.6</v>
      </c>
      <c r="S9" s="0" t="n">
        <v>143.4</v>
      </c>
      <c r="T9" s="0" t="n">
        <v>377.7</v>
      </c>
      <c r="U9" s="0" t="n">
        <v>30.1</v>
      </c>
      <c r="V9" s="0" t="n">
        <v>0.2474</v>
      </c>
      <c r="AA9" s="0" t="s">
        <v>18</v>
      </c>
      <c r="AB9" s="0" t="s">
        <v>14</v>
      </c>
      <c r="AC9" s="0" t="n">
        <v>1.1405</v>
      </c>
      <c r="AD9" s="0" t="n">
        <v>593.4</v>
      </c>
      <c r="AE9" s="0" t="n">
        <v>14.8</v>
      </c>
      <c r="AF9" s="0" t="n">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3528</v>
      </c>
    </row>
    <row r="3" customFormat="false" ht="15" hidden="false" customHeight="false" outlineLevel="0" collapsed="false">
      <c r="A3" s="0" t="s">
        <v>79</v>
      </c>
      <c r="B3" s="3" t="n">
        <v>379.2</v>
      </c>
    </row>
    <row r="4" customFormat="false" ht="15" hidden="false" customHeight="false" outlineLevel="0" collapsed="false">
      <c r="A4" s="0" t="s">
        <v>80</v>
      </c>
      <c r="B4" s="3" t="n">
        <v>662.2</v>
      </c>
    </row>
    <row r="5" customFormat="false" ht="15" hidden="false" customHeight="false" outlineLevel="0" collapsed="false">
      <c r="A5" s="0" t="s">
        <v>81</v>
      </c>
      <c r="B5" s="3" t="n">
        <v>0</v>
      </c>
    </row>
    <row r="6" customFormat="false" ht="15" hidden="false" customHeight="false" outlineLevel="0" collapsed="false">
      <c r="A6" s="0" t="s">
        <v>82</v>
      </c>
      <c r="B6" s="3" t="n">
        <v>15</v>
      </c>
    </row>
    <row r="7" customFormat="false" ht="15" hidden="false" customHeight="false" outlineLevel="0" collapsed="false">
      <c r="A7" s="0" t="s">
        <v>83</v>
      </c>
      <c r="B7" s="3" t="n">
        <v>2582.3</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100</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8</v>
      </c>
      <c r="D13" s="3" t="n">
        <v>0</v>
      </c>
      <c r="E13" s="3" t="n">
        <v>3</v>
      </c>
      <c r="F13" s="3" t="n">
        <v>5</v>
      </c>
      <c r="G13" s="3" t="n">
        <v>5</v>
      </c>
      <c r="H13" s="3" t="n">
        <v>4.5</v>
      </c>
      <c r="I13" s="3" t="n">
        <v>4</v>
      </c>
      <c r="J13" s="3" t="n">
        <v>4</v>
      </c>
      <c r="K13" s="3" t="n">
        <v>3.5</v>
      </c>
      <c r="L13" s="3" t="n">
        <v>3</v>
      </c>
    </row>
    <row r="14" customFormat="false" ht="15" hidden="false" customHeight="false" outlineLevel="0" collapsed="false">
      <c r="A14" s="0" t="s">
        <v>100</v>
      </c>
      <c r="C14" s="3" t="n">
        <v>27</v>
      </c>
      <c r="D14" s="3" t="n">
        <v>25.5</v>
      </c>
      <c r="E14" s="3" t="n">
        <v>25</v>
      </c>
      <c r="F14" s="3" t="n">
        <v>25</v>
      </c>
      <c r="G14" s="3" t="n">
        <v>25.2</v>
      </c>
      <c r="H14" s="3" t="n">
        <v>25.4</v>
      </c>
      <c r="I14" s="3" t="n">
        <v>25.5</v>
      </c>
      <c r="J14" s="3" t="n">
        <v>25.5</v>
      </c>
      <c r="K14" s="3" t="n">
        <v>25.5</v>
      </c>
      <c r="L14" s="3" t="n">
        <v>25.5</v>
      </c>
    </row>
    <row r="15" customFormat="false" ht="15" hidden="false" customHeight="false" outlineLevel="0" collapsed="false">
      <c r="A15" s="0" t="s">
        <v>101</v>
      </c>
      <c r="C15" s="3" t="n">
        <v>1.15</v>
      </c>
      <c r="D15" s="3" t="n">
        <v>1.15</v>
      </c>
      <c r="E15" s="3" t="n">
        <v>1.15</v>
      </c>
      <c r="F15" s="3" t="n">
        <v>1.15</v>
      </c>
      <c r="G15" s="3" t="n">
        <v>1.15</v>
      </c>
      <c r="H15" s="3" t="n">
        <v>1.15</v>
      </c>
      <c r="I15" s="3" t="n">
        <v>1.15</v>
      </c>
      <c r="J15" s="3" t="n">
        <v>1.15</v>
      </c>
      <c r="K15" s="3" t="n">
        <v>1.15</v>
      </c>
      <c r="L15" s="3" t="n">
        <v>1.15</v>
      </c>
    </row>
    <row r="16" customFormat="false" ht="15" hidden="false" customHeight="false" outlineLevel="0" collapsed="false">
      <c r="A16" s="0" t="s">
        <v>102</v>
      </c>
      <c r="C16" s="3" t="n">
        <v>1.1</v>
      </c>
      <c r="D16" s="3" t="n">
        <v>1.1</v>
      </c>
      <c r="E16" s="3" t="n">
        <v>1.1</v>
      </c>
      <c r="F16" s="3" t="n">
        <v>1.1</v>
      </c>
      <c r="G16" s="3" t="n">
        <v>1.1</v>
      </c>
      <c r="H16" s="3" t="n">
        <v>1.1</v>
      </c>
      <c r="I16" s="3" t="n">
        <v>1.1</v>
      </c>
      <c r="J16" s="3" t="n">
        <v>1.1</v>
      </c>
      <c r="K16" s="3" t="n">
        <v>1.1</v>
      </c>
      <c r="L16" s="3" t="n">
        <v>1.1</v>
      </c>
    </row>
    <row r="17" customFormat="false" ht="15" hidden="false" customHeight="false" outlineLevel="0" collapsed="false">
      <c r="A17" s="0" t="s">
        <v>103</v>
      </c>
      <c r="C17" s="3" t="n">
        <v>1.6</v>
      </c>
      <c r="D17" s="3" t="n">
        <v>1.6</v>
      </c>
      <c r="E17" s="3" t="n">
        <v>1.6</v>
      </c>
      <c r="F17" s="3" t="n">
        <v>1.6</v>
      </c>
      <c r="G17" s="3" t="n">
        <v>1.6</v>
      </c>
      <c r="H17" s="3" t="n">
        <v>1.6</v>
      </c>
      <c r="I17" s="3" t="n">
        <v>1.6</v>
      </c>
      <c r="J17" s="3" t="n">
        <v>1.6</v>
      </c>
      <c r="K17" s="3" t="n">
        <v>1.6</v>
      </c>
      <c r="L17" s="3" t="n">
        <v>1.6</v>
      </c>
    </row>
    <row r="18" customFormat="false" ht="15" hidden="false" customHeight="false" outlineLevel="0" collapsed="false">
      <c r="A18" s="0" t="s">
        <v>104</v>
      </c>
      <c r="C18" s="3" t="n">
        <v>2.6</v>
      </c>
      <c r="D18" s="3" t="n">
        <v>2.4</v>
      </c>
      <c r="E18" s="3" t="n">
        <v>2.3</v>
      </c>
      <c r="F18" s="3" t="n">
        <v>2.3</v>
      </c>
      <c r="G18" s="3" t="n">
        <v>2.3</v>
      </c>
      <c r="H18" s="3" t="n">
        <v>2.2</v>
      </c>
      <c r="I18" s="3" t="n">
        <v>2.2</v>
      </c>
      <c r="J18" s="3" t="n">
        <v>2.2</v>
      </c>
      <c r="K18" s="3" t="n">
        <v>2.2</v>
      </c>
      <c r="L18" s="3" t="n">
        <v>2.2</v>
      </c>
    </row>
    <row r="19" customFormat="false" ht="15" hidden="false" customHeight="false" outlineLevel="0" collapsed="false">
      <c r="A19" s="0" t="s">
        <v>105</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106</v>
      </c>
      <c r="B20" s="3" t="n">
        <v>8.5</v>
      </c>
    </row>
    <row r="21" customFormat="false" ht="15" hidden="false" customHeight="false" outlineLevel="0" collapsed="false">
      <c r="A21" s="0" t="s">
        <v>107</v>
      </c>
      <c r="B21" s="3" t="n">
        <v>2</v>
      </c>
    </row>
    <row r="22" customFormat="false" ht="15" hidden="false" customHeight="false" outlineLevel="0" collapsed="false">
      <c r="A22" s="0" t="s">
        <v>108</v>
      </c>
      <c r="B22" s="3" t="n">
        <v>18</v>
      </c>
    </row>
    <row r="23" customFormat="false" ht="15" hidden="false" customHeight="false" outlineLevel="0" collapsed="false">
      <c r="A23" s="0" t="s">
        <v>109</v>
      </c>
      <c r="B23" s="3" t="n">
        <v>-17</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12</v>
      </c>
      <c r="D27" s="3" t="n">
        <v>9</v>
      </c>
      <c r="E27" s="3" t="n">
        <v>7.5</v>
      </c>
      <c r="F27" s="3" t="n">
        <v>7</v>
      </c>
      <c r="G27" s="3" t="n">
        <v>6.5</v>
      </c>
      <c r="H27" s="3" t="n">
        <v>6</v>
      </c>
      <c r="I27" s="3" t="n">
        <v>5.5</v>
      </c>
      <c r="J27" s="3" t="n">
        <v>5</v>
      </c>
      <c r="K27" s="3" t="n">
        <v>4.5</v>
      </c>
      <c r="L27" s="3" t="n">
        <v>4</v>
      </c>
    </row>
    <row r="28" customFormat="false" ht="15" hidden="false" customHeight="false" outlineLevel="0" collapsed="false">
      <c r="A28" s="0" t="s">
        <v>100</v>
      </c>
      <c r="C28" s="3" t="n">
        <v>27.5</v>
      </c>
      <c r="D28" s="3" t="n">
        <v>27.6</v>
      </c>
      <c r="E28" s="3" t="n">
        <v>27.7</v>
      </c>
      <c r="F28" s="3" t="n">
        <v>27.7</v>
      </c>
      <c r="G28" s="3" t="n">
        <v>27.7</v>
      </c>
      <c r="H28" s="3" t="n">
        <v>27.7</v>
      </c>
      <c r="I28" s="3" t="n">
        <v>27.7</v>
      </c>
      <c r="J28" s="3" t="n">
        <v>27.7</v>
      </c>
      <c r="K28" s="3" t="n">
        <v>27.7</v>
      </c>
      <c r="L28" s="3" t="n">
        <v>27.7</v>
      </c>
    </row>
    <row r="29" customFormat="false" ht="15" hidden="false" customHeight="false" outlineLevel="0" collapsed="false">
      <c r="A29" s="0" t="s">
        <v>101</v>
      </c>
      <c r="C29" s="3" t="n">
        <v>1.15</v>
      </c>
      <c r="D29" s="3" t="n">
        <v>1.15</v>
      </c>
      <c r="E29" s="3" t="n">
        <v>1.15</v>
      </c>
      <c r="F29" s="3" t="n">
        <v>1.15</v>
      </c>
      <c r="G29" s="3" t="n">
        <v>1.15</v>
      </c>
      <c r="H29" s="3" t="n">
        <v>1.15</v>
      </c>
      <c r="I29" s="3" t="n">
        <v>1.15</v>
      </c>
      <c r="J29" s="3" t="n">
        <v>1.15</v>
      </c>
      <c r="K29" s="3" t="n">
        <v>1.15</v>
      </c>
      <c r="L29" s="3" t="n">
        <v>1.15</v>
      </c>
    </row>
    <row r="30" customFormat="false" ht="15" hidden="false" customHeight="false" outlineLevel="0" collapsed="false">
      <c r="A30" s="0" t="s">
        <v>102</v>
      </c>
      <c r="C30" s="3" t="n">
        <v>1.1</v>
      </c>
      <c r="D30" s="3" t="n">
        <v>1.1</v>
      </c>
      <c r="E30" s="3" t="n">
        <v>1.1</v>
      </c>
      <c r="F30" s="3" t="n">
        <v>1.1</v>
      </c>
      <c r="G30" s="3" t="n">
        <v>1.1</v>
      </c>
      <c r="H30" s="3" t="n">
        <v>1.1</v>
      </c>
      <c r="I30" s="3" t="n">
        <v>1.1</v>
      </c>
      <c r="J30" s="3" t="n">
        <v>1.1</v>
      </c>
      <c r="K30" s="3" t="n">
        <v>1.1</v>
      </c>
      <c r="L30" s="3" t="n">
        <v>1.1</v>
      </c>
    </row>
    <row r="31" customFormat="false" ht="15" hidden="false" customHeight="false" outlineLevel="0" collapsed="false">
      <c r="A31" s="0" t="s">
        <v>103</v>
      </c>
      <c r="C31" s="3" t="n">
        <v>1.6</v>
      </c>
      <c r="D31" s="3" t="n">
        <v>1.6</v>
      </c>
      <c r="E31" s="3" t="n">
        <v>1.6</v>
      </c>
      <c r="F31" s="3" t="n">
        <v>1.6</v>
      </c>
      <c r="G31" s="3" t="n">
        <v>1.6</v>
      </c>
      <c r="H31" s="3" t="n">
        <v>1.6</v>
      </c>
      <c r="I31" s="3" t="n">
        <v>1.6</v>
      </c>
      <c r="J31" s="3" t="n">
        <v>1.6</v>
      </c>
      <c r="K31" s="3" t="n">
        <v>1.6</v>
      </c>
      <c r="L31" s="3" t="n">
        <v>1.6</v>
      </c>
    </row>
    <row r="32" customFormat="false" ht="15" hidden="false" customHeight="false" outlineLevel="0" collapsed="false">
      <c r="A32" s="0" t="s">
        <v>104</v>
      </c>
      <c r="C32" s="3" t="n">
        <v>2.6</v>
      </c>
      <c r="D32" s="3" t="n">
        <v>2.6</v>
      </c>
      <c r="E32" s="3" t="n">
        <v>2.5</v>
      </c>
      <c r="F32" s="3" t="n">
        <v>2.5</v>
      </c>
      <c r="G32" s="3" t="n">
        <v>2.5</v>
      </c>
      <c r="H32" s="3" t="n">
        <v>2.4</v>
      </c>
      <c r="I32" s="3" t="n">
        <v>2.4</v>
      </c>
      <c r="J32" s="3" t="n">
        <v>2.4</v>
      </c>
      <c r="K32" s="3" t="n">
        <v>2.3</v>
      </c>
      <c r="L32" s="3" t="n">
        <v>2.3</v>
      </c>
    </row>
    <row r="33" customFormat="false" ht="15" hidden="false" customHeight="false" outlineLevel="0" collapsed="false">
      <c r="A33" s="0" t="s">
        <v>105</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106</v>
      </c>
      <c r="B34" s="3" t="n">
        <v>8.5</v>
      </c>
    </row>
    <row r="35" customFormat="false" ht="15" hidden="false" customHeight="false" outlineLevel="0" collapsed="false">
      <c r="A35" s="0" t="s">
        <v>107</v>
      </c>
      <c r="B35" s="3" t="n">
        <v>2.5</v>
      </c>
    </row>
    <row r="36" customFormat="false" ht="15" hidden="false" customHeight="false" outlineLevel="0" collapsed="false">
      <c r="A36" s="0" t="s">
        <v>108</v>
      </c>
      <c r="B36" s="3" t="n">
        <v>20</v>
      </c>
    </row>
    <row r="37" customFormat="false" ht="15" hidden="false" customHeight="false" outlineLevel="0" collapsed="false">
      <c r="A37" s="0" t="s">
        <v>109</v>
      </c>
      <c r="B37" s="3" t="n">
        <v>-17</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14</v>
      </c>
      <c r="D41" s="3" t="n">
        <v>12</v>
      </c>
      <c r="E41" s="3" t="n">
        <v>10</v>
      </c>
      <c r="F41" s="3" t="n">
        <v>9</v>
      </c>
      <c r="G41" s="3" t="n">
        <v>8</v>
      </c>
      <c r="H41" s="3" t="n">
        <v>7</v>
      </c>
      <c r="I41" s="3" t="n">
        <v>6.5</v>
      </c>
      <c r="J41" s="3" t="n">
        <v>6</v>
      </c>
      <c r="K41" s="3" t="n">
        <v>5</v>
      </c>
      <c r="L41" s="3" t="n">
        <v>4.5</v>
      </c>
    </row>
    <row r="42" customFormat="false" ht="15" hidden="false" customHeight="false" outlineLevel="0" collapsed="false">
      <c r="A42" s="0" t="s">
        <v>100</v>
      </c>
      <c r="C42" s="3" t="n">
        <v>27.8</v>
      </c>
      <c r="D42" s="3" t="n">
        <v>28.3</v>
      </c>
      <c r="E42" s="3" t="n">
        <v>28.6</v>
      </c>
      <c r="F42" s="3" t="n">
        <v>28.8</v>
      </c>
      <c r="G42" s="3" t="n">
        <v>29</v>
      </c>
      <c r="H42" s="3" t="n">
        <v>29</v>
      </c>
      <c r="I42" s="3" t="n">
        <v>29</v>
      </c>
      <c r="J42" s="3" t="n">
        <v>29</v>
      </c>
      <c r="K42" s="3" t="n">
        <v>29</v>
      </c>
      <c r="L42" s="3" t="n">
        <v>29</v>
      </c>
    </row>
    <row r="43" customFormat="false" ht="15" hidden="false" customHeight="false" outlineLevel="0" collapsed="false">
      <c r="A43" s="0" t="s">
        <v>101</v>
      </c>
      <c r="C43" s="3" t="n">
        <v>1.15</v>
      </c>
      <c r="D43" s="3" t="n">
        <v>1.15</v>
      </c>
      <c r="E43" s="3" t="n">
        <v>1.15</v>
      </c>
      <c r="F43" s="3" t="n">
        <v>1.15</v>
      </c>
      <c r="G43" s="3" t="n">
        <v>1.15</v>
      </c>
      <c r="H43" s="3" t="n">
        <v>1.15</v>
      </c>
      <c r="I43" s="3" t="n">
        <v>1.15</v>
      </c>
      <c r="J43" s="3" t="n">
        <v>1.15</v>
      </c>
      <c r="K43" s="3" t="n">
        <v>1.15</v>
      </c>
      <c r="L43" s="3" t="n">
        <v>1.15</v>
      </c>
    </row>
    <row r="44" customFormat="false" ht="15" hidden="false" customHeight="false" outlineLevel="0" collapsed="false">
      <c r="A44" s="0" t="s">
        <v>102</v>
      </c>
      <c r="C44" s="3" t="n">
        <v>1.1</v>
      </c>
      <c r="D44" s="3" t="n">
        <v>1.1</v>
      </c>
      <c r="E44" s="3" t="n">
        <v>1.1</v>
      </c>
      <c r="F44" s="3" t="n">
        <v>1.1</v>
      </c>
      <c r="G44" s="3" t="n">
        <v>1.1</v>
      </c>
      <c r="H44" s="3" t="n">
        <v>1.1</v>
      </c>
      <c r="I44" s="3" t="n">
        <v>1.1</v>
      </c>
      <c r="J44" s="3" t="n">
        <v>1.1</v>
      </c>
      <c r="K44" s="3" t="n">
        <v>1.1</v>
      </c>
      <c r="L44" s="3" t="n">
        <v>1.1</v>
      </c>
    </row>
    <row r="45" customFormat="false" ht="15" hidden="false" customHeight="false" outlineLevel="0" collapsed="false">
      <c r="A45" s="0" t="s">
        <v>103</v>
      </c>
      <c r="C45" s="3" t="n">
        <v>1.6</v>
      </c>
      <c r="D45" s="3" t="n">
        <v>1.6</v>
      </c>
      <c r="E45" s="3" t="n">
        <v>1.6</v>
      </c>
      <c r="F45" s="3" t="n">
        <v>1.6</v>
      </c>
      <c r="G45" s="3" t="n">
        <v>1.6</v>
      </c>
      <c r="H45" s="3" t="n">
        <v>1.6</v>
      </c>
      <c r="I45" s="3" t="n">
        <v>1.6</v>
      </c>
      <c r="J45" s="3" t="n">
        <v>1.6</v>
      </c>
      <c r="K45" s="3" t="n">
        <v>1.6</v>
      </c>
      <c r="L45" s="3" t="n">
        <v>1.6</v>
      </c>
    </row>
    <row r="46" customFormat="false" ht="15" hidden="false" customHeight="false" outlineLevel="0" collapsed="false">
      <c r="A46" s="0" t="s">
        <v>104</v>
      </c>
      <c r="C46" s="3" t="n">
        <v>2.6</v>
      </c>
      <c r="D46" s="3" t="n">
        <v>2.6</v>
      </c>
      <c r="E46" s="3" t="n">
        <v>2.5</v>
      </c>
      <c r="F46" s="3" t="n">
        <v>2.5</v>
      </c>
      <c r="G46" s="3" t="n">
        <v>2.5</v>
      </c>
      <c r="H46" s="3" t="n">
        <v>2.4</v>
      </c>
      <c r="I46" s="3" t="n">
        <v>2.4</v>
      </c>
      <c r="J46" s="3" t="n">
        <v>2.4</v>
      </c>
      <c r="K46" s="3" t="n">
        <v>2.3</v>
      </c>
      <c r="L46" s="3" t="n">
        <v>2.3</v>
      </c>
    </row>
    <row r="47" customFormat="false" ht="15" hidden="false" customHeight="false" outlineLevel="0" collapsed="false">
      <c r="A47" s="0" t="s">
        <v>105</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106</v>
      </c>
      <c r="B48" s="3" t="n">
        <v>8.5</v>
      </c>
    </row>
    <row r="49" customFormat="false" ht="15" hidden="false" customHeight="false" outlineLevel="0" collapsed="false">
      <c r="A49" s="0" t="s">
        <v>107</v>
      </c>
      <c r="B49" s="3" t="n">
        <v>3</v>
      </c>
    </row>
    <row r="50" customFormat="false" ht="15" hidden="false" customHeight="false" outlineLevel="0" collapsed="false">
      <c r="A50" s="0" t="s">
        <v>108</v>
      </c>
      <c r="B50" s="3" t="n">
        <v>20</v>
      </c>
    </row>
    <row r="51" customFormat="false" ht="15" hidden="false" customHeight="false" outlineLevel="0" collapsed="false">
      <c r="A51" s="0" t="s">
        <v>109</v>
      </c>
      <c r="B51" s="3" t="n">
        <v>-17</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8</v>
      </c>
      <c r="D5" s="4" t="n">
        <f aca="false">Assumptions!D13</f>
        <v>0</v>
      </c>
      <c r="E5" s="4" t="n">
        <f aca="false">Assumptions!E13</f>
        <v>3</v>
      </c>
      <c r="F5" s="4" t="n">
        <f aca="false">Assumptions!F13</f>
        <v>5</v>
      </c>
      <c r="G5" s="4" t="n">
        <f aca="false">Assumptions!G13</f>
        <v>5</v>
      </c>
      <c r="H5" s="4" t="n">
        <f aca="false">Assumptions!H13</f>
        <v>4.5</v>
      </c>
      <c r="I5" s="4" t="n">
        <f aca="false">Assumptions!I13</f>
        <v>4</v>
      </c>
      <c r="J5" s="4" t="n">
        <f aca="false">Assumptions!J13</f>
        <v>4</v>
      </c>
      <c r="K5" s="4" t="n">
        <f aca="false">Assumptions!K13</f>
        <v>3.5</v>
      </c>
      <c r="L5" s="4" t="n">
        <f aca="false">Assumptions!L13</f>
        <v>3</v>
      </c>
    </row>
    <row r="6" customFormat="false" ht="15" hidden="false" customHeight="false" outlineLevel="0" collapsed="false">
      <c r="A6" s="0" t="s">
        <v>38</v>
      </c>
      <c r="B6" s="3" t="n">
        <v>2582.3</v>
      </c>
      <c r="C6" s="0" t="n">
        <f aca="false">B6*(1+C5/100)</f>
        <v>2788.884</v>
      </c>
      <c r="D6" s="0" t="n">
        <f aca="false">C6*(1+D5/100)</f>
        <v>2788.884</v>
      </c>
      <c r="E6" s="0" t="n">
        <f aca="false">D6*(1+E5/100)</f>
        <v>2872.55052</v>
      </c>
      <c r="F6" s="0" t="n">
        <f aca="false">E6*(1+F5/100)</f>
        <v>3016.178046</v>
      </c>
      <c r="G6" s="0" t="n">
        <f aca="false">F6*(1+G5/100)</f>
        <v>3166.9869483</v>
      </c>
      <c r="H6" s="0" t="n">
        <f aca="false">G6*(1+H5/100)</f>
        <v>3309.5013609735</v>
      </c>
      <c r="I6" s="0" t="n">
        <f aca="false">H6*(1+I5/100)</f>
        <v>3441.88141541244</v>
      </c>
      <c r="J6" s="0" t="n">
        <f aca="false">I6*(1+J5/100)</f>
        <v>3579.55667202894</v>
      </c>
      <c r="K6" s="0" t="n">
        <f aca="false">J6*(1+K5/100)</f>
        <v>3704.84115554995</v>
      </c>
      <c r="L6" s="0" t="n">
        <f aca="false">K6*(1+L5/100)</f>
        <v>3815.98639021645</v>
      </c>
    </row>
    <row r="7" customFormat="false" ht="15" hidden="false" customHeight="false" outlineLevel="0" collapsed="false">
      <c r="A7" s="0" t="s">
        <v>100</v>
      </c>
      <c r="C7" s="4" t="n">
        <f aca="false">Assumptions!C14</f>
        <v>27</v>
      </c>
      <c r="D7" s="4" t="n">
        <f aca="false">Assumptions!D14</f>
        <v>25.5</v>
      </c>
      <c r="E7" s="4" t="n">
        <f aca="false">Assumptions!E14</f>
        <v>25</v>
      </c>
      <c r="F7" s="4" t="n">
        <f aca="false">Assumptions!F14</f>
        <v>25</v>
      </c>
      <c r="G7" s="4" t="n">
        <f aca="false">Assumptions!G14</f>
        <v>25.2</v>
      </c>
      <c r="H7" s="4" t="n">
        <f aca="false">Assumptions!H14</f>
        <v>25.4</v>
      </c>
      <c r="I7" s="4" t="n">
        <f aca="false">Assumptions!I14</f>
        <v>25.5</v>
      </c>
      <c r="J7" s="4" t="n">
        <f aca="false">Assumptions!J14</f>
        <v>25.5</v>
      </c>
      <c r="K7" s="4" t="n">
        <f aca="false">Assumptions!K14</f>
        <v>25.5</v>
      </c>
      <c r="L7" s="4" t="n">
        <f aca="false">Assumptions!L14</f>
        <v>25.5</v>
      </c>
    </row>
    <row r="8" customFormat="false" ht="15" hidden="false" customHeight="false" outlineLevel="0" collapsed="false">
      <c r="A8" s="0" t="s">
        <v>44</v>
      </c>
      <c r="C8" s="0" t="n">
        <f aca="false">C6*C7/100</f>
        <v>752.99868</v>
      </c>
      <c r="D8" s="0" t="n">
        <f aca="false">D6*D7/100</f>
        <v>711.16542</v>
      </c>
      <c r="E8" s="0" t="n">
        <f aca="false">E6*E7/100</f>
        <v>718.13763</v>
      </c>
      <c r="F8" s="0" t="n">
        <f aca="false">F6*F7/100</f>
        <v>754.0445115</v>
      </c>
      <c r="G8" s="0" t="n">
        <f aca="false">G6*G7/100</f>
        <v>798.0807109716</v>
      </c>
      <c r="H8" s="0" t="n">
        <f aca="false">H6*H7/100</f>
        <v>840.613345687269</v>
      </c>
      <c r="I8" s="0" t="n">
        <f aca="false">I6*I7/100</f>
        <v>877.679760930173</v>
      </c>
      <c r="J8" s="0" t="n">
        <f aca="false">J6*J7/100</f>
        <v>912.786951367379</v>
      </c>
      <c r="K8" s="0" t="n">
        <f aca="false">K6*K7/100</f>
        <v>944.734494665238</v>
      </c>
      <c r="L8" s="0" t="n">
        <f aca="false">L6*L7/100</f>
        <v>973.076529505195</v>
      </c>
    </row>
    <row r="9" customFormat="false" ht="15" hidden="false" customHeight="false" outlineLevel="0" collapsed="false">
      <c r="A9" s="0" t="s">
        <v>101</v>
      </c>
      <c r="C9" s="4" t="n">
        <f aca="false">Assumptions!C15</f>
        <v>1.15</v>
      </c>
      <c r="D9" s="4" t="n">
        <f aca="false">Assumptions!D15</f>
        <v>1.15</v>
      </c>
      <c r="E9" s="4" t="n">
        <f aca="false">Assumptions!E15</f>
        <v>1.15</v>
      </c>
      <c r="F9" s="4" t="n">
        <f aca="false">Assumptions!F15</f>
        <v>1.15</v>
      </c>
      <c r="G9" s="4" t="n">
        <f aca="false">Assumptions!G15</f>
        <v>1.15</v>
      </c>
      <c r="H9" s="4" t="n">
        <f aca="false">Assumptions!H15</f>
        <v>1.15</v>
      </c>
      <c r="I9" s="4" t="n">
        <f aca="false">Assumptions!I15</f>
        <v>1.15</v>
      </c>
      <c r="J9" s="4" t="n">
        <f aca="false">Assumptions!J15</f>
        <v>1.15</v>
      </c>
      <c r="K9" s="4" t="n">
        <f aca="false">Assumptions!K15</f>
        <v>1.15</v>
      </c>
      <c r="L9" s="4" t="n">
        <f aca="false">Assumptions!L15</f>
        <v>1.15</v>
      </c>
    </row>
    <row r="10" customFormat="false" ht="15" hidden="false" customHeight="false" outlineLevel="0" collapsed="false">
      <c r="A10" s="0" t="s">
        <v>116</v>
      </c>
      <c r="C10" s="0" t="n">
        <f aca="false">-C6*C9/100</f>
        <v>-32.072166</v>
      </c>
      <c r="D10" s="0" t="n">
        <f aca="false">-D6*D9/100</f>
        <v>-32.072166</v>
      </c>
      <c r="E10" s="0" t="n">
        <f aca="false">-E6*E9/100</f>
        <v>-33.03433098</v>
      </c>
      <c r="F10" s="0" t="n">
        <f aca="false">-F6*F9/100</f>
        <v>-34.686047529</v>
      </c>
      <c r="G10" s="0" t="n">
        <f aca="false">-G6*G9/100</f>
        <v>-36.42034990545</v>
      </c>
      <c r="H10" s="0" t="n">
        <f aca="false">-H6*H9/100</f>
        <v>-38.0592656511953</v>
      </c>
      <c r="I10" s="0" t="n">
        <f aca="false">-I6*I9/100</f>
        <v>-39.5816362772431</v>
      </c>
      <c r="J10" s="0" t="n">
        <f aca="false">-J6*J9/100</f>
        <v>-41.1649017283328</v>
      </c>
      <c r="K10" s="0" t="n">
        <f aca="false">-K6*K9/100</f>
        <v>-42.6056732888244</v>
      </c>
      <c r="L10" s="0" t="n">
        <f aca="false">-L6*L9/100</f>
        <v>-43.8838434874892</v>
      </c>
    </row>
    <row r="11" customFormat="false" ht="15" hidden="false" customHeight="false" outlineLevel="0" collapsed="false">
      <c r="A11" s="0" t="s">
        <v>117</v>
      </c>
      <c r="C11" s="0" t="n">
        <f aca="false">C8+C10+C24</f>
        <v>690.24879</v>
      </c>
      <c r="D11" s="0" t="n">
        <f aca="false">D8+D10+D24</f>
        <v>648.41553</v>
      </c>
      <c r="E11" s="0" t="n">
        <f aca="false">E8+E10+E24</f>
        <v>653.5052433</v>
      </c>
      <c r="F11" s="0" t="n">
        <f aca="false">F8+F10+F24</f>
        <v>686.180505465</v>
      </c>
      <c r="G11" s="0" t="n">
        <f aca="false">G8+G10+G24</f>
        <v>726.82350463485</v>
      </c>
      <c r="H11" s="0" t="n">
        <f aca="false">H8+H10+H24</f>
        <v>766.149565065365</v>
      </c>
      <c r="I11" s="0" t="n">
        <f aca="false">I8+I10+I24</f>
        <v>800.237429083393</v>
      </c>
      <c r="J11" s="0" t="n">
        <f aca="false">J8+J10+J24</f>
        <v>832.246926246728</v>
      </c>
      <c r="K11" s="0" t="n">
        <f aca="false">K8+K10+K24</f>
        <v>861.375568665364</v>
      </c>
      <c r="L11" s="0" t="n">
        <f aca="false">L8+L10+L24</f>
        <v>887.216835725325</v>
      </c>
    </row>
    <row r="12" customFormat="false" ht="15" hidden="false" customHeight="false" outlineLevel="0" collapsed="false">
      <c r="A12" s="0" t="s">
        <v>118</v>
      </c>
      <c r="C12" s="4" t="n">
        <f aca="false">-C6*Assumptions!C17/100</f>
        <v>-44.622144</v>
      </c>
      <c r="D12" s="4" t="n">
        <f aca="false">-D6*Assumptions!D17/100</f>
        <v>-44.622144</v>
      </c>
      <c r="E12" s="4" t="n">
        <f aca="false">-E6*Assumptions!E17/100</f>
        <v>-45.96080832</v>
      </c>
      <c r="F12" s="4" t="n">
        <f aca="false">-F6*Assumptions!F17/100</f>
        <v>-48.258848736</v>
      </c>
      <c r="G12" s="4" t="n">
        <f aca="false">-G6*Assumptions!G17/100</f>
        <v>-50.6717911728</v>
      </c>
      <c r="H12" s="4" t="n">
        <f aca="false">-H6*Assumptions!H17/100</f>
        <v>-52.952021775576</v>
      </c>
      <c r="I12" s="4" t="n">
        <f aca="false">-I6*Assumptions!I17/100</f>
        <v>-55.0701026465991</v>
      </c>
      <c r="J12" s="4" t="n">
        <f aca="false">-J6*Assumptions!J17/100</f>
        <v>-57.272906752463</v>
      </c>
      <c r="K12" s="4" t="n">
        <f aca="false">-K6*Assumptions!K17/100</f>
        <v>-59.2774584887992</v>
      </c>
      <c r="L12" s="4" t="n">
        <f aca="false">-L6*Assumptions!L17/100</f>
        <v>-61.0557822434632</v>
      </c>
    </row>
    <row r="13" customFormat="false" ht="15" hidden="false" customHeight="false" outlineLevel="0" collapsed="false">
      <c r="A13" s="0" t="s">
        <v>119</v>
      </c>
      <c r="C13" s="0" t="n">
        <f aca="false">C11+C12</f>
        <v>645.626646</v>
      </c>
      <c r="D13" s="0" t="n">
        <f aca="false">D11+D12</f>
        <v>603.793386</v>
      </c>
      <c r="E13" s="0" t="n">
        <f aca="false">E11+E12</f>
        <v>607.54443498</v>
      </c>
      <c r="F13" s="0" t="n">
        <f aca="false">F11+F12</f>
        <v>637.921656729</v>
      </c>
      <c r="G13" s="0" t="n">
        <f aca="false">G11+G12</f>
        <v>676.15171346205</v>
      </c>
      <c r="H13" s="0" t="n">
        <f aca="false">H11+H12</f>
        <v>713.19754328979</v>
      </c>
      <c r="I13" s="0" t="n">
        <f aca="false">I11+I12</f>
        <v>745.167326436794</v>
      </c>
      <c r="J13" s="0" t="n">
        <f aca="false">J11+J12</f>
        <v>774.974019494265</v>
      </c>
      <c r="K13" s="0" t="n">
        <f aca="false">K11+K12</f>
        <v>802.098110176565</v>
      </c>
      <c r="L13" s="0" t="n">
        <f aca="false">L11+L12</f>
        <v>826.161053481862</v>
      </c>
    </row>
    <row r="14" customFormat="false" ht="15" hidden="false" customHeight="false" outlineLevel="0" collapsed="false">
      <c r="A14" s="0" t="s">
        <v>105</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120</v>
      </c>
      <c r="C15" s="0" t="n">
        <f aca="false">C13-MAX(0,C13)*C14/100</f>
        <v>490.67625096</v>
      </c>
      <c r="D15" s="0" t="n">
        <f aca="false">D13-MAX(0,D13)*D14/100</f>
        <v>458.88297336</v>
      </c>
      <c r="E15" s="0" t="n">
        <f aca="false">E13-MAX(0,E13)*E14/100</f>
        <v>461.7337705848</v>
      </c>
      <c r="F15" s="0" t="n">
        <f aca="false">F13-MAX(0,F13)*F14/100</f>
        <v>484.82045911404</v>
      </c>
      <c r="G15" s="0" t="n">
        <f aca="false">G13-MAX(0,G13)*G14/100</f>
        <v>513.875302231158</v>
      </c>
      <c r="H15" s="0" t="n">
        <f aca="false">H13-MAX(0,H13)*H14/100</f>
        <v>542.03013290024</v>
      </c>
      <c r="I15" s="0" t="n">
        <f aca="false">I13-MAX(0,I13)*I14/100</f>
        <v>566.327168091963</v>
      </c>
      <c r="J15" s="0" t="n">
        <f aca="false">J13-MAX(0,J13)*J14/100</f>
        <v>588.980254815642</v>
      </c>
      <c r="K15" s="0" t="n">
        <f aca="false">K13-MAX(0,K13)*K14/100</f>
        <v>609.594563734189</v>
      </c>
      <c r="L15" s="0" t="n">
        <f aca="false">L13-MAX(0,L13)*L14/100</f>
        <v>627.882400646215</v>
      </c>
    </row>
    <row r="16" customFormat="false" ht="15" hidden="false" customHeight="false" outlineLevel="0" collapsed="false">
      <c r="A16" s="0" t="s">
        <v>121</v>
      </c>
      <c r="C16" s="0" t="n">
        <f aca="false">-C12</f>
        <v>44.622144</v>
      </c>
      <c r="D16" s="0" t="n">
        <f aca="false">-D12</f>
        <v>44.622144</v>
      </c>
      <c r="E16" s="0" t="n">
        <f aca="false">-E12</f>
        <v>45.96080832</v>
      </c>
      <c r="F16" s="0" t="n">
        <f aca="false">-F12</f>
        <v>48.258848736</v>
      </c>
      <c r="G16" s="0" t="n">
        <f aca="false">-G12</f>
        <v>50.6717911728</v>
      </c>
      <c r="H16" s="0" t="n">
        <f aca="false">-H12</f>
        <v>52.952021775576</v>
      </c>
      <c r="I16" s="0" t="n">
        <f aca="false">-I12</f>
        <v>55.0701026465991</v>
      </c>
      <c r="J16" s="0" t="n">
        <f aca="false">-J12</f>
        <v>57.272906752463</v>
      </c>
      <c r="K16" s="0" t="n">
        <f aca="false">-K12</f>
        <v>59.2774584887992</v>
      </c>
      <c r="L16" s="0" t="n">
        <f aca="false">-L12</f>
        <v>61.0557822434632</v>
      </c>
    </row>
    <row r="17" customFormat="false" ht="15" hidden="false" customHeight="false" outlineLevel="0" collapsed="false">
      <c r="A17" s="0" t="s">
        <v>122</v>
      </c>
      <c r="C17" s="4" t="n">
        <f aca="false">-C6*Assumptions!C18/100</f>
        <v>-72.510984</v>
      </c>
      <c r="D17" s="4" t="n">
        <f aca="false">-D6*Assumptions!D18/100</f>
        <v>-66.933216</v>
      </c>
      <c r="E17" s="4" t="n">
        <f aca="false">-E6*Assumptions!E18/100</f>
        <v>-66.06866196</v>
      </c>
      <c r="F17" s="4" t="n">
        <f aca="false">-F6*Assumptions!F18/100</f>
        <v>-69.372095058</v>
      </c>
      <c r="G17" s="4" t="n">
        <f aca="false">-G6*Assumptions!G18/100</f>
        <v>-72.8406998109</v>
      </c>
      <c r="H17" s="4" t="n">
        <f aca="false">-H6*Assumptions!H18/100</f>
        <v>-72.809029941417</v>
      </c>
      <c r="I17" s="4" t="n">
        <f aca="false">-I6*Assumptions!I18/100</f>
        <v>-75.7213911390737</v>
      </c>
      <c r="J17" s="4" t="n">
        <f aca="false">-J6*Assumptions!J18/100</f>
        <v>-78.7502467846367</v>
      </c>
      <c r="K17" s="4" t="n">
        <f aca="false">-K6*Assumptions!K18/100</f>
        <v>-81.5065054220989</v>
      </c>
      <c r="L17" s="4" t="n">
        <f aca="false">-L6*Assumptions!L18/100</f>
        <v>-83.9517005847619</v>
      </c>
    </row>
    <row r="18" customFormat="false" ht="15" hidden="false" customHeight="false" outlineLevel="0" collapsed="false">
      <c r="A18" s="0" t="s">
        <v>123</v>
      </c>
      <c r="C18" s="4" t="n">
        <f aca="false">(C6-B6)*Assumptions!$B$23/100</f>
        <v>-35.11928</v>
      </c>
      <c r="D18" s="4" t="n">
        <f aca="false">(D6-C6)*Assumptions!$B$23/100</f>
        <v>-0</v>
      </c>
      <c r="E18" s="4" t="n">
        <f aca="false">(E6-D6)*Assumptions!$B$23/100</f>
        <v>-14.2233084</v>
      </c>
      <c r="F18" s="4" t="n">
        <f aca="false">(F6-E6)*Assumptions!$B$23/100</f>
        <v>-24.41667942</v>
      </c>
      <c r="G18" s="4" t="n">
        <f aca="false">(G6-F6)*Assumptions!$B$23/100</f>
        <v>-25.637513391</v>
      </c>
      <c r="H18" s="4" t="n">
        <f aca="false">(H6-G6)*Assumptions!$B$23/100</f>
        <v>-24.227450154495</v>
      </c>
      <c r="I18" s="4" t="n">
        <f aca="false">(I6-H6)*Assumptions!$B$23/100</f>
        <v>-22.5046092546198</v>
      </c>
      <c r="J18" s="4" t="n">
        <f aca="false">(J6-I6)*Assumptions!$B$23/100</f>
        <v>-23.4047936248046</v>
      </c>
      <c r="K18" s="4" t="n">
        <f aca="false">(K6-J6)*Assumptions!$B$23/100</f>
        <v>-21.2983621985721</v>
      </c>
      <c r="L18" s="4" t="n">
        <f aca="false">(L6-K6)*Assumptions!$B$23/100</f>
        <v>-18.8946898933048</v>
      </c>
    </row>
    <row r="19" customFormat="false" ht="15" hidden="false" customHeight="false" outlineLevel="0" collapsed="false">
      <c r="A19" s="0" t="s">
        <v>124</v>
      </c>
      <c r="C19" s="0" t="n">
        <f aca="false">C15+C16+C17+C18</f>
        <v>427.66813096</v>
      </c>
      <c r="D19" s="0" t="n">
        <f aca="false">D15+D16+D17+D18</f>
        <v>436.57190136</v>
      </c>
      <c r="E19" s="0" t="n">
        <f aca="false">E15+E16+E17+E18</f>
        <v>427.4026085448</v>
      </c>
      <c r="F19" s="0" t="n">
        <f aca="false">F15+F16+F17+F18</f>
        <v>439.29053337204</v>
      </c>
      <c r="G19" s="0" t="n">
        <f aca="false">G15+G16+G17+G18</f>
        <v>466.068880202058</v>
      </c>
      <c r="H19" s="0" t="n">
        <f aca="false">H15+H16+H17+H18</f>
        <v>497.945674579904</v>
      </c>
      <c r="I19" s="0" t="n">
        <f aca="false">I15+I16+I17+I18</f>
        <v>523.171270344869</v>
      </c>
      <c r="J19" s="0" t="n">
        <f aca="false">J15+J16+J17+J18</f>
        <v>544.098121158663</v>
      </c>
      <c r="K19" s="0" t="n">
        <f aca="false">K15+K16+K17+K18</f>
        <v>566.067154602317</v>
      </c>
      <c r="L19" s="0" t="n">
        <f aca="false">L15+L16+L17+L18</f>
        <v>586.091792411611</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394.164176</v>
      </c>
      <c r="D21" s="0" t="n">
        <f aca="false">D19*D20</f>
        <v>370.848309677419</v>
      </c>
      <c r="E21" s="0" t="n">
        <f aca="false">E19*E20</f>
        <v>334.616963520143</v>
      </c>
      <c r="F21" s="0" t="n">
        <f aca="false">F19*F20</f>
        <v>316.980752203617</v>
      </c>
      <c r="G21" s="0" t="n">
        <f aca="false">G19*G20</f>
        <v>309.956975715545</v>
      </c>
      <c r="H21" s="0" t="n">
        <f aca="false">H19*H20</f>
        <v>305.213356613491</v>
      </c>
      <c r="I21" s="0" t="n">
        <f aca="false">I19*I20</f>
        <v>295.553236585064</v>
      </c>
      <c r="J21" s="0" t="n">
        <f aca="false">J19*J20</f>
        <v>283.295268247435</v>
      </c>
      <c r="K21" s="0" t="n">
        <f aca="false">K19*K20</f>
        <v>271.644122357064</v>
      </c>
      <c r="L21" s="0" t="n">
        <f aca="false">L19*L20</f>
        <v>259.219851656487</v>
      </c>
    </row>
    <row r="23" customFormat="false" ht="15" hidden="false" customHeight="false" outlineLevel="0" collapsed="false">
      <c r="A23" s="0" t="s">
        <v>102</v>
      </c>
      <c r="C23" s="4" t="n">
        <f aca="false">Assumptions!C16</f>
        <v>1.1</v>
      </c>
      <c r="D23" s="4" t="n">
        <f aca="false">Assumptions!D16</f>
        <v>1.1</v>
      </c>
      <c r="E23" s="4" t="n">
        <f aca="false">Assumptions!E16</f>
        <v>1.1</v>
      </c>
      <c r="F23" s="4" t="n">
        <f aca="false">Assumptions!F16</f>
        <v>1.1</v>
      </c>
      <c r="G23" s="4" t="n">
        <f aca="false">Assumptions!G16</f>
        <v>1.1</v>
      </c>
      <c r="H23" s="4" t="n">
        <f aca="false">Assumptions!H16</f>
        <v>1.1</v>
      </c>
      <c r="I23" s="4" t="n">
        <f aca="false">Assumptions!I16</f>
        <v>1.1</v>
      </c>
      <c r="J23" s="4" t="n">
        <f aca="false">Assumptions!J16</f>
        <v>1.1</v>
      </c>
      <c r="K23" s="4" t="n">
        <f aca="false">Assumptions!K16</f>
        <v>1.1</v>
      </c>
      <c r="L23" s="4" t="n">
        <f aca="false">Assumptions!L16</f>
        <v>1.1</v>
      </c>
    </row>
    <row r="24" customFormat="false" ht="15" hidden="false" customHeight="false" outlineLevel="0" collapsed="false">
      <c r="A24" s="0" t="s">
        <v>127</v>
      </c>
      <c r="C24" s="0" t="n">
        <f aca="false">-C6*C23/100</f>
        <v>-30.677724</v>
      </c>
      <c r="D24" s="0" t="n">
        <f aca="false">-D6*D23/100</f>
        <v>-30.677724</v>
      </c>
      <c r="E24" s="0" t="n">
        <f aca="false">-E6*E23/100</f>
        <v>-31.59805572</v>
      </c>
      <c r="F24" s="0" t="n">
        <f aca="false">-F6*F23/100</f>
        <v>-33.177958506</v>
      </c>
      <c r="G24" s="0" t="n">
        <f aca="false">-G6*G23/100</f>
        <v>-34.8368564313</v>
      </c>
      <c r="H24" s="0" t="n">
        <f aca="false">-H6*H23/100</f>
        <v>-36.4045149707085</v>
      </c>
      <c r="I24" s="0" t="n">
        <f aca="false">-I6*I23/100</f>
        <v>-37.8606955695369</v>
      </c>
      <c r="J24" s="0" t="n">
        <f aca="false">-J6*J23/100</f>
        <v>-39.3751233923183</v>
      </c>
      <c r="K24" s="0" t="n">
        <f aca="false">-K6*K23/100</f>
        <v>-40.7532527110495</v>
      </c>
      <c r="L24" s="0" t="n">
        <f aca="false">-L6*L23/100</f>
        <v>-41.975850292381</v>
      </c>
    </row>
    <row r="26" customFormat="false" ht="15" hidden="false" customHeight="false" outlineLevel="0" collapsed="false">
      <c r="A26" s="2" t="s">
        <v>128</v>
      </c>
    </row>
    <row r="27" customFormat="false" ht="15" hidden="false" customHeight="false" outlineLevel="0" collapsed="false">
      <c r="A27" s="0" t="s">
        <v>106</v>
      </c>
      <c r="B27" s="4" t="n">
        <f aca="false">Assumptions!$B$20</f>
        <v>8.5</v>
      </c>
    </row>
    <row r="28" customFormat="false" ht="15" hidden="false" customHeight="false" outlineLevel="0" collapsed="false">
      <c r="A28" s="0" t="s">
        <v>107</v>
      </c>
      <c r="B28" s="4" t="n">
        <f aca="false">Assumptions!$B$21</f>
        <v>2</v>
      </c>
    </row>
    <row r="29" customFormat="false" ht="15" hidden="false" customHeight="false" outlineLevel="0" collapsed="false">
      <c r="A29" s="0" t="s">
        <v>108</v>
      </c>
      <c r="B29" s="4" t="n">
        <f aca="false">Assumptions!$B$22</f>
        <v>18</v>
      </c>
    </row>
    <row r="30" customFormat="false" ht="15" hidden="false" customHeight="false" outlineLevel="0" collapsed="false">
      <c r="A30" s="0" t="s">
        <v>129</v>
      </c>
      <c r="B30" s="0" t="n">
        <f aca="false">SUM(C21:L21)</f>
        <v>3141.49301257627</v>
      </c>
    </row>
    <row r="31" customFormat="false" ht="15" hidden="false" customHeight="false" outlineLevel="0" collapsed="false">
      <c r="A31" s="0" t="s">
        <v>130</v>
      </c>
      <c r="B31" s="0" t="n">
        <f aca="false">L19</f>
        <v>586.091792411611</v>
      </c>
    </row>
    <row r="32" customFormat="false" ht="15" hidden="false" customHeight="false" outlineLevel="0" collapsed="false">
      <c r="A32" s="0" t="s">
        <v>131</v>
      </c>
      <c r="B32" s="0" t="n">
        <f aca="false">IF(B27&gt;B28,B31*(1+B28/100)/((B27-B28)/100),B31*B29)</f>
        <v>9197.13274245913</v>
      </c>
    </row>
    <row r="33" customFormat="false" ht="15" hidden="false" customHeight="false" outlineLevel="0" collapsed="false">
      <c r="A33" s="0" t="s">
        <v>132</v>
      </c>
      <c r="B33" s="0" t="n">
        <f aca="false">B31*B29</f>
        <v>10549.652263409</v>
      </c>
    </row>
    <row r="34" customFormat="false" ht="15" hidden="false" customHeight="false" outlineLevel="0" collapsed="false">
      <c r="A34" s="0" t="s">
        <v>133</v>
      </c>
      <c r="B34" s="0" t="n">
        <f aca="false">MAX(0,MIN(B32,B33))</f>
        <v>9197.13274245913</v>
      </c>
    </row>
    <row r="35" customFormat="false" ht="15" hidden="false" customHeight="false" outlineLevel="0" collapsed="false">
      <c r="A35" s="0" t="s">
        <v>134</v>
      </c>
      <c r="B35" s="0" t="n">
        <f aca="false">B34/(1+B27/100)^L4</f>
        <v>4067.75767214796</v>
      </c>
    </row>
    <row r="36" customFormat="false" ht="15" hidden="false" customHeight="false" outlineLevel="0" collapsed="false">
      <c r="A36" s="0" t="s">
        <v>135</v>
      </c>
      <c r="B36" s="0" t="n">
        <f aca="false">B30+B35</f>
        <v>7209.25068472422</v>
      </c>
    </row>
    <row r="37" customFormat="false" ht="15" hidden="false" customHeight="false" outlineLevel="0" collapsed="false">
      <c r="A37" s="0" t="s">
        <v>136</v>
      </c>
      <c r="B37" s="0" t="n">
        <f aca="false">B36+Assumptions!$B$5-Assumptions!$B$4</f>
        <v>6547.05068472422</v>
      </c>
    </row>
    <row r="38" customFormat="false" ht="15" hidden="false" customHeight="false" outlineLevel="0" collapsed="false">
      <c r="A38" s="0" t="s">
        <v>137</v>
      </c>
      <c r="B38" s="0" t="n">
        <f aca="false">B37/Assumptions!$B$3*Assumptions!$B$10</f>
        <v>1726.54290208972</v>
      </c>
    </row>
    <row r="39" customFormat="false" ht="15" hidden="false" customHeight="false" outlineLevel="0" collapsed="false">
      <c r="A39" s="0" t="s">
        <v>138</v>
      </c>
      <c r="B39" s="4" t="n">
        <f aca="false">B38/Assumptions!$B$2-1</f>
        <v>-0.51061709124441</v>
      </c>
    </row>
    <row r="41" customFormat="false" ht="15" hidden="false" customHeight="false" outlineLevel="0" collapsed="false">
      <c r="A41" s="0" t="s">
        <v>139</v>
      </c>
      <c r="B41" s="0" t="n">
        <f aca="false">SUMPRODUCT(-C10:L10/(1+$B$27/100)^C4:L4)</f>
        <v>238.893099772153</v>
      </c>
    </row>
    <row r="42" customFormat="false" ht="15" hidden="false" customHeight="false" outlineLevel="0" collapsed="false">
      <c r="A42" s="0" t="s">
        <v>140</v>
      </c>
      <c r="B42" s="0" t="n">
        <f aca="false">IF(B27&gt;B28,-L10*(1+B28/100)/((B27-B28)/100),-L10*20)/(1+B27/100)^L4</f>
        <v>304.574886290521</v>
      </c>
    </row>
    <row r="43" customFormat="false" ht="15" hidden="false" customHeight="false" outlineLevel="0" collapsed="false">
      <c r="A43" s="0" t="s">
        <v>141</v>
      </c>
      <c r="B43" s="0" t="n">
        <f aca="false">(B37+B41+B42)/Assumptions!$B$3*Assumptions!$B$10</f>
        <v>1869.86251866743</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4598.56637122957</v>
      </c>
    </row>
    <row r="47" customFormat="false" ht="15" hidden="false" customHeight="false" outlineLevel="0" collapsed="false">
      <c r="A47" s="0" t="s">
        <v>143</v>
      </c>
      <c r="B47" s="0" t="n">
        <f aca="false">(SUMPRODUCT(C19:L19/(1+B45/100)^C4:L4)+B46/(1+B45/100)^L4+Assumptions!$B$5-Assumptions!$B$4)/Assumptions!$B$3*Assumptions!$B$10</f>
        <v>747.892017550734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12</v>
      </c>
      <c r="D5" s="4" t="n">
        <f aca="false">Assumptions!D27</f>
        <v>9</v>
      </c>
      <c r="E5" s="4" t="n">
        <f aca="false">Assumptions!E27</f>
        <v>7.5</v>
      </c>
      <c r="F5" s="4" t="n">
        <f aca="false">Assumptions!F27</f>
        <v>7</v>
      </c>
      <c r="G5" s="4" t="n">
        <f aca="false">Assumptions!G27</f>
        <v>6.5</v>
      </c>
      <c r="H5" s="4" t="n">
        <f aca="false">Assumptions!H27</f>
        <v>6</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38</v>
      </c>
      <c r="B6" s="3" t="n">
        <v>2582.3</v>
      </c>
      <c r="C6" s="0" t="n">
        <f aca="false">B6*(1+C5/100)</f>
        <v>2892.176</v>
      </c>
      <c r="D6" s="0" t="n">
        <f aca="false">C6*(1+D5/100)</f>
        <v>3152.47184</v>
      </c>
      <c r="E6" s="0" t="n">
        <f aca="false">D6*(1+E5/100)</f>
        <v>3388.907228</v>
      </c>
      <c r="F6" s="0" t="n">
        <f aca="false">E6*(1+F5/100)</f>
        <v>3626.13073396</v>
      </c>
      <c r="G6" s="0" t="n">
        <f aca="false">F6*(1+G5/100)</f>
        <v>3861.8292316674</v>
      </c>
      <c r="H6" s="0" t="n">
        <f aca="false">G6*(1+H5/100)</f>
        <v>4093.53898556745</v>
      </c>
      <c r="I6" s="0" t="n">
        <f aca="false">H6*(1+I5/100)</f>
        <v>4318.68362977365</v>
      </c>
      <c r="J6" s="0" t="n">
        <f aca="false">I6*(1+J5/100)</f>
        <v>4534.61781126234</v>
      </c>
      <c r="K6" s="0" t="n">
        <f aca="false">J6*(1+K5/100)</f>
        <v>4738.67561276914</v>
      </c>
      <c r="L6" s="0" t="n">
        <f aca="false">K6*(1+L5/100)</f>
        <v>4928.22263727991</v>
      </c>
    </row>
    <row r="7" customFormat="false" ht="15" hidden="false" customHeight="false" outlineLevel="0" collapsed="false">
      <c r="A7" s="0" t="s">
        <v>100</v>
      </c>
      <c r="C7" s="4" t="n">
        <f aca="false">Assumptions!C28</f>
        <v>27.5</v>
      </c>
      <c r="D7" s="4" t="n">
        <f aca="false">Assumptions!D28</f>
        <v>27.6</v>
      </c>
      <c r="E7" s="4" t="n">
        <f aca="false">Assumptions!E28</f>
        <v>27.7</v>
      </c>
      <c r="F7" s="4" t="n">
        <f aca="false">Assumptions!F28</f>
        <v>27.7</v>
      </c>
      <c r="G7" s="4" t="n">
        <f aca="false">Assumptions!G28</f>
        <v>27.7</v>
      </c>
      <c r="H7" s="4" t="n">
        <f aca="false">Assumptions!H28</f>
        <v>27.7</v>
      </c>
      <c r="I7" s="4" t="n">
        <f aca="false">Assumptions!I28</f>
        <v>27.7</v>
      </c>
      <c r="J7" s="4" t="n">
        <f aca="false">Assumptions!J28</f>
        <v>27.7</v>
      </c>
      <c r="K7" s="4" t="n">
        <f aca="false">Assumptions!K28</f>
        <v>27.7</v>
      </c>
      <c r="L7" s="4" t="n">
        <f aca="false">Assumptions!L28</f>
        <v>27.7</v>
      </c>
    </row>
    <row r="8" customFormat="false" ht="15" hidden="false" customHeight="false" outlineLevel="0" collapsed="false">
      <c r="A8" s="0" t="s">
        <v>44</v>
      </c>
      <c r="C8" s="0" t="n">
        <f aca="false">C6*C7/100</f>
        <v>795.3484</v>
      </c>
      <c r="D8" s="0" t="n">
        <f aca="false">D6*D7/100</f>
        <v>870.08222784</v>
      </c>
      <c r="E8" s="0" t="n">
        <f aca="false">E6*E7/100</f>
        <v>938.727302156</v>
      </c>
      <c r="F8" s="0" t="n">
        <f aca="false">F6*F7/100</f>
        <v>1004.43821330692</v>
      </c>
      <c r="G8" s="0" t="n">
        <f aca="false">G6*G7/100</f>
        <v>1069.72669717187</v>
      </c>
      <c r="H8" s="0" t="n">
        <f aca="false">H6*H7/100</f>
        <v>1133.91029900218</v>
      </c>
      <c r="I8" s="0" t="n">
        <f aca="false">I6*I7/100</f>
        <v>1196.2753654473</v>
      </c>
      <c r="J8" s="0" t="n">
        <f aca="false">J6*J7/100</f>
        <v>1256.08913371967</v>
      </c>
      <c r="K8" s="0" t="n">
        <f aca="false">K6*K7/100</f>
        <v>1312.61314473705</v>
      </c>
      <c r="L8" s="0" t="n">
        <f aca="false">L6*L7/100</f>
        <v>1365.11767052653</v>
      </c>
    </row>
    <row r="9" customFormat="false" ht="15" hidden="false" customHeight="false" outlineLevel="0" collapsed="false">
      <c r="A9" s="0" t="s">
        <v>101</v>
      </c>
      <c r="C9" s="4" t="n">
        <f aca="false">Assumptions!C29</f>
        <v>1.15</v>
      </c>
      <c r="D9" s="4" t="n">
        <f aca="false">Assumptions!D29</f>
        <v>1.15</v>
      </c>
      <c r="E9" s="4" t="n">
        <f aca="false">Assumptions!E29</f>
        <v>1.15</v>
      </c>
      <c r="F9" s="4" t="n">
        <f aca="false">Assumptions!F29</f>
        <v>1.15</v>
      </c>
      <c r="G9" s="4" t="n">
        <f aca="false">Assumptions!G29</f>
        <v>1.15</v>
      </c>
      <c r="H9" s="4" t="n">
        <f aca="false">Assumptions!H29</f>
        <v>1.15</v>
      </c>
      <c r="I9" s="4" t="n">
        <f aca="false">Assumptions!I29</f>
        <v>1.15</v>
      </c>
      <c r="J9" s="4" t="n">
        <f aca="false">Assumptions!J29</f>
        <v>1.15</v>
      </c>
      <c r="K9" s="4" t="n">
        <f aca="false">Assumptions!K29</f>
        <v>1.15</v>
      </c>
      <c r="L9" s="4" t="n">
        <f aca="false">Assumptions!L29</f>
        <v>1.15</v>
      </c>
    </row>
    <row r="10" customFormat="false" ht="15" hidden="false" customHeight="false" outlineLevel="0" collapsed="false">
      <c r="A10" s="0" t="s">
        <v>116</v>
      </c>
      <c r="C10" s="0" t="n">
        <f aca="false">-C6*C9/100</f>
        <v>-33.260024</v>
      </c>
      <c r="D10" s="0" t="n">
        <f aca="false">-D6*D9/100</f>
        <v>-36.25342616</v>
      </c>
      <c r="E10" s="0" t="n">
        <f aca="false">-E6*E9/100</f>
        <v>-38.972433122</v>
      </c>
      <c r="F10" s="0" t="n">
        <f aca="false">-F6*F9/100</f>
        <v>-41.70050344054</v>
      </c>
      <c r="G10" s="0" t="n">
        <f aca="false">-G6*G9/100</f>
        <v>-44.4110361641751</v>
      </c>
      <c r="H10" s="0" t="n">
        <f aca="false">-H6*H9/100</f>
        <v>-47.0756983340256</v>
      </c>
      <c r="I10" s="0" t="n">
        <f aca="false">-I6*I9/100</f>
        <v>-49.664861742397</v>
      </c>
      <c r="J10" s="0" t="n">
        <f aca="false">-J6*J9/100</f>
        <v>-52.1481048295169</v>
      </c>
      <c r="K10" s="0" t="n">
        <f aca="false">-K6*K9/100</f>
        <v>-54.4947695468451</v>
      </c>
      <c r="L10" s="0" t="n">
        <f aca="false">-L6*L9/100</f>
        <v>-56.6745603287189</v>
      </c>
    </row>
    <row r="11" customFormat="false" ht="15" hidden="false" customHeight="false" outlineLevel="0" collapsed="false">
      <c r="A11" s="0" t="s">
        <v>117</v>
      </c>
      <c r="C11" s="0" t="n">
        <f aca="false">C8+C10+C24</f>
        <v>730.27444</v>
      </c>
      <c r="D11" s="0" t="n">
        <f aca="false">D8+D10+D24</f>
        <v>799.15161144</v>
      </c>
      <c r="E11" s="0" t="n">
        <f aca="false">E8+E10+E24</f>
        <v>862.476889526</v>
      </c>
      <c r="F11" s="0" t="n">
        <f aca="false">F8+F10+F24</f>
        <v>922.85027179282</v>
      </c>
      <c r="G11" s="0" t="n">
        <f aca="false">G8+G10+G24</f>
        <v>982.835539459353</v>
      </c>
      <c r="H11" s="0" t="n">
        <f aca="false">H8+H10+H24</f>
        <v>1041.80567182691</v>
      </c>
      <c r="I11" s="0" t="n">
        <f aca="false">I8+I10+I24</f>
        <v>1099.10498377739</v>
      </c>
      <c r="J11" s="0" t="n">
        <f aca="false">J8+J10+J24</f>
        <v>1154.06023296626</v>
      </c>
      <c r="K11" s="0" t="n">
        <f aca="false">K8+K10+K24</f>
        <v>1205.99294344975</v>
      </c>
      <c r="L11" s="0" t="n">
        <f aca="false">L8+L10+L24</f>
        <v>1254.23266118774</v>
      </c>
    </row>
    <row r="12" customFormat="false" ht="15" hidden="false" customHeight="false" outlineLevel="0" collapsed="false">
      <c r="A12" s="0" t="s">
        <v>118</v>
      </c>
      <c r="C12" s="4" t="n">
        <f aca="false">-C6*Assumptions!C31/100</f>
        <v>-46.274816</v>
      </c>
      <c r="D12" s="4" t="n">
        <f aca="false">-D6*Assumptions!D31/100</f>
        <v>-50.43954944</v>
      </c>
      <c r="E12" s="4" t="n">
        <f aca="false">-E6*Assumptions!E31/100</f>
        <v>-54.222515648</v>
      </c>
      <c r="F12" s="4" t="n">
        <f aca="false">-F6*Assumptions!F31/100</f>
        <v>-58.01809174336</v>
      </c>
      <c r="G12" s="4" t="n">
        <f aca="false">-G6*Assumptions!G31/100</f>
        <v>-61.7892677066784</v>
      </c>
      <c r="H12" s="4" t="n">
        <f aca="false">-H6*Assumptions!H31/100</f>
        <v>-65.4966237690791</v>
      </c>
      <c r="I12" s="4" t="n">
        <f aca="false">-I6*Assumptions!I31/100</f>
        <v>-69.0989380763785</v>
      </c>
      <c r="J12" s="4" t="n">
        <f aca="false">-J6*Assumptions!J31/100</f>
        <v>-72.5538849801974</v>
      </c>
      <c r="K12" s="4" t="n">
        <f aca="false">-K6*Assumptions!K31/100</f>
        <v>-75.8188098043063</v>
      </c>
      <c r="L12" s="4" t="n">
        <f aca="false">-L6*Assumptions!L31/100</f>
        <v>-78.8515621964785</v>
      </c>
    </row>
    <row r="13" customFormat="false" ht="15" hidden="false" customHeight="false" outlineLevel="0" collapsed="false">
      <c r="A13" s="0" t="s">
        <v>119</v>
      </c>
      <c r="C13" s="0" t="n">
        <f aca="false">C11+C12</f>
        <v>683.999624</v>
      </c>
      <c r="D13" s="0" t="n">
        <f aca="false">D11+D12</f>
        <v>748.712062</v>
      </c>
      <c r="E13" s="0" t="n">
        <f aca="false">E11+E12</f>
        <v>808.254373878</v>
      </c>
      <c r="F13" s="0" t="n">
        <f aca="false">F11+F12</f>
        <v>864.83218004946</v>
      </c>
      <c r="G13" s="0" t="n">
        <f aca="false">G11+G12</f>
        <v>921.046271752675</v>
      </c>
      <c r="H13" s="0" t="n">
        <f aca="false">H11+H12</f>
        <v>976.309048057836</v>
      </c>
      <c r="I13" s="0" t="n">
        <f aca="false">I11+I12</f>
        <v>1030.00604570102</v>
      </c>
      <c r="J13" s="0" t="n">
        <f aca="false">J11+J12</f>
        <v>1081.50634798607</v>
      </c>
      <c r="K13" s="0" t="n">
        <f aca="false">K11+K12</f>
        <v>1130.17413364544</v>
      </c>
      <c r="L13" s="0" t="n">
        <f aca="false">L11+L12</f>
        <v>1175.38109899126</v>
      </c>
    </row>
    <row r="14" customFormat="false" ht="15" hidden="false" customHeight="false" outlineLevel="0" collapsed="false">
      <c r="A14" s="0" t="s">
        <v>105</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120</v>
      </c>
      <c r="C15" s="0" t="n">
        <f aca="false">C13-MAX(0,C13)*C14/100</f>
        <v>519.83971424</v>
      </c>
      <c r="D15" s="0" t="n">
        <f aca="false">D13-MAX(0,D13)*D14/100</f>
        <v>569.02116712</v>
      </c>
      <c r="E15" s="0" t="n">
        <f aca="false">E13-MAX(0,E13)*E14/100</f>
        <v>614.27332414728</v>
      </c>
      <c r="F15" s="0" t="n">
        <f aca="false">F13-MAX(0,F13)*F14/100</f>
        <v>657.27245683759</v>
      </c>
      <c r="G15" s="0" t="n">
        <f aca="false">G13-MAX(0,G13)*G14/100</f>
        <v>699.995166532033</v>
      </c>
      <c r="H15" s="0" t="n">
        <f aca="false">H13-MAX(0,H13)*H14/100</f>
        <v>741.994876523955</v>
      </c>
      <c r="I15" s="0" t="n">
        <f aca="false">I13-MAX(0,I13)*I14/100</f>
        <v>782.804594732772</v>
      </c>
      <c r="J15" s="0" t="n">
        <f aca="false">J13-MAX(0,J13)*J14/100</f>
        <v>821.944824469411</v>
      </c>
      <c r="K15" s="0" t="n">
        <f aca="false">K13-MAX(0,K13)*K14/100</f>
        <v>858.932341570535</v>
      </c>
      <c r="L15" s="0" t="n">
        <f aca="false">L13-MAX(0,L13)*L14/100</f>
        <v>893.289635233356</v>
      </c>
    </row>
    <row r="16" customFormat="false" ht="15" hidden="false" customHeight="false" outlineLevel="0" collapsed="false">
      <c r="A16" s="0" t="s">
        <v>121</v>
      </c>
      <c r="C16" s="0" t="n">
        <f aca="false">-C12</f>
        <v>46.274816</v>
      </c>
      <c r="D16" s="0" t="n">
        <f aca="false">-D12</f>
        <v>50.43954944</v>
      </c>
      <c r="E16" s="0" t="n">
        <f aca="false">-E12</f>
        <v>54.222515648</v>
      </c>
      <c r="F16" s="0" t="n">
        <f aca="false">-F12</f>
        <v>58.01809174336</v>
      </c>
      <c r="G16" s="0" t="n">
        <f aca="false">-G12</f>
        <v>61.7892677066784</v>
      </c>
      <c r="H16" s="0" t="n">
        <f aca="false">-H12</f>
        <v>65.4966237690791</v>
      </c>
      <c r="I16" s="0" t="n">
        <f aca="false">-I12</f>
        <v>69.0989380763785</v>
      </c>
      <c r="J16" s="0" t="n">
        <f aca="false">-J12</f>
        <v>72.5538849801974</v>
      </c>
      <c r="K16" s="0" t="n">
        <f aca="false">-K12</f>
        <v>75.8188098043063</v>
      </c>
      <c r="L16" s="0" t="n">
        <f aca="false">-L12</f>
        <v>78.8515621964785</v>
      </c>
    </row>
    <row r="17" customFormat="false" ht="15" hidden="false" customHeight="false" outlineLevel="0" collapsed="false">
      <c r="A17" s="0" t="s">
        <v>122</v>
      </c>
      <c r="C17" s="4" t="n">
        <f aca="false">-C6*Assumptions!C32/100</f>
        <v>-75.196576</v>
      </c>
      <c r="D17" s="4" t="n">
        <f aca="false">-D6*Assumptions!D32/100</f>
        <v>-81.96426784</v>
      </c>
      <c r="E17" s="4" t="n">
        <f aca="false">-E6*Assumptions!E32/100</f>
        <v>-84.7226807</v>
      </c>
      <c r="F17" s="4" t="n">
        <f aca="false">-F6*Assumptions!F32/100</f>
        <v>-90.653268349</v>
      </c>
      <c r="G17" s="4" t="n">
        <f aca="false">-G6*Assumptions!G32/100</f>
        <v>-96.545730791685</v>
      </c>
      <c r="H17" s="4" t="n">
        <f aca="false">-H6*Assumptions!H32/100</f>
        <v>-98.2449356536187</v>
      </c>
      <c r="I17" s="4" t="n">
        <f aca="false">-I6*Assumptions!I32/100</f>
        <v>-103.648407114568</v>
      </c>
      <c r="J17" s="4" t="n">
        <f aca="false">-J6*Assumptions!J32/100</f>
        <v>-108.830827470296</v>
      </c>
      <c r="K17" s="4" t="n">
        <f aca="false">-K6*Assumptions!K32/100</f>
        <v>-108.98953909369</v>
      </c>
      <c r="L17" s="4" t="n">
        <f aca="false">-L6*Assumptions!L32/100</f>
        <v>-113.349120657438</v>
      </c>
    </row>
    <row r="18" customFormat="false" ht="15" hidden="false" customHeight="false" outlineLevel="0" collapsed="false">
      <c r="A18" s="0" t="s">
        <v>123</v>
      </c>
      <c r="C18" s="4" t="n">
        <f aca="false">(C6-B6)*Assumptions!$B$37/100</f>
        <v>-52.67892</v>
      </c>
      <c r="D18" s="4" t="n">
        <f aca="false">(D6-C6)*Assumptions!$B$37/100</f>
        <v>-44.2502928</v>
      </c>
      <c r="E18" s="4" t="n">
        <f aca="false">(E6-D6)*Assumptions!$B$37/100</f>
        <v>-40.19401596</v>
      </c>
      <c r="F18" s="4" t="n">
        <f aca="false">(F6-E6)*Assumptions!$B$37/100</f>
        <v>-40.3279960132</v>
      </c>
      <c r="G18" s="4" t="n">
        <f aca="false">(G6-F6)*Assumptions!$B$37/100</f>
        <v>-40.068744610258</v>
      </c>
      <c r="H18" s="4" t="n">
        <f aca="false">(H6-G6)*Assumptions!$B$37/100</f>
        <v>-39.3906581630075</v>
      </c>
      <c r="I18" s="4" t="n">
        <f aca="false">(I6-H6)*Assumptions!$B$37/100</f>
        <v>-38.2745895150555</v>
      </c>
      <c r="J18" s="4" t="n">
        <f aca="false">(J6-I6)*Assumptions!$B$37/100</f>
        <v>-36.7088108530761</v>
      </c>
      <c r="K18" s="4" t="n">
        <f aca="false">(K6-J6)*Assumptions!$B$37/100</f>
        <v>-34.6898262561568</v>
      </c>
      <c r="L18" s="4" t="n">
        <f aca="false">(L6-K6)*Assumptions!$B$37/100</f>
        <v>-32.2229941668303</v>
      </c>
    </row>
    <row r="19" customFormat="false" ht="15" hidden="false" customHeight="false" outlineLevel="0" collapsed="false">
      <c r="A19" s="0" t="s">
        <v>124</v>
      </c>
      <c r="C19" s="0" t="n">
        <f aca="false">C15+C16+C17+C18</f>
        <v>438.23903424</v>
      </c>
      <c r="D19" s="0" t="n">
        <f aca="false">D15+D16+D17+D18</f>
        <v>493.24615592</v>
      </c>
      <c r="E19" s="0" t="n">
        <f aca="false">E15+E16+E17+E18</f>
        <v>543.57914313528</v>
      </c>
      <c r="F19" s="0" t="n">
        <f aca="false">F15+F16+F17+F18</f>
        <v>584.30928421875</v>
      </c>
      <c r="G19" s="0" t="n">
        <f aca="false">G15+G16+G17+G18</f>
        <v>625.169958836768</v>
      </c>
      <c r="H19" s="0" t="n">
        <f aca="false">H15+H16+H17+H18</f>
        <v>669.855906476408</v>
      </c>
      <c r="I19" s="0" t="n">
        <f aca="false">I15+I16+I17+I18</f>
        <v>709.980536179528</v>
      </c>
      <c r="J19" s="0" t="n">
        <f aca="false">J15+J16+J17+J18</f>
        <v>748.959071126236</v>
      </c>
      <c r="K19" s="0" t="n">
        <f aca="false">K15+K16+K17+K18</f>
        <v>791.071786024994</v>
      </c>
      <c r="L19" s="0" t="n">
        <f aca="false">L15+L16+L17+L18</f>
        <v>826.569082605567</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403.906944</v>
      </c>
      <c r="D21" s="0" t="n">
        <f aca="false">D19*D20</f>
        <v>418.99055483871</v>
      </c>
      <c r="E21" s="0" t="n">
        <f aca="false">E19*E20</f>
        <v>425.572513298647</v>
      </c>
      <c r="F21" s="0" t="n">
        <f aca="false">F19*F20</f>
        <v>421.622553551264</v>
      </c>
      <c r="G21" s="0" t="n">
        <f aca="false">G19*G20</f>
        <v>415.766419901813</v>
      </c>
      <c r="H21" s="0" t="n">
        <f aca="false">H19*H20</f>
        <v>410.58488927637</v>
      </c>
      <c r="I21" s="0" t="n">
        <f aca="false">I19*I20</f>
        <v>401.086713423572</v>
      </c>
      <c r="J21" s="0" t="n">
        <f aca="false">J19*J20</f>
        <v>389.960105925792</v>
      </c>
      <c r="K21" s="0" t="n">
        <f aca="false">K19*K20</f>
        <v>379.619271828556</v>
      </c>
      <c r="L21" s="0" t="n">
        <f aca="false">L19*L20</f>
        <v>365.579449756869</v>
      </c>
    </row>
    <row r="23" customFormat="false" ht="15" hidden="false" customHeight="false" outlineLevel="0" collapsed="false">
      <c r="A23" s="0" t="s">
        <v>102</v>
      </c>
      <c r="C23" s="4" t="n">
        <f aca="false">Assumptions!C30</f>
        <v>1.1</v>
      </c>
      <c r="D23" s="4" t="n">
        <f aca="false">Assumptions!D30</f>
        <v>1.1</v>
      </c>
      <c r="E23" s="4" t="n">
        <f aca="false">Assumptions!E30</f>
        <v>1.1</v>
      </c>
      <c r="F23" s="4" t="n">
        <f aca="false">Assumptions!F30</f>
        <v>1.1</v>
      </c>
      <c r="G23" s="4" t="n">
        <f aca="false">Assumptions!G30</f>
        <v>1.1</v>
      </c>
      <c r="H23" s="4" t="n">
        <f aca="false">Assumptions!H30</f>
        <v>1.1</v>
      </c>
      <c r="I23" s="4" t="n">
        <f aca="false">Assumptions!I30</f>
        <v>1.1</v>
      </c>
      <c r="J23" s="4" t="n">
        <f aca="false">Assumptions!J30</f>
        <v>1.1</v>
      </c>
      <c r="K23" s="4" t="n">
        <f aca="false">Assumptions!K30</f>
        <v>1.1</v>
      </c>
      <c r="L23" s="4" t="n">
        <f aca="false">Assumptions!L30</f>
        <v>1.1</v>
      </c>
    </row>
    <row r="24" customFormat="false" ht="15" hidden="false" customHeight="false" outlineLevel="0" collapsed="false">
      <c r="A24" s="0" t="s">
        <v>127</v>
      </c>
      <c r="C24" s="0" t="n">
        <f aca="false">-C6*C23/100</f>
        <v>-31.813936</v>
      </c>
      <c r="D24" s="0" t="n">
        <f aca="false">-D6*D23/100</f>
        <v>-34.67719024</v>
      </c>
      <c r="E24" s="0" t="n">
        <f aca="false">-E6*E23/100</f>
        <v>-37.277979508</v>
      </c>
      <c r="F24" s="0" t="n">
        <f aca="false">-F6*F23/100</f>
        <v>-39.88743807356</v>
      </c>
      <c r="G24" s="0" t="n">
        <f aca="false">-G6*G23/100</f>
        <v>-42.4801215483414</v>
      </c>
      <c r="H24" s="0" t="n">
        <f aca="false">-H6*H23/100</f>
        <v>-45.0289288412419</v>
      </c>
      <c r="I24" s="0" t="n">
        <f aca="false">-I6*I23/100</f>
        <v>-47.5055199275102</v>
      </c>
      <c r="J24" s="0" t="n">
        <f aca="false">-J6*J23/100</f>
        <v>-49.8807959238857</v>
      </c>
      <c r="K24" s="0" t="n">
        <f aca="false">-K6*K23/100</f>
        <v>-52.1254317404606</v>
      </c>
      <c r="L24" s="0" t="n">
        <f aca="false">-L6*L23/100</f>
        <v>-54.210449010079</v>
      </c>
    </row>
    <row r="26" customFormat="false" ht="15" hidden="false" customHeight="false" outlineLevel="0" collapsed="false">
      <c r="A26" s="2" t="s">
        <v>128</v>
      </c>
    </row>
    <row r="27" customFormat="false" ht="15" hidden="false" customHeight="false" outlineLevel="0" collapsed="false">
      <c r="A27" s="0" t="s">
        <v>106</v>
      </c>
      <c r="B27" s="4" t="n">
        <f aca="false">Assumptions!$B$34</f>
        <v>8.5</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20</v>
      </c>
    </row>
    <row r="30" customFormat="false" ht="15" hidden="false" customHeight="false" outlineLevel="0" collapsed="false">
      <c r="A30" s="0" t="s">
        <v>129</v>
      </c>
      <c r="B30" s="0" t="n">
        <f aca="false">SUM(C21:L21)</f>
        <v>4032.68941580159</v>
      </c>
    </row>
    <row r="31" customFormat="false" ht="15" hidden="false" customHeight="false" outlineLevel="0" collapsed="false">
      <c r="A31" s="0" t="s">
        <v>130</v>
      </c>
      <c r="B31" s="0" t="n">
        <f aca="false">L19</f>
        <v>826.569082605567</v>
      </c>
    </row>
    <row r="32" customFormat="false" ht="15" hidden="false" customHeight="false" outlineLevel="0" collapsed="false">
      <c r="A32" s="0" t="s">
        <v>131</v>
      </c>
      <c r="B32" s="0" t="n">
        <f aca="false">IF(B27&gt;B28,B31*(1+B28/100)/((B27-B28)/100),B31*B29)</f>
        <v>14120.5551611784</v>
      </c>
    </row>
    <row r="33" customFormat="false" ht="15" hidden="false" customHeight="false" outlineLevel="0" collapsed="false">
      <c r="A33" s="0" t="s">
        <v>132</v>
      </c>
      <c r="B33" s="0" t="n">
        <f aca="false">B31*B29</f>
        <v>16531.3816521113</v>
      </c>
    </row>
    <row r="34" customFormat="false" ht="15" hidden="false" customHeight="false" outlineLevel="0" collapsed="false">
      <c r="A34" s="0" t="s">
        <v>133</v>
      </c>
      <c r="B34" s="0" t="n">
        <f aca="false">MAX(0,MIN(B32,B33))</f>
        <v>14120.5551611784</v>
      </c>
    </row>
    <row r="35" customFormat="false" ht="15" hidden="false" customHeight="false" outlineLevel="0" collapsed="false">
      <c r="A35" s="0" t="s">
        <v>134</v>
      </c>
      <c r="B35" s="0" t="n">
        <f aca="false">B34/(1+B27/100)^L4</f>
        <v>6245.31560001318</v>
      </c>
    </row>
    <row r="36" customFormat="false" ht="15" hidden="false" customHeight="false" outlineLevel="0" collapsed="false">
      <c r="A36" s="0" t="s">
        <v>135</v>
      </c>
      <c r="B36" s="0" t="n">
        <f aca="false">B30+B35</f>
        <v>10278.0050158148</v>
      </c>
    </row>
    <row r="37" customFormat="false" ht="15" hidden="false" customHeight="false" outlineLevel="0" collapsed="false">
      <c r="A37" s="0" t="s">
        <v>136</v>
      </c>
      <c r="B37" s="0" t="n">
        <f aca="false">B36+Assumptions!$B$5-Assumptions!$B$4</f>
        <v>9615.80501581477</v>
      </c>
    </row>
    <row r="38" customFormat="false" ht="15" hidden="false" customHeight="false" outlineLevel="0" collapsed="false">
      <c r="A38" s="0" t="s">
        <v>137</v>
      </c>
      <c r="B38" s="0" t="n">
        <f aca="false">B37/Assumptions!$B$3*Assumptions!$B$10</f>
        <v>2535.81355902288</v>
      </c>
    </row>
    <row r="39" customFormat="false" ht="15" hidden="false" customHeight="false" outlineLevel="0" collapsed="false">
      <c r="A39" s="0" t="s">
        <v>138</v>
      </c>
      <c r="B39" s="4" t="n">
        <f aca="false">B38/Assumptions!$B$2-1</f>
        <v>-0.281231984403945</v>
      </c>
    </row>
    <row r="41" customFormat="false" ht="15" hidden="false" customHeight="false" outlineLevel="0" collapsed="false">
      <c r="A41" s="0" t="s">
        <v>139</v>
      </c>
      <c r="B41" s="0" t="n">
        <f aca="false">SUMPRODUCT(-C10:L10/(1+$B$27/100)^C4:L4)</f>
        <v>286.868261271314</v>
      </c>
    </row>
    <row r="42" customFormat="false" ht="15" hidden="false" customHeight="false" outlineLevel="0" collapsed="false">
      <c r="A42" s="0" t="s">
        <v>140</v>
      </c>
      <c r="B42" s="0" t="n">
        <f aca="false">IF(B27&gt;B28,-L10*(1+B28/100)/((B27-B28)/100),-L10*20)/(1+B27/100)^L4</f>
        <v>428.216495382442</v>
      </c>
    </row>
    <row r="43" customFormat="false" ht="15" hidden="false" customHeight="false" outlineLevel="0" collapsed="false">
      <c r="A43" s="0" t="s">
        <v>141</v>
      </c>
      <c r="B43" s="0" t="n">
        <f aca="false">(B37+B41+B42)/Assumptions!$B$3*Assumptions!$B$10</f>
        <v>2724.39076278179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6777.86647736565</v>
      </c>
    </row>
    <row r="47" customFormat="false" ht="15" hidden="false" customHeight="false" outlineLevel="0" collapsed="false">
      <c r="A47" s="0" t="s">
        <v>143</v>
      </c>
      <c r="B47" s="0" t="n">
        <f aca="false">(SUMPRODUCT(C19:L19/(1+B45/100)^C4:L4)+B46/(1+B45/100)^L4+Assumptions!$B$5-Assumptions!$B$4)/Assumptions!$B$3*Assumptions!$B$10</f>
        <v>1054.87039666828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14</v>
      </c>
      <c r="D5" s="4" t="n">
        <f aca="false">Assumptions!D41</f>
        <v>12</v>
      </c>
      <c r="E5" s="4" t="n">
        <f aca="false">Assumptions!E41</f>
        <v>10</v>
      </c>
      <c r="F5" s="4" t="n">
        <f aca="false">Assumptions!F41</f>
        <v>9</v>
      </c>
      <c r="G5" s="4" t="n">
        <f aca="false">Assumptions!G41</f>
        <v>8</v>
      </c>
      <c r="H5" s="4" t="n">
        <f aca="false">Assumptions!H41</f>
        <v>7</v>
      </c>
      <c r="I5" s="4" t="n">
        <f aca="false">Assumptions!I41</f>
        <v>6.5</v>
      </c>
      <c r="J5" s="4" t="n">
        <f aca="false">Assumptions!J41</f>
        <v>6</v>
      </c>
      <c r="K5" s="4" t="n">
        <f aca="false">Assumptions!K41</f>
        <v>5</v>
      </c>
      <c r="L5" s="4" t="n">
        <f aca="false">Assumptions!L41</f>
        <v>4.5</v>
      </c>
    </row>
    <row r="6" customFormat="false" ht="15" hidden="false" customHeight="false" outlineLevel="0" collapsed="false">
      <c r="A6" s="0" t="s">
        <v>38</v>
      </c>
      <c r="B6" s="3" t="n">
        <v>2582.3</v>
      </c>
      <c r="C6" s="0" t="n">
        <f aca="false">B6*(1+C5/100)</f>
        <v>2943.822</v>
      </c>
      <c r="D6" s="0" t="n">
        <f aca="false">C6*(1+D5/100)</f>
        <v>3297.08064</v>
      </c>
      <c r="E6" s="0" t="n">
        <f aca="false">D6*(1+E5/100)</f>
        <v>3626.788704</v>
      </c>
      <c r="F6" s="0" t="n">
        <f aca="false">E6*(1+F5/100)</f>
        <v>3953.19968736</v>
      </c>
      <c r="G6" s="0" t="n">
        <f aca="false">F6*(1+G5/100)</f>
        <v>4269.4556623488</v>
      </c>
      <c r="H6" s="0" t="n">
        <f aca="false">G6*(1+H5/100)</f>
        <v>4568.31755871322</v>
      </c>
      <c r="I6" s="0" t="n">
        <f aca="false">H6*(1+I5/100)</f>
        <v>4865.25820002958</v>
      </c>
      <c r="J6" s="0" t="n">
        <f aca="false">I6*(1+J5/100)</f>
        <v>5157.17369203135</v>
      </c>
      <c r="K6" s="0" t="n">
        <f aca="false">J6*(1+K5/100)</f>
        <v>5415.03237663292</v>
      </c>
      <c r="L6" s="0" t="n">
        <f aca="false">K6*(1+L5/100)</f>
        <v>5658.7088335814</v>
      </c>
    </row>
    <row r="7" customFormat="false" ht="15" hidden="false" customHeight="false" outlineLevel="0" collapsed="false">
      <c r="A7" s="0" t="s">
        <v>100</v>
      </c>
      <c r="C7" s="4" t="n">
        <f aca="false">Assumptions!C42</f>
        <v>27.8</v>
      </c>
      <c r="D7" s="4" t="n">
        <f aca="false">Assumptions!D42</f>
        <v>28.3</v>
      </c>
      <c r="E7" s="4" t="n">
        <f aca="false">Assumptions!E42</f>
        <v>28.6</v>
      </c>
      <c r="F7" s="4" t="n">
        <f aca="false">Assumptions!F42</f>
        <v>28.8</v>
      </c>
      <c r="G7" s="4" t="n">
        <f aca="false">Assumptions!G42</f>
        <v>29</v>
      </c>
      <c r="H7" s="4" t="n">
        <f aca="false">Assumptions!H42</f>
        <v>29</v>
      </c>
      <c r="I7" s="4" t="n">
        <f aca="false">Assumptions!I42</f>
        <v>29</v>
      </c>
      <c r="J7" s="4" t="n">
        <f aca="false">Assumptions!J42</f>
        <v>29</v>
      </c>
      <c r="K7" s="4" t="n">
        <f aca="false">Assumptions!K42</f>
        <v>29</v>
      </c>
      <c r="L7" s="4" t="n">
        <f aca="false">Assumptions!L42</f>
        <v>29</v>
      </c>
    </row>
    <row r="8" customFormat="false" ht="15" hidden="false" customHeight="false" outlineLevel="0" collapsed="false">
      <c r="A8" s="0" t="s">
        <v>44</v>
      </c>
      <c r="C8" s="0" t="n">
        <f aca="false">C6*C7/100</f>
        <v>818.382516</v>
      </c>
      <c r="D8" s="0" t="n">
        <f aca="false">D6*D7/100</f>
        <v>933.07382112</v>
      </c>
      <c r="E8" s="0" t="n">
        <f aca="false">E6*E7/100</f>
        <v>1037.261569344</v>
      </c>
      <c r="F8" s="0" t="n">
        <f aca="false">F6*F7/100</f>
        <v>1138.52150995968</v>
      </c>
      <c r="G8" s="0" t="n">
        <f aca="false">G6*G7/100</f>
        <v>1238.14214208115</v>
      </c>
      <c r="H8" s="0" t="n">
        <f aca="false">H6*H7/100</f>
        <v>1324.81209202683</v>
      </c>
      <c r="I8" s="0" t="n">
        <f aca="false">I6*I7/100</f>
        <v>1410.92487800858</v>
      </c>
      <c r="J8" s="0" t="n">
        <f aca="false">J6*J7/100</f>
        <v>1495.58037068909</v>
      </c>
      <c r="K8" s="0" t="n">
        <f aca="false">K6*K7/100</f>
        <v>1570.35938922355</v>
      </c>
      <c r="L8" s="0" t="n">
        <f aca="false">L6*L7/100</f>
        <v>1641.02556173861</v>
      </c>
    </row>
    <row r="9" customFormat="false" ht="15" hidden="false" customHeight="false" outlineLevel="0" collapsed="false">
      <c r="A9" s="0" t="s">
        <v>101</v>
      </c>
      <c r="C9" s="4" t="n">
        <f aca="false">Assumptions!C43</f>
        <v>1.15</v>
      </c>
      <c r="D9" s="4" t="n">
        <f aca="false">Assumptions!D43</f>
        <v>1.15</v>
      </c>
      <c r="E9" s="4" t="n">
        <f aca="false">Assumptions!E43</f>
        <v>1.15</v>
      </c>
      <c r="F9" s="4" t="n">
        <f aca="false">Assumptions!F43</f>
        <v>1.15</v>
      </c>
      <c r="G9" s="4" t="n">
        <f aca="false">Assumptions!G43</f>
        <v>1.15</v>
      </c>
      <c r="H9" s="4" t="n">
        <f aca="false">Assumptions!H43</f>
        <v>1.15</v>
      </c>
      <c r="I9" s="4" t="n">
        <f aca="false">Assumptions!I43</f>
        <v>1.15</v>
      </c>
      <c r="J9" s="4" t="n">
        <f aca="false">Assumptions!J43</f>
        <v>1.15</v>
      </c>
      <c r="K9" s="4" t="n">
        <f aca="false">Assumptions!K43</f>
        <v>1.15</v>
      </c>
      <c r="L9" s="4" t="n">
        <f aca="false">Assumptions!L43</f>
        <v>1.15</v>
      </c>
    </row>
    <row r="10" customFormat="false" ht="15" hidden="false" customHeight="false" outlineLevel="0" collapsed="false">
      <c r="A10" s="0" t="s">
        <v>116</v>
      </c>
      <c r="C10" s="0" t="n">
        <f aca="false">-C6*C9/100</f>
        <v>-33.853953</v>
      </c>
      <c r="D10" s="0" t="n">
        <f aca="false">-D6*D9/100</f>
        <v>-37.91642736</v>
      </c>
      <c r="E10" s="0" t="n">
        <f aca="false">-E6*E9/100</f>
        <v>-41.708070096</v>
      </c>
      <c r="F10" s="0" t="n">
        <f aca="false">-F6*F9/100</f>
        <v>-45.46179640464</v>
      </c>
      <c r="G10" s="0" t="n">
        <f aca="false">-G6*G9/100</f>
        <v>-49.0987401170112</v>
      </c>
      <c r="H10" s="0" t="n">
        <f aca="false">-H6*H9/100</f>
        <v>-52.535651925202</v>
      </c>
      <c r="I10" s="0" t="n">
        <f aca="false">-I6*I9/100</f>
        <v>-55.9504693003401</v>
      </c>
      <c r="J10" s="0" t="n">
        <f aca="false">-J6*J9/100</f>
        <v>-59.3074974583606</v>
      </c>
      <c r="K10" s="0" t="n">
        <f aca="false">-K6*K9/100</f>
        <v>-62.2728723312786</v>
      </c>
      <c r="L10" s="0" t="n">
        <f aca="false">-L6*L9/100</f>
        <v>-65.0751515861861</v>
      </c>
    </row>
    <row r="11" customFormat="false" ht="15" hidden="false" customHeight="false" outlineLevel="0" collapsed="false">
      <c r="A11" s="0" t="s">
        <v>117</v>
      </c>
      <c r="C11" s="0" t="n">
        <f aca="false">C8+C10+C24</f>
        <v>752.146521</v>
      </c>
      <c r="D11" s="0" t="n">
        <f aca="false">D8+D10+D24</f>
        <v>858.88950672</v>
      </c>
      <c r="E11" s="0" t="n">
        <f aca="false">E8+E10+E24</f>
        <v>955.658823504001</v>
      </c>
      <c r="F11" s="0" t="n">
        <f aca="false">F8+F10+F24</f>
        <v>1049.57451699408</v>
      </c>
      <c r="G11" s="0" t="n">
        <f aca="false">G8+G10+G24</f>
        <v>1142.0793896783</v>
      </c>
      <c r="H11" s="0" t="n">
        <f aca="false">H8+H10+H24</f>
        <v>1222.02494695579</v>
      </c>
      <c r="I11" s="0" t="n">
        <f aca="false">I8+I10+I24</f>
        <v>1301.45656850791</v>
      </c>
      <c r="J11" s="0" t="n">
        <f aca="false">J8+J10+J24</f>
        <v>1379.54396261839</v>
      </c>
      <c r="K11" s="0" t="n">
        <f aca="false">K8+K10+K24</f>
        <v>1448.52116074931</v>
      </c>
      <c r="L11" s="0" t="n">
        <f aca="false">L8+L10+L24</f>
        <v>1513.70461298302</v>
      </c>
    </row>
    <row r="12" customFormat="false" ht="15" hidden="false" customHeight="false" outlineLevel="0" collapsed="false">
      <c r="A12" s="0" t="s">
        <v>118</v>
      </c>
      <c r="C12" s="4" t="n">
        <f aca="false">-C6*Assumptions!C45/100</f>
        <v>-47.101152</v>
      </c>
      <c r="D12" s="4" t="n">
        <f aca="false">-D6*Assumptions!D45/100</f>
        <v>-52.75329024</v>
      </c>
      <c r="E12" s="4" t="n">
        <f aca="false">-E6*Assumptions!E45/100</f>
        <v>-58.028619264</v>
      </c>
      <c r="F12" s="4" t="n">
        <f aca="false">-F6*Assumptions!F45/100</f>
        <v>-63.25119499776</v>
      </c>
      <c r="G12" s="4" t="n">
        <f aca="false">-G6*Assumptions!G45/100</f>
        <v>-68.3112905975809</v>
      </c>
      <c r="H12" s="4" t="n">
        <f aca="false">-H6*Assumptions!H45/100</f>
        <v>-73.0930809394115</v>
      </c>
      <c r="I12" s="4" t="n">
        <f aca="false">-I6*Assumptions!I45/100</f>
        <v>-77.8441312004732</v>
      </c>
      <c r="J12" s="4" t="n">
        <f aca="false">-J6*Assumptions!J45/100</f>
        <v>-82.5147790725016</v>
      </c>
      <c r="K12" s="4" t="n">
        <f aca="false">-K6*Assumptions!K45/100</f>
        <v>-86.6405180261267</v>
      </c>
      <c r="L12" s="4" t="n">
        <f aca="false">-L6*Assumptions!L45/100</f>
        <v>-90.5393413373024</v>
      </c>
    </row>
    <row r="13" customFormat="false" ht="15" hidden="false" customHeight="false" outlineLevel="0" collapsed="false">
      <c r="A13" s="0" t="s">
        <v>119</v>
      </c>
      <c r="C13" s="0" t="n">
        <f aca="false">C11+C12</f>
        <v>705.045369</v>
      </c>
      <c r="D13" s="0" t="n">
        <f aca="false">D11+D12</f>
        <v>806.13621648</v>
      </c>
      <c r="E13" s="0" t="n">
        <f aca="false">E11+E12</f>
        <v>897.630204240001</v>
      </c>
      <c r="F13" s="0" t="n">
        <f aca="false">F11+F12</f>
        <v>986.323321996321</v>
      </c>
      <c r="G13" s="0" t="n">
        <f aca="false">G11+G12</f>
        <v>1073.76809908072</v>
      </c>
      <c r="H13" s="0" t="n">
        <f aca="false">H11+H12</f>
        <v>1148.93186601637</v>
      </c>
      <c r="I13" s="0" t="n">
        <f aca="false">I11+I12</f>
        <v>1223.61243730744</v>
      </c>
      <c r="J13" s="0" t="n">
        <f aca="false">J11+J12</f>
        <v>1297.02918354589</v>
      </c>
      <c r="K13" s="0" t="n">
        <f aca="false">K11+K12</f>
        <v>1361.88064272318</v>
      </c>
      <c r="L13" s="0" t="n">
        <f aca="false">L11+L12</f>
        <v>1423.16527164572</v>
      </c>
    </row>
    <row r="14" customFormat="false" ht="15" hidden="false" customHeight="false" outlineLevel="0" collapsed="false">
      <c r="A14" s="0" t="s">
        <v>105</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120</v>
      </c>
      <c r="C15" s="0" t="n">
        <f aca="false">C13-MAX(0,C13)*C14/100</f>
        <v>535.83448044</v>
      </c>
      <c r="D15" s="0" t="n">
        <f aca="false">D13-MAX(0,D13)*D14/100</f>
        <v>612.6635245248</v>
      </c>
      <c r="E15" s="0" t="n">
        <f aca="false">E13-MAX(0,E13)*E14/100</f>
        <v>682.1989552224</v>
      </c>
      <c r="F15" s="0" t="n">
        <f aca="false">F13-MAX(0,F13)*F14/100</f>
        <v>749.605724717204</v>
      </c>
      <c r="G15" s="0" t="n">
        <f aca="false">G13-MAX(0,G13)*G14/100</f>
        <v>816.06375530135</v>
      </c>
      <c r="H15" s="0" t="n">
        <f aca="false">H13-MAX(0,H13)*H14/100</f>
        <v>873.188218172445</v>
      </c>
      <c r="I15" s="0" t="n">
        <f aca="false">I13-MAX(0,I13)*I14/100</f>
        <v>929.945452353654</v>
      </c>
      <c r="J15" s="0" t="n">
        <f aca="false">J13-MAX(0,J13)*J14/100</f>
        <v>985.742179494873</v>
      </c>
      <c r="K15" s="0" t="n">
        <f aca="false">K13-MAX(0,K13)*K14/100</f>
        <v>1035.02928846962</v>
      </c>
      <c r="L15" s="0" t="n">
        <f aca="false">L13-MAX(0,L13)*L14/100</f>
        <v>1081.60560645075</v>
      </c>
    </row>
    <row r="16" customFormat="false" ht="15" hidden="false" customHeight="false" outlineLevel="0" collapsed="false">
      <c r="A16" s="0" t="s">
        <v>121</v>
      </c>
      <c r="C16" s="0" t="n">
        <f aca="false">-C12</f>
        <v>47.101152</v>
      </c>
      <c r="D16" s="0" t="n">
        <f aca="false">-D12</f>
        <v>52.75329024</v>
      </c>
      <c r="E16" s="0" t="n">
        <f aca="false">-E12</f>
        <v>58.028619264</v>
      </c>
      <c r="F16" s="0" t="n">
        <f aca="false">-F12</f>
        <v>63.25119499776</v>
      </c>
      <c r="G16" s="0" t="n">
        <f aca="false">-G12</f>
        <v>68.3112905975809</v>
      </c>
      <c r="H16" s="0" t="n">
        <f aca="false">-H12</f>
        <v>73.0930809394115</v>
      </c>
      <c r="I16" s="0" t="n">
        <f aca="false">-I12</f>
        <v>77.8441312004732</v>
      </c>
      <c r="J16" s="0" t="n">
        <f aca="false">-J12</f>
        <v>82.5147790725016</v>
      </c>
      <c r="K16" s="0" t="n">
        <f aca="false">-K12</f>
        <v>86.6405180261267</v>
      </c>
      <c r="L16" s="0" t="n">
        <f aca="false">-L12</f>
        <v>90.5393413373024</v>
      </c>
    </row>
    <row r="17" customFormat="false" ht="15" hidden="false" customHeight="false" outlineLevel="0" collapsed="false">
      <c r="A17" s="0" t="s">
        <v>122</v>
      </c>
      <c r="C17" s="4" t="n">
        <f aca="false">-C6*Assumptions!C46/100</f>
        <v>-76.539372</v>
      </c>
      <c r="D17" s="4" t="n">
        <f aca="false">-D6*Assumptions!D46/100</f>
        <v>-85.72409664</v>
      </c>
      <c r="E17" s="4" t="n">
        <f aca="false">-E6*Assumptions!E46/100</f>
        <v>-90.6697176</v>
      </c>
      <c r="F17" s="4" t="n">
        <f aca="false">-F6*Assumptions!F46/100</f>
        <v>-98.829992184</v>
      </c>
      <c r="G17" s="4" t="n">
        <f aca="false">-G6*Assumptions!G46/100</f>
        <v>-106.73639155872</v>
      </c>
      <c r="H17" s="4" t="n">
        <f aca="false">-H6*Assumptions!H46/100</f>
        <v>-109.639621409117</v>
      </c>
      <c r="I17" s="4" t="n">
        <f aca="false">-I6*Assumptions!I46/100</f>
        <v>-116.76619680071</v>
      </c>
      <c r="J17" s="4" t="n">
        <f aca="false">-J6*Assumptions!J46/100</f>
        <v>-123.772168608752</v>
      </c>
      <c r="K17" s="4" t="n">
        <f aca="false">-K6*Assumptions!K46/100</f>
        <v>-124.545744662557</v>
      </c>
      <c r="L17" s="4" t="n">
        <f aca="false">-L6*Assumptions!L46/100</f>
        <v>-130.150303172372</v>
      </c>
    </row>
    <row r="18" customFormat="false" ht="15" hidden="false" customHeight="false" outlineLevel="0" collapsed="false">
      <c r="A18" s="0" t="s">
        <v>123</v>
      </c>
      <c r="C18" s="4" t="n">
        <f aca="false">(C6-B6)*Assumptions!$B$51/100</f>
        <v>-61.4587400000001</v>
      </c>
      <c r="D18" s="4" t="n">
        <f aca="false">(D6-C6)*Assumptions!$B$51/100</f>
        <v>-60.0539688000001</v>
      </c>
      <c r="E18" s="4" t="n">
        <f aca="false">(E6-D6)*Assumptions!$B$51/100</f>
        <v>-56.0503708800001</v>
      </c>
      <c r="F18" s="4" t="n">
        <f aca="false">(F6-E6)*Assumptions!$B$51/100</f>
        <v>-55.4898671712001</v>
      </c>
      <c r="G18" s="4" t="n">
        <f aca="false">(G6-F6)*Assumptions!$B$51/100</f>
        <v>-53.7635157480961</v>
      </c>
      <c r="H18" s="4" t="n">
        <f aca="false">(H6-G6)*Assumptions!$B$51/100</f>
        <v>-50.8065223819508</v>
      </c>
      <c r="I18" s="4" t="n">
        <f aca="false">(I6-H6)*Assumptions!$B$51/100</f>
        <v>-50.479909023781</v>
      </c>
      <c r="J18" s="4" t="n">
        <f aca="false">(J6-I6)*Assumptions!$B$51/100</f>
        <v>-49.6256336403017</v>
      </c>
      <c r="K18" s="4" t="n">
        <f aca="false">(K6-J6)*Assumptions!$B$51/100</f>
        <v>-43.8359763822665</v>
      </c>
      <c r="L18" s="4" t="n">
        <f aca="false">(L6-K6)*Assumptions!$B$51/100</f>
        <v>-41.4249976812418</v>
      </c>
    </row>
    <row r="19" customFormat="false" ht="15" hidden="false" customHeight="false" outlineLevel="0" collapsed="false">
      <c r="A19" s="0" t="s">
        <v>124</v>
      </c>
      <c r="C19" s="0" t="n">
        <f aca="false">C15+C16+C17+C18</f>
        <v>444.93752044</v>
      </c>
      <c r="D19" s="0" t="n">
        <f aca="false">D15+D16+D17+D18</f>
        <v>519.6387493248</v>
      </c>
      <c r="E19" s="0" t="n">
        <f aca="false">E15+E16+E17+E18</f>
        <v>593.5074860064</v>
      </c>
      <c r="F19" s="0" t="n">
        <f aca="false">F15+F16+F17+F18</f>
        <v>658.537060359764</v>
      </c>
      <c r="G19" s="0" t="n">
        <f aca="false">G15+G16+G17+G18</f>
        <v>723.875138592115</v>
      </c>
      <c r="H19" s="0" t="n">
        <f aca="false">H15+H16+H17+H18</f>
        <v>785.835155320788</v>
      </c>
      <c r="I19" s="0" t="n">
        <f aca="false">I15+I16+I17+I18</f>
        <v>840.543477729636</v>
      </c>
      <c r="J19" s="0" t="n">
        <f aca="false">J15+J16+J17+J18</f>
        <v>894.85915631832</v>
      </c>
      <c r="K19" s="0" t="n">
        <f aca="false">K15+K16+K17+K18</f>
        <v>953.28808545092</v>
      </c>
      <c r="L19" s="0" t="n">
        <f aca="false">L15+L16+L17+L18</f>
        <v>1000.56964693444</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410.080664</v>
      </c>
      <c r="D21" s="0" t="n">
        <f aca="false">D19*D20</f>
        <v>441.40988283871</v>
      </c>
      <c r="E21" s="0" t="n">
        <f aca="false">E19*E20</f>
        <v>464.661817273674</v>
      </c>
      <c r="F21" s="0" t="n">
        <f aca="false">F19*F20</f>
        <v>475.183407993018</v>
      </c>
      <c r="G21" s="0" t="n">
        <f aca="false">G19*G20</f>
        <v>481.409847952969</v>
      </c>
      <c r="H21" s="0" t="n">
        <f aca="false">H19*H20</f>
        <v>481.673800465666</v>
      </c>
      <c r="I21" s="0" t="n">
        <f aca="false">I19*I20</f>
        <v>474.845159539629</v>
      </c>
      <c r="J21" s="0" t="n">
        <f aca="false">J19*J20</f>
        <v>465.925822704589</v>
      </c>
      <c r="K21" s="0" t="n">
        <f aca="false">K19*K20</f>
        <v>457.463576927875</v>
      </c>
      <c r="L21" s="0" t="n">
        <f aca="false">L19*L20</f>
        <v>442.537361567718</v>
      </c>
    </row>
    <row r="23" customFormat="false" ht="15" hidden="false" customHeight="false" outlineLevel="0" collapsed="false">
      <c r="A23" s="0" t="s">
        <v>102</v>
      </c>
      <c r="C23" s="4" t="n">
        <f aca="false">Assumptions!C44</f>
        <v>1.1</v>
      </c>
      <c r="D23" s="4" t="n">
        <f aca="false">Assumptions!D44</f>
        <v>1.1</v>
      </c>
      <c r="E23" s="4" t="n">
        <f aca="false">Assumptions!E44</f>
        <v>1.1</v>
      </c>
      <c r="F23" s="4" t="n">
        <f aca="false">Assumptions!F44</f>
        <v>1.1</v>
      </c>
      <c r="G23" s="4" t="n">
        <f aca="false">Assumptions!G44</f>
        <v>1.1</v>
      </c>
      <c r="H23" s="4" t="n">
        <f aca="false">Assumptions!H44</f>
        <v>1.1</v>
      </c>
      <c r="I23" s="4" t="n">
        <f aca="false">Assumptions!I44</f>
        <v>1.1</v>
      </c>
      <c r="J23" s="4" t="n">
        <f aca="false">Assumptions!J44</f>
        <v>1.1</v>
      </c>
      <c r="K23" s="4" t="n">
        <f aca="false">Assumptions!K44</f>
        <v>1.1</v>
      </c>
      <c r="L23" s="4" t="n">
        <f aca="false">Assumptions!L44</f>
        <v>1.1</v>
      </c>
    </row>
    <row r="24" customFormat="false" ht="15" hidden="false" customHeight="false" outlineLevel="0" collapsed="false">
      <c r="A24" s="0" t="s">
        <v>127</v>
      </c>
      <c r="C24" s="0" t="n">
        <f aca="false">-C6*C23/100</f>
        <v>-32.382042</v>
      </c>
      <c r="D24" s="0" t="n">
        <f aca="false">-D6*D23/100</f>
        <v>-36.26788704</v>
      </c>
      <c r="E24" s="0" t="n">
        <f aca="false">-E6*E23/100</f>
        <v>-39.894675744</v>
      </c>
      <c r="F24" s="0" t="n">
        <f aca="false">-F6*F23/100</f>
        <v>-43.48519656096</v>
      </c>
      <c r="G24" s="0" t="n">
        <f aca="false">-G6*G23/100</f>
        <v>-46.9640122858368</v>
      </c>
      <c r="H24" s="0" t="n">
        <f aca="false">-H6*H23/100</f>
        <v>-50.2514931458454</v>
      </c>
      <c r="I24" s="0" t="n">
        <f aca="false">-I6*I23/100</f>
        <v>-53.5178402003254</v>
      </c>
      <c r="J24" s="0" t="n">
        <f aca="false">-J6*J23/100</f>
        <v>-56.7289106123449</v>
      </c>
      <c r="K24" s="0" t="n">
        <f aca="false">-K6*K23/100</f>
        <v>-59.5653561429621</v>
      </c>
      <c r="L24" s="0" t="n">
        <f aca="false">-L6*L23/100</f>
        <v>-62.2457971693954</v>
      </c>
    </row>
    <row r="26" customFormat="false" ht="15" hidden="false" customHeight="false" outlineLevel="0" collapsed="false">
      <c r="A26" s="2" t="s">
        <v>128</v>
      </c>
    </row>
    <row r="27" customFormat="false" ht="15" hidden="false" customHeight="false" outlineLevel="0" collapsed="false">
      <c r="A27" s="0" t="s">
        <v>106</v>
      </c>
      <c r="B27" s="4" t="n">
        <f aca="false">Assumptions!$B$48</f>
        <v>8.5</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20</v>
      </c>
    </row>
    <row r="30" customFormat="false" ht="15" hidden="false" customHeight="false" outlineLevel="0" collapsed="false">
      <c r="A30" s="0" t="s">
        <v>129</v>
      </c>
      <c r="B30" s="0" t="n">
        <f aca="false">SUM(C21:L21)</f>
        <v>4595.19134126385</v>
      </c>
    </row>
    <row r="31" customFormat="false" ht="15" hidden="false" customHeight="false" outlineLevel="0" collapsed="false">
      <c r="A31" s="0" t="s">
        <v>130</v>
      </c>
      <c r="B31" s="0" t="n">
        <f aca="false">L19</f>
        <v>1000.56964693444</v>
      </c>
    </row>
    <row r="32" customFormat="false" ht="15" hidden="false" customHeight="false" outlineLevel="0" collapsed="false">
      <c r="A32" s="0" t="s">
        <v>131</v>
      </c>
      <c r="B32" s="0" t="n">
        <f aca="false">IF(B27&gt;B28,B31*(1+B28/100)/((B27-B28)/100),B31*B29)</f>
        <v>18737.9406607722</v>
      </c>
    </row>
    <row r="33" customFormat="false" ht="15" hidden="false" customHeight="false" outlineLevel="0" collapsed="false">
      <c r="A33" s="0" t="s">
        <v>132</v>
      </c>
      <c r="B33" s="0" t="n">
        <f aca="false">B31*B29</f>
        <v>20011.3929386887</v>
      </c>
    </row>
    <row r="34" customFormat="false" ht="15" hidden="false" customHeight="false" outlineLevel="0" collapsed="false">
      <c r="A34" s="0" t="s">
        <v>133</v>
      </c>
      <c r="B34" s="0" t="n">
        <f aca="false">MAX(0,MIN(B32,B33))</f>
        <v>18737.9406607722</v>
      </c>
    </row>
    <row r="35" customFormat="false" ht="15" hidden="false" customHeight="false" outlineLevel="0" collapsed="false">
      <c r="A35" s="0" t="s">
        <v>134</v>
      </c>
      <c r="B35" s="0" t="n">
        <f aca="false">B34/(1+B27/100)^L4</f>
        <v>8287.51786208635</v>
      </c>
    </row>
    <row r="36" customFormat="false" ht="15" hidden="false" customHeight="false" outlineLevel="0" collapsed="false">
      <c r="A36" s="0" t="s">
        <v>135</v>
      </c>
      <c r="B36" s="0" t="n">
        <f aca="false">B30+B35</f>
        <v>12882.7092033502</v>
      </c>
    </row>
    <row r="37" customFormat="false" ht="15" hidden="false" customHeight="false" outlineLevel="0" collapsed="false">
      <c r="A37" s="0" t="s">
        <v>136</v>
      </c>
      <c r="B37" s="0" t="n">
        <f aca="false">B36+Assumptions!$B$5-Assumptions!$B$4</f>
        <v>12220.5092033502</v>
      </c>
    </row>
    <row r="38" customFormat="false" ht="15" hidden="false" customHeight="false" outlineLevel="0" collapsed="false">
      <c r="A38" s="0" t="s">
        <v>137</v>
      </c>
      <c r="B38" s="0" t="n">
        <f aca="false">B37/Assumptions!$B$3*Assumptions!$B$10</f>
        <v>3222.70812324636</v>
      </c>
    </row>
    <row r="39" customFormat="false" ht="15" hidden="false" customHeight="false" outlineLevel="0" collapsed="false">
      <c r="A39" s="0" t="s">
        <v>138</v>
      </c>
      <c r="B39" s="4" t="n">
        <f aca="false">B38/Assumptions!$B$2-1</f>
        <v>-0.086533978671667</v>
      </c>
    </row>
    <row r="41" customFormat="false" ht="15" hidden="false" customHeight="false" outlineLevel="0" collapsed="false">
      <c r="A41" s="0" t="s">
        <v>139</v>
      </c>
      <c r="B41" s="0" t="n">
        <f aca="false">SUMPRODUCT(-C10:L10/(1+$B$27/100)^C4:L4)</f>
        <v>314.874893636297</v>
      </c>
    </row>
    <row r="42" customFormat="false" ht="15" hidden="false" customHeight="false" outlineLevel="0" collapsed="false">
      <c r="A42" s="0" t="s">
        <v>140</v>
      </c>
      <c r="B42" s="0" t="n">
        <f aca="false">IF(B27&gt;B28,-L10*(1+B28/100)/((B27-B28)/100),-L10*20)/(1+B27/100)^L4</f>
        <v>539.004438922214</v>
      </c>
    </row>
    <row r="43" customFormat="false" ht="15" hidden="false" customHeight="false" outlineLevel="0" collapsed="false">
      <c r="A43" s="0" t="s">
        <v>141</v>
      </c>
      <c r="B43" s="0" t="n">
        <f aca="false">(B37+B41+B42)/Assumptions!$B$3*Assumptions!$B$10</f>
        <v>3447.88727212782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8588.22280285392</v>
      </c>
    </row>
    <row r="47" customFormat="false" ht="15" hidden="false" customHeight="false" outlineLevel="0" collapsed="false">
      <c r="A47" s="0" t="s">
        <v>143</v>
      </c>
      <c r="B47" s="0" t="n">
        <f aca="false">(SUMPRODUCT(C19:L19/(1+B45/100)^C4:L4)+B46/(1+B45/100)^L4+Assumptions!$B$5-Assumptions!$B$4)/Assumptions!$B$3*Assumptions!$B$10</f>
        <v>1274.71694025229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1726.54290208972</v>
      </c>
      <c r="C4" s="0" t="n">
        <f aca="false">B4/Assumptions!$B$2-1</f>
        <v>-0.51061709124441</v>
      </c>
      <c r="D4" s="4" t="n">
        <f aca="false">Assumptions!$B$24</f>
        <v>0.3</v>
      </c>
      <c r="E4" s="4" t="n">
        <f aca="false">DCF_Bear!$B$43</f>
        <v>1869.86251866743</v>
      </c>
      <c r="F4" s="4" t="n">
        <f aca="false">DCF_Bear!$B$47</f>
        <v>747.892017550734</v>
      </c>
    </row>
    <row r="5" customFormat="false" ht="15" hidden="false" customHeight="false" outlineLevel="0" collapsed="false">
      <c r="A5" s="0" t="s">
        <v>152</v>
      </c>
      <c r="B5" s="4" t="n">
        <f aca="false">DCF_Base!$B$38</f>
        <v>2535.81355902288</v>
      </c>
      <c r="C5" s="0" t="n">
        <f aca="false">B5/Assumptions!$B$2-1</f>
        <v>-0.281231984403945</v>
      </c>
      <c r="D5" s="4" t="n">
        <f aca="false">Assumptions!$B$38</f>
        <v>0.5</v>
      </c>
      <c r="E5" s="4" t="n">
        <f aca="false">DCF_Base!$B$43</f>
        <v>2724.39076278179</v>
      </c>
      <c r="F5" s="4" t="n">
        <f aca="false">DCF_Base!$B$47</f>
        <v>1054.87039666828</v>
      </c>
    </row>
    <row r="6" customFormat="false" ht="15" hidden="false" customHeight="false" outlineLevel="0" collapsed="false">
      <c r="A6" s="0" t="s">
        <v>153</v>
      </c>
      <c r="B6" s="4" t="n">
        <f aca="false">DCF_Bull!$B$38</f>
        <v>3222.70812324636</v>
      </c>
      <c r="C6" s="0" t="n">
        <f aca="false">B6/Assumptions!$B$2-1</f>
        <v>-0.086533978671667</v>
      </c>
      <c r="D6" s="4" t="n">
        <f aca="false">Assumptions!$B$52</f>
        <v>0.2</v>
      </c>
      <c r="E6" s="4" t="n">
        <f aca="false">DCF_Bull!$B$43</f>
        <v>3447.88727212782</v>
      </c>
      <c r="F6" s="4" t="n">
        <f aca="false">DCF_Bull!$B$47</f>
        <v>1274.71694025229</v>
      </c>
    </row>
    <row r="8" customFormat="false" ht="15" hidden="false" customHeight="false" outlineLevel="0" collapsed="false">
      <c r="A8" s="0" t="s">
        <v>154</v>
      </c>
      <c r="B8" s="0" t="n">
        <f aca="false">SUMPRODUCT(B4:B6,D4:D6)</f>
        <v>2430.41127478763</v>
      </c>
    </row>
    <row r="9" customFormat="false" ht="15" hidden="false" customHeight="false" outlineLevel="0" collapsed="false">
      <c r="A9" s="0" t="s">
        <v>155</v>
      </c>
      <c r="B9" s="0" t="n">
        <f aca="false">SUMPRODUCT(E4:E6,D4:D6)</f>
        <v>2612.73159141669</v>
      </c>
    </row>
    <row r="10" customFormat="false" ht="15" hidden="false" customHeight="false" outlineLevel="0" collapsed="false">
      <c r="A10" s="0" t="s">
        <v>156</v>
      </c>
      <c r="B10" s="0" t="n">
        <f aca="false">1-Assumptions!$B$2/B8</f>
        <v>-0.451606169128012</v>
      </c>
    </row>
    <row r="11" customFormat="false" ht="15" hidden="false" customHeight="false" outlineLevel="0" collapsed="false">
      <c r="A11" s="0" t="s">
        <v>157</v>
      </c>
      <c r="B11" s="0" t="n">
        <f aca="false">IF(ABS(B9-B8)&gt;0.01*ABS(B8),(Assumptions!$B$2-B8)/(B9-B8)*100,"n/a")</f>
        <v>602.011199577659</v>
      </c>
    </row>
    <row r="12" customFormat="false" ht="15" hidden="false" customHeight="false" outlineLevel="0" collapsed="false">
      <c r="A12" s="0" t="s">
        <v>158</v>
      </c>
      <c r="B12" s="0" t="n">
        <f aca="false">SUMPRODUCT(F4:F6,D4:D6)</f>
        <v>1006.74619164982</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2535.81355902288</v>
      </c>
      <c r="C15" s="3" t="n">
        <v>8.5</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2314.85249428624</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1962.23458546304</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1693.60230222811</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1482.36887162035</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1054.87039666828</v>
      </c>
      <c r="C20" s="3" t="n">
        <v>15</v>
      </c>
    </row>
    <row r="22" customFormat="false" ht="15" hidden="false" customHeight="false" outlineLevel="0" collapsed="false">
      <c r="A22" s="2" t="s">
        <v>167</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3325.16115746513</v>
      </c>
      <c r="C24" s="0" t="n">
        <f aca="false">(SUMPRODUCT(DCF_Base!$C$19:$L$19/(1+$A$24/100)^DCF_Base!$C$4:$L$4)+MAX(0,MIN(IF($A$24&gt;$C$23,DCF_Base!$L$19*(1+$C$23/100)/(($A$24-$C$23)/100),DCF_Base!$L$19*DCF_Base!$B$29),DCF_Base!$L$19*DCF_Base!$B$29))/(1+$A$24/100)^DCF_Base!$L$4+Assumptions!$B$5-Assumptions!$B$4)/Assumptions!$B$3*Assumptions!$B$10</f>
        <v>3325.16115746513</v>
      </c>
      <c r="D24" s="0" t="n">
        <f aca="false">(SUMPRODUCT(DCF_Base!$C$19:$L$19/(1+$A$24/100)^DCF_Base!$C$4:$L$4)+MAX(0,MIN(IF($A$24&gt;$D$23,DCF_Base!$L$19*(1+$D$23/100)/(($A$24-$D$23)/100),DCF_Base!$L$19*DCF_Base!$B$29),DCF_Base!$L$19*DCF_Base!$B$29))/(1+$A$24/100)^DCF_Base!$L$4+Assumptions!$B$5-Assumptions!$B$4)/Assumptions!$B$3*Assumptions!$B$10</f>
        <v>3325.16115746513</v>
      </c>
      <c r="E24" s="0" t="n">
        <f aca="false">(SUMPRODUCT(DCF_Base!$C$19:$L$19/(1+$A$24/100)^DCF_Base!$C$4:$L$4)+MAX(0,MIN(IF($A$24&gt;$E$23,DCF_Base!$L$19*(1+$E$23/100)/(($A$24-$E$23)/100),DCF_Base!$L$19*DCF_Base!$B$29),DCF_Base!$L$19*DCF_Base!$B$29))/(1+$A$24/100)^DCF_Base!$L$4+Assumptions!$B$5-Assumptions!$B$4)/Assumptions!$B$3*Assumptions!$B$10</f>
        <v>3325.16115746513</v>
      </c>
      <c r="F24" s="0" t="n">
        <f aca="false">(SUMPRODUCT(DCF_Base!$C$19:$L$19/(1+$A$24/100)^DCF_Base!$C$4:$L$4)+MAX(0,MIN(IF($A$24&gt;$F$23,DCF_Base!$L$19*(1+$F$23/100)/(($A$24-$F$23)/100),DCF_Base!$L$19*DCF_Base!$B$29),DCF_Base!$L$19*DCF_Base!$B$29))/(1+$A$24/100)^DCF_Base!$L$4+Assumptions!$B$5-Assumptions!$B$4)/Assumptions!$B$3*Assumptions!$B$10</f>
        <v>3325.16115746513</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2732.80474215031</v>
      </c>
      <c r="C25" s="0" t="n">
        <f aca="false">(SUMPRODUCT(DCF_Base!$C$19:$L$19/(1+$A$25/100)^DCF_Base!$C$4:$L$4)+MAX(0,MIN(IF($A$25&gt;$C$23,DCF_Base!$L$19*(1+$C$23/100)/(($A$25-$C$23)/100),DCF_Base!$L$19*DCF_Base!$B$29),DCF_Base!$L$19*DCF_Base!$B$29))/(1+$A$25/100)^DCF_Base!$L$4+Assumptions!$B$5-Assumptions!$B$4)/Assumptions!$B$3*Assumptions!$B$10</f>
        <v>2905.06722965074</v>
      </c>
      <c r="D25" s="0" t="n">
        <f aca="false">(SUMPRODUCT(DCF_Base!$C$19:$L$19/(1+$A$25/100)^DCF_Base!$C$4:$L$4)+MAX(0,MIN(IF($A$25&gt;$D$23,DCF_Base!$L$19*(1+$D$23/100)/(($A$25-$D$23)/100),DCF_Base!$L$19*DCF_Base!$B$29),DCF_Base!$L$19*DCF_Base!$B$29))/(1+$A$25/100)^DCF_Base!$L$4+Assumptions!$B$5-Assumptions!$B$4)/Assumptions!$B$3*Assumptions!$B$10</f>
        <v>3058.90163709299</v>
      </c>
      <c r="E25" s="0" t="n">
        <f aca="false">(SUMPRODUCT(DCF_Base!$C$19:$L$19/(1+$A$25/100)^DCF_Base!$C$4:$L$4)+MAX(0,MIN(IF($A$25&gt;$E$23,DCF_Base!$L$19*(1+$E$23/100)/(($A$25-$E$23)/100),DCF_Base!$L$19*DCF_Base!$B$29),DCF_Base!$L$19*DCF_Base!$B$29))/(1+$A$25/100)^DCF_Base!$L$4+Assumptions!$B$5-Assumptions!$B$4)/Assumptions!$B$3*Assumptions!$B$10</f>
        <v>3058.90163709299</v>
      </c>
      <c r="F25" s="0" t="n">
        <f aca="false">(SUMPRODUCT(DCF_Base!$C$19:$L$19/(1+$A$25/100)^DCF_Base!$C$4:$L$4)+MAX(0,MIN(IF($A$25&gt;$F$23,DCF_Base!$L$19*(1+$F$23/100)/(($A$25-$F$23)/100),DCF_Base!$L$19*DCF_Base!$B$29),DCF_Base!$L$19*DCF_Base!$B$29))/(1+$A$25/100)^DCF_Base!$L$4+Assumptions!$B$5-Assumptions!$B$4)/Assumptions!$B$3*Assumptions!$B$10</f>
        <v>3058.90163709299</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2286.75934527326</v>
      </c>
      <c r="C26" s="0" t="n">
        <f aca="false">(SUMPRODUCT(DCF_Base!$C$19:$L$19/(1+$A$26/100)^DCF_Base!$C$4:$L$4)+MAX(0,MIN(IF($A$26&gt;$C$23,DCF_Base!$L$19*(1+$C$23/100)/(($A$26-$C$23)/100),DCF_Base!$L$19*DCF_Base!$B$29),DCF_Base!$L$19*DCF_Base!$B$29))/(1+$A$26/100)^DCF_Base!$L$4+Assumptions!$B$5-Assumptions!$B$4)/Assumptions!$B$3*Assumptions!$B$10</f>
        <v>2401.70744392693</v>
      </c>
      <c r="D26" s="0" t="n">
        <f aca="false">(SUMPRODUCT(DCF_Base!$C$19:$L$19/(1+$A$26/100)^DCF_Base!$C$4:$L$4)+MAX(0,MIN(IF($A$26&gt;$D$23,DCF_Base!$L$19*(1+$D$23/100)/(($A$26-$D$23)/100),DCF_Base!$L$19*DCF_Base!$B$29),DCF_Base!$L$19*DCF_Base!$B$29))/(1+$A$26/100)^DCF_Base!$L$4+Assumptions!$B$5-Assumptions!$B$4)/Assumptions!$B$3*Assumptions!$B$10</f>
        <v>2535.81355902288</v>
      </c>
      <c r="E26" s="0" t="n">
        <f aca="false">(SUMPRODUCT(DCF_Base!$C$19:$L$19/(1+$A$26/100)^DCF_Base!$C$4:$L$4)+MAX(0,MIN(IF($A$26&gt;$E$23,DCF_Base!$L$19*(1+$E$23/100)/(($A$26-$E$23)/100),DCF_Base!$L$19*DCF_Base!$B$29),DCF_Base!$L$19*DCF_Base!$B$29))/(1+$A$26/100)^DCF_Base!$L$4+Assumptions!$B$5-Assumptions!$B$4)/Assumptions!$B$3*Assumptions!$B$10</f>
        <v>2694.30260413628</v>
      </c>
      <c r="F26" s="0" t="n">
        <f aca="false">(SUMPRODUCT(DCF_Base!$C$19:$L$19/(1+$A$26/100)^DCF_Base!$C$4:$L$4)+MAX(0,MIN(IF($A$26&gt;$F$23,DCF_Base!$L$19*(1+$F$23/100)/(($A$26-$F$23)/100),DCF_Base!$L$19*DCF_Base!$B$29),DCF_Base!$L$19*DCF_Base!$B$29))/(1+$A$26/100)^DCF_Base!$L$4+Assumptions!$B$5-Assumptions!$B$4)/Assumptions!$B$3*Assumptions!$B$10</f>
        <v>2817.0038003531</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1953.80285580553</v>
      </c>
      <c r="C27" s="0" t="n">
        <f aca="false">(SUMPRODUCT(DCF_Base!$C$19:$L$19/(1+$A$27/100)^DCF_Base!$C$4:$L$4)+MAX(0,MIN(IF($A$27&gt;$C$23,DCF_Base!$L$19*(1+$C$23/100)/(($A$27-$C$23)/100),DCF_Base!$L$19*DCF_Base!$B$29),DCF_Base!$L$19*DCF_Base!$B$29))/(1+$A$27/100)^DCF_Base!$L$4+Assumptions!$B$5-Assumptions!$B$4)/Assumptions!$B$3*Assumptions!$B$10</f>
        <v>2034.06347564355</v>
      </c>
      <c r="D27" s="0" t="n">
        <f aca="false">(SUMPRODUCT(DCF_Base!$C$19:$L$19/(1+$A$27/100)^DCF_Base!$C$4:$L$4)+MAX(0,MIN(IF($A$27&gt;$D$23,DCF_Base!$L$19*(1+$D$23/100)/(($A$27-$D$23)/100),DCF_Base!$L$19*DCF_Base!$B$29),DCF_Base!$L$19*DCF_Base!$B$29))/(1+$A$27/100)^DCF_Base!$L$4+Assumptions!$B$5-Assumptions!$B$4)/Assumptions!$B$3*Assumptions!$B$10</f>
        <v>2125.78989831558</v>
      </c>
      <c r="E27" s="0" t="n">
        <f aca="false">(SUMPRODUCT(DCF_Base!$C$19:$L$19/(1+$A$27/100)^DCF_Base!$C$4:$L$4)+MAX(0,MIN(IF($A$27&gt;$E$23,DCF_Base!$L$19*(1+$E$23/100)/(($A$27-$E$23)/100),DCF_Base!$L$19*DCF_Base!$B$29),DCF_Base!$L$19*DCF_Base!$B$29))/(1+$A$27/100)^DCF_Base!$L$4+Assumptions!$B$5-Assumptions!$B$4)/Assumptions!$B$3*Assumptions!$B$10</f>
        <v>2231.62807832177</v>
      </c>
      <c r="F27" s="0" t="n">
        <f aca="false">(SUMPRODUCT(DCF_Base!$C$19:$L$19/(1+$A$27/100)^DCF_Base!$C$4:$L$4)+MAX(0,MIN(IF($A$27&gt;$F$23,DCF_Base!$L$19*(1+$F$23/100)/(($A$27-$F$23)/100),DCF_Base!$L$19*DCF_Base!$B$29),DCF_Base!$L$19*DCF_Base!$B$29))/(1+$A$27/100)^DCF_Base!$L$4+Assumptions!$B$5-Assumptions!$B$4)/Assumptions!$B$3*Assumptions!$B$10</f>
        <v>2355.10595499565</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1696.13486738654</v>
      </c>
      <c r="C28" s="0" t="n">
        <f aca="false">(SUMPRODUCT(DCF_Base!$C$19:$L$19/(1+$A$28/100)^DCF_Base!$C$4:$L$4)+MAX(0,MIN(IF($A$28&gt;$C$23,DCF_Base!$L$19*(1+$C$23/100)/(($A$28-$C$23)/100),DCF_Base!$L$19*DCF_Base!$B$29),DCF_Base!$L$19*DCF_Base!$B$29))/(1+$A$28/100)^DCF_Base!$L$4+Assumptions!$B$5-Assumptions!$B$4)/Assumptions!$B$3*Assumptions!$B$10</f>
        <v>1754.13899441994</v>
      </c>
      <c r="D28" s="0" t="n">
        <f aca="false">(SUMPRODUCT(DCF_Base!$C$19:$L$19/(1+$A$28/100)^DCF_Base!$C$4:$L$4)+MAX(0,MIN(IF($A$28&gt;$D$23,DCF_Base!$L$19*(1+$D$23/100)/(($A$28-$D$23)/100),DCF_Base!$L$19*DCF_Base!$B$29),DCF_Base!$L$19*DCF_Base!$B$29))/(1+$A$28/100)^DCF_Base!$L$4+Assumptions!$B$5-Assumptions!$B$4)/Assumptions!$B$3*Assumptions!$B$10</f>
        <v>1819.39363733252</v>
      </c>
      <c r="E28" s="0" t="n">
        <f aca="false">(SUMPRODUCT(DCF_Base!$C$19:$L$19/(1+$A$28/100)^DCF_Base!$C$4:$L$4)+MAX(0,MIN(IF($A$28&gt;$E$23,DCF_Base!$L$19*(1+$E$23/100)/(($A$28-$E$23)/100),DCF_Base!$L$19*DCF_Base!$B$29),DCF_Base!$L$19*DCF_Base!$B$29))/(1+$A$28/100)^DCF_Base!$L$4+Assumptions!$B$5-Assumptions!$B$4)/Assumptions!$B$3*Assumptions!$B$10</f>
        <v>1893.34889930011</v>
      </c>
      <c r="F28" s="0" t="n">
        <f aca="false">(SUMPRODUCT(DCF_Base!$C$19:$L$19/(1+$A$28/100)^DCF_Base!$C$4:$L$4)+MAX(0,MIN(IF($A$28&gt;$F$23,DCF_Base!$L$19*(1+$F$23/100)/(($A$28-$F$23)/100),DCF_Base!$L$19*DCF_Base!$B$29),DCF_Base!$L$19*DCF_Base!$B$29))/(1+$A$28/100)^DCF_Base!$L$4+Assumptions!$B$5-Assumptions!$B$4)/Assumptions!$B$3*Assumptions!$B$10</f>
        <v>1977.86919869163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2026-10-09T23:29:04Z</dcterms:created>
  <dc:creator>openpyxl</dc:creator>
  <dc:description/>
  <dc:language>en-NZ</dc:language>
  <cp:lastModifiedBy/>
  <dcterms:modified xsi:type="dcterms:W3CDTF">2026-10-09T23:29:04Z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