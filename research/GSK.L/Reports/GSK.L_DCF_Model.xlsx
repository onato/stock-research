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<sst xmlns="http://schemas.openxmlformats.org/spreadsheetml/2006/main" count="362" uniqueCount="172">
  <si>
    <t xml:space="preserve">Ticker</t>
  </si>
  <si>
    <t xml:space="preserve">GSK.L</t>
  </si>
  <si>
    <t xml:space="preserve">Company</t>
  </si>
  <si>
    <t xml:space="preserve">GSK plc</t>
  </si>
  <si>
    <t xml:space="preserve">Valuation date</t>
  </si>
  <si>
    <t xml:space="preserve">2026-10-10</t>
  </si>
  <si>
    <t xml:space="preserve">Current price</t>
  </si>
  <si>
    <t xml:space="preserve">Price as of</t>
  </si>
  <si>
    <t xml:space="preserve">2026-10-09T16:03:57Z regular close (LSE)</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</si>
  <si>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</si>
  <si>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</si>
  <si>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</si>
  <si>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</si>
  <si>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</si>
  <si>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</si>
  <si>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</si>
  <si>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</si>
  <si>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</si>
  <si>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</si>
  <si>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</si>
  <si>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</si>
  <si>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</si>
  <si>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2026-10-09T23:19:31Z</t>
  </si>
  <si>
    <t xml:space="preserve">Drivers file</t>
  </si>
  <si>
    <t xml:space="preserve">GSK.L_Drivers.json</t>
  </si>
  <si>
    <t xml:space="preserve">Convention</t>
  </si>
  <si>
    <t xml:space="preserve">Percents stored as percents; formulas divide by 100. Blue = input, green = link, black = formula.</t>
  </si>
  <si>
    <t xml:space="preserve">Methodology</t>
  </si>
  <si>
    <t xml:space="preserve">summary: Owner-FCF DCF on a core-operating-profit component build, SBC expensed and the count held flat, leases as an operating cost, ViiV minority leakage inside the tax/leakage rate, and the two large non-core cash claims (Shionogi contingent consideration GBP6.8bn, Accelerate Growth restructuring GBP2.1bn) deducted after tax in the equity bridge rather than hidden in a margin. Purchases of intangibles are charged as recurring capex because GSK in-licenses its pipeline every year. Net debt is pro forma for the July 2026 Nuvalent acquisition. The valuation is deliberately anchored at or slightly below management's 2031 outlook in the base case and lets the dolutegravir cliff and pipeline binaries play out through the bear weighting, not through an inflated discount rate.
key_risks_to_valuation: Slope of dolutegravir erosion from April 2028 (US) and mid-2029 (EU): every GBP1bn of lost high-margin HIV sales not replaced is roughly GBP0.5bn of owner FCF, ~10% of the FY2030 flow; Binary late-stage pipeline outcomes behind the &gt;GBP40bn 2031 outlook (camlipixant failed July 2026; 20+ phase III starts in 2026 are unproven); US drug-pricing policy: MFN agreement terms and what follows the Section 232 tariff exemption after 20 January 2029; Sterling: ~50% USD / ~26% EUR revenue in a GBP model; a 5% stronger pound is ~-4% on GBP revenue and more on margin; Net debt anchor is an estimate pending Q3 2026 results: lease liabilities (~GBP700m) and the Nuvalent net cash cost (~GBP7.0bn at $1.35) should be replaced with the reported 30 September 2026 figure; Terminal cap of 15x owner FCF in the base case versus a market currently paying ~12.5x: part of the base-case upside is a re-rating that the market may never grant a company with a visible LoE cycle; Recurring bolt-on M&amp;A (GBP4.4bn 2025, GBP9bn+ 2026 incl. Nuvalent) is assumed value-neutral; a history of paying above value for pipeline would make capex_pct understate true reinvestment</t>
  </si>
  <si>
    <t xml:space="preserve">Data sources</t>
  </si>
  <si>
    <t xml:space="preserve">price: Yahoo Finance chart API at inputs.price_as_of (LSE regular close, GBp); 52-week range 1592-2282
financials: GSK.L_Metrics.csv (FY2018-FY2025 annual, Q1/Q2/H1 2025-2026) built from GSK Annual Reports FY2019-FY2025 and the Q1/Q2 2026 results releases; core operating profit reconciliation FY2025 AR p.84-85 and p.98 (free cash flow, contingent consideration cash); Q2 2026 results for net debt, diluted shares, CCL at 30 June 2026, guidance and the Accelerate Growth programme
qualitative: GSK.L_Analysis.json (2026-10-10): business model, growth drivers, risks, bull/bear case, Q2 2026 guidance and recent developments (Nuvalent, camlipixant, MFN agreement)</t>
  </si>
  <si>
    <t xml:space="preserve">Scenario narrative: bear</t>
  </si>
  <si>
    <t xml:space="preserve">The patent cliff is the story: dolutegravir-based sales (~GBP5.4bn annualised) halve across FY2028-30 and LAIs cannibalise rather than add; General Medicines continues its -7 to -9% decline under Medicare Part D redesign; Arexvy keeps losing RSV share and Shingrix plateaus; a run of binary phase III readouts fail as camlipixant did (GBP1.3bn impairment, July 2026); MFN pricing concessions persist after the Section 232 tariff relief lapses in January 2029 and a stronger pound compounds it. Revenue falls 4% a year in FY2029-30 and only recovers to FY2025's level by FY2035; the core margin slips to ~27% as R&amp;D is protected. The Nuvalent GBP7bn and RAPT GBP2.1bn purchases, already in net debt, deliver little. 12x FCF cap.</t>
  </si>
  <si>
    <t xml:space="preserve">Scenario narrative: base</t>
  </si>
  <si>
    <t xml:space="preserve">GSK executes roughly to its own plan but at today's sterling: Specialty Medicines (HIV LAIs, Nucala/Exdensur, Blenrep, Jemperli, Ojjaara) grows low double digits, Vaccines are flat to slightly up, General Medicines shrinks mid-single digits. The dolutegravir loss of exclusivity (US April 2028, EU mid-2029) knocks group growth to ~1.5% in FY2029-30 while the Accelerate Growth savings hold the core margin broadly flat at ~31%, exactly as guided. FY2031 revenue GBP38.4bn, ~1% below the &gt;GBP40bn risk-adjusted CER outlook translated at current rates. Nuvalent's ROS1/ALK assets and the 20+ phase III starts lift growth back to 3.5% in FY2031-32 before fading to 2.5%. The GBP6.8bn Shionogi contingent-consideration liability and GBP2.1bn restructuring cash are paid from the flows via the bridge.</t>
  </si>
  <si>
    <t xml:space="preserve">Scenario narrative: bull</t>
  </si>
  <si>
    <t xml:space="preserve">The HIV long-acting injectable franchise (Cabenuva, Apretude; 80% of HIV growth in Q2 2026) grows fast enough that ViiV holds revenue through the dolutegravir cliff; Shingrix ex-US penetration climbs from 12% toward US levels; Blenrep, Exdensur and Blujepa launches hit consensus peaks; Nuvalent's zidesamtinib and neladalkib add GBP1-2bn by 2031; and the GBP1.9bn cost programme drops through, taking the core margin to 32-33%. FY2031 revenue GBP41.7bn, above the outlook. The market re-rates a 9x forward P/E pharma toward peers (16x FCF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</si>
  <si>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</si>
  <si>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</si>
  <si>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</si>
  <si>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</si>
  <si>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</si>
  <si>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</si>
  <si>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</si>
  <si>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</si>
  <si>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</si>
  <si>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</si>
  <si>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</si>
  <si>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</si>
  <si>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</si>
  <si>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</si>
  <si>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</si>
  <si>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</si>
  <si>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</si>
  <si>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</si>
  <si>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</si>
  <si>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</si>
  <si>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</si>
  <si>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</si>
  <si>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</si>
  <si>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</si>
  <si>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</si>
  <si>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</si>
  <si>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</si>
  <si>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Amortisation</t>
  </si>
  <si>
    <t xml:space="preserve">BasicEPS</t>
  </si>
  <si>
    <t xml:space="preserve">NetIncomeContinuing</t>
  </si>
  <si>
    <t xml:space="preserve">NetIncomeDiscontinued</t>
  </si>
  <si>
    <t xml:space="preserve">NetProfitAttributable</t>
  </si>
  <si>
    <t xml:space="preserve">ProfitAttributableNCI</t>
  </si>
  <si>
    <t xml:space="preserve">PurchaseOfIntangibles</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</si>
  <si>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</si>
  <si>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</si>
  <si>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</si>
  <si>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</si>
  <si>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</si>
  <si>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</si>
  <si>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</si>
  <si>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</si>
  <si>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</si>
  <si>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</si>
  <si>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</si>
  <si>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</si>
  <si>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</si>
  <si>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</si>
  <si>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</si>
  <si>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</si>
  <si>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</si>
  <si>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</si>
  <si>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</si>
  <si>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</si>
  <si>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</si>
  <si>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</si>
  <si>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</si>
  <si>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</si>
  <si>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</si>
  <si>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</si>
  <si>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</si>
  <si>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</si>
  <si>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</si>
  <si>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</si>
  <si>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</si>
  <si>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</si>
  <si>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</si>
  <si>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</si>
  <si>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</si>
  <si>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</si>
  <si>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</si>
  <si>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</si>
  <si>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</si>
  <si>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</si>
  <si>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</si>
  <si>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</si>
  <si>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</si>
  <si>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</si>
  <si>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</si>
  <si>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</si>
  <si>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GSK.L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</si>
  <si>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</si>
  <si>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</si>
  <si>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</si>
  <si>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</si>
  <si>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</si>
  <si>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</si>
  <si>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</si>
  <si>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</si>
  <si>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</si>
  <si>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</si>
  <si>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</si>
  <si>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</si>
  <si>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</si>
  <si>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</si>
  <si>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</si>
  <si>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</si>
  <si>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</si>
  <si>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</si>
  <si>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</si>
  <si>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</si>
  <si>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</si>
  <si>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</si>
  <si>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</si>
  <si>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</si>
  <si>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</si>
  <si>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</si>
  <si>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</si>
  <si>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</si>
  <si>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</si>
  <si>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</si>
  <si>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GSK.L owner-FCF component DCF: base case (millions, GBP)</t>
  </si>
  <si>
    <t xml:space="preserve">GSK.L owner-FCF component DCF: bull case (millions, GBP)</t>
  </si>
  <si>
    <t xml:space="preserve">GSK.L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</si>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</sst>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1750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30821</v>
      </c>
      <c r="C2" s="0" t="n">
        <v>10241</v>
      </c>
      <c r="D2" s="0" t="n">
        <v>20580</v>
      </c>
      <c r="E2" s="0" t="n">
        <v>66.8</v>
      </c>
      <c r="F2" s="0" t="n">
        <v>5483</v>
      </c>
      <c r="G2" s="0" t="n">
        <v>17.8</v>
      </c>
      <c r="H2" s="0" t="n">
        <v>7339</v>
      </c>
      <c r="I2" s="0" t="n">
        <v>3623</v>
      </c>
      <c r="J2" s="0" t="n">
        <v>11.8</v>
      </c>
      <c r="K2" s="0" t="n">
        <v>0.911</v>
      </c>
      <c r="L2" s="0" t="n">
        <v>8421</v>
      </c>
      <c r="M2" s="0" t="n">
        <v>1344</v>
      </c>
      <c r="N2" s="0" t="n">
        <v>7077</v>
      </c>
      <c r="O2" s="0" t="n">
        <v>3781</v>
      </c>
      <c r="P2" s="0" t="n">
        <v>58066</v>
      </c>
      <c r="Q2" s="0" t="n">
        <v>54394</v>
      </c>
      <c r="R2" s="0" t="n">
        <v>26064</v>
      </c>
      <c r="S2" s="0" t="n">
        <v>3874</v>
      </c>
      <c r="T2" s="0" t="n">
        <v>3976</v>
      </c>
      <c r="U2" s="0" t="n">
        <v>360</v>
      </c>
      <c r="AA2" s="0" t="s">
        <v>18</v>
      </c>
      <c r="AB2" s="0" t="s">
        <v>14</v>
      </c>
      <c r="AC2" s="0" t="n">
        <v>902</v>
      </c>
      <c r="AD2" s="0" t="n">
        <v>0.921</v>
      </c>
      <c r="AH2" s="0" t="n">
        <v>423</v>
      </c>
      <c r="AI2" s="0" t="n">
        <v>452</v>
      </c>
    </row>
    <row r="3" customFormat="false" ht="15" hidden="false" customHeight="false" outlineLevel="0" collapsed="false">
      <c r="A3" s="0" t="s">
        <v>73</v>
      </c>
      <c r="B3" s="0" t="n">
        <v>33754</v>
      </c>
      <c r="C3" s="0" t="n">
        <v>11863</v>
      </c>
      <c r="D3" s="0" t="n">
        <v>21891</v>
      </c>
      <c r="E3" s="0" t="n">
        <v>64.9</v>
      </c>
      <c r="F3" s="0" t="n">
        <v>6961</v>
      </c>
      <c r="G3" s="0" t="n">
        <v>20.6</v>
      </c>
      <c r="H3" s="0" t="n">
        <v>9295</v>
      </c>
      <c r="I3" s="0" t="n">
        <v>4645</v>
      </c>
      <c r="J3" s="0" t="n">
        <v>13.8</v>
      </c>
      <c r="K3" s="0" t="n">
        <v>1.158</v>
      </c>
      <c r="L3" s="0" t="n">
        <v>8020</v>
      </c>
      <c r="M3" s="0" t="n">
        <v>1265</v>
      </c>
      <c r="N3" s="0" t="n">
        <v>6755</v>
      </c>
      <c r="O3" s="0" t="n">
        <v>11405</v>
      </c>
      <c r="P3" s="0" t="n">
        <v>79692</v>
      </c>
      <c r="Q3" s="0" t="n">
        <v>61335</v>
      </c>
      <c r="R3" s="0" t="n">
        <v>30508</v>
      </c>
      <c r="S3" s="0" t="n">
        <v>4707</v>
      </c>
      <c r="T3" s="0" t="n">
        <v>4013</v>
      </c>
      <c r="U3" s="0" t="n">
        <v>365</v>
      </c>
      <c r="AA3" s="0" t="s">
        <v>18</v>
      </c>
      <c r="AB3" s="0" t="s">
        <v>14</v>
      </c>
      <c r="AC3" s="0" t="n">
        <v>1103</v>
      </c>
      <c r="AD3" s="0" t="n">
        <v>1.174</v>
      </c>
      <c r="AH3" s="0" t="n">
        <v>623</v>
      </c>
      <c r="AI3" s="0" t="n">
        <v>898</v>
      </c>
    </row>
    <row r="4" customFormat="false" ht="15" hidden="false" customHeight="false" outlineLevel="0" collapsed="false">
      <c r="A4" s="0" t="s">
        <v>74</v>
      </c>
      <c r="B4" s="0" t="n">
        <v>34099</v>
      </c>
      <c r="C4" s="0" t="n">
        <v>11704</v>
      </c>
      <c r="D4" s="0" t="n">
        <v>22395</v>
      </c>
      <c r="E4" s="0" t="n">
        <v>65.7</v>
      </c>
      <c r="F4" s="0" t="n">
        <v>7783</v>
      </c>
      <c r="G4" s="0" t="n">
        <v>22.8</v>
      </c>
      <c r="H4" s="0" t="n">
        <v>10134</v>
      </c>
      <c r="I4" s="0" t="n">
        <v>5749</v>
      </c>
      <c r="J4" s="0" t="n">
        <v>16.9</v>
      </c>
      <c r="K4" s="0" t="n">
        <v>1.426</v>
      </c>
      <c r="L4" s="0" t="n">
        <v>8441</v>
      </c>
      <c r="M4" s="0" t="n">
        <v>1226</v>
      </c>
      <c r="N4" s="0" t="n">
        <v>7215</v>
      </c>
      <c r="O4" s="0" t="n">
        <v>14587</v>
      </c>
      <c r="P4" s="0" t="n">
        <v>80431</v>
      </c>
      <c r="Q4" s="0" t="n">
        <v>59623</v>
      </c>
      <c r="R4" s="0" t="n">
        <v>27150</v>
      </c>
      <c r="S4" s="0" t="n">
        <v>6292</v>
      </c>
      <c r="T4" s="0" t="n">
        <v>4031</v>
      </c>
      <c r="U4" s="0" t="n">
        <v>381</v>
      </c>
      <c r="X4" s="0" t="n">
        <v>24354</v>
      </c>
      <c r="AA4" s="0" t="s">
        <v>18</v>
      </c>
      <c r="AB4" s="0" t="s">
        <v>14</v>
      </c>
      <c r="AC4" s="0" t="n">
        <v>1137</v>
      </c>
      <c r="AD4" s="0" t="n">
        <v>1.444</v>
      </c>
      <c r="AE4" s="0" t="n">
        <v>4873</v>
      </c>
      <c r="AH4" s="0" t="n">
        <v>639</v>
      </c>
      <c r="AI4" s="0" t="n">
        <v>1013</v>
      </c>
    </row>
    <row r="5" customFormat="false" ht="15" hidden="false" customHeight="false" outlineLevel="0" collapsed="false">
      <c r="A5" s="0" t="s">
        <v>75</v>
      </c>
      <c r="B5" s="0" t="n">
        <v>34114</v>
      </c>
      <c r="C5" s="0" t="n">
        <v>11603</v>
      </c>
      <c r="D5" s="0" t="n">
        <v>22511</v>
      </c>
      <c r="E5" s="0" t="n">
        <v>66</v>
      </c>
      <c r="F5" s="0" t="n">
        <v>6201</v>
      </c>
      <c r="G5" s="0" t="n">
        <v>18.2</v>
      </c>
      <c r="H5" s="0" t="n">
        <v>8578</v>
      </c>
      <c r="I5" s="0" t="n">
        <v>4385</v>
      </c>
      <c r="J5" s="0" t="n">
        <v>12.9</v>
      </c>
      <c r="K5" s="0" t="n">
        <v>1.082</v>
      </c>
      <c r="L5" s="0" t="n">
        <v>7952</v>
      </c>
      <c r="M5" s="0" t="n">
        <v>1172</v>
      </c>
      <c r="N5" s="0" t="n">
        <v>6780</v>
      </c>
      <c r="O5" s="0" t="n">
        <v>15055</v>
      </c>
      <c r="P5" s="0" t="n">
        <v>79103</v>
      </c>
      <c r="Q5" s="0" t="n">
        <v>57761</v>
      </c>
      <c r="R5" s="0" t="n">
        <v>24173</v>
      </c>
      <c r="S5" s="0" t="n">
        <v>4274</v>
      </c>
      <c r="T5" s="0" t="n">
        <v>4051</v>
      </c>
      <c r="U5" s="0" t="n">
        <v>367</v>
      </c>
      <c r="X5" s="0" t="n">
        <v>24696</v>
      </c>
      <c r="AA5" s="0" t="s">
        <v>18</v>
      </c>
      <c r="AB5" s="0" t="s">
        <v>14</v>
      </c>
      <c r="AC5" s="0" t="n">
        <v>1182</v>
      </c>
      <c r="AD5" s="0" t="n">
        <v>1.095</v>
      </c>
      <c r="AE5" s="0" t="n">
        <v>3316</v>
      </c>
      <c r="AH5" s="0" t="n">
        <v>711</v>
      </c>
      <c r="AI5" s="0" t="n">
        <v>1759</v>
      </c>
    </row>
    <row r="6" customFormat="false" ht="15" hidden="false" customHeight="false" outlineLevel="0" collapsed="false">
      <c r="A6" s="0" t="s">
        <v>76</v>
      </c>
      <c r="B6" s="0" t="n">
        <v>29324</v>
      </c>
      <c r="C6" s="0" t="n">
        <v>9554</v>
      </c>
      <c r="D6" s="0" t="n">
        <v>19770</v>
      </c>
      <c r="E6" s="0" t="n">
        <v>67.4</v>
      </c>
      <c r="F6" s="0" t="n">
        <v>6433</v>
      </c>
      <c r="G6" s="0" t="n">
        <v>21.9</v>
      </c>
      <c r="H6" s="0" t="n">
        <v>8580</v>
      </c>
      <c r="I6" s="0" t="n">
        <v>4461</v>
      </c>
      <c r="J6" s="0" t="n">
        <v>15.2</v>
      </c>
      <c r="K6" s="0" t="n">
        <v>1.092</v>
      </c>
      <c r="L6" s="0" t="n">
        <v>6634</v>
      </c>
      <c r="M6" s="0" t="n">
        <v>1143</v>
      </c>
      <c r="N6" s="0" t="n">
        <v>5491</v>
      </c>
      <c r="O6" s="0" t="n">
        <v>10598</v>
      </c>
      <c r="P6" s="0" t="n">
        <v>60146</v>
      </c>
      <c r="Q6" s="0" t="n">
        <v>50050</v>
      </c>
      <c r="R6" s="0" t="n">
        <v>20987</v>
      </c>
      <c r="S6" s="0" t="n">
        <v>3723</v>
      </c>
      <c r="T6" s="0" t="n">
        <v>4085</v>
      </c>
      <c r="U6" s="0" t="n">
        <v>346</v>
      </c>
      <c r="X6" s="0" t="n">
        <v>29324</v>
      </c>
      <c r="AA6" s="0" t="s">
        <v>18</v>
      </c>
      <c r="AB6" s="0" t="s">
        <v>14</v>
      </c>
      <c r="AC6" s="0" t="n">
        <v>1086</v>
      </c>
      <c r="AD6" s="0" t="n">
        <v>1.108</v>
      </c>
      <c r="AE6" s="0" t="n">
        <v>4461</v>
      </c>
      <c r="AF6" s="0" t="n">
        <v>10495</v>
      </c>
      <c r="AG6" s="0" t="n">
        <v>14956</v>
      </c>
      <c r="AH6" s="0" t="n">
        <v>460</v>
      </c>
      <c r="AI6" s="0" t="n">
        <v>1115</v>
      </c>
    </row>
    <row r="7" customFormat="false" ht="15" hidden="false" customHeight="false" outlineLevel="0" collapsed="false">
      <c r="A7" s="0" t="s">
        <v>77</v>
      </c>
      <c r="B7" s="0" t="n">
        <v>30328</v>
      </c>
      <c r="C7" s="0" t="n">
        <v>8565</v>
      </c>
      <c r="D7" s="0" t="n">
        <v>21763</v>
      </c>
      <c r="E7" s="0" t="n">
        <v>71.8</v>
      </c>
      <c r="F7" s="0" t="n">
        <v>6745</v>
      </c>
      <c r="G7" s="0" t="n">
        <v>22.2</v>
      </c>
      <c r="H7" s="0" t="n">
        <v>9039</v>
      </c>
      <c r="I7" s="0" t="n">
        <v>4928</v>
      </c>
      <c r="J7" s="0" t="n">
        <v>16.2</v>
      </c>
      <c r="K7" s="0" t="n">
        <v>1.199</v>
      </c>
      <c r="L7" s="0" t="n">
        <v>6768</v>
      </c>
      <c r="M7" s="0" t="n">
        <v>1314</v>
      </c>
      <c r="N7" s="0" t="n">
        <v>5454</v>
      </c>
      <c r="O7" s="0" t="n">
        <v>13347</v>
      </c>
      <c r="P7" s="0" t="n">
        <v>59005</v>
      </c>
      <c r="Q7" s="0" t="n">
        <v>46210</v>
      </c>
      <c r="R7" s="0" t="n">
        <v>18018</v>
      </c>
      <c r="S7" s="0" t="n">
        <v>2936</v>
      </c>
      <c r="T7" s="0" t="n">
        <v>4110</v>
      </c>
      <c r="U7" s="0" t="n">
        <v>307</v>
      </c>
      <c r="X7" s="0" t="n">
        <v>30328</v>
      </c>
      <c r="AA7" s="0" t="s">
        <v>18</v>
      </c>
      <c r="AB7" s="0" t="s">
        <v>14</v>
      </c>
      <c r="AC7" s="0" t="n">
        <v>1212</v>
      </c>
      <c r="AD7" s="0" t="n">
        <v>1.216</v>
      </c>
      <c r="AH7" s="0" t="n">
        <v>380</v>
      </c>
      <c r="AI7" s="0" t="n">
        <v>1030</v>
      </c>
      <c r="AJ7" s="0" t="n">
        <v>12795</v>
      </c>
    </row>
    <row r="8" customFormat="false" ht="15" hidden="false" customHeight="false" outlineLevel="0" collapsed="false">
      <c r="A8" s="0" t="s">
        <v>78</v>
      </c>
      <c r="B8" s="0" t="n">
        <v>31376</v>
      </c>
      <c r="C8" s="0" t="n">
        <v>9048</v>
      </c>
      <c r="D8" s="0" t="n">
        <v>22328</v>
      </c>
      <c r="E8" s="0" t="n">
        <v>71.2</v>
      </c>
      <c r="F8" s="0" t="n">
        <v>4021</v>
      </c>
      <c r="G8" s="0" t="n">
        <v>12.8</v>
      </c>
      <c r="H8" s="0" t="n">
        <v>6572</v>
      </c>
      <c r="I8" s="0" t="n">
        <v>2575</v>
      </c>
      <c r="J8" s="0" t="n">
        <v>8.2</v>
      </c>
      <c r="K8" s="0" t="n">
        <v>0.622</v>
      </c>
      <c r="L8" s="0" t="n">
        <v>6554</v>
      </c>
      <c r="M8" s="0" t="n">
        <v>1399</v>
      </c>
      <c r="N8" s="0" t="n">
        <v>5155</v>
      </c>
      <c r="O8" s="0" t="n">
        <v>13671</v>
      </c>
      <c r="P8" s="0" t="n">
        <v>59463</v>
      </c>
      <c r="Q8" s="0" t="n">
        <v>46377</v>
      </c>
      <c r="R8" s="0" t="n">
        <v>16986</v>
      </c>
      <c r="S8" s="0" t="n">
        <v>3870</v>
      </c>
      <c r="T8" s="0" t="n">
        <v>4140</v>
      </c>
      <c r="U8" s="0" t="n">
        <v>344</v>
      </c>
      <c r="X8" s="0" t="n">
        <v>31376</v>
      </c>
      <c r="AA8" s="0" t="s">
        <v>18</v>
      </c>
      <c r="AB8" s="0" t="s">
        <v>14</v>
      </c>
      <c r="AC8" s="0" t="n">
        <v>1454</v>
      </c>
      <c r="AD8" s="0" t="n">
        <v>0.632</v>
      </c>
      <c r="AH8" s="0" t="n">
        <v>376</v>
      </c>
      <c r="AI8" s="0" t="n">
        <v>1583</v>
      </c>
      <c r="AJ8" s="0" t="n">
        <v>13086</v>
      </c>
    </row>
    <row r="9" customFormat="false" ht="15" hidden="false" customHeight="false" outlineLevel="0" collapsed="false">
      <c r="A9" s="0" t="s">
        <v>79</v>
      </c>
      <c r="B9" s="0" t="n">
        <v>32667</v>
      </c>
      <c r="C9" s="0" t="n">
        <v>9017</v>
      </c>
      <c r="D9" s="0" t="n">
        <v>23650</v>
      </c>
      <c r="E9" s="0" t="n">
        <v>72.4</v>
      </c>
      <c r="F9" s="0" t="n">
        <v>7932</v>
      </c>
      <c r="G9" s="0" t="n">
        <v>24.3</v>
      </c>
      <c r="H9" s="0" t="n">
        <v>10246</v>
      </c>
      <c r="I9" s="0" t="n">
        <v>5716</v>
      </c>
      <c r="J9" s="0" t="n">
        <v>17.5</v>
      </c>
      <c r="K9" s="0" t="n">
        <v>1.388</v>
      </c>
      <c r="L9" s="0" t="n">
        <v>7741</v>
      </c>
      <c r="M9" s="0" t="n">
        <v>1348</v>
      </c>
      <c r="N9" s="0" t="n">
        <v>6393</v>
      </c>
      <c r="O9" s="0" t="n">
        <v>16377</v>
      </c>
      <c r="P9" s="0" t="n">
        <v>61118</v>
      </c>
      <c r="Q9" s="0" t="n">
        <v>45162</v>
      </c>
      <c r="R9" s="0" t="n">
        <v>17720</v>
      </c>
      <c r="S9" s="0" t="n">
        <v>3397</v>
      </c>
      <c r="T9" s="0" t="n">
        <v>4118</v>
      </c>
      <c r="U9" s="0" t="n">
        <v>374</v>
      </c>
      <c r="X9" s="0" t="n">
        <v>32667</v>
      </c>
      <c r="AA9" s="0" t="s">
        <v>18</v>
      </c>
      <c r="AB9" s="0" t="s">
        <v>14</v>
      </c>
      <c r="AC9" s="0" t="n">
        <v>1258</v>
      </c>
      <c r="AD9" s="0" t="n">
        <v>1.411</v>
      </c>
      <c r="AH9" s="0" t="n">
        <v>573</v>
      </c>
      <c r="AI9" s="0" t="n">
        <v>1637</v>
      </c>
      <c r="AJ9" s="0" t="n">
        <v>15956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1750</v>
      </c>
    </row>
    <row r="3" customFormat="false" ht="15" hidden="false" customHeight="false" outlineLevel="0" collapsed="false">
      <c r="A3" s="0" t="s">
        <v>83</v>
      </c>
      <c r="B3" s="3" t="n">
        <v>4062</v>
      </c>
    </row>
    <row r="4" customFormat="false" ht="15" hidden="false" customHeight="false" outlineLevel="0" collapsed="false">
      <c r="A4" s="0" t="s">
        <v>84</v>
      </c>
      <c r="B4" s="3" t="n">
        <v>21392</v>
      </c>
    </row>
    <row r="5" customFormat="false" ht="15" hidden="false" customHeight="false" outlineLevel="0" collapsed="false">
      <c r="A5" s="0" t="s">
        <v>85</v>
      </c>
      <c r="B5" s="3" t="n">
        <v>-7282</v>
      </c>
    </row>
    <row r="6" customFormat="false" ht="15" hidden="false" customHeight="false" outlineLevel="0" collapsed="false">
      <c r="A6" s="0" t="s">
        <v>86</v>
      </c>
      <c r="B6" s="3" t="n">
        <v>15</v>
      </c>
    </row>
    <row r="7" customFormat="false" ht="15" hidden="false" customHeight="false" outlineLevel="0" collapsed="false">
      <c r="A7" s="0" t="s">
        <v>87</v>
      </c>
      <c r="B7" s="3" t="n">
        <v>32667</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100</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2.5</v>
      </c>
      <c r="D13" s="3" t="n">
        <v>1.5</v>
      </c>
      <c r="E13" s="3" t="n">
        <v>-1</v>
      </c>
      <c r="F13" s="3" t="n">
        <v>-4</v>
      </c>
      <c r="G13" s="3" t="n">
        <v>-4</v>
      </c>
      <c r="H13" s="3" t="n">
        <v>0</v>
      </c>
      <c r="I13" s="3" t="n">
        <v>1</v>
      </c>
      <c r="J13" s="3" t="n">
        <v>1.5</v>
      </c>
      <c r="K13" s="3" t="n">
        <v>1.5</v>
      </c>
      <c r="L13" s="3" t="n">
        <v>1.5</v>
      </c>
    </row>
    <row r="14" customFormat="false" ht="15" hidden="false" customHeight="false" outlineLevel="0" collapsed="false">
      <c r="A14" s="0" t="s">
        <v>104</v>
      </c>
      <c r="C14" s="3" t="n">
        <v>39.8</v>
      </c>
      <c r="D14" s="3" t="n">
        <v>39.5</v>
      </c>
      <c r="E14" s="3" t="n">
        <v>38.5</v>
      </c>
      <c r="F14" s="3" t="n">
        <v>37</v>
      </c>
      <c r="G14" s="3" t="n">
        <v>36</v>
      </c>
      <c r="H14" s="3" t="n">
        <v>36</v>
      </c>
      <c r="I14" s="3" t="n">
        <v>36.5</v>
      </c>
      <c r="J14" s="3" t="n">
        <v>36.5</v>
      </c>
      <c r="K14" s="3" t="n">
        <v>36.5</v>
      </c>
      <c r="L14" s="3" t="n">
        <v>36.5</v>
      </c>
    </row>
    <row r="15" customFormat="false" ht="15" hidden="false" customHeight="false" outlineLevel="0" collapsed="false">
      <c r="A15" s="0" t="s">
        <v>105</v>
      </c>
      <c r="C15" s="3" t="n">
        <v>1.1</v>
      </c>
      <c r="D15" s="3" t="n">
        <v>1.1</v>
      </c>
      <c r="E15" s="3" t="n">
        <v>1.1</v>
      </c>
      <c r="F15" s="3" t="n">
        <v>1.1</v>
      </c>
      <c r="G15" s="3" t="n">
        <v>1.1</v>
      </c>
      <c r="H15" s="3" t="n">
        <v>1.1</v>
      </c>
      <c r="I15" s="3" t="n">
        <v>1.1</v>
      </c>
      <c r="J15" s="3" t="n">
        <v>1.1</v>
      </c>
      <c r="K15" s="3" t="n">
        <v>1.1</v>
      </c>
      <c r="L15" s="3" t="n">
        <v>1.1</v>
      </c>
    </row>
    <row r="16" customFormat="false" ht="15" hidden="false" customHeight="false" outlineLevel="0" collapsed="false">
      <c r="A16" s="0" t="s">
        <v>106</v>
      </c>
      <c r="C16" s="3" t="n">
        <v>0.9</v>
      </c>
      <c r="D16" s="3" t="n">
        <v>0.9</v>
      </c>
      <c r="E16" s="3" t="n">
        <v>0.9</v>
      </c>
      <c r="F16" s="3" t="n">
        <v>0.9</v>
      </c>
      <c r="G16" s="3" t="n">
        <v>0.9</v>
      </c>
      <c r="H16" s="3" t="n">
        <v>0.9</v>
      </c>
      <c r="I16" s="3" t="n">
        <v>0.9</v>
      </c>
      <c r="J16" s="3" t="n">
        <v>0.9</v>
      </c>
      <c r="K16" s="3" t="n">
        <v>0.9</v>
      </c>
      <c r="L16" s="3" t="n">
        <v>0.9</v>
      </c>
    </row>
    <row r="17" customFormat="false" ht="15" hidden="false" customHeight="false" outlineLevel="0" collapsed="false">
      <c r="A17" s="0" t="s">
        <v>107</v>
      </c>
      <c r="C17" s="3" t="n">
        <v>7.8</v>
      </c>
      <c r="D17" s="3" t="n">
        <v>7.8</v>
      </c>
      <c r="E17" s="3" t="n">
        <v>7.8</v>
      </c>
      <c r="F17" s="3" t="n">
        <v>7.8</v>
      </c>
      <c r="G17" s="3" t="n">
        <v>7.8</v>
      </c>
      <c r="H17" s="3" t="n">
        <v>7.8</v>
      </c>
      <c r="I17" s="3" t="n">
        <v>7.8</v>
      </c>
      <c r="J17" s="3" t="n">
        <v>7.8</v>
      </c>
      <c r="K17" s="3" t="n">
        <v>7.8</v>
      </c>
      <c r="L17" s="3" t="n">
        <v>7.8</v>
      </c>
    </row>
    <row r="18" customFormat="false" ht="15" hidden="false" customHeight="false" outlineLevel="0" collapsed="false">
      <c r="A18" s="0" t="s">
        <v>108</v>
      </c>
      <c r="C18" s="3" t="n">
        <v>9</v>
      </c>
      <c r="D18" s="3" t="n">
        <v>9</v>
      </c>
      <c r="E18" s="3" t="n">
        <v>9</v>
      </c>
      <c r="F18" s="3" t="n">
        <v>9</v>
      </c>
      <c r="G18" s="3" t="n">
        <v>9</v>
      </c>
      <c r="H18" s="3" t="n">
        <v>9</v>
      </c>
      <c r="I18" s="3" t="n">
        <v>9</v>
      </c>
      <c r="J18" s="3" t="n">
        <v>9</v>
      </c>
      <c r="K18" s="3" t="n">
        <v>9</v>
      </c>
      <c r="L18" s="3" t="n">
        <v>9</v>
      </c>
    </row>
    <row r="19" customFormat="false" ht="15" hidden="false" customHeight="false" outlineLevel="0" collapsed="false">
      <c r="A19" s="0" t="s">
        <v>109</v>
      </c>
      <c r="C19" s="3" t="n">
        <v>24.5</v>
      </c>
      <c r="D19" s="3" t="n">
        <v>24.5</v>
      </c>
      <c r="E19" s="3" t="n">
        <v>24.5</v>
      </c>
      <c r="F19" s="3" t="n">
        <v>24.5</v>
      </c>
      <c r="G19" s="3" t="n">
        <v>24</v>
      </c>
      <c r="H19" s="3" t="n">
        <v>23.5</v>
      </c>
      <c r="I19" s="3" t="n">
        <v>23.5</v>
      </c>
      <c r="J19" s="3" t="n">
        <v>23.5</v>
      </c>
      <c r="K19" s="3" t="n">
        <v>23.5</v>
      </c>
      <c r="L19" s="3" t="n">
        <v>23.5</v>
      </c>
    </row>
    <row r="20" customFormat="false" ht="15" hidden="false" customHeight="false" outlineLevel="0" collapsed="false">
      <c r="A20" s="0" t="s">
        <v>110</v>
      </c>
      <c r="B20" s="3" t="n">
        <v>7</v>
      </c>
    </row>
    <row r="21" customFormat="false" ht="15" hidden="false" customHeight="false" outlineLevel="0" collapsed="false">
      <c r="A21" s="0" t="s">
        <v>111</v>
      </c>
      <c r="B21" s="3" t="n">
        <v>1.5</v>
      </c>
    </row>
    <row r="22" customFormat="false" ht="15" hidden="false" customHeight="false" outlineLevel="0" collapsed="false">
      <c r="A22" s="0" t="s">
        <v>112</v>
      </c>
      <c r="B22" s="3" t="n">
        <v>12</v>
      </c>
    </row>
    <row r="23" customFormat="false" ht="15" hidden="false" customHeight="false" outlineLevel="0" collapsed="false">
      <c r="A23" s="0" t="s">
        <v>113</v>
      </c>
      <c r="B23" s="3" t="n">
        <v>-10</v>
      </c>
    </row>
    <row r="24" customFormat="false" ht="15" hidden="false" customHeight="false" outlineLevel="0" collapsed="false">
      <c r="A24" s="0" t="s">
        <v>114</v>
      </c>
      <c r="B24" s="3" t="n">
        <v>0.3</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3</v>
      </c>
      <c r="D27" s="3" t="n">
        <v>4</v>
      </c>
      <c r="E27" s="3" t="n">
        <v>3</v>
      </c>
      <c r="F27" s="3" t="n">
        <v>1.5</v>
      </c>
      <c r="G27" s="3" t="n">
        <v>1.5</v>
      </c>
      <c r="H27" s="3" t="n">
        <v>3.5</v>
      </c>
      <c r="I27" s="3" t="n">
        <v>3.5</v>
      </c>
      <c r="J27" s="3" t="n">
        <v>3</v>
      </c>
      <c r="K27" s="3" t="n">
        <v>2.5</v>
      </c>
      <c r="L27" s="3" t="n">
        <v>2.5</v>
      </c>
    </row>
    <row r="28" customFormat="false" ht="15" hidden="false" customHeight="false" outlineLevel="0" collapsed="false">
      <c r="A28" s="0" t="s">
        <v>104</v>
      </c>
      <c r="C28" s="3" t="n">
        <v>40.2</v>
      </c>
      <c r="D28" s="3" t="n">
        <v>40.6</v>
      </c>
      <c r="E28" s="3" t="n">
        <v>40.6</v>
      </c>
      <c r="F28" s="3" t="n">
        <v>40.2</v>
      </c>
      <c r="G28" s="3" t="n">
        <v>40</v>
      </c>
      <c r="H28" s="3" t="n">
        <v>40.3</v>
      </c>
      <c r="I28" s="3" t="n">
        <v>40.5</v>
      </c>
      <c r="J28" s="3" t="n">
        <v>40.5</v>
      </c>
      <c r="K28" s="3" t="n">
        <v>40.5</v>
      </c>
      <c r="L28" s="3" t="n">
        <v>40.5</v>
      </c>
    </row>
    <row r="29" customFormat="false" ht="15" hidden="false" customHeight="false" outlineLevel="0" collapsed="false">
      <c r="A29" s="0" t="s">
        <v>105</v>
      </c>
      <c r="C29" s="3" t="n">
        <v>1.1</v>
      </c>
      <c r="D29" s="3" t="n">
        <v>1.1</v>
      </c>
      <c r="E29" s="3" t="n">
        <v>1.1</v>
      </c>
      <c r="F29" s="3" t="n">
        <v>1.1</v>
      </c>
      <c r="G29" s="3" t="n">
        <v>1.1</v>
      </c>
      <c r="H29" s="3" t="n">
        <v>1.1</v>
      </c>
      <c r="I29" s="3" t="n">
        <v>1.1</v>
      </c>
      <c r="J29" s="3" t="n">
        <v>1.1</v>
      </c>
      <c r="K29" s="3" t="n">
        <v>1.1</v>
      </c>
      <c r="L29" s="3" t="n">
        <v>1.1</v>
      </c>
    </row>
    <row r="30" customFormat="false" ht="15" hidden="false" customHeight="false" outlineLevel="0" collapsed="false">
      <c r="A30" s="0" t="s">
        <v>106</v>
      </c>
      <c r="C30" s="3" t="n">
        <v>0.9</v>
      </c>
      <c r="D30" s="3" t="n">
        <v>0.9</v>
      </c>
      <c r="E30" s="3" t="n">
        <v>0.9</v>
      </c>
      <c r="F30" s="3" t="n">
        <v>0.9</v>
      </c>
      <c r="G30" s="3" t="n">
        <v>0.9</v>
      </c>
      <c r="H30" s="3" t="n">
        <v>0.9</v>
      </c>
      <c r="I30" s="3" t="n">
        <v>0.9</v>
      </c>
      <c r="J30" s="3" t="n">
        <v>0.9</v>
      </c>
      <c r="K30" s="3" t="n">
        <v>0.9</v>
      </c>
      <c r="L30" s="3" t="n">
        <v>0.9</v>
      </c>
    </row>
    <row r="31" customFormat="false" ht="15" hidden="false" customHeight="false" outlineLevel="0" collapsed="false">
      <c r="A31" s="0" t="s">
        <v>107</v>
      </c>
      <c r="C31" s="3" t="n">
        <v>7.8</v>
      </c>
      <c r="D31" s="3" t="n">
        <v>7.8</v>
      </c>
      <c r="E31" s="3" t="n">
        <v>7.8</v>
      </c>
      <c r="F31" s="3" t="n">
        <v>7.8</v>
      </c>
      <c r="G31" s="3" t="n">
        <v>7.8</v>
      </c>
      <c r="H31" s="3" t="n">
        <v>7.8</v>
      </c>
      <c r="I31" s="3" t="n">
        <v>7.8</v>
      </c>
      <c r="J31" s="3" t="n">
        <v>7.8</v>
      </c>
      <c r="K31" s="3" t="n">
        <v>7.8</v>
      </c>
      <c r="L31" s="3" t="n">
        <v>7.8</v>
      </c>
    </row>
    <row r="32" customFormat="false" ht="15" hidden="false" customHeight="false" outlineLevel="0" collapsed="false">
      <c r="A32" s="0" t="s">
        <v>108</v>
      </c>
      <c r="C32" s="3" t="n">
        <v>9</v>
      </c>
      <c r="D32" s="3" t="n">
        <v>9</v>
      </c>
      <c r="E32" s="3" t="n">
        <v>9</v>
      </c>
      <c r="F32" s="3" t="n">
        <v>9</v>
      </c>
      <c r="G32" s="3" t="n">
        <v>9</v>
      </c>
      <c r="H32" s="3" t="n">
        <v>9</v>
      </c>
      <c r="I32" s="3" t="n">
        <v>9</v>
      </c>
      <c r="J32" s="3" t="n">
        <v>9</v>
      </c>
      <c r="K32" s="3" t="n">
        <v>9</v>
      </c>
      <c r="L32" s="3" t="n">
        <v>9</v>
      </c>
    </row>
    <row r="33" customFormat="false" ht="15" hidden="false" customHeight="false" outlineLevel="0" collapsed="false">
      <c r="A33" s="0" t="s">
        <v>109</v>
      </c>
      <c r="C33" s="3" t="n">
        <v>24.5</v>
      </c>
      <c r="D33" s="3" t="n">
        <v>24.5</v>
      </c>
      <c r="E33" s="3" t="n">
        <v>24.5</v>
      </c>
      <c r="F33" s="3" t="n">
        <v>24.5</v>
      </c>
      <c r="G33" s="3" t="n">
        <v>24</v>
      </c>
      <c r="H33" s="3" t="n">
        <v>23.5</v>
      </c>
      <c r="I33" s="3" t="n">
        <v>23.5</v>
      </c>
      <c r="J33" s="3" t="n">
        <v>23.5</v>
      </c>
      <c r="K33" s="3" t="n">
        <v>23.5</v>
      </c>
      <c r="L33" s="3" t="n">
        <v>23.5</v>
      </c>
    </row>
    <row r="34" customFormat="false" ht="15" hidden="false" customHeight="false" outlineLevel="0" collapsed="false">
      <c r="A34" s="0" t="s">
        <v>110</v>
      </c>
      <c r="B34" s="3" t="n">
        <v>7</v>
      </c>
    </row>
    <row r="35" customFormat="false" ht="15" hidden="false" customHeight="false" outlineLevel="0" collapsed="false">
      <c r="A35" s="0" t="s">
        <v>111</v>
      </c>
      <c r="B35" s="3" t="n">
        <v>2</v>
      </c>
    </row>
    <row r="36" customFormat="false" ht="15" hidden="false" customHeight="false" outlineLevel="0" collapsed="false">
      <c r="A36" s="0" t="s">
        <v>112</v>
      </c>
      <c r="B36" s="3" t="n">
        <v>15</v>
      </c>
    </row>
    <row r="37" customFormat="false" ht="15" hidden="false" customHeight="false" outlineLevel="0" collapsed="false">
      <c r="A37" s="0" t="s">
        <v>113</v>
      </c>
      <c r="B37" s="3" t="n">
        <v>-10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3.5</v>
      </c>
      <c r="D41" s="3" t="n">
        <v>5.5</v>
      </c>
      <c r="E41" s="3" t="n">
        <v>5</v>
      </c>
      <c r="F41" s="3" t="n">
        <v>3</v>
      </c>
      <c r="G41" s="3" t="n">
        <v>3</v>
      </c>
      <c r="H41" s="3" t="n">
        <v>5</v>
      </c>
      <c r="I41" s="3" t="n">
        <v>5</v>
      </c>
      <c r="J41" s="3" t="n">
        <v>4</v>
      </c>
      <c r="K41" s="3" t="n">
        <v>3.5</v>
      </c>
      <c r="L41" s="3" t="n">
        <v>3</v>
      </c>
    </row>
    <row r="42" customFormat="false" ht="15" hidden="false" customHeight="false" outlineLevel="0" collapsed="false">
      <c r="A42" s="0" t="s">
        <v>104</v>
      </c>
      <c r="C42" s="3" t="n">
        <v>40.4</v>
      </c>
      <c r="D42" s="3" t="n">
        <v>41</v>
      </c>
      <c r="E42" s="3" t="n">
        <v>41.5</v>
      </c>
      <c r="F42" s="3" t="n">
        <v>41.5</v>
      </c>
      <c r="G42" s="3" t="n">
        <v>41.5</v>
      </c>
      <c r="H42" s="3" t="n">
        <v>42</v>
      </c>
      <c r="I42" s="3" t="n">
        <v>42.5</v>
      </c>
      <c r="J42" s="3" t="n">
        <v>42.5</v>
      </c>
      <c r="K42" s="3" t="n">
        <v>42.5</v>
      </c>
      <c r="L42" s="3" t="n">
        <v>42.5</v>
      </c>
    </row>
    <row r="43" customFormat="false" ht="15" hidden="false" customHeight="false" outlineLevel="0" collapsed="false">
      <c r="A43" s="0" t="s">
        <v>105</v>
      </c>
      <c r="C43" s="3" t="n">
        <v>1.1</v>
      </c>
      <c r="D43" s="3" t="n">
        <v>1.1</v>
      </c>
      <c r="E43" s="3" t="n">
        <v>1.1</v>
      </c>
      <c r="F43" s="3" t="n">
        <v>1.1</v>
      </c>
      <c r="G43" s="3" t="n">
        <v>1.1</v>
      </c>
      <c r="H43" s="3" t="n">
        <v>1.1</v>
      </c>
      <c r="I43" s="3" t="n">
        <v>1.1</v>
      </c>
      <c r="J43" s="3" t="n">
        <v>1.1</v>
      </c>
      <c r="K43" s="3" t="n">
        <v>1.1</v>
      </c>
      <c r="L43" s="3" t="n">
        <v>1.1</v>
      </c>
    </row>
    <row r="44" customFormat="false" ht="15" hidden="false" customHeight="false" outlineLevel="0" collapsed="false">
      <c r="A44" s="0" t="s">
        <v>106</v>
      </c>
      <c r="C44" s="3" t="n">
        <v>0.9</v>
      </c>
      <c r="D44" s="3" t="n">
        <v>0.9</v>
      </c>
      <c r="E44" s="3" t="n">
        <v>0.9</v>
      </c>
      <c r="F44" s="3" t="n">
        <v>0.9</v>
      </c>
      <c r="G44" s="3" t="n">
        <v>0.9</v>
      </c>
      <c r="H44" s="3" t="n">
        <v>0.9</v>
      </c>
      <c r="I44" s="3" t="n">
        <v>0.9</v>
      </c>
      <c r="J44" s="3" t="n">
        <v>0.9</v>
      </c>
      <c r="K44" s="3" t="n">
        <v>0.9</v>
      </c>
      <c r="L44" s="3" t="n">
        <v>0.9</v>
      </c>
    </row>
    <row r="45" customFormat="false" ht="15" hidden="false" customHeight="false" outlineLevel="0" collapsed="false">
      <c r="A45" s="0" t="s">
        <v>107</v>
      </c>
      <c r="C45" s="3" t="n">
        <v>7.8</v>
      </c>
      <c r="D45" s="3" t="n">
        <v>7.8</v>
      </c>
      <c r="E45" s="3" t="n">
        <v>7.8</v>
      </c>
      <c r="F45" s="3" t="n">
        <v>7.8</v>
      </c>
      <c r="G45" s="3" t="n">
        <v>7.8</v>
      </c>
      <c r="H45" s="3" t="n">
        <v>7.8</v>
      </c>
      <c r="I45" s="3" t="n">
        <v>7.8</v>
      </c>
      <c r="J45" s="3" t="n">
        <v>7.8</v>
      </c>
      <c r="K45" s="3" t="n">
        <v>7.8</v>
      </c>
      <c r="L45" s="3" t="n">
        <v>7.8</v>
      </c>
    </row>
    <row r="46" customFormat="false" ht="15" hidden="false" customHeight="false" outlineLevel="0" collapsed="false">
      <c r="A46" s="0" t="s">
        <v>108</v>
      </c>
      <c r="C46" s="3" t="n">
        <v>9</v>
      </c>
      <c r="D46" s="3" t="n">
        <v>9</v>
      </c>
      <c r="E46" s="3" t="n">
        <v>9</v>
      </c>
      <c r="F46" s="3" t="n">
        <v>9</v>
      </c>
      <c r="G46" s="3" t="n">
        <v>9</v>
      </c>
      <c r="H46" s="3" t="n">
        <v>9</v>
      </c>
      <c r="I46" s="3" t="n">
        <v>9</v>
      </c>
      <c r="J46" s="3" t="n">
        <v>9</v>
      </c>
      <c r="K46" s="3" t="n">
        <v>9</v>
      </c>
      <c r="L46" s="3" t="n">
        <v>9</v>
      </c>
    </row>
    <row r="47" customFormat="false" ht="15" hidden="false" customHeight="false" outlineLevel="0" collapsed="false">
      <c r="A47" s="0" t="s">
        <v>109</v>
      </c>
      <c r="C47" s="3" t="n">
        <v>24.5</v>
      </c>
      <c r="D47" s="3" t="n">
        <v>24.5</v>
      </c>
      <c r="E47" s="3" t="n">
        <v>24.5</v>
      </c>
      <c r="F47" s="3" t="n">
        <v>24.5</v>
      </c>
      <c r="G47" s="3" t="n">
        <v>24</v>
      </c>
      <c r="H47" s="3" t="n">
        <v>23.5</v>
      </c>
      <c r="I47" s="3" t="n">
        <v>23.5</v>
      </c>
      <c r="J47" s="3" t="n">
        <v>23.5</v>
      </c>
      <c r="K47" s="3" t="n">
        <v>23.5</v>
      </c>
      <c r="L47" s="3" t="n">
        <v>23.5</v>
      </c>
    </row>
    <row r="48" customFormat="false" ht="15" hidden="false" customHeight="false" outlineLevel="0" collapsed="false">
      <c r="A48" s="0" t="s">
        <v>110</v>
      </c>
      <c r="B48" s="3" t="n">
        <v>7</v>
      </c>
    </row>
    <row r="49" customFormat="false" ht="15" hidden="false" customHeight="false" outlineLevel="0" collapsed="false">
      <c r="A49" s="0" t="s">
        <v>111</v>
      </c>
      <c r="B49" s="3" t="n">
        <v>2.5</v>
      </c>
    </row>
    <row r="50" customFormat="false" ht="15" hidden="false" customHeight="false" outlineLevel="0" collapsed="false">
      <c r="A50" s="0" t="s">
        <v>112</v>
      </c>
      <c r="B50" s="3" t="n">
        <v>16</v>
      </c>
    </row>
    <row r="51" customFormat="false" ht="15" hidden="false" customHeight="false" outlineLevel="0" collapsed="false">
      <c r="A51" s="0" t="s">
        <v>113</v>
      </c>
      <c r="B51" s="3" t="n">
        <v>-10</v>
      </c>
    </row>
    <row r="52" customFormat="false" ht="15" hidden="false" customHeight="false" outlineLevel="0" collapsed="false">
      <c r="A52" s="0" t="s">
        <v>114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2.5</v>
      </c>
      <c r="D5" s="4" t="n">
        <f aca="false">Assumptions!D13</f>
        <v>1.5</v>
      </c>
      <c r="E5" s="4" t="n">
        <f aca="false">Assumptions!E13</f>
        <v>-1</v>
      </c>
      <c r="F5" s="4" t="n">
        <f aca="false">Assumptions!F13</f>
        <v>-4</v>
      </c>
      <c r="G5" s="4" t="n">
        <f aca="false">Assumptions!G13</f>
        <v>-4</v>
      </c>
      <c r="H5" s="4" t="n">
        <f aca="false">Assumptions!H13</f>
        <v>0</v>
      </c>
      <c r="I5" s="4" t="n">
        <f aca="false">Assumptions!I13</f>
        <v>1</v>
      </c>
      <c r="J5" s="4" t="n">
        <f aca="false">Assumptions!J13</f>
        <v>1.5</v>
      </c>
      <c r="K5" s="4" t="n">
        <f aca="false">Assumptions!K13</f>
        <v>1.5</v>
      </c>
      <c r="L5" s="4" t="n">
        <f aca="false">Assumptions!L13</f>
        <v>1.5</v>
      </c>
    </row>
    <row r="6" customFormat="false" ht="15" hidden="false" customHeight="false" outlineLevel="0" collapsed="false">
      <c r="A6" s="0" t="s">
        <v>38</v>
      </c>
      <c r="B6" s="3" t="n">
        <v>32667</v>
      </c>
      <c r="C6" s="0" t="n">
        <f aca="false">B6*(1+C5/100)</f>
        <v>33483.675</v>
      </c>
      <c r="D6" s="0" t="n">
        <f aca="false">C6*(1+D5/100)</f>
        <v>33985.930125</v>
      </c>
      <c r="E6" s="0" t="n">
        <f aca="false">D6*(1+E5/100)</f>
        <v>33646.07082375</v>
      </c>
      <c r="F6" s="0" t="n">
        <f aca="false">E6*(1+F5/100)</f>
        <v>32300.2279908</v>
      </c>
      <c r="G6" s="0" t="n">
        <f aca="false">F6*(1+G5/100)</f>
        <v>31008.218871168</v>
      </c>
      <c r="H6" s="0" t="n">
        <f aca="false">G6*(1+H5/100)</f>
        <v>31008.218871168</v>
      </c>
      <c r="I6" s="0" t="n">
        <f aca="false">H6*(1+I5/100)</f>
        <v>31318.3010598797</v>
      </c>
      <c r="J6" s="0" t="n">
        <f aca="false">I6*(1+J5/100)</f>
        <v>31788.0755757779</v>
      </c>
      <c r="K6" s="0" t="n">
        <f aca="false">J6*(1+K5/100)</f>
        <v>32264.8967094145</v>
      </c>
      <c r="L6" s="0" t="n">
        <f aca="false">K6*(1+L5/100)</f>
        <v>32748.8701600557</v>
      </c>
    </row>
    <row r="7" customFormat="false" ht="15" hidden="false" customHeight="false" outlineLevel="0" collapsed="false">
      <c r="A7" s="0" t="s">
        <v>104</v>
      </c>
      <c r="C7" s="4" t="n">
        <f aca="false">Assumptions!C14</f>
        <v>39.8</v>
      </c>
      <c r="D7" s="4" t="n">
        <f aca="false">Assumptions!D14</f>
        <v>39.5</v>
      </c>
      <c r="E7" s="4" t="n">
        <f aca="false">Assumptions!E14</f>
        <v>38.5</v>
      </c>
      <c r="F7" s="4" t="n">
        <f aca="false">Assumptions!F14</f>
        <v>37</v>
      </c>
      <c r="G7" s="4" t="n">
        <f aca="false">Assumptions!G14</f>
        <v>36</v>
      </c>
      <c r="H7" s="4" t="n">
        <f aca="false">Assumptions!H14</f>
        <v>36</v>
      </c>
      <c r="I7" s="4" t="n">
        <f aca="false">Assumptions!I14</f>
        <v>36.5</v>
      </c>
      <c r="J7" s="4" t="n">
        <f aca="false">Assumptions!J14</f>
        <v>36.5</v>
      </c>
      <c r="K7" s="4" t="n">
        <f aca="false">Assumptions!K14</f>
        <v>36.5</v>
      </c>
      <c r="L7" s="4" t="n">
        <f aca="false">Assumptions!L14</f>
        <v>36.5</v>
      </c>
    </row>
    <row r="8" customFormat="false" ht="15" hidden="false" customHeight="false" outlineLevel="0" collapsed="false">
      <c r="A8" s="0" t="s">
        <v>44</v>
      </c>
      <c r="C8" s="0" t="n">
        <f aca="false">C6*C7/100</f>
        <v>13326.50265</v>
      </c>
      <c r="D8" s="0" t="n">
        <f aca="false">D6*D7/100</f>
        <v>13424.442399375</v>
      </c>
      <c r="E8" s="0" t="n">
        <f aca="false">E6*E7/100</f>
        <v>12953.7372671437</v>
      </c>
      <c r="F8" s="0" t="n">
        <f aca="false">F6*F7/100</f>
        <v>11951.084356596</v>
      </c>
      <c r="G8" s="0" t="n">
        <f aca="false">G6*G7/100</f>
        <v>11162.9587936205</v>
      </c>
      <c r="H8" s="0" t="n">
        <f aca="false">H6*H7/100</f>
        <v>11162.9587936205</v>
      </c>
      <c r="I8" s="0" t="n">
        <f aca="false">I6*I7/100</f>
        <v>11431.1798868561</v>
      </c>
      <c r="J8" s="0" t="n">
        <f aca="false">J6*J7/100</f>
        <v>11602.6475851589</v>
      </c>
      <c r="K8" s="0" t="n">
        <f aca="false">K6*K7/100</f>
        <v>11776.6872989363</v>
      </c>
      <c r="L8" s="0" t="n">
        <f aca="false">L6*L7/100</f>
        <v>11953.3376084203</v>
      </c>
    </row>
    <row r="9" customFormat="false" ht="15" hidden="false" customHeight="false" outlineLevel="0" collapsed="false">
      <c r="A9" s="0" t="s">
        <v>105</v>
      </c>
      <c r="C9" s="4" t="n">
        <f aca="false">Assumptions!C15</f>
        <v>1.1</v>
      </c>
      <c r="D9" s="4" t="n">
        <f aca="false">Assumptions!D15</f>
        <v>1.1</v>
      </c>
      <c r="E9" s="4" t="n">
        <f aca="false">Assumptions!E15</f>
        <v>1.1</v>
      </c>
      <c r="F9" s="4" t="n">
        <f aca="false">Assumptions!F15</f>
        <v>1.1</v>
      </c>
      <c r="G9" s="4" t="n">
        <f aca="false">Assumptions!G15</f>
        <v>1.1</v>
      </c>
      <c r="H9" s="4" t="n">
        <f aca="false">Assumptions!H15</f>
        <v>1.1</v>
      </c>
      <c r="I9" s="4" t="n">
        <f aca="false">Assumptions!I15</f>
        <v>1.1</v>
      </c>
      <c r="J9" s="4" t="n">
        <f aca="false">Assumptions!J15</f>
        <v>1.1</v>
      </c>
      <c r="K9" s="4" t="n">
        <f aca="false">Assumptions!K15</f>
        <v>1.1</v>
      </c>
      <c r="L9" s="4" t="n">
        <f aca="false">Assumptions!L15</f>
        <v>1.1</v>
      </c>
    </row>
    <row r="10" customFormat="false" ht="15" hidden="false" customHeight="false" outlineLevel="0" collapsed="false">
      <c r="A10" s="0" t="s">
        <v>120</v>
      </c>
      <c r="C10" s="0" t="n">
        <f aca="false">-C6*C9/100</f>
        <v>-368.320425</v>
      </c>
      <c r="D10" s="0" t="n">
        <f aca="false">-D6*D9/100</f>
        <v>-373.845231375</v>
      </c>
      <c r="E10" s="0" t="n">
        <f aca="false">-E6*E9/100</f>
        <v>-370.10677906125</v>
      </c>
      <c r="F10" s="0" t="n">
        <f aca="false">-F6*F9/100</f>
        <v>-355.3025078988</v>
      </c>
      <c r="G10" s="0" t="n">
        <f aca="false">-G6*G9/100</f>
        <v>-341.090407582848</v>
      </c>
      <c r="H10" s="0" t="n">
        <f aca="false">-H6*H9/100</f>
        <v>-341.090407582848</v>
      </c>
      <c r="I10" s="0" t="n">
        <f aca="false">-I6*I9/100</f>
        <v>-344.501311658676</v>
      </c>
      <c r="J10" s="0" t="n">
        <f aca="false">-J6*J9/100</f>
        <v>-349.668831333557</v>
      </c>
      <c r="K10" s="0" t="n">
        <f aca="false">-K6*K9/100</f>
        <v>-354.91386380356</v>
      </c>
      <c r="L10" s="0" t="n">
        <f aca="false">-L6*L9/100</f>
        <v>-360.237571760613</v>
      </c>
    </row>
    <row r="11" customFormat="false" ht="15" hidden="false" customHeight="false" outlineLevel="0" collapsed="false">
      <c r="A11" s="0" t="s">
        <v>121</v>
      </c>
      <c r="C11" s="0" t="n">
        <f aca="false">C8+C10+C24</f>
        <v>12656.82915</v>
      </c>
      <c r="D11" s="0" t="n">
        <f aca="false">D8+D10+D24</f>
        <v>12744.723796875</v>
      </c>
      <c r="E11" s="0" t="n">
        <f aca="false">E8+E10+E24</f>
        <v>12280.8158506687</v>
      </c>
      <c r="F11" s="0" t="n">
        <f aca="false">F8+F10+F24</f>
        <v>11305.07979678</v>
      </c>
      <c r="G11" s="0" t="n">
        <f aca="false">G8+G10+G24</f>
        <v>10542.7944161971</v>
      </c>
      <c r="H11" s="0" t="n">
        <f aca="false">H8+H10+H24</f>
        <v>10542.7944161971</v>
      </c>
      <c r="I11" s="0" t="n">
        <f aca="false">I8+I10+I24</f>
        <v>10804.8138656585</v>
      </c>
      <c r="J11" s="0" t="n">
        <f aca="false">J8+J10+J24</f>
        <v>10966.8860736434</v>
      </c>
      <c r="K11" s="0" t="n">
        <f aca="false">K8+K10+K24</f>
        <v>11131.389364748</v>
      </c>
      <c r="L11" s="0" t="n">
        <f aca="false">L8+L10+L24</f>
        <v>11298.3602052192</v>
      </c>
    </row>
    <row r="12" customFormat="false" ht="15" hidden="false" customHeight="false" outlineLevel="0" collapsed="false">
      <c r="A12" s="0" t="s">
        <v>122</v>
      </c>
      <c r="C12" s="4" t="n">
        <f aca="false">-C6*Assumptions!C17/100</f>
        <v>-2611.72665</v>
      </c>
      <c r="D12" s="4" t="n">
        <f aca="false">-D6*Assumptions!D17/100</f>
        <v>-2650.90254975</v>
      </c>
      <c r="E12" s="4" t="n">
        <f aca="false">-E6*Assumptions!E17/100</f>
        <v>-2624.3935242525</v>
      </c>
      <c r="F12" s="4" t="n">
        <f aca="false">-F6*Assumptions!F17/100</f>
        <v>-2519.4177832824</v>
      </c>
      <c r="G12" s="4" t="n">
        <f aca="false">-G6*Assumptions!G17/100</f>
        <v>-2418.6410719511</v>
      </c>
      <c r="H12" s="4" t="n">
        <f aca="false">-H6*Assumptions!H17/100</f>
        <v>-2418.6410719511</v>
      </c>
      <c r="I12" s="4" t="n">
        <f aca="false">-I6*Assumptions!I17/100</f>
        <v>-2442.82748267061</v>
      </c>
      <c r="J12" s="4" t="n">
        <f aca="false">-J6*Assumptions!J17/100</f>
        <v>-2479.46989491067</v>
      </c>
      <c r="K12" s="4" t="n">
        <f aca="false">-K6*Assumptions!K17/100</f>
        <v>-2516.66194333433</v>
      </c>
      <c r="L12" s="4" t="n">
        <f aca="false">-L6*Assumptions!L17/100</f>
        <v>-2554.41187248435</v>
      </c>
    </row>
    <row r="13" customFormat="false" ht="15" hidden="false" customHeight="false" outlineLevel="0" collapsed="false">
      <c r="A13" s="0" t="s">
        <v>123</v>
      </c>
      <c r="C13" s="0" t="n">
        <f aca="false">C11+C12</f>
        <v>10045.1025</v>
      </c>
      <c r="D13" s="0" t="n">
        <f aca="false">D11+D12</f>
        <v>10093.821247125</v>
      </c>
      <c r="E13" s="0" t="n">
        <f aca="false">E11+E12</f>
        <v>9656.42232641625</v>
      </c>
      <c r="F13" s="0" t="n">
        <f aca="false">F11+F12</f>
        <v>8785.6620134976</v>
      </c>
      <c r="G13" s="0" t="n">
        <f aca="false">G11+G12</f>
        <v>8124.15334424601</v>
      </c>
      <c r="H13" s="0" t="n">
        <f aca="false">H11+H12</f>
        <v>8124.15334424601</v>
      </c>
      <c r="I13" s="0" t="n">
        <f aca="false">I11+I12</f>
        <v>8361.98638298787</v>
      </c>
      <c r="J13" s="0" t="n">
        <f aca="false">J11+J12</f>
        <v>8487.41617873269</v>
      </c>
      <c r="K13" s="0" t="n">
        <f aca="false">K11+K12</f>
        <v>8614.72742141368</v>
      </c>
      <c r="L13" s="0" t="n">
        <f aca="false">L11+L12</f>
        <v>8743.94833273488</v>
      </c>
    </row>
    <row r="14" customFormat="false" ht="15" hidden="false" customHeight="false" outlineLevel="0" collapsed="false">
      <c r="A14" s="0" t="s">
        <v>109</v>
      </c>
      <c r="C14" s="4" t="n">
        <f aca="false">Assumptions!C19</f>
        <v>24.5</v>
      </c>
      <c r="D14" s="4" t="n">
        <f aca="false">Assumptions!D19</f>
        <v>24.5</v>
      </c>
      <c r="E14" s="4" t="n">
        <f aca="false">Assumptions!E19</f>
        <v>24.5</v>
      </c>
      <c r="F14" s="4" t="n">
        <f aca="false">Assumptions!F19</f>
        <v>24.5</v>
      </c>
      <c r="G14" s="4" t="n">
        <f aca="false">Assumptions!G19</f>
        <v>24</v>
      </c>
      <c r="H14" s="4" t="n">
        <f aca="false">Assumptions!H19</f>
        <v>23.5</v>
      </c>
      <c r="I14" s="4" t="n">
        <f aca="false">Assumptions!I19</f>
        <v>23.5</v>
      </c>
      <c r="J14" s="4" t="n">
        <f aca="false">Assumptions!J19</f>
        <v>23.5</v>
      </c>
      <c r="K14" s="4" t="n">
        <f aca="false">Assumptions!K19</f>
        <v>23.5</v>
      </c>
      <c r="L14" s="4" t="n">
        <f aca="false">Assumptions!L19</f>
        <v>23.5</v>
      </c>
    </row>
    <row r="15" customFormat="false" ht="15" hidden="false" customHeight="false" outlineLevel="0" collapsed="false">
      <c r="A15" s="0" t="s">
        <v>124</v>
      </c>
      <c r="C15" s="0" t="n">
        <f aca="false">C13-MAX(0,C13)*C14/100</f>
        <v>7584.0523875</v>
      </c>
      <c r="D15" s="0" t="n">
        <f aca="false">D13-MAX(0,D13)*D14/100</f>
        <v>7620.83504157937</v>
      </c>
      <c r="E15" s="0" t="n">
        <f aca="false">E13-MAX(0,E13)*E14/100</f>
        <v>7290.59885644427</v>
      </c>
      <c r="F15" s="0" t="n">
        <f aca="false">F13-MAX(0,F13)*F14/100</f>
        <v>6633.17482019069</v>
      </c>
      <c r="G15" s="0" t="n">
        <f aca="false">G13-MAX(0,G13)*G14/100</f>
        <v>6174.35654162697</v>
      </c>
      <c r="H15" s="0" t="n">
        <f aca="false">H13-MAX(0,H13)*H14/100</f>
        <v>6214.9773083482</v>
      </c>
      <c r="I15" s="0" t="n">
        <f aca="false">I13-MAX(0,I13)*I14/100</f>
        <v>6396.91958298572</v>
      </c>
      <c r="J15" s="0" t="n">
        <f aca="false">J13-MAX(0,J13)*J14/100</f>
        <v>6492.87337673051</v>
      </c>
      <c r="K15" s="0" t="n">
        <f aca="false">K13-MAX(0,K13)*K14/100</f>
        <v>6590.26647738147</v>
      </c>
      <c r="L15" s="0" t="n">
        <f aca="false">L13-MAX(0,L13)*L14/100</f>
        <v>6689.12047454219</v>
      </c>
    </row>
    <row r="16" customFormat="false" ht="15" hidden="false" customHeight="false" outlineLevel="0" collapsed="false">
      <c r="A16" s="0" t="s">
        <v>125</v>
      </c>
      <c r="C16" s="0" t="n">
        <f aca="false">-C12</f>
        <v>2611.72665</v>
      </c>
      <c r="D16" s="0" t="n">
        <f aca="false">-D12</f>
        <v>2650.90254975</v>
      </c>
      <c r="E16" s="0" t="n">
        <f aca="false">-E12</f>
        <v>2624.3935242525</v>
      </c>
      <c r="F16" s="0" t="n">
        <f aca="false">-F12</f>
        <v>2519.4177832824</v>
      </c>
      <c r="G16" s="0" t="n">
        <f aca="false">-G12</f>
        <v>2418.6410719511</v>
      </c>
      <c r="H16" s="0" t="n">
        <f aca="false">-H12</f>
        <v>2418.6410719511</v>
      </c>
      <c r="I16" s="0" t="n">
        <f aca="false">-I12</f>
        <v>2442.82748267061</v>
      </c>
      <c r="J16" s="0" t="n">
        <f aca="false">-J12</f>
        <v>2479.46989491067</v>
      </c>
      <c r="K16" s="0" t="n">
        <f aca="false">-K12</f>
        <v>2516.66194333433</v>
      </c>
      <c r="L16" s="0" t="n">
        <f aca="false">-L12</f>
        <v>2554.41187248435</v>
      </c>
    </row>
    <row r="17" customFormat="false" ht="15" hidden="false" customHeight="false" outlineLevel="0" collapsed="false">
      <c r="A17" s="0" t="s">
        <v>126</v>
      </c>
      <c r="C17" s="4" t="n">
        <f aca="false">-C6*Assumptions!C18/100</f>
        <v>-3013.53075</v>
      </c>
      <c r="D17" s="4" t="n">
        <f aca="false">-D6*Assumptions!D18/100</f>
        <v>-3058.73371125</v>
      </c>
      <c r="E17" s="4" t="n">
        <f aca="false">-E6*Assumptions!E18/100</f>
        <v>-3028.1463741375</v>
      </c>
      <c r="F17" s="4" t="n">
        <f aca="false">-F6*Assumptions!F18/100</f>
        <v>-2907.020519172</v>
      </c>
      <c r="G17" s="4" t="n">
        <f aca="false">-G6*Assumptions!G18/100</f>
        <v>-2790.73969840512</v>
      </c>
      <c r="H17" s="4" t="n">
        <f aca="false">-H6*Assumptions!H18/100</f>
        <v>-2790.73969840512</v>
      </c>
      <c r="I17" s="4" t="n">
        <f aca="false">-I6*Assumptions!I18/100</f>
        <v>-2818.64709538917</v>
      </c>
      <c r="J17" s="4" t="n">
        <f aca="false">-J6*Assumptions!J18/100</f>
        <v>-2860.92680182001</v>
      </c>
      <c r="K17" s="4" t="n">
        <f aca="false">-K6*Assumptions!K18/100</f>
        <v>-2903.84070384731</v>
      </c>
      <c r="L17" s="4" t="n">
        <f aca="false">-L6*Assumptions!L18/100</f>
        <v>-2947.39831440502</v>
      </c>
    </row>
    <row r="18" customFormat="false" ht="15" hidden="false" customHeight="false" outlineLevel="0" collapsed="false">
      <c r="A18" s="0" t="s">
        <v>127</v>
      </c>
      <c r="C18" s="4" t="n">
        <f aca="false">(C6-B6)*Assumptions!$B$23/100</f>
        <v>-81.6674999999996</v>
      </c>
      <c r="D18" s="4" t="n">
        <f aca="false">(D6-C6)*Assumptions!$B$23/100</f>
        <v>-50.2255124999996</v>
      </c>
      <c r="E18" s="4" t="n">
        <f aca="false">(E6-D6)*Assumptions!$B$23/100</f>
        <v>33.9859301249999</v>
      </c>
      <c r="F18" s="4" t="n">
        <f aca="false">(F6-E6)*Assumptions!$B$23/100</f>
        <v>134.584283295</v>
      </c>
      <c r="G18" s="4" t="n">
        <f aca="false">(G6-F6)*Assumptions!$B$23/100</f>
        <v>129.2009119632</v>
      </c>
      <c r="H18" s="4" t="n">
        <f aca="false">(H6-G6)*Assumptions!$B$23/100</f>
        <v>-0</v>
      </c>
      <c r="I18" s="4" t="n">
        <f aca="false">(I6-H6)*Assumptions!$B$23/100</f>
        <v>-31.008218871168</v>
      </c>
      <c r="J18" s="4" t="n">
        <f aca="false">(J6-I6)*Assumptions!$B$23/100</f>
        <v>-46.9774515898192</v>
      </c>
      <c r="K18" s="4" t="n">
        <f aca="false">(K6-J6)*Assumptions!$B$23/100</f>
        <v>-47.6821133636666</v>
      </c>
      <c r="L18" s="4" t="n">
        <f aca="false">(L6-K6)*Assumptions!$B$23/100</f>
        <v>-48.3973450641213</v>
      </c>
    </row>
    <row r="19" customFormat="false" ht="15" hidden="false" customHeight="false" outlineLevel="0" collapsed="false">
      <c r="A19" s="0" t="s">
        <v>128</v>
      </c>
      <c r="C19" s="0" t="n">
        <f aca="false">C15+C16+C17+C18</f>
        <v>7100.5807875</v>
      </c>
      <c r="D19" s="0" t="n">
        <f aca="false">D15+D16+D17+D18</f>
        <v>7162.77836757937</v>
      </c>
      <c r="E19" s="0" t="n">
        <f aca="false">E15+E16+E17+E18</f>
        <v>6920.83193668427</v>
      </c>
      <c r="F19" s="0" t="n">
        <f aca="false">F15+F16+F17+F18</f>
        <v>6380.15636759609</v>
      </c>
      <c r="G19" s="0" t="n">
        <f aca="false">G15+G16+G17+G18</f>
        <v>5931.45882713616</v>
      </c>
      <c r="H19" s="0" t="n">
        <f aca="false">H15+H16+H17+H18</f>
        <v>5842.87868189418</v>
      </c>
      <c r="I19" s="0" t="n">
        <f aca="false">I15+I16+I17+I18</f>
        <v>5990.091751396</v>
      </c>
      <c r="J19" s="0" t="n">
        <f aca="false">J15+J16+J17+J18</f>
        <v>6064.43901823136</v>
      </c>
      <c r="K19" s="0" t="n">
        <f aca="false">K15+K16+K17+K18</f>
        <v>6155.40560350482</v>
      </c>
      <c r="L19" s="0" t="n">
        <f aca="false">L15+L16+L17+L18</f>
        <v>6247.7366875574</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6636.05681074766</v>
      </c>
      <c r="D21" s="0" t="n">
        <f aca="false">D19*D20</f>
        <v>6256.2480282814</v>
      </c>
      <c r="E21" s="0" t="n">
        <f aca="false">E19*E20</f>
        <v>5649.46041623377</v>
      </c>
      <c r="F21" s="0" t="n">
        <f aca="false">F19*F20</f>
        <v>4867.39074495358</v>
      </c>
      <c r="G21" s="0" t="n">
        <f aca="false">G19*G20</f>
        <v>4229.04816792449</v>
      </c>
      <c r="H21" s="0" t="n">
        <f aca="false">H19*H20</f>
        <v>3893.35677438346</v>
      </c>
      <c r="I21" s="0" t="n">
        <f aca="false">I19*I20</f>
        <v>3730.32809204688</v>
      </c>
      <c r="J21" s="0" t="n">
        <f aca="false">J19*J20</f>
        <v>3529.55872269011</v>
      </c>
      <c r="K21" s="0" t="n">
        <f aca="false">K19*K20</f>
        <v>3348.13280703781</v>
      </c>
      <c r="L21" s="0" t="n">
        <f aca="false">L19*L20</f>
        <v>3176.03252256391</v>
      </c>
    </row>
    <row r="23" customFormat="false" ht="15" hidden="false" customHeight="false" outlineLevel="0" collapsed="false">
      <c r="A23" s="0" t="s">
        <v>106</v>
      </c>
      <c r="C23" s="4" t="n">
        <f aca="false">Assumptions!C16</f>
        <v>0.9</v>
      </c>
      <c r="D23" s="4" t="n">
        <f aca="false">Assumptions!D16</f>
        <v>0.9</v>
      </c>
      <c r="E23" s="4" t="n">
        <f aca="false">Assumptions!E16</f>
        <v>0.9</v>
      </c>
      <c r="F23" s="4" t="n">
        <f aca="false">Assumptions!F16</f>
        <v>0.9</v>
      </c>
      <c r="G23" s="4" t="n">
        <f aca="false">Assumptions!G16</f>
        <v>0.9</v>
      </c>
      <c r="H23" s="4" t="n">
        <f aca="false">Assumptions!H16</f>
        <v>0.9</v>
      </c>
      <c r="I23" s="4" t="n">
        <f aca="false">Assumptions!I16</f>
        <v>0.9</v>
      </c>
      <c r="J23" s="4" t="n">
        <f aca="false">Assumptions!J16</f>
        <v>0.9</v>
      </c>
      <c r="K23" s="4" t="n">
        <f aca="false">Assumptions!K16</f>
        <v>0.9</v>
      </c>
      <c r="L23" s="4" t="n">
        <f aca="false">Assumptions!L16</f>
        <v>0.9</v>
      </c>
    </row>
    <row r="24" customFormat="false" ht="15" hidden="false" customHeight="false" outlineLevel="0" collapsed="false">
      <c r="A24" s="0" t="s">
        <v>131</v>
      </c>
      <c r="C24" s="0" t="n">
        <f aca="false">-C6*C23/100</f>
        <v>-301.353075</v>
      </c>
      <c r="D24" s="0" t="n">
        <f aca="false">-D6*D23/100</f>
        <v>-305.873371125</v>
      </c>
      <c r="E24" s="0" t="n">
        <f aca="false">-E6*E23/100</f>
        <v>-302.81463741375</v>
      </c>
      <c r="F24" s="0" t="n">
        <f aca="false">-F6*F23/100</f>
        <v>-290.7020519172</v>
      </c>
      <c r="G24" s="0" t="n">
        <f aca="false">-G6*G23/100</f>
        <v>-279.073969840512</v>
      </c>
      <c r="H24" s="0" t="n">
        <f aca="false">-H6*H23/100</f>
        <v>-279.073969840512</v>
      </c>
      <c r="I24" s="0" t="n">
        <f aca="false">-I6*I23/100</f>
        <v>-281.864709538917</v>
      </c>
      <c r="J24" s="0" t="n">
        <f aca="false">-J6*J23/100</f>
        <v>-286.092680182001</v>
      </c>
      <c r="K24" s="0" t="n">
        <f aca="false">-K6*K23/100</f>
        <v>-290.384070384731</v>
      </c>
      <c r="L24" s="0" t="n">
        <f aca="false">-L6*L23/100</f>
        <v>-294.739831440502</v>
      </c>
    </row>
    <row r="26" customFormat="false" ht="15" hidden="false" customHeight="false" outlineLevel="0" collapsed="false">
      <c r="A26" s="2" t="s">
        <v>132</v>
      </c>
    </row>
    <row r="27" customFormat="false" ht="15" hidden="false" customHeight="false" outlineLevel="0" collapsed="false">
      <c r="A27" s="0" t="s">
        <v>110</v>
      </c>
      <c r="B27" s="4" t="n">
        <f aca="false">Assumptions!$B$20</f>
        <v>7</v>
      </c>
    </row>
    <row r="28" customFormat="false" ht="15" hidden="false" customHeight="false" outlineLevel="0" collapsed="false">
      <c r="A28" s="0" t="s">
        <v>111</v>
      </c>
      <c r="B28" s="4" t="n">
        <f aca="false">Assumptions!$B$21</f>
        <v>1.5</v>
      </c>
    </row>
    <row r="29" customFormat="false" ht="15" hidden="false" customHeight="false" outlineLevel="0" collapsed="false">
      <c r="A29" s="0" t="s">
        <v>112</v>
      </c>
      <c r="B29" s="4" t="n">
        <f aca="false">Assumptions!$B$22</f>
        <v>12</v>
      </c>
    </row>
    <row r="30" customFormat="false" ht="15" hidden="false" customHeight="false" outlineLevel="0" collapsed="false">
      <c r="A30" s="0" t="s">
        <v>133</v>
      </c>
      <c r="B30" s="0" t="n">
        <f aca="false">SUM(C21:L21)</f>
        <v>45315.6130868631</v>
      </c>
    </row>
    <row r="31" customFormat="false" ht="15" hidden="false" customHeight="false" outlineLevel="0" collapsed="false">
      <c r="A31" s="0" t="s">
        <v>134</v>
      </c>
      <c r="B31" s="0" t="n">
        <f aca="false">L19</f>
        <v>6247.7366875574</v>
      </c>
    </row>
    <row r="32" customFormat="false" ht="15" hidden="false" customHeight="false" outlineLevel="0" collapsed="false">
      <c r="A32" s="0" t="s">
        <v>135</v>
      </c>
      <c r="B32" s="0" t="n">
        <f aca="false">IF(B27&gt;B28,B31*(1+B28/100)/((B27-B28)/100),B31*B29)</f>
        <v>115299.140688559</v>
      </c>
    </row>
    <row r="33" customFormat="false" ht="15" hidden="false" customHeight="false" outlineLevel="0" collapsed="false">
      <c r="A33" s="0" t="s">
        <v>136</v>
      </c>
      <c r="B33" s="0" t="n">
        <f aca="false">B31*B29</f>
        <v>74972.8402506888</v>
      </c>
    </row>
    <row r="34" customFormat="false" ht="15" hidden="false" customHeight="false" outlineLevel="0" collapsed="false">
      <c r="A34" s="0" t="s">
        <v>137</v>
      </c>
      <c r="B34" s="0" t="n">
        <f aca="false">MAX(0,MIN(B32,B33))</f>
        <v>74972.8402506888</v>
      </c>
    </row>
    <row r="35" customFormat="false" ht="15" hidden="false" customHeight="false" outlineLevel="0" collapsed="false">
      <c r="A35" s="0" t="s">
        <v>138</v>
      </c>
      <c r="B35" s="0" t="n">
        <f aca="false">B34/(1+B27/100)^L4</f>
        <v>38112.3902707669</v>
      </c>
    </row>
    <row r="36" customFormat="false" ht="15" hidden="false" customHeight="false" outlineLevel="0" collapsed="false">
      <c r="A36" s="0" t="s">
        <v>139</v>
      </c>
      <c r="B36" s="0" t="n">
        <f aca="false">B30+B35</f>
        <v>83428.00335763</v>
      </c>
    </row>
    <row r="37" customFormat="false" ht="15" hidden="false" customHeight="false" outlineLevel="0" collapsed="false">
      <c r="A37" s="0" t="s">
        <v>140</v>
      </c>
      <c r="B37" s="0" t="n">
        <f aca="false">B36+Assumptions!$B$5-Assumptions!$B$4</f>
        <v>54754.00335763</v>
      </c>
    </row>
    <row r="38" customFormat="false" ht="15" hidden="false" customHeight="false" outlineLevel="0" collapsed="false">
      <c r="A38" s="0" t="s">
        <v>141</v>
      </c>
      <c r="B38" s="0" t="n">
        <f aca="false">B37/Assumptions!$B$3*Assumptions!$B$10</f>
        <v>1347.95675424988</v>
      </c>
    </row>
    <row r="39" customFormat="false" ht="15" hidden="false" customHeight="false" outlineLevel="0" collapsed="false">
      <c r="A39" s="0" t="s">
        <v>142</v>
      </c>
      <c r="B39" s="4" t="n">
        <f aca="false">B38/Assumptions!$B$2-1</f>
        <v>-0.229738997571499</v>
      </c>
    </row>
    <row r="41" customFormat="false" ht="15" hidden="false" customHeight="false" outlineLevel="0" collapsed="false">
      <c r="A41" s="0" t="s">
        <v>143</v>
      </c>
      <c r="B41" s="0" t="n">
        <f aca="false">SUMPRODUCT(-C10:L10/(1+$B$27/100)^C4:L4)</f>
        <v>2508.63193424381</v>
      </c>
    </row>
    <row r="42" customFormat="false" ht="15" hidden="false" customHeight="false" outlineLevel="0" collapsed="false">
      <c r="A42" s="0" t="s">
        <v>144</v>
      </c>
      <c r="B42" s="0" t="n">
        <f aca="false">IF(B27&gt;B28,-L10*(1+B28/100)/((B27-B28)/100),-L10*20)/(1+B27/100)^L4</f>
        <v>3379.51658770745</v>
      </c>
    </row>
    <row r="43" customFormat="false" ht="15" hidden="false" customHeight="false" outlineLevel="0" collapsed="false">
      <c r="A43" s="0" t="s">
        <v>145</v>
      </c>
      <c r="B43" s="0" t="n">
        <f aca="false">(B37+B41+B42)/Assumptions!$B$3*Assumptions!$B$10</f>
        <v>1492.91363563715</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46973.7239842278</v>
      </c>
    </row>
    <row r="47" customFormat="false" ht="15" hidden="false" customHeight="false" outlineLevel="0" collapsed="false">
      <c r="A47" s="0" t="s">
        <v>147</v>
      </c>
      <c r="B47" s="0" t="n">
        <f aca="false">(SUMPRODUCT(C19:L19/(1+B45/100)^C4:L4)+B46/(1+B45/100)^L4+Assumptions!$B$5-Assumptions!$B$4)/Assumptions!$B$3*Assumptions!$B$10</f>
        <v>387.238253388156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3</v>
      </c>
      <c r="D5" s="4" t="n">
        <f aca="false">Assumptions!D27</f>
        <v>4</v>
      </c>
      <c r="E5" s="4" t="n">
        <f aca="false">Assumptions!E27</f>
        <v>3</v>
      </c>
      <c r="F5" s="4" t="n">
        <f aca="false">Assumptions!F27</f>
        <v>1.5</v>
      </c>
      <c r="G5" s="4" t="n">
        <f aca="false">Assumptions!G27</f>
        <v>1.5</v>
      </c>
      <c r="H5" s="4" t="n">
        <f aca="false">Assumptions!H27</f>
        <v>3.5</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38</v>
      </c>
      <c r="B6" s="3" t="n">
        <v>32667</v>
      </c>
      <c r="C6" s="0" t="n">
        <f aca="false">B6*(1+C5/100)</f>
        <v>33647.01</v>
      </c>
      <c r="D6" s="0" t="n">
        <f aca="false">C6*(1+D5/100)</f>
        <v>34992.8904</v>
      </c>
      <c r="E6" s="0" t="n">
        <f aca="false">D6*(1+E5/100)</f>
        <v>36042.677112</v>
      </c>
      <c r="F6" s="0" t="n">
        <f aca="false">E6*(1+F5/100)</f>
        <v>36583.31726868</v>
      </c>
      <c r="G6" s="0" t="n">
        <f aca="false">F6*(1+G5/100)</f>
        <v>37132.0670277102</v>
      </c>
      <c r="H6" s="0" t="n">
        <f aca="false">G6*(1+H5/100)</f>
        <v>38431.6893736801</v>
      </c>
      <c r="I6" s="0" t="n">
        <f aca="false">H6*(1+I5/100)</f>
        <v>39776.7985017588</v>
      </c>
      <c r="J6" s="0" t="n">
        <f aca="false">I6*(1+J5/100)</f>
        <v>40970.1024568116</v>
      </c>
      <c r="K6" s="0" t="n">
        <f aca="false">J6*(1+K5/100)</f>
        <v>41994.3550182319</v>
      </c>
      <c r="L6" s="0" t="n">
        <f aca="false">K6*(1+L5/100)</f>
        <v>43044.2138936877</v>
      </c>
    </row>
    <row r="7" customFormat="false" ht="15" hidden="false" customHeight="false" outlineLevel="0" collapsed="false">
      <c r="A7" s="0" t="s">
        <v>104</v>
      </c>
      <c r="C7" s="4" t="n">
        <f aca="false">Assumptions!C28</f>
        <v>40.2</v>
      </c>
      <c r="D7" s="4" t="n">
        <f aca="false">Assumptions!D28</f>
        <v>40.6</v>
      </c>
      <c r="E7" s="4" t="n">
        <f aca="false">Assumptions!E28</f>
        <v>40.6</v>
      </c>
      <c r="F7" s="4" t="n">
        <f aca="false">Assumptions!F28</f>
        <v>40.2</v>
      </c>
      <c r="G7" s="4" t="n">
        <f aca="false">Assumptions!G28</f>
        <v>40</v>
      </c>
      <c r="H7" s="4" t="n">
        <f aca="false">Assumptions!H28</f>
        <v>40.3</v>
      </c>
      <c r="I7" s="4" t="n">
        <f aca="false">Assumptions!I28</f>
        <v>40.5</v>
      </c>
      <c r="J7" s="4" t="n">
        <f aca="false">Assumptions!J28</f>
        <v>40.5</v>
      </c>
      <c r="K7" s="4" t="n">
        <f aca="false">Assumptions!K28</f>
        <v>40.5</v>
      </c>
      <c r="L7" s="4" t="n">
        <f aca="false">Assumptions!L28</f>
        <v>40.5</v>
      </c>
    </row>
    <row r="8" customFormat="false" ht="15" hidden="false" customHeight="false" outlineLevel="0" collapsed="false">
      <c r="A8" s="0" t="s">
        <v>44</v>
      </c>
      <c r="C8" s="0" t="n">
        <f aca="false">C6*C7/100</f>
        <v>13526.09802</v>
      </c>
      <c r="D8" s="0" t="n">
        <f aca="false">D6*D7/100</f>
        <v>14207.1135024</v>
      </c>
      <c r="E8" s="0" t="n">
        <f aca="false">E6*E7/100</f>
        <v>14633.326907472</v>
      </c>
      <c r="F8" s="0" t="n">
        <f aca="false">F6*F7/100</f>
        <v>14706.4935420094</v>
      </c>
      <c r="G8" s="0" t="n">
        <f aca="false">G6*G7/100</f>
        <v>14852.8268110841</v>
      </c>
      <c r="H8" s="0" t="n">
        <f aca="false">H6*H7/100</f>
        <v>15487.9708175931</v>
      </c>
      <c r="I8" s="0" t="n">
        <f aca="false">I6*I7/100</f>
        <v>16109.6033932123</v>
      </c>
      <c r="J8" s="0" t="n">
        <f aca="false">J6*J7/100</f>
        <v>16592.8914950087</v>
      </c>
      <c r="K8" s="0" t="n">
        <f aca="false">K6*K7/100</f>
        <v>17007.7137823839</v>
      </c>
      <c r="L8" s="0" t="n">
        <f aca="false">L6*L7/100</f>
        <v>17432.9066269435</v>
      </c>
    </row>
    <row r="9" customFormat="false" ht="15" hidden="false" customHeight="false" outlineLevel="0" collapsed="false">
      <c r="A9" s="0" t="s">
        <v>105</v>
      </c>
      <c r="C9" s="4" t="n">
        <f aca="false">Assumptions!C29</f>
        <v>1.1</v>
      </c>
      <c r="D9" s="4" t="n">
        <f aca="false">Assumptions!D29</f>
        <v>1.1</v>
      </c>
      <c r="E9" s="4" t="n">
        <f aca="false">Assumptions!E29</f>
        <v>1.1</v>
      </c>
      <c r="F9" s="4" t="n">
        <f aca="false">Assumptions!F29</f>
        <v>1.1</v>
      </c>
      <c r="G9" s="4" t="n">
        <f aca="false">Assumptions!G29</f>
        <v>1.1</v>
      </c>
      <c r="H9" s="4" t="n">
        <f aca="false">Assumptions!H29</f>
        <v>1.1</v>
      </c>
      <c r="I9" s="4" t="n">
        <f aca="false">Assumptions!I29</f>
        <v>1.1</v>
      </c>
      <c r="J9" s="4" t="n">
        <f aca="false">Assumptions!J29</f>
        <v>1.1</v>
      </c>
      <c r="K9" s="4" t="n">
        <f aca="false">Assumptions!K29</f>
        <v>1.1</v>
      </c>
      <c r="L9" s="4" t="n">
        <f aca="false">Assumptions!L29</f>
        <v>1.1</v>
      </c>
    </row>
    <row r="10" customFormat="false" ht="15" hidden="false" customHeight="false" outlineLevel="0" collapsed="false">
      <c r="A10" s="0" t="s">
        <v>120</v>
      </c>
      <c r="C10" s="0" t="n">
        <f aca="false">-C6*C9/100</f>
        <v>-370.11711</v>
      </c>
      <c r="D10" s="0" t="n">
        <f aca="false">-D6*D9/100</f>
        <v>-384.9217944</v>
      </c>
      <c r="E10" s="0" t="n">
        <f aca="false">-E6*E9/100</f>
        <v>-396.469448232</v>
      </c>
      <c r="F10" s="0" t="n">
        <f aca="false">-F6*F9/100</f>
        <v>-402.41648995548</v>
      </c>
      <c r="G10" s="0" t="n">
        <f aca="false">-G6*G9/100</f>
        <v>-408.452737304812</v>
      </c>
      <c r="H10" s="0" t="n">
        <f aca="false">-H6*H9/100</f>
        <v>-422.748583110481</v>
      </c>
      <c r="I10" s="0" t="n">
        <f aca="false">-I6*I9/100</f>
        <v>-437.544783519347</v>
      </c>
      <c r="J10" s="0" t="n">
        <f aca="false">-J6*J9/100</f>
        <v>-450.671127024928</v>
      </c>
      <c r="K10" s="0" t="n">
        <f aca="false">-K6*K9/100</f>
        <v>-461.937905200551</v>
      </c>
      <c r="L10" s="0" t="n">
        <f aca="false">-L6*L9/100</f>
        <v>-473.486352830565</v>
      </c>
    </row>
    <row r="11" customFormat="false" ht="15" hidden="false" customHeight="false" outlineLevel="0" collapsed="false">
      <c r="A11" s="0" t="s">
        <v>121</v>
      </c>
      <c r="C11" s="0" t="n">
        <f aca="false">C8+C10+C24</f>
        <v>12853.15782</v>
      </c>
      <c r="D11" s="0" t="n">
        <f aca="false">D8+D10+D24</f>
        <v>13507.2556944</v>
      </c>
      <c r="E11" s="0" t="n">
        <f aca="false">E8+E10+E24</f>
        <v>13912.473365232</v>
      </c>
      <c r="F11" s="0" t="n">
        <f aca="false">F8+F10+F24</f>
        <v>13974.8271966358</v>
      </c>
      <c r="G11" s="0" t="n">
        <f aca="false">G8+G10+G24</f>
        <v>14110.1854705299</v>
      </c>
      <c r="H11" s="0" t="n">
        <f aca="false">H8+H10+H24</f>
        <v>14719.3370301195</v>
      </c>
      <c r="I11" s="0" t="n">
        <f aca="false">I8+I10+I24</f>
        <v>15314.0674231772</v>
      </c>
      <c r="J11" s="0" t="n">
        <f aca="false">J8+J10+J24</f>
        <v>15773.4894458725</v>
      </c>
      <c r="K11" s="0" t="n">
        <f aca="false">K8+K10+K24</f>
        <v>16167.8266820193</v>
      </c>
      <c r="L11" s="0" t="n">
        <f aca="false">L8+L10+L24</f>
        <v>16572.0223490698</v>
      </c>
    </row>
    <row r="12" customFormat="false" ht="15" hidden="false" customHeight="false" outlineLevel="0" collapsed="false">
      <c r="A12" s="0" t="s">
        <v>122</v>
      </c>
      <c r="C12" s="4" t="n">
        <f aca="false">-C6*Assumptions!C31/100</f>
        <v>-2624.46678</v>
      </c>
      <c r="D12" s="4" t="n">
        <f aca="false">-D6*Assumptions!D31/100</f>
        <v>-2729.4454512</v>
      </c>
      <c r="E12" s="4" t="n">
        <f aca="false">-E6*Assumptions!E31/100</f>
        <v>-2811.328814736</v>
      </c>
      <c r="F12" s="4" t="n">
        <f aca="false">-F6*Assumptions!F31/100</f>
        <v>-2853.49874695704</v>
      </c>
      <c r="G12" s="4" t="n">
        <f aca="false">-G6*Assumptions!G31/100</f>
        <v>-2896.3012281614</v>
      </c>
      <c r="H12" s="4" t="n">
        <f aca="false">-H6*Assumptions!H31/100</f>
        <v>-2997.67177114704</v>
      </c>
      <c r="I12" s="4" t="n">
        <f aca="false">-I6*Assumptions!I31/100</f>
        <v>-3102.59028313719</v>
      </c>
      <c r="J12" s="4" t="n">
        <f aca="false">-J6*Assumptions!J31/100</f>
        <v>-3195.66799163131</v>
      </c>
      <c r="K12" s="4" t="n">
        <f aca="false">-K6*Assumptions!K31/100</f>
        <v>-3275.55969142209</v>
      </c>
      <c r="L12" s="4" t="n">
        <f aca="false">-L6*Assumptions!L31/100</f>
        <v>-3357.44868370764</v>
      </c>
    </row>
    <row r="13" customFormat="false" ht="15" hidden="false" customHeight="false" outlineLevel="0" collapsed="false">
      <c r="A13" s="0" t="s">
        <v>123</v>
      </c>
      <c r="C13" s="0" t="n">
        <f aca="false">C11+C12</f>
        <v>10228.69104</v>
      </c>
      <c r="D13" s="0" t="n">
        <f aca="false">D11+D12</f>
        <v>10777.8102432</v>
      </c>
      <c r="E13" s="0" t="n">
        <f aca="false">E11+E12</f>
        <v>11101.144550496</v>
      </c>
      <c r="F13" s="0" t="n">
        <f aca="false">F11+F12</f>
        <v>11121.3284496787</v>
      </c>
      <c r="G13" s="0" t="n">
        <f aca="false">G11+G12</f>
        <v>11213.8842423685</v>
      </c>
      <c r="H13" s="0" t="n">
        <f aca="false">H11+H12</f>
        <v>11721.6652589724</v>
      </c>
      <c r="I13" s="0" t="n">
        <f aca="false">I11+I12</f>
        <v>12211.47714004</v>
      </c>
      <c r="J13" s="0" t="n">
        <f aca="false">J11+J12</f>
        <v>12577.8214542412</v>
      </c>
      <c r="K13" s="0" t="n">
        <f aca="false">K11+K12</f>
        <v>12892.2669905972</v>
      </c>
      <c r="L13" s="0" t="n">
        <f aca="false">L11+L12</f>
        <v>13214.5736653621</v>
      </c>
    </row>
    <row r="14" customFormat="false" ht="15" hidden="false" customHeight="false" outlineLevel="0" collapsed="false">
      <c r="A14" s="0" t="s">
        <v>109</v>
      </c>
      <c r="C14" s="4" t="n">
        <f aca="false">Assumptions!C33</f>
        <v>24.5</v>
      </c>
      <c r="D14" s="4" t="n">
        <f aca="false">Assumptions!D33</f>
        <v>24.5</v>
      </c>
      <c r="E14" s="4" t="n">
        <f aca="false">Assumptions!E33</f>
        <v>24.5</v>
      </c>
      <c r="F14" s="4" t="n">
        <f aca="false">Assumptions!F33</f>
        <v>24.5</v>
      </c>
      <c r="G14" s="4" t="n">
        <f aca="false">Assumptions!G33</f>
        <v>24</v>
      </c>
      <c r="H14" s="4" t="n">
        <f aca="false">Assumptions!H33</f>
        <v>23.5</v>
      </c>
      <c r="I14" s="4" t="n">
        <f aca="false">Assumptions!I33</f>
        <v>23.5</v>
      </c>
      <c r="J14" s="4" t="n">
        <f aca="false">Assumptions!J33</f>
        <v>23.5</v>
      </c>
      <c r="K14" s="4" t="n">
        <f aca="false">Assumptions!K33</f>
        <v>23.5</v>
      </c>
      <c r="L14" s="4" t="n">
        <f aca="false">Assumptions!L33</f>
        <v>23.5</v>
      </c>
    </row>
    <row r="15" customFormat="false" ht="15" hidden="false" customHeight="false" outlineLevel="0" collapsed="false">
      <c r="A15" s="0" t="s">
        <v>124</v>
      </c>
      <c r="C15" s="0" t="n">
        <f aca="false">C13-MAX(0,C13)*C14/100</f>
        <v>7722.6617352</v>
      </c>
      <c r="D15" s="0" t="n">
        <f aca="false">D13-MAX(0,D13)*D14/100</f>
        <v>8137.246733616</v>
      </c>
      <c r="E15" s="0" t="n">
        <f aca="false">E13-MAX(0,E13)*E14/100</f>
        <v>8381.36413562448</v>
      </c>
      <c r="F15" s="0" t="n">
        <f aca="false">F13-MAX(0,F13)*F14/100</f>
        <v>8396.60297950743</v>
      </c>
      <c r="G15" s="0" t="n">
        <f aca="false">G13-MAX(0,G13)*G14/100</f>
        <v>8522.55202420005</v>
      </c>
      <c r="H15" s="0" t="n">
        <f aca="false">H13-MAX(0,H13)*H14/100</f>
        <v>8967.0739231139</v>
      </c>
      <c r="I15" s="0" t="n">
        <f aca="false">I13-MAX(0,I13)*I14/100</f>
        <v>9341.78001213057</v>
      </c>
      <c r="J15" s="0" t="n">
        <f aca="false">J13-MAX(0,J13)*J14/100</f>
        <v>9622.03341249449</v>
      </c>
      <c r="K15" s="0" t="n">
        <f aca="false">K13-MAX(0,K13)*K14/100</f>
        <v>9862.58424780686</v>
      </c>
      <c r="L15" s="0" t="n">
        <f aca="false">L13-MAX(0,L13)*L14/100</f>
        <v>10109.148854002</v>
      </c>
    </row>
    <row r="16" customFormat="false" ht="15" hidden="false" customHeight="false" outlineLevel="0" collapsed="false">
      <c r="A16" s="0" t="s">
        <v>125</v>
      </c>
      <c r="C16" s="0" t="n">
        <f aca="false">-C12</f>
        <v>2624.46678</v>
      </c>
      <c r="D16" s="0" t="n">
        <f aca="false">-D12</f>
        <v>2729.4454512</v>
      </c>
      <c r="E16" s="0" t="n">
        <f aca="false">-E12</f>
        <v>2811.328814736</v>
      </c>
      <c r="F16" s="0" t="n">
        <f aca="false">-F12</f>
        <v>2853.49874695704</v>
      </c>
      <c r="G16" s="0" t="n">
        <f aca="false">-G12</f>
        <v>2896.3012281614</v>
      </c>
      <c r="H16" s="0" t="n">
        <f aca="false">-H12</f>
        <v>2997.67177114704</v>
      </c>
      <c r="I16" s="0" t="n">
        <f aca="false">-I12</f>
        <v>3102.59028313719</v>
      </c>
      <c r="J16" s="0" t="n">
        <f aca="false">-J12</f>
        <v>3195.66799163131</v>
      </c>
      <c r="K16" s="0" t="n">
        <f aca="false">-K12</f>
        <v>3275.55969142209</v>
      </c>
      <c r="L16" s="0" t="n">
        <f aca="false">-L12</f>
        <v>3357.44868370764</v>
      </c>
    </row>
    <row r="17" customFormat="false" ht="15" hidden="false" customHeight="false" outlineLevel="0" collapsed="false">
      <c r="A17" s="0" t="s">
        <v>126</v>
      </c>
      <c r="C17" s="4" t="n">
        <f aca="false">-C6*Assumptions!C32/100</f>
        <v>-3028.2309</v>
      </c>
      <c r="D17" s="4" t="n">
        <f aca="false">-D6*Assumptions!D32/100</f>
        <v>-3149.360136</v>
      </c>
      <c r="E17" s="4" t="n">
        <f aca="false">-E6*Assumptions!E32/100</f>
        <v>-3243.84094008</v>
      </c>
      <c r="F17" s="4" t="n">
        <f aca="false">-F6*Assumptions!F32/100</f>
        <v>-3292.4985541812</v>
      </c>
      <c r="G17" s="4" t="n">
        <f aca="false">-G6*Assumptions!G32/100</f>
        <v>-3341.88603249392</v>
      </c>
      <c r="H17" s="4" t="n">
        <f aca="false">-H6*Assumptions!H32/100</f>
        <v>-3458.8520436312</v>
      </c>
      <c r="I17" s="4" t="n">
        <f aca="false">-I6*Assumptions!I32/100</f>
        <v>-3579.9118651583</v>
      </c>
      <c r="J17" s="4" t="n">
        <f aca="false">-J6*Assumptions!J32/100</f>
        <v>-3687.30922111304</v>
      </c>
      <c r="K17" s="4" t="n">
        <f aca="false">-K6*Assumptions!K32/100</f>
        <v>-3779.49195164087</v>
      </c>
      <c r="L17" s="4" t="n">
        <f aca="false">-L6*Assumptions!L32/100</f>
        <v>-3873.97925043189</v>
      </c>
    </row>
    <row r="18" customFormat="false" ht="15" hidden="false" customHeight="false" outlineLevel="0" collapsed="false">
      <c r="A18" s="0" t="s">
        <v>127</v>
      </c>
      <c r="C18" s="4" t="n">
        <f aca="false">(C6-B6)*Assumptions!$B$37/100</f>
        <v>-98.0010000000002</v>
      </c>
      <c r="D18" s="4" t="n">
        <f aca="false">(D6-C6)*Assumptions!$B$37/100</f>
        <v>-134.58804</v>
      </c>
      <c r="E18" s="4" t="n">
        <f aca="false">(E6-D6)*Assumptions!$B$37/100</f>
        <v>-104.9786712</v>
      </c>
      <c r="F18" s="4" t="n">
        <f aca="false">(F6-E6)*Assumptions!$B$37/100</f>
        <v>-54.0640156679998</v>
      </c>
      <c r="G18" s="4" t="n">
        <f aca="false">(G6-F6)*Assumptions!$B$37/100</f>
        <v>-54.8749759030194</v>
      </c>
      <c r="H18" s="4" t="n">
        <f aca="false">(H6-G6)*Assumptions!$B$37/100</f>
        <v>-129.962234596985</v>
      </c>
      <c r="I18" s="4" t="n">
        <f aca="false">(I6-H6)*Assumptions!$B$37/100</f>
        <v>-134.51091280788</v>
      </c>
      <c r="J18" s="4" t="n">
        <f aca="false">(J6-I6)*Assumptions!$B$37/100</f>
        <v>-119.330395505277</v>
      </c>
      <c r="K18" s="4" t="n">
        <f aca="false">(K6-J6)*Assumptions!$B$37/100</f>
        <v>-102.425256142029</v>
      </c>
      <c r="L18" s="4" t="n">
        <f aca="false">(L6-K6)*Assumptions!$B$37/100</f>
        <v>-104.985887545579</v>
      </c>
    </row>
    <row r="19" customFormat="false" ht="15" hidden="false" customHeight="false" outlineLevel="0" collapsed="false">
      <c r="A19" s="0" t="s">
        <v>128</v>
      </c>
      <c r="C19" s="0" t="n">
        <f aca="false">C15+C16+C17+C18</f>
        <v>7220.8966152</v>
      </c>
      <c r="D19" s="0" t="n">
        <f aca="false">D15+D16+D17+D18</f>
        <v>7582.744008816</v>
      </c>
      <c r="E19" s="0" t="n">
        <f aca="false">E15+E16+E17+E18</f>
        <v>7843.87333908048</v>
      </c>
      <c r="F19" s="0" t="n">
        <f aca="false">F15+F16+F17+F18</f>
        <v>7903.53915661527</v>
      </c>
      <c r="G19" s="0" t="n">
        <f aca="false">G15+G16+G17+G18</f>
        <v>8022.0922439645</v>
      </c>
      <c r="H19" s="0" t="n">
        <f aca="false">H15+H16+H17+H18</f>
        <v>8375.93141603275</v>
      </c>
      <c r="I19" s="0" t="n">
        <f aca="false">I15+I16+I17+I18</f>
        <v>8729.94751730159</v>
      </c>
      <c r="J19" s="0" t="n">
        <f aca="false">J15+J16+J17+J18</f>
        <v>9011.06178750748</v>
      </c>
      <c r="K19" s="0" t="n">
        <f aca="false">K15+K16+K17+K18</f>
        <v>9256.22673144604</v>
      </c>
      <c r="L19" s="0" t="n">
        <f aca="false">L15+L16+L17+L18</f>
        <v>9487.63239973219</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6748.50150953271</v>
      </c>
      <c r="D21" s="0" t="n">
        <f aca="false">D19*D20</f>
        <v>6623.06228388156</v>
      </c>
      <c r="E21" s="0" t="n">
        <f aca="false">E19*E20</f>
        <v>6402.93715329215</v>
      </c>
      <c r="F21" s="0" t="n">
        <f aca="false">F19*F20</f>
        <v>6029.57218081193</v>
      </c>
      <c r="G21" s="0" t="n">
        <f aca="false">G19*G20</f>
        <v>5719.64090048982</v>
      </c>
      <c r="H21" s="0" t="n">
        <f aca="false">H19*H20</f>
        <v>5581.23676629385</v>
      </c>
      <c r="I21" s="0" t="n">
        <f aca="false">I19*I20</f>
        <v>5436.57256306559</v>
      </c>
      <c r="J21" s="0" t="n">
        <f aca="false">J19*J20</f>
        <v>5244.52000212746</v>
      </c>
      <c r="K21" s="0" t="n">
        <f aca="false">K19*K20</f>
        <v>5034.77404824288</v>
      </c>
      <c r="L21" s="0" t="n">
        <f aca="false">L19*L20</f>
        <v>4823.03121443827</v>
      </c>
    </row>
    <row r="23" customFormat="false" ht="15" hidden="false" customHeight="false" outlineLevel="0" collapsed="false">
      <c r="A23" s="0" t="s">
        <v>106</v>
      </c>
      <c r="C23" s="4" t="n">
        <f aca="false">Assumptions!C30</f>
        <v>0.9</v>
      </c>
      <c r="D23" s="4" t="n">
        <f aca="false">Assumptions!D30</f>
        <v>0.9</v>
      </c>
      <c r="E23" s="4" t="n">
        <f aca="false">Assumptions!E30</f>
        <v>0.9</v>
      </c>
      <c r="F23" s="4" t="n">
        <f aca="false">Assumptions!F30</f>
        <v>0.9</v>
      </c>
      <c r="G23" s="4" t="n">
        <f aca="false">Assumptions!G30</f>
        <v>0.9</v>
      </c>
      <c r="H23" s="4" t="n">
        <f aca="false">Assumptions!H30</f>
        <v>0.9</v>
      </c>
      <c r="I23" s="4" t="n">
        <f aca="false">Assumptions!I30</f>
        <v>0.9</v>
      </c>
      <c r="J23" s="4" t="n">
        <f aca="false">Assumptions!J30</f>
        <v>0.9</v>
      </c>
      <c r="K23" s="4" t="n">
        <f aca="false">Assumptions!K30</f>
        <v>0.9</v>
      </c>
      <c r="L23" s="4" t="n">
        <f aca="false">Assumptions!L30</f>
        <v>0.9</v>
      </c>
    </row>
    <row r="24" customFormat="false" ht="15" hidden="false" customHeight="false" outlineLevel="0" collapsed="false">
      <c r="A24" s="0" t="s">
        <v>131</v>
      </c>
      <c r="C24" s="0" t="n">
        <f aca="false">-C6*C23/100</f>
        <v>-302.82309</v>
      </c>
      <c r="D24" s="0" t="n">
        <f aca="false">-D6*D23/100</f>
        <v>-314.9360136</v>
      </c>
      <c r="E24" s="0" t="n">
        <f aca="false">-E6*E23/100</f>
        <v>-324.384094008</v>
      </c>
      <c r="F24" s="0" t="n">
        <f aca="false">-F6*F23/100</f>
        <v>-329.24985541812</v>
      </c>
      <c r="G24" s="0" t="n">
        <f aca="false">-G6*G23/100</f>
        <v>-334.188603249392</v>
      </c>
      <c r="H24" s="0" t="n">
        <f aca="false">-H6*H23/100</f>
        <v>-345.88520436312</v>
      </c>
      <c r="I24" s="0" t="n">
        <f aca="false">-I6*I23/100</f>
        <v>-357.99118651583</v>
      </c>
      <c r="J24" s="0" t="n">
        <f aca="false">-J6*J23/100</f>
        <v>-368.730922111305</v>
      </c>
      <c r="K24" s="0" t="n">
        <f aca="false">-K6*K23/100</f>
        <v>-377.949195164087</v>
      </c>
      <c r="L24" s="0" t="n">
        <f aca="false">-L6*L23/100</f>
        <v>-387.397925043189</v>
      </c>
    </row>
    <row r="26" customFormat="false" ht="15" hidden="false" customHeight="false" outlineLevel="0" collapsed="false">
      <c r="A26" s="2" t="s">
        <v>132</v>
      </c>
    </row>
    <row r="27" customFormat="false" ht="15" hidden="false" customHeight="false" outlineLevel="0" collapsed="false">
      <c r="A27" s="0" t="s">
        <v>110</v>
      </c>
      <c r="B27" s="4" t="n">
        <f aca="false">Assumptions!$B$34</f>
        <v>7</v>
      </c>
    </row>
    <row r="28" customFormat="false" ht="15" hidden="false" customHeight="false" outlineLevel="0" collapsed="false">
      <c r="A28" s="0" t="s">
        <v>111</v>
      </c>
      <c r="B28" s="4" t="n">
        <f aca="false">Assumptions!$B$35</f>
        <v>2</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57643.8486221762</v>
      </c>
    </row>
    <row r="31" customFormat="false" ht="15" hidden="false" customHeight="false" outlineLevel="0" collapsed="false">
      <c r="A31" s="0" t="s">
        <v>134</v>
      </c>
      <c r="B31" s="0" t="n">
        <f aca="false">L19</f>
        <v>9487.63239973219</v>
      </c>
    </row>
    <row r="32" customFormat="false" ht="15" hidden="false" customHeight="false" outlineLevel="0" collapsed="false">
      <c r="A32" s="0" t="s">
        <v>135</v>
      </c>
      <c r="B32" s="0" t="n">
        <f aca="false">IF(B27&gt;B28,B31*(1+B28/100)/((B27-B28)/100),B31*B29)</f>
        <v>193547.700954537</v>
      </c>
    </row>
    <row r="33" customFormat="false" ht="15" hidden="false" customHeight="false" outlineLevel="0" collapsed="false">
      <c r="A33" s="0" t="s">
        <v>136</v>
      </c>
      <c r="B33" s="0" t="n">
        <f aca="false">B31*B29</f>
        <v>142314.485995983</v>
      </c>
    </row>
    <row r="34" customFormat="false" ht="15" hidden="false" customHeight="false" outlineLevel="0" collapsed="false">
      <c r="A34" s="0" t="s">
        <v>137</v>
      </c>
      <c r="B34" s="0" t="n">
        <f aca="false">MAX(0,MIN(B32,B33))</f>
        <v>142314.485995983</v>
      </c>
    </row>
    <row r="35" customFormat="false" ht="15" hidden="false" customHeight="false" outlineLevel="0" collapsed="false">
      <c r="A35" s="0" t="s">
        <v>138</v>
      </c>
      <c r="B35" s="0" t="n">
        <f aca="false">B34/(1+B27/100)^L4</f>
        <v>72345.4682165741</v>
      </c>
    </row>
    <row r="36" customFormat="false" ht="15" hidden="false" customHeight="false" outlineLevel="0" collapsed="false">
      <c r="A36" s="0" t="s">
        <v>139</v>
      </c>
      <c r="B36" s="0" t="n">
        <f aca="false">B30+B35</f>
        <v>129989.31683875</v>
      </c>
    </row>
    <row r="37" customFormat="false" ht="15" hidden="false" customHeight="false" outlineLevel="0" collapsed="false">
      <c r="A37" s="0" t="s">
        <v>140</v>
      </c>
      <c r="B37" s="0" t="n">
        <f aca="false">B36+Assumptions!$B$5-Assumptions!$B$4</f>
        <v>101315.31683875</v>
      </c>
    </row>
    <row r="38" customFormat="false" ht="15" hidden="false" customHeight="false" outlineLevel="0" collapsed="false">
      <c r="A38" s="0" t="s">
        <v>141</v>
      </c>
      <c r="B38" s="0" t="n">
        <f aca="false">B37/Assumptions!$B$3*Assumptions!$B$10</f>
        <v>2494.22247264279</v>
      </c>
    </row>
    <row r="39" customFormat="false" ht="15" hidden="false" customHeight="false" outlineLevel="0" collapsed="false">
      <c r="A39" s="0" t="s">
        <v>142</v>
      </c>
      <c r="B39" s="4" t="n">
        <f aca="false">B38/Assumptions!$B$2-1</f>
        <v>0.425269984367311</v>
      </c>
    </row>
    <row r="41" customFormat="false" ht="15" hidden="false" customHeight="false" outlineLevel="0" collapsed="false">
      <c r="A41" s="0" t="s">
        <v>143</v>
      </c>
      <c r="B41" s="0" t="n">
        <f aca="false">SUMPRODUCT(-C10:L10/(1+$B$27/100)^C4:L4)</f>
        <v>2912.40027964927</v>
      </c>
    </row>
    <row r="42" customFormat="false" ht="15" hidden="false" customHeight="false" outlineLevel="0" collapsed="false">
      <c r="A42" s="0" t="s">
        <v>144</v>
      </c>
      <c r="B42" s="0" t="n">
        <f aca="false">IF(B27&gt;B28,-L10*(1+B28/100)/((B27-B28)/100),-L10*20)/(1+B27/100)^L4</f>
        <v>4910.20762685608</v>
      </c>
    </row>
    <row r="43" customFormat="false" ht="15" hidden="false" customHeight="false" outlineLevel="0" collapsed="false">
      <c r="A43" s="0" t="s">
        <v>145</v>
      </c>
      <c r="B43" s="0" t="n">
        <f aca="false">(B37+B41+B42)/Assumptions!$B$3*Assumptions!$B$10</f>
        <v>2686.80267713579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74441.4234440526</v>
      </c>
    </row>
    <row r="47" customFormat="false" ht="15" hidden="false" customHeight="false" outlineLevel="0" collapsed="false">
      <c r="A47" s="0" t="s">
        <v>147</v>
      </c>
      <c r="B47" s="0" t="n">
        <f aca="false">(SUMPRODUCT(C19:L19/(1+B45/100)^C4:L4)+B46/(1+B45/100)^L4+Assumptions!$B$5-Assumptions!$B$4)/Assumptions!$B$3*Assumptions!$B$10</f>
        <v>744.199792825015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3.5</v>
      </c>
      <c r="D5" s="4" t="n">
        <f aca="false">Assumptions!D41</f>
        <v>5.5</v>
      </c>
      <c r="E5" s="4" t="n">
        <f aca="false">Assumptions!E41</f>
        <v>5</v>
      </c>
      <c r="F5" s="4" t="n">
        <f aca="false">Assumptions!F41</f>
        <v>3</v>
      </c>
      <c r="G5" s="4" t="n">
        <f aca="false">Assumptions!G41</f>
        <v>3</v>
      </c>
      <c r="H5" s="4" t="n">
        <f aca="false">Assumptions!H41</f>
        <v>5</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32667</v>
      </c>
      <c r="C6" s="0" t="n">
        <f aca="false">B6*(1+C5/100)</f>
        <v>33810.345</v>
      </c>
      <c r="D6" s="0" t="n">
        <f aca="false">C6*(1+D5/100)</f>
        <v>35669.913975</v>
      </c>
      <c r="E6" s="0" t="n">
        <f aca="false">D6*(1+E5/100)</f>
        <v>37453.40967375</v>
      </c>
      <c r="F6" s="0" t="n">
        <f aca="false">E6*(1+F5/100)</f>
        <v>38577.0119639625</v>
      </c>
      <c r="G6" s="0" t="n">
        <f aca="false">F6*(1+G5/100)</f>
        <v>39734.3223228814</v>
      </c>
      <c r="H6" s="0" t="n">
        <f aca="false">G6*(1+H5/100)</f>
        <v>41721.0384390254</v>
      </c>
      <c r="I6" s="0" t="n">
        <f aca="false">H6*(1+I5/100)</f>
        <v>43807.0903609767</v>
      </c>
      <c r="J6" s="0" t="n">
        <f aca="false">I6*(1+J5/100)</f>
        <v>45559.3739754158</v>
      </c>
      <c r="K6" s="0" t="n">
        <f aca="false">J6*(1+K5/100)</f>
        <v>47153.9520645553</v>
      </c>
      <c r="L6" s="0" t="n">
        <f aca="false">K6*(1+L5/100)</f>
        <v>48568.570626492</v>
      </c>
    </row>
    <row r="7" customFormat="false" ht="15" hidden="false" customHeight="false" outlineLevel="0" collapsed="false">
      <c r="A7" s="0" t="s">
        <v>104</v>
      </c>
      <c r="C7" s="4" t="n">
        <f aca="false">Assumptions!C42</f>
        <v>40.4</v>
      </c>
      <c r="D7" s="4" t="n">
        <f aca="false">Assumptions!D42</f>
        <v>41</v>
      </c>
      <c r="E7" s="4" t="n">
        <f aca="false">Assumptions!E42</f>
        <v>41.5</v>
      </c>
      <c r="F7" s="4" t="n">
        <f aca="false">Assumptions!F42</f>
        <v>41.5</v>
      </c>
      <c r="G7" s="4" t="n">
        <f aca="false">Assumptions!G42</f>
        <v>41.5</v>
      </c>
      <c r="H7" s="4" t="n">
        <f aca="false">Assumptions!H42</f>
        <v>42</v>
      </c>
      <c r="I7" s="4" t="n">
        <f aca="false">Assumptions!I42</f>
        <v>42.5</v>
      </c>
      <c r="J7" s="4" t="n">
        <f aca="false">Assumptions!J42</f>
        <v>42.5</v>
      </c>
      <c r="K7" s="4" t="n">
        <f aca="false">Assumptions!K42</f>
        <v>42.5</v>
      </c>
      <c r="L7" s="4" t="n">
        <f aca="false">Assumptions!L42</f>
        <v>42.5</v>
      </c>
    </row>
    <row r="8" customFormat="false" ht="15" hidden="false" customHeight="false" outlineLevel="0" collapsed="false">
      <c r="A8" s="0" t="s">
        <v>44</v>
      </c>
      <c r="C8" s="0" t="n">
        <f aca="false">C6*C7/100</f>
        <v>13659.37938</v>
      </c>
      <c r="D8" s="0" t="n">
        <f aca="false">D6*D7/100</f>
        <v>14624.66472975</v>
      </c>
      <c r="E8" s="0" t="n">
        <f aca="false">E6*E7/100</f>
        <v>15543.1650146062</v>
      </c>
      <c r="F8" s="0" t="n">
        <f aca="false">F6*F7/100</f>
        <v>16009.4599650444</v>
      </c>
      <c r="G8" s="0" t="n">
        <f aca="false">G6*G7/100</f>
        <v>16489.7437639958</v>
      </c>
      <c r="H8" s="0" t="n">
        <f aca="false">H6*H7/100</f>
        <v>17522.8361443907</v>
      </c>
      <c r="I8" s="0" t="n">
        <f aca="false">I6*I7/100</f>
        <v>18618.0134034151</v>
      </c>
      <c r="J8" s="0" t="n">
        <f aca="false">J6*J7/100</f>
        <v>19362.7339395517</v>
      </c>
      <c r="K8" s="0" t="n">
        <f aca="false">K6*K7/100</f>
        <v>20040.429627436</v>
      </c>
      <c r="L8" s="0" t="n">
        <f aca="false">L6*L7/100</f>
        <v>20641.6425162591</v>
      </c>
    </row>
    <row r="9" customFormat="false" ht="15" hidden="false" customHeight="false" outlineLevel="0" collapsed="false">
      <c r="A9" s="0" t="s">
        <v>105</v>
      </c>
      <c r="C9" s="4" t="n">
        <f aca="false">Assumptions!C43</f>
        <v>1.1</v>
      </c>
      <c r="D9" s="4" t="n">
        <f aca="false">Assumptions!D43</f>
        <v>1.1</v>
      </c>
      <c r="E9" s="4" t="n">
        <f aca="false">Assumptions!E43</f>
        <v>1.1</v>
      </c>
      <c r="F9" s="4" t="n">
        <f aca="false">Assumptions!F43</f>
        <v>1.1</v>
      </c>
      <c r="G9" s="4" t="n">
        <f aca="false">Assumptions!G43</f>
        <v>1.1</v>
      </c>
      <c r="H9" s="4" t="n">
        <f aca="false">Assumptions!H43</f>
        <v>1.1</v>
      </c>
      <c r="I9" s="4" t="n">
        <f aca="false">Assumptions!I43</f>
        <v>1.1</v>
      </c>
      <c r="J9" s="4" t="n">
        <f aca="false">Assumptions!J43</f>
        <v>1.1</v>
      </c>
      <c r="K9" s="4" t="n">
        <f aca="false">Assumptions!K43</f>
        <v>1.1</v>
      </c>
      <c r="L9" s="4" t="n">
        <f aca="false">Assumptions!L43</f>
        <v>1.1</v>
      </c>
    </row>
    <row r="10" customFormat="false" ht="15" hidden="false" customHeight="false" outlineLevel="0" collapsed="false">
      <c r="A10" s="0" t="s">
        <v>120</v>
      </c>
      <c r="C10" s="0" t="n">
        <f aca="false">-C6*C9/100</f>
        <v>-371.913795</v>
      </c>
      <c r="D10" s="0" t="n">
        <f aca="false">-D6*D9/100</f>
        <v>-392.369053725</v>
      </c>
      <c r="E10" s="0" t="n">
        <f aca="false">-E6*E9/100</f>
        <v>-411.98750641125</v>
      </c>
      <c r="F10" s="0" t="n">
        <f aca="false">-F6*F9/100</f>
        <v>-424.347131603587</v>
      </c>
      <c r="G10" s="0" t="n">
        <f aca="false">-G6*G9/100</f>
        <v>-437.077545551695</v>
      </c>
      <c r="H10" s="0" t="n">
        <f aca="false">-H6*H9/100</f>
        <v>-458.93142282928</v>
      </c>
      <c r="I10" s="0" t="n">
        <f aca="false">-I6*I9/100</f>
        <v>-481.877993970744</v>
      </c>
      <c r="J10" s="0" t="n">
        <f aca="false">-J6*J9/100</f>
        <v>-501.153113729574</v>
      </c>
      <c r="K10" s="0" t="n">
        <f aca="false">-K6*K9/100</f>
        <v>-518.693472710109</v>
      </c>
      <c r="L10" s="0" t="n">
        <f aca="false">-L6*L9/100</f>
        <v>-534.254276891412</v>
      </c>
    </row>
    <row r="11" customFormat="false" ht="15" hidden="false" customHeight="false" outlineLevel="0" collapsed="false">
      <c r="A11" s="0" t="s">
        <v>121</v>
      </c>
      <c r="C11" s="0" t="n">
        <f aca="false">C8+C10+C24</f>
        <v>12983.17248</v>
      </c>
      <c r="D11" s="0" t="n">
        <f aca="false">D8+D10+D24</f>
        <v>13911.26645025</v>
      </c>
      <c r="E11" s="0" t="n">
        <f aca="false">E8+E10+E24</f>
        <v>14794.0968211312</v>
      </c>
      <c r="F11" s="0" t="n">
        <f aca="false">F8+F10+F24</f>
        <v>15237.9197257652</v>
      </c>
      <c r="G11" s="0" t="n">
        <f aca="false">G8+G10+G24</f>
        <v>15695.0573175381</v>
      </c>
      <c r="H11" s="0" t="n">
        <f aca="false">H8+H10+H24</f>
        <v>16688.4153756102</v>
      </c>
      <c r="I11" s="0" t="n">
        <f aca="false">I8+I10+I24</f>
        <v>17741.8715961956</v>
      </c>
      <c r="J11" s="0" t="n">
        <f aca="false">J8+J10+J24</f>
        <v>18451.5464600434</v>
      </c>
      <c r="K11" s="0" t="n">
        <f aca="false">K8+K10+K24</f>
        <v>19097.3505861449</v>
      </c>
      <c r="L11" s="0" t="n">
        <f aca="false">L8+L10+L24</f>
        <v>19670.2711037293</v>
      </c>
    </row>
    <row r="12" customFormat="false" ht="15" hidden="false" customHeight="false" outlineLevel="0" collapsed="false">
      <c r="A12" s="0" t="s">
        <v>122</v>
      </c>
      <c r="C12" s="4" t="n">
        <f aca="false">-C6*Assumptions!C45/100</f>
        <v>-2637.20691</v>
      </c>
      <c r="D12" s="4" t="n">
        <f aca="false">-D6*Assumptions!D45/100</f>
        <v>-2782.25329005</v>
      </c>
      <c r="E12" s="4" t="n">
        <f aca="false">-E6*Assumptions!E45/100</f>
        <v>-2921.3659545525</v>
      </c>
      <c r="F12" s="4" t="n">
        <f aca="false">-F6*Assumptions!F45/100</f>
        <v>-3009.00693318907</v>
      </c>
      <c r="G12" s="4" t="n">
        <f aca="false">-G6*Assumptions!G45/100</f>
        <v>-3099.27714118475</v>
      </c>
      <c r="H12" s="4" t="n">
        <f aca="false">-H6*Assumptions!H45/100</f>
        <v>-3254.24099824398</v>
      </c>
      <c r="I12" s="4" t="n">
        <f aca="false">-I6*Assumptions!I45/100</f>
        <v>-3416.95304815618</v>
      </c>
      <c r="J12" s="4" t="n">
        <f aca="false">-J6*Assumptions!J45/100</f>
        <v>-3553.63117008243</v>
      </c>
      <c r="K12" s="4" t="n">
        <f aca="false">-K6*Assumptions!K45/100</f>
        <v>-3678.00826103532</v>
      </c>
      <c r="L12" s="4" t="n">
        <f aca="false">-L6*Assumptions!L45/100</f>
        <v>-3788.34850886637</v>
      </c>
    </row>
    <row r="13" customFormat="false" ht="15" hidden="false" customHeight="false" outlineLevel="0" collapsed="false">
      <c r="A13" s="0" t="s">
        <v>123</v>
      </c>
      <c r="C13" s="0" t="n">
        <f aca="false">C11+C12</f>
        <v>10345.96557</v>
      </c>
      <c r="D13" s="0" t="n">
        <f aca="false">D11+D12</f>
        <v>11129.0131602</v>
      </c>
      <c r="E13" s="0" t="n">
        <f aca="false">E11+E12</f>
        <v>11872.7308665787</v>
      </c>
      <c r="F13" s="0" t="n">
        <f aca="false">F11+F12</f>
        <v>12228.9127925761</v>
      </c>
      <c r="G13" s="0" t="n">
        <f aca="false">G11+G12</f>
        <v>12595.7801763534</v>
      </c>
      <c r="H13" s="0" t="n">
        <f aca="false">H11+H12</f>
        <v>13434.1743773662</v>
      </c>
      <c r="I13" s="0" t="n">
        <f aca="false">I11+I12</f>
        <v>14324.9185480394</v>
      </c>
      <c r="J13" s="0" t="n">
        <f aca="false">J11+J12</f>
        <v>14897.915289961</v>
      </c>
      <c r="K13" s="0" t="n">
        <f aca="false">K11+K12</f>
        <v>15419.3423251096</v>
      </c>
      <c r="L13" s="0" t="n">
        <f aca="false">L11+L12</f>
        <v>15881.9225948629</v>
      </c>
    </row>
    <row r="14" customFormat="false" ht="15" hidden="false" customHeight="false" outlineLevel="0" collapsed="false">
      <c r="A14" s="0" t="s">
        <v>109</v>
      </c>
      <c r="C14" s="4" t="n">
        <f aca="false">Assumptions!C47</f>
        <v>24.5</v>
      </c>
      <c r="D14" s="4" t="n">
        <f aca="false">Assumptions!D47</f>
        <v>24.5</v>
      </c>
      <c r="E14" s="4" t="n">
        <f aca="false">Assumptions!E47</f>
        <v>24.5</v>
      </c>
      <c r="F14" s="4" t="n">
        <f aca="false">Assumptions!F47</f>
        <v>24.5</v>
      </c>
      <c r="G14" s="4" t="n">
        <f aca="false">Assumptions!G47</f>
        <v>24</v>
      </c>
      <c r="H14" s="4" t="n">
        <f aca="false">Assumptions!H47</f>
        <v>23.5</v>
      </c>
      <c r="I14" s="4" t="n">
        <f aca="false">Assumptions!I47</f>
        <v>23.5</v>
      </c>
      <c r="J14" s="4" t="n">
        <f aca="false">Assumptions!J47</f>
        <v>23.5</v>
      </c>
      <c r="K14" s="4" t="n">
        <f aca="false">Assumptions!K47</f>
        <v>23.5</v>
      </c>
      <c r="L14" s="4" t="n">
        <f aca="false">Assumptions!L47</f>
        <v>23.5</v>
      </c>
    </row>
    <row r="15" customFormat="false" ht="15" hidden="false" customHeight="false" outlineLevel="0" collapsed="false">
      <c r="A15" s="0" t="s">
        <v>124</v>
      </c>
      <c r="C15" s="0" t="n">
        <f aca="false">C13-MAX(0,C13)*C14/100</f>
        <v>7811.20400535</v>
      </c>
      <c r="D15" s="0" t="n">
        <f aca="false">D13-MAX(0,D13)*D14/100</f>
        <v>8402.404935951</v>
      </c>
      <c r="E15" s="0" t="n">
        <f aca="false">E13-MAX(0,E13)*E14/100</f>
        <v>8963.91180426695</v>
      </c>
      <c r="F15" s="0" t="n">
        <f aca="false">F13-MAX(0,F13)*F14/100</f>
        <v>9232.82915839497</v>
      </c>
      <c r="G15" s="0" t="n">
        <f aca="false">G13-MAX(0,G13)*G14/100</f>
        <v>9572.79293402858</v>
      </c>
      <c r="H15" s="0" t="n">
        <f aca="false">H13-MAX(0,H13)*H14/100</f>
        <v>10277.1433986851</v>
      </c>
      <c r="I15" s="0" t="n">
        <f aca="false">I13-MAX(0,I13)*I14/100</f>
        <v>10958.5626892501</v>
      </c>
      <c r="J15" s="0" t="n">
        <f aca="false">J13-MAX(0,J13)*J14/100</f>
        <v>11396.9051968201</v>
      </c>
      <c r="K15" s="0" t="n">
        <f aca="false">K13-MAX(0,K13)*K14/100</f>
        <v>11795.7968787088</v>
      </c>
      <c r="L15" s="0" t="n">
        <f aca="false">L13-MAX(0,L13)*L14/100</f>
        <v>12149.6707850701</v>
      </c>
    </row>
    <row r="16" customFormat="false" ht="15" hidden="false" customHeight="false" outlineLevel="0" collapsed="false">
      <c r="A16" s="0" t="s">
        <v>125</v>
      </c>
      <c r="C16" s="0" t="n">
        <f aca="false">-C12</f>
        <v>2637.20691</v>
      </c>
      <c r="D16" s="0" t="n">
        <f aca="false">-D12</f>
        <v>2782.25329005</v>
      </c>
      <c r="E16" s="0" t="n">
        <f aca="false">-E12</f>
        <v>2921.3659545525</v>
      </c>
      <c r="F16" s="0" t="n">
        <f aca="false">-F12</f>
        <v>3009.00693318907</v>
      </c>
      <c r="G16" s="0" t="n">
        <f aca="false">-G12</f>
        <v>3099.27714118475</v>
      </c>
      <c r="H16" s="0" t="n">
        <f aca="false">-H12</f>
        <v>3254.24099824398</v>
      </c>
      <c r="I16" s="0" t="n">
        <f aca="false">-I12</f>
        <v>3416.95304815618</v>
      </c>
      <c r="J16" s="0" t="n">
        <f aca="false">-J12</f>
        <v>3553.63117008243</v>
      </c>
      <c r="K16" s="0" t="n">
        <f aca="false">-K12</f>
        <v>3678.00826103532</v>
      </c>
      <c r="L16" s="0" t="n">
        <f aca="false">-L12</f>
        <v>3788.34850886637</v>
      </c>
    </row>
    <row r="17" customFormat="false" ht="15" hidden="false" customHeight="false" outlineLevel="0" collapsed="false">
      <c r="A17" s="0" t="s">
        <v>126</v>
      </c>
      <c r="C17" s="4" t="n">
        <f aca="false">-C6*Assumptions!C46/100</f>
        <v>-3042.93105</v>
      </c>
      <c r="D17" s="4" t="n">
        <f aca="false">-D6*Assumptions!D46/100</f>
        <v>-3210.29225775</v>
      </c>
      <c r="E17" s="4" t="n">
        <f aca="false">-E6*Assumptions!E46/100</f>
        <v>-3370.8068706375</v>
      </c>
      <c r="F17" s="4" t="n">
        <f aca="false">-F6*Assumptions!F46/100</f>
        <v>-3471.93107675663</v>
      </c>
      <c r="G17" s="4" t="n">
        <f aca="false">-G6*Assumptions!G46/100</f>
        <v>-3576.08900905932</v>
      </c>
      <c r="H17" s="4" t="n">
        <f aca="false">-H6*Assumptions!H46/100</f>
        <v>-3754.89345951229</v>
      </c>
      <c r="I17" s="4" t="n">
        <f aca="false">-I6*Assumptions!I46/100</f>
        <v>-3942.6381324879</v>
      </c>
      <c r="J17" s="4" t="n">
        <f aca="false">-J6*Assumptions!J46/100</f>
        <v>-4100.34365778742</v>
      </c>
      <c r="K17" s="4" t="n">
        <f aca="false">-K6*Assumptions!K46/100</f>
        <v>-4243.85568580998</v>
      </c>
      <c r="L17" s="4" t="n">
        <f aca="false">-L6*Assumptions!L46/100</f>
        <v>-4371.17135638428</v>
      </c>
    </row>
    <row r="18" customFormat="false" ht="15" hidden="false" customHeight="false" outlineLevel="0" collapsed="false">
      <c r="A18" s="0" t="s">
        <v>127</v>
      </c>
      <c r="C18" s="4" t="n">
        <f aca="false">(C6-B6)*Assumptions!$B$51/100</f>
        <v>-114.334499999999</v>
      </c>
      <c r="D18" s="4" t="n">
        <f aca="false">(D6-C6)*Assumptions!$B$51/100</f>
        <v>-185.956897499999</v>
      </c>
      <c r="E18" s="4" t="n">
        <f aca="false">(E6-D6)*Assumptions!$B$51/100</f>
        <v>-178.349569875</v>
      </c>
      <c r="F18" s="4" t="n">
        <f aca="false">(F6-E6)*Assumptions!$B$51/100</f>
        <v>-112.36022902125</v>
      </c>
      <c r="G18" s="4" t="n">
        <f aca="false">(G6-F6)*Assumptions!$B$51/100</f>
        <v>-115.731035891888</v>
      </c>
      <c r="H18" s="4" t="n">
        <f aca="false">(H6-G6)*Assumptions!$B$51/100</f>
        <v>-198.671611614407</v>
      </c>
      <c r="I18" s="4" t="n">
        <f aca="false">(I6-H6)*Assumptions!$B$51/100</f>
        <v>-208.605192195127</v>
      </c>
      <c r="J18" s="4" t="n">
        <f aca="false">(J6-I6)*Assumptions!$B$51/100</f>
        <v>-175.228361443907</v>
      </c>
      <c r="K18" s="4" t="n">
        <f aca="false">(K6-J6)*Assumptions!$B$51/100</f>
        <v>-159.457808913955</v>
      </c>
      <c r="L18" s="4" t="n">
        <f aca="false">(L6-K6)*Assumptions!$B$51/100</f>
        <v>-141.461856193666</v>
      </c>
    </row>
    <row r="19" customFormat="false" ht="15" hidden="false" customHeight="false" outlineLevel="0" collapsed="false">
      <c r="A19" s="0" t="s">
        <v>128</v>
      </c>
      <c r="C19" s="0" t="n">
        <f aca="false">C15+C16+C17+C18</f>
        <v>7291.14536535</v>
      </c>
      <c r="D19" s="0" t="n">
        <f aca="false">D15+D16+D17+D18</f>
        <v>7788.409070751</v>
      </c>
      <c r="E19" s="0" t="n">
        <f aca="false">E15+E16+E17+E18</f>
        <v>8336.12131830695</v>
      </c>
      <c r="F19" s="0" t="n">
        <f aca="false">F15+F16+F17+F18</f>
        <v>8657.54478580616</v>
      </c>
      <c r="G19" s="0" t="n">
        <f aca="false">G15+G16+G17+G18</f>
        <v>8980.25003026212</v>
      </c>
      <c r="H19" s="0" t="n">
        <f aca="false">H15+H16+H17+H18</f>
        <v>9577.81932580243</v>
      </c>
      <c r="I19" s="0" t="n">
        <f aca="false">I15+I16+I17+I18</f>
        <v>10224.2724127233</v>
      </c>
      <c r="J19" s="0" t="n">
        <f aca="false">J15+J16+J17+J18</f>
        <v>10674.9643476712</v>
      </c>
      <c r="K19" s="0" t="n">
        <f aca="false">K15+K16+K17+K18</f>
        <v>11070.4916450202</v>
      </c>
      <c r="L19" s="0" t="n">
        <f aca="false">L15+L16+L17+L18</f>
        <v>11425.3860813585</v>
      </c>
    </row>
    <row r="20" customFormat="false" ht="15" hidden="false" customHeight="false" outlineLevel="0" collapsed="false">
      <c r="A20" s="0" t="s">
        <v>129</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130</v>
      </c>
      <c r="C21" s="0" t="n">
        <f aca="false">C19*C20</f>
        <v>6814.15454705607</v>
      </c>
      <c r="D21" s="0" t="n">
        <f aca="false">D19*D20</f>
        <v>6802.6981140283</v>
      </c>
      <c r="E21" s="0" t="n">
        <f aca="false">E19*E20</f>
        <v>6804.75813363854</v>
      </c>
      <c r="F21" s="0" t="n">
        <f aca="false">F19*F20</f>
        <v>6604.79946517854</v>
      </c>
      <c r="G21" s="0" t="n">
        <f aca="false">G19*G20</f>
        <v>6402.79415988468</v>
      </c>
      <c r="H21" s="0" t="n">
        <f aca="false">H19*H20</f>
        <v>6382.10542886796</v>
      </c>
      <c r="I21" s="0" t="n">
        <f aca="false">I19*I20</f>
        <v>6367.16300598117</v>
      </c>
      <c r="J21" s="0" t="n">
        <f aca="false">J19*J20</f>
        <v>6212.92644125184</v>
      </c>
      <c r="K21" s="0" t="n">
        <f aca="false">K19*K20</f>
        <v>6021.61395272239</v>
      </c>
      <c r="L21" s="0" t="n">
        <f aca="false">L19*L20</f>
        <v>5808.08692682446</v>
      </c>
    </row>
    <row r="23" customFormat="false" ht="15" hidden="false" customHeight="false" outlineLevel="0" collapsed="false">
      <c r="A23" s="0" t="s">
        <v>106</v>
      </c>
      <c r="C23" s="4" t="n">
        <f aca="false">Assumptions!C44</f>
        <v>0.9</v>
      </c>
      <c r="D23" s="4" t="n">
        <f aca="false">Assumptions!D44</f>
        <v>0.9</v>
      </c>
      <c r="E23" s="4" t="n">
        <f aca="false">Assumptions!E44</f>
        <v>0.9</v>
      </c>
      <c r="F23" s="4" t="n">
        <f aca="false">Assumptions!F44</f>
        <v>0.9</v>
      </c>
      <c r="G23" s="4" t="n">
        <f aca="false">Assumptions!G44</f>
        <v>0.9</v>
      </c>
      <c r="H23" s="4" t="n">
        <f aca="false">Assumptions!H44</f>
        <v>0.9</v>
      </c>
      <c r="I23" s="4" t="n">
        <f aca="false">Assumptions!I44</f>
        <v>0.9</v>
      </c>
      <c r="J23" s="4" t="n">
        <f aca="false">Assumptions!J44</f>
        <v>0.9</v>
      </c>
      <c r="K23" s="4" t="n">
        <f aca="false">Assumptions!K44</f>
        <v>0.9</v>
      </c>
      <c r="L23" s="4" t="n">
        <f aca="false">Assumptions!L44</f>
        <v>0.9</v>
      </c>
    </row>
    <row r="24" customFormat="false" ht="15" hidden="false" customHeight="false" outlineLevel="0" collapsed="false">
      <c r="A24" s="0" t="s">
        <v>131</v>
      </c>
      <c r="C24" s="0" t="n">
        <f aca="false">-C6*C23/100</f>
        <v>-304.293105</v>
      </c>
      <c r="D24" s="0" t="n">
        <f aca="false">-D6*D23/100</f>
        <v>-321.029225775</v>
      </c>
      <c r="E24" s="0" t="n">
        <f aca="false">-E6*E23/100</f>
        <v>-337.08068706375</v>
      </c>
      <c r="F24" s="0" t="n">
        <f aca="false">-F6*F23/100</f>
        <v>-347.193107675663</v>
      </c>
      <c r="G24" s="0" t="n">
        <f aca="false">-G6*G23/100</f>
        <v>-357.608900905932</v>
      </c>
      <c r="H24" s="0" t="n">
        <f aca="false">-H6*H23/100</f>
        <v>-375.489345951229</v>
      </c>
      <c r="I24" s="0" t="n">
        <f aca="false">-I6*I23/100</f>
        <v>-394.26381324879</v>
      </c>
      <c r="J24" s="0" t="n">
        <f aca="false">-J6*J23/100</f>
        <v>-410.034365778742</v>
      </c>
      <c r="K24" s="0" t="n">
        <f aca="false">-K6*K23/100</f>
        <v>-424.385568580998</v>
      </c>
      <c r="L24" s="0" t="n">
        <f aca="false">-L6*L23/100</f>
        <v>-437.117135638428</v>
      </c>
    </row>
    <row r="26" customFormat="false" ht="15" hidden="false" customHeight="false" outlineLevel="0" collapsed="false">
      <c r="A26" s="2" t="s">
        <v>132</v>
      </c>
    </row>
    <row r="27" customFormat="false" ht="15" hidden="false" customHeight="false" outlineLevel="0" collapsed="false">
      <c r="A27" s="0" t="s">
        <v>110</v>
      </c>
      <c r="B27" s="4" t="n">
        <f aca="false">Assumptions!$B$48</f>
        <v>7</v>
      </c>
    </row>
    <row r="28" customFormat="false" ht="15" hidden="false" customHeight="false" outlineLevel="0" collapsed="false">
      <c r="A28" s="0" t="s">
        <v>111</v>
      </c>
      <c r="B28" s="4" t="n">
        <f aca="false">Assumptions!$B$49</f>
        <v>2.5</v>
      </c>
    </row>
    <row r="29" customFormat="false" ht="15" hidden="false" customHeight="false" outlineLevel="0" collapsed="false">
      <c r="A29" s="0" t="s">
        <v>112</v>
      </c>
      <c r="B29" s="4" t="n">
        <f aca="false">Assumptions!$B$50</f>
        <v>16</v>
      </c>
    </row>
    <row r="30" customFormat="false" ht="15" hidden="false" customHeight="false" outlineLevel="0" collapsed="false">
      <c r="A30" s="0" t="s">
        <v>133</v>
      </c>
      <c r="B30" s="0" t="n">
        <f aca="false">SUM(C21:L21)</f>
        <v>64221.1001754339</v>
      </c>
    </row>
    <row r="31" customFormat="false" ht="15" hidden="false" customHeight="false" outlineLevel="0" collapsed="false">
      <c r="A31" s="0" t="s">
        <v>134</v>
      </c>
      <c r="B31" s="0" t="n">
        <f aca="false">L19</f>
        <v>11425.3860813585</v>
      </c>
    </row>
    <row r="32" customFormat="false" ht="15" hidden="false" customHeight="false" outlineLevel="0" collapsed="false">
      <c r="A32" s="0" t="s">
        <v>135</v>
      </c>
      <c r="B32" s="0" t="n">
        <f aca="false">IF(B27&gt;B28,B31*(1+B28/100)/((B27-B28)/100),B31*B29)</f>
        <v>260244.9051865</v>
      </c>
    </row>
    <row r="33" customFormat="false" ht="15" hidden="false" customHeight="false" outlineLevel="0" collapsed="false">
      <c r="A33" s="0" t="s">
        <v>136</v>
      </c>
      <c r="B33" s="0" t="n">
        <f aca="false">B31*B29</f>
        <v>182806.177301736</v>
      </c>
    </row>
    <row r="34" customFormat="false" ht="15" hidden="false" customHeight="false" outlineLevel="0" collapsed="false">
      <c r="A34" s="0" t="s">
        <v>137</v>
      </c>
      <c r="B34" s="0" t="n">
        <f aca="false">MAX(0,MIN(B32,B33))</f>
        <v>182806.177301736</v>
      </c>
    </row>
    <row r="35" customFormat="false" ht="15" hidden="false" customHeight="false" outlineLevel="0" collapsed="false">
      <c r="A35" s="0" t="s">
        <v>138</v>
      </c>
      <c r="B35" s="0" t="n">
        <f aca="false">B34/(1+B27/100)^L4</f>
        <v>92929.3908291914</v>
      </c>
    </row>
    <row r="36" customFormat="false" ht="15" hidden="false" customHeight="false" outlineLevel="0" collapsed="false">
      <c r="A36" s="0" t="s">
        <v>139</v>
      </c>
      <c r="B36" s="0" t="n">
        <f aca="false">B30+B35</f>
        <v>157150.491004625</v>
      </c>
    </row>
    <row r="37" customFormat="false" ht="15" hidden="false" customHeight="false" outlineLevel="0" collapsed="false">
      <c r="A37" s="0" t="s">
        <v>140</v>
      </c>
      <c r="B37" s="0" t="n">
        <f aca="false">B36+Assumptions!$B$5-Assumptions!$B$4</f>
        <v>128476.491004625</v>
      </c>
    </row>
    <row r="38" customFormat="false" ht="15" hidden="false" customHeight="false" outlineLevel="0" collapsed="false">
      <c r="A38" s="0" t="s">
        <v>141</v>
      </c>
      <c r="B38" s="0" t="n">
        <f aca="false">B37/Assumptions!$B$3*Assumptions!$B$10</f>
        <v>3162.88751857768</v>
      </c>
    </row>
    <row r="39" customFormat="false" ht="15" hidden="false" customHeight="false" outlineLevel="0" collapsed="false">
      <c r="A39" s="0" t="s">
        <v>142</v>
      </c>
      <c r="B39" s="4" t="n">
        <f aca="false">B38/Assumptions!$B$2-1</f>
        <v>0.807364296330102</v>
      </c>
    </row>
    <row r="41" customFormat="false" ht="15" hidden="false" customHeight="false" outlineLevel="0" collapsed="false">
      <c r="A41" s="0" t="s">
        <v>143</v>
      </c>
      <c r="B41" s="0" t="n">
        <f aca="false">SUMPRODUCT(-C10:L10/(1+$B$27/100)^C4:L4)</f>
        <v>3113.25360590426</v>
      </c>
    </row>
    <row r="42" customFormat="false" ht="15" hidden="false" customHeight="false" outlineLevel="0" collapsed="false">
      <c r="A42" s="0" t="s">
        <v>144</v>
      </c>
      <c r="B42" s="0" t="n">
        <f aca="false">IF(B27&gt;B28,-L10*(1+B28/100)/((B27-B28)/100),-L10*20)/(1+B27/100)^L4</f>
        <v>6186.16617921416</v>
      </c>
    </row>
    <row r="43" customFormat="false" ht="15" hidden="false" customHeight="false" outlineLevel="0" collapsed="false">
      <c r="A43" s="0" t="s">
        <v>145</v>
      </c>
      <c r="B43" s="0" t="n">
        <f aca="false">(B37+B41+B42)/Assumptions!$B$3*Assumptions!$B$10</f>
        <v>3391.82449014633</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93688.1658671399</v>
      </c>
    </row>
    <row r="47" customFormat="false" ht="15" hidden="false" customHeight="false" outlineLevel="0" collapsed="false">
      <c r="A47" s="0" t="s">
        <v>147</v>
      </c>
      <c r="B47" s="0" t="n">
        <f aca="false">(SUMPRODUCT(C19:L19/(1+B45/100)^C4:L4)+B46/(1+B45/100)^L4+Assumptions!$B$5-Assumptions!$B$4)/Assumptions!$B$3*Assumptions!$B$10</f>
        <v>961.463776518696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1347.95675424988</v>
      </c>
      <c r="C4" s="0" t="n">
        <f aca="false">B4/Assumptions!$B$2-1</f>
        <v>-0.229738997571499</v>
      </c>
      <c r="D4" s="4" t="n">
        <f aca="false">Assumptions!$B$24</f>
        <v>0.3</v>
      </c>
      <c r="E4" s="4" t="n">
        <f aca="false">DCF_Bear!$B$43</f>
        <v>1492.91363563715</v>
      </c>
      <c r="F4" s="4" t="n">
        <f aca="false">DCF_Bear!$B$47</f>
        <v>387.238253388156</v>
      </c>
    </row>
    <row r="5" customFormat="false" ht="15" hidden="false" customHeight="false" outlineLevel="0" collapsed="false">
      <c r="A5" s="0" t="s">
        <v>156</v>
      </c>
      <c r="B5" s="4" t="n">
        <f aca="false">DCF_Base!$B$38</f>
        <v>2494.22247264279</v>
      </c>
      <c r="C5" s="0" t="n">
        <f aca="false">B5/Assumptions!$B$2-1</f>
        <v>0.425269984367311</v>
      </c>
      <c r="D5" s="4" t="n">
        <f aca="false">Assumptions!$B$38</f>
        <v>0.5</v>
      </c>
      <c r="E5" s="4" t="n">
        <f aca="false">DCF_Base!$B$43</f>
        <v>2686.80267713579</v>
      </c>
      <c r="F5" s="4" t="n">
        <f aca="false">DCF_Base!$B$47</f>
        <v>744.199792825015</v>
      </c>
    </row>
    <row r="6" customFormat="false" ht="15" hidden="false" customHeight="false" outlineLevel="0" collapsed="false">
      <c r="A6" s="0" t="s">
        <v>157</v>
      </c>
      <c r="B6" s="4" t="n">
        <f aca="false">DCF_Bull!$B$38</f>
        <v>3162.88751857768</v>
      </c>
      <c r="C6" s="0" t="n">
        <f aca="false">B6/Assumptions!$B$2-1</f>
        <v>0.807364296330102</v>
      </c>
      <c r="D6" s="4" t="n">
        <f aca="false">Assumptions!$B$52</f>
        <v>0.2</v>
      </c>
      <c r="E6" s="4" t="n">
        <f aca="false">DCF_Bull!$B$43</f>
        <v>3391.82449014633</v>
      </c>
      <c r="F6" s="4" t="n">
        <f aca="false">DCF_Bull!$B$47</f>
        <v>961.463776518696</v>
      </c>
    </row>
    <row r="8" customFormat="false" ht="15" hidden="false" customHeight="false" outlineLevel="0" collapsed="false">
      <c r="A8" s="0" t="s">
        <v>158</v>
      </c>
      <c r="B8" s="0" t="n">
        <f aca="false">SUMPRODUCT(B4:B6,D4:D6)</f>
        <v>2284.0757663119</v>
      </c>
    </row>
    <row r="9" customFormat="false" ht="15" hidden="false" customHeight="false" outlineLevel="0" collapsed="false">
      <c r="A9" s="0" t="s">
        <v>159</v>
      </c>
      <c r="B9" s="0" t="n">
        <f aca="false">SUMPRODUCT(E4:E6,D4:D6)</f>
        <v>2469.64032728831</v>
      </c>
    </row>
    <row r="10" customFormat="false" ht="15" hidden="false" customHeight="false" outlineLevel="0" collapsed="false">
      <c r="A10" s="0" t="s">
        <v>160</v>
      </c>
      <c r="B10" s="0" t="n">
        <f aca="false">1-Assumptions!$B$2/B8</f>
        <v>0.233825766285446</v>
      </c>
    </row>
    <row r="11" customFormat="false" ht="15" hidden="false" customHeight="false" outlineLevel="0" collapsed="false">
      <c r="A11" s="0" t="s">
        <v>161</v>
      </c>
      <c r="B11" s="0" t="n">
        <f aca="false">IF(ABS(B9-B8)&gt;0.01*ABS(B8),(Assumptions!$B$2-B8)/(B9-B8)*100,"n/a")</f>
        <v>-287.811295164163</v>
      </c>
    </row>
    <row r="12" customFormat="false" ht="15" hidden="false" customHeight="false" outlineLevel="0" collapsed="false">
      <c r="A12" s="0" t="s">
        <v>162</v>
      </c>
      <c r="B12" s="0" t="n">
        <f aca="false">SUMPRODUCT(F4:F6,D4:D6)</f>
        <v>680.564127732693</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2494.22247264279</v>
      </c>
      <c r="C15" s="3" t="n">
        <v>7</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2022.69892559783</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1675.59944908492</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1405.96241166972</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1190.52692761996</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744.199792825015</v>
      </c>
      <c r="C20" s="3" t="n">
        <v>15</v>
      </c>
    </row>
    <row r="22" customFormat="false" ht="15" hidden="false" customHeight="false" outlineLevel="0" collapsed="false">
      <c r="A22" s="2" t="s">
        <v>171</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3012.25774355801</v>
      </c>
      <c r="C24" s="0" t="n">
        <f aca="false">(SUMPRODUCT(DCF_Base!$C$19:$L$19/(1+$A$24/100)^DCF_Base!$C$4:$L$4)+MAX(0,MIN(IF($A$24&gt;$C$23,DCF_Base!$L$19*(1+$C$23/100)/(($A$24-$C$23)/100),DCF_Base!$L$19*DCF_Base!$B$29),DCF_Base!$L$19*DCF_Base!$B$29))/(1+$A$24/100)^DCF_Base!$L$4+Assumptions!$B$5-Assumptions!$B$4)/Assumptions!$B$3*Assumptions!$B$10</f>
        <v>3012.25774355801</v>
      </c>
      <c r="D24" s="0" t="n">
        <f aca="false">(SUMPRODUCT(DCF_Base!$C$19:$L$19/(1+$A$24/100)^DCF_Base!$C$4:$L$4)+MAX(0,MIN(IF($A$24&gt;$D$23,DCF_Base!$L$19*(1+$D$23/100)/(($A$24-$D$23)/100),DCF_Base!$L$19*DCF_Base!$B$29),DCF_Base!$L$19*DCF_Base!$B$29))/(1+$A$24/100)^DCF_Base!$L$4+Assumptions!$B$5-Assumptions!$B$4)/Assumptions!$B$3*Assumptions!$B$10</f>
        <v>3012.25774355801</v>
      </c>
      <c r="E24" s="0" t="n">
        <f aca="false">(SUMPRODUCT(DCF_Base!$C$19:$L$19/(1+$A$24/100)^DCF_Base!$C$4:$L$4)+MAX(0,MIN(IF($A$24&gt;$E$23,DCF_Base!$L$19*(1+$E$23/100)/(($A$24-$E$23)/100),DCF_Base!$L$19*DCF_Base!$B$29),DCF_Base!$L$19*DCF_Base!$B$29))/(1+$A$24/100)^DCF_Base!$L$4+Assumptions!$B$5-Assumptions!$B$4)/Assumptions!$B$3*Assumptions!$B$10</f>
        <v>3012.25774355801</v>
      </c>
      <c r="F24" s="0" t="n">
        <f aca="false">(SUMPRODUCT(DCF_Base!$C$19:$L$19/(1+$A$24/100)^DCF_Base!$C$4:$L$4)+MAX(0,MIN(IF($A$24&gt;$F$23,DCF_Base!$L$19*(1+$F$23/100)/(($A$24-$F$23)/100),DCF_Base!$L$19*DCF_Base!$B$29),DCF_Base!$L$19*DCF_Base!$B$29))/(1+$A$24/100)^DCF_Base!$L$4+Assumptions!$B$5-Assumptions!$B$4)/Assumptions!$B$3*Assumptions!$B$10</f>
        <v>3012.25774355801</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2740.91800280323</v>
      </c>
      <c r="C25" s="0" t="n">
        <f aca="false">(SUMPRODUCT(DCF_Base!$C$19:$L$19/(1+$A$25/100)^DCF_Base!$C$4:$L$4)+MAX(0,MIN(IF($A$25&gt;$C$23,DCF_Base!$L$19*(1+$C$23/100)/(($A$25-$C$23)/100),DCF_Base!$L$19*DCF_Base!$B$29),DCF_Base!$L$19*DCF_Base!$B$29))/(1+$A$25/100)^DCF_Base!$L$4+Assumptions!$B$5-Assumptions!$B$4)/Assumptions!$B$3*Assumptions!$B$10</f>
        <v>2740.91800280323</v>
      </c>
      <c r="D25" s="0" t="n">
        <f aca="false">(SUMPRODUCT(DCF_Base!$C$19:$L$19/(1+$A$25/100)^DCF_Base!$C$4:$L$4)+MAX(0,MIN(IF($A$25&gt;$D$23,DCF_Base!$L$19*(1+$D$23/100)/(($A$25-$D$23)/100),DCF_Base!$L$19*DCF_Base!$B$29),DCF_Base!$L$19*DCF_Base!$B$29))/(1+$A$25/100)^DCF_Base!$L$4+Assumptions!$B$5-Assumptions!$B$4)/Assumptions!$B$3*Assumptions!$B$10</f>
        <v>2740.91800280323</v>
      </c>
      <c r="E25" s="0" t="n">
        <f aca="false">(SUMPRODUCT(DCF_Base!$C$19:$L$19/(1+$A$25/100)^DCF_Base!$C$4:$L$4)+MAX(0,MIN(IF($A$25&gt;$E$23,DCF_Base!$L$19*(1+$E$23/100)/(($A$25-$E$23)/100),DCF_Base!$L$19*DCF_Base!$B$29),DCF_Base!$L$19*DCF_Base!$B$29))/(1+$A$25/100)^DCF_Base!$L$4+Assumptions!$B$5-Assumptions!$B$4)/Assumptions!$B$3*Assumptions!$B$10</f>
        <v>2740.91800280323</v>
      </c>
      <c r="F25" s="0" t="n">
        <f aca="false">(SUMPRODUCT(DCF_Base!$C$19:$L$19/(1+$A$25/100)^DCF_Base!$C$4:$L$4)+MAX(0,MIN(IF($A$25&gt;$F$23,DCF_Base!$L$19*(1+$F$23/100)/(($A$25-$F$23)/100),DCF_Base!$L$19*DCF_Base!$B$29),DCF_Base!$L$19*DCF_Base!$B$29))/(1+$A$25/100)^DCF_Base!$L$4+Assumptions!$B$5-Assumptions!$B$4)/Assumptions!$B$3*Assumptions!$B$10</f>
        <v>2740.91800280323</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2494.22247264279</v>
      </c>
      <c r="C26" s="0" t="n">
        <f aca="false">(SUMPRODUCT(DCF_Base!$C$19:$L$19/(1+$A$26/100)^DCF_Base!$C$4:$L$4)+MAX(0,MIN(IF($A$26&gt;$C$23,DCF_Base!$L$19*(1+$C$23/100)/(($A$26-$C$23)/100),DCF_Base!$L$19*DCF_Base!$B$29),DCF_Base!$L$19*DCF_Base!$B$29))/(1+$A$26/100)^DCF_Base!$L$4+Assumptions!$B$5-Assumptions!$B$4)/Assumptions!$B$3*Assumptions!$B$10</f>
        <v>2494.22247264279</v>
      </c>
      <c r="D26" s="0" t="n">
        <f aca="false">(SUMPRODUCT(DCF_Base!$C$19:$L$19/(1+$A$26/100)^DCF_Base!$C$4:$L$4)+MAX(0,MIN(IF($A$26&gt;$D$23,DCF_Base!$L$19*(1+$D$23/100)/(($A$26-$D$23)/100),DCF_Base!$L$19*DCF_Base!$B$29),DCF_Base!$L$19*DCF_Base!$B$29))/(1+$A$26/100)^DCF_Base!$L$4+Assumptions!$B$5-Assumptions!$B$4)/Assumptions!$B$3*Assumptions!$B$10</f>
        <v>2494.22247264279</v>
      </c>
      <c r="E26" s="0" t="n">
        <f aca="false">(SUMPRODUCT(DCF_Base!$C$19:$L$19/(1+$A$26/100)^DCF_Base!$C$4:$L$4)+MAX(0,MIN(IF($A$26&gt;$E$23,DCF_Base!$L$19*(1+$E$23/100)/(($A$26-$E$23)/100),DCF_Base!$L$19*DCF_Base!$B$29),DCF_Base!$L$19*DCF_Base!$B$29))/(1+$A$26/100)^DCF_Base!$L$4+Assumptions!$B$5-Assumptions!$B$4)/Assumptions!$B$3*Assumptions!$B$10</f>
        <v>2494.22247264279</v>
      </c>
      <c r="F26" s="0" t="n">
        <f aca="false">(SUMPRODUCT(DCF_Base!$C$19:$L$19/(1+$A$26/100)^DCF_Base!$C$4:$L$4)+MAX(0,MIN(IF($A$26&gt;$F$23,DCF_Base!$L$19*(1+$F$23/100)/(($A$26-$F$23)/100),DCF_Base!$L$19*DCF_Base!$B$29),DCF_Base!$L$19*DCF_Base!$B$29))/(1+$A$26/100)^DCF_Base!$L$4+Assumptions!$B$5-Assumptions!$B$4)/Assumptions!$B$3*Assumptions!$B$10</f>
        <v>2494.22247264279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2207.83391621666</v>
      </c>
      <c r="C27" s="0" t="n">
        <f aca="false">(SUMPRODUCT(DCF_Base!$C$19:$L$19/(1+$A$27/100)^DCF_Base!$C$4:$L$4)+MAX(0,MIN(IF($A$27&gt;$C$23,DCF_Base!$L$19*(1+$C$23/100)/(($A$27-$C$23)/100),DCF_Base!$L$19*DCF_Base!$B$29),DCF_Base!$L$19*DCF_Base!$B$29))/(1+$A$27/100)^DCF_Base!$L$4+Assumptions!$B$5-Assumptions!$B$4)/Assumptions!$B$3*Assumptions!$B$10</f>
        <v>2269.65581316956</v>
      </c>
      <c r="D27" s="0" t="n">
        <f aca="false">(SUMPRODUCT(DCF_Base!$C$19:$L$19/(1+$A$27/100)^DCF_Base!$C$4:$L$4)+MAX(0,MIN(IF($A$27&gt;$D$23,DCF_Base!$L$19*(1+$D$23/100)/(($A$27-$D$23)/100),DCF_Base!$L$19*DCF_Base!$B$29),DCF_Base!$L$19*DCF_Base!$B$29))/(1+$A$27/100)^DCF_Base!$L$4+Assumptions!$B$5-Assumptions!$B$4)/Assumptions!$B$3*Assumptions!$B$10</f>
        <v>2269.65581316956</v>
      </c>
      <c r="E27" s="0" t="n">
        <f aca="false">(SUMPRODUCT(DCF_Base!$C$19:$L$19/(1+$A$27/100)^DCF_Base!$C$4:$L$4)+MAX(0,MIN(IF($A$27&gt;$E$23,DCF_Base!$L$19*(1+$E$23/100)/(($A$27-$E$23)/100),DCF_Base!$L$19*DCF_Base!$B$29),DCF_Base!$L$19*DCF_Base!$B$29))/(1+$A$27/100)^DCF_Base!$L$4+Assumptions!$B$5-Assumptions!$B$4)/Assumptions!$B$3*Assumptions!$B$10</f>
        <v>2269.65581316956</v>
      </c>
      <c r="F27" s="0" t="n">
        <f aca="false">(SUMPRODUCT(DCF_Base!$C$19:$L$19/(1+$A$27/100)^DCF_Base!$C$4:$L$4)+MAX(0,MIN(IF($A$27&gt;$F$23,DCF_Base!$L$19*(1+$F$23/100)/(($A$27-$F$23)/100),DCF_Base!$L$19*DCF_Base!$B$29),DCF_Base!$L$19*DCF_Base!$B$29))/(1+$A$27/100)^DCF_Base!$L$4+Assumptions!$B$5-Assumptions!$B$4)/Assumptions!$B$3*Assumptions!$B$10</f>
        <v>2269.65581316956</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1830.65904734135</v>
      </c>
      <c r="C28" s="0" t="n">
        <f aca="false">(SUMPRODUCT(DCF_Base!$C$19:$L$19/(1+$A$28/100)^DCF_Base!$C$4:$L$4)+MAX(0,MIN(IF($A$28&gt;$C$23,DCF_Base!$L$19*(1+$C$23/100)/(($A$28-$C$23)/100),DCF_Base!$L$19*DCF_Base!$B$29),DCF_Base!$L$19*DCF_Base!$B$29))/(1+$A$28/100)^DCF_Base!$L$4+Assumptions!$B$5-Assumptions!$B$4)/Assumptions!$B$3*Assumptions!$B$10</f>
        <v>1920.27765719437</v>
      </c>
      <c r="D28" s="0" t="n">
        <f aca="false">(SUMPRODUCT(DCF_Base!$C$19:$L$19/(1+$A$28/100)^DCF_Base!$C$4:$L$4)+MAX(0,MIN(IF($A$28&gt;$D$23,DCF_Base!$L$19*(1+$D$23/100)/(($A$28-$D$23)/100),DCF_Base!$L$19*DCF_Base!$B$29),DCF_Base!$L$19*DCF_Base!$B$29))/(1+$A$28/100)^DCF_Base!$L$4+Assumptions!$B$5-Assumptions!$B$4)/Assumptions!$B$3*Assumptions!$B$10</f>
        <v>2022.69892559783</v>
      </c>
      <c r="E28" s="0" t="n">
        <f aca="false">(SUMPRODUCT(DCF_Base!$C$19:$L$19/(1+$A$28/100)^DCF_Base!$C$4:$L$4)+MAX(0,MIN(IF($A$28&gt;$E$23,DCF_Base!$L$19*(1+$E$23/100)/(($A$28-$E$23)/100),DCF_Base!$L$19*DCF_Base!$B$29),DCF_Base!$L$19*DCF_Base!$B$29))/(1+$A$28/100)^DCF_Base!$L$4+Assumptions!$B$5-Assumptions!$B$4)/Assumptions!$B$3*Assumptions!$B$10</f>
        <v>2064.98293548916</v>
      </c>
      <c r="F28" s="0" t="n">
        <f aca="false">(SUMPRODUCT(DCF_Base!$C$19:$L$19/(1+$A$28/100)^DCF_Base!$C$4:$L$4)+MAX(0,MIN(IF($A$28&gt;$F$23,DCF_Base!$L$19*(1+$F$23/100)/(($A$28-$F$23)/100),DCF_Base!$L$19*DCF_Base!$B$29),DCF_Base!$L$19*DCF_Base!$B$29))/(1+$A$28/100)^DCF_Base!$L$4+Assumptions!$B$5-Assumptions!$B$4)/Assumptions!$B$3*Assumptions!$B$10</f>
        <v>2064.98293548916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2026-10-09T23:19:31Z</dcterms:created>
  <dc:creator>openpyxl</dc:creator>
  <dc:description/>
  <dc:language>en-NZ</dc:language>
  <cp:lastModifiedBy/>
  <dcterms:modified xsi:type="dcterms:W3CDTF">2026-10-09T23:19:31Z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