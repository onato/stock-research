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<sst xmlns="http://schemas.openxmlformats.org/spreadsheetml/2006/main" count="354" uniqueCount="164">
  <si>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</si>
  <si>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PSN.L</t>
  </si>
  <si>
    <t xml:space="preserve">Company</t>
  </si>
  <si>
    <t xml:space="preserve">Persimmon Plc</t>
  </si>
  <si>
    <t xml:space="preserve">Valuation date</t>
  </si>
  <si>
    <t xml:space="preserve">2026-10-10</t>
  </si>
  <si>
    <t xml:space="preserve">Current price</t>
  </si>
  <si>
    <t xml:space="preserve">Price as of</t>
  </si>
  <si>
    <t xml:space="preserve">2026-10-09T15:35:07Z regular session close (LSE)</t>
  </si>
  <si>
    <t xml:space="preserve">Balance sheet date</t>
  </si>
  <si>
    <t xml:space="preserve">2026-06-30</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</si>
  <si>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</si>
  <si>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</si>
  <si>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</si>
  <si>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</si>
  <si>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</si>
  <si>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</si>
  <si>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</si>
  <si>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</si>
  <si>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</si>
  <si>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</si>
  <si>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</si>
  <si>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2026-10-10T01:08:35Z</t>
  </si>
  <si>
    <t xml:space="preserve">Drivers file</t>
  </si>
  <si>
    <t xml:space="preserve">PSN.L_Drivers.json</t>
  </si>
  <si>
    <t xml:space="preserve">Convention</t>
  </si>
  <si>
    <t xml:space="preserve">Percents stored as percents; formulas divide by 100. Blue = input, green = link, black = formula.</t>
  </si>
  <si>
    <t xml:space="preserve">Methodology</t>
  </si>
  <si>
    <t xml:space="preserve">summary: A cyclical volume housebuilder valued on mid-cycle owner FCF, not on FY2025 trough earnings and not on the FY2018-21 Help-to-Buy peak. The two judgments that drive the number are the mature EBITDA margin (base 16.5% vs a 20.7% through-cycle mean and management's 20% ambition) and the working-capital intensity of growth (-80% of revenue change), which is why reported FCF has been negative for three of the last four years while underlying profit rose. Intrinsic value lands close to net assets per share (GBP11.25), which is where a housebuilder earning a ROCE near its cost of capital should trade; the bull case is a bet on the 20% ROCE ambition, which would justify a material premium to book, and the bear case is a conventional downturn in which the land bank still holds value. The balance sheet (GBP1bn facilities, negligible debt before the 2026 land investment) means the bear case is a de-rating, not a solvency event.
key_risks_to_valuation: Mature margin assumption: each 1pp of terminal EBITDA margin is worth roughly 90-100p/share; the base 16.5% could prove optimistic if housing-association mix and the Building Safety Levy are more structural than assumed, or pessimistic if the 20% ambition is met.; Working-capital capture: if Persimmon sustains the FY2024-26 pace of land and WIP investment beyond the outlet build-out, FCF stays depressed for longer than modelled; conversely a shift to capital-light partnerships would lift conversion.; Cladding remediation liability (GBP205.6m provision) could rise if further defects are identified; it is deducted at book in the bridge with no contingency.; The 30 June 2026 net-debt anchor is the seasonal peak; a year-end anchor would add ~30-45p/share. Deliberately conservative.; UK mortgage rates and fiscal policy drive the cycle timing; the bear path assumes a 2027-28 downturn but the scenario weights, not the WACC, carry that risk.</t>
  </si>
  <si>
    <t xml:space="preserve">Data sources</t>
  </si>
  <si>
    <t xml:space="preserve">price: Yahoo Finance chart API (LSE regular session) at inputs.price_as_of; 52-week range 947.4-1552.0 GBp. Quote in pence; fx_rate 100 to GBP.
financials: PSN.L_Metrics.csv (FY2018-FY2025 annual, H1 FY2024-FY2026 interim, GBP millions) derived from core_metrics; balance sheet, net cash reconciliation (note 13), legacy buildings provision (note 11), dividend liability (note 7) and diluted EPS basis (note 6) from PSN.L_HalfYear_H1-2026.txt; FY2026 company-compiled consensus (2 August 2026: 12,242 homes, underlying operating profit GBP491m, underlying PBT GBP454m) from the H1 FY2026 statement footnote 1; capital allocation and facilities (GBP1bn committed to July 2030 / January 2028) from PSN.L_Annual_FY2025.txt.
qualitative: PSN.L_Analysis.json (2026-10-10): bull/bear cases, risks (build-cost inflation, gross-margin erosion, cladding liability, Building Safety Levy), growth drivers (outlets to 300, Charles Church to ~2,000, Westbury, strategic land ~93k plots), medium-term 20% margin / 20% ROCE ambition.</t>
  </si>
  <si>
    <t xml:space="preserve">Scenario narrative: bear</t>
  </si>
  <si>
    <t xml:space="preserve">Mortgage rates stay sticky, the Autumn Budget's fiscal tightening and the mansion tax dent sentiment, and the softer net private sales rate already visible after H1 FY2026 becomes a 2027-28 downturn: revenue falls ~11% peak-to-trough, incentives rise, the GBP40-50m build-cost headwind lands largely unmitigated, and the EBITDA margin troughs at 9% with NRV provisions and H2 FY2026 restructuring charges. Recovery is slow and partial -- the margin settles at 12% because the housing-association mix, the Building Safety Levy and cladding costs (which could grow if further defects are found) are structural. Destocking releases working capital in the downturn, which keeps FCF positive, but the terminal business is a low-growth, 12%-margin volume builder capped at 12x FCF.</t>
  </si>
  <si>
    <t xml:space="preserve">Scenario narrative: base</t>
  </si>
  <si>
    <t xml:space="preserve">Persimmon delivers the FY2026 consensus (c.12,500 completions, underlying operating profit ~GBP491m) and grows volumes mid-single-digit through outlet expansion from 273 toward 300 and the strategic land bank, with house-price inflation of 2-3%. Margins recover slowly from the FY2025 trough as higher-margin strategic land (embedded site margin ~27%) replaces legacy plots and Charles Church scales, but the 2027 cost-inflation headwind, the Building Safety Levy and a permanently higher housing-association mix hold the mature EBITDA margin at ~16.5%, below the 20.7% through-cycle mean and short of the 20% ambition. Working capital absorbs ~80% of each year's revenue growth, so owner FCF conversion stays well below NOPAT; the GBP205.6m cladding provision is paid down from cash. Terminal value is Gordon at 2% growth, inside the 14x cap.</t>
  </si>
  <si>
    <t xml:space="preserve">Scenario narrative: bull</t>
  </si>
  <si>
    <t xml:space="preserve">The structural undersupply thesis plays out: planning reform (Planning and Infrastructure Act), the GBP39bn Affordable Housing Programme and falling mortgage rates lift completions 7-8% a year through FY2029 while Persimmon keeps taking share from Barratt Redrow, Taylor Wimpey and Vistry on its lowest-in-sector build cost. Charles Church doubles to ~2,000 homes, Westbury grows capital-light, Brickworks capacity expansion and Space4 timber frame absorb cost inflation, and the 20% housing operating margin / 20% ROCE ambition is met by FY2032. Asset turns improve so working capital absorbs only ~65% of growth. Mature margins still sit 8pp below the FY2018-19 peak -- this is a recovery to mid-cycle-plus, not a return to the Help-to-Buy era.</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</si>
  <si>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</si>
  <si>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</si>
  <si>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</si>
  <si>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</si>
  <si>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</si>
  <si>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</si>
  <si>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</si>
  <si>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</si>
  <si>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</si>
  <si>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</si>
  <si>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</si>
  <si>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</si>
  <si>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</si>
  <si>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</si>
  <si>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</si>
  <si>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</si>
  <si>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</si>
  <si>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</si>
  <si>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</si>
  <si>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</si>
  <si>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</si>
  <si>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</si>
  <si>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</si>
  <si>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</si>
  <si>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</si>
  <si>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</si>
  <si>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</si>
  <si>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AdjustedOperatingProfit</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</si>
  <si>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</si>
  <si>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</si>
  <si>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</si>
  <si>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</si>
  <si>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</si>
  <si>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</si>
  <si>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</si>
  <si>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</si>
  <si>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</si>
  <si>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</si>
  <si>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</si>
  <si>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</si>
  <si>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</si>
  <si>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</si>
  <si>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</si>
  <si>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</si>
  <si>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</si>
  <si>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</si>
  <si>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</si>
  <si>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</si>
  <si>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</si>
  <si>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</si>
  <si>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</si>
  <si>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</si>
  <si>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</si>
  <si>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</si>
  <si>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</si>
  <si>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</si>
  <si>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</si>
  <si>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</si>
  <si>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</si>
  <si>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</si>
  <si>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</si>
  <si>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</si>
  <si>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</si>
  <si>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</si>
  <si>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</si>
  <si>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</si>
  <si>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</si>
  <si>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</si>
  <si>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</si>
  <si>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</si>
  <si>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</si>
  <si>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</si>
  <si>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</si>
  <si>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PSN.L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</si>
  <si>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</si>
  <si>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</si>
  <si>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</si>
  <si>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</si>
  <si>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</si>
  <si>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</si>
  <si>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</si>
  <si>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</si>
  <si>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</si>
  <si>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</si>
  <si>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</si>
  <si>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</si>
  <si>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</si>
  <si>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</si>
  <si>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</si>
  <si>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</si>
  <si>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</si>
  <si>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</si>
  <si>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</si>
  <si>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</si>
  <si>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</si>
  <si>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</si>
  <si>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</si>
  <si>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</si>
  <si>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</si>
  <si>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</si>
  <si>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</si>
  <si>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</si>
  <si>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</si>
  <si>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</si>
  <si>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PSN.L owner-FCF component DCF: base case (millions, GBP)</t>
  </si>
  <si>
    <t xml:space="preserve">PSN.L owner-FCF component DCF: bull case (millions, GBP)</t>
  </si>
  <si>
    <t xml:space="preserve">PSN.L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</si>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</sst>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1199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3737.6</v>
      </c>
      <c r="C2" s="0" t="n">
        <v>2557.7</v>
      </c>
      <c r="D2" s="0" t="n">
        <v>1179.9</v>
      </c>
      <c r="E2" s="0" t="n">
        <v>31.6</v>
      </c>
      <c r="F2" s="0" t="n">
        <v>1082.7</v>
      </c>
      <c r="G2" s="0" t="n">
        <v>29</v>
      </c>
      <c r="H2" s="0" t="n">
        <v>1092.7</v>
      </c>
      <c r="I2" s="0" t="n">
        <v>886.4</v>
      </c>
      <c r="J2" s="0" t="n">
        <v>23.7</v>
      </c>
      <c r="K2" s="0" t="n">
        <v>2.833</v>
      </c>
      <c r="L2" s="0" t="n">
        <v>654.3</v>
      </c>
      <c r="M2" s="0" t="n">
        <v>15.5</v>
      </c>
      <c r="N2" s="0" t="n">
        <v>638.8</v>
      </c>
      <c r="O2" s="0" t="n">
        <v>3194.5</v>
      </c>
      <c r="P2" s="0" t="n">
        <v>4651.7</v>
      </c>
      <c r="Q2" s="0" t="n">
        <v>1457.2</v>
      </c>
      <c r="R2" s="0" t="n">
        <v>0</v>
      </c>
      <c r="S2" s="0" t="n">
        <v>1048.1</v>
      </c>
      <c r="T2" s="0" t="n">
        <v>315.7</v>
      </c>
      <c r="U2" s="0" t="n">
        <v>7.9</v>
      </c>
      <c r="Z2" s="0" t="n">
        <v>1091.9</v>
      </c>
      <c r="AA2" s="0" t="s">
        <v>18</v>
      </c>
      <c r="AB2" s="0" t="s">
        <v>14</v>
      </c>
      <c r="AC2" s="0" t="n">
        <v>1091.9</v>
      </c>
    </row>
    <row r="3" customFormat="false" ht="15" hidden="false" customHeight="false" outlineLevel="0" collapsed="false">
      <c r="A3" s="0" t="s">
        <v>66</v>
      </c>
      <c r="B3" s="0" t="n">
        <v>3649.4</v>
      </c>
      <c r="C3" s="0" t="n">
        <v>2518.7</v>
      </c>
      <c r="D3" s="0" t="n">
        <v>1130.7</v>
      </c>
      <c r="E3" s="0" t="n">
        <v>31</v>
      </c>
      <c r="F3" s="0" t="n">
        <v>1029.4</v>
      </c>
      <c r="G3" s="0" t="n">
        <v>28.2</v>
      </c>
      <c r="H3" s="0" t="n">
        <v>1042.7</v>
      </c>
      <c r="I3" s="0" t="n">
        <v>848.8</v>
      </c>
      <c r="J3" s="0" t="n">
        <v>23.3</v>
      </c>
      <c r="K3" s="0" t="n">
        <v>2.668</v>
      </c>
      <c r="L3" s="0" t="n">
        <v>620</v>
      </c>
      <c r="M3" s="0" t="n">
        <v>27.5</v>
      </c>
      <c r="N3" s="0" t="n">
        <v>592.5</v>
      </c>
      <c r="O3" s="0" t="n">
        <v>3258.3</v>
      </c>
      <c r="P3" s="0" t="n">
        <v>4489.3</v>
      </c>
      <c r="Q3" s="0" t="n">
        <v>1231</v>
      </c>
      <c r="R3" s="0" t="n">
        <v>0</v>
      </c>
      <c r="S3" s="0" t="n">
        <v>843.9</v>
      </c>
      <c r="T3" s="0" t="n">
        <v>318.7</v>
      </c>
      <c r="U3" s="0" t="n">
        <v>3.7</v>
      </c>
      <c r="Z3" s="0" t="n">
        <v>1036.7</v>
      </c>
      <c r="AA3" s="0" t="s">
        <v>18</v>
      </c>
      <c r="AB3" s="0" t="s">
        <v>14</v>
      </c>
      <c r="AC3" s="0" t="n">
        <v>1036.7</v>
      </c>
    </row>
    <row r="4" customFormat="false" ht="15" hidden="false" customHeight="false" outlineLevel="0" collapsed="false">
      <c r="A4" s="0" t="s">
        <v>67</v>
      </c>
      <c r="B4" s="0" t="n">
        <v>3328.3</v>
      </c>
      <c r="C4" s="0" t="n">
        <v>2433.9</v>
      </c>
      <c r="D4" s="0" t="n">
        <v>894.4</v>
      </c>
      <c r="E4" s="0" t="n">
        <v>26.9</v>
      </c>
      <c r="F4" s="0" t="n">
        <v>783.5</v>
      </c>
      <c r="G4" s="0" t="n">
        <v>23.5</v>
      </c>
      <c r="H4" s="0" t="n">
        <v>797.6</v>
      </c>
      <c r="I4" s="0" t="n">
        <v>638.4</v>
      </c>
      <c r="J4" s="0" t="n">
        <v>19.2</v>
      </c>
      <c r="K4" s="0" t="n">
        <v>2.003</v>
      </c>
      <c r="L4" s="0" t="n">
        <v>765.5</v>
      </c>
      <c r="M4" s="0" t="n">
        <v>18.9</v>
      </c>
      <c r="N4" s="0" t="n">
        <v>746.6</v>
      </c>
      <c r="O4" s="0" t="n">
        <v>3518.4</v>
      </c>
      <c r="P4" s="0" t="n">
        <v>4623.1</v>
      </c>
      <c r="Q4" s="0" t="n">
        <v>1104.7</v>
      </c>
      <c r="R4" s="0" t="n">
        <v>0</v>
      </c>
      <c r="S4" s="0" t="n">
        <v>1234.1</v>
      </c>
      <c r="T4" s="0" t="n">
        <v>319.8</v>
      </c>
      <c r="U4" s="0" t="n">
        <v>6.4</v>
      </c>
      <c r="Z4" s="0" t="n">
        <v>862.8</v>
      </c>
      <c r="AA4" s="0" t="s">
        <v>18</v>
      </c>
      <c r="AB4" s="0" t="s">
        <v>14</v>
      </c>
      <c r="AC4" s="0" t="n">
        <v>862.8</v>
      </c>
    </row>
    <row r="5" customFormat="false" ht="15" hidden="false" customHeight="false" outlineLevel="0" collapsed="false">
      <c r="A5" s="0" t="s">
        <v>68</v>
      </c>
      <c r="B5" s="0" t="n">
        <v>3610.5</v>
      </c>
      <c r="C5" s="0" t="n">
        <v>2526.7</v>
      </c>
      <c r="D5" s="0" t="n">
        <v>1083.8</v>
      </c>
      <c r="E5" s="0" t="n">
        <v>30</v>
      </c>
      <c r="F5" s="0" t="n">
        <v>960.5</v>
      </c>
      <c r="G5" s="0" t="n">
        <v>26.6</v>
      </c>
      <c r="H5" s="0" t="n">
        <v>975</v>
      </c>
      <c r="I5" s="0" t="n">
        <v>787.2</v>
      </c>
      <c r="J5" s="0" t="n">
        <v>21.8</v>
      </c>
      <c r="K5" s="0" t="n">
        <v>2.468</v>
      </c>
      <c r="L5" s="0" t="n">
        <v>784.8</v>
      </c>
      <c r="M5" s="0" t="n">
        <v>20.9</v>
      </c>
      <c r="N5" s="0" t="n">
        <v>763.9</v>
      </c>
      <c r="O5" s="0" t="n">
        <v>3625.2</v>
      </c>
      <c r="P5" s="0" t="n">
        <v>4792.2</v>
      </c>
      <c r="Q5" s="0" t="n">
        <v>1167</v>
      </c>
      <c r="R5" s="0" t="n">
        <v>0</v>
      </c>
      <c r="S5" s="0" t="n">
        <v>1246.6</v>
      </c>
      <c r="T5" s="0" t="n">
        <v>320.5</v>
      </c>
      <c r="U5" s="0" t="n">
        <v>6.4</v>
      </c>
      <c r="Z5" s="0" t="n">
        <v>966.7</v>
      </c>
      <c r="AA5" s="0" t="s">
        <v>18</v>
      </c>
      <c r="AB5" s="0" t="s">
        <v>14</v>
      </c>
      <c r="AC5" s="0" t="n">
        <v>966.7</v>
      </c>
    </row>
    <row r="6" customFormat="false" ht="15" hidden="false" customHeight="false" outlineLevel="0" collapsed="false">
      <c r="A6" s="0" t="s">
        <v>69</v>
      </c>
      <c r="B6" s="0" t="n">
        <v>3815.8</v>
      </c>
      <c r="C6" s="0" t="n">
        <v>2948.3</v>
      </c>
      <c r="D6" s="0" t="n">
        <v>867.5</v>
      </c>
      <c r="E6" s="0" t="n">
        <v>22.7</v>
      </c>
      <c r="F6" s="0" t="n">
        <v>724.9</v>
      </c>
      <c r="G6" s="0" t="n">
        <v>19</v>
      </c>
      <c r="H6" s="0" t="n">
        <v>740.7</v>
      </c>
      <c r="I6" s="0" t="n">
        <v>561</v>
      </c>
      <c r="J6" s="0" t="n">
        <v>14.7</v>
      </c>
      <c r="K6" s="0" t="n">
        <v>1.758</v>
      </c>
      <c r="L6" s="0" t="n">
        <v>402.3</v>
      </c>
      <c r="M6" s="0" t="n">
        <v>30.5</v>
      </c>
      <c r="N6" s="0" t="n">
        <v>371.8</v>
      </c>
      <c r="O6" s="0" t="n">
        <v>3439.3</v>
      </c>
      <c r="P6" s="0" t="n">
        <v>5034.1</v>
      </c>
      <c r="Q6" s="0" t="n">
        <v>1594.8</v>
      </c>
      <c r="R6" s="0" t="n">
        <v>0</v>
      </c>
      <c r="S6" s="0" t="n">
        <v>861.6</v>
      </c>
      <c r="T6" s="0" t="n">
        <v>321.9</v>
      </c>
      <c r="U6" s="0" t="n">
        <v>9</v>
      </c>
      <c r="Z6" s="0" t="n">
        <v>1006.5</v>
      </c>
      <c r="AA6" s="0" t="s">
        <v>18</v>
      </c>
      <c r="AB6" s="0" t="s">
        <v>14</v>
      </c>
      <c r="AC6" s="0" t="n">
        <v>1006.5</v>
      </c>
    </row>
    <row r="7" customFormat="false" ht="15" hidden="false" customHeight="false" outlineLevel="0" collapsed="false">
      <c r="A7" s="0" t="s">
        <v>70</v>
      </c>
      <c r="B7" s="0" t="n">
        <v>2773.2</v>
      </c>
      <c r="C7" s="0" t="n">
        <v>2253.1</v>
      </c>
      <c r="D7" s="0" t="n">
        <v>520.1</v>
      </c>
      <c r="E7" s="0" t="n">
        <v>18.8</v>
      </c>
      <c r="F7" s="0" t="n">
        <v>346.9</v>
      </c>
      <c r="G7" s="0" t="n">
        <v>12.5</v>
      </c>
      <c r="H7" s="0" t="n">
        <v>365.6</v>
      </c>
      <c r="I7" s="0" t="n">
        <v>255.4</v>
      </c>
      <c r="J7" s="0" t="n">
        <v>9.2</v>
      </c>
      <c r="K7" s="0" t="n">
        <v>0.8</v>
      </c>
      <c r="L7" s="0" t="n">
        <v>-129.8</v>
      </c>
      <c r="M7" s="0" t="n">
        <v>36.4</v>
      </c>
      <c r="N7" s="0" t="n">
        <v>-166.2</v>
      </c>
      <c r="O7" s="0" t="n">
        <v>3418.5</v>
      </c>
      <c r="P7" s="0" t="n">
        <v>4787.8</v>
      </c>
      <c r="Q7" s="0" t="n">
        <v>1369.3</v>
      </c>
      <c r="R7" s="0" t="n">
        <v>0</v>
      </c>
      <c r="S7" s="0" t="n">
        <v>420.1</v>
      </c>
      <c r="T7" s="0" t="n">
        <v>321.3</v>
      </c>
      <c r="U7" s="0" t="n">
        <v>4.5</v>
      </c>
      <c r="Z7" s="0" t="n">
        <v>354.5</v>
      </c>
      <c r="AA7" s="0" t="s">
        <v>18</v>
      </c>
      <c r="AB7" s="0" t="s">
        <v>14</v>
      </c>
      <c r="AC7" s="0" t="n">
        <v>354.5</v>
      </c>
    </row>
    <row r="8" customFormat="false" ht="15" hidden="false" customHeight="false" outlineLevel="0" collapsed="false">
      <c r="A8" s="0" t="s">
        <v>71</v>
      </c>
      <c r="B8" s="0" t="n">
        <v>3200.7</v>
      </c>
      <c r="C8" s="0" t="n">
        <v>2620.3</v>
      </c>
      <c r="D8" s="0" t="n">
        <v>580.4</v>
      </c>
      <c r="E8" s="0" t="n">
        <v>18.1</v>
      </c>
      <c r="F8" s="0" t="n">
        <v>369.2</v>
      </c>
      <c r="G8" s="0" t="n">
        <v>11.5</v>
      </c>
      <c r="H8" s="0" t="n">
        <v>389.3</v>
      </c>
      <c r="I8" s="0" t="n">
        <v>267.1</v>
      </c>
      <c r="J8" s="0" t="n">
        <v>8.3</v>
      </c>
      <c r="K8" s="0" t="n">
        <v>0.836</v>
      </c>
      <c r="L8" s="0" t="n">
        <v>84.9</v>
      </c>
      <c r="M8" s="0" t="n">
        <v>32.3</v>
      </c>
      <c r="N8" s="0" t="n">
        <v>52.6</v>
      </c>
      <c r="O8" s="0" t="n">
        <v>3506.6</v>
      </c>
      <c r="P8" s="0" t="n">
        <v>4833.4</v>
      </c>
      <c r="Q8" s="0" t="n">
        <v>1326.8</v>
      </c>
      <c r="R8" s="0" t="n">
        <v>0</v>
      </c>
      <c r="S8" s="0" t="n">
        <v>258.6</v>
      </c>
      <c r="T8" s="0" t="n">
        <v>323</v>
      </c>
      <c r="U8" s="0" t="n">
        <v>14.7</v>
      </c>
      <c r="Z8" s="0" t="n">
        <v>405.2</v>
      </c>
      <c r="AA8" s="0" t="s">
        <v>18</v>
      </c>
      <c r="AB8" s="0" t="s">
        <v>14</v>
      </c>
      <c r="AC8" s="0" t="n">
        <v>405.2</v>
      </c>
    </row>
    <row r="9" customFormat="false" ht="15" hidden="false" customHeight="false" outlineLevel="0" collapsed="false">
      <c r="A9" s="0" t="s">
        <v>72</v>
      </c>
      <c r="B9" s="0" t="n">
        <v>3751.3</v>
      </c>
      <c r="C9" s="0" t="n">
        <v>3134.8</v>
      </c>
      <c r="D9" s="0" t="n">
        <v>616.5</v>
      </c>
      <c r="E9" s="0" t="n">
        <v>16.4</v>
      </c>
      <c r="F9" s="0" t="n">
        <v>423.8</v>
      </c>
      <c r="G9" s="0" t="n">
        <v>11.3</v>
      </c>
      <c r="H9" s="0" t="n">
        <v>445</v>
      </c>
      <c r="I9" s="0" t="n">
        <v>285.7</v>
      </c>
      <c r="J9" s="0" t="n">
        <v>7.6</v>
      </c>
      <c r="K9" s="0" t="n">
        <v>0.893</v>
      </c>
      <c r="L9" s="0" t="n">
        <v>29.5</v>
      </c>
      <c r="M9" s="0" t="n">
        <v>40.6</v>
      </c>
      <c r="N9" s="0" t="n">
        <v>-11.1</v>
      </c>
      <c r="O9" s="0" t="n">
        <v>3614.1</v>
      </c>
      <c r="P9" s="0" t="n">
        <v>5318.2</v>
      </c>
      <c r="Q9" s="0" t="n">
        <v>1704.1</v>
      </c>
      <c r="R9" s="0" t="n">
        <v>0</v>
      </c>
      <c r="S9" s="0" t="n">
        <v>117</v>
      </c>
      <c r="T9" s="0" t="n">
        <v>323.9</v>
      </c>
      <c r="U9" s="0" t="n">
        <v>16.1</v>
      </c>
      <c r="Z9" s="0" t="n">
        <v>472.1</v>
      </c>
      <c r="AA9" s="0" t="s">
        <v>18</v>
      </c>
      <c r="AB9" s="0" t="s">
        <v>14</v>
      </c>
      <c r="AC9" s="0" t="n">
        <v>472.1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1199</v>
      </c>
    </row>
    <row r="3" customFormat="false" ht="15" hidden="false" customHeight="false" outlineLevel="0" collapsed="false">
      <c r="A3" s="0" t="s">
        <v>76</v>
      </c>
      <c r="B3" s="3" t="n">
        <v>324.7</v>
      </c>
    </row>
    <row r="4" customFormat="false" ht="15" hidden="false" customHeight="false" outlineLevel="0" collapsed="false">
      <c r="A4" s="0" t="s">
        <v>77</v>
      </c>
      <c r="B4" s="3" t="n">
        <v>179.5</v>
      </c>
    </row>
    <row r="5" customFormat="false" ht="15" hidden="false" customHeight="false" outlineLevel="0" collapsed="false">
      <c r="A5" s="0" t="s">
        <v>78</v>
      </c>
      <c r="B5" s="3" t="n">
        <v>-334</v>
      </c>
    </row>
    <row r="6" customFormat="false" ht="15" hidden="false" customHeight="false" outlineLevel="0" collapsed="false">
      <c r="A6" s="0" t="s">
        <v>79</v>
      </c>
      <c r="B6" s="3" t="n">
        <v>15</v>
      </c>
    </row>
    <row r="7" customFormat="false" ht="15" hidden="false" customHeight="false" outlineLevel="0" collapsed="false">
      <c r="A7" s="0" t="s">
        <v>80</v>
      </c>
      <c r="B7" s="3" t="n">
        <v>3751.3</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100</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4</v>
      </c>
      <c r="D13" s="3" t="n">
        <v>-3</v>
      </c>
      <c r="E13" s="3" t="n">
        <v>-8</v>
      </c>
      <c r="F13" s="3" t="n">
        <v>1</v>
      </c>
      <c r="G13" s="3" t="n">
        <v>4</v>
      </c>
      <c r="H13" s="3" t="n">
        <v>4</v>
      </c>
      <c r="I13" s="3" t="n">
        <v>3</v>
      </c>
      <c r="J13" s="3" t="n">
        <v>2.5</v>
      </c>
      <c r="K13" s="3" t="n">
        <v>2.5</v>
      </c>
      <c r="L13" s="3" t="n">
        <v>2.5</v>
      </c>
    </row>
    <row r="14" customFormat="false" ht="15" hidden="false" customHeight="false" outlineLevel="0" collapsed="false">
      <c r="A14" s="0" t="s">
        <v>97</v>
      </c>
      <c r="C14" s="3" t="n">
        <v>12.2</v>
      </c>
      <c r="D14" s="3" t="n">
        <v>11</v>
      </c>
      <c r="E14" s="3" t="n">
        <v>9</v>
      </c>
      <c r="F14" s="3" t="n">
        <v>9.5</v>
      </c>
      <c r="G14" s="3" t="n">
        <v>10.5</v>
      </c>
      <c r="H14" s="3" t="n">
        <v>11.5</v>
      </c>
      <c r="I14" s="3" t="n">
        <v>12</v>
      </c>
      <c r="J14" s="3" t="n">
        <v>12</v>
      </c>
      <c r="K14" s="3" t="n">
        <v>12</v>
      </c>
      <c r="L14" s="3" t="n">
        <v>12</v>
      </c>
    </row>
    <row r="15" customFormat="false" ht="15" hidden="false" customHeight="false" outlineLevel="0" collapsed="false">
      <c r="A15" s="0" t="s">
        <v>98</v>
      </c>
      <c r="C15" s="3" t="n">
        <v>0.43</v>
      </c>
      <c r="D15" s="3" t="n">
        <v>0.45</v>
      </c>
      <c r="E15" s="3" t="n">
        <v>0.48</v>
      </c>
      <c r="F15" s="3" t="n">
        <v>0.46</v>
      </c>
      <c r="G15" s="3" t="n">
        <v>0.44</v>
      </c>
      <c r="H15" s="3" t="n">
        <v>0.42</v>
      </c>
      <c r="I15" s="3" t="n">
        <v>0.4</v>
      </c>
      <c r="J15" s="3" t="n">
        <v>0.4</v>
      </c>
      <c r="K15" s="3" t="n">
        <v>0.4</v>
      </c>
      <c r="L15" s="3" t="n">
        <v>0.4</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0.6</v>
      </c>
      <c r="D17" s="3" t="n">
        <v>0.65</v>
      </c>
      <c r="E17" s="3" t="n">
        <v>0.7</v>
      </c>
      <c r="F17" s="3" t="n">
        <v>0.65</v>
      </c>
      <c r="G17" s="3" t="n">
        <v>0.6</v>
      </c>
      <c r="H17" s="3" t="n">
        <v>0.6</v>
      </c>
      <c r="I17" s="3" t="n">
        <v>0.6</v>
      </c>
      <c r="J17" s="3" t="n">
        <v>0.6</v>
      </c>
      <c r="K17" s="3" t="n">
        <v>0.6</v>
      </c>
      <c r="L17" s="3" t="n">
        <v>0.6</v>
      </c>
    </row>
    <row r="18" customFormat="false" ht="15" hidden="false" customHeight="false" outlineLevel="0" collapsed="false">
      <c r="A18" s="0" t="s">
        <v>101</v>
      </c>
      <c r="C18" s="3" t="n">
        <v>1</v>
      </c>
      <c r="D18" s="3" t="n">
        <v>0.8</v>
      </c>
      <c r="E18" s="3" t="n">
        <v>0.6</v>
      </c>
      <c r="F18" s="3" t="n">
        <v>0.6</v>
      </c>
      <c r="G18" s="3" t="n">
        <v>0.7</v>
      </c>
      <c r="H18" s="3" t="n">
        <v>0.8</v>
      </c>
      <c r="I18" s="3" t="n">
        <v>0.8</v>
      </c>
      <c r="J18" s="3" t="n">
        <v>0.8</v>
      </c>
      <c r="K18" s="3" t="n">
        <v>0.8</v>
      </c>
      <c r="L18" s="3" t="n">
        <v>0.8</v>
      </c>
    </row>
    <row r="19" customFormat="false" ht="15" hidden="false" customHeight="false" outlineLevel="0" collapsed="false">
      <c r="A19" s="0" t="s">
        <v>102</v>
      </c>
      <c r="C19" s="3" t="n">
        <v>27</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103</v>
      </c>
      <c r="B20" s="3" t="n">
        <v>10</v>
      </c>
    </row>
    <row r="21" customFormat="false" ht="15" hidden="false" customHeight="false" outlineLevel="0" collapsed="false">
      <c r="A21" s="0" t="s">
        <v>104</v>
      </c>
      <c r="B21" s="3" t="n">
        <v>1.5</v>
      </c>
    </row>
    <row r="22" customFormat="false" ht="15" hidden="false" customHeight="false" outlineLevel="0" collapsed="false">
      <c r="A22" s="0" t="s">
        <v>105</v>
      </c>
      <c r="B22" s="3" t="n">
        <v>12</v>
      </c>
    </row>
    <row r="23" customFormat="false" ht="15" hidden="false" customHeight="false" outlineLevel="0" collapsed="false">
      <c r="A23" s="0" t="s">
        <v>106</v>
      </c>
      <c r="B23" s="3" t="n">
        <v>-80</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7.5</v>
      </c>
      <c r="D27" s="3" t="n">
        <v>5</v>
      </c>
      <c r="E27" s="3" t="n">
        <v>4.5</v>
      </c>
      <c r="F27" s="3" t="n">
        <v>4.5</v>
      </c>
      <c r="G27" s="3" t="n">
        <v>4</v>
      </c>
      <c r="H27" s="3" t="n">
        <v>3.5</v>
      </c>
      <c r="I27" s="3" t="n">
        <v>3</v>
      </c>
      <c r="J27" s="3" t="n">
        <v>2.5</v>
      </c>
      <c r="K27" s="3" t="n">
        <v>2.5</v>
      </c>
      <c r="L27" s="3" t="n">
        <v>2.5</v>
      </c>
    </row>
    <row r="28" customFormat="false" ht="15" hidden="false" customHeight="false" outlineLevel="0" collapsed="false">
      <c r="A28" s="0" t="s">
        <v>97</v>
      </c>
      <c r="C28" s="3" t="n">
        <v>12.6</v>
      </c>
      <c r="D28" s="3" t="n">
        <v>13</v>
      </c>
      <c r="E28" s="3" t="n">
        <v>13.8</v>
      </c>
      <c r="F28" s="3" t="n">
        <v>14.6</v>
      </c>
      <c r="G28" s="3" t="n">
        <v>15.4</v>
      </c>
      <c r="H28" s="3" t="n">
        <v>16</v>
      </c>
      <c r="I28" s="3" t="n">
        <v>16.5</v>
      </c>
      <c r="J28" s="3" t="n">
        <v>16.5</v>
      </c>
      <c r="K28" s="3" t="n">
        <v>16.5</v>
      </c>
      <c r="L28" s="3" t="n">
        <v>16.5</v>
      </c>
    </row>
    <row r="29" customFormat="false" ht="15" hidden="false" customHeight="false" outlineLevel="0" collapsed="false">
      <c r="A29" s="0" t="s">
        <v>98</v>
      </c>
      <c r="C29" s="3" t="n">
        <v>0.43</v>
      </c>
      <c r="D29" s="3" t="n">
        <v>0.43</v>
      </c>
      <c r="E29" s="3" t="n">
        <v>0.42</v>
      </c>
      <c r="F29" s="3" t="n">
        <v>0.42</v>
      </c>
      <c r="G29" s="3" t="n">
        <v>0.41</v>
      </c>
      <c r="H29" s="3" t="n">
        <v>0.41</v>
      </c>
      <c r="I29" s="3" t="n">
        <v>0.4</v>
      </c>
      <c r="J29" s="3" t="n">
        <v>0.4</v>
      </c>
      <c r="K29" s="3" t="n">
        <v>0.4</v>
      </c>
      <c r="L29" s="3" t="n">
        <v>0.4</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0.6</v>
      </c>
      <c r="D31" s="3" t="n">
        <v>0.6</v>
      </c>
      <c r="E31" s="3" t="n">
        <v>0.6</v>
      </c>
      <c r="F31" s="3" t="n">
        <v>0.6</v>
      </c>
      <c r="G31" s="3" t="n">
        <v>0.6</v>
      </c>
      <c r="H31" s="3" t="n">
        <v>0.6</v>
      </c>
      <c r="I31" s="3" t="n">
        <v>0.6</v>
      </c>
      <c r="J31" s="3" t="n">
        <v>0.6</v>
      </c>
      <c r="K31" s="3" t="n">
        <v>0.6</v>
      </c>
      <c r="L31" s="3" t="n">
        <v>0.6</v>
      </c>
    </row>
    <row r="32" customFormat="false" ht="15" hidden="false" customHeight="false" outlineLevel="0" collapsed="false">
      <c r="A32" s="0" t="s">
        <v>101</v>
      </c>
      <c r="C32" s="3" t="n">
        <v>1</v>
      </c>
      <c r="D32" s="3" t="n">
        <v>1</v>
      </c>
      <c r="E32" s="3" t="n">
        <v>0.9</v>
      </c>
      <c r="F32" s="3" t="n">
        <v>0.9</v>
      </c>
      <c r="G32" s="3" t="n">
        <v>0.8</v>
      </c>
      <c r="H32" s="3" t="n">
        <v>0.8</v>
      </c>
      <c r="I32" s="3" t="n">
        <v>0.8</v>
      </c>
      <c r="J32" s="3" t="n">
        <v>0.8</v>
      </c>
      <c r="K32" s="3" t="n">
        <v>0.8</v>
      </c>
      <c r="L32" s="3" t="n">
        <v>0.8</v>
      </c>
    </row>
    <row r="33" customFormat="false" ht="15" hidden="false" customHeight="false" outlineLevel="0" collapsed="false">
      <c r="A33" s="0" t="s">
        <v>102</v>
      </c>
      <c r="C33" s="3" t="n">
        <v>27</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103</v>
      </c>
      <c r="B34" s="3" t="n">
        <v>10</v>
      </c>
    </row>
    <row r="35" customFormat="false" ht="15" hidden="false" customHeight="false" outlineLevel="0" collapsed="false">
      <c r="A35" s="0" t="s">
        <v>104</v>
      </c>
      <c r="B35" s="3" t="n">
        <v>2</v>
      </c>
    </row>
    <row r="36" customFormat="false" ht="15" hidden="false" customHeight="false" outlineLevel="0" collapsed="false">
      <c r="A36" s="0" t="s">
        <v>105</v>
      </c>
      <c r="B36" s="3" t="n">
        <v>14</v>
      </c>
    </row>
    <row r="37" customFormat="false" ht="15" hidden="false" customHeight="false" outlineLevel="0" collapsed="false">
      <c r="A37" s="0" t="s">
        <v>106</v>
      </c>
      <c r="B37" s="3" t="n">
        <v>-80</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8.5</v>
      </c>
      <c r="D41" s="3" t="n">
        <v>7.5</v>
      </c>
      <c r="E41" s="3" t="n">
        <v>7</v>
      </c>
      <c r="F41" s="3" t="n">
        <v>6</v>
      </c>
      <c r="G41" s="3" t="n">
        <v>5</v>
      </c>
      <c r="H41" s="3" t="n">
        <v>4.5</v>
      </c>
      <c r="I41" s="3" t="n">
        <v>4</v>
      </c>
      <c r="J41" s="3" t="n">
        <v>3</v>
      </c>
      <c r="K41" s="3" t="n">
        <v>2.5</v>
      </c>
      <c r="L41" s="3" t="n">
        <v>2.5</v>
      </c>
    </row>
    <row r="42" customFormat="false" ht="15" hidden="false" customHeight="false" outlineLevel="0" collapsed="false">
      <c r="A42" s="0" t="s">
        <v>97</v>
      </c>
      <c r="C42" s="3" t="n">
        <v>12.9</v>
      </c>
      <c r="D42" s="3" t="n">
        <v>13.8</v>
      </c>
      <c r="E42" s="3" t="n">
        <v>15.2</v>
      </c>
      <c r="F42" s="3" t="n">
        <v>16.6</v>
      </c>
      <c r="G42" s="3" t="n">
        <v>18</v>
      </c>
      <c r="H42" s="3" t="n">
        <v>19.2</v>
      </c>
      <c r="I42" s="3" t="n">
        <v>20</v>
      </c>
      <c r="J42" s="3" t="n">
        <v>20.5</v>
      </c>
      <c r="K42" s="3" t="n">
        <v>20.5</v>
      </c>
      <c r="L42" s="3" t="n">
        <v>20.5</v>
      </c>
    </row>
    <row r="43" customFormat="false" ht="15" hidden="false" customHeight="false" outlineLevel="0" collapsed="false">
      <c r="A43" s="0" t="s">
        <v>98</v>
      </c>
      <c r="C43" s="3" t="n">
        <v>0.43</v>
      </c>
      <c r="D43" s="3" t="n">
        <v>0.43</v>
      </c>
      <c r="E43" s="3" t="n">
        <v>0.42</v>
      </c>
      <c r="F43" s="3" t="n">
        <v>0.42</v>
      </c>
      <c r="G43" s="3" t="n">
        <v>0.41</v>
      </c>
      <c r="H43" s="3" t="n">
        <v>0.41</v>
      </c>
      <c r="I43" s="3" t="n">
        <v>0.4</v>
      </c>
      <c r="J43" s="3" t="n">
        <v>0.4</v>
      </c>
      <c r="K43" s="3" t="n">
        <v>0.4</v>
      </c>
      <c r="L43" s="3" t="n">
        <v>0.4</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0.6</v>
      </c>
      <c r="D45" s="3" t="n">
        <v>0.6</v>
      </c>
      <c r="E45" s="3" t="n">
        <v>0.6</v>
      </c>
      <c r="F45" s="3" t="n">
        <v>0.6</v>
      </c>
      <c r="G45" s="3" t="n">
        <v>0.6</v>
      </c>
      <c r="H45" s="3" t="n">
        <v>0.6</v>
      </c>
      <c r="I45" s="3" t="n">
        <v>0.6</v>
      </c>
      <c r="J45" s="3" t="n">
        <v>0.6</v>
      </c>
      <c r="K45" s="3" t="n">
        <v>0.6</v>
      </c>
      <c r="L45" s="3" t="n">
        <v>0.6</v>
      </c>
    </row>
    <row r="46" customFormat="false" ht="15" hidden="false" customHeight="false" outlineLevel="0" collapsed="false">
      <c r="A46" s="0" t="s">
        <v>101</v>
      </c>
      <c r="C46" s="3" t="n">
        <v>1</v>
      </c>
      <c r="D46" s="3" t="n">
        <v>1</v>
      </c>
      <c r="E46" s="3" t="n">
        <v>0.9</v>
      </c>
      <c r="F46" s="3" t="n">
        <v>0.9</v>
      </c>
      <c r="G46" s="3" t="n">
        <v>0.8</v>
      </c>
      <c r="H46" s="3" t="n">
        <v>0.8</v>
      </c>
      <c r="I46" s="3" t="n">
        <v>0.8</v>
      </c>
      <c r="J46" s="3" t="n">
        <v>0.8</v>
      </c>
      <c r="K46" s="3" t="n">
        <v>0.8</v>
      </c>
      <c r="L46" s="3" t="n">
        <v>0.8</v>
      </c>
    </row>
    <row r="47" customFormat="false" ht="15" hidden="false" customHeight="false" outlineLevel="0" collapsed="false">
      <c r="A47" s="0" t="s">
        <v>102</v>
      </c>
      <c r="C47" s="3" t="n">
        <v>27</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103</v>
      </c>
      <c r="B48" s="3" t="n">
        <v>10</v>
      </c>
    </row>
    <row r="49" customFormat="false" ht="15" hidden="false" customHeight="false" outlineLevel="0" collapsed="false">
      <c r="A49" s="0" t="s">
        <v>104</v>
      </c>
      <c r="B49" s="3" t="n">
        <v>2.5</v>
      </c>
    </row>
    <row r="50" customFormat="false" ht="15" hidden="false" customHeight="false" outlineLevel="0" collapsed="false">
      <c r="A50" s="0" t="s">
        <v>105</v>
      </c>
      <c r="B50" s="3" t="n">
        <v>15</v>
      </c>
    </row>
    <row r="51" customFormat="false" ht="15" hidden="false" customHeight="false" outlineLevel="0" collapsed="false">
      <c r="A51" s="0" t="s">
        <v>106</v>
      </c>
      <c r="B51" s="3" t="n">
        <v>-65</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4</v>
      </c>
      <c r="D5" s="4" t="n">
        <f aca="false">Assumptions!D13</f>
        <v>-3</v>
      </c>
      <c r="E5" s="4" t="n">
        <f aca="false">Assumptions!E13</f>
        <v>-8</v>
      </c>
      <c r="F5" s="4" t="n">
        <f aca="false">Assumptions!F13</f>
        <v>1</v>
      </c>
      <c r="G5" s="4" t="n">
        <f aca="false">Assumptions!G13</f>
        <v>4</v>
      </c>
      <c r="H5" s="4" t="n">
        <f aca="false">Assumptions!H13</f>
        <v>4</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3751.3</v>
      </c>
      <c r="C6" s="0" t="n">
        <f aca="false">B6*(1+C5/100)</f>
        <v>3901.352</v>
      </c>
      <c r="D6" s="0" t="n">
        <f aca="false">C6*(1+D5/100)</f>
        <v>3784.31144</v>
      </c>
      <c r="E6" s="0" t="n">
        <f aca="false">D6*(1+E5/100)</f>
        <v>3481.5665248</v>
      </c>
      <c r="F6" s="0" t="n">
        <f aca="false">E6*(1+F5/100)</f>
        <v>3516.382190048</v>
      </c>
      <c r="G6" s="0" t="n">
        <f aca="false">F6*(1+G5/100)</f>
        <v>3657.03747764992</v>
      </c>
      <c r="H6" s="0" t="n">
        <f aca="false">G6*(1+H5/100)</f>
        <v>3803.31897675592</v>
      </c>
      <c r="I6" s="0" t="n">
        <f aca="false">H6*(1+I5/100)</f>
        <v>3917.4185460586</v>
      </c>
      <c r="J6" s="0" t="n">
        <f aca="false">I6*(1+J5/100)</f>
        <v>4015.35400971006</v>
      </c>
      <c r="K6" s="0" t="n">
        <f aca="false">J6*(1+K5/100)</f>
        <v>4115.73785995281</v>
      </c>
      <c r="L6" s="0" t="n">
        <f aca="false">K6*(1+L5/100)</f>
        <v>4218.63130645163</v>
      </c>
    </row>
    <row r="7" customFormat="false" ht="15" hidden="false" customHeight="false" outlineLevel="0" collapsed="false">
      <c r="A7" s="0" t="s">
        <v>97</v>
      </c>
      <c r="C7" s="4" t="n">
        <f aca="false">Assumptions!C14</f>
        <v>12.2</v>
      </c>
      <c r="D7" s="4" t="n">
        <f aca="false">Assumptions!D14</f>
        <v>11</v>
      </c>
      <c r="E7" s="4" t="n">
        <f aca="false">Assumptions!E14</f>
        <v>9</v>
      </c>
      <c r="F7" s="4" t="n">
        <f aca="false">Assumptions!F14</f>
        <v>9.5</v>
      </c>
      <c r="G7" s="4" t="n">
        <f aca="false">Assumptions!G14</f>
        <v>10.5</v>
      </c>
      <c r="H7" s="4" t="n">
        <f aca="false">Assumptions!H14</f>
        <v>11.5</v>
      </c>
      <c r="I7" s="4" t="n">
        <f aca="false">Assumptions!I14</f>
        <v>12</v>
      </c>
      <c r="J7" s="4" t="n">
        <f aca="false">Assumptions!J14</f>
        <v>12</v>
      </c>
      <c r="K7" s="4" t="n">
        <f aca="false">Assumptions!K14</f>
        <v>12</v>
      </c>
      <c r="L7" s="4" t="n">
        <f aca="false">Assumptions!L14</f>
        <v>12</v>
      </c>
    </row>
    <row r="8" customFormat="false" ht="15" hidden="false" customHeight="false" outlineLevel="0" collapsed="false">
      <c r="A8" s="0" t="s">
        <v>44</v>
      </c>
      <c r="C8" s="0" t="n">
        <f aca="false">C6*C7/100</f>
        <v>475.964944</v>
      </c>
      <c r="D8" s="0" t="n">
        <f aca="false">D6*D7/100</f>
        <v>416.2742584</v>
      </c>
      <c r="E8" s="0" t="n">
        <f aca="false">E6*E7/100</f>
        <v>313.340987232</v>
      </c>
      <c r="F8" s="0" t="n">
        <f aca="false">F6*F7/100</f>
        <v>334.05630805456</v>
      </c>
      <c r="G8" s="0" t="n">
        <f aca="false">G6*G7/100</f>
        <v>383.988935153242</v>
      </c>
      <c r="H8" s="0" t="n">
        <f aca="false">H6*H7/100</f>
        <v>437.381682326931</v>
      </c>
      <c r="I8" s="0" t="n">
        <f aca="false">I6*I7/100</f>
        <v>470.090225527031</v>
      </c>
      <c r="J8" s="0" t="n">
        <f aca="false">J6*J7/100</f>
        <v>481.842481165207</v>
      </c>
      <c r="K8" s="0" t="n">
        <f aca="false">K6*K7/100</f>
        <v>493.888543194337</v>
      </c>
      <c r="L8" s="0" t="n">
        <f aca="false">L6*L7/100</f>
        <v>506.235756774196</v>
      </c>
    </row>
    <row r="9" customFormat="false" ht="15" hidden="false" customHeight="false" outlineLevel="0" collapsed="false">
      <c r="A9" s="0" t="s">
        <v>98</v>
      </c>
      <c r="C9" s="4" t="n">
        <f aca="false">Assumptions!C15</f>
        <v>0.43</v>
      </c>
      <c r="D9" s="4" t="n">
        <f aca="false">Assumptions!D15</f>
        <v>0.45</v>
      </c>
      <c r="E9" s="4" t="n">
        <f aca="false">Assumptions!E15</f>
        <v>0.48</v>
      </c>
      <c r="F9" s="4" t="n">
        <f aca="false">Assumptions!F15</f>
        <v>0.46</v>
      </c>
      <c r="G9" s="4" t="n">
        <f aca="false">Assumptions!G15</f>
        <v>0.44</v>
      </c>
      <c r="H9" s="4" t="n">
        <f aca="false">Assumptions!H15</f>
        <v>0.42</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113</v>
      </c>
      <c r="C10" s="0" t="n">
        <f aca="false">-C6*C9/100</f>
        <v>-16.7758136</v>
      </c>
      <c r="D10" s="0" t="n">
        <f aca="false">-D6*D9/100</f>
        <v>-17.02940148</v>
      </c>
      <c r="E10" s="0" t="n">
        <f aca="false">-E6*E9/100</f>
        <v>-16.71151931904</v>
      </c>
      <c r="F10" s="0" t="n">
        <f aca="false">-F6*F9/100</f>
        <v>-16.1753580742208</v>
      </c>
      <c r="G10" s="0" t="n">
        <f aca="false">-G6*G9/100</f>
        <v>-16.0909649016597</v>
      </c>
      <c r="H10" s="0" t="n">
        <f aca="false">-H6*H9/100</f>
        <v>-15.9739397023749</v>
      </c>
      <c r="I10" s="0" t="n">
        <f aca="false">-I6*I9/100</f>
        <v>-15.6696741842344</v>
      </c>
      <c r="J10" s="0" t="n">
        <f aca="false">-J6*J9/100</f>
        <v>-16.0614160388402</v>
      </c>
      <c r="K10" s="0" t="n">
        <f aca="false">-K6*K9/100</f>
        <v>-16.4629514398112</v>
      </c>
      <c r="L10" s="0" t="n">
        <f aca="false">-L6*L9/100</f>
        <v>-16.8745252258065</v>
      </c>
    </row>
    <row r="11" customFormat="false" ht="15" hidden="false" customHeight="false" outlineLevel="0" collapsed="false">
      <c r="A11" s="0" t="s">
        <v>114</v>
      </c>
      <c r="C11" s="0" t="n">
        <f aca="false">C8+C10+C24</f>
        <v>459.1891304</v>
      </c>
      <c r="D11" s="0" t="n">
        <f aca="false">D8+D10+D24</f>
        <v>399.24485692</v>
      </c>
      <c r="E11" s="0" t="n">
        <f aca="false">E8+E10+E24</f>
        <v>296.62946791296</v>
      </c>
      <c r="F11" s="0" t="n">
        <f aca="false">F8+F10+F24</f>
        <v>317.880949980339</v>
      </c>
      <c r="G11" s="0" t="n">
        <f aca="false">G8+G10+G24</f>
        <v>367.897970251582</v>
      </c>
      <c r="H11" s="0" t="n">
        <f aca="false">H8+H10+H24</f>
        <v>421.407742624556</v>
      </c>
      <c r="I11" s="0" t="n">
        <f aca="false">I8+I10+I24</f>
        <v>454.420551342797</v>
      </c>
      <c r="J11" s="0" t="n">
        <f aca="false">J8+J10+J24</f>
        <v>465.781065126367</v>
      </c>
      <c r="K11" s="0" t="n">
        <f aca="false">K8+K10+K24</f>
        <v>477.425591754526</v>
      </c>
      <c r="L11" s="0" t="n">
        <f aca="false">L8+L10+L24</f>
        <v>489.361231548389</v>
      </c>
    </row>
    <row r="12" customFormat="false" ht="15" hidden="false" customHeight="false" outlineLevel="0" collapsed="false">
      <c r="A12" s="0" t="s">
        <v>115</v>
      </c>
      <c r="C12" s="4" t="n">
        <f aca="false">-C6*Assumptions!C17/100</f>
        <v>-23.408112</v>
      </c>
      <c r="D12" s="4" t="n">
        <f aca="false">-D6*Assumptions!D17/100</f>
        <v>-24.59802436</v>
      </c>
      <c r="E12" s="4" t="n">
        <f aca="false">-E6*Assumptions!E17/100</f>
        <v>-24.3709656736</v>
      </c>
      <c r="F12" s="4" t="n">
        <f aca="false">-F6*Assumptions!F17/100</f>
        <v>-22.856484235312</v>
      </c>
      <c r="G12" s="4" t="n">
        <f aca="false">-G6*Assumptions!G17/100</f>
        <v>-21.9422248658995</v>
      </c>
      <c r="H12" s="4" t="n">
        <f aca="false">-H6*Assumptions!H17/100</f>
        <v>-22.8199138605355</v>
      </c>
      <c r="I12" s="4" t="n">
        <f aca="false">-I6*Assumptions!I17/100</f>
        <v>-23.5045112763516</v>
      </c>
      <c r="J12" s="4" t="n">
        <f aca="false">-J6*Assumptions!J17/100</f>
        <v>-24.0921240582604</v>
      </c>
      <c r="K12" s="4" t="n">
        <f aca="false">-K6*Assumptions!K17/100</f>
        <v>-24.6944271597169</v>
      </c>
      <c r="L12" s="4" t="n">
        <f aca="false">-L6*Assumptions!L17/100</f>
        <v>-25.3117878387098</v>
      </c>
    </row>
    <row r="13" customFormat="false" ht="15" hidden="false" customHeight="false" outlineLevel="0" collapsed="false">
      <c r="A13" s="0" t="s">
        <v>116</v>
      </c>
      <c r="C13" s="0" t="n">
        <f aca="false">C11+C12</f>
        <v>435.7810184</v>
      </c>
      <c r="D13" s="0" t="n">
        <f aca="false">D11+D12</f>
        <v>374.64683256</v>
      </c>
      <c r="E13" s="0" t="n">
        <f aca="false">E11+E12</f>
        <v>272.25850223936</v>
      </c>
      <c r="F13" s="0" t="n">
        <f aca="false">F11+F12</f>
        <v>295.024465745027</v>
      </c>
      <c r="G13" s="0" t="n">
        <f aca="false">G11+G12</f>
        <v>345.955745385683</v>
      </c>
      <c r="H13" s="0" t="n">
        <f aca="false">H11+H12</f>
        <v>398.58782876402</v>
      </c>
      <c r="I13" s="0" t="n">
        <f aca="false">I11+I12</f>
        <v>430.916040066445</v>
      </c>
      <c r="J13" s="0" t="n">
        <f aca="false">J11+J12</f>
        <v>441.688941068107</v>
      </c>
      <c r="K13" s="0" t="n">
        <f aca="false">K11+K12</f>
        <v>452.731164594809</v>
      </c>
      <c r="L13" s="0" t="n">
        <f aca="false">L11+L12</f>
        <v>464.049443709679</v>
      </c>
    </row>
    <row r="14" customFormat="false" ht="15" hidden="false" customHeight="false" outlineLevel="0" collapsed="false">
      <c r="A14" s="0" t="s">
        <v>102</v>
      </c>
      <c r="C14" s="4" t="n">
        <f aca="false">Assumptions!C19</f>
        <v>27</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117</v>
      </c>
      <c r="C15" s="0" t="n">
        <f aca="false">C13-MAX(0,C13)*C14/100</f>
        <v>318.120143432</v>
      </c>
      <c r="D15" s="0" t="n">
        <f aca="false">D13-MAX(0,D13)*D14/100</f>
        <v>269.7457194432</v>
      </c>
      <c r="E15" s="0" t="n">
        <f aca="false">E13-MAX(0,E13)*E14/100</f>
        <v>196.026121612339</v>
      </c>
      <c r="F15" s="0" t="n">
        <f aca="false">F13-MAX(0,F13)*F14/100</f>
        <v>212.41761533642</v>
      </c>
      <c r="G15" s="0" t="n">
        <f aca="false">G13-MAX(0,G13)*G14/100</f>
        <v>249.088136677691</v>
      </c>
      <c r="H15" s="0" t="n">
        <f aca="false">H13-MAX(0,H13)*H14/100</f>
        <v>286.983236710095</v>
      </c>
      <c r="I15" s="0" t="n">
        <f aca="false">I13-MAX(0,I13)*I14/100</f>
        <v>310.259548847841</v>
      </c>
      <c r="J15" s="0" t="n">
        <f aca="false">J13-MAX(0,J13)*J14/100</f>
        <v>318.016037569037</v>
      </c>
      <c r="K15" s="0" t="n">
        <f aca="false">K13-MAX(0,K13)*K14/100</f>
        <v>325.966438508263</v>
      </c>
      <c r="L15" s="0" t="n">
        <f aca="false">L13-MAX(0,L13)*L14/100</f>
        <v>334.115599470969</v>
      </c>
    </row>
    <row r="16" customFormat="false" ht="15" hidden="false" customHeight="false" outlineLevel="0" collapsed="false">
      <c r="A16" s="0" t="s">
        <v>118</v>
      </c>
      <c r="C16" s="0" t="n">
        <f aca="false">-C12</f>
        <v>23.408112</v>
      </c>
      <c r="D16" s="0" t="n">
        <f aca="false">-D12</f>
        <v>24.59802436</v>
      </c>
      <c r="E16" s="0" t="n">
        <f aca="false">-E12</f>
        <v>24.3709656736</v>
      </c>
      <c r="F16" s="0" t="n">
        <f aca="false">-F12</f>
        <v>22.856484235312</v>
      </c>
      <c r="G16" s="0" t="n">
        <f aca="false">-G12</f>
        <v>21.9422248658995</v>
      </c>
      <c r="H16" s="0" t="n">
        <f aca="false">-H12</f>
        <v>22.8199138605355</v>
      </c>
      <c r="I16" s="0" t="n">
        <f aca="false">-I12</f>
        <v>23.5045112763516</v>
      </c>
      <c r="J16" s="0" t="n">
        <f aca="false">-J12</f>
        <v>24.0921240582604</v>
      </c>
      <c r="K16" s="0" t="n">
        <f aca="false">-K12</f>
        <v>24.6944271597169</v>
      </c>
      <c r="L16" s="0" t="n">
        <f aca="false">-L12</f>
        <v>25.3117878387098</v>
      </c>
    </row>
    <row r="17" customFormat="false" ht="15" hidden="false" customHeight="false" outlineLevel="0" collapsed="false">
      <c r="A17" s="0" t="s">
        <v>119</v>
      </c>
      <c r="C17" s="4" t="n">
        <f aca="false">-C6*Assumptions!C18/100</f>
        <v>-39.01352</v>
      </c>
      <c r="D17" s="4" t="n">
        <f aca="false">-D6*Assumptions!D18/100</f>
        <v>-30.27449152</v>
      </c>
      <c r="E17" s="4" t="n">
        <f aca="false">-E6*Assumptions!E18/100</f>
        <v>-20.8893991488</v>
      </c>
      <c r="F17" s="4" t="n">
        <f aca="false">-F6*Assumptions!F18/100</f>
        <v>-21.098293140288</v>
      </c>
      <c r="G17" s="4" t="n">
        <f aca="false">-G6*Assumptions!G18/100</f>
        <v>-25.5992623435494</v>
      </c>
      <c r="H17" s="4" t="n">
        <f aca="false">-H6*Assumptions!H18/100</f>
        <v>-30.4265518140473</v>
      </c>
      <c r="I17" s="4" t="n">
        <f aca="false">-I6*Assumptions!I18/100</f>
        <v>-31.3393483684688</v>
      </c>
      <c r="J17" s="4" t="n">
        <f aca="false">-J6*Assumptions!J18/100</f>
        <v>-32.1228320776805</v>
      </c>
      <c r="K17" s="4" t="n">
        <f aca="false">-K6*Assumptions!K18/100</f>
        <v>-32.9259028796225</v>
      </c>
      <c r="L17" s="4" t="n">
        <f aca="false">-L6*Assumptions!L18/100</f>
        <v>-33.749050451613</v>
      </c>
    </row>
    <row r="18" customFormat="false" ht="15" hidden="false" customHeight="false" outlineLevel="0" collapsed="false">
      <c r="A18" s="0" t="s">
        <v>120</v>
      </c>
      <c r="C18" s="4" t="n">
        <f aca="false">(C6-B6)*Assumptions!$B$23/100</f>
        <v>-120.0416</v>
      </c>
      <c r="D18" s="4" t="n">
        <f aca="false">(D6-C6)*Assumptions!$B$23/100</f>
        <v>93.6324479999999</v>
      </c>
      <c r="E18" s="4" t="n">
        <f aca="false">(E6-D6)*Assumptions!$B$23/100</f>
        <v>242.19593216</v>
      </c>
      <c r="F18" s="4" t="n">
        <f aca="false">(F6-E6)*Assumptions!$B$23/100</f>
        <v>-27.8525321984001</v>
      </c>
      <c r="G18" s="4" t="n">
        <f aca="false">(G6-F6)*Assumptions!$B$23/100</f>
        <v>-112.524230081536</v>
      </c>
      <c r="H18" s="4" t="n">
        <f aca="false">(H6-G6)*Assumptions!$B$23/100</f>
        <v>-117.025199284797</v>
      </c>
      <c r="I18" s="4" t="n">
        <f aca="false">(I6-H6)*Assumptions!$B$23/100</f>
        <v>-91.279655442142</v>
      </c>
      <c r="J18" s="4" t="n">
        <f aca="false">(J6-I6)*Assumptions!$B$23/100</f>
        <v>-78.3483709211716</v>
      </c>
      <c r="K18" s="4" t="n">
        <f aca="false">(K6-J6)*Assumptions!$B$23/100</f>
        <v>-80.3070801942013</v>
      </c>
      <c r="L18" s="4" t="n">
        <f aca="false">(L6-K6)*Assumptions!$B$23/100</f>
        <v>-82.3147571990558</v>
      </c>
    </row>
    <row r="19" customFormat="false" ht="15" hidden="false" customHeight="false" outlineLevel="0" collapsed="false">
      <c r="A19" s="0" t="s">
        <v>121</v>
      </c>
      <c r="C19" s="0" t="n">
        <f aca="false">C15+C16+C17+C18</f>
        <v>182.473135432</v>
      </c>
      <c r="D19" s="0" t="n">
        <f aca="false">D15+D16+D17+D18</f>
        <v>357.7017002832</v>
      </c>
      <c r="E19" s="0" t="n">
        <f aca="false">E15+E16+E17+E18</f>
        <v>441.703620297139</v>
      </c>
      <c r="F19" s="0" t="n">
        <f aca="false">F15+F16+F17+F18</f>
        <v>186.323274233043</v>
      </c>
      <c r="G19" s="0" t="n">
        <f aca="false">G15+G16+G17+G18</f>
        <v>132.906869118505</v>
      </c>
      <c r="H19" s="0" t="n">
        <f aca="false">H15+H16+H17+H18</f>
        <v>162.351399471785</v>
      </c>
      <c r="I19" s="0" t="n">
        <f aca="false">I15+I16+I17+I18</f>
        <v>211.145056313582</v>
      </c>
      <c r="J19" s="0" t="n">
        <f aca="false">J15+J16+J17+J18</f>
        <v>231.636958628445</v>
      </c>
      <c r="K19" s="0" t="n">
        <f aca="false">K15+K16+K17+K18</f>
        <v>237.427882594156</v>
      </c>
      <c r="L19" s="0" t="n">
        <f aca="false">L15+L16+L17+L18</f>
        <v>243.36357965901</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165.884668574545</v>
      </c>
      <c r="D21" s="0" t="n">
        <f aca="false">D19*D20</f>
        <v>295.621239903471</v>
      </c>
      <c r="E21" s="0" t="n">
        <f aca="false">E19*E20</f>
        <v>331.858467541051</v>
      </c>
      <c r="F21" s="0" t="n">
        <f aca="false">F19*F20</f>
        <v>127.261303348845</v>
      </c>
      <c r="G21" s="0" t="n">
        <f aca="false">G19*G20</f>
        <v>82.5247090167124</v>
      </c>
      <c r="H21" s="0" t="n">
        <f aca="false">H19*H20</f>
        <v>91.6431325095693</v>
      </c>
      <c r="I21" s="0" t="n">
        <f aca="false">I19*I20</f>
        <v>108.350799771594</v>
      </c>
      <c r="J21" s="0" t="n">
        <f aca="false">J19*J20</f>
        <v>108.060350729506</v>
      </c>
      <c r="K21" s="0" t="n">
        <f aca="false">K19*K20</f>
        <v>100.692599543403</v>
      </c>
      <c r="L21" s="0" t="n">
        <f aca="false">L19*L20</f>
        <v>93.8271950290806</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10</v>
      </c>
    </row>
    <row r="28" customFormat="false" ht="15" hidden="false" customHeight="false" outlineLevel="0" collapsed="false">
      <c r="A28" s="0" t="s">
        <v>104</v>
      </c>
      <c r="B28" s="4" t="n">
        <f aca="false">Assumptions!$B$21</f>
        <v>1.5</v>
      </c>
    </row>
    <row r="29" customFormat="false" ht="15" hidden="false" customHeight="false" outlineLevel="0" collapsed="false">
      <c r="A29" s="0" t="s">
        <v>105</v>
      </c>
      <c r="B29" s="4" t="n">
        <f aca="false">Assumptions!$B$22</f>
        <v>12</v>
      </c>
    </row>
    <row r="30" customFormat="false" ht="15" hidden="false" customHeight="false" outlineLevel="0" collapsed="false">
      <c r="A30" s="0" t="s">
        <v>126</v>
      </c>
      <c r="B30" s="0" t="n">
        <f aca="false">SUM(C21:L21)</f>
        <v>1505.72446596778</v>
      </c>
    </row>
    <row r="31" customFormat="false" ht="15" hidden="false" customHeight="false" outlineLevel="0" collapsed="false">
      <c r="A31" s="0" t="s">
        <v>127</v>
      </c>
      <c r="B31" s="0" t="n">
        <f aca="false">L19</f>
        <v>243.36357965901</v>
      </c>
    </row>
    <row r="32" customFormat="false" ht="15" hidden="false" customHeight="false" outlineLevel="0" collapsed="false">
      <c r="A32" s="0" t="s">
        <v>128</v>
      </c>
      <c r="B32" s="0" t="n">
        <f aca="false">IF(B27&gt;B28,B31*(1+B28/100)/((B27-B28)/100),B31*B29)</f>
        <v>2906.0474512223</v>
      </c>
    </row>
    <row r="33" customFormat="false" ht="15" hidden="false" customHeight="false" outlineLevel="0" collapsed="false">
      <c r="A33" s="0" t="s">
        <v>129</v>
      </c>
      <c r="B33" s="0" t="n">
        <f aca="false">B31*B29</f>
        <v>2920.36295590812</v>
      </c>
    </row>
    <row r="34" customFormat="false" ht="15" hidden="false" customHeight="false" outlineLevel="0" collapsed="false">
      <c r="A34" s="0" t="s">
        <v>130</v>
      </c>
      <c r="B34" s="0" t="n">
        <f aca="false">MAX(0,MIN(B32,B33))</f>
        <v>2906.0474512223</v>
      </c>
    </row>
    <row r="35" customFormat="false" ht="15" hidden="false" customHeight="false" outlineLevel="0" collapsed="false">
      <c r="A35" s="0" t="s">
        <v>131</v>
      </c>
      <c r="B35" s="0" t="n">
        <f aca="false">B34/(1+B27/100)^L4</f>
        <v>1120.40709358255</v>
      </c>
    </row>
    <row r="36" customFormat="false" ht="15" hidden="false" customHeight="false" outlineLevel="0" collapsed="false">
      <c r="A36" s="0" t="s">
        <v>132</v>
      </c>
      <c r="B36" s="0" t="n">
        <f aca="false">B30+B35</f>
        <v>2626.13155955033</v>
      </c>
    </row>
    <row r="37" customFormat="false" ht="15" hidden="false" customHeight="false" outlineLevel="0" collapsed="false">
      <c r="A37" s="0" t="s">
        <v>133</v>
      </c>
      <c r="B37" s="0" t="n">
        <f aca="false">B36+Assumptions!$B$5-Assumptions!$B$4</f>
        <v>2112.63155955033</v>
      </c>
    </row>
    <row r="38" customFormat="false" ht="15" hidden="false" customHeight="false" outlineLevel="0" collapsed="false">
      <c r="A38" s="0" t="s">
        <v>134</v>
      </c>
      <c r="B38" s="0" t="n">
        <f aca="false">B37/Assumptions!$B$3*Assumptions!$B$10</f>
        <v>650.641071620058</v>
      </c>
    </row>
    <row r="39" customFormat="false" ht="15" hidden="false" customHeight="false" outlineLevel="0" collapsed="false">
      <c r="A39" s="0" t="s">
        <v>135</v>
      </c>
      <c r="B39" s="4" t="n">
        <f aca="false">B38/Assumptions!$B$2-1</f>
        <v>-0.457346896063338</v>
      </c>
    </row>
    <row r="41" customFormat="false" ht="15" hidden="false" customHeight="false" outlineLevel="0" collapsed="false">
      <c r="A41" s="0" t="s">
        <v>136</v>
      </c>
      <c r="B41" s="0" t="n">
        <f aca="false">SUMPRODUCT(-C10:L10/(1+$B$27/100)^C4:L4)</f>
        <v>100.957868011824</v>
      </c>
    </row>
    <row r="42" customFormat="false" ht="15" hidden="false" customHeight="false" outlineLevel="0" collapsed="false">
      <c r="A42" s="0" t="s">
        <v>137</v>
      </c>
      <c r="B42" s="0" t="n">
        <f aca="false">IF(B27&gt;B28,-L10*(1+B28/100)/((B27-B28)/100),-L10*20)/(1+B27/100)^L4</f>
        <v>77.6876219125393</v>
      </c>
    </row>
    <row r="43" customFormat="false" ht="15" hidden="false" customHeight="false" outlineLevel="0" collapsed="false">
      <c r="A43" s="0" t="s">
        <v>138</v>
      </c>
      <c r="B43" s="0" t="n">
        <f aca="false">(B37+B41+B42)/Assumptions!$B$3*Assumptions!$B$10</f>
        <v>705.659701100921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1829.73358039922</v>
      </c>
    </row>
    <row r="47" customFormat="false" ht="15" hidden="false" customHeight="false" outlineLevel="0" collapsed="false">
      <c r="A47" s="0" t="s">
        <v>140</v>
      </c>
      <c r="B47" s="0" t="n">
        <f aca="false">(SUMPRODUCT(C19:L19/(1+B45/100)^C4:L4)+B46/(1+B45/100)^L4+Assumptions!$B$5-Assumptions!$B$4)/Assumptions!$B$3*Assumptions!$B$10</f>
        <v>364.613832053395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7.5</v>
      </c>
      <c r="D5" s="4" t="n">
        <f aca="false">Assumptions!D27</f>
        <v>5</v>
      </c>
      <c r="E5" s="4" t="n">
        <f aca="false">Assumptions!E27</f>
        <v>4.5</v>
      </c>
      <c r="F5" s="4" t="n">
        <f aca="false">Assumptions!F27</f>
        <v>4.5</v>
      </c>
      <c r="G5" s="4" t="n">
        <f aca="false">Assumptions!G27</f>
        <v>4</v>
      </c>
      <c r="H5" s="4" t="n">
        <f aca="false">Assumptions!H27</f>
        <v>3.5</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3751.3</v>
      </c>
      <c r="C6" s="0" t="n">
        <f aca="false">B6*(1+C5/100)</f>
        <v>4032.6475</v>
      </c>
      <c r="D6" s="0" t="n">
        <f aca="false">C6*(1+D5/100)</f>
        <v>4234.279875</v>
      </c>
      <c r="E6" s="0" t="n">
        <f aca="false">D6*(1+E5/100)</f>
        <v>4424.822469375</v>
      </c>
      <c r="F6" s="0" t="n">
        <f aca="false">E6*(1+F5/100)</f>
        <v>4623.93948049687</v>
      </c>
      <c r="G6" s="0" t="n">
        <f aca="false">F6*(1+G5/100)</f>
        <v>4808.89705971675</v>
      </c>
      <c r="H6" s="0" t="n">
        <f aca="false">G6*(1+H5/100)</f>
        <v>4977.20845680684</v>
      </c>
      <c r="I6" s="0" t="n">
        <f aca="false">H6*(1+I5/100)</f>
        <v>5126.52471051104</v>
      </c>
      <c r="J6" s="0" t="n">
        <f aca="false">I6*(1+J5/100)</f>
        <v>5254.68782827382</v>
      </c>
      <c r="K6" s="0" t="n">
        <f aca="false">J6*(1+K5/100)</f>
        <v>5386.05502398066</v>
      </c>
      <c r="L6" s="0" t="n">
        <f aca="false">K6*(1+L5/100)</f>
        <v>5520.70639958018</v>
      </c>
    </row>
    <row r="7" customFormat="false" ht="15" hidden="false" customHeight="false" outlineLevel="0" collapsed="false">
      <c r="A7" s="0" t="s">
        <v>97</v>
      </c>
      <c r="C7" s="4" t="n">
        <f aca="false">Assumptions!C28</f>
        <v>12.6</v>
      </c>
      <c r="D7" s="4" t="n">
        <f aca="false">Assumptions!D28</f>
        <v>13</v>
      </c>
      <c r="E7" s="4" t="n">
        <f aca="false">Assumptions!E28</f>
        <v>13.8</v>
      </c>
      <c r="F7" s="4" t="n">
        <f aca="false">Assumptions!F28</f>
        <v>14.6</v>
      </c>
      <c r="G7" s="4" t="n">
        <f aca="false">Assumptions!G28</f>
        <v>15.4</v>
      </c>
      <c r="H7" s="4" t="n">
        <f aca="false">Assumptions!H28</f>
        <v>16</v>
      </c>
      <c r="I7" s="4" t="n">
        <f aca="false">Assumptions!I28</f>
        <v>16.5</v>
      </c>
      <c r="J7" s="4" t="n">
        <f aca="false">Assumptions!J28</f>
        <v>16.5</v>
      </c>
      <c r="K7" s="4" t="n">
        <f aca="false">Assumptions!K28</f>
        <v>16.5</v>
      </c>
      <c r="L7" s="4" t="n">
        <f aca="false">Assumptions!L28</f>
        <v>16.5</v>
      </c>
    </row>
    <row r="8" customFormat="false" ht="15" hidden="false" customHeight="false" outlineLevel="0" collapsed="false">
      <c r="A8" s="0" t="s">
        <v>44</v>
      </c>
      <c r="C8" s="0" t="n">
        <f aca="false">C6*C7/100</f>
        <v>508.113585</v>
      </c>
      <c r="D8" s="0" t="n">
        <f aca="false">D6*D7/100</f>
        <v>550.45638375</v>
      </c>
      <c r="E8" s="0" t="n">
        <f aca="false">E6*E7/100</f>
        <v>610.62550077375</v>
      </c>
      <c r="F8" s="0" t="n">
        <f aca="false">F6*F7/100</f>
        <v>675.095164152544</v>
      </c>
      <c r="G8" s="0" t="n">
        <f aca="false">G6*G7/100</f>
        <v>740.570147196379</v>
      </c>
      <c r="H8" s="0" t="n">
        <f aca="false">H6*H7/100</f>
        <v>796.353353089094</v>
      </c>
      <c r="I8" s="0" t="n">
        <f aca="false">I6*I7/100</f>
        <v>845.876577234322</v>
      </c>
      <c r="J8" s="0" t="n">
        <f aca="false">J6*J7/100</f>
        <v>867.02349166518</v>
      </c>
      <c r="K8" s="0" t="n">
        <f aca="false">K6*K7/100</f>
        <v>888.699078956809</v>
      </c>
      <c r="L8" s="0" t="n">
        <f aca="false">L6*L7/100</f>
        <v>910.916555930729</v>
      </c>
    </row>
    <row r="9" customFormat="false" ht="15" hidden="false" customHeight="false" outlineLevel="0" collapsed="false">
      <c r="A9" s="0" t="s">
        <v>98</v>
      </c>
      <c r="C9" s="4" t="n">
        <f aca="false">Assumptions!C29</f>
        <v>0.43</v>
      </c>
      <c r="D9" s="4" t="n">
        <f aca="false">Assumptions!D29</f>
        <v>0.43</v>
      </c>
      <c r="E9" s="4" t="n">
        <f aca="false">Assumptions!E29</f>
        <v>0.42</v>
      </c>
      <c r="F9" s="4" t="n">
        <f aca="false">Assumptions!F29</f>
        <v>0.42</v>
      </c>
      <c r="G9" s="4" t="n">
        <f aca="false">Assumptions!G29</f>
        <v>0.41</v>
      </c>
      <c r="H9" s="4" t="n">
        <f aca="false">Assumptions!H29</f>
        <v>0.41</v>
      </c>
      <c r="I9" s="4" t="n">
        <f aca="false">Assumptions!I29</f>
        <v>0.4</v>
      </c>
      <c r="J9" s="4" t="n">
        <f aca="false">Assumptions!J29</f>
        <v>0.4</v>
      </c>
      <c r="K9" s="4" t="n">
        <f aca="false">Assumptions!K29</f>
        <v>0.4</v>
      </c>
      <c r="L9" s="4" t="n">
        <f aca="false">Assumptions!L29</f>
        <v>0.4</v>
      </c>
    </row>
    <row r="10" customFormat="false" ht="15" hidden="false" customHeight="false" outlineLevel="0" collapsed="false">
      <c r="A10" s="0" t="s">
        <v>113</v>
      </c>
      <c r="C10" s="0" t="n">
        <f aca="false">-C6*C9/100</f>
        <v>-17.34038425</v>
      </c>
      <c r="D10" s="0" t="n">
        <f aca="false">-D6*D9/100</f>
        <v>-18.2074034625</v>
      </c>
      <c r="E10" s="0" t="n">
        <f aca="false">-E6*E9/100</f>
        <v>-18.584254371375</v>
      </c>
      <c r="F10" s="0" t="n">
        <f aca="false">-F6*F9/100</f>
        <v>-19.4205458180869</v>
      </c>
      <c r="G10" s="0" t="n">
        <f aca="false">-G6*G9/100</f>
        <v>-19.7164779448387</v>
      </c>
      <c r="H10" s="0" t="n">
        <f aca="false">-H6*H9/100</f>
        <v>-20.406554672908</v>
      </c>
      <c r="I10" s="0" t="n">
        <f aca="false">-I6*I9/100</f>
        <v>-20.5060988420442</v>
      </c>
      <c r="J10" s="0" t="n">
        <f aca="false">-J6*J9/100</f>
        <v>-21.0187513130953</v>
      </c>
      <c r="K10" s="0" t="n">
        <f aca="false">-K6*K9/100</f>
        <v>-21.5442200959226</v>
      </c>
      <c r="L10" s="0" t="n">
        <f aca="false">-L6*L9/100</f>
        <v>-22.0828255983207</v>
      </c>
    </row>
    <row r="11" customFormat="false" ht="15" hidden="false" customHeight="false" outlineLevel="0" collapsed="false">
      <c r="A11" s="0" t="s">
        <v>114</v>
      </c>
      <c r="C11" s="0" t="n">
        <f aca="false">C8+C10+C24</f>
        <v>490.77320075</v>
      </c>
      <c r="D11" s="0" t="n">
        <f aca="false">D8+D10+D24</f>
        <v>532.2489802875</v>
      </c>
      <c r="E11" s="0" t="n">
        <f aca="false">E8+E10+E24</f>
        <v>592.041246402375</v>
      </c>
      <c r="F11" s="0" t="n">
        <f aca="false">F8+F10+F24</f>
        <v>655.674618334457</v>
      </c>
      <c r="G11" s="0" t="n">
        <f aca="false">G8+G10+G24</f>
        <v>720.853669251541</v>
      </c>
      <c r="H11" s="0" t="n">
        <f aca="false">H8+H10+H24</f>
        <v>775.946798416186</v>
      </c>
      <c r="I11" s="0" t="n">
        <f aca="false">I8+I10+I24</f>
        <v>825.370478392278</v>
      </c>
      <c r="J11" s="0" t="n">
        <f aca="false">J8+J10+J24</f>
        <v>846.004740352084</v>
      </c>
      <c r="K11" s="0" t="n">
        <f aca="false">K8+K10+K24</f>
        <v>867.154858860886</v>
      </c>
      <c r="L11" s="0" t="n">
        <f aca="false">L8+L10+L24</f>
        <v>888.833730332408</v>
      </c>
    </row>
    <row r="12" customFormat="false" ht="15" hidden="false" customHeight="false" outlineLevel="0" collapsed="false">
      <c r="A12" s="0" t="s">
        <v>115</v>
      </c>
      <c r="C12" s="4" t="n">
        <f aca="false">-C6*Assumptions!C31/100</f>
        <v>-24.195885</v>
      </c>
      <c r="D12" s="4" t="n">
        <f aca="false">-D6*Assumptions!D31/100</f>
        <v>-25.40567925</v>
      </c>
      <c r="E12" s="4" t="n">
        <f aca="false">-E6*Assumptions!E31/100</f>
        <v>-26.54893481625</v>
      </c>
      <c r="F12" s="4" t="n">
        <f aca="false">-F6*Assumptions!F31/100</f>
        <v>-27.7436368829812</v>
      </c>
      <c r="G12" s="4" t="n">
        <f aca="false">-G6*Assumptions!G31/100</f>
        <v>-28.8533823583005</v>
      </c>
      <c r="H12" s="4" t="n">
        <f aca="false">-H6*Assumptions!H31/100</f>
        <v>-29.863250740841</v>
      </c>
      <c r="I12" s="4" t="n">
        <f aca="false">-I6*Assumptions!I31/100</f>
        <v>-30.7591482630662</v>
      </c>
      <c r="J12" s="4" t="n">
        <f aca="false">-J6*Assumptions!J31/100</f>
        <v>-31.5281269696429</v>
      </c>
      <c r="K12" s="4" t="n">
        <f aca="false">-K6*Assumptions!K31/100</f>
        <v>-32.316330143884</v>
      </c>
      <c r="L12" s="4" t="n">
        <f aca="false">-L6*Assumptions!L31/100</f>
        <v>-33.1242383974811</v>
      </c>
    </row>
    <row r="13" customFormat="false" ht="15" hidden="false" customHeight="false" outlineLevel="0" collapsed="false">
      <c r="A13" s="0" t="s">
        <v>116</v>
      </c>
      <c r="C13" s="0" t="n">
        <f aca="false">C11+C12</f>
        <v>466.57731575</v>
      </c>
      <c r="D13" s="0" t="n">
        <f aca="false">D11+D12</f>
        <v>506.8433010375</v>
      </c>
      <c r="E13" s="0" t="n">
        <f aca="false">E11+E12</f>
        <v>565.492311586125</v>
      </c>
      <c r="F13" s="0" t="n">
        <f aca="false">F11+F12</f>
        <v>627.930981451475</v>
      </c>
      <c r="G13" s="0" t="n">
        <f aca="false">G11+G12</f>
        <v>692.00028689324</v>
      </c>
      <c r="H13" s="0" t="n">
        <f aca="false">H11+H12</f>
        <v>746.083547675345</v>
      </c>
      <c r="I13" s="0" t="n">
        <f aca="false">I11+I12</f>
        <v>794.611330129211</v>
      </c>
      <c r="J13" s="0" t="n">
        <f aca="false">J11+J12</f>
        <v>814.476613382441</v>
      </c>
      <c r="K13" s="0" t="n">
        <f aca="false">K11+K12</f>
        <v>834.838528717002</v>
      </c>
      <c r="L13" s="0" t="n">
        <f aca="false">L11+L12</f>
        <v>855.709491934927</v>
      </c>
    </row>
    <row r="14" customFormat="false" ht="15" hidden="false" customHeight="false" outlineLevel="0" collapsed="false">
      <c r="A14" s="0" t="s">
        <v>102</v>
      </c>
      <c r="C14" s="4" t="n">
        <f aca="false">Assumptions!C33</f>
        <v>27</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117</v>
      </c>
      <c r="C15" s="0" t="n">
        <f aca="false">C13-MAX(0,C13)*C14/100</f>
        <v>340.6014404975</v>
      </c>
      <c r="D15" s="0" t="n">
        <f aca="false">D13-MAX(0,D13)*D14/100</f>
        <v>364.927176747</v>
      </c>
      <c r="E15" s="0" t="n">
        <f aca="false">E13-MAX(0,E13)*E14/100</f>
        <v>407.15446434201</v>
      </c>
      <c r="F15" s="0" t="n">
        <f aca="false">F13-MAX(0,F13)*F14/100</f>
        <v>452.110306645062</v>
      </c>
      <c r="G15" s="0" t="n">
        <f aca="false">G13-MAX(0,G13)*G14/100</f>
        <v>498.240206563133</v>
      </c>
      <c r="H15" s="0" t="n">
        <f aca="false">H13-MAX(0,H13)*H14/100</f>
        <v>537.180154326248</v>
      </c>
      <c r="I15" s="0" t="n">
        <f aca="false">I13-MAX(0,I13)*I14/100</f>
        <v>572.120157693032</v>
      </c>
      <c r="J15" s="0" t="n">
        <f aca="false">J13-MAX(0,J13)*J14/100</f>
        <v>586.423161635358</v>
      </c>
      <c r="K15" s="0" t="n">
        <f aca="false">K13-MAX(0,K13)*K14/100</f>
        <v>601.083740676242</v>
      </c>
      <c r="L15" s="0" t="n">
        <f aca="false">L13-MAX(0,L13)*L14/100</f>
        <v>616.110834193148</v>
      </c>
    </row>
    <row r="16" customFormat="false" ht="15" hidden="false" customHeight="false" outlineLevel="0" collapsed="false">
      <c r="A16" s="0" t="s">
        <v>118</v>
      </c>
      <c r="C16" s="0" t="n">
        <f aca="false">-C12</f>
        <v>24.195885</v>
      </c>
      <c r="D16" s="0" t="n">
        <f aca="false">-D12</f>
        <v>25.40567925</v>
      </c>
      <c r="E16" s="0" t="n">
        <f aca="false">-E12</f>
        <v>26.54893481625</v>
      </c>
      <c r="F16" s="0" t="n">
        <f aca="false">-F12</f>
        <v>27.7436368829812</v>
      </c>
      <c r="G16" s="0" t="n">
        <f aca="false">-G12</f>
        <v>28.8533823583005</v>
      </c>
      <c r="H16" s="0" t="n">
        <f aca="false">-H12</f>
        <v>29.863250740841</v>
      </c>
      <c r="I16" s="0" t="n">
        <f aca="false">-I12</f>
        <v>30.7591482630662</v>
      </c>
      <c r="J16" s="0" t="n">
        <f aca="false">-J12</f>
        <v>31.5281269696429</v>
      </c>
      <c r="K16" s="0" t="n">
        <f aca="false">-K12</f>
        <v>32.316330143884</v>
      </c>
      <c r="L16" s="0" t="n">
        <f aca="false">-L12</f>
        <v>33.1242383974811</v>
      </c>
    </row>
    <row r="17" customFormat="false" ht="15" hidden="false" customHeight="false" outlineLevel="0" collapsed="false">
      <c r="A17" s="0" t="s">
        <v>119</v>
      </c>
      <c r="C17" s="4" t="n">
        <f aca="false">-C6*Assumptions!C32/100</f>
        <v>-40.326475</v>
      </c>
      <c r="D17" s="4" t="n">
        <f aca="false">-D6*Assumptions!D32/100</f>
        <v>-42.34279875</v>
      </c>
      <c r="E17" s="4" t="n">
        <f aca="false">-E6*Assumptions!E32/100</f>
        <v>-39.823402224375</v>
      </c>
      <c r="F17" s="4" t="n">
        <f aca="false">-F6*Assumptions!F32/100</f>
        <v>-41.6154553244719</v>
      </c>
      <c r="G17" s="4" t="n">
        <f aca="false">-G6*Assumptions!G32/100</f>
        <v>-38.471176477734</v>
      </c>
      <c r="H17" s="4" t="n">
        <f aca="false">-H6*Assumptions!H32/100</f>
        <v>-39.8176676544547</v>
      </c>
      <c r="I17" s="4" t="n">
        <f aca="false">-I6*Assumptions!I32/100</f>
        <v>-41.0121976840883</v>
      </c>
      <c r="J17" s="4" t="n">
        <f aca="false">-J6*Assumptions!J32/100</f>
        <v>-42.0375026261905</v>
      </c>
      <c r="K17" s="4" t="n">
        <f aca="false">-K6*Assumptions!K32/100</f>
        <v>-43.0884401918453</v>
      </c>
      <c r="L17" s="4" t="n">
        <f aca="false">-L6*Assumptions!L32/100</f>
        <v>-44.1656511966414</v>
      </c>
    </row>
    <row r="18" customFormat="false" ht="15" hidden="false" customHeight="false" outlineLevel="0" collapsed="false">
      <c r="A18" s="0" t="s">
        <v>120</v>
      </c>
      <c r="C18" s="4" t="n">
        <f aca="false">(C6-B6)*Assumptions!$B$37/100</f>
        <v>-225.078</v>
      </c>
      <c r="D18" s="4" t="n">
        <f aca="false">(D6-C6)*Assumptions!$B$37/100</f>
        <v>-161.3059</v>
      </c>
      <c r="E18" s="4" t="n">
        <f aca="false">(E6-D6)*Assumptions!$B$37/100</f>
        <v>-152.4340755</v>
      </c>
      <c r="F18" s="4" t="n">
        <f aca="false">(F6-E6)*Assumptions!$B$37/100</f>
        <v>-159.2936088975</v>
      </c>
      <c r="G18" s="4" t="n">
        <f aca="false">(G6-F6)*Assumptions!$B$37/100</f>
        <v>-147.9660633759</v>
      </c>
      <c r="H18" s="4" t="n">
        <f aca="false">(H6-G6)*Assumptions!$B$37/100</f>
        <v>-134.649117672069</v>
      </c>
      <c r="I18" s="4" t="n">
        <f aca="false">(I6-H6)*Assumptions!$B$37/100</f>
        <v>-119.453002963364</v>
      </c>
      <c r="J18" s="4" t="n">
        <f aca="false">(J6-I6)*Assumptions!$B$37/100</f>
        <v>-102.530494210221</v>
      </c>
      <c r="K18" s="4" t="n">
        <f aca="false">(K6-J6)*Assumptions!$B$37/100</f>
        <v>-105.093756565476</v>
      </c>
      <c r="L18" s="4" t="n">
        <f aca="false">(L6-K6)*Assumptions!$B$37/100</f>
        <v>-107.721100479613</v>
      </c>
    </row>
    <row r="19" customFormat="false" ht="15" hidden="false" customHeight="false" outlineLevel="0" collapsed="false">
      <c r="A19" s="0" t="s">
        <v>121</v>
      </c>
      <c r="C19" s="0" t="n">
        <f aca="false">C15+C16+C17+C18</f>
        <v>99.3928504975001</v>
      </c>
      <c r="D19" s="0" t="n">
        <f aca="false">D15+D16+D17+D18</f>
        <v>186.684157247</v>
      </c>
      <c r="E19" s="0" t="n">
        <f aca="false">E15+E16+E17+E18</f>
        <v>241.445921433885</v>
      </c>
      <c r="F19" s="0" t="n">
        <f aca="false">F15+F16+F17+F18</f>
        <v>278.944879306072</v>
      </c>
      <c r="G19" s="0" t="n">
        <f aca="false">G15+G16+G17+G18</f>
        <v>340.6563490678</v>
      </c>
      <c r="H19" s="0" t="n">
        <f aca="false">H15+H16+H17+H18</f>
        <v>392.576619740566</v>
      </c>
      <c r="I19" s="0" t="n">
        <f aca="false">I15+I16+I17+I18</f>
        <v>442.414105308646</v>
      </c>
      <c r="J19" s="0" t="n">
        <f aca="false">J15+J16+J17+J18</f>
        <v>473.383291768589</v>
      </c>
      <c r="K19" s="0" t="n">
        <f aca="false">K15+K16+K17+K18</f>
        <v>485.217874062805</v>
      </c>
      <c r="L19" s="0" t="n">
        <f aca="false">L15+L16+L17+L18</f>
        <v>497.348320914375</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90.3571368159091</v>
      </c>
      <c r="D21" s="0" t="n">
        <f aca="false">D19*D20</f>
        <v>154.284427476859</v>
      </c>
      <c r="E21" s="0" t="n">
        <f aca="false">E19*E20</f>
        <v>181.401894390597</v>
      </c>
      <c r="F21" s="0" t="n">
        <f aca="false">F19*F20</f>
        <v>190.523105871233</v>
      </c>
      <c r="G21" s="0" t="n">
        <f aca="false">G19*G20</f>
        <v>211.520790971679</v>
      </c>
      <c r="H21" s="0" t="n">
        <f aca="false">H19*H20</f>
        <v>221.599267392184</v>
      </c>
      <c r="I21" s="0" t="n">
        <f aca="false">I19*I20</f>
        <v>227.028389758906</v>
      </c>
      <c r="J21" s="0" t="n">
        <f aca="false">J19*J20</f>
        <v>220.836799278024</v>
      </c>
      <c r="K21" s="0" t="n">
        <f aca="false">K19*K20</f>
        <v>205.779744781796</v>
      </c>
      <c r="L21" s="0" t="n">
        <f aca="false">L19*L20</f>
        <v>191.749307637582</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10</v>
      </c>
    </row>
    <row r="28" customFormat="false" ht="15" hidden="false" customHeight="false" outlineLevel="0" collapsed="false">
      <c r="A28" s="0" t="s">
        <v>104</v>
      </c>
      <c r="B28" s="4" t="n">
        <f aca="false">Assumptions!$B$35</f>
        <v>2</v>
      </c>
    </row>
    <row r="29" customFormat="false" ht="15" hidden="false" customHeight="false" outlineLevel="0" collapsed="false">
      <c r="A29" s="0" t="s">
        <v>105</v>
      </c>
      <c r="B29" s="4" t="n">
        <f aca="false">Assumptions!$B$36</f>
        <v>14</v>
      </c>
    </row>
    <row r="30" customFormat="false" ht="15" hidden="false" customHeight="false" outlineLevel="0" collapsed="false">
      <c r="A30" s="0" t="s">
        <v>126</v>
      </c>
      <c r="B30" s="0" t="n">
        <f aca="false">SUM(C21:L21)</f>
        <v>1895.08086437477</v>
      </c>
    </row>
    <row r="31" customFormat="false" ht="15" hidden="false" customHeight="false" outlineLevel="0" collapsed="false">
      <c r="A31" s="0" t="s">
        <v>127</v>
      </c>
      <c r="B31" s="0" t="n">
        <f aca="false">L19</f>
        <v>497.348320914375</v>
      </c>
    </row>
    <row r="32" customFormat="false" ht="15" hidden="false" customHeight="false" outlineLevel="0" collapsed="false">
      <c r="A32" s="0" t="s">
        <v>128</v>
      </c>
      <c r="B32" s="0" t="n">
        <f aca="false">IF(B27&gt;B28,B31*(1+B28/100)/((B27-B28)/100),B31*B29)</f>
        <v>6341.19109165828</v>
      </c>
    </row>
    <row r="33" customFormat="false" ht="15" hidden="false" customHeight="false" outlineLevel="0" collapsed="false">
      <c r="A33" s="0" t="s">
        <v>129</v>
      </c>
      <c r="B33" s="0" t="n">
        <f aca="false">B31*B29</f>
        <v>6962.87649280125</v>
      </c>
    </row>
    <row r="34" customFormat="false" ht="15" hidden="false" customHeight="false" outlineLevel="0" collapsed="false">
      <c r="A34" s="0" t="s">
        <v>130</v>
      </c>
      <c r="B34" s="0" t="n">
        <f aca="false">MAX(0,MIN(B32,B33))</f>
        <v>6341.19109165828</v>
      </c>
    </row>
    <row r="35" customFormat="false" ht="15" hidden="false" customHeight="false" outlineLevel="0" collapsed="false">
      <c r="A35" s="0" t="s">
        <v>131</v>
      </c>
      <c r="B35" s="0" t="n">
        <f aca="false">B34/(1+B27/100)^L4</f>
        <v>2444.80367237917</v>
      </c>
    </row>
    <row r="36" customFormat="false" ht="15" hidden="false" customHeight="false" outlineLevel="0" collapsed="false">
      <c r="A36" s="0" t="s">
        <v>132</v>
      </c>
      <c r="B36" s="0" t="n">
        <f aca="false">B30+B35</f>
        <v>4339.88453675394</v>
      </c>
    </row>
    <row r="37" customFormat="false" ht="15" hidden="false" customHeight="false" outlineLevel="0" collapsed="false">
      <c r="A37" s="0" t="s">
        <v>133</v>
      </c>
      <c r="B37" s="0" t="n">
        <f aca="false">B36+Assumptions!$B$5-Assumptions!$B$4</f>
        <v>3826.38453675394</v>
      </c>
    </row>
    <row r="38" customFormat="false" ht="15" hidden="false" customHeight="false" outlineLevel="0" collapsed="false">
      <c r="A38" s="0" t="s">
        <v>134</v>
      </c>
      <c r="B38" s="0" t="n">
        <f aca="false">B37/Assumptions!$B$3*Assumptions!$B$10</f>
        <v>1178.43687611763</v>
      </c>
    </row>
    <row r="39" customFormat="false" ht="15" hidden="false" customHeight="false" outlineLevel="0" collapsed="false">
      <c r="A39" s="0" t="s">
        <v>135</v>
      </c>
      <c r="B39" s="4" t="n">
        <f aca="false">B38/Assumptions!$B$2-1</f>
        <v>-0.0171502284256632</v>
      </c>
    </row>
    <row r="41" customFormat="false" ht="15" hidden="false" customHeight="false" outlineLevel="0" collapsed="false">
      <c r="A41" s="0" t="s">
        <v>136</v>
      </c>
      <c r="B41" s="0" t="n">
        <f aca="false">SUMPRODUCT(-C10:L10/(1+$B$27/100)^C4:L4)</f>
        <v>119.778907081625</v>
      </c>
    </row>
    <row r="42" customFormat="false" ht="15" hidden="false" customHeight="false" outlineLevel="0" collapsed="false">
      <c r="A42" s="0" t="s">
        <v>137</v>
      </c>
      <c r="B42" s="0" t="n">
        <f aca="false">IF(B27&gt;B28,-L10*(1+B28/100)/((B27-B28)/100),-L10*20)/(1+B27/100)^L4</f>
        <v>108.552036568709</v>
      </c>
    </row>
    <row r="43" customFormat="false" ht="15" hidden="false" customHeight="false" outlineLevel="0" collapsed="false">
      <c r="A43" s="0" t="s">
        <v>138</v>
      </c>
      <c r="B43" s="0" t="n">
        <f aca="false">(B37+B41+B42)/Assumptions!$B$3*Assumptions!$B$10</f>
        <v>1248.75746239738</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3902.27144102048</v>
      </c>
    </row>
    <row r="47" customFormat="false" ht="15" hidden="false" customHeight="false" outlineLevel="0" collapsed="false">
      <c r="A47" s="0" t="s">
        <v>140</v>
      </c>
      <c r="B47" s="0" t="n">
        <f aca="false">(SUMPRODUCT(C19:L19/(1+B45/100)^C4:L4)+B46/(1+B45/100)^L4+Assumptions!$B$5-Assumptions!$B$4)/Assumptions!$B$3*Assumptions!$B$10</f>
        <v>590.679577282684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8.5</v>
      </c>
      <c r="D5" s="4" t="n">
        <f aca="false">Assumptions!D41</f>
        <v>7.5</v>
      </c>
      <c r="E5" s="4" t="n">
        <f aca="false">Assumptions!E41</f>
        <v>7</v>
      </c>
      <c r="F5" s="4" t="n">
        <f aca="false">Assumptions!F41</f>
        <v>6</v>
      </c>
      <c r="G5" s="4" t="n">
        <f aca="false">Assumptions!G41</f>
        <v>5</v>
      </c>
      <c r="H5" s="4" t="n">
        <f aca="false">Assumptions!H41</f>
        <v>4.5</v>
      </c>
      <c r="I5" s="4" t="n">
        <f aca="false">Assumptions!I41</f>
        <v>4</v>
      </c>
      <c r="J5" s="4" t="n">
        <f aca="false">Assumptions!J41</f>
        <v>3</v>
      </c>
      <c r="K5" s="4" t="n">
        <f aca="false">Assumptions!K41</f>
        <v>2.5</v>
      </c>
      <c r="L5" s="4" t="n">
        <f aca="false">Assumptions!L41</f>
        <v>2.5</v>
      </c>
    </row>
    <row r="6" customFormat="false" ht="15" hidden="false" customHeight="false" outlineLevel="0" collapsed="false">
      <c r="A6" s="0" t="s">
        <v>38</v>
      </c>
      <c r="B6" s="3" t="n">
        <v>3751.3</v>
      </c>
      <c r="C6" s="0" t="n">
        <f aca="false">B6*(1+C5/100)</f>
        <v>4070.1605</v>
      </c>
      <c r="D6" s="0" t="n">
        <f aca="false">C6*(1+D5/100)</f>
        <v>4375.4225375</v>
      </c>
      <c r="E6" s="0" t="n">
        <f aca="false">D6*(1+E5/100)</f>
        <v>4681.702115125</v>
      </c>
      <c r="F6" s="0" t="n">
        <f aca="false">E6*(1+F5/100)</f>
        <v>4962.6042420325</v>
      </c>
      <c r="G6" s="0" t="n">
        <f aca="false">F6*(1+G5/100)</f>
        <v>5210.73445413413</v>
      </c>
      <c r="H6" s="0" t="n">
        <f aca="false">G6*(1+H5/100)</f>
        <v>5445.21750457016</v>
      </c>
      <c r="I6" s="0" t="n">
        <f aca="false">H6*(1+I5/100)</f>
        <v>5663.02620475297</v>
      </c>
      <c r="J6" s="0" t="n">
        <f aca="false">I6*(1+J5/100)</f>
        <v>5832.91699089556</v>
      </c>
      <c r="K6" s="0" t="n">
        <f aca="false">J6*(1+K5/100)</f>
        <v>5978.73991566795</v>
      </c>
      <c r="L6" s="0" t="n">
        <f aca="false">K6*(1+L5/100)</f>
        <v>6128.20841355964</v>
      </c>
    </row>
    <row r="7" customFormat="false" ht="15" hidden="false" customHeight="false" outlineLevel="0" collapsed="false">
      <c r="A7" s="0" t="s">
        <v>97</v>
      </c>
      <c r="C7" s="4" t="n">
        <f aca="false">Assumptions!C42</f>
        <v>12.9</v>
      </c>
      <c r="D7" s="4" t="n">
        <f aca="false">Assumptions!D42</f>
        <v>13.8</v>
      </c>
      <c r="E7" s="4" t="n">
        <f aca="false">Assumptions!E42</f>
        <v>15.2</v>
      </c>
      <c r="F7" s="4" t="n">
        <f aca="false">Assumptions!F42</f>
        <v>16.6</v>
      </c>
      <c r="G7" s="4" t="n">
        <f aca="false">Assumptions!G42</f>
        <v>18</v>
      </c>
      <c r="H7" s="4" t="n">
        <f aca="false">Assumptions!H42</f>
        <v>19.2</v>
      </c>
      <c r="I7" s="4" t="n">
        <f aca="false">Assumptions!I42</f>
        <v>20</v>
      </c>
      <c r="J7" s="4" t="n">
        <f aca="false">Assumptions!J42</f>
        <v>20.5</v>
      </c>
      <c r="K7" s="4" t="n">
        <f aca="false">Assumptions!K42</f>
        <v>20.5</v>
      </c>
      <c r="L7" s="4" t="n">
        <f aca="false">Assumptions!L42</f>
        <v>20.5</v>
      </c>
    </row>
    <row r="8" customFormat="false" ht="15" hidden="false" customHeight="false" outlineLevel="0" collapsed="false">
      <c r="A8" s="0" t="s">
        <v>44</v>
      </c>
      <c r="C8" s="0" t="n">
        <f aca="false">C6*C7/100</f>
        <v>525.0507045</v>
      </c>
      <c r="D8" s="0" t="n">
        <f aca="false">D6*D7/100</f>
        <v>603.808310175</v>
      </c>
      <c r="E8" s="0" t="n">
        <f aca="false">E6*E7/100</f>
        <v>711.618721499</v>
      </c>
      <c r="F8" s="0" t="n">
        <f aca="false">F6*F7/100</f>
        <v>823.792304177395</v>
      </c>
      <c r="G8" s="0" t="n">
        <f aca="false">G6*G7/100</f>
        <v>937.932201744143</v>
      </c>
      <c r="H8" s="0" t="n">
        <f aca="false">H6*H7/100</f>
        <v>1045.48176087747</v>
      </c>
      <c r="I8" s="0" t="n">
        <f aca="false">I6*I7/100</f>
        <v>1132.60524095059</v>
      </c>
      <c r="J8" s="0" t="n">
        <f aca="false">J6*J7/100</f>
        <v>1195.74798313359</v>
      </c>
      <c r="K8" s="0" t="n">
        <f aca="false">K6*K7/100</f>
        <v>1225.64168271193</v>
      </c>
      <c r="L8" s="0" t="n">
        <f aca="false">L6*L7/100</f>
        <v>1256.28272477973</v>
      </c>
    </row>
    <row r="9" customFormat="false" ht="15" hidden="false" customHeight="false" outlineLevel="0" collapsed="false">
      <c r="A9" s="0" t="s">
        <v>98</v>
      </c>
      <c r="C9" s="4" t="n">
        <f aca="false">Assumptions!C43</f>
        <v>0.43</v>
      </c>
      <c r="D9" s="4" t="n">
        <f aca="false">Assumptions!D43</f>
        <v>0.43</v>
      </c>
      <c r="E9" s="4" t="n">
        <f aca="false">Assumptions!E43</f>
        <v>0.42</v>
      </c>
      <c r="F9" s="4" t="n">
        <f aca="false">Assumptions!F43</f>
        <v>0.42</v>
      </c>
      <c r="G9" s="4" t="n">
        <f aca="false">Assumptions!G43</f>
        <v>0.41</v>
      </c>
      <c r="H9" s="4" t="n">
        <f aca="false">Assumptions!H43</f>
        <v>0.41</v>
      </c>
      <c r="I9" s="4" t="n">
        <f aca="false">Assumptions!I43</f>
        <v>0.4</v>
      </c>
      <c r="J9" s="4" t="n">
        <f aca="false">Assumptions!J43</f>
        <v>0.4</v>
      </c>
      <c r="K9" s="4" t="n">
        <f aca="false">Assumptions!K43</f>
        <v>0.4</v>
      </c>
      <c r="L9" s="4" t="n">
        <f aca="false">Assumptions!L43</f>
        <v>0.4</v>
      </c>
    </row>
    <row r="10" customFormat="false" ht="15" hidden="false" customHeight="false" outlineLevel="0" collapsed="false">
      <c r="A10" s="0" t="s">
        <v>113</v>
      </c>
      <c r="C10" s="0" t="n">
        <f aca="false">-C6*C9/100</f>
        <v>-17.50169015</v>
      </c>
      <c r="D10" s="0" t="n">
        <f aca="false">-D6*D9/100</f>
        <v>-18.81431691125</v>
      </c>
      <c r="E10" s="0" t="n">
        <f aca="false">-E6*E9/100</f>
        <v>-19.663148883525</v>
      </c>
      <c r="F10" s="0" t="n">
        <f aca="false">-F6*F9/100</f>
        <v>-20.8429378165365</v>
      </c>
      <c r="G10" s="0" t="n">
        <f aca="false">-G6*G9/100</f>
        <v>-21.3640112619499</v>
      </c>
      <c r="H10" s="0" t="n">
        <f aca="false">-H6*H9/100</f>
        <v>-22.3253917687377</v>
      </c>
      <c r="I10" s="0" t="n">
        <f aca="false">-I6*I9/100</f>
        <v>-22.6521048190119</v>
      </c>
      <c r="J10" s="0" t="n">
        <f aca="false">-J6*J9/100</f>
        <v>-23.3316679635822</v>
      </c>
      <c r="K10" s="0" t="n">
        <f aca="false">-K6*K9/100</f>
        <v>-23.9149596626718</v>
      </c>
      <c r="L10" s="0" t="n">
        <f aca="false">-L6*L9/100</f>
        <v>-24.5128336542386</v>
      </c>
    </row>
    <row r="11" customFormat="false" ht="15" hidden="false" customHeight="false" outlineLevel="0" collapsed="false">
      <c r="A11" s="0" t="s">
        <v>114</v>
      </c>
      <c r="C11" s="0" t="n">
        <f aca="false">C8+C10+C24</f>
        <v>507.54901435</v>
      </c>
      <c r="D11" s="0" t="n">
        <f aca="false">D8+D10+D24</f>
        <v>584.99399326375</v>
      </c>
      <c r="E11" s="0" t="n">
        <f aca="false">E8+E10+E24</f>
        <v>691.955572615475</v>
      </c>
      <c r="F11" s="0" t="n">
        <f aca="false">F8+F10+F24</f>
        <v>802.949366360859</v>
      </c>
      <c r="G11" s="0" t="n">
        <f aca="false">G8+G10+G24</f>
        <v>916.568190482193</v>
      </c>
      <c r="H11" s="0" t="n">
        <f aca="false">H8+H10+H24</f>
        <v>1023.15636910873</v>
      </c>
      <c r="I11" s="0" t="n">
        <f aca="false">I8+I10+I24</f>
        <v>1109.95313613158</v>
      </c>
      <c r="J11" s="0" t="n">
        <f aca="false">J8+J10+J24</f>
        <v>1172.41631517001</v>
      </c>
      <c r="K11" s="0" t="n">
        <f aca="false">K8+K10+K24</f>
        <v>1201.72672304926</v>
      </c>
      <c r="L11" s="0" t="n">
        <f aca="false">L8+L10+L24</f>
        <v>1231.76989112549</v>
      </c>
    </row>
    <row r="12" customFormat="false" ht="15" hidden="false" customHeight="false" outlineLevel="0" collapsed="false">
      <c r="A12" s="0" t="s">
        <v>115</v>
      </c>
      <c r="C12" s="4" t="n">
        <f aca="false">-C6*Assumptions!C45/100</f>
        <v>-24.420963</v>
      </c>
      <c r="D12" s="4" t="n">
        <f aca="false">-D6*Assumptions!D45/100</f>
        <v>-26.252535225</v>
      </c>
      <c r="E12" s="4" t="n">
        <f aca="false">-E6*Assumptions!E45/100</f>
        <v>-28.09021269075</v>
      </c>
      <c r="F12" s="4" t="n">
        <f aca="false">-F6*Assumptions!F45/100</f>
        <v>-29.775625452195</v>
      </c>
      <c r="G12" s="4" t="n">
        <f aca="false">-G6*Assumptions!G45/100</f>
        <v>-31.2644067248048</v>
      </c>
      <c r="H12" s="4" t="n">
        <f aca="false">-H6*Assumptions!H45/100</f>
        <v>-32.671305027421</v>
      </c>
      <c r="I12" s="4" t="n">
        <f aca="false">-I6*Assumptions!I45/100</f>
        <v>-33.9781572285178</v>
      </c>
      <c r="J12" s="4" t="n">
        <f aca="false">-J6*Assumptions!J45/100</f>
        <v>-34.9975019453733</v>
      </c>
      <c r="K12" s="4" t="n">
        <f aca="false">-K6*Assumptions!K45/100</f>
        <v>-35.8724394940077</v>
      </c>
      <c r="L12" s="4" t="n">
        <f aca="false">-L6*Assumptions!L45/100</f>
        <v>-36.7692504813579</v>
      </c>
    </row>
    <row r="13" customFormat="false" ht="15" hidden="false" customHeight="false" outlineLevel="0" collapsed="false">
      <c r="A13" s="0" t="s">
        <v>116</v>
      </c>
      <c r="C13" s="0" t="n">
        <f aca="false">C11+C12</f>
        <v>483.12805135</v>
      </c>
      <c r="D13" s="0" t="n">
        <f aca="false">D11+D12</f>
        <v>558.74145803875</v>
      </c>
      <c r="E13" s="0" t="n">
        <f aca="false">E11+E12</f>
        <v>663.865359924725</v>
      </c>
      <c r="F13" s="0" t="n">
        <f aca="false">F11+F12</f>
        <v>773.173740908664</v>
      </c>
      <c r="G13" s="0" t="n">
        <f aca="false">G11+G12</f>
        <v>885.303783757388</v>
      </c>
      <c r="H13" s="0" t="n">
        <f aca="false">H11+H12</f>
        <v>990.485064081312</v>
      </c>
      <c r="I13" s="0" t="n">
        <f aca="false">I11+I12</f>
        <v>1075.97497890306</v>
      </c>
      <c r="J13" s="0" t="n">
        <f aca="false">J11+J12</f>
        <v>1137.41881322463</v>
      </c>
      <c r="K13" s="0" t="n">
        <f aca="false">K11+K12</f>
        <v>1165.85428355525</v>
      </c>
      <c r="L13" s="0" t="n">
        <f aca="false">L11+L12</f>
        <v>1195.00064064413</v>
      </c>
    </row>
    <row r="14" customFormat="false" ht="15" hidden="false" customHeight="false" outlineLevel="0" collapsed="false">
      <c r="A14" s="0" t="s">
        <v>102</v>
      </c>
      <c r="C14" s="4" t="n">
        <f aca="false">Assumptions!C47</f>
        <v>27</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117</v>
      </c>
      <c r="C15" s="0" t="n">
        <f aca="false">C13-MAX(0,C13)*C14/100</f>
        <v>352.6834774855</v>
      </c>
      <c r="D15" s="0" t="n">
        <f aca="false">D13-MAX(0,D13)*D14/100</f>
        <v>402.2938497879</v>
      </c>
      <c r="E15" s="0" t="n">
        <f aca="false">E13-MAX(0,E13)*E14/100</f>
        <v>477.983059145802</v>
      </c>
      <c r="F15" s="0" t="n">
        <f aca="false">F13-MAX(0,F13)*F14/100</f>
        <v>556.685093454238</v>
      </c>
      <c r="G15" s="0" t="n">
        <f aca="false">G13-MAX(0,G13)*G14/100</f>
        <v>637.418724305319</v>
      </c>
      <c r="H15" s="0" t="n">
        <f aca="false">H13-MAX(0,H13)*H14/100</f>
        <v>713.149246138545</v>
      </c>
      <c r="I15" s="0" t="n">
        <f aca="false">I13-MAX(0,I13)*I14/100</f>
        <v>774.701984810206</v>
      </c>
      <c r="J15" s="0" t="n">
        <f aca="false">J13-MAX(0,J13)*J14/100</f>
        <v>818.941545521736</v>
      </c>
      <c r="K15" s="0" t="n">
        <f aca="false">K13-MAX(0,K13)*K14/100</f>
        <v>839.415084159779</v>
      </c>
      <c r="L15" s="0" t="n">
        <f aca="false">L13-MAX(0,L13)*L14/100</f>
        <v>860.400461263774</v>
      </c>
    </row>
    <row r="16" customFormat="false" ht="15" hidden="false" customHeight="false" outlineLevel="0" collapsed="false">
      <c r="A16" s="0" t="s">
        <v>118</v>
      </c>
      <c r="C16" s="0" t="n">
        <f aca="false">-C12</f>
        <v>24.420963</v>
      </c>
      <c r="D16" s="0" t="n">
        <f aca="false">-D12</f>
        <v>26.252535225</v>
      </c>
      <c r="E16" s="0" t="n">
        <f aca="false">-E12</f>
        <v>28.09021269075</v>
      </c>
      <c r="F16" s="0" t="n">
        <f aca="false">-F12</f>
        <v>29.775625452195</v>
      </c>
      <c r="G16" s="0" t="n">
        <f aca="false">-G12</f>
        <v>31.2644067248048</v>
      </c>
      <c r="H16" s="0" t="n">
        <f aca="false">-H12</f>
        <v>32.671305027421</v>
      </c>
      <c r="I16" s="0" t="n">
        <f aca="false">-I12</f>
        <v>33.9781572285178</v>
      </c>
      <c r="J16" s="0" t="n">
        <f aca="false">-J12</f>
        <v>34.9975019453733</v>
      </c>
      <c r="K16" s="0" t="n">
        <f aca="false">-K12</f>
        <v>35.8724394940077</v>
      </c>
      <c r="L16" s="0" t="n">
        <f aca="false">-L12</f>
        <v>36.7692504813579</v>
      </c>
    </row>
    <row r="17" customFormat="false" ht="15" hidden="false" customHeight="false" outlineLevel="0" collapsed="false">
      <c r="A17" s="0" t="s">
        <v>119</v>
      </c>
      <c r="C17" s="4" t="n">
        <f aca="false">-C6*Assumptions!C46/100</f>
        <v>-40.701605</v>
      </c>
      <c r="D17" s="4" t="n">
        <f aca="false">-D6*Assumptions!D46/100</f>
        <v>-43.754225375</v>
      </c>
      <c r="E17" s="4" t="n">
        <f aca="false">-E6*Assumptions!E46/100</f>
        <v>-42.135319036125</v>
      </c>
      <c r="F17" s="4" t="n">
        <f aca="false">-F6*Assumptions!F46/100</f>
        <v>-44.6634381782925</v>
      </c>
      <c r="G17" s="4" t="n">
        <f aca="false">-G6*Assumptions!G46/100</f>
        <v>-41.685875633073</v>
      </c>
      <c r="H17" s="4" t="n">
        <f aca="false">-H6*Assumptions!H46/100</f>
        <v>-43.5617400365613</v>
      </c>
      <c r="I17" s="4" t="n">
        <f aca="false">-I6*Assumptions!I46/100</f>
        <v>-45.3042096380237</v>
      </c>
      <c r="J17" s="4" t="n">
        <f aca="false">-J6*Assumptions!J46/100</f>
        <v>-46.6633359271645</v>
      </c>
      <c r="K17" s="4" t="n">
        <f aca="false">-K6*Assumptions!K46/100</f>
        <v>-47.8299193253436</v>
      </c>
      <c r="L17" s="4" t="n">
        <f aca="false">-L6*Assumptions!L46/100</f>
        <v>-49.0256673084772</v>
      </c>
    </row>
    <row r="18" customFormat="false" ht="15" hidden="false" customHeight="false" outlineLevel="0" collapsed="false">
      <c r="A18" s="0" t="s">
        <v>120</v>
      </c>
      <c r="C18" s="4" t="n">
        <f aca="false">(C6-B6)*Assumptions!$B$51/100</f>
        <v>-207.259325</v>
      </c>
      <c r="D18" s="4" t="n">
        <f aca="false">(D6-C6)*Assumptions!$B$51/100</f>
        <v>-198.420324375</v>
      </c>
      <c r="E18" s="4" t="n">
        <f aca="false">(E6-D6)*Assumptions!$B$51/100</f>
        <v>-199.08172545625</v>
      </c>
      <c r="F18" s="4" t="n">
        <f aca="false">(F6-E6)*Assumptions!$B$51/100</f>
        <v>-182.586382489875</v>
      </c>
      <c r="G18" s="4" t="n">
        <f aca="false">(G6-F6)*Assumptions!$B$51/100</f>
        <v>-161.284637866056</v>
      </c>
      <c r="H18" s="4" t="n">
        <f aca="false">(H6-G6)*Assumptions!$B$51/100</f>
        <v>-152.413982783423</v>
      </c>
      <c r="I18" s="4" t="n">
        <f aca="false">(I6-H6)*Assumptions!$B$51/100</f>
        <v>-141.575655118824</v>
      </c>
      <c r="J18" s="4" t="n">
        <f aca="false">(J6-I6)*Assumptions!$B$51/100</f>
        <v>-110.429010992683</v>
      </c>
      <c r="K18" s="4" t="n">
        <f aca="false">(K6-J6)*Assumptions!$B$51/100</f>
        <v>-94.7849011020525</v>
      </c>
      <c r="L18" s="4" t="n">
        <f aca="false">(L6-K6)*Assumptions!$B$51/100</f>
        <v>-97.154523629604</v>
      </c>
    </row>
    <row r="19" customFormat="false" ht="15" hidden="false" customHeight="false" outlineLevel="0" collapsed="false">
      <c r="A19" s="0" t="s">
        <v>121</v>
      </c>
      <c r="C19" s="0" t="n">
        <f aca="false">C15+C16+C17+C18</f>
        <v>129.1435104855</v>
      </c>
      <c r="D19" s="0" t="n">
        <f aca="false">D15+D16+D17+D18</f>
        <v>186.3718352629</v>
      </c>
      <c r="E19" s="0" t="n">
        <f aca="false">E15+E16+E17+E18</f>
        <v>264.856227344177</v>
      </c>
      <c r="F19" s="0" t="n">
        <f aca="false">F15+F16+F17+F18</f>
        <v>359.210898238265</v>
      </c>
      <c r="G19" s="0" t="n">
        <f aca="false">G15+G16+G17+G18</f>
        <v>465.712617530995</v>
      </c>
      <c r="H19" s="0" t="n">
        <f aca="false">H15+H16+H17+H18</f>
        <v>549.844828345982</v>
      </c>
      <c r="I19" s="0" t="n">
        <f aca="false">I15+I16+I17+I18</f>
        <v>621.800277281876</v>
      </c>
      <c r="J19" s="0" t="n">
        <f aca="false">J15+J16+J17+J18</f>
        <v>696.846700547262</v>
      </c>
      <c r="K19" s="0" t="n">
        <f aca="false">K15+K16+K17+K18</f>
        <v>732.672703226391</v>
      </c>
      <c r="L19" s="0" t="n">
        <f aca="false">L15+L16+L17+L18</f>
        <v>750.98952080705</v>
      </c>
    </row>
    <row r="20" customFormat="false" ht="15" hidden="false" customHeight="false" outlineLevel="0" collapsed="false">
      <c r="A20" s="0" t="s">
        <v>122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123</v>
      </c>
      <c r="C21" s="0" t="n">
        <f aca="false">C19*C20</f>
        <v>117.403191350455</v>
      </c>
      <c r="D21" s="0" t="n">
        <f aca="false">D19*D20</f>
        <v>154.026310134628</v>
      </c>
      <c r="E21" s="0" t="n">
        <f aca="false">E19*E20</f>
        <v>198.990403714633</v>
      </c>
      <c r="F21" s="0" t="n">
        <f aca="false">F19*F20</f>
        <v>245.345876810508</v>
      </c>
      <c r="G21" s="0" t="n">
        <f aca="false">G19*G20</f>
        <v>289.170894642687</v>
      </c>
      <c r="H21" s="0" t="n">
        <f aca="false">H19*H20</f>
        <v>310.373071176201</v>
      </c>
      <c r="I21" s="0" t="n">
        <f aca="false">I19*I20</f>
        <v>319.081860205299</v>
      </c>
      <c r="J21" s="0" t="n">
        <f aca="false">J19*J20</f>
        <v>325.084128680099</v>
      </c>
      <c r="K21" s="0" t="n">
        <f aca="false">K19*K20</f>
        <v>310.724748484843</v>
      </c>
      <c r="L21" s="0" t="n">
        <f aca="false">L19*L20</f>
        <v>289.538970179058</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10</v>
      </c>
    </row>
    <row r="28" customFormat="false" ht="15" hidden="false" customHeight="false" outlineLevel="0" collapsed="false">
      <c r="A28" s="0" t="s">
        <v>104</v>
      </c>
      <c r="B28" s="4" t="n">
        <f aca="false">Assumptions!$B$49</f>
        <v>2.5</v>
      </c>
    </row>
    <row r="29" customFormat="false" ht="15" hidden="false" customHeight="false" outlineLevel="0" collapsed="false">
      <c r="A29" s="0" t="s">
        <v>105</v>
      </c>
      <c r="B29" s="4" t="n">
        <f aca="false">Assumptions!$B$50</f>
        <v>15</v>
      </c>
    </row>
    <row r="30" customFormat="false" ht="15" hidden="false" customHeight="false" outlineLevel="0" collapsed="false">
      <c r="A30" s="0" t="s">
        <v>126</v>
      </c>
      <c r="B30" s="0" t="n">
        <f aca="false">SUM(C21:L21)</f>
        <v>2559.73945537841</v>
      </c>
    </row>
    <row r="31" customFormat="false" ht="15" hidden="false" customHeight="false" outlineLevel="0" collapsed="false">
      <c r="A31" s="0" t="s">
        <v>127</v>
      </c>
      <c r="B31" s="0" t="n">
        <f aca="false">L19</f>
        <v>750.98952080705</v>
      </c>
    </row>
    <row r="32" customFormat="false" ht="15" hidden="false" customHeight="false" outlineLevel="0" collapsed="false">
      <c r="A32" s="0" t="s">
        <v>128</v>
      </c>
      <c r="B32" s="0" t="n">
        <f aca="false">IF(B27&gt;B28,B31*(1+B28/100)/((B27-B28)/100),B31*B29)</f>
        <v>10263.5234510297</v>
      </c>
    </row>
    <row r="33" customFormat="false" ht="15" hidden="false" customHeight="false" outlineLevel="0" collapsed="false">
      <c r="A33" s="0" t="s">
        <v>129</v>
      </c>
      <c r="B33" s="0" t="n">
        <f aca="false">B31*B29</f>
        <v>11264.8428121058</v>
      </c>
    </row>
    <row r="34" customFormat="false" ht="15" hidden="false" customHeight="false" outlineLevel="0" collapsed="false">
      <c r="A34" s="0" t="s">
        <v>130</v>
      </c>
      <c r="B34" s="0" t="n">
        <f aca="false">MAX(0,MIN(B32,B33))</f>
        <v>10263.5234510297</v>
      </c>
    </row>
    <row r="35" customFormat="false" ht="15" hidden="false" customHeight="false" outlineLevel="0" collapsed="false">
      <c r="A35" s="0" t="s">
        <v>131</v>
      </c>
      <c r="B35" s="0" t="n">
        <f aca="false">B34/(1+B27/100)^L4</f>
        <v>3957.03259244712</v>
      </c>
    </row>
    <row r="36" customFormat="false" ht="15" hidden="false" customHeight="false" outlineLevel="0" collapsed="false">
      <c r="A36" s="0" t="s">
        <v>132</v>
      </c>
      <c r="B36" s="0" t="n">
        <f aca="false">B30+B35</f>
        <v>6516.77204782553</v>
      </c>
    </row>
    <row r="37" customFormat="false" ht="15" hidden="false" customHeight="false" outlineLevel="0" collapsed="false">
      <c r="A37" s="0" t="s">
        <v>133</v>
      </c>
      <c r="B37" s="0" t="n">
        <f aca="false">B36+Assumptions!$B$5-Assumptions!$B$4</f>
        <v>6003.27204782553</v>
      </c>
    </row>
    <row r="38" customFormat="false" ht="15" hidden="false" customHeight="false" outlineLevel="0" collapsed="false">
      <c r="A38" s="0" t="s">
        <v>134</v>
      </c>
      <c r="B38" s="0" t="n">
        <f aca="false">B37/Assumptions!$B$3*Assumptions!$B$10</f>
        <v>1848.86727681723</v>
      </c>
    </row>
    <row r="39" customFormat="false" ht="15" hidden="false" customHeight="false" outlineLevel="0" collapsed="false">
      <c r="A39" s="0" t="s">
        <v>135</v>
      </c>
      <c r="B39" s="4" t="n">
        <f aca="false">B38/Assumptions!$B$2-1</f>
        <v>0.542007737128629</v>
      </c>
    </row>
    <row r="41" customFormat="false" ht="15" hidden="false" customHeight="false" outlineLevel="0" collapsed="false">
      <c r="A41" s="0" t="s">
        <v>136</v>
      </c>
      <c r="B41" s="0" t="n">
        <f aca="false">SUMPRODUCT(-C10:L10/(1+$B$27/100)^C4:L4)</f>
        <v>128.437885923869</v>
      </c>
    </row>
    <row r="42" customFormat="false" ht="15" hidden="false" customHeight="false" outlineLevel="0" collapsed="false">
      <c r="A42" s="0" t="s">
        <v>137</v>
      </c>
      <c r="B42" s="0" t="n">
        <f aca="false">IF(B27&gt;B28,-L10*(1+B28/100)/((B27-B28)/100),-L10*20)/(1+B27/100)^L4</f>
        <v>129.160366444019</v>
      </c>
    </row>
    <row r="43" customFormat="false" ht="15" hidden="false" customHeight="false" outlineLevel="0" collapsed="false">
      <c r="A43" s="0" t="s">
        <v>138</v>
      </c>
      <c r="B43" s="0" t="n">
        <f aca="false">(B37+B41+B42)/Assumptions!$B$3*Assumptions!$B$10</f>
        <v>1928.20150914488</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6158.11407061781</v>
      </c>
    </row>
    <row r="47" customFormat="false" ht="15" hidden="false" customHeight="false" outlineLevel="0" collapsed="false">
      <c r="A47" s="0" t="s">
        <v>140</v>
      </c>
      <c r="B47" s="0" t="n">
        <f aca="false">(SUMPRODUCT(C19:L19/(1+B45/100)^C4:L4)+B46/(1+B45/100)^L4+Assumptions!$B$5-Assumptions!$B$4)/Assumptions!$B$3*Assumptions!$B$10</f>
        <v>913.507438805076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650.641071620058</v>
      </c>
      <c r="C4" s="0" t="n">
        <f aca="false">B4/Assumptions!$B$2-1</f>
        <v>-0.457346896063338</v>
      </c>
      <c r="D4" s="4" t="n">
        <f aca="false">Assumptions!$B$24</f>
        <v>0.25</v>
      </c>
      <c r="E4" s="4" t="n">
        <f aca="false">DCF_Bear!$B$43</f>
        <v>705.659701100921</v>
      </c>
      <c r="F4" s="4" t="n">
        <f aca="false">DCF_Bear!$B$47</f>
        <v>364.613832053395</v>
      </c>
    </row>
    <row r="5" customFormat="false" ht="15" hidden="false" customHeight="false" outlineLevel="0" collapsed="false">
      <c r="A5" s="0" t="s">
        <v>149</v>
      </c>
      <c r="B5" s="4" t="n">
        <f aca="false">DCF_Base!$B$38</f>
        <v>1178.43687611763</v>
      </c>
      <c r="C5" s="0" t="n">
        <f aca="false">B5/Assumptions!$B$2-1</f>
        <v>-0.0171502284256632</v>
      </c>
      <c r="D5" s="4" t="n">
        <f aca="false">Assumptions!$B$38</f>
        <v>0.5</v>
      </c>
      <c r="E5" s="4" t="n">
        <f aca="false">DCF_Base!$B$43</f>
        <v>1248.75746239738</v>
      </c>
      <c r="F5" s="4" t="n">
        <f aca="false">DCF_Base!$B$47</f>
        <v>590.679577282684</v>
      </c>
    </row>
    <row r="6" customFormat="false" ht="15" hidden="false" customHeight="false" outlineLevel="0" collapsed="false">
      <c r="A6" s="0" t="s">
        <v>150</v>
      </c>
      <c r="B6" s="4" t="n">
        <f aca="false">DCF_Bull!$B$38</f>
        <v>1848.86727681723</v>
      </c>
      <c r="C6" s="0" t="n">
        <f aca="false">B6/Assumptions!$B$2-1</f>
        <v>0.542007737128629</v>
      </c>
      <c r="D6" s="4" t="n">
        <f aca="false">Assumptions!$B$52</f>
        <v>0.25</v>
      </c>
      <c r="E6" s="4" t="n">
        <f aca="false">DCF_Bull!$B$43</f>
        <v>1928.20150914488</v>
      </c>
      <c r="F6" s="4" t="n">
        <f aca="false">DCF_Bull!$B$47</f>
        <v>913.507438805076</v>
      </c>
    </row>
    <row r="8" customFormat="false" ht="15" hidden="false" customHeight="false" outlineLevel="0" collapsed="false">
      <c r="A8" s="0" t="s">
        <v>151</v>
      </c>
      <c r="B8" s="0" t="n">
        <f aca="false">SUMPRODUCT(B4:B6,D4:D6)</f>
        <v>1214.09552516814</v>
      </c>
    </row>
    <row r="9" customFormat="false" ht="15" hidden="false" customHeight="false" outlineLevel="0" collapsed="false">
      <c r="A9" s="0" t="s">
        <v>152</v>
      </c>
      <c r="B9" s="0" t="n">
        <f aca="false">SUMPRODUCT(E4:E6,D4:D6)</f>
        <v>1282.84403376014</v>
      </c>
    </row>
    <row r="10" customFormat="false" ht="15" hidden="false" customHeight="false" outlineLevel="0" collapsed="false">
      <c r="A10" s="0" t="s">
        <v>153</v>
      </c>
      <c r="B10" s="0" t="n">
        <f aca="false">1-Assumptions!$B$2/B8</f>
        <v>0.0124335563843261</v>
      </c>
    </row>
    <row r="11" customFormat="false" ht="15" hidden="false" customHeight="false" outlineLevel="0" collapsed="false">
      <c r="A11" s="0" t="s">
        <v>154</v>
      </c>
      <c r="B11" s="0" t="n">
        <f aca="false">IF(ABS(B9-B8)&gt;0.01*ABS(B8),(Assumptions!$B$2-B8)/(B9-B8)*100,"n/a")</f>
        <v>-21.9576038481396</v>
      </c>
    </row>
    <row r="12" customFormat="false" ht="15" hidden="false" customHeight="false" outlineLevel="0" collapsed="false">
      <c r="A12" s="0" t="s">
        <v>155</v>
      </c>
      <c r="B12" s="0" t="n">
        <f aca="false">SUMPRODUCT(F4:F6,D4:D6)</f>
        <v>614.87010635596</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1363.91394281511</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1178.43687611763</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1006.58440615081</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870.085219753812</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590.679577282684</v>
      </c>
      <c r="C19" s="3" t="n">
        <v>15</v>
      </c>
    </row>
    <row r="21" customFormat="false" ht="15" hidden="false" customHeight="false" outlineLevel="0" collapsed="false">
      <c r="A21" s="2" t="s">
        <v>163</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1486.50235593527</v>
      </c>
      <c r="C23" s="0" t="n">
        <f aca="false">(SUMPRODUCT(DCF_Base!$C$19:$L$19/(1+$A$23/100)^DCF_Base!$C$4:$L$4)+MAX(0,MIN(IF($A$23&gt;$C$22,DCF_Base!$L$19*(1+$C$22/100)/(($A$23-$C$22)/100),DCF_Base!$L$19*DCF_Base!$B$29),DCF_Base!$L$19*DCF_Base!$B$29))/(1+$A$23/100)^DCF_Base!$L$4+Assumptions!$B$5-Assumptions!$B$4)/Assumptions!$B$3*Assumptions!$B$10</f>
        <v>1486.50235593527</v>
      </c>
      <c r="D23" s="0" t="n">
        <f aca="false">(SUMPRODUCT(DCF_Base!$C$19:$L$19/(1+$A$23/100)^DCF_Base!$C$4:$L$4)+MAX(0,MIN(IF($A$23&gt;$D$22,DCF_Base!$L$19*(1+$D$22/100)/(($A$23-$D$22)/100),DCF_Base!$L$19*DCF_Base!$B$29),DCF_Base!$L$19*DCF_Base!$B$29))/(1+$A$23/100)^DCF_Base!$L$4+Assumptions!$B$5-Assumptions!$B$4)/Assumptions!$B$3*Assumptions!$B$10</f>
        <v>1486.50235593527</v>
      </c>
      <c r="E23" s="0" t="n">
        <f aca="false">(SUMPRODUCT(DCF_Base!$C$19:$L$19/(1+$A$23/100)^DCF_Base!$C$4:$L$4)+MAX(0,MIN(IF($A$23&gt;$E$22,DCF_Base!$L$19*(1+$E$22/100)/(($A$23-$E$22)/100),DCF_Base!$L$19*DCF_Base!$B$29),DCF_Base!$L$19*DCF_Base!$B$29))/(1+$A$23/100)^DCF_Base!$L$4+Assumptions!$B$5-Assumptions!$B$4)/Assumptions!$B$3*Assumptions!$B$10</f>
        <v>1486.50235593527</v>
      </c>
      <c r="F23" s="0" t="n">
        <f aca="false">(SUMPRODUCT(DCF_Base!$C$19:$L$19/(1+$A$23/100)^DCF_Base!$C$4:$L$4)+MAX(0,MIN(IF($A$23&gt;$F$22,DCF_Base!$L$19*(1+$F$22/100)/(($A$23-$F$22)/100),DCF_Base!$L$19*DCF_Base!$B$29),DCF_Base!$L$19*DCF_Base!$B$29))/(1+$A$23/100)^DCF_Base!$L$4+Assumptions!$B$5-Assumptions!$B$4)/Assumptions!$B$3*Assumptions!$B$10</f>
        <v>1486.50235593527</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1274.94957720831</v>
      </c>
      <c r="C24" s="0" t="n">
        <f aca="false">(SUMPRODUCT(DCF_Base!$C$19:$L$19/(1+$A$24/100)^DCF_Base!$C$4:$L$4)+MAX(0,MIN(IF($A$24&gt;$C$22,DCF_Base!$L$19*(1+$C$22/100)/(($A$24-$C$22)/100),DCF_Base!$L$19*DCF_Base!$B$29),DCF_Base!$L$19*DCF_Base!$B$29))/(1+$A$24/100)^DCF_Base!$L$4+Assumptions!$B$5-Assumptions!$B$4)/Assumptions!$B$3*Assumptions!$B$10</f>
        <v>1333.71997630614</v>
      </c>
      <c r="D24" s="0" t="n">
        <f aca="false">(SUMPRODUCT(DCF_Base!$C$19:$L$19/(1+$A$24/100)^DCF_Base!$C$4:$L$4)+MAX(0,MIN(IF($A$24&gt;$D$22,DCF_Base!$L$19*(1+$D$22/100)/(($A$24-$D$22)/100),DCF_Base!$L$19*DCF_Base!$B$29),DCF_Base!$L$19*DCF_Base!$B$29))/(1+$A$24/100)^DCF_Base!$L$4+Assumptions!$B$5-Assumptions!$B$4)/Assumptions!$B$3*Assumptions!$B$10</f>
        <v>1363.91394281511</v>
      </c>
      <c r="E24" s="0" t="n">
        <f aca="false">(SUMPRODUCT(DCF_Base!$C$19:$L$19/(1+$A$24/100)^DCF_Base!$C$4:$L$4)+MAX(0,MIN(IF($A$24&gt;$E$22,DCF_Base!$L$19*(1+$E$22/100)/(($A$24-$E$22)/100),DCF_Base!$L$19*DCF_Base!$B$29),DCF_Base!$L$19*DCF_Base!$B$29))/(1+$A$24/100)^DCF_Base!$L$4+Assumptions!$B$5-Assumptions!$B$4)/Assumptions!$B$3*Assumptions!$B$10</f>
        <v>1363.91394281511</v>
      </c>
      <c r="F24" s="0" t="n">
        <f aca="false">(SUMPRODUCT(DCF_Base!$C$19:$L$19/(1+$A$24/100)^DCF_Base!$C$4:$L$4)+MAX(0,MIN(IF($A$24&gt;$F$22,DCF_Base!$L$19*(1+$F$22/100)/(($A$24-$F$22)/100),DCF_Base!$L$19*DCF_Base!$B$29),DCF_Base!$L$19*DCF_Base!$B$29))/(1+$A$24/100)^DCF_Base!$L$4+Assumptions!$B$5-Assumptions!$B$4)/Assumptions!$B$3*Assumptions!$B$10</f>
        <v>1363.91394281511</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1088.21503099506</v>
      </c>
      <c r="C25" s="0" t="n">
        <f aca="false">(SUMPRODUCT(DCF_Base!$C$19:$L$19/(1+$A$25/100)^DCF_Base!$C$4:$L$4)+MAX(0,MIN(IF($A$25&gt;$C$22,DCF_Base!$L$19*(1+$C$22/100)/(($A$25-$C$22)/100),DCF_Base!$L$19*DCF_Base!$B$29),DCF_Base!$L$19*DCF_Base!$B$29))/(1+$A$25/100)^DCF_Base!$L$4+Assumptions!$B$5-Assumptions!$B$4)/Assumptions!$B$3*Assumptions!$B$10</f>
        <v>1130.67236987627</v>
      </c>
      <c r="D25" s="0" t="n">
        <f aca="false">(SUMPRODUCT(DCF_Base!$C$19:$L$19/(1+$A$25/100)^DCF_Base!$C$4:$L$4)+MAX(0,MIN(IF($A$25&gt;$D$22,DCF_Base!$L$19*(1+$D$22/100)/(($A$25-$D$22)/100),DCF_Base!$L$19*DCF_Base!$B$29),DCF_Base!$L$19*DCF_Base!$B$29))/(1+$A$25/100)^DCF_Base!$L$4+Assumptions!$B$5-Assumptions!$B$4)/Assumptions!$B$3*Assumptions!$B$10</f>
        <v>1178.43687611763</v>
      </c>
      <c r="E25" s="0" t="n">
        <f aca="false">(SUMPRODUCT(DCF_Base!$C$19:$L$19/(1+$A$25/100)^DCF_Base!$C$4:$L$4)+MAX(0,MIN(IF($A$25&gt;$E$22,DCF_Base!$L$19*(1+$E$22/100)/(($A$25-$E$22)/100),DCF_Base!$L$19*DCF_Base!$B$29),DCF_Base!$L$19*DCF_Base!$B$29))/(1+$A$25/100)^DCF_Base!$L$4+Assumptions!$B$5-Assumptions!$B$4)/Assumptions!$B$3*Assumptions!$B$10</f>
        <v>1232.56998319117</v>
      </c>
      <c r="F25" s="0" t="n">
        <f aca="false">(SUMPRODUCT(DCF_Base!$C$19:$L$19/(1+$A$25/100)^DCF_Base!$C$4:$L$4)+MAX(0,MIN(IF($A$25&gt;$F$22,DCF_Base!$L$19*(1+$F$22/100)/(($A$25-$F$22)/100),DCF_Base!$L$19*DCF_Base!$B$29),DCF_Base!$L$19*DCF_Base!$B$29))/(1+$A$25/100)^DCF_Base!$L$4+Assumptions!$B$5-Assumptions!$B$4)/Assumptions!$B$3*Assumptions!$B$10</f>
        <v>1252.25474939973</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940.052640528063</v>
      </c>
      <c r="C26" s="0" t="n">
        <f aca="false">(SUMPRODUCT(DCF_Base!$C$19:$L$19/(1+$A$26/100)^DCF_Base!$C$4:$L$4)+MAX(0,MIN(IF($A$26&gt;$C$22,DCF_Base!$L$19*(1+$C$22/100)/(($A$26-$C$22)/100),DCF_Base!$L$19*DCF_Base!$B$29),DCF_Base!$L$19*DCF_Base!$B$29))/(1+$A$26/100)^DCF_Base!$L$4+Assumptions!$B$5-Assumptions!$B$4)/Assumptions!$B$3*Assumptions!$B$10</f>
        <v>971.567687401995</v>
      </c>
      <c r="D26" s="0" t="n">
        <f aca="false">(SUMPRODUCT(DCF_Base!$C$19:$L$19/(1+$A$26/100)^DCF_Base!$C$4:$L$4)+MAX(0,MIN(IF($A$26&gt;$D$22,DCF_Base!$L$19*(1+$D$22/100)/(($A$26-$D$22)/100),DCF_Base!$L$19*DCF_Base!$B$29),DCF_Base!$L$19*DCF_Base!$B$29))/(1+$A$26/100)^DCF_Base!$L$4+Assumptions!$B$5-Assumptions!$B$4)/Assumptions!$B$3*Assumptions!$B$10</f>
        <v>1006.58440615081</v>
      </c>
      <c r="E26" s="0" t="n">
        <f aca="false">(SUMPRODUCT(DCF_Base!$C$19:$L$19/(1+$A$26/100)^DCF_Base!$C$4:$L$4)+MAX(0,MIN(IF($A$26&gt;$E$22,DCF_Base!$L$19*(1+$E$22/100)/(($A$26-$E$22)/100),DCF_Base!$L$19*DCF_Base!$B$29),DCF_Base!$L$19*DCF_Base!$B$29))/(1+$A$26/100)^DCF_Base!$L$4+Assumptions!$B$5-Assumptions!$B$4)/Assumptions!$B$3*Assumptions!$B$10</f>
        <v>1045.72073887007</v>
      </c>
      <c r="F26" s="0" t="n">
        <f aca="false">(SUMPRODUCT(DCF_Base!$C$19:$L$19/(1+$A$26/100)^DCF_Base!$C$4:$L$4)+MAX(0,MIN(IF($A$26&gt;$F$22,DCF_Base!$L$19*(1+$F$22/100)/(($A$26-$F$22)/100),DCF_Base!$L$19*DCF_Base!$B$29),DCF_Base!$L$19*DCF_Base!$B$29))/(1+$A$26/100)^DCF_Base!$L$4+Assumptions!$B$5-Assumptions!$B$4)/Assumptions!$B$3*Assumptions!$B$10</f>
        <v>1089.74911317924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819.871374685783</v>
      </c>
      <c r="C27" s="0" t="n">
        <f aca="false">(SUMPRODUCT(DCF_Base!$C$19:$L$19/(1+$A$27/100)^DCF_Base!$C$4:$L$4)+MAX(0,MIN(IF($A$27&gt;$C$22,DCF_Base!$L$19*(1+$C$22/100)/(($A$27-$C$22)/100),DCF_Base!$L$19*DCF_Base!$B$29),DCF_Base!$L$19*DCF_Base!$B$29))/(1+$A$27/100)^DCF_Base!$L$4+Assumptions!$B$5-Assumptions!$B$4)/Assumptions!$B$3*Assumptions!$B$10</f>
        <v>843.782729480082</v>
      </c>
      <c r="D27" s="0" t="n">
        <f aca="false">(SUMPRODUCT(DCF_Base!$C$19:$L$19/(1+$A$27/100)^DCF_Base!$C$4:$L$4)+MAX(0,MIN(IF($A$27&gt;$D$22,DCF_Base!$L$19*(1+$D$22/100)/(($A$27-$D$22)/100),DCF_Base!$L$19*DCF_Base!$B$29),DCF_Base!$L$19*DCF_Base!$B$29))/(1+$A$27/100)^DCF_Base!$L$4+Assumptions!$B$5-Assumptions!$B$4)/Assumptions!$B$3*Assumptions!$B$10</f>
        <v>870.085219753812</v>
      </c>
      <c r="E27" s="0" t="n">
        <f aca="false">(SUMPRODUCT(DCF_Base!$C$19:$L$19/(1+$A$27/100)^DCF_Base!$C$4:$L$4)+MAX(0,MIN(IF($A$27&gt;$E$22,DCF_Base!$L$19*(1+$E$22/100)/(($A$27-$E$22)/100),DCF_Base!$L$19*DCF_Base!$B$29),DCF_Base!$L$19*DCF_Base!$B$29))/(1+$A$27/100)^DCF_Base!$L$4+Assumptions!$B$5-Assumptions!$B$4)/Assumptions!$B$3*Assumptions!$B$10</f>
        <v>899.15639321425</v>
      </c>
      <c r="F27" s="0" t="n">
        <f aca="false">(SUMPRODUCT(DCF_Base!$C$19:$L$19/(1+$A$27/100)^DCF_Base!$C$4:$L$4)+MAX(0,MIN(IF($A$27&gt;$F$22,DCF_Base!$L$19*(1+$F$22/100)/(($A$27-$F$22)/100),DCF_Base!$L$19*DCF_Base!$B$29),DCF_Base!$L$19*DCF_Base!$B$29))/(1+$A$27/100)^DCF_Base!$L$4+Assumptions!$B$5-Assumptions!$B$4)/Assumptions!$B$3*Assumptions!$B$10</f>
        <v>931.457697059181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2026-10-10T01:08:35Z</dcterms:created>
  <dc:creator>openpyxl</dc:creator>
  <dc:description/>
  <dc:language>en-NZ</dc:language>
  <cp:lastModifiedBy/>
  <dcterms:modified xsi:type="dcterms:W3CDTF">2026-10-10T01:08:35Z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