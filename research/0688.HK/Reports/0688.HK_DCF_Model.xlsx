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<sst xmlns="http://schemas.openxmlformats.org/spreadsheetml/2006/main" count="354" uniqueCount="164">
  <si>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</si>
  <si>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0688.HK</t>
  </si>
  <si>
    <t xml:space="preserve">Company</t>
  </si>
  <si>
    <t xml:space="preserve">China Overseas Land &amp; Investment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</si>
  <si>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</si>
  <si>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</si>
  <si>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</si>
  <si>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</si>
  <si>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Friday; Yahoo regularMarketTime 1791533286)</t>
  </si>
  <si>
    <t xml:space="preserve">Balance sheet date</t>
  </si>
  <si>
    <t xml:space="preserve">2026-06-30</t>
  </si>
  <si>
    <t xml:space="preserve">Model</t>
  </si>
  <si>
    <t xml:space="preserve">Developer blended NTA exit-P/B and earnings exit-P/E: attributable earnings capitalised at cost of equity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</si>
  <si>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</si>
  <si>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</si>
  <si>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</si>
  <si>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</si>
  <si>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</si>
  <si>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</si>
  <si>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</si>
  <si>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</si>
  <si>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</si>
  <si>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2026-10-11T05:48:17Z</t>
  </si>
  <si>
    <t xml:space="preserve">Drivers file</t>
  </si>
  <si>
    <t xml:space="preserve">0688.HK_Drivers.json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</si>
  <si>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</si>
  <si>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</si>
  <si>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</si>
  <si>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COLI is valued as the sector's survivor, not as a growth company: an attributable-earnings stream at a 10% RMB cost of equity, exiting at a blend of a low earnings multiple and a steep discount to book. The two legs disagree sharply - book is RMB35.9/share (HK$42) and the stock trades at 0.32x it, while earnings power has fallen 70% in five years to a ~3% ROE that on its own justifies roughly today's price. The blend credits half the book discount closing over ten years via trough-priced tier-1 land, REIT recycling and share gains, and half of it never closing. Reported FCF and EV-based multiples are not used: FCF is land-timing noise and the earnings stream is already after RMB237bn of 2.76% debt and after NCI.
key_risks_to_valuation: Earnings capitalised at cost of equity treats retained earnings as worth par; with ~55% of earnings reinvested in land at a ~3% ROE, a dividend-only valuation is ~HK$6/share. The gap between that and the base value is the price of believing book value is eventually realisable.; Book quality: RMB442bn of inventory at cost less impairment and RMB203bn of investment property at fair value with 78% office occupancy. A 10% write-down of inventory is RMB4/share of NTA; the 0.50x base exit P/B is the buffer, but the bear exit P/B of 0.30x may still flatter a disorderly market.; Leakage: NCI share of profit rose from 5.5% (FY2025) to 12.2% (H1 FY2026) as NCI equity grew to RMB33.9bn; combined tax + NCI leakage of 43% could run higher if JV-heavy tier-1 projects dominate handovers.; Governance and policy: a 56%-owned CSCEC subsidiary buying land to stabilise the market; dividend cut from HK121c (FY2021) to HK50c (FY2025) while land spend rose. Charged as 1pp in the discount rate, which is a judgment.; Currency: RMB flows, HKD quote. A 5% RMB depreciation against the pegged HKD moves every HKD value by 5%; fx_rate is dated and is not refreshed by refresh_price.py.; Revenue timing: handovers lag contracted sales by 1.5-2 years, so FY2027-28 revenue is largely set by FY2025-26 sales; the base path assumes -8%/-2%, which is a judgment on attributable share of Group Series sales.</t>
  </si>
  <si>
    <t xml:space="preserve">Data sources</t>
  </si>
  <si>
    <t xml:space="preserve">price: Yahoo Finance chart API at inputs.price_as_of (HKEX regular close); 52-week range 11.36-16.70 HKD. FX from Yahoo CNYHKD=X, dated in inputs.fx_note.
financials: 0688.HK_Metrics.csv (core_metrics, RMB millions, FY2018-FY2025 + H1 FY2023-H1 FY2026); 30 June 2026 interim report (Extracted/0688.HK_HalfYear_H1-2026.txt lines 1090-1180 balance sheet, 1028/1075 NCI, 2019-2060 investment properties); FY2025 annual report (lines 376-397 five-year summary, 6236-6616 income statement and cash flow, 8494-8507 tax reconciliation, 8781 share count).
qualitative: 0688.HK_Analysis.json (2026-10-11): business model, contracted sales, land bank, net gearing, credit ratings, guidance and bull/bear axes.</t>
  </si>
  <si>
    <t xml:space="preserve">Scenario narrative: bear</t>
  </si>
  <si>
    <t xml:space="preserve">No bottom: a further leg down in national sales, local-government fiscal stress, and tier-1 ASPs following lower-tier cities. The RMB152bn of land bought in FY2025-26 is delivered into falling prices, pre-tax margin compresses to 8% and inventory impairments absorb all retained earnings so book stops growing. Revenue falls ~25% over five years to RMB130bn and stays there. Interest cover (already 2.8x from 7.2x in FY2021) tightens but the SOE parent keeps refinancing open, so this is an earnings-and-dividend collapse, not a solvency event; the stock is capitalised at 10.6x a RMB5-6bn earnings run-rate with no credit for book.</t>
  </si>
  <si>
    <t xml:space="preserve">Scenario narrative: base</t>
  </si>
  <si>
    <t xml:space="preserve">The sector keeps shrinking (national new-home sales -6% in 2026 per S&amp;P) but first-tier cities stabilise first and COLI, the only developer rated A- by two agencies and borrowing at 2.76%, converts its counter-cyclical land buying (RMB118.7bn in FY2025, RMB33.3bn attributable YTD 2026) into share. Revenue dips in FY2027-28 as the 19% fall in FY2025 contracted sales reaches handover, then grows ~2%/yr. Pre-tax margin troughs at 11.5% as 2021-22 land clears, then recovers to 15% as trough-priced tier-1 land completes - never back to the 35-41% of FY2018-20. ROE stays ~3-4%; the stock exits at a blend of 8x earnings and 0.5x book. Dividends roughly track a 40% payout.</t>
  </si>
  <si>
    <t xml:space="preserve">Scenario narrative: bull</t>
  </si>
  <si>
    <t xml:space="preserve">Policy support (purchase-restriction easing in Beijing/Shanghai, land-supply controls, urban renewal) produces a tier-1 price and volume recovery from 2027; Hong Kong sales hit the record management is targeting; contracted sales growth of the H1 FY2026 kind (+11.8%) persists. Land bought at trough prices in 2024-26 delivers at 20%+ gross margins, lifting pre-tax margin to 17%. Further REIT issuance (after the ~100x oversubscribed China Overseas Commercial REIT) recycles the RMB203bn commercial book at near carrying value, which is what justifies a 0.70x exit P/B. Value ~RMB19-20/share.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</si>
  <si>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</si>
  <si>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</si>
  <si>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</si>
  <si>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</si>
  <si>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</si>
  <si>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</si>
  <si>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</si>
  <si>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</si>
  <si>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</si>
  <si>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</si>
  <si>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</si>
  <si>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</si>
  <si>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</si>
  <si>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</si>
  <si>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</si>
  <si>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</si>
  <si>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</si>
  <si>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</si>
  <si>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</si>
  <si>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</si>
  <si>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</si>
  <si>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</si>
  <si>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</si>
  <si>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</si>
  <si>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</si>
  <si>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</si>
  <si>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</si>
  <si>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</si>
  <si>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</si>
  <si>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</si>
  <si>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</si>
  <si>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</si>
  <si>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</si>
  <si>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</si>
  <si>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</si>
  <si>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</si>
  <si>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</si>
  <si>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</si>
  <si>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</si>
  <si>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</si>
  <si>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</si>
  <si>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</si>
  <si>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</si>
  <si>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</si>
  <si>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</si>
  <si>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</si>
  <si>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</si>
  <si>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</si>
  <si>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</si>
  <si>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</si>
  <si>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</si>
  <si>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</si>
  <si>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</si>
  <si>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</si>
  <si>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</si>
  <si>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</si>
  <si>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</si>
  <si>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</si>
  <si>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</si>
  <si>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</si>
  <si>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</si>
  <si>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</si>
  <si>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</si>
  <si>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</si>
  <si>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</si>
  <si>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</si>
  <si>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</si>
  <si>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</si>
  <si>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</si>
  <si>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</si>
  <si>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</si>
  <si>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</si>
  <si>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</si>
  <si>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0688.HK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</si>
  <si>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</si>
  <si>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</si>
  <si>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</si>
  <si>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</si>
  <si>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</si>
  <si>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</si>
  <si>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</si>
  <si>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</si>
  <si>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</si>
  <si>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</si>
  <si>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</si>
  <si>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</si>
  <si>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</si>
  <si>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</si>
  <si>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</si>
  <si>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</si>
  <si>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</si>
  <si>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</si>
  <si>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</si>
  <si>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</si>
  <si>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</si>
  <si>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</si>
  <si>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</si>
  <si>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</si>
  <si>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</si>
  <si>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</si>
  <si>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</si>
  <si>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</si>
  <si>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</si>
  <si>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</si>
  <si>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0688.HK owner-FCF component DCF: base case (millions, CNY)</t>
  </si>
  <si>
    <t xml:space="preserve">0688.HK owner-FCF component DCF: bull case (millions, CNY)</t>
  </si>
  <si>
    <t xml:space="preserve">0688.HK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</si>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</sst>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13.27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144027.289</v>
      </c>
      <c r="C2" s="0" t="n">
        <v>89592.363</v>
      </c>
      <c r="D2" s="0" t="n">
        <v>54434.926</v>
      </c>
      <c r="E2" s="0" t="n">
        <v>37.8</v>
      </c>
      <c r="F2" s="0" t="n">
        <v>59414.91</v>
      </c>
      <c r="G2" s="0" t="n">
        <v>41.3</v>
      </c>
      <c r="I2" s="0" t="n">
        <v>37716.257</v>
      </c>
      <c r="J2" s="0" t="n">
        <v>26.2</v>
      </c>
      <c r="K2" s="0" t="n">
        <v>3.44</v>
      </c>
      <c r="L2" s="0" t="n">
        <v>-6796.906</v>
      </c>
      <c r="M2" s="0" t="n">
        <v>4218.807</v>
      </c>
      <c r="N2" s="0" t="n">
        <v>-11015.713</v>
      </c>
      <c r="O2" s="0" t="n">
        <v>247762.454</v>
      </c>
      <c r="P2" s="0" t="n">
        <v>633947.736</v>
      </c>
      <c r="Q2" s="0" t="n">
        <v>377335.882</v>
      </c>
      <c r="R2" s="0" t="n">
        <v>171259.406</v>
      </c>
      <c r="S2" s="0" t="n">
        <v>87885.381</v>
      </c>
      <c r="T2" s="0" t="n">
        <v>10956.201</v>
      </c>
      <c r="AA2" s="0" t="s">
        <v>18</v>
      </c>
      <c r="AB2" s="0" t="s">
        <v>14</v>
      </c>
      <c r="AC2" s="0" t="n">
        <v>39229.657</v>
      </c>
    </row>
    <row r="3" customFormat="false" ht="15" hidden="false" customHeight="false" outlineLevel="0" collapsed="false">
      <c r="A3" s="0" t="s">
        <v>66</v>
      </c>
      <c r="B3" s="0" t="n">
        <v>163650.953</v>
      </c>
      <c r="C3" s="0" t="n">
        <v>108570.841</v>
      </c>
      <c r="D3" s="0" t="n">
        <v>55080.112</v>
      </c>
      <c r="E3" s="0" t="n">
        <v>33.7</v>
      </c>
      <c r="F3" s="0" t="n">
        <v>62344.2</v>
      </c>
      <c r="G3" s="0" t="n">
        <v>38.1</v>
      </c>
      <c r="I3" s="0" t="n">
        <v>41618.313</v>
      </c>
      <c r="J3" s="0" t="n">
        <v>25.4</v>
      </c>
      <c r="K3" s="0" t="n">
        <v>3.8</v>
      </c>
      <c r="L3" s="0" t="n">
        <v>9909.537</v>
      </c>
      <c r="M3" s="0" t="n">
        <v>6138.723</v>
      </c>
      <c r="N3" s="0" t="n">
        <v>3770.814</v>
      </c>
      <c r="O3" s="0" t="n">
        <v>280603.692</v>
      </c>
      <c r="P3" s="0" t="n">
        <v>723895.787</v>
      </c>
      <c r="Q3" s="0" t="n">
        <v>434751.162</v>
      </c>
      <c r="R3" s="0" t="n">
        <v>189964.425</v>
      </c>
      <c r="S3" s="0" t="n">
        <v>95447.568</v>
      </c>
      <c r="T3" s="0" t="n">
        <v>10956.201</v>
      </c>
      <c r="AA3" s="0" t="s">
        <v>18</v>
      </c>
      <c r="AB3" s="0" t="s">
        <v>14</v>
      </c>
      <c r="AC3" s="0" t="n">
        <v>42747.405</v>
      </c>
    </row>
    <row r="4" customFormat="false" ht="15" hidden="false" customHeight="false" outlineLevel="0" collapsed="false">
      <c r="A4" s="0" t="s">
        <v>67</v>
      </c>
      <c r="B4" s="0" t="n">
        <v>185789.528</v>
      </c>
      <c r="C4" s="0" t="n">
        <v>129968.676</v>
      </c>
      <c r="D4" s="0" t="n">
        <v>55820.852</v>
      </c>
      <c r="E4" s="0" t="n">
        <v>30</v>
      </c>
      <c r="F4" s="0" t="n">
        <v>65231.389</v>
      </c>
      <c r="G4" s="0" t="n">
        <v>35.1</v>
      </c>
      <c r="I4" s="0" t="n">
        <v>43903.954</v>
      </c>
      <c r="J4" s="0" t="n">
        <v>23.6</v>
      </c>
      <c r="K4" s="0" t="n">
        <v>4.01</v>
      </c>
      <c r="L4" s="0" t="n">
        <v>9697.38</v>
      </c>
      <c r="M4" s="0" t="n">
        <v>12168.618</v>
      </c>
      <c r="N4" s="0" t="n">
        <v>-2471.238</v>
      </c>
      <c r="O4" s="0" t="n">
        <v>314146.531</v>
      </c>
      <c r="P4" s="0" t="n">
        <v>823657.371</v>
      </c>
      <c r="Q4" s="0" t="n">
        <v>495308.051</v>
      </c>
      <c r="R4" s="0" t="n">
        <v>212980.441</v>
      </c>
      <c r="S4" s="0" t="n">
        <v>110468.91</v>
      </c>
      <c r="T4" s="0" t="n">
        <v>10955.707</v>
      </c>
      <c r="AA4" s="0" t="s">
        <v>18</v>
      </c>
      <c r="AB4" s="0" t="s">
        <v>14</v>
      </c>
      <c r="AC4" s="0" t="n">
        <v>47708.638</v>
      </c>
    </row>
    <row r="5" customFormat="false" ht="15" hidden="false" customHeight="false" outlineLevel="0" collapsed="false">
      <c r="A5" s="0" t="s">
        <v>68</v>
      </c>
      <c r="B5" s="0" t="n">
        <v>242240.783</v>
      </c>
      <c r="C5" s="0" t="n">
        <v>185214.985</v>
      </c>
      <c r="D5" s="0" t="n">
        <v>57025.798</v>
      </c>
      <c r="E5" s="0" t="n">
        <v>23.5</v>
      </c>
      <c r="F5" s="0" t="n">
        <v>60309.732</v>
      </c>
      <c r="G5" s="0" t="n">
        <v>24.9</v>
      </c>
      <c r="I5" s="0" t="n">
        <v>40155.361</v>
      </c>
      <c r="J5" s="0" t="n">
        <v>16.6</v>
      </c>
      <c r="K5" s="0" t="n">
        <v>3.67</v>
      </c>
      <c r="L5" s="0" t="n">
        <v>22564.735</v>
      </c>
      <c r="M5" s="0" t="n">
        <v>9919.61</v>
      </c>
      <c r="N5" s="0" t="n">
        <v>12645.125</v>
      </c>
      <c r="O5" s="0" t="n">
        <v>343560.175</v>
      </c>
      <c r="P5" s="0" t="n">
        <v>869906.698</v>
      </c>
      <c r="Q5" s="0" t="n">
        <v>512800.344</v>
      </c>
      <c r="R5" s="0" t="n">
        <v>241922.294</v>
      </c>
      <c r="S5" s="0" t="n">
        <v>130956.191</v>
      </c>
      <c r="T5" s="0" t="n">
        <v>10945.018</v>
      </c>
      <c r="AA5" s="0" t="s">
        <v>18</v>
      </c>
      <c r="AB5" s="0" t="s">
        <v>14</v>
      </c>
      <c r="AC5" s="0" t="n">
        <v>43061.536</v>
      </c>
    </row>
    <row r="6" customFormat="false" ht="15" hidden="false" customHeight="false" outlineLevel="0" collapsed="false">
      <c r="A6" s="0" t="s">
        <v>69</v>
      </c>
      <c r="B6" s="0" t="n">
        <v>180321.569</v>
      </c>
      <c r="C6" s="0" t="n">
        <v>141928.019</v>
      </c>
      <c r="D6" s="0" t="n">
        <v>38393.55</v>
      </c>
      <c r="E6" s="0" t="n">
        <v>21.3</v>
      </c>
      <c r="F6" s="0" t="n">
        <v>34882.261</v>
      </c>
      <c r="G6" s="0" t="n">
        <v>19.3</v>
      </c>
      <c r="I6" s="0" t="n">
        <v>23264.747</v>
      </c>
      <c r="J6" s="0" t="n">
        <v>12.9</v>
      </c>
      <c r="K6" s="0" t="n">
        <v>2.13</v>
      </c>
      <c r="L6" s="0" t="n">
        <v>-10518.405</v>
      </c>
      <c r="M6" s="0" t="n">
        <v>7400.929</v>
      </c>
      <c r="N6" s="0" t="n">
        <v>-17919.334</v>
      </c>
      <c r="O6" s="0" t="n">
        <v>354479.708</v>
      </c>
      <c r="P6" s="0" t="n">
        <v>913254.132</v>
      </c>
      <c r="Q6" s="0" t="n">
        <v>540156.307</v>
      </c>
      <c r="R6" s="0" t="n">
        <v>270385.246</v>
      </c>
      <c r="S6" s="0" t="n">
        <v>110306.115</v>
      </c>
      <c r="T6" s="0" t="n">
        <v>10944.864</v>
      </c>
      <c r="AA6" s="0" t="s">
        <v>18</v>
      </c>
      <c r="AB6" s="0" t="s">
        <v>14</v>
      </c>
      <c r="AC6" s="0" t="n">
        <v>24556.172</v>
      </c>
    </row>
    <row r="7" customFormat="false" ht="15" hidden="false" customHeight="false" outlineLevel="0" collapsed="false">
      <c r="A7" s="0" t="s">
        <v>70</v>
      </c>
      <c r="B7" s="0" t="n">
        <v>202524.069</v>
      </c>
      <c r="C7" s="0" t="n">
        <v>161371.266</v>
      </c>
      <c r="D7" s="0" t="n">
        <v>41152.803</v>
      </c>
      <c r="E7" s="0" t="n">
        <v>20.3</v>
      </c>
      <c r="F7" s="0" t="n">
        <v>40525.473</v>
      </c>
      <c r="G7" s="0" t="n">
        <v>20</v>
      </c>
      <c r="I7" s="0" t="n">
        <v>25609.837</v>
      </c>
      <c r="J7" s="0" t="n">
        <v>12.6</v>
      </c>
      <c r="K7" s="0" t="n">
        <v>2.34</v>
      </c>
      <c r="L7" s="0" t="n">
        <v>35279.337</v>
      </c>
      <c r="M7" s="0" t="n">
        <v>7280.951</v>
      </c>
      <c r="N7" s="0" t="n">
        <v>27998.386</v>
      </c>
      <c r="O7" s="0" t="n">
        <v>373017.828</v>
      </c>
      <c r="P7" s="0" t="n">
        <v>923604.091</v>
      </c>
      <c r="Q7" s="0" t="n">
        <v>530692.383</v>
      </c>
      <c r="R7" s="0" t="n">
        <v>257664.136</v>
      </c>
      <c r="S7" s="0" t="n">
        <v>105629.033</v>
      </c>
      <c r="T7" s="0" t="n">
        <v>10944.884</v>
      </c>
      <c r="AA7" s="0" t="s">
        <v>18</v>
      </c>
      <c r="AB7" s="0" t="s">
        <v>14</v>
      </c>
      <c r="AC7" s="0" t="n">
        <v>27046.645</v>
      </c>
    </row>
    <row r="8" customFormat="false" ht="15" hidden="false" customHeight="false" outlineLevel="0" collapsed="false">
      <c r="A8" s="0" t="s">
        <v>71</v>
      </c>
      <c r="B8" s="0" t="n">
        <v>185154.027</v>
      </c>
      <c r="C8" s="0" t="n">
        <v>152389.366</v>
      </c>
      <c r="D8" s="0" t="n">
        <v>32764.661</v>
      </c>
      <c r="E8" s="0" t="n">
        <v>17.7</v>
      </c>
      <c r="F8" s="0" t="n">
        <v>26693.998</v>
      </c>
      <c r="G8" s="0" t="n">
        <v>14.4</v>
      </c>
      <c r="I8" s="0" t="n">
        <v>15635.658</v>
      </c>
      <c r="J8" s="0" t="n">
        <v>8.4</v>
      </c>
      <c r="K8" s="0" t="n">
        <v>1.43</v>
      </c>
      <c r="L8" s="0" t="n">
        <v>46453.94</v>
      </c>
      <c r="M8" s="0" t="n">
        <v>4263.459</v>
      </c>
      <c r="N8" s="0" t="n">
        <v>42190.481</v>
      </c>
      <c r="O8" s="0" t="n">
        <v>380610.977</v>
      </c>
      <c r="P8" s="0" t="n">
        <v>908634.381</v>
      </c>
      <c r="Q8" s="0" t="n">
        <v>506804.383</v>
      </c>
      <c r="R8" s="0" t="n">
        <v>241563.978</v>
      </c>
      <c r="S8" s="0" t="n">
        <v>124168.228</v>
      </c>
      <c r="T8" s="0" t="n">
        <v>10944.884</v>
      </c>
      <c r="AA8" s="0" t="s">
        <v>18</v>
      </c>
      <c r="AB8" s="0" t="s">
        <v>14</v>
      </c>
      <c r="AC8" s="0" t="n">
        <v>17787.229</v>
      </c>
    </row>
    <row r="9" customFormat="false" ht="15" hidden="false" customHeight="false" outlineLevel="0" collapsed="false">
      <c r="A9" s="0" t="s">
        <v>72</v>
      </c>
      <c r="B9" s="0" t="n">
        <v>168088.765</v>
      </c>
      <c r="C9" s="0" t="n">
        <v>142024.31</v>
      </c>
      <c r="D9" s="0" t="n">
        <v>26064.455</v>
      </c>
      <c r="E9" s="0" t="n">
        <v>15.5</v>
      </c>
      <c r="F9" s="0" t="n">
        <v>20814.768</v>
      </c>
      <c r="G9" s="0" t="n">
        <v>12.4</v>
      </c>
      <c r="I9" s="0" t="n">
        <v>12691.186</v>
      </c>
      <c r="J9" s="0" t="n">
        <v>7.6</v>
      </c>
      <c r="K9" s="0" t="n">
        <v>1.16</v>
      </c>
      <c r="L9" s="0" t="n">
        <v>16733.455</v>
      </c>
      <c r="M9" s="0" t="n">
        <v>5625.254</v>
      </c>
      <c r="N9" s="0" t="n">
        <v>11108.201</v>
      </c>
      <c r="O9" s="0" t="n">
        <v>387947.786</v>
      </c>
      <c r="P9" s="0" t="n">
        <v>915697.341</v>
      </c>
      <c r="Q9" s="0" t="n">
        <v>495798.179</v>
      </c>
      <c r="R9" s="0" t="n">
        <v>247375.434</v>
      </c>
      <c r="S9" s="0" t="n">
        <v>103627.513</v>
      </c>
      <c r="T9" s="0" t="n">
        <v>10944.884</v>
      </c>
      <c r="AA9" s="0" t="s">
        <v>18</v>
      </c>
      <c r="AB9" s="0" t="s">
        <v>14</v>
      </c>
      <c r="AC9" s="0" t="n">
        <v>13431.469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13.27</v>
      </c>
    </row>
    <row r="3" customFormat="false" ht="15" hidden="false" customHeight="false" outlineLevel="0" collapsed="false">
      <c r="A3" s="0" t="s">
        <v>76</v>
      </c>
      <c r="B3" s="3" t="n">
        <v>10944.884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168088.765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3</v>
      </c>
      <c r="D13" s="3" t="n">
        <v>-12</v>
      </c>
      <c r="E13" s="3" t="n">
        <v>-8</v>
      </c>
      <c r="F13" s="3" t="n">
        <v>-4</v>
      </c>
      <c r="G13" s="3" t="n">
        <v>-2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97</v>
      </c>
      <c r="C14" s="3" t="n">
        <v>11</v>
      </c>
      <c r="D14" s="3" t="n">
        <v>10</v>
      </c>
      <c r="E14" s="3" t="n">
        <v>9</v>
      </c>
      <c r="F14" s="3" t="n">
        <v>8.5</v>
      </c>
      <c r="G14" s="3" t="n">
        <v>8</v>
      </c>
      <c r="H14" s="3" t="n">
        <v>8</v>
      </c>
      <c r="I14" s="3" t="n">
        <v>8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102</v>
      </c>
      <c r="C19" s="3" t="n">
        <v>45</v>
      </c>
      <c r="D19" s="3" t="n">
        <v>45</v>
      </c>
      <c r="E19" s="3" t="n">
        <v>45</v>
      </c>
      <c r="F19" s="3" t="n">
        <v>45</v>
      </c>
      <c r="G19" s="3" t="n">
        <v>45</v>
      </c>
      <c r="H19" s="3" t="n">
        <v>45</v>
      </c>
      <c r="I19" s="3" t="n">
        <v>45</v>
      </c>
      <c r="J19" s="3" t="n">
        <v>45</v>
      </c>
      <c r="K19" s="3" t="n">
        <v>45</v>
      </c>
      <c r="L19" s="3" t="n">
        <v>45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0.5</v>
      </c>
    </row>
    <row r="22" customFormat="false" ht="15" hidden="false" customHeight="false" outlineLevel="0" collapsed="false">
      <c r="A22" s="0" t="s">
        <v>105</v>
      </c>
      <c r="B22" s="3" t="n">
        <v>13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5</v>
      </c>
      <c r="D27" s="3" t="n">
        <v>-8</v>
      </c>
      <c r="E27" s="3" t="n">
        <v>-2</v>
      </c>
      <c r="F27" s="3" t="n">
        <v>1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11.5</v>
      </c>
      <c r="D28" s="3" t="n">
        <v>11.5</v>
      </c>
      <c r="E28" s="3" t="n">
        <v>12.5</v>
      </c>
      <c r="F28" s="3" t="n">
        <v>13</v>
      </c>
      <c r="G28" s="3" t="n">
        <v>13.5</v>
      </c>
      <c r="H28" s="3" t="n">
        <v>14</v>
      </c>
      <c r="I28" s="3" t="n">
        <v>14.5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102</v>
      </c>
      <c r="C33" s="3" t="n">
        <v>44</v>
      </c>
      <c r="D33" s="3" t="n">
        <v>43</v>
      </c>
      <c r="E33" s="3" t="n">
        <v>43</v>
      </c>
      <c r="F33" s="3" t="n">
        <v>43</v>
      </c>
      <c r="G33" s="3" t="n">
        <v>43</v>
      </c>
      <c r="H33" s="3" t="n">
        <v>43</v>
      </c>
      <c r="I33" s="3" t="n">
        <v>43</v>
      </c>
      <c r="J33" s="3" t="n">
        <v>43</v>
      </c>
      <c r="K33" s="3" t="n">
        <v>43</v>
      </c>
      <c r="L33" s="3" t="n">
        <v>43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1.5</v>
      </c>
    </row>
    <row r="36" customFormat="false" ht="15" hidden="false" customHeight="false" outlineLevel="0" collapsed="false">
      <c r="A36" s="0" t="s">
        <v>105</v>
      </c>
      <c r="B36" s="3" t="n">
        <v>11.5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7</v>
      </c>
      <c r="D41" s="3" t="n">
        <v>-3</v>
      </c>
      <c r="E41" s="3" t="n">
        <v>4</v>
      </c>
      <c r="F41" s="3" t="n">
        <v>5</v>
      </c>
      <c r="G41" s="3" t="n">
        <v>4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12.5</v>
      </c>
      <c r="D42" s="3" t="n">
        <v>13</v>
      </c>
      <c r="E42" s="3" t="n">
        <v>14</v>
      </c>
      <c r="F42" s="3" t="n">
        <v>15</v>
      </c>
      <c r="G42" s="3" t="n">
        <v>16</v>
      </c>
      <c r="H42" s="3" t="n">
        <v>16.5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102</v>
      </c>
      <c r="C47" s="3" t="n">
        <v>43</v>
      </c>
      <c r="D47" s="3" t="n">
        <v>42</v>
      </c>
      <c r="E47" s="3" t="n">
        <v>42</v>
      </c>
      <c r="F47" s="3" t="n">
        <v>42</v>
      </c>
      <c r="G47" s="3" t="n">
        <v>42</v>
      </c>
      <c r="H47" s="3" t="n">
        <v>42</v>
      </c>
      <c r="I47" s="3" t="n">
        <v>42</v>
      </c>
      <c r="J47" s="3" t="n">
        <v>42</v>
      </c>
      <c r="K47" s="3" t="n">
        <v>42</v>
      </c>
      <c r="L47" s="3" t="n">
        <v>42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12.5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3</v>
      </c>
      <c r="D5" s="4" t="n">
        <f aca="false">Assumptions!D13</f>
        <v>-12</v>
      </c>
      <c r="E5" s="4" t="n">
        <f aca="false">Assumptions!E13</f>
        <v>-8</v>
      </c>
      <c r="F5" s="4" t="n">
        <f aca="false">Assumptions!F13</f>
        <v>-4</v>
      </c>
      <c r="G5" s="4" t="n">
        <f aca="false">Assumptions!G13</f>
        <v>-2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168088.765</v>
      </c>
      <c r="C6" s="0" t="n">
        <f aca="false">B6*(1+C5/100)</f>
        <v>173131.42795</v>
      </c>
      <c r="D6" s="0" t="n">
        <f aca="false">C6*(1+D5/100)</f>
        <v>152355.656596</v>
      </c>
      <c r="E6" s="0" t="n">
        <f aca="false">D6*(1+E5/100)</f>
        <v>140167.20406832</v>
      </c>
      <c r="F6" s="0" t="n">
        <f aca="false">E6*(1+F5/100)</f>
        <v>134560.515905587</v>
      </c>
      <c r="G6" s="0" t="n">
        <f aca="false">F6*(1+G5/100)</f>
        <v>131869.305587475</v>
      </c>
      <c r="H6" s="0" t="n">
        <f aca="false">G6*(1+H5/100)</f>
        <v>131869.305587475</v>
      </c>
      <c r="I6" s="0" t="n">
        <f aca="false">H6*(1+I5/100)</f>
        <v>131869.305587475</v>
      </c>
      <c r="J6" s="0" t="n">
        <f aca="false">I6*(1+J5/100)</f>
        <v>131869.305587475</v>
      </c>
      <c r="K6" s="0" t="n">
        <f aca="false">J6*(1+K5/100)</f>
        <v>131869.305587475</v>
      </c>
      <c r="L6" s="0" t="n">
        <f aca="false">K6*(1+L5/100)</f>
        <v>131869.305587475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11</v>
      </c>
      <c r="D7" s="4" t="n">
        <f aca="false">Assumptions!D14</f>
        <v>10</v>
      </c>
      <c r="E7" s="4" t="n">
        <f aca="false">Assumptions!E14</f>
        <v>9</v>
      </c>
      <c r="F7" s="4" t="n">
        <f aca="false">Assumptions!F14</f>
        <v>8.5</v>
      </c>
      <c r="G7" s="4" t="n">
        <f aca="false">Assumptions!G14</f>
        <v>8</v>
      </c>
      <c r="H7" s="4" t="n">
        <f aca="false">Assumptions!H14</f>
        <v>8</v>
      </c>
      <c r="I7" s="4" t="n">
        <f aca="false">Assumptions!I14</f>
        <v>8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19044.4570745</v>
      </c>
      <c r="D8" s="0" t="n">
        <f aca="false">D6*D7/100</f>
        <v>15235.5656596</v>
      </c>
      <c r="E8" s="0" t="n">
        <f aca="false">E6*E7/100</f>
        <v>12615.0483661488</v>
      </c>
      <c r="F8" s="0" t="n">
        <f aca="false">F6*F7/100</f>
        <v>11437.6438519749</v>
      </c>
      <c r="G8" s="0" t="n">
        <f aca="false">G6*G7/100</f>
        <v>10549.544446998</v>
      </c>
      <c r="H8" s="0" t="n">
        <f aca="false">H6*H7/100</f>
        <v>10549.544446998</v>
      </c>
      <c r="I8" s="0" t="n">
        <f aca="false">I6*I7/100</f>
        <v>10549.544446998</v>
      </c>
      <c r="J8" s="0" t="n">
        <f aca="false">J6*J7/100</f>
        <v>10549.544446998</v>
      </c>
      <c r="K8" s="0" t="n">
        <f aca="false">K6*K7/100</f>
        <v>10549.544446998</v>
      </c>
      <c r="L8" s="0" t="n">
        <f aca="false">L6*L7/100</f>
        <v>10549.544446998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19044.4570745</v>
      </c>
      <c r="D11" s="0" t="n">
        <f aca="false">D8+D10+D24</f>
        <v>15235.5656596</v>
      </c>
      <c r="E11" s="0" t="n">
        <f aca="false">E8+E10+E24</f>
        <v>12615.0483661488</v>
      </c>
      <c r="F11" s="0" t="n">
        <f aca="false">F8+F10+F24</f>
        <v>11437.6438519749</v>
      </c>
      <c r="G11" s="0" t="n">
        <f aca="false">G8+G10+G24</f>
        <v>10549.544446998</v>
      </c>
      <c r="H11" s="0" t="n">
        <f aca="false">H8+H10+H24</f>
        <v>10549.544446998</v>
      </c>
      <c r="I11" s="0" t="n">
        <f aca="false">I8+I10+I24</f>
        <v>10549.544446998</v>
      </c>
      <c r="J11" s="0" t="n">
        <f aca="false">J8+J10+J24</f>
        <v>10549.544446998</v>
      </c>
      <c r="K11" s="0" t="n">
        <f aca="false">K8+K10+K24</f>
        <v>10549.544446998</v>
      </c>
      <c r="L11" s="0" t="n">
        <f aca="false">L8+L10+L24</f>
        <v>10549.544446998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19044.4570745</v>
      </c>
      <c r="D13" s="0" t="n">
        <f aca="false">D11+D12</f>
        <v>15235.5656596</v>
      </c>
      <c r="E13" s="0" t="n">
        <f aca="false">E11+E12</f>
        <v>12615.0483661488</v>
      </c>
      <c r="F13" s="0" t="n">
        <f aca="false">F11+F12</f>
        <v>11437.6438519749</v>
      </c>
      <c r="G13" s="0" t="n">
        <f aca="false">G11+G12</f>
        <v>10549.544446998</v>
      </c>
      <c r="H13" s="0" t="n">
        <f aca="false">H11+H12</f>
        <v>10549.544446998</v>
      </c>
      <c r="I13" s="0" t="n">
        <f aca="false">I11+I12</f>
        <v>10549.544446998</v>
      </c>
      <c r="J13" s="0" t="n">
        <f aca="false">J11+J12</f>
        <v>10549.544446998</v>
      </c>
      <c r="K13" s="0" t="n">
        <f aca="false">K11+K12</f>
        <v>10549.544446998</v>
      </c>
      <c r="L13" s="0" t="n">
        <f aca="false">L11+L12</f>
        <v>10549.544446998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45</v>
      </c>
      <c r="D14" s="4" t="n">
        <f aca="false">Assumptions!D19</f>
        <v>45</v>
      </c>
      <c r="E14" s="4" t="n">
        <f aca="false">Assumptions!E19</f>
        <v>45</v>
      </c>
      <c r="F14" s="4" t="n">
        <f aca="false">Assumptions!F19</f>
        <v>45</v>
      </c>
      <c r="G14" s="4" t="n">
        <f aca="false">Assumptions!G19</f>
        <v>45</v>
      </c>
      <c r="H14" s="4" t="n">
        <f aca="false">Assumptions!H19</f>
        <v>45</v>
      </c>
      <c r="I14" s="4" t="n">
        <f aca="false">Assumptions!I19</f>
        <v>45</v>
      </c>
      <c r="J14" s="4" t="n">
        <f aca="false">Assumptions!J19</f>
        <v>45</v>
      </c>
      <c r="K14" s="4" t="n">
        <f aca="false">Assumptions!K19</f>
        <v>45</v>
      </c>
      <c r="L14" s="4" t="n">
        <f aca="false">Assumptions!L19</f>
        <v>45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10474.451390975</v>
      </c>
      <c r="D15" s="0" t="n">
        <f aca="false">D13-MAX(0,D13)*D14/100</f>
        <v>8379.56111278</v>
      </c>
      <c r="E15" s="0" t="n">
        <f aca="false">E13-MAX(0,E13)*E14/100</f>
        <v>6938.27660138184</v>
      </c>
      <c r="F15" s="0" t="n">
        <f aca="false">F13-MAX(0,F13)*F14/100</f>
        <v>6290.7041185862</v>
      </c>
      <c r="G15" s="0" t="n">
        <f aca="false">G13-MAX(0,G13)*G14/100</f>
        <v>5802.24944584892</v>
      </c>
      <c r="H15" s="0" t="n">
        <f aca="false">H13-MAX(0,H13)*H14/100</f>
        <v>5802.24944584892</v>
      </c>
      <c r="I15" s="0" t="n">
        <f aca="false">I13-MAX(0,I13)*I14/100</f>
        <v>5802.24944584892</v>
      </c>
      <c r="J15" s="0" t="n">
        <f aca="false">J13-MAX(0,J13)*J14/100</f>
        <v>5802.24944584892</v>
      </c>
      <c r="K15" s="0" t="n">
        <f aca="false">K13-MAX(0,K13)*K14/100</f>
        <v>5802.24944584892</v>
      </c>
      <c r="L15" s="0" t="n">
        <f aca="false">L13-MAX(0,L13)*L14/100</f>
        <v>5802.24944584892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10474.451390975</v>
      </c>
      <c r="D19" s="0" t="n">
        <f aca="false">D15+D16+D17+D18</f>
        <v>8379.56111278</v>
      </c>
      <c r="E19" s="0" t="n">
        <f aca="false">E15+E16+E17+E18</f>
        <v>6938.27660138184</v>
      </c>
      <c r="F19" s="0" t="n">
        <f aca="false">F15+F16+F17+F18</f>
        <v>6290.7041185862</v>
      </c>
      <c r="G19" s="0" t="n">
        <f aca="false">G15+G16+G17+G18</f>
        <v>5802.24944584892</v>
      </c>
      <c r="H19" s="0" t="n">
        <f aca="false">H15+H16+H17+H18</f>
        <v>5802.24944584892</v>
      </c>
      <c r="I19" s="0" t="n">
        <f aca="false">I15+I16+I17+I18</f>
        <v>5802.24944584892</v>
      </c>
      <c r="J19" s="0" t="n">
        <f aca="false">J15+J16+J17+J18</f>
        <v>5802.24944584892</v>
      </c>
      <c r="K19" s="0" t="n">
        <f aca="false">K15+K16+K17+K18</f>
        <v>5802.24944584892</v>
      </c>
      <c r="L19" s="0" t="n">
        <f aca="false">L15+L16+L17+L18</f>
        <v>5802.24944584892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9522.22853725</v>
      </c>
      <c r="D21" s="0" t="n">
        <f aca="false">D19*D20</f>
        <v>6925.257118</v>
      </c>
      <c r="E21" s="0" t="n">
        <f aca="false">E19*E20</f>
        <v>5212.82990336727</v>
      </c>
      <c r="F21" s="0" t="n">
        <f aca="false">F19*F20</f>
        <v>4296.63555671484</v>
      </c>
      <c r="G21" s="0" t="n">
        <f aca="false">G19*G20</f>
        <v>3602.74040263576</v>
      </c>
      <c r="H21" s="0" t="n">
        <f aca="false">H19*H20</f>
        <v>3275.21854785069</v>
      </c>
      <c r="I21" s="0" t="n">
        <f aca="false">I19*I20</f>
        <v>2977.47140713699</v>
      </c>
      <c r="J21" s="0" t="n">
        <f aca="false">J19*J20</f>
        <v>2706.79218830636</v>
      </c>
      <c r="K21" s="0" t="n">
        <f aca="false">K19*K20</f>
        <v>2460.7201711876</v>
      </c>
      <c r="L21" s="0" t="n">
        <f aca="false">L19*L20</f>
        <v>2237.01833744327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43216.9121698928</v>
      </c>
    </row>
    <row r="31" customFormat="false" ht="15" hidden="false" customHeight="false" outlineLevel="0" collapsed="false">
      <c r="A31" s="0" t="s">
        <v>127</v>
      </c>
      <c r="B31" s="0" t="n">
        <f aca="false">L19</f>
        <v>5802.24944584892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61381.6915060859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75429.242796036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61381.6915060859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23665.2992540051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66882.2114238979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66882.2114238979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7.1624916271338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-0.460249312197905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7.1624916271338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40215.590986746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4.93675767001344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5</v>
      </c>
      <c r="D5" s="4" t="n">
        <f aca="false">Assumptions!D27</f>
        <v>-8</v>
      </c>
      <c r="E5" s="4" t="n">
        <f aca="false">Assumptions!E27</f>
        <v>-2</v>
      </c>
      <c r="F5" s="4" t="n">
        <f aca="false">Assumptions!F27</f>
        <v>1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168088.765</v>
      </c>
      <c r="C6" s="0" t="n">
        <f aca="false">B6*(1+C5/100)</f>
        <v>176493.20325</v>
      </c>
      <c r="D6" s="0" t="n">
        <f aca="false">C6*(1+D5/100)</f>
        <v>162373.74699</v>
      </c>
      <c r="E6" s="0" t="n">
        <f aca="false">D6*(1+E5/100)</f>
        <v>159126.2720502</v>
      </c>
      <c r="F6" s="0" t="n">
        <f aca="false">E6*(1+F5/100)</f>
        <v>160717.534770702</v>
      </c>
      <c r="G6" s="0" t="n">
        <f aca="false">F6*(1+G5/100)</f>
        <v>163931.885466116</v>
      </c>
      <c r="H6" s="0" t="n">
        <f aca="false">G6*(1+H5/100)</f>
        <v>167210.523175438</v>
      </c>
      <c r="I6" s="0" t="n">
        <f aca="false">H6*(1+I5/100)</f>
        <v>170554.733638947</v>
      </c>
      <c r="J6" s="0" t="n">
        <f aca="false">I6*(1+J5/100)</f>
        <v>173965.828311726</v>
      </c>
      <c r="K6" s="0" t="n">
        <f aca="false">J6*(1+K5/100)</f>
        <v>177445.144877961</v>
      </c>
      <c r="L6" s="0" t="n">
        <f aca="false">K6*(1+L5/100)</f>
        <v>180994.04777552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11.5</v>
      </c>
      <c r="D7" s="4" t="n">
        <f aca="false">Assumptions!D28</f>
        <v>11.5</v>
      </c>
      <c r="E7" s="4" t="n">
        <f aca="false">Assumptions!E28</f>
        <v>12.5</v>
      </c>
      <c r="F7" s="4" t="n">
        <f aca="false">Assumptions!F28</f>
        <v>13</v>
      </c>
      <c r="G7" s="4" t="n">
        <f aca="false">Assumptions!G28</f>
        <v>13.5</v>
      </c>
      <c r="H7" s="4" t="n">
        <f aca="false">Assumptions!H28</f>
        <v>14</v>
      </c>
      <c r="I7" s="4" t="n">
        <f aca="false">Assumptions!I28</f>
        <v>14.5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20296.71837375</v>
      </c>
      <c r="D8" s="0" t="n">
        <f aca="false">D6*D7/100</f>
        <v>18672.98090385</v>
      </c>
      <c r="E8" s="0" t="n">
        <f aca="false">E6*E7/100</f>
        <v>19890.784006275</v>
      </c>
      <c r="F8" s="0" t="n">
        <f aca="false">F6*F7/100</f>
        <v>20893.2795201913</v>
      </c>
      <c r="G8" s="0" t="n">
        <f aca="false">G6*G7/100</f>
        <v>22130.8045379257</v>
      </c>
      <c r="H8" s="0" t="n">
        <f aca="false">H6*H7/100</f>
        <v>23409.4732445614</v>
      </c>
      <c r="I8" s="0" t="n">
        <f aca="false">I6*I7/100</f>
        <v>24730.4363776473</v>
      </c>
      <c r="J8" s="0" t="n">
        <f aca="false">J6*J7/100</f>
        <v>26094.8742467589</v>
      </c>
      <c r="K8" s="0" t="n">
        <f aca="false">K6*K7/100</f>
        <v>26616.7717316941</v>
      </c>
      <c r="L8" s="0" t="n">
        <f aca="false">L6*L7/100</f>
        <v>27149.107166328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20296.71837375</v>
      </c>
      <c r="D11" s="0" t="n">
        <f aca="false">D8+D10+D24</f>
        <v>18672.98090385</v>
      </c>
      <c r="E11" s="0" t="n">
        <f aca="false">E8+E10+E24</f>
        <v>19890.784006275</v>
      </c>
      <c r="F11" s="0" t="n">
        <f aca="false">F8+F10+F24</f>
        <v>20893.2795201913</v>
      </c>
      <c r="G11" s="0" t="n">
        <f aca="false">G8+G10+G24</f>
        <v>22130.8045379257</v>
      </c>
      <c r="H11" s="0" t="n">
        <f aca="false">H8+H10+H24</f>
        <v>23409.4732445614</v>
      </c>
      <c r="I11" s="0" t="n">
        <f aca="false">I8+I10+I24</f>
        <v>24730.4363776473</v>
      </c>
      <c r="J11" s="0" t="n">
        <f aca="false">J8+J10+J24</f>
        <v>26094.8742467589</v>
      </c>
      <c r="K11" s="0" t="n">
        <f aca="false">K8+K10+K24</f>
        <v>26616.7717316941</v>
      </c>
      <c r="L11" s="0" t="n">
        <f aca="false">L8+L10+L24</f>
        <v>27149.107166328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20296.71837375</v>
      </c>
      <c r="D13" s="0" t="n">
        <f aca="false">D11+D12</f>
        <v>18672.98090385</v>
      </c>
      <c r="E13" s="0" t="n">
        <f aca="false">E11+E12</f>
        <v>19890.784006275</v>
      </c>
      <c r="F13" s="0" t="n">
        <f aca="false">F11+F12</f>
        <v>20893.2795201913</v>
      </c>
      <c r="G13" s="0" t="n">
        <f aca="false">G11+G12</f>
        <v>22130.8045379257</v>
      </c>
      <c r="H13" s="0" t="n">
        <f aca="false">H11+H12</f>
        <v>23409.4732445614</v>
      </c>
      <c r="I13" s="0" t="n">
        <f aca="false">I11+I12</f>
        <v>24730.4363776473</v>
      </c>
      <c r="J13" s="0" t="n">
        <f aca="false">J11+J12</f>
        <v>26094.8742467589</v>
      </c>
      <c r="K13" s="0" t="n">
        <f aca="false">K11+K12</f>
        <v>26616.7717316941</v>
      </c>
      <c r="L13" s="0" t="n">
        <f aca="false">L11+L12</f>
        <v>27149.107166328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44</v>
      </c>
      <c r="D14" s="4" t="n">
        <f aca="false">Assumptions!D33</f>
        <v>43</v>
      </c>
      <c r="E14" s="4" t="n">
        <f aca="false">Assumptions!E33</f>
        <v>43</v>
      </c>
      <c r="F14" s="4" t="n">
        <f aca="false">Assumptions!F33</f>
        <v>43</v>
      </c>
      <c r="G14" s="4" t="n">
        <f aca="false">Assumptions!G33</f>
        <v>43</v>
      </c>
      <c r="H14" s="4" t="n">
        <f aca="false">Assumptions!H33</f>
        <v>43</v>
      </c>
      <c r="I14" s="4" t="n">
        <f aca="false">Assumptions!I33</f>
        <v>43</v>
      </c>
      <c r="J14" s="4" t="n">
        <f aca="false">Assumptions!J33</f>
        <v>43</v>
      </c>
      <c r="K14" s="4" t="n">
        <f aca="false">Assumptions!K33</f>
        <v>43</v>
      </c>
      <c r="L14" s="4" t="n">
        <f aca="false">Assumptions!L33</f>
        <v>43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11366.1622893</v>
      </c>
      <c r="D15" s="0" t="n">
        <f aca="false">D13-MAX(0,D13)*D14/100</f>
        <v>10643.5991151945</v>
      </c>
      <c r="E15" s="0" t="n">
        <f aca="false">E13-MAX(0,E13)*E14/100</f>
        <v>11337.7468835768</v>
      </c>
      <c r="F15" s="0" t="n">
        <f aca="false">F13-MAX(0,F13)*F14/100</f>
        <v>11909.169326509</v>
      </c>
      <c r="G15" s="0" t="n">
        <f aca="false">G13-MAX(0,G13)*G14/100</f>
        <v>12614.5585866176</v>
      </c>
      <c r="H15" s="0" t="n">
        <f aca="false">H13-MAX(0,H13)*H14/100</f>
        <v>13343.3997494</v>
      </c>
      <c r="I15" s="0" t="n">
        <f aca="false">I13-MAX(0,I13)*I14/100</f>
        <v>14096.348735259</v>
      </c>
      <c r="J15" s="0" t="n">
        <f aca="false">J13-MAX(0,J13)*J14/100</f>
        <v>14874.0783206526</v>
      </c>
      <c r="K15" s="0" t="n">
        <f aca="false">K13-MAX(0,K13)*K14/100</f>
        <v>15171.5598870656</v>
      </c>
      <c r="L15" s="0" t="n">
        <f aca="false">L13-MAX(0,L13)*L14/100</f>
        <v>15474.9910848069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11366.1622893</v>
      </c>
      <c r="D19" s="0" t="n">
        <f aca="false">D15+D16+D17+D18</f>
        <v>10643.5991151945</v>
      </c>
      <c r="E19" s="0" t="n">
        <f aca="false">E15+E16+E17+E18</f>
        <v>11337.7468835768</v>
      </c>
      <c r="F19" s="0" t="n">
        <f aca="false">F15+F16+F17+F18</f>
        <v>11909.169326509</v>
      </c>
      <c r="G19" s="0" t="n">
        <f aca="false">G15+G16+G17+G18</f>
        <v>12614.5585866176</v>
      </c>
      <c r="H19" s="0" t="n">
        <f aca="false">H15+H16+H17+H18</f>
        <v>13343.3997494</v>
      </c>
      <c r="I19" s="0" t="n">
        <f aca="false">I15+I16+I17+I18</f>
        <v>14096.348735259</v>
      </c>
      <c r="J19" s="0" t="n">
        <f aca="false">J15+J16+J17+J18</f>
        <v>14874.0783206526</v>
      </c>
      <c r="K19" s="0" t="n">
        <f aca="false">K15+K16+K17+K18</f>
        <v>15171.5598870656</v>
      </c>
      <c r="L19" s="0" t="n">
        <f aca="false">L15+L16+L17+L18</f>
        <v>15474.9910848069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10332.8748084545</v>
      </c>
      <c r="D21" s="0" t="n">
        <f aca="false">D19*D20</f>
        <v>8796.36290511942</v>
      </c>
      <c r="E21" s="0" t="n">
        <f aca="false">E19*E20</f>
        <v>8518.21704250695</v>
      </c>
      <c r="F21" s="0" t="n">
        <f aca="false">F19*F20</f>
        <v>8134.12289222664</v>
      </c>
      <c r="G21" s="0" t="n">
        <f aca="false">G19*G20</f>
        <v>7832.64840740984</v>
      </c>
      <c r="H21" s="0" t="n">
        <f aca="false">H19*H20</f>
        <v>7532.00129682239</v>
      </c>
      <c r="I21" s="0" t="n">
        <f aca="false">I19*I20</f>
        <v>7233.6557909093</v>
      </c>
      <c r="J21" s="0" t="n">
        <f aca="false">J19*J20</f>
        <v>6938.86731040202</v>
      </c>
      <c r="K21" s="0" t="n">
        <f aca="false">K19*K20</f>
        <v>6434.22241510006</v>
      </c>
      <c r="L21" s="0" t="n">
        <f aca="false">L19*L20</f>
        <v>5966.27896672914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11.5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77719.2518356803</v>
      </c>
    </row>
    <row r="31" customFormat="false" ht="15" hidden="false" customHeight="false" outlineLevel="0" collapsed="false">
      <c r="A31" s="0" t="s">
        <v>127</v>
      </c>
      <c r="B31" s="0" t="n">
        <f aca="false">L19</f>
        <v>15474.9910848069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184789.599424459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177962.39747528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177962.39747528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68612.2081173851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146331.459953065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146331.459953065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15.6708014640437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0.180919477320547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15.6708014640437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116349.00704503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9.7769100177147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7</v>
      </c>
      <c r="D5" s="4" t="n">
        <f aca="false">Assumptions!D41</f>
        <v>-3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168088.765</v>
      </c>
      <c r="C6" s="0" t="n">
        <f aca="false">B6*(1+C5/100)</f>
        <v>179854.97855</v>
      </c>
      <c r="D6" s="0" t="n">
        <f aca="false">C6*(1+D5/100)</f>
        <v>174459.3291935</v>
      </c>
      <c r="E6" s="0" t="n">
        <f aca="false">D6*(1+E5/100)</f>
        <v>181437.70236124</v>
      </c>
      <c r="F6" s="0" t="n">
        <f aca="false">E6*(1+F5/100)</f>
        <v>190509.587479302</v>
      </c>
      <c r="G6" s="0" t="n">
        <f aca="false">F6*(1+G5/100)</f>
        <v>198129.970978474</v>
      </c>
      <c r="H6" s="0" t="n">
        <f aca="false">G6*(1+H5/100)</f>
        <v>204073.870107828</v>
      </c>
      <c r="I6" s="0" t="n">
        <f aca="false">H6*(1+I5/100)</f>
        <v>210196.086211063</v>
      </c>
      <c r="J6" s="0" t="n">
        <f aca="false">I6*(1+J5/100)</f>
        <v>216501.968797395</v>
      </c>
      <c r="K6" s="0" t="n">
        <f aca="false">J6*(1+K5/100)</f>
        <v>222997.027861317</v>
      </c>
      <c r="L6" s="0" t="n">
        <f aca="false">K6*(1+L5/100)</f>
        <v>229686.938697156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12.5</v>
      </c>
      <c r="D7" s="4" t="n">
        <f aca="false">Assumptions!D42</f>
        <v>13</v>
      </c>
      <c r="E7" s="4" t="n">
        <f aca="false">Assumptions!E42</f>
        <v>14</v>
      </c>
      <c r="F7" s="4" t="n">
        <f aca="false">Assumptions!F42</f>
        <v>15</v>
      </c>
      <c r="G7" s="4" t="n">
        <f aca="false">Assumptions!G42</f>
        <v>16</v>
      </c>
      <c r="H7" s="4" t="n">
        <f aca="false">Assumptions!H42</f>
        <v>16.5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22481.87231875</v>
      </c>
      <c r="D8" s="0" t="n">
        <f aca="false">D6*D7/100</f>
        <v>22679.712795155</v>
      </c>
      <c r="E8" s="0" t="n">
        <f aca="false">E6*E7/100</f>
        <v>25401.2783305736</v>
      </c>
      <c r="F8" s="0" t="n">
        <f aca="false">F6*F7/100</f>
        <v>28576.4381218953</v>
      </c>
      <c r="G8" s="0" t="n">
        <f aca="false">G6*G7/100</f>
        <v>31700.7953565559</v>
      </c>
      <c r="H8" s="0" t="n">
        <f aca="false">H6*H7/100</f>
        <v>33672.1885677917</v>
      </c>
      <c r="I8" s="0" t="n">
        <f aca="false">I6*I7/100</f>
        <v>35733.3346558807</v>
      </c>
      <c r="J8" s="0" t="n">
        <f aca="false">J6*J7/100</f>
        <v>36805.3346955572</v>
      </c>
      <c r="K8" s="0" t="n">
        <f aca="false">K6*K7/100</f>
        <v>37909.4947364239</v>
      </c>
      <c r="L8" s="0" t="n">
        <f aca="false">L6*L7/100</f>
        <v>39046.7795785166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22481.87231875</v>
      </c>
      <c r="D11" s="0" t="n">
        <f aca="false">D8+D10+D24</f>
        <v>22679.712795155</v>
      </c>
      <c r="E11" s="0" t="n">
        <f aca="false">E8+E10+E24</f>
        <v>25401.2783305736</v>
      </c>
      <c r="F11" s="0" t="n">
        <f aca="false">F8+F10+F24</f>
        <v>28576.4381218953</v>
      </c>
      <c r="G11" s="0" t="n">
        <f aca="false">G8+G10+G24</f>
        <v>31700.7953565559</v>
      </c>
      <c r="H11" s="0" t="n">
        <f aca="false">H8+H10+H24</f>
        <v>33672.1885677917</v>
      </c>
      <c r="I11" s="0" t="n">
        <f aca="false">I8+I10+I24</f>
        <v>35733.3346558807</v>
      </c>
      <c r="J11" s="0" t="n">
        <f aca="false">J8+J10+J24</f>
        <v>36805.3346955572</v>
      </c>
      <c r="K11" s="0" t="n">
        <f aca="false">K8+K10+K24</f>
        <v>37909.4947364239</v>
      </c>
      <c r="L11" s="0" t="n">
        <f aca="false">L8+L10+L24</f>
        <v>39046.7795785166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22481.87231875</v>
      </c>
      <c r="D13" s="0" t="n">
        <f aca="false">D11+D12</f>
        <v>22679.712795155</v>
      </c>
      <c r="E13" s="0" t="n">
        <f aca="false">E11+E12</f>
        <v>25401.2783305736</v>
      </c>
      <c r="F13" s="0" t="n">
        <f aca="false">F11+F12</f>
        <v>28576.4381218953</v>
      </c>
      <c r="G13" s="0" t="n">
        <f aca="false">G11+G12</f>
        <v>31700.7953565559</v>
      </c>
      <c r="H13" s="0" t="n">
        <f aca="false">H11+H12</f>
        <v>33672.1885677917</v>
      </c>
      <c r="I13" s="0" t="n">
        <f aca="false">I11+I12</f>
        <v>35733.3346558807</v>
      </c>
      <c r="J13" s="0" t="n">
        <f aca="false">J11+J12</f>
        <v>36805.3346955572</v>
      </c>
      <c r="K13" s="0" t="n">
        <f aca="false">K11+K12</f>
        <v>37909.4947364239</v>
      </c>
      <c r="L13" s="0" t="n">
        <f aca="false">L11+L12</f>
        <v>39046.7795785166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43</v>
      </c>
      <c r="D14" s="4" t="n">
        <f aca="false">Assumptions!D47</f>
        <v>42</v>
      </c>
      <c r="E14" s="4" t="n">
        <f aca="false">Assumptions!E47</f>
        <v>42</v>
      </c>
      <c r="F14" s="4" t="n">
        <f aca="false">Assumptions!F47</f>
        <v>42</v>
      </c>
      <c r="G14" s="4" t="n">
        <f aca="false">Assumptions!G47</f>
        <v>42</v>
      </c>
      <c r="H14" s="4" t="n">
        <f aca="false">Assumptions!H47</f>
        <v>42</v>
      </c>
      <c r="I14" s="4" t="n">
        <f aca="false">Assumptions!I47</f>
        <v>42</v>
      </c>
      <c r="J14" s="4" t="n">
        <f aca="false">Assumptions!J47</f>
        <v>42</v>
      </c>
      <c r="K14" s="4" t="n">
        <f aca="false">Assumptions!K47</f>
        <v>42</v>
      </c>
      <c r="L14" s="4" t="n">
        <f aca="false">Assumptions!L47</f>
        <v>42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12814.6672216875</v>
      </c>
      <c r="D15" s="0" t="n">
        <f aca="false">D13-MAX(0,D13)*D14/100</f>
        <v>13154.2334211899</v>
      </c>
      <c r="E15" s="0" t="n">
        <f aca="false">E13-MAX(0,E13)*E14/100</f>
        <v>14732.7414317327</v>
      </c>
      <c r="F15" s="0" t="n">
        <f aca="false">F13-MAX(0,F13)*F14/100</f>
        <v>16574.3341106993</v>
      </c>
      <c r="G15" s="0" t="n">
        <f aca="false">G13-MAX(0,G13)*G14/100</f>
        <v>18386.4613068024</v>
      </c>
      <c r="H15" s="0" t="n">
        <f aca="false">H13-MAX(0,H13)*H14/100</f>
        <v>19529.8693693192</v>
      </c>
      <c r="I15" s="0" t="n">
        <f aca="false">I13-MAX(0,I13)*I14/100</f>
        <v>20725.3341004108</v>
      </c>
      <c r="J15" s="0" t="n">
        <f aca="false">J13-MAX(0,J13)*J14/100</f>
        <v>21347.0941234232</v>
      </c>
      <c r="K15" s="0" t="n">
        <f aca="false">K13-MAX(0,K13)*K14/100</f>
        <v>21987.5069471258</v>
      </c>
      <c r="L15" s="0" t="n">
        <f aca="false">L13-MAX(0,L13)*L14/100</f>
        <v>22647.1321555396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12814.6672216875</v>
      </c>
      <c r="D19" s="0" t="n">
        <f aca="false">D15+D16+D17+D18</f>
        <v>13154.2334211899</v>
      </c>
      <c r="E19" s="0" t="n">
        <f aca="false">E15+E16+E17+E18</f>
        <v>14732.7414317327</v>
      </c>
      <c r="F19" s="0" t="n">
        <f aca="false">F15+F16+F17+F18</f>
        <v>16574.3341106993</v>
      </c>
      <c r="G19" s="0" t="n">
        <f aca="false">G15+G16+G17+G18</f>
        <v>18386.4613068024</v>
      </c>
      <c r="H19" s="0" t="n">
        <f aca="false">H15+H16+H17+H18</f>
        <v>19529.8693693192</v>
      </c>
      <c r="I19" s="0" t="n">
        <f aca="false">I15+I16+I17+I18</f>
        <v>20725.3341004108</v>
      </c>
      <c r="J19" s="0" t="n">
        <f aca="false">J15+J16+J17+J18</f>
        <v>21347.0941234232</v>
      </c>
      <c r="K19" s="0" t="n">
        <f aca="false">K15+K16+K17+K18</f>
        <v>21987.5069471258</v>
      </c>
      <c r="L19" s="0" t="n">
        <f aca="false">L15+L16+L17+L18</f>
        <v>22647.1321555396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11649.6974742614</v>
      </c>
      <c r="D21" s="0" t="n">
        <f aca="false">D19*D20</f>
        <v>10871.2672902396</v>
      </c>
      <c r="E21" s="0" t="n">
        <f aca="false">E19*E20</f>
        <v>11068.9266955167</v>
      </c>
      <c r="F21" s="0" t="n">
        <f aca="false">F19*F20</f>
        <v>11320.4932113239</v>
      </c>
      <c r="G21" s="0" t="n">
        <f aca="false">G19*G20</f>
        <v>11416.5458809957</v>
      </c>
      <c r="H21" s="0" t="n">
        <f aca="false">H19*H20</f>
        <v>11024.1021163365</v>
      </c>
      <c r="I21" s="0" t="n">
        <f aca="false">I19*I20</f>
        <v>10635.3734466695</v>
      </c>
      <c r="J21" s="0" t="n">
        <f aca="false">J19*J20</f>
        <v>9958.57695460873</v>
      </c>
      <c r="K21" s="0" t="n">
        <f aca="false">K19*K20</f>
        <v>9324.84933022453</v>
      </c>
      <c r="L21" s="0" t="n">
        <f aca="false">L19*L20</f>
        <v>8731.44982739206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12.5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106001.282227568</v>
      </c>
    </row>
    <row r="31" customFormat="false" ht="15" hidden="false" customHeight="false" outlineLevel="0" collapsed="false">
      <c r="A31" s="0" t="s">
        <v>127</v>
      </c>
      <c r="B31" s="0" t="n">
        <f aca="false">L19</f>
        <v>22647.1321555396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309510.806125708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283089.151944245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283089.151944245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109143.122842401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215144.405069969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215144.405069969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23.0400575449234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0.736251510544338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23.0400575449234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185706.483675425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13.9603590871112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7.1624916271338</v>
      </c>
      <c r="C4" s="0" t="n">
        <f aca="false">B4/Assumptions!$B$2-1</f>
        <v>-0.460249312197905</v>
      </c>
      <c r="D4" s="4" t="n">
        <f aca="false">Assumptions!$B$24</f>
        <v>0.3</v>
      </c>
      <c r="E4" s="4" t="n">
        <f aca="false">DCF_Bear!$B$43</f>
        <v>7.1624916271338</v>
      </c>
      <c r="F4" s="4" t="n">
        <f aca="false">DCF_Bear!$B$47</f>
        <v>4.93675767001344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15.6708014640437</v>
      </c>
      <c r="C5" s="0" t="n">
        <f aca="false">B5/Assumptions!$B$2-1</f>
        <v>0.180919477320547</v>
      </c>
      <c r="D5" s="4" t="n">
        <f aca="false">Assumptions!$B$38</f>
        <v>0.5</v>
      </c>
      <c r="E5" s="4" t="n">
        <f aca="false">DCF_Base!$B$43</f>
        <v>15.6708014640437</v>
      </c>
      <c r="F5" s="4" t="n">
        <f aca="false">DCF_Base!$B$47</f>
        <v>9.7769100177147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23.0400575449234</v>
      </c>
      <c r="C6" s="0" t="n">
        <f aca="false">B6/Assumptions!$B$2-1</f>
        <v>0.736251510544338</v>
      </c>
      <c r="D6" s="4" t="n">
        <f aca="false">Assumptions!$B$52</f>
        <v>0.2</v>
      </c>
      <c r="E6" s="4" t="n">
        <f aca="false">DCF_Bull!$B$43</f>
        <v>23.0400575449234</v>
      </c>
      <c r="F6" s="4" t="n">
        <f aca="false">DCF_Bull!$B$47</f>
        <v>13.9603590871112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14.5921597291466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14.5921597291466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0.0906075422478919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9.16155412728363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16.7709013816082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15.6708014640437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14.1882677783639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12.7643810410553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9.7769100177147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17.9748931197854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17.9748931197854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17.9748931197854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17.9748931197854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17.9748931197854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16.7709013816082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16.7709013816082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16.7709013816082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16.7709013816082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16.7709013816082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15.0823081860028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15.493319364317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15.6708014640437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15.6708014640437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15.6708014640437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13.538790148763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13.8472920228234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14.1882677783639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14.5671297289645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14.6644050946592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12.2694615394042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12.5056731197377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12.7643810410553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13.0489597545048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13.3634941220015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2026-10-11T05:48:17Z</dcterms:created>
  <dc:creator>openpyxl</dc:creator>
  <dc:description/>
  <dc:language>en-NZ</dc:language>
  <cp:lastModifiedBy/>
  <dcterms:modified xsi:type="dcterms:W3CDTF">2026-10-11T05:48:17Z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