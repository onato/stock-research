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<sst xmlns="http://schemas.openxmlformats.org/spreadsheetml/2006/main" count="353" uniqueCount="164">
  <si>
    <t xml:space="preserve">Ticker</t>
  </si>
  <si>
    <t xml:space="preserve">1357.HK</t>
  </si>
  <si>
    <t xml:space="preserve">Company</t>
  </si>
  <si>
    <t xml:space="preserve">Meitu, Inc.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</si>
  <si>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</si>
  <si>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</si>
  <si>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</si>
  <si>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</si>
  <si>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2026-10-16T08:08:14Z regular close (HKEX 16:08 HKT); 52-week range 3.50-9.33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</si>
  <si>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</si>
  <si>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</si>
  <si>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</si>
  <si>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</si>
  <si>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</si>
  <si>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</si>
  <si>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</si>
  <si>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</si>
  <si>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</si>
  <si>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</si>
  <si>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</si>
  <si>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</si>
  <si>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</si>
  <si>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2026-10-16T10:00:57Z</t>
  </si>
  <si>
    <t xml:space="preserve">Drivers file</t>
  </si>
  <si>
    <t xml:space="preserve">1357.HK_Drivers.json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</si>
  <si>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</si>
  <si>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</si>
  <si>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</si>
  <si>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Meitu is valued as an owner-FCF stream from a subscription software business with ~RMB3.1bn of net cash and a RMB1.4bn investment portfolio behind it. The flows are built from components -- pre-SBC EBITDA margin, SBC at ~3% of revenue (expensed, count held flat), lease cost inside EBIT, D&amp;A ex-ROU, a cash-tax ramp from 8% to 17%, and deferred-revenue capture on the change in revenue -- rather than carrying the TTM 28% owner-FCF margin forward, because the TTM figure embeds a 5.5% cash tax rate and a working-capital tailwind that both fade. Value is computed in CNY and converted to HKD at the dated rate. The dominant uncertainty is not the discount rate but whether frontier generative-image models absorb the casual editing use case; that risk lives in the bear path and a 25% bear weight, not in a WACC premium.
key_risks_to_valuation: Generative-AI commoditisation of photo/video editing by platform-bundled frontier models (Google, ByteDance, Alibaba, Tencent) -- the bear axis; leisure-app MAU already -3% YoY.; Gross-margin compression from inference/API cost in early-stage productivity apps (71.5% in H1 2026 vs 75.3%); the base assumes it stabilises.; Advertising (20% of revenue) in structural decline (-4.4% H1 2026, -1.3% FY2025).; App-store take rates (revenue sharing fee to Apple/Google is the largest cost of sales, 375.6 in H1 2026).; Cash tax normalisation: TTM cash tax was 5.5% of EBIT; the path ramps to 17% but the timing of preferential-rate expiry and loss utilisation is uncertain either way.; Alibaba convertible bond: RMB~1,700m principal due Dec-2028 carried as debt; converts at HK$6.00 (327m shares, ~7% dilution) only in a bull outcome.; Investment portfolio in the bridge (RMB1,395m after haircut) is mostly private stakes marked to fair value; carrying values swung +517 in FY2025.; China regulatory and MIIT approval uncertainty (interim report risk section), and CNY/HKD translation of the per-share value.</t>
  </si>
  <si>
    <t xml:space="preserve">Data sources</t>
  </si>
  <si>
    <t xml:space="preserve">price: Yahoo Finance chart API at inputs.price_as_of; 52-week range 3.50-9.33 HKD; FX from Yahoo CNYHKD=X cross-checked against USDHKD/USDCNY and the June-2026 dividend conversion in the interim report
financials: 1357.HK_Metrics.csv (core_metrics, millions of CNY, restated continuing-operations basis); 1357.HK_Annual_FY2025.txt (income statement line 555ff, cash-flow note line 13556ff, CB share-based payment note 25(f) line 13053ff); 1357.HK_HalfYear_H1-2026.txt (balance sheet line 2125ff, cash-flow statement line 2340ff, adjusted-net-profit reconciliation line 860ff, liquidity table line 904ff, note 17 convertible bonds line 3357ff, share schemes line 1348ff, diluted EPS note line 2969ff)
qualitative: H1 2026 interim report MD&amp;A and Chairman's statement (key operational data, segment revenue, cost of sales drivers, 'Looking ahead'); FY2025 annual report business review. 1357.HK_Analysis.json was not present at build time.</t>
  </si>
  <si>
    <t xml:space="preserve">Scenario narrative: bear</t>
  </si>
  <si>
    <t xml:space="preserve">Free frontier image models commoditise photo editing; subscribers peak in 2027, revenue falls ~15% peak-to-trough, EBITDA margin compresses to 18%; 12x terminal cap; CB repaid in cash.</t>
  </si>
  <si>
    <t xml:space="preserve">Scenario narrative: base</t>
  </si>
  <si>
    <t xml:space="preserve">Subscription growth decelerates from ~20% to mid-single digits over a decade as overseas and productivity apps offset flat leisure MAU and a shrinking ad line; EBITDA margin drifts up 3pts on operating leverage; cash tax normalises toward 17%; 15x terminal cap.</t>
  </si>
  <si>
    <t xml:space="preserve">Scenario narrative: bull</t>
  </si>
  <si>
    <t xml:space="preserve">Globalisation plus usage-based AI credits lift the subscription rate toward 9-10% and ARPPU higher; self-developed models hold gross margin; EBITDA margin reaches 37%; 18x terminal cap. CB conversion dilution (~3%) not modelled.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</si>
  <si>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</si>
  <si>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</si>
  <si>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</si>
  <si>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</si>
  <si>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</si>
  <si>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</si>
  <si>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</si>
  <si>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</si>
  <si>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</si>
  <si>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</si>
  <si>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</si>
  <si>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</si>
  <si>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</si>
  <si>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</si>
  <si>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</si>
  <si>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</si>
  <si>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</si>
  <si>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</si>
  <si>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</si>
  <si>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</si>
  <si>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</si>
  <si>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</si>
  <si>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</si>
  <si>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</si>
  <si>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</si>
  <si>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</si>
  <si>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</si>
  <si>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</si>
  <si>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</si>
  <si>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</si>
  <si>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</si>
  <si>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</si>
  <si>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</si>
  <si>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</si>
  <si>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</si>
  <si>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</si>
  <si>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</si>
  <si>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</si>
  <si>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</si>
  <si>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</si>
  <si>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</si>
  <si>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</si>
  <si>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</si>
  <si>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</si>
  <si>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</si>
  <si>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</si>
  <si>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</si>
  <si>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</si>
  <si>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</si>
  <si>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</si>
  <si>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</si>
  <si>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</si>
  <si>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</si>
  <si>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</si>
  <si>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</si>
  <si>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</si>
  <si>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</si>
  <si>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</si>
  <si>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</si>
  <si>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</si>
  <si>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</si>
  <si>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</si>
  <si>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</si>
  <si>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</si>
  <si>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</si>
  <si>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</si>
  <si>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</si>
  <si>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</si>
  <si>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</si>
  <si>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</si>
  <si>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</si>
  <si>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</si>
  <si>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</si>
  <si>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1357.HK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</si>
  <si>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</si>
  <si>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</si>
  <si>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</si>
  <si>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</si>
  <si>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</si>
  <si>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</si>
  <si>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</si>
  <si>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</si>
  <si>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</si>
  <si>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</si>
  <si>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</si>
  <si>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</si>
  <si>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</si>
  <si>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</si>
  <si>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</si>
  <si>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</si>
  <si>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</si>
  <si>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</si>
  <si>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</si>
  <si>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</si>
  <si>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</si>
  <si>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</si>
  <si>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</si>
  <si>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</si>
  <si>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</si>
  <si>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</si>
  <si>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</si>
  <si>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</si>
  <si>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</si>
  <si>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</si>
  <si>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1357.HK owner-FCF component DCF: base case (millions, CNY)</t>
  </si>
  <si>
    <t xml:space="preserve">1357.HK owner-FCF component DCF: bull case (millions, CNY)</t>
  </si>
  <si>
    <t xml:space="preserve">1357.HK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</si>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</sst>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3.58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947.671</v>
      </c>
      <c r="C2" s="0" t="n">
        <v>455.541</v>
      </c>
      <c r="D2" s="0" t="n">
        <v>492.13</v>
      </c>
      <c r="E2" s="0" t="n">
        <v>51.9</v>
      </c>
      <c r="F2" s="0" t="n">
        <v>-551.634</v>
      </c>
      <c r="G2" s="0" t="n">
        <v>-58.2</v>
      </c>
      <c r="I2" s="0" t="n">
        <v>-1254.537</v>
      </c>
      <c r="J2" s="0" t="n">
        <v>-132.4</v>
      </c>
      <c r="K2" s="0" t="n">
        <v>-0.3</v>
      </c>
      <c r="L2" s="0" t="n">
        <v>-1996.957</v>
      </c>
      <c r="M2" s="0" t="n">
        <v>143.913</v>
      </c>
      <c r="N2" s="0" t="n">
        <v>-2140.87</v>
      </c>
      <c r="O2" s="0" t="n">
        <v>3959.93</v>
      </c>
      <c r="P2" s="0" t="n">
        <v>5088.972</v>
      </c>
      <c r="Q2" s="0" t="n">
        <v>1129.042</v>
      </c>
      <c r="R2" s="0" t="n">
        <v>10</v>
      </c>
      <c r="S2" s="0" t="n">
        <v>531.618</v>
      </c>
      <c r="T2" s="0" t="n">
        <v>4219.27</v>
      </c>
      <c r="U2" s="0" t="n">
        <v>136.714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977.867</v>
      </c>
      <c r="C3" s="0" t="n">
        <v>278.584</v>
      </c>
      <c r="D3" s="0" t="n">
        <v>699.283</v>
      </c>
      <c r="E3" s="0" t="n">
        <v>71.5</v>
      </c>
      <c r="F3" s="0" t="n">
        <v>-379.536</v>
      </c>
      <c r="G3" s="0" t="n">
        <v>-38.8</v>
      </c>
      <c r="I3" s="0" t="n">
        <v>-396.522</v>
      </c>
      <c r="J3" s="0" t="n">
        <v>-40.5</v>
      </c>
      <c r="K3" s="0" t="n">
        <v>-0.09</v>
      </c>
      <c r="L3" s="0" t="n">
        <v>11.789</v>
      </c>
      <c r="M3" s="0" t="n">
        <v>12.749</v>
      </c>
      <c r="N3" s="0" t="n">
        <v>-0.96</v>
      </c>
      <c r="O3" s="0" t="n">
        <v>3735.2</v>
      </c>
      <c r="P3" s="0" t="n">
        <v>4615.71</v>
      </c>
      <c r="Q3" s="0" t="n">
        <v>880.51</v>
      </c>
      <c r="R3" s="0" t="n">
        <v>0</v>
      </c>
      <c r="S3" s="0" t="n">
        <v>864.611</v>
      </c>
      <c r="T3" s="0" t="n">
        <v>4208.67</v>
      </c>
      <c r="U3" s="0" t="n">
        <v>54.407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1194.02</v>
      </c>
      <c r="C4" s="0" t="n">
        <v>400.149</v>
      </c>
      <c r="D4" s="0" t="n">
        <v>793.871</v>
      </c>
      <c r="E4" s="0" t="n">
        <v>66.5</v>
      </c>
      <c r="F4" s="0" t="n">
        <v>-70.221</v>
      </c>
      <c r="G4" s="0" t="n">
        <v>-5.9</v>
      </c>
      <c r="I4" s="0" t="n">
        <v>-40.97</v>
      </c>
      <c r="J4" s="0" t="n">
        <v>-3.4</v>
      </c>
      <c r="K4" s="0" t="n">
        <v>-0.01</v>
      </c>
      <c r="L4" s="0" t="n">
        <v>89.207</v>
      </c>
      <c r="M4" s="0" t="n">
        <v>351.557</v>
      </c>
      <c r="N4" s="0" t="n">
        <v>-262.35</v>
      </c>
      <c r="O4" s="0" t="n">
        <v>3567.835</v>
      </c>
      <c r="P4" s="0" t="n">
        <v>4507.16</v>
      </c>
      <c r="Q4" s="0" t="n">
        <v>939.325</v>
      </c>
      <c r="R4" s="0" t="n">
        <v>5</v>
      </c>
      <c r="S4" s="0" t="n">
        <v>1158.117</v>
      </c>
      <c r="T4" s="0" t="n">
        <v>4290.395</v>
      </c>
      <c r="U4" s="0" t="n">
        <v>46.73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1666.029</v>
      </c>
      <c r="C5" s="0" t="n">
        <v>540.942</v>
      </c>
      <c r="D5" s="0" t="n">
        <v>1125.087</v>
      </c>
      <c r="E5" s="0" t="n">
        <v>67.5</v>
      </c>
      <c r="F5" s="0" t="n">
        <v>-11.698</v>
      </c>
      <c r="G5" s="0" t="n">
        <v>-0.7</v>
      </c>
      <c r="I5" s="0" t="n">
        <v>-44.514</v>
      </c>
      <c r="J5" s="0" t="n">
        <v>-2.7</v>
      </c>
      <c r="K5" s="0" t="n">
        <v>-0.01</v>
      </c>
      <c r="L5" s="0" t="n">
        <v>-26.318</v>
      </c>
      <c r="M5" s="0" t="n">
        <v>34.657</v>
      </c>
      <c r="N5" s="0" t="n">
        <v>-60.975</v>
      </c>
      <c r="O5" s="0" t="n">
        <v>3515.802</v>
      </c>
      <c r="P5" s="0" t="n">
        <v>4747.314</v>
      </c>
      <c r="Q5" s="0" t="n">
        <v>1231.512</v>
      </c>
      <c r="R5" s="0" t="n">
        <v>10</v>
      </c>
      <c r="S5" s="0" t="n">
        <v>738.732</v>
      </c>
      <c r="T5" s="0" t="n">
        <v>4318.536</v>
      </c>
      <c r="U5" s="0" t="n">
        <v>55.502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2085.329</v>
      </c>
      <c r="C6" s="0" t="n">
        <v>898.057</v>
      </c>
      <c r="D6" s="0" t="n">
        <v>1187.272</v>
      </c>
      <c r="E6" s="0" t="n">
        <v>56.9</v>
      </c>
      <c r="F6" s="0" t="n">
        <v>173.467</v>
      </c>
      <c r="G6" s="0" t="n">
        <v>8.3</v>
      </c>
      <c r="I6" s="0" t="n">
        <v>94.142</v>
      </c>
      <c r="J6" s="0" t="n">
        <v>4.5</v>
      </c>
      <c r="K6" s="0" t="n">
        <v>0.02</v>
      </c>
      <c r="L6" s="0" t="n">
        <v>233.99</v>
      </c>
      <c r="M6" s="0" t="n">
        <v>50.407</v>
      </c>
      <c r="N6" s="0" t="n">
        <v>183.583</v>
      </c>
      <c r="O6" s="0" t="n">
        <v>3709.514</v>
      </c>
      <c r="P6" s="0" t="n">
        <v>5004.348</v>
      </c>
      <c r="Q6" s="0" t="n">
        <v>1294.834</v>
      </c>
      <c r="R6" s="0" t="n">
        <v>10</v>
      </c>
      <c r="S6" s="0" t="n">
        <v>946.602</v>
      </c>
      <c r="T6" s="0" t="n">
        <v>4376.469</v>
      </c>
      <c r="U6" s="0" t="n">
        <v>47.324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2695.738</v>
      </c>
      <c r="C7" s="0" t="n">
        <v>1039.862</v>
      </c>
      <c r="D7" s="0" t="n">
        <v>1655.876</v>
      </c>
      <c r="E7" s="0" t="n">
        <v>61.4</v>
      </c>
      <c r="F7" s="0" t="n">
        <v>412.776</v>
      </c>
      <c r="G7" s="0" t="n">
        <v>15.3</v>
      </c>
      <c r="I7" s="0" t="n">
        <v>378.293</v>
      </c>
      <c r="J7" s="0" t="n">
        <v>14</v>
      </c>
      <c r="K7" s="0" t="n">
        <v>0.08</v>
      </c>
      <c r="L7" s="0" t="n">
        <v>413.225</v>
      </c>
      <c r="M7" s="0" t="n">
        <v>51.766</v>
      </c>
      <c r="N7" s="0" t="n">
        <v>361.459</v>
      </c>
      <c r="O7" s="0" t="n">
        <v>4113.7</v>
      </c>
      <c r="P7" s="0" t="n">
        <v>5767.186</v>
      </c>
      <c r="Q7" s="0" t="n">
        <v>1653.486</v>
      </c>
      <c r="R7" s="0" t="n">
        <v>14.98</v>
      </c>
      <c r="S7" s="0" t="n">
        <v>640.629</v>
      </c>
      <c r="T7" s="0" t="n">
        <v>4414.966</v>
      </c>
      <c r="U7" s="0" t="n">
        <v>51.079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2996.182</v>
      </c>
      <c r="C8" s="0" t="n">
        <v>718.37</v>
      </c>
      <c r="D8" s="0" t="n">
        <v>2277.812</v>
      </c>
      <c r="E8" s="0" t="n">
        <v>76</v>
      </c>
      <c r="F8" s="0" t="n">
        <v>788.894</v>
      </c>
      <c r="G8" s="0" t="n">
        <v>26.3</v>
      </c>
      <c r="I8" s="0" t="n">
        <v>805.176</v>
      </c>
      <c r="J8" s="0" t="n">
        <v>26.9</v>
      </c>
      <c r="K8" s="0" t="n">
        <v>0.18</v>
      </c>
      <c r="L8" s="0" t="n">
        <v>745.807</v>
      </c>
      <c r="M8" s="0" t="n">
        <v>46.03</v>
      </c>
      <c r="N8" s="0" t="n">
        <v>699.777</v>
      </c>
      <c r="O8" s="0" t="n">
        <v>5032.562</v>
      </c>
      <c r="P8" s="0" t="n">
        <v>7046.677</v>
      </c>
      <c r="Q8" s="0" t="n">
        <v>2014.115</v>
      </c>
      <c r="R8" s="0" t="n">
        <v>102.89</v>
      </c>
      <c r="S8" s="0" t="n">
        <v>1301.412</v>
      </c>
      <c r="T8" s="0" t="n">
        <v>4498.967</v>
      </c>
      <c r="U8" s="0" t="n">
        <v>84.29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3858.738</v>
      </c>
      <c r="C9" s="0" t="n">
        <v>1019.925</v>
      </c>
      <c r="D9" s="0" t="n">
        <v>2838.813</v>
      </c>
      <c r="E9" s="0" t="n">
        <v>73.6</v>
      </c>
      <c r="F9" s="0" t="n">
        <v>848.219</v>
      </c>
      <c r="G9" s="0" t="n">
        <v>22</v>
      </c>
      <c r="I9" s="0" t="n">
        <v>582.9</v>
      </c>
      <c r="J9" s="0" t="n">
        <v>15.1</v>
      </c>
      <c r="K9" s="0" t="n">
        <v>0.12</v>
      </c>
      <c r="L9" s="0" t="n">
        <v>1257.01</v>
      </c>
      <c r="M9" s="0" t="n">
        <v>46.923</v>
      </c>
      <c r="N9" s="0" t="n">
        <v>1210.087</v>
      </c>
      <c r="O9" s="0" t="n">
        <v>5637.912</v>
      </c>
      <c r="P9" s="0" t="n">
        <v>9288.428</v>
      </c>
      <c r="Q9" s="0" t="n">
        <v>3650.516</v>
      </c>
      <c r="R9" s="0" t="n">
        <v>1426.692</v>
      </c>
      <c r="S9" s="0" t="n">
        <v>3514.504</v>
      </c>
      <c r="T9" s="0" t="n">
        <v>4538.255</v>
      </c>
      <c r="U9" s="0" t="n">
        <v>118.496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3.58</v>
      </c>
    </row>
    <row r="3" customFormat="false" ht="15" hidden="false" customHeight="false" outlineLevel="0" collapsed="false">
      <c r="A3" s="0" t="s">
        <v>75</v>
      </c>
      <c r="B3" s="3" t="n">
        <v>4577.5</v>
      </c>
    </row>
    <row r="4" customFormat="false" ht="15" hidden="false" customHeight="false" outlineLevel="0" collapsed="false">
      <c r="A4" s="0" t="s">
        <v>76</v>
      </c>
      <c r="B4" s="3" t="n">
        <v>-3058.9</v>
      </c>
    </row>
    <row r="5" customFormat="false" ht="15" hidden="false" customHeight="false" outlineLevel="0" collapsed="false">
      <c r="A5" s="0" t="s">
        <v>77</v>
      </c>
      <c r="B5" s="3" t="n">
        <v>1395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4258.6</v>
      </c>
    </row>
    <row r="8" customFormat="false" ht="15" hidden="false" customHeight="false" outlineLevel="0" collapsed="false">
      <c r="A8" s="0" t="s">
        <v>80</v>
      </c>
      <c r="B8" s="3" t="s">
        <v>81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1.1727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8</v>
      </c>
      <c r="D13" s="3" t="n">
        <v>2</v>
      </c>
      <c r="E13" s="3" t="n">
        <v>-3</v>
      </c>
      <c r="F13" s="3" t="n">
        <v>-5</v>
      </c>
      <c r="G13" s="3" t="n">
        <v>-4</v>
      </c>
      <c r="H13" s="3" t="n">
        <v>-2</v>
      </c>
      <c r="I13" s="3" t="n">
        <v>0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97</v>
      </c>
      <c r="C14" s="3" t="n">
        <v>26</v>
      </c>
      <c r="D14" s="3" t="n">
        <v>24</v>
      </c>
      <c r="E14" s="3" t="n">
        <v>22</v>
      </c>
      <c r="F14" s="3" t="n">
        <v>20</v>
      </c>
      <c r="G14" s="3" t="n">
        <v>19</v>
      </c>
      <c r="H14" s="3" t="n">
        <v>18</v>
      </c>
      <c r="I14" s="3" t="n">
        <v>18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98</v>
      </c>
      <c r="C15" s="3" t="n">
        <v>3</v>
      </c>
      <c r="D15" s="3" t="n">
        <v>3.1</v>
      </c>
      <c r="E15" s="3" t="n">
        <v>3.2</v>
      </c>
      <c r="F15" s="3" t="n">
        <v>3.3</v>
      </c>
      <c r="G15" s="3" t="n">
        <v>3.4</v>
      </c>
      <c r="H15" s="3" t="n">
        <v>3.5</v>
      </c>
      <c r="I15" s="3" t="n">
        <v>3.5</v>
      </c>
      <c r="J15" s="3" t="n">
        <v>3.5</v>
      </c>
      <c r="K15" s="3" t="n">
        <v>3.5</v>
      </c>
      <c r="L15" s="3" t="n">
        <v>3.5</v>
      </c>
    </row>
    <row r="16" customFormat="false" ht="15" hidden="false" customHeight="false" outlineLevel="0" collapsed="false">
      <c r="A16" s="0" t="s">
        <v>99</v>
      </c>
      <c r="C16" s="3" t="n">
        <v>0.8</v>
      </c>
      <c r="D16" s="3" t="n">
        <v>0.8</v>
      </c>
      <c r="E16" s="3" t="n">
        <v>0.8</v>
      </c>
      <c r="F16" s="3" t="n">
        <v>0.8</v>
      </c>
      <c r="G16" s="3" t="n">
        <v>0.8</v>
      </c>
      <c r="H16" s="3" t="n">
        <v>0.8</v>
      </c>
      <c r="I16" s="3" t="n">
        <v>0.8</v>
      </c>
      <c r="J16" s="3" t="n">
        <v>0.8</v>
      </c>
      <c r="K16" s="3" t="n">
        <v>0.8</v>
      </c>
      <c r="L16" s="3" t="n">
        <v>0.8</v>
      </c>
    </row>
    <row r="17" customFormat="false" ht="15" hidden="false" customHeight="false" outlineLevel="0" collapsed="false">
      <c r="A17" s="0" t="s">
        <v>100</v>
      </c>
      <c r="C17" s="3" t="n">
        <v>1.2</v>
      </c>
      <c r="D17" s="3" t="n">
        <v>1.3</v>
      </c>
      <c r="E17" s="3" t="n">
        <v>1.4</v>
      </c>
      <c r="F17" s="3" t="n">
        <v>1.5</v>
      </c>
      <c r="G17" s="3" t="n">
        <v>1.5</v>
      </c>
      <c r="H17" s="3" t="n">
        <v>1.5</v>
      </c>
      <c r="I17" s="3" t="n">
        <v>1.5</v>
      </c>
      <c r="J17" s="3" t="n">
        <v>1.5</v>
      </c>
      <c r="K17" s="3" t="n">
        <v>1.5</v>
      </c>
      <c r="L17" s="3" t="n">
        <v>1.5</v>
      </c>
    </row>
    <row r="18" customFormat="false" ht="15" hidden="false" customHeight="false" outlineLevel="0" collapsed="false">
      <c r="A18" s="0" t="s">
        <v>101</v>
      </c>
      <c r="C18" s="3" t="n">
        <v>1.3</v>
      </c>
      <c r="D18" s="3" t="n">
        <v>1.3</v>
      </c>
      <c r="E18" s="3" t="n">
        <v>1.3</v>
      </c>
      <c r="F18" s="3" t="n">
        <v>1.3</v>
      </c>
      <c r="G18" s="3" t="n">
        <v>1.3</v>
      </c>
      <c r="H18" s="3" t="n">
        <v>1.3</v>
      </c>
      <c r="I18" s="3" t="n">
        <v>1.3</v>
      </c>
      <c r="J18" s="3" t="n">
        <v>1.3</v>
      </c>
      <c r="K18" s="3" t="n">
        <v>1.3</v>
      </c>
      <c r="L18" s="3" t="n">
        <v>1.3</v>
      </c>
    </row>
    <row r="19" customFormat="false" ht="15" hidden="false" customHeight="false" outlineLevel="0" collapsed="false">
      <c r="A19" s="0" t="s">
        <v>102</v>
      </c>
      <c r="C19" s="3" t="n">
        <v>8</v>
      </c>
      <c r="D19" s="3" t="n">
        <v>10</v>
      </c>
      <c r="E19" s="3" t="n">
        <v>12</v>
      </c>
      <c r="F19" s="3" t="n">
        <v>14</v>
      </c>
      <c r="G19" s="3" t="n">
        <v>15</v>
      </c>
      <c r="H19" s="3" t="n">
        <v>16</v>
      </c>
      <c r="I19" s="3" t="n">
        <v>17</v>
      </c>
      <c r="J19" s="3" t="n">
        <v>17</v>
      </c>
      <c r="K19" s="3" t="n">
        <v>17</v>
      </c>
      <c r="L19" s="3" t="n">
        <v>17</v>
      </c>
    </row>
    <row r="20" customFormat="false" ht="15" hidden="false" customHeight="false" outlineLevel="0" collapsed="false">
      <c r="A20" s="0" t="s">
        <v>103</v>
      </c>
      <c r="B20" s="3" t="n">
        <v>10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10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18</v>
      </c>
      <c r="D27" s="3" t="n">
        <v>15</v>
      </c>
      <c r="E27" s="3" t="n">
        <v>12</v>
      </c>
      <c r="F27" s="3" t="n">
        <v>10</v>
      </c>
      <c r="G27" s="3" t="n">
        <v>8</v>
      </c>
      <c r="H27" s="3" t="n">
        <v>7</v>
      </c>
      <c r="I27" s="3" t="n">
        <v>6</v>
      </c>
      <c r="J27" s="3" t="n">
        <v>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97</v>
      </c>
      <c r="C28" s="3" t="n">
        <v>28</v>
      </c>
      <c r="D28" s="3" t="n">
        <v>28.5</v>
      </c>
      <c r="E28" s="3" t="n">
        <v>29</v>
      </c>
      <c r="F28" s="3" t="n">
        <v>29.5</v>
      </c>
      <c r="G28" s="3" t="n">
        <v>30</v>
      </c>
      <c r="H28" s="3" t="n">
        <v>30.5</v>
      </c>
      <c r="I28" s="3" t="n">
        <v>31</v>
      </c>
      <c r="J28" s="3" t="n">
        <v>31</v>
      </c>
      <c r="K28" s="3" t="n">
        <v>31</v>
      </c>
      <c r="L28" s="3" t="n">
        <v>31</v>
      </c>
    </row>
    <row r="29" customFormat="false" ht="15" hidden="false" customHeight="false" outlineLevel="0" collapsed="false">
      <c r="A29" s="0" t="s">
        <v>98</v>
      </c>
      <c r="C29" s="3" t="n">
        <v>3</v>
      </c>
      <c r="D29" s="3" t="n">
        <v>2.95</v>
      </c>
      <c r="E29" s="3" t="n">
        <v>2.9</v>
      </c>
      <c r="F29" s="3" t="n">
        <v>2.85</v>
      </c>
      <c r="G29" s="3" t="n">
        <v>2.8</v>
      </c>
      <c r="H29" s="3" t="n">
        <v>2.75</v>
      </c>
      <c r="I29" s="3" t="n">
        <v>2.7</v>
      </c>
      <c r="J29" s="3" t="n">
        <v>2.65</v>
      </c>
      <c r="K29" s="3" t="n">
        <v>2.6</v>
      </c>
      <c r="L29" s="3" t="n">
        <v>2.5</v>
      </c>
    </row>
    <row r="30" customFormat="false" ht="15" hidden="false" customHeight="false" outlineLevel="0" collapsed="false">
      <c r="A30" s="0" t="s">
        <v>99</v>
      </c>
      <c r="C30" s="3" t="n">
        <v>0.8</v>
      </c>
      <c r="D30" s="3" t="n">
        <v>0.75</v>
      </c>
      <c r="E30" s="3" t="n">
        <v>0.7</v>
      </c>
      <c r="F30" s="3" t="n">
        <v>0.7</v>
      </c>
      <c r="G30" s="3" t="n">
        <v>0.65</v>
      </c>
      <c r="H30" s="3" t="n">
        <v>0.65</v>
      </c>
      <c r="I30" s="3" t="n">
        <v>0.6</v>
      </c>
      <c r="J30" s="3" t="n">
        <v>0.6</v>
      </c>
      <c r="K30" s="3" t="n">
        <v>0.6</v>
      </c>
      <c r="L30" s="3" t="n">
        <v>0.6</v>
      </c>
    </row>
    <row r="31" customFormat="false" ht="15" hidden="false" customHeight="false" outlineLevel="0" collapsed="false">
      <c r="A31" s="0" t="s">
        <v>100</v>
      </c>
      <c r="C31" s="3" t="n">
        <v>1.2</v>
      </c>
      <c r="D31" s="3" t="n">
        <v>1.2</v>
      </c>
      <c r="E31" s="3" t="n">
        <v>1.2</v>
      </c>
      <c r="F31" s="3" t="n">
        <v>1.2</v>
      </c>
      <c r="G31" s="3" t="n">
        <v>1.2</v>
      </c>
      <c r="H31" s="3" t="n">
        <v>1.2</v>
      </c>
      <c r="I31" s="3" t="n">
        <v>1.2</v>
      </c>
      <c r="J31" s="3" t="n">
        <v>1.2</v>
      </c>
      <c r="K31" s="3" t="n">
        <v>1.2</v>
      </c>
      <c r="L31" s="3" t="n">
        <v>1.2</v>
      </c>
    </row>
    <row r="32" customFormat="false" ht="15" hidden="false" customHeight="false" outlineLevel="0" collapsed="false">
      <c r="A32" s="0" t="s">
        <v>101</v>
      </c>
      <c r="C32" s="3" t="n">
        <v>1.3</v>
      </c>
      <c r="D32" s="3" t="n">
        <v>1.3</v>
      </c>
      <c r="E32" s="3" t="n">
        <v>1.3</v>
      </c>
      <c r="F32" s="3" t="n">
        <v>1.3</v>
      </c>
      <c r="G32" s="3" t="n">
        <v>1.3</v>
      </c>
      <c r="H32" s="3" t="n">
        <v>1.3</v>
      </c>
      <c r="I32" s="3" t="n">
        <v>1.3</v>
      </c>
      <c r="J32" s="3" t="n">
        <v>1.3</v>
      </c>
      <c r="K32" s="3" t="n">
        <v>1.3</v>
      </c>
      <c r="L32" s="3" t="n">
        <v>1.3</v>
      </c>
    </row>
    <row r="33" customFormat="false" ht="15" hidden="false" customHeight="false" outlineLevel="0" collapsed="false">
      <c r="A33" s="0" t="s">
        <v>102</v>
      </c>
      <c r="C33" s="3" t="n">
        <v>8</v>
      </c>
      <c r="D33" s="3" t="n">
        <v>9</v>
      </c>
      <c r="E33" s="3" t="n">
        <v>10</v>
      </c>
      <c r="F33" s="3" t="n">
        <v>11</v>
      </c>
      <c r="G33" s="3" t="n">
        <v>12</v>
      </c>
      <c r="H33" s="3" t="n">
        <v>13</v>
      </c>
      <c r="I33" s="3" t="n">
        <v>14</v>
      </c>
      <c r="J33" s="3" t="n">
        <v>15</v>
      </c>
      <c r="K33" s="3" t="n">
        <v>16</v>
      </c>
      <c r="L33" s="3" t="n">
        <v>17</v>
      </c>
    </row>
    <row r="34" customFormat="false" ht="15" hidden="false" customHeight="false" outlineLevel="0" collapsed="false">
      <c r="A34" s="0" t="s">
        <v>103</v>
      </c>
      <c r="B34" s="3" t="n">
        <v>10</v>
      </c>
    </row>
    <row r="35" customFormat="false" ht="15" hidden="false" customHeight="false" outlineLevel="0" collapsed="false">
      <c r="A35" s="0" t="s">
        <v>104</v>
      </c>
      <c r="B35" s="3" t="n">
        <v>3</v>
      </c>
    </row>
    <row r="36" customFormat="false" ht="15" hidden="false" customHeight="false" outlineLevel="0" collapsed="false">
      <c r="A36" s="0" t="s">
        <v>105</v>
      </c>
      <c r="B36" s="3" t="n">
        <v>15</v>
      </c>
    </row>
    <row r="37" customFormat="false" ht="15" hidden="false" customHeight="false" outlineLevel="0" collapsed="false">
      <c r="A37" s="0" t="s">
        <v>106</v>
      </c>
      <c r="B37" s="3" t="n">
        <v>15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25</v>
      </c>
      <c r="D41" s="3" t="n">
        <v>22</v>
      </c>
      <c r="E41" s="3" t="n">
        <v>18</v>
      </c>
      <c r="F41" s="3" t="n">
        <v>15</v>
      </c>
      <c r="G41" s="3" t="n">
        <v>12</v>
      </c>
      <c r="H41" s="3" t="n">
        <v>10</v>
      </c>
      <c r="I41" s="3" t="n">
        <v>8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97</v>
      </c>
      <c r="C42" s="3" t="n">
        <v>29</v>
      </c>
      <c r="D42" s="3" t="n">
        <v>30.5</v>
      </c>
      <c r="E42" s="3" t="n">
        <v>32</v>
      </c>
      <c r="F42" s="3" t="n">
        <v>33.5</v>
      </c>
      <c r="G42" s="3" t="n">
        <v>35</v>
      </c>
      <c r="H42" s="3" t="n">
        <v>36</v>
      </c>
      <c r="I42" s="3" t="n">
        <v>37</v>
      </c>
      <c r="J42" s="3" t="n">
        <v>37</v>
      </c>
      <c r="K42" s="3" t="n">
        <v>37</v>
      </c>
      <c r="L42" s="3" t="n">
        <v>37</v>
      </c>
    </row>
    <row r="43" customFormat="false" ht="15" hidden="false" customHeight="false" outlineLevel="0" collapsed="false">
      <c r="A43" s="0" t="s">
        <v>98</v>
      </c>
      <c r="C43" s="3" t="n">
        <v>3</v>
      </c>
      <c r="D43" s="3" t="n">
        <v>2.9</v>
      </c>
      <c r="E43" s="3" t="n">
        <v>2.8</v>
      </c>
      <c r="F43" s="3" t="n">
        <v>2.7</v>
      </c>
      <c r="G43" s="3" t="n">
        <v>2.6</v>
      </c>
      <c r="H43" s="3" t="n">
        <v>2.5</v>
      </c>
      <c r="I43" s="3" t="n">
        <v>2.4</v>
      </c>
      <c r="J43" s="3" t="n">
        <v>2.3</v>
      </c>
      <c r="K43" s="3" t="n">
        <v>2.2</v>
      </c>
      <c r="L43" s="3" t="n">
        <v>2</v>
      </c>
    </row>
    <row r="44" customFormat="false" ht="15" hidden="false" customHeight="false" outlineLevel="0" collapsed="false">
      <c r="A44" s="0" t="s">
        <v>99</v>
      </c>
      <c r="C44" s="3" t="n">
        <v>0.8</v>
      </c>
      <c r="D44" s="3" t="n">
        <v>0.7</v>
      </c>
      <c r="E44" s="3" t="n">
        <v>0.65</v>
      </c>
      <c r="F44" s="3" t="n">
        <v>0.6</v>
      </c>
      <c r="G44" s="3" t="n">
        <v>0.55</v>
      </c>
      <c r="H44" s="3" t="n">
        <v>0.5</v>
      </c>
      <c r="I44" s="3" t="n">
        <v>0.5</v>
      </c>
      <c r="J44" s="3" t="n">
        <v>0.5</v>
      </c>
      <c r="K44" s="3" t="n">
        <v>0.5</v>
      </c>
      <c r="L44" s="3" t="n">
        <v>0.5</v>
      </c>
    </row>
    <row r="45" customFormat="false" ht="15" hidden="false" customHeight="false" outlineLevel="0" collapsed="false">
      <c r="A45" s="0" t="s">
        <v>100</v>
      </c>
      <c r="C45" s="3" t="n">
        <v>1.2</v>
      </c>
      <c r="D45" s="3" t="n">
        <v>1.2</v>
      </c>
      <c r="E45" s="3" t="n">
        <v>1.2</v>
      </c>
      <c r="F45" s="3" t="n">
        <v>1.2</v>
      </c>
      <c r="G45" s="3" t="n">
        <v>1.2</v>
      </c>
      <c r="H45" s="3" t="n">
        <v>1.2</v>
      </c>
      <c r="I45" s="3" t="n">
        <v>1.2</v>
      </c>
      <c r="J45" s="3" t="n">
        <v>1.2</v>
      </c>
      <c r="K45" s="3" t="n">
        <v>1.2</v>
      </c>
      <c r="L45" s="3" t="n">
        <v>1.2</v>
      </c>
    </row>
    <row r="46" customFormat="false" ht="15" hidden="false" customHeight="false" outlineLevel="0" collapsed="false">
      <c r="A46" s="0" t="s">
        <v>101</v>
      </c>
      <c r="C46" s="3" t="n">
        <v>1.3</v>
      </c>
      <c r="D46" s="3" t="n">
        <v>1.3</v>
      </c>
      <c r="E46" s="3" t="n">
        <v>1.3</v>
      </c>
      <c r="F46" s="3" t="n">
        <v>1.3</v>
      </c>
      <c r="G46" s="3" t="n">
        <v>1.3</v>
      </c>
      <c r="H46" s="3" t="n">
        <v>1.3</v>
      </c>
      <c r="I46" s="3" t="n">
        <v>1.3</v>
      </c>
      <c r="J46" s="3" t="n">
        <v>1.3</v>
      </c>
      <c r="K46" s="3" t="n">
        <v>1.3</v>
      </c>
      <c r="L46" s="3" t="n">
        <v>1.3</v>
      </c>
    </row>
    <row r="47" customFormat="false" ht="15" hidden="false" customHeight="false" outlineLevel="0" collapsed="false">
      <c r="A47" s="0" t="s">
        <v>102</v>
      </c>
      <c r="C47" s="3" t="n">
        <v>8</v>
      </c>
      <c r="D47" s="3" t="n">
        <v>9</v>
      </c>
      <c r="E47" s="3" t="n">
        <v>10</v>
      </c>
      <c r="F47" s="3" t="n">
        <v>11</v>
      </c>
      <c r="G47" s="3" t="n">
        <v>12</v>
      </c>
      <c r="H47" s="3" t="n">
        <v>13</v>
      </c>
      <c r="I47" s="3" t="n">
        <v>14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103</v>
      </c>
      <c r="B48" s="3" t="n">
        <v>10</v>
      </c>
    </row>
    <row r="49" customFormat="false" ht="15" hidden="false" customHeight="false" outlineLevel="0" collapsed="false">
      <c r="A49" s="0" t="s">
        <v>104</v>
      </c>
      <c r="B49" s="3" t="n">
        <v>3.5</v>
      </c>
    </row>
    <row r="50" customFormat="false" ht="15" hidden="false" customHeight="false" outlineLevel="0" collapsed="false">
      <c r="A50" s="0" t="s">
        <v>105</v>
      </c>
      <c r="B50" s="3" t="n">
        <v>18</v>
      </c>
    </row>
    <row r="51" customFormat="false" ht="15" hidden="false" customHeight="false" outlineLevel="0" collapsed="false">
      <c r="A51" s="0" t="s">
        <v>106</v>
      </c>
      <c r="B51" s="3" t="n">
        <v>15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8</v>
      </c>
      <c r="D5" s="4" t="n">
        <f aca="false">Assumptions!D13</f>
        <v>2</v>
      </c>
      <c r="E5" s="4" t="n">
        <f aca="false">Assumptions!E13</f>
        <v>-3</v>
      </c>
      <c r="F5" s="4" t="n">
        <f aca="false">Assumptions!F13</f>
        <v>-5</v>
      </c>
      <c r="G5" s="4" t="n">
        <f aca="false">Assumptions!G13</f>
        <v>-4</v>
      </c>
      <c r="H5" s="4" t="n">
        <f aca="false">Assumptions!H13</f>
        <v>-2</v>
      </c>
      <c r="I5" s="4" t="n">
        <f aca="false">Assumptions!I13</f>
        <v>0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4258.6</v>
      </c>
      <c r="C6" s="0" t="n">
        <f aca="false">B6*(1+C5/100)</f>
        <v>4599.288</v>
      </c>
      <c r="D6" s="0" t="n">
        <f aca="false">C6*(1+D5/100)</f>
        <v>4691.27376</v>
      </c>
      <c r="E6" s="0" t="n">
        <f aca="false">D6*(1+E5/100)</f>
        <v>4550.5355472</v>
      </c>
      <c r="F6" s="0" t="n">
        <f aca="false">E6*(1+F5/100)</f>
        <v>4323.00876984</v>
      </c>
      <c r="G6" s="0" t="n">
        <f aca="false">F6*(1+G5/100)</f>
        <v>4150.0884190464</v>
      </c>
      <c r="H6" s="0" t="n">
        <f aca="false">G6*(1+H5/100)</f>
        <v>4067.08665066547</v>
      </c>
      <c r="I6" s="0" t="n">
        <f aca="false">H6*(1+I5/100)</f>
        <v>4067.08665066547</v>
      </c>
      <c r="J6" s="0" t="n">
        <f aca="false">I6*(1+J5/100)</f>
        <v>4107.75751717213</v>
      </c>
      <c r="K6" s="0" t="n">
        <f aca="false">J6*(1+K5/100)</f>
        <v>4148.83509234385</v>
      </c>
      <c r="L6" s="0" t="n">
        <f aca="false">K6*(1+L5/100)</f>
        <v>4190.32344326729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26</v>
      </c>
      <c r="D7" s="4" t="n">
        <f aca="false">Assumptions!D14</f>
        <v>24</v>
      </c>
      <c r="E7" s="4" t="n">
        <f aca="false">Assumptions!E14</f>
        <v>22</v>
      </c>
      <c r="F7" s="4" t="n">
        <f aca="false">Assumptions!F14</f>
        <v>20</v>
      </c>
      <c r="G7" s="4" t="n">
        <f aca="false">Assumptions!G14</f>
        <v>19</v>
      </c>
      <c r="H7" s="4" t="n">
        <f aca="false">Assumptions!H14</f>
        <v>18</v>
      </c>
      <c r="I7" s="4" t="n">
        <f aca="false">Assumptions!I14</f>
        <v>18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1195.81488</v>
      </c>
      <c r="D8" s="0" t="n">
        <f aca="false">D6*D7/100</f>
        <v>1125.9057024</v>
      </c>
      <c r="E8" s="0" t="n">
        <f aca="false">E6*E7/100</f>
        <v>1001.117820384</v>
      </c>
      <c r="F8" s="0" t="n">
        <f aca="false">F6*F7/100</f>
        <v>864.601753968</v>
      </c>
      <c r="G8" s="0" t="n">
        <f aca="false">G6*G7/100</f>
        <v>788.516799618816</v>
      </c>
      <c r="H8" s="0" t="n">
        <f aca="false">H6*H7/100</f>
        <v>732.075597119785</v>
      </c>
      <c r="I8" s="0" t="n">
        <f aca="false">I6*I7/100</f>
        <v>732.075597119785</v>
      </c>
      <c r="J8" s="0" t="n">
        <f aca="false">J6*J7/100</f>
        <v>739.396353090983</v>
      </c>
      <c r="K8" s="0" t="n">
        <f aca="false">K6*K7/100</f>
        <v>746.790316621893</v>
      </c>
      <c r="L8" s="0" t="n">
        <f aca="false">L6*L7/100</f>
        <v>754.258219788112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3</v>
      </c>
      <c r="D9" s="4" t="n">
        <f aca="false">Assumptions!D15</f>
        <v>3.1</v>
      </c>
      <c r="E9" s="4" t="n">
        <f aca="false">Assumptions!E15</f>
        <v>3.2</v>
      </c>
      <c r="F9" s="4" t="n">
        <f aca="false">Assumptions!F15</f>
        <v>3.3</v>
      </c>
      <c r="G9" s="4" t="n">
        <f aca="false">Assumptions!G15</f>
        <v>3.4</v>
      </c>
      <c r="H9" s="4" t="n">
        <f aca="false">Assumptions!H15</f>
        <v>3.5</v>
      </c>
      <c r="I9" s="4" t="n">
        <f aca="false">Assumptions!I15</f>
        <v>3.5</v>
      </c>
      <c r="J9" s="4" t="n">
        <f aca="false">Assumptions!J15</f>
        <v>3.5</v>
      </c>
      <c r="K9" s="4" t="n">
        <f aca="false">Assumptions!K15</f>
        <v>3.5</v>
      </c>
      <c r="L9" s="4" t="n">
        <f aca="false">Assumptions!L15</f>
        <v>3.5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-137.97864</v>
      </c>
      <c r="D10" s="0" t="n">
        <f aca="false">-D6*D9/100</f>
        <v>-145.42948656</v>
      </c>
      <c r="E10" s="0" t="n">
        <f aca="false">-E6*E9/100</f>
        <v>-145.6171375104</v>
      </c>
      <c r="F10" s="0" t="n">
        <f aca="false">-F6*F9/100</f>
        <v>-142.65928940472</v>
      </c>
      <c r="G10" s="0" t="n">
        <f aca="false">-G6*G9/100</f>
        <v>-141.103006247578</v>
      </c>
      <c r="H10" s="0" t="n">
        <f aca="false">-H6*H9/100</f>
        <v>-142.348032773292</v>
      </c>
      <c r="I10" s="0" t="n">
        <f aca="false">-I6*I9/100</f>
        <v>-142.348032773292</v>
      </c>
      <c r="J10" s="0" t="n">
        <f aca="false">-J6*J9/100</f>
        <v>-143.771513101024</v>
      </c>
      <c r="K10" s="0" t="n">
        <f aca="false">-K6*K9/100</f>
        <v>-145.209228232035</v>
      </c>
      <c r="L10" s="0" t="n">
        <f aca="false">-L6*L9/100</f>
        <v>-146.661320514355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1021.041936</v>
      </c>
      <c r="D11" s="0" t="n">
        <f aca="false">D8+D10+D24</f>
        <v>942.94602576</v>
      </c>
      <c r="E11" s="0" t="n">
        <f aca="false">E8+E10+E24</f>
        <v>819.096398496</v>
      </c>
      <c r="F11" s="0" t="n">
        <f aca="false">F8+F10+F24</f>
        <v>687.35839440456</v>
      </c>
      <c r="G11" s="0" t="n">
        <f aca="false">G8+G10+G24</f>
        <v>614.213086018867</v>
      </c>
      <c r="H11" s="0" t="n">
        <f aca="false">H8+H10+H24</f>
        <v>557.19087114117</v>
      </c>
      <c r="I11" s="0" t="n">
        <f aca="false">I8+I10+I24</f>
        <v>557.19087114117</v>
      </c>
      <c r="J11" s="0" t="n">
        <f aca="false">J8+J10+J24</f>
        <v>562.762779852581</v>
      </c>
      <c r="K11" s="0" t="n">
        <f aca="false">K8+K10+K24</f>
        <v>568.390407651107</v>
      </c>
      <c r="L11" s="0" t="n">
        <f aca="false">L8+L10+L24</f>
        <v>574.074311727618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-55.191456</v>
      </c>
      <c r="D12" s="4" t="n">
        <f aca="false">-D6*Assumptions!D17/100</f>
        <v>-60.98655888</v>
      </c>
      <c r="E12" s="4" t="n">
        <f aca="false">-E6*Assumptions!E17/100</f>
        <v>-63.7074976608</v>
      </c>
      <c r="F12" s="4" t="n">
        <f aca="false">-F6*Assumptions!F17/100</f>
        <v>-64.8451315476</v>
      </c>
      <c r="G12" s="4" t="n">
        <f aca="false">-G6*Assumptions!G17/100</f>
        <v>-62.251326285696</v>
      </c>
      <c r="H12" s="4" t="n">
        <f aca="false">-H6*Assumptions!H17/100</f>
        <v>-61.0062997599821</v>
      </c>
      <c r="I12" s="4" t="n">
        <f aca="false">-I6*Assumptions!I17/100</f>
        <v>-61.0062997599821</v>
      </c>
      <c r="J12" s="4" t="n">
        <f aca="false">-J6*Assumptions!J17/100</f>
        <v>-61.6163627575819</v>
      </c>
      <c r="K12" s="4" t="n">
        <f aca="false">-K6*Assumptions!K17/100</f>
        <v>-62.2325263851577</v>
      </c>
      <c r="L12" s="4" t="n">
        <f aca="false">-L6*Assumptions!L17/100</f>
        <v>-62.8548516490093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965.85048</v>
      </c>
      <c r="D13" s="0" t="n">
        <f aca="false">D11+D12</f>
        <v>881.95946688</v>
      </c>
      <c r="E13" s="0" t="n">
        <f aca="false">E11+E12</f>
        <v>755.3889008352</v>
      </c>
      <c r="F13" s="0" t="n">
        <f aca="false">F11+F12</f>
        <v>622.51326285696</v>
      </c>
      <c r="G13" s="0" t="n">
        <f aca="false">G11+G12</f>
        <v>551.961759733171</v>
      </c>
      <c r="H13" s="0" t="n">
        <f aca="false">H11+H12</f>
        <v>496.184571381188</v>
      </c>
      <c r="I13" s="0" t="n">
        <f aca="false">I11+I12</f>
        <v>496.184571381188</v>
      </c>
      <c r="J13" s="0" t="n">
        <f aca="false">J11+J12</f>
        <v>501.146417095</v>
      </c>
      <c r="K13" s="0" t="n">
        <f aca="false">K11+K12</f>
        <v>506.15788126595</v>
      </c>
      <c r="L13" s="0" t="n">
        <f aca="false">L11+L12</f>
        <v>511.219460078609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8</v>
      </c>
      <c r="D14" s="4" t="n">
        <f aca="false">Assumptions!D19</f>
        <v>10</v>
      </c>
      <c r="E14" s="4" t="n">
        <f aca="false">Assumptions!E19</f>
        <v>12</v>
      </c>
      <c r="F14" s="4" t="n">
        <f aca="false">Assumptions!F19</f>
        <v>14</v>
      </c>
      <c r="G14" s="4" t="n">
        <f aca="false">Assumptions!G19</f>
        <v>15</v>
      </c>
      <c r="H14" s="4" t="n">
        <f aca="false">Assumptions!H19</f>
        <v>16</v>
      </c>
      <c r="I14" s="4" t="n">
        <f aca="false">Assumptions!I19</f>
        <v>17</v>
      </c>
      <c r="J14" s="4" t="n">
        <f aca="false">Assumptions!J19</f>
        <v>17</v>
      </c>
      <c r="K14" s="4" t="n">
        <f aca="false">Assumptions!K19</f>
        <v>17</v>
      </c>
      <c r="L14" s="4" t="n">
        <f aca="false">Assumptions!L19</f>
        <v>17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888.5824416</v>
      </c>
      <c r="D15" s="0" t="n">
        <f aca="false">D13-MAX(0,D13)*D14/100</f>
        <v>793.763520192</v>
      </c>
      <c r="E15" s="0" t="n">
        <f aca="false">E13-MAX(0,E13)*E14/100</f>
        <v>664.742232734976</v>
      </c>
      <c r="F15" s="0" t="n">
        <f aca="false">F13-MAX(0,F13)*F14/100</f>
        <v>535.361406056986</v>
      </c>
      <c r="G15" s="0" t="n">
        <f aca="false">G13-MAX(0,G13)*G14/100</f>
        <v>469.167495773196</v>
      </c>
      <c r="H15" s="0" t="n">
        <f aca="false">H13-MAX(0,H13)*H14/100</f>
        <v>416.795039960198</v>
      </c>
      <c r="I15" s="0" t="n">
        <f aca="false">I13-MAX(0,I13)*I14/100</f>
        <v>411.833194246386</v>
      </c>
      <c r="J15" s="0" t="n">
        <f aca="false">J13-MAX(0,J13)*J14/100</f>
        <v>415.95152618885</v>
      </c>
      <c r="K15" s="0" t="n">
        <f aca="false">K13-MAX(0,K13)*K14/100</f>
        <v>420.111041450738</v>
      </c>
      <c r="L15" s="0" t="n">
        <f aca="false">L13-MAX(0,L13)*L14/100</f>
        <v>424.312151865246</v>
      </c>
    </row>
    <row r="16" customFormat="false" ht="15" hidden="false" customHeight="false" outlineLevel="0" collapsed="false">
      <c r="A16" s="0" t="s">
        <v>118</v>
      </c>
      <c r="C16" s="0" t="n">
        <f aca="false">-C12</f>
        <v>55.191456</v>
      </c>
      <c r="D16" s="0" t="n">
        <f aca="false">-D12</f>
        <v>60.98655888</v>
      </c>
      <c r="E16" s="0" t="n">
        <f aca="false">-E12</f>
        <v>63.7074976608</v>
      </c>
      <c r="F16" s="0" t="n">
        <f aca="false">-F12</f>
        <v>64.8451315476</v>
      </c>
      <c r="G16" s="0" t="n">
        <f aca="false">-G12</f>
        <v>62.251326285696</v>
      </c>
      <c r="H16" s="0" t="n">
        <f aca="false">-H12</f>
        <v>61.0062997599821</v>
      </c>
      <c r="I16" s="0" t="n">
        <f aca="false">-I12</f>
        <v>61.0062997599821</v>
      </c>
      <c r="J16" s="0" t="n">
        <f aca="false">-J12</f>
        <v>61.6163627575819</v>
      </c>
      <c r="K16" s="0" t="n">
        <f aca="false">-K12</f>
        <v>62.2325263851577</v>
      </c>
      <c r="L16" s="0" t="n">
        <f aca="false">-L12</f>
        <v>62.8548516490093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-59.790744</v>
      </c>
      <c r="D17" s="4" t="n">
        <f aca="false">-D6*Assumptions!D18/100</f>
        <v>-60.98655888</v>
      </c>
      <c r="E17" s="4" t="n">
        <f aca="false">-E6*Assumptions!E18/100</f>
        <v>-59.1569621136</v>
      </c>
      <c r="F17" s="4" t="n">
        <f aca="false">-F6*Assumptions!F18/100</f>
        <v>-56.19911400792</v>
      </c>
      <c r="G17" s="4" t="n">
        <f aca="false">-G6*Assumptions!G18/100</f>
        <v>-53.9511494476032</v>
      </c>
      <c r="H17" s="4" t="n">
        <f aca="false">-H6*Assumptions!H18/100</f>
        <v>-52.8721264586511</v>
      </c>
      <c r="I17" s="4" t="n">
        <f aca="false">-I6*Assumptions!I18/100</f>
        <v>-52.8721264586511</v>
      </c>
      <c r="J17" s="4" t="n">
        <f aca="false">-J6*Assumptions!J18/100</f>
        <v>-53.4008477232377</v>
      </c>
      <c r="K17" s="4" t="n">
        <f aca="false">-K6*Assumptions!K18/100</f>
        <v>-53.93485620047</v>
      </c>
      <c r="L17" s="4" t="n">
        <f aca="false">-L6*Assumptions!L18/100</f>
        <v>-54.4742047624747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34.0688</v>
      </c>
      <c r="D18" s="4" t="n">
        <f aca="false">(D6-C6)*Assumptions!$B$23/100</f>
        <v>9.19857600000005</v>
      </c>
      <c r="E18" s="4" t="n">
        <f aca="false">(E6-D6)*Assumptions!$B$23/100</f>
        <v>-14.07382128</v>
      </c>
      <c r="F18" s="4" t="n">
        <f aca="false">(F6-E6)*Assumptions!$B$23/100</f>
        <v>-22.752677736</v>
      </c>
      <c r="G18" s="4" t="n">
        <f aca="false">(G6-F6)*Assumptions!$B$23/100</f>
        <v>-17.29203507936</v>
      </c>
      <c r="H18" s="4" t="n">
        <f aca="false">(H6-G6)*Assumptions!$B$23/100</f>
        <v>-8.30017683809283</v>
      </c>
      <c r="I18" s="4" t="n">
        <f aca="false">(I6-H6)*Assumptions!$B$23/100</f>
        <v>0</v>
      </c>
      <c r="J18" s="4" t="n">
        <f aca="false">(J6-I6)*Assumptions!$B$23/100</f>
        <v>4.06708665066544</v>
      </c>
      <c r="K18" s="4" t="n">
        <f aca="false">(K6-J6)*Assumptions!$B$23/100</f>
        <v>4.1077575171721</v>
      </c>
      <c r="L18" s="4" t="n">
        <f aca="false">(L6-K6)*Assumptions!$B$23/100</f>
        <v>4.14883509234387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918.0519536</v>
      </c>
      <c r="D19" s="0" t="n">
        <f aca="false">D15+D16+D17+D18</f>
        <v>802.962096192</v>
      </c>
      <c r="E19" s="0" t="n">
        <f aca="false">E15+E16+E17+E18</f>
        <v>655.218947002176</v>
      </c>
      <c r="F19" s="0" t="n">
        <f aca="false">F15+F16+F17+F18</f>
        <v>521.254745860666</v>
      </c>
      <c r="G19" s="0" t="n">
        <f aca="false">G15+G16+G17+G18</f>
        <v>460.175637531929</v>
      </c>
      <c r="H19" s="0" t="n">
        <f aca="false">H15+H16+H17+H18</f>
        <v>416.629036423436</v>
      </c>
      <c r="I19" s="0" t="n">
        <f aca="false">I15+I16+I17+I18</f>
        <v>419.967367547717</v>
      </c>
      <c r="J19" s="0" t="n">
        <f aca="false">J15+J16+J17+J18</f>
        <v>428.234127873859</v>
      </c>
      <c r="K19" s="0" t="n">
        <f aca="false">K15+K16+K17+K18</f>
        <v>432.516469152598</v>
      </c>
      <c r="L19" s="0" t="n">
        <f aca="false">L15+L16+L17+L18</f>
        <v>436.841633844124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834.592685090909</v>
      </c>
      <c r="D21" s="0" t="n">
        <f aca="false">D19*D20</f>
        <v>663.605038175207</v>
      </c>
      <c r="E21" s="0" t="n">
        <f aca="false">E19*E20</f>
        <v>492.275692713881</v>
      </c>
      <c r="F21" s="0" t="n">
        <f aca="false">F19*F20</f>
        <v>356.024005095735</v>
      </c>
      <c r="G21" s="0" t="n">
        <f aca="false">G19*G20</f>
        <v>285.732865695915</v>
      </c>
      <c r="H21" s="0" t="n">
        <f aca="false">H19*H20</f>
        <v>235.176229564455</v>
      </c>
      <c r="I21" s="0" t="n">
        <f aca="false">I19*I20</f>
        <v>215.50966404909</v>
      </c>
      <c r="J21" s="0" t="n">
        <f aca="false">J19*J20</f>
        <v>199.774381110834</v>
      </c>
      <c r="K21" s="0" t="n">
        <f aca="false">K19*K20</f>
        <v>183.429204474493</v>
      </c>
      <c r="L21" s="0" t="n">
        <f aca="false">L19*L20</f>
        <v>168.421360472034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0.8</v>
      </c>
      <c r="D23" s="4" t="n">
        <f aca="false">Assumptions!D16</f>
        <v>0.8</v>
      </c>
      <c r="E23" s="4" t="n">
        <f aca="false">Assumptions!E16</f>
        <v>0.8</v>
      </c>
      <c r="F23" s="4" t="n">
        <f aca="false">Assumptions!F16</f>
        <v>0.8</v>
      </c>
      <c r="G23" s="4" t="n">
        <f aca="false">Assumptions!G16</f>
        <v>0.8</v>
      </c>
      <c r="H23" s="4" t="n">
        <f aca="false">Assumptions!H16</f>
        <v>0.8</v>
      </c>
      <c r="I23" s="4" t="n">
        <f aca="false">Assumptions!I16</f>
        <v>0.8</v>
      </c>
      <c r="J23" s="4" t="n">
        <f aca="false">Assumptions!J16</f>
        <v>0.8</v>
      </c>
      <c r="K23" s="4" t="n">
        <f aca="false">Assumptions!K16</f>
        <v>0.8</v>
      </c>
      <c r="L23" s="4" t="n">
        <f aca="false">Assumptions!L16</f>
        <v>0.8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-36.794304</v>
      </c>
      <c r="D24" s="0" t="n">
        <f aca="false">-D6*D23/100</f>
        <v>-37.53019008</v>
      </c>
      <c r="E24" s="0" t="n">
        <f aca="false">-E6*E23/100</f>
        <v>-36.4042843776</v>
      </c>
      <c r="F24" s="0" t="n">
        <f aca="false">-F6*F23/100</f>
        <v>-34.58407015872</v>
      </c>
      <c r="G24" s="0" t="n">
        <f aca="false">-G6*G23/100</f>
        <v>-33.2007073523712</v>
      </c>
      <c r="H24" s="0" t="n">
        <f aca="false">-H6*H23/100</f>
        <v>-32.5366932053238</v>
      </c>
      <c r="I24" s="0" t="n">
        <f aca="false">-I6*I23/100</f>
        <v>-32.5366932053238</v>
      </c>
      <c r="J24" s="0" t="n">
        <f aca="false">-J6*J23/100</f>
        <v>-32.862060137377</v>
      </c>
      <c r="K24" s="0" t="n">
        <f aca="false">-K6*K23/100</f>
        <v>-33.1906807387508</v>
      </c>
      <c r="L24" s="0" t="n">
        <f aca="false">-L6*L23/100</f>
        <v>-33.5225875461383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3634.54112644255</v>
      </c>
    </row>
    <row r="31" customFormat="false" ht="15" hidden="false" customHeight="false" outlineLevel="0" collapsed="false">
      <c r="A31" s="0" t="s">
        <v>127</v>
      </c>
      <c r="B31" s="0" t="n">
        <f aca="false">L19</f>
        <v>436.841633844124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5216.40303943277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5242.09960612949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5216.40303943277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2011.14918681312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5645.69031325567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10099.5903132557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2.58739258554996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-0.277264640907833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878.677625640767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675.205320733306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2.98547855632284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3284.40191371693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2.13603564407511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18</v>
      </c>
      <c r="D5" s="4" t="n">
        <f aca="false">Assumptions!D27</f>
        <v>15</v>
      </c>
      <c r="E5" s="4" t="n">
        <f aca="false">Assumptions!E27</f>
        <v>12</v>
      </c>
      <c r="F5" s="4" t="n">
        <f aca="false">Assumptions!F27</f>
        <v>10</v>
      </c>
      <c r="G5" s="4" t="n">
        <f aca="false">Assumptions!G27</f>
        <v>8</v>
      </c>
      <c r="H5" s="4" t="n">
        <f aca="false">Assumptions!H27</f>
        <v>7</v>
      </c>
      <c r="I5" s="4" t="n">
        <f aca="false">Assumptions!I27</f>
        <v>6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38</v>
      </c>
      <c r="B6" s="3" t="n">
        <v>4258.6</v>
      </c>
      <c r="C6" s="0" t="n">
        <f aca="false">B6*(1+C5/100)</f>
        <v>5025.148</v>
      </c>
      <c r="D6" s="0" t="n">
        <f aca="false">C6*(1+D5/100)</f>
        <v>5778.9202</v>
      </c>
      <c r="E6" s="0" t="n">
        <f aca="false">D6*(1+E5/100)</f>
        <v>6472.390624</v>
      </c>
      <c r="F6" s="0" t="n">
        <f aca="false">E6*(1+F5/100)</f>
        <v>7119.6296864</v>
      </c>
      <c r="G6" s="0" t="n">
        <f aca="false">F6*(1+G5/100)</f>
        <v>7689.200061312</v>
      </c>
      <c r="H6" s="0" t="n">
        <f aca="false">G6*(1+H5/100)</f>
        <v>8227.44406560384</v>
      </c>
      <c r="I6" s="0" t="n">
        <f aca="false">H6*(1+I5/100)</f>
        <v>8721.09070954007</v>
      </c>
      <c r="J6" s="0" t="n">
        <f aca="false">I6*(1+J5/100)</f>
        <v>9157.14524501708</v>
      </c>
      <c r="K6" s="0" t="n">
        <f aca="false">J6*(1+K5/100)</f>
        <v>9523.43105481776</v>
      </c>
      <c r="L6" s="0" t="n">
        <f aca="false">K6*(1+L5/100)</f>
        <v>9856.75114173638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28</v>
      </c>
      <c r="D7" s="4" t="n">
        <f aca="false">Assumptions!D28</f>
        <v>28.5</v>
      </c>
      <c r="E7" s="4" t="n">
        <f aca="false">Assumptions!E28</f>
        <v>29</v>
      </c>
      <c r="F7" s="4" t="n">
        <f aca="false">Assumptions!F28</f>
        <v>29.5</v>
      </c>
      <c r="G7" s="4" t="n">
        <f aca="false">Assumptions!G28</f>
        <v>30</v>
      </c>
      <c r="H7" s="4" t="n">
        <f aca="false">Assumptions!H28</f>
        <v>30.5</v>
      </c>
      <c r="I7" s="4" t="n">
        <f aca="false">Assumptions!I28</f>
        <v>31</v>
      </c>
      <c r="J7" s="4" t="n">
        <f aca="false">Assumptions!J28</f>
        <v>31</v>
      </c>
      <c r="K7" s="4" t="n">
        <f aca="false">Assumptions!K28</f>
        <v>31</v>
      </c>
      <c r="L7" s="4" t="n">
        <f aca="false">Assumptions!L28</f>
        <v>31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1407.04144</v>
      </c>
      <c r="D8" s="0" t="n">
        <f aca="false">D6*D7/100</f>
        <v>1646.992257</v>
      </c>
      <c r="E8" s="0" t="n">
        <f aca="false">E6*E7/100</f>
        <v>1876.99328096</v>
      </c>
      <c r="F8" s="0" t="n">
        <f aca="false">F6*F7/100</f>
        <v>2100.290757488</v>
      </c>
      <c r="G8" s="0" t="n">
        <f aca="false">G6*G7/100</f>
        <v>2306.7600183936</v>
      </c>
      <c r="H8" s="0" t="n">
        <f aca="false">H6*H7/100</f>
        <v>2509.37044000917</v>
      </c>
      <c r="I8" s="0" t="n">
        <f aca="false">I6*I7/100</f>
        <v>2703.53811995742</v>
      </c>
      <c r="J8" s="0" t="n">
        <f aca="false">J6*J7/100</f>
        <v>2838.71502595529</v>
      </c>
      <c r="K8" s="0" t="n">
        <f aca="false">K6*K7/100</f>
        <v>2952.26362699351</v>
      </c>
      <c r="L8" s="0" t="n">
        <f aca="false">L6*L7/100</f>
        <v>3055.59285393828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3</v>
      </c>
      <c r="D9" s="4" t="n">
        <f aca="false">Assumptions!D29</f>
        <v>2.95</v>
      </c>
      <c r="E9" s="4" t="n">
        <f aca="false">Assumptions!E29</f>
        <v>2.9</v>
      </c>
      <c r="F9" s="4" t="n">
        <f aca="false">Assumptions!F29</f>
        <v>2.85</v>
      </c>
      <c r="G9" s="4" t="n">
        <f aca="false">Assumptions!G29</f>
        <v>2.8</v>
      </c>
      <c r="H9" s="4" t="n">
        <f aca="false">Assumptions!H29</f>
        <v>2.75</v>
      </c>
      <c r="I9" s="4" t="n">
        <f aca="false">Assumptions!I29</f>
        <v>2.7</v>
      </c>
      <c r="J9" s="4" t="n">
        <f aca="false">Assumptions!J29</f>
        <v>2.65</v>
      </c>
      <c r="K9" s="4" t="n">
        <f aca="false">Assumptions!K29</f>
        <v>2.6</v>
      </c>
      <c r="L9" s="4" t="n">
        <f aca="false">Assumptions!L29</f>
        <v>2.5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-150.75444</v>
      </c>
      <c r="D10" s="0" t="n">
        <f aca="false">-D6*D9/100</f>
        <v>-170.4781459</v>
      </c>
      <c r="E10" s="0" t="n">
        <f aca="false">-E6*E9/100</f>
        <v>-187.699328096</v>
      </c>
      <c r="F10" s="0" t="n">
        <f aca="false">-F6*F9/100</f>
        <v>-202.9094460624</v>
      </c>
      <c r="G10" s="0" t="n">
        <f aca="false">-G6*G9/100</f>
        <v>-215.297601716736</v>
      </c>
      <c r="H10" s="0" t="n">
        <f aca="false">-H6*H9/100</f>
        <v>-226.254711804106</v>
      </c>
      <c r="I10" s="0" t="n">
        <f aca="false">-I6*I9/100</f>
        <v>-235.469449157582</v>
      </c>
      <c r="J10" s="0" t="n">
        <f aca="false">-J6*J9/100</f>
        <v>-242.664348992953</v>
      </c>
      <c r="K10" s="0" t="n">
        <f aca="false">-K6*K9/100</f>
        <v>-247.609207425262</v>
      </c>
      <c r="L10" s="0" t="n">
        <f aca="false">-L6*L9/100</f>
        <v>-246.41877854341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1216.085816</v>
      </c>
      <c r="D11" s="0" t="n">
        <f aca="false">D8+D10+D24</f>
        <v>1433.1722096</v>
      </c>
      <c r="E11" s="0" t="n">
        <f aca="false">E8+E10+E24</f>
        <v>1643.987218496</v>
      </c>
      <c r="F11" s="0" t="n">
        <f aca="false">F8+F10+F24</f>
        <v>1847.5439036208</v>
      </c>
      <c r="G11" s="0" t="n">
        <f aca="false">G8+G10+G24</f>
        <v>2041.48261627834</v>
      </c>
      <c r="H11" s="0" t="n">
        <f aca="false">H8+H10+H24</f>
        <v>2229.63734177864</v>
      </c>
      <c r="I11" s="0" t="n">
        <f aca="false">I8+I10+I24</f>
        <v>2415.7421265426</v>
      </c>
      <c r="J11" s="0" t="n">
        <f aca="false">J8+J10+J24</f>
        <v>2541.10780549224</v>
      </c>
      <c r="K11" s="0" t="n">
        <f aca="false">K8+K10+K24</f>
        <v>2647.51383323934</v>
      </c>
      <c r="L11" s="0" t="n">
        <f aca="false">L8+L10+L24</f>
        <v>2750.03356854445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-60.301776</v>
      </c>
      <c r="D12" s="4" t="n">
        <f aca="false">-D6*Assumptions!D31/100</f>
        <v>-69.3470424</v>
      </c>
      <c r="E12" s="4" t="n">
        <f aca="false">-E6*Assumptions!E31/100</f>
        <v>-77.668687488</v>
      </c>
      <c r="F12" s="4" t="n">
        <f aca="false">-F6*Assumptions!F31/100</f>
        <v>-85.4355562368</v>
      </c>
      <c r="G12" s="4" t="n">
        <f aca="false">-G6*Assumptions!G31/100</f>
        <v>-92.270400735744</v>
      </c>
      <c r="H12" s="4" t="n">
        <f aca="false">-H6*Assumptions!H31/100</f>
        <v>-98.7293287872461</v>
      </c>
      <c r="I12" s="4" t="n">
        <f aca="false">-I6*Assumptions!I31/100</f>
        <v>-104.653088514481</v>
      </c>
      <c r="J12" s="4" t="n">
        <f aca="false">-J6*Assumptions!J31/100</f>
        <v>-109.885742940205</v>
      </c>
      <c r="K12" s="4" t="n">
        <f aca="false">-K6*Assumptions!K31/100</f>
        <v>-114.281172657813</v>
      </c>
      <c r="L12" s="4" t="n">
        <f aca="false">-L6*Assumptions!L31/100</f>
        <v>-118.281013700837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1155.78404</v>
      </c>
      <c r="D13" s="0" t="n">
        <f aca="false">D11+D12</f>
        <v>1363.8251672</v>
      </c>
      <c r="E13" s="0" t="n">
        <f aca="false">E11+E12</f>
        <v>1566.318531008</v>
      </c>
      <c r="F13" s="0" t="n">
        <f aca="false">F11+F12</f>
        <v>1762.108347384</v>
      </c>
      <c r="G13" s="0" t="n">
        <f aca="false">G11+G12</f>
        <v>1949.21221554259</v>
      </c>
      <c r="H13" s="0" t="n">
        <f aca="false">H11+H12</f>
        <v>2130.9080129914</v>
      </c>
      <c r="I13" s="0" t="n">
        <f aca="false">I11+I12</f>
        <v>2311.08903802812</v>
      </c>
      <c r="J13" s="0" t="n">
        <f aca="false">J11+J12</f>
        <v>2431.22206255203</v>
      </c>
      <c r="K13" s="0" t="n">
        <f aca="false">K11+K12</f>
        <v>2533.23266058152</v>
      </c>
      <c r="L13" s="0" t="n">
        <f aca="false">L11+L12</f>
        <v>2631.75255484361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8</v>
      </c>
      <c r="D14" s="4" t="n">
        <f aca="false">Assumptions!D33</f>
        <v>9</v>
      </c>
      <c r="E14" s="4" t="n">
        <f aca="false">Assumptions!E33</f>
        <v>10</v>
      </c>
      <c r="F14" s="4" t="n">
        <f aca="false">Assumptions!F33</f>
        <v>11</v>
      </c>
      <c r="G14" s="4" t="n">
        <f aca="false">Assumptions!G33</f>
        <v>12</v>
      </c>
      <c r="H14" s="4" t="n">
        <f aca="false">Assumptions!H33</f>
        <v>13</v>
      </c>
      <c r="I14" s="4" t="n">
        <f aca="false">Assumptions!I33</f>
        <v>14</v>
      </c>
      <c r="J14" s="4" t="n">
        <f aca="false">Assumptions!J33</f>
        <v>15</v>
      </c>
      <c r="K14" s="4" t="n">
        <f aca="false">Assumptions!K33</f>
        <v>16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1063.3213168</v>
      </c>
      <c r="D15" s="0" t="n">
        <f aca="false">D13-MAX(0,D13)*D14/100</f>
        <v>1241.080902152</v>
      </c>
      <c r="E15" s="0" t="n">
        <f aca="false">E13-MAX(0,E13)*E14/100</f>
        <v>1409.6866779072</v>
      </c>
      <c r="F15" s="0" t="n">
        <f aca="false">F13-MAX(0,F13)*F14/100</f>
        <v>1568.27642917176</v>
      </c>
      <c r="G15" s="0" t="n">
        <f aca="false">G13-MAX(0,G13)*G14/100</f>
        <v>1715.30674967748</v>
      </c>
      <c r="H15" s="0" t="n">
        <f aca="false">H13-MAX(0,H13)*H14/100</f>
        <v>1853.88997130251</v>
      </c>
      <c r="I15" s="0" t="n">
        <f aca="false">I13-MAX(0,I13)*I14/100</f>
        <v>1987.53657270418</v>
      </c>
      <c r="J15" s="0" t="n">
        <f aca="false">J13-MAX(0,J13)*J14/100</f>
        <v>2066.53875316923</v>
      </c>
      <c r="K15" s="0" t="n">
        <f aca="false">K13-MAX(0,K13)*K14/100</f>
        <v>2127.91543488848</v>
      </c>
      <c r="L15" s="0" t="n">
        <f aca="false">L13-MAX(0,L13)*L14/100</f>
        <v>2184.3546205202</v>
      </c>
    </row>
    <row r="16" customFormat="false" ht="15" hidden="false" customHeight="false" outlineLevel="0" collapsed="false">
      <c r="A16" s="0" t="s">
        <v>118</v>
      </c>
      <c r="C16" s="0" t="n">
        <f aca="false">-C12</f>
        <v>60.301776</v>
      </c>
      <c r="D16" s="0" t="n">
        <f aca="false">-D12</f>
        <v>69.3470424</v>
      </c>
      <c r="E16" s="0" t="n">
        <f aca="false">-E12</f>
        <v>77.668687488</v>
      </c>
      <c r="F16" s="0" t="n">
        <f aca="false">-F12</f>
        <v>85.4355562368</v>
      </c>
      <c r="G16" s="0" t="n">
        <f aca="false">-G12</f>
        <v>92.270400735744</v>
      </c>
      <c r="H16" s="0" t="n">
        <f aca="false">-H12</f>
        <v>98.7293287872461</v>
      </c>
      <c r="I16" s="0" t="n">
        <f aca="false">-I12</f>
        <v>104.653088514481</v>
      </c>
      <c r="J16" s="0" t="n">
        <f aca="false">-J12</f>
        <v>109.885742940205</v>
      </c>
      <c r="K16" s="0" t="n">
        <f aca="false">-K12</f>
        <v>114.281172657813</v>
      </c>
      <c r="L16" s="0" t="n">
        <f aca="false">-L12</f>
        <v>118.281013700837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-65.326924</v>
      </c>
      <c r="D17" s="4" t="n">
        <f aca="false">-D6*Assumptions!D32/100</f>
        <v>-75.1259626</v>
      </c>
      <c r="E17" s="4" t="n">
        <f aca="false">-E6*Assumptions!E32/100</f>
        <v>-84.141078112</v>
      </c>
      <c r="F17" s="4" t="n">
        <f aca="false">-F6*Assumptions!F32/100</f>
        <v>-92.5551859232</v>
      </c>
      <c r="G17" s="4" t="n">
        <f aca="false">-G6*Assumptions!G32/100</f>
        <v>-99.959600797056</v>
      </c>
      <c r="H17" s="4" t="n">
        <f aca="false">-H6*Assumptions!H32/100</f>
        <v>-106.95677285285</v>
      </c>
      <c r="I17" s="4" t="n">
        <f aca="false">-I6*Assumptions!I32/100</f>
        <v>-113.374179224021</v>
      </c>
      <c r="J17" s="4" t="n">
        <f aca="false">-J6*Assumptions!J32/100</f>
        <v>-119.042888185222</v>
      </c>
      <c r="K17" s="4" t="n">
        <f aca="false">-K6*Assumptions!K32/100</f>
        <v>-123.804603712631</v>
      </c>
      <c r="L17" s="4" t="n">
        <f aca="false">-L6*Assumptions!L32/100</f>
        <v>-128.137764842573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114.9822</v>
      </c>
      <c r="D18" s="4" t="n">
        <f aca="false">(D6-C6)*Assumptions!$B$37/100</f>
        <v>113.06583</v>
      </c>
      <c r="E18" s="4" t="n">
        <f aca="false">(E6-D6)*Assumptions!$B$37/100</f>
        <v>104.0205636</v>
      </c>
      <c r="F18" s="4" t="n">
        <f aca="false">(F6-E6)*Assumptions!$B$37/100</f>
        <v>97.0858593600001</v>
      </c>
      <c r="G18" s="4" t="n">
        <f aca="false">(G6-F6)*Assumptions!$B$37/100</f>
        <v>85.4355562368</v>
      </c>
      <c r="H18" s="4" t="n">
        <f aca="false">(H6-G6)*Assumptions!$B$37/100</f>
        <v>80.7366006437761</v>
      </c>
      <c r="I18" s="4" t="n">
        <f aca="false">(I6-H6)*Assumptions!$B$37/100</f>
        <v>74.0469965904345</v>
      </c>
      <c r="J18" s="4" t="n">
        <f aca="false">(J6-I6)*Assumptions!$B$37/100</f>
        <v>65.4081803215506</v>
      </c>
      <c r="K18" s="4" t="n">
        <f aca="false">(K6-J6)*Assumptions!$B$37/100</f>
        <v>54.9428714701025</v>
      </c>
      <c r="L18" s="4" t="n">
        <f aca="false">(L6-K6)*Assumptions!$B$37/100</f>
        <v>49.998013037793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1173.2783688</v>
      </c>
      <c r="D19" s="0" t="n">
        <f aca="false">D15+D16+D17+D18</f>
        <v>1348.367811952</v>
      </c>
      <c r="E19" s="0" t="n">
        <f aca="false">E15+E16+E17+E18</f>
        <v>1507.2348508832</v>
      </c>
      <c r="F19" s="0" t="n">
        <f aca="false">F15+F16+F17+F18</f>
        <v>1658.24265884536</v>
      </c>
      <c r="G19" s="0" t="n">
        <f aca="false">G15+G16+G17+G18</f>
        <v>1793.05310585297</v>
      </c>
      <c r="H19" s="0" t="n">
        <f aca="false">H15+H16+H17+H18</f>
        <v>1926.39912788069</v>
      </c>
      <c r="I19" s="0" t="n">
        <f aca="false">I15+I16+I17+I18</f>
        <v>2052.86247858508</v>
      </c>
      <c r="J19" s="0" t="n">
        <f aca="false">J15+J16+J17+J18</f>
        <v>2122.78978824576</v>
      </c>
      <c r="K19" s="0" t="n">
        <f aca="false">K15+K16+K17+K18</f>
        <v>2173.33487530377</v>
      </c>
      <c r="L19" s="0" t="n">
        <f aca="false">L15+L16+L17+L18</f>
        <v>2224.49588241626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1066.61669890909</v>
      </c>
      <c r="D21" s="0" t="n">
        <f aca="false">D19*D20</f>
        <v>1114.35356359669</v>
      </c>
      <c r="E21" s="0" t="n">
        <f aca="false">E19*E20</f>
        <v>1132.40785190323</v>
      </c>
      <c r="F21" s="0" t="n">
        <f aca="false">F19*F20</f>
        <v>1132.60204825173</v>
      </c>
      <c r="G21" s="0" t="n">
        <f aca="false">G19*G20</f>
        <v>1113.34490680155</v>
      </c>
      <c r="H21" s="0" t="n">
        <f aca="false">H19*H20</f>
        <v>1087.40208656698</v>
      </c>
      <c r="I21" s="0" t="n">
        <f aca="false">I19*I20</f>
        <v>1053.44304649714</v>
      </c>
      <c r="J21" s="0" t="n">
        <f aca="false">J19*J20</f>
        <v>990.297102850504</v>
      </c>
      <c r="K21" s="0" t="n">
        <f aca="false">K19*K20</f>
        <v>921.706144542187</v>
      </c>
      <c r="L21" s="0" t="n">
        <f aca="false">L19*L20</f>
        <v>857.639459829211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0.8</v>
      </c>
      <c r="D23" s="4" t="n">
        <f aca="false">Assumptions!D30</f>
        <v>0.75</v>
      </c>
      <c r="E23" s="4" t="n">
        <f aca="false">Assumptions!E30</f>
        <v>0.7</v>
      </c>
      <c r="F23" s="4" t="n">
        <f aca="false">Assumptions!F30</f>
        <v>0.7</v>
      </c>
      <c r="G23" s="4" t="n">
        <f aca="false">Assumptions!G30</f>
        <v>0.65</v>
      </c>
      <c r="H23" s="4" t="n">
        <f aca="false">Assumptions!H30</f>
        <v>0.65</v>
      </c>
      <c r="I23" s="4" t="n">
        <f aca="false">Assumptions!I30</f>
        <v>0.6</v>
      </c>
      <c r="J23" s="4" t="n">
        <f aca="false">Assumptions!J30</f>
        <v>0.6</v>
      </c>
      <c r="K23" s="4" t="n">
        <f aca="false">Assumptions!K30</f>
        <v>0.6</v>
      </c>
      <c r="L23" s="4" t="n">
        <f aca="false">Assumptions!L30</f>
        <v>0.6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-40.201184</v>
      </c>
      <c r="D24" s="0" t="n">
        <f aca="false">-D6*D23/100</f>
        <v>-43.3419015</v>
      </c>
      <c r="E24" s="0" t="n">
        <f aca="false">-E6*E23/100</f>
        <v>-45.306734368</v>
      </c>
      <c r="F24" s="0" t="n">
        <f aca="false">-F6*F23/100</f>
        <v>-49.8374078048</v>
      </c>
      <c r="G24" s="0" t="n">
        <f aca="false">-G6*G23/100</f>
        <v>-49.979800398528</v>
      </c>
      <c r="H24" s="0" t="n">
        <f aca="false">-H6*H23/100</f>
        <v>-53.478386426425</v>
      </c>
      <c r="I24" s="0" t="n">
        <f aca="false">-I6*I23/100</f>
        <v>-52.3265442572404</v>
      </c>
      <c r="J24" s="0" t="n">
        <f aca="false">-J6*J23/100</f>
        <v>-54.9428714701025</v>
      </c>
      <c r="K24" s="0" t="n">
        <f aca="false">-K6*K23/100</f>
        <v>-57.1405863289066</v>
      </c>
      <c r="L24" s="0" t="n">
        <f aca="false">-L6*L23/100</f>
        <v>-59.1405068504183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10469.8129097483</v>
      </c>
    </row>
    <row r="31" customFormat="false" ht="15" hidden="false" customHeight="false" outlineLevel="0" collapsed="false">
      <c r="A31" s="0" t="s">
        <v>127</v>
      </c>
      <c r="B31" s="0" t="n">
        <f aca="false">L19</f>
        <v>2224.49588241626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32731.8679841249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33367.4382362438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32731.8679841249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12619.5520517727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23089.364961521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27543.264961521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7.05625053421643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0.971019702295091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1253.00279461479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1397.93228072198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7.73538795919675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19093.5896574062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4.48588340158395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25</v>
      </c>
      <c r="D5" s="4" t="n">
        <f aca="false">Assumptions!D41</f>
        <v>22</v>
      </c>
      <c r="E5" s="4" t="n">
        <f aca="false">Assumptions!E41</f>
        <v>18</v>
      </c>
      <c r="F5" s="4" t="n">
        <f aca="false">Assumptions!F41</f>
        <v>15</v>
      </c>
      <c r="G5" s="4" t="n">
        <f aca="false">Assumptions!G41</f>
        <v>12</v>
      </c>
      <c r="H5" s="4" t="n">
        <f aca="false">Assumptions!H41</f>
        <v>10</v>
      </c>
      <c r="I5" s="4" t="n">
        <f aca="false">Assumptions!I41</f>
        <v>8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4258.6</v>
      </c>
      <c r="C6" s="0" t="n">
        <f aca="false">B6*(1+C5/100)</f>
        <v>5323.25</v>
      </c>
      <c r="D6" s="0" t="n">
        <f aca="false">C6*(1+D5/100)</f>
        <v>6494.365</v>
      </c>
      <c r="E6" s="0" t="n">
        <f aca="false">D6*(1+E5/100)</f>
        <v>7663.3507</v>
      </c>
      <c r="F6" s="0" t="n">
        <f aca="false">E6*(1+F5/100)</f>
        <v>8812.853305</v>
      </c>
      <c r="G6" s="0" t="n">
        <f aca="false">F6*(1+G5/100)</f>
        <v>9870.3957016</v>
      </c>
      <c r="H6" s="0" t="n">
        <f aca="false">G6*(1+H5/100)</f>
        <v>10857.43527176</v>
      </c>
      <c r="I6" s="0" t="n">
        <f aca="false">H6*(1+I5/100)</f>
        <v>11726.0300935008</v>
      </c>
      <c r="J6" s="0" t="n">
        <f aca="false">I6*(1+J5/100)</f>
        <v>12429.5918991109</v>
      </c>
      <c r="K6" s="0" t="n">
        <f aca="false">J6*(1+K5/100)</f>
        <v>13051.0714940664</v>
      </c>
      <c r="L6" s="0" t="n">
        <f aca="false">K6*(1+L5/100)</f>
        <v>13573.114353829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29</v>
      </c>
      <c r="D7" s="4" t="n">
        <f aca="false">Assumptions!D42</f>
        <v>30.5</v>
      </c>
      <c r="E7" s="4" t="n">
        <f aca="false">Assumptions!E42</f>
        <v>32</v>
      </c>
      <c r="F7" s="4" t="n">
        <f aca="false">Assumptions!F42</f>
        <v>33.5</v>
      </c>
      <c r="G7" s="4" t="n">
        <f aca="false">Assumptions!G42</f>
        <v>35</v>
      </c>
      <c r="H7" s="4" t="n">
        <f aca="false">Assumptions!H42</f>
        <v>36</v>
      </c>
      <c r="I7" s="4" t="n">
        <f aca="false">Assumptions!I42</f>
        <v>37</v>
      </c>
      <c r="J7" s="4" t="n">
        <f aca="false">Assumptions!J42</f>
        <v>37</v>
      </c>
      <c r="K7" s="4" t="n">
        <f aca="false">Assumptions!K42</f>
        <v>37</v>
      </c>
      <c r="L7" s="4" t="n">
        <f aca="false">Assumptions!L42</f>
        <v>37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1543.7425</v>
      </c>
      <c r="D8" s="0" t="n">
        <f aca="false">D6*D7/100</f>
        <v>1980.781325</v>
      </c>
      <c r="E8" s="0" t="n">
        <f aca="false">E6*E7/100</f>
        <v>2452.272224</v>
      </c>
      <c r="F8" s="0" t="n">
        <f aca="false">F6*F7/100</f>
        <v>2952.305857175</v>
      </c>
      <c r="G8" s="0" t="n">
        <f aca="false">G6*G7/100</f>
        <v>3454.63849556</v>
      </c>
      <c r="H8" s="0" t="n">
        <f aca="false">H6*H7/100</f>
        <v>3908.6766978336</v>
      </c>
      <c r="I8" s="0" t="n">
        <f aca="false">I6*I7/100</f>
        <v>4338.6311345953</v>
      </c>
      <c r="J8" s="0" t="n">
        <f aca="false">J6*J7/100</f>
        <v>4598.94900267102</v>
      </c>
      <c r="K8" s="0" t="n">
        <f aca="false">K6*K7/100</f>
        <v>4828.89645280457</v>
      </c>
      <c r="L8" s="0" t="n">
        <f aca="false">L6*L7/100</f>
        <v>5022.05231091675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3</v>
      </c>
      <c r="D9" s="4" t="n">
        <f aca="false">Assumptions!D43</f>
        <v>2.9</v>
      </c>
      <c r="E9" s="4" t="n">
        <f aca="false">Assumptions!E43</f>
        <v>2.8</v>
      </c>
      <c r="F9" s="4" t="n">
        <f aca="false">Assumptions!F43</f>
        <v>2.7</v>
      </c>
      <c r="G9" s="4" t="n">
        <f aca="false">Assumptions!G43</f>
        <v>2.6</v>
      </c>
      <c r="H9" s="4" t="n">
        <f aca="false">Assumptions!H43</f>
        <v>2.5</v>
      </c>
      <c r="I9" s="4" t="n">
        <f aca="false">Assumptions!I43</f>
        <v>2.4</v>
      </c>
      <c r="J9" s="4" t="n">
        <f aca="false">Assumptions!J43</f>
        <v>2.3</v>
      </c>
      <c r="K9" s="4" t="n">
        <f aca="false">Assumptions!K43</f>
        <v>2.2</v>
      </c>
      <c r="L9" s="4" t="n">
        <f aca="false">Assumptions!L43</f>
        <v>2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-159.6975</v>
      </c>
      <c r="D10" s="0" t="n">
        <f aca="false">-D6*D9/100</f>
        <v>-188.336585</v>
      </c>
      <c r="E10" s="0" t="n">
        <f aca="false">-E6*E9/100</f>
        <v>-214.5738196</v>
      </c>
      <c r="F10" s="0" t="n">
        <f aca="false">-F6*F9/100</f>
        <v>-237.947039235</v>
      </c>
      <c r="G10" s="0" t="n">
        <f aca="false">-G6*G9/100</f>
        <v>-256.6302882416</v>
      </c>
      <c r="H10" s="0" t="n">
        <f aca="false">-H6*H9/100</f>
        <v>-271.435881794</v>
      </c>
      <c r="I10" s="0" t="n">
        <f aca="false">-I6*I9/100</f>
        <v>-281.424722244019</v>
      </c>
      <c r="J10" s="0" t="n">
        <f aca="false">-J6*J9/100</f>
        <v>-285.88061367955</v>
      </c>
      <c r="K10" s="0" t="n">
        <f aca="false">-K6*K9/100</f>
        <v>-287.123572869461</v>
      </c>
      <c r="L10" s="0" t="n">
        <f aca="false">-L6*L9/100</f>
        <v>-271.462287076581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1341.459</v>
      </c>
      <c r="D11" s="0" t="n">
        <f aca="false">D8+D10+D24</f>
        <v>1746.984185</v>
      </c>
      <c r="E11" s="0" t="n">
        <f aca="false">E8+E10+E24</f>
        <v>2187.88662485</v>
      </c>
      <c r="F11" s="0" t="n">
        <f aca="false">F8+F10+F24</f>
        <v>2661.48169811</v>
      </c>
      <c r="G11" s="0" t="n">
        <f aca="false">G8+G10+G24</f>
        <v>3143.7210309596</v>
      </c>
      <c r="H11" s="0" t="n">
        <f aca="false">H8+H10+H24</f>
        <v>3582.9536396808</v>
      </c>
      <c r="I11" s="0" t="n">
        <f aca="false">I8+I10+I24</f>
        <v>3998.57626188377</v>
      </c>
      <c r="J11" s="0" t="n">
        <f aca="false">J8+J10+J24</f>
        <v>4250.92042949591</v>
      </c>
      <c r="K11" s="0" t="n">
        <f aca="false">K8+K10+K24</f>
        <v>4476.51752246477</v>
      </c>
      <c r="L11" s="0" t="n">
        <f aca="false">L8+L10+L24</f>
        <v>4682.72445207102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-63.879</v>
      </c>
      <c r="D12" s="4" t="n">
        <f aca="false">-D6*Assumptions!D45/100</f>
        <v>-77.93238</v>
      </c>
      <c r="E12" s="4" t="n">
        <f aca="false">-E6*Assumptions!E45/100</f>
        <v>-91.9602084</v>
      </c>
      <c r="F12" s="4" t="n">
        <f aca="false">-F6*Assumptions!F45/100</f>
        <v>-105.75423966</v>
      </c>
      <c r="G12" s="4" t="n">
        <f aca="false">-G6*Assumptions!G45/100</f>
        <v>-118.4447484192</v>
      </c>
      <c r="H12" s="4" t="n">
        <f aca="false">-H6*Assumptions!H45/100</f>
        <v>-130.28922326112</v>
      </c>
      <c r="I12" s="4" t="n">
        <f aca="false">-I6*Assumptions!I45/100</f>
        <v>-140.71236112201</v>
      </c>
      <c r="J12" s="4" t="n">
        <f aca="false">-J6*Assumptions!J45/100</f>
        <v>-149.15510278933</v>
      </c>
      <c r="K12" s="4" t="n">
        <f aca="false">-K6*Assumptions!K45/100</f>
        <v>-156.612857928797</v>
      </c>
      <c r="L12" s="4" t="n">
        <f aca="false">-L6*Assumptions!L45/100</f>
        <v>-162.877372245949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1277.58</v>
      </c>
      <c r="D13" s="0" t="n">
        <f aca="false">D11+D12</f>
        <v>1669.051805</v>
      </c>
      <c r="E13" s="0" t="n">
        <f aca="false">E11+E12</f>
        <v>2095.92641645</v>
      </c>
      <c r="F13" s="0" t="n">
        <f aca="false">F11+F12</f>
        <v>2555.72745845</v>
      </c>
      <c r="G13" s="0" t="n">
        <f aca="false">G11+G12</f>
        <v>3025.2762825404</v>
      </c>
      <c r="H13" s="0" t="n">
        <f aca="false">H11+H12</f>
        <v>3452.66441641968</v>
      </c>
      <c r="I13" s="0" t="n">
        <f aca="false">I11+I12</f>
        <v>3857.86390076176</v>
      </c>
      <c r="J13" s="0" t="n">
        <f aca="false">J11+J12</f>
        <v>4101.76532670658</v>
      </c>
      <c r="K13" s="0" t="n">
        <f aca="false">K11+K12</f>
        <v>4319.90466453598</v>
      </c>
      <c r="L13" s="0" t="n">
        <f aca="false">L11+L12</f>
        <v>4519.84707982507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8</v>
      </c>
      <c r="D14" s="4" t="n">
        <f aca="false">Assumptions!D47</f>
        <v>9</v>
      </c>
      <c r="E14" s="4" t="n">
        <f aca="false">Assumptions!E47</f>
        <v>10</v>
      </c>
      <c r="F14" s="4" t="n">
        <f aca="false">Assumptions!F47</f>
        <v>11</v>
      </c>
      <c r="G14" s="4" t="n">
        <f aca="false">Assumptions!G47</f>
        <v>12</v>
      </c>
      <c r="H14" s="4" t="n">
        <f aca="false">Assumptions!H47</f>
        <v>13</v>
      </c>
      <c r="I14" s="4" t="n">
        <f aca="false">Assumptions!I47</f>
        <v>14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1175.3736</v>
      </c>
      <c r="D15" s="0" t="n">
        <f aca="false">D13-MAX(0,D13)*D14/100</f>
        <v>1518.83714255</v>
      </c>
      <c r="E15" s="0" t="n">
        <f aca="false">E13-MAX(0,E13)*E14/100</f>
        <v>1886.333774805</v>
      </c>
      <c r="F15" s="0" t="n">
        <f aca="false">F13-MAX(0,F13)*F14/100</f>
        <v>2274.5974380205</v>
      </c>
      <c r="G15" s="0" t="n">
        <f aca="false">G13-MAX(0,G13)*G14/100</f>
        <v>2662.24312863555</v>
      </c>
      <c r="H15" s="0" t="n">
        <f aca="false">H13-MAX(0,H13)*H14/100</f>
        <v>3003.81804228512</v>
      </c>
      <c r="I15" s="0" t="n">
        <f aca="false">I13-MAX(0,I13)*I14/100</f>
        <v>3317.76295465512</v>
      </c>
      <c r="J15" s="0" t="n">
        <f aca="false">J13-MAX(0,J13)*J14/100</f>
        <v>3486.50052770059</v>
      </c>
      <c r="K15" s="0" t="n">
        <f aca="false">K13-MAX(0,K13)*K14/100</f>
        <v>3671.91896485558</v>
      </c>
      <c r="L15" s="0" t="n">
        <f aca="false">L13-MAX(0,L13)*L14/100</f>
        <v>3841.87001785131</v>
      </c>
    </row>
    <row r="16" customFormat="false" ht="15" hidden="false" customHeight="false" outlineLevel="0" collapsed="false">
      <c r="A16" s="0" t="s">
        <v>118</v>
      </c>
      <c r="C16" s="0" t="n">
        <f aca="false">-C12</f>
        <v>63.879</v>
      </c>
      <c r="D16" s="0" t="n">
        <f aca="false">-D12</f>
        <v>77.93238</v>
      </c>
      <c r="E16" s="0" t="n">
        <f aca="false">-E12</f>
        <v>91.9602084</v>
      </c>
      <c r="F16" s="0" t="n">
        <f aca="false">-F12</f>
        <v>105.75423966</v>
      </c>
      <c r="G16" s="0" t="n">
        <f aca="false">-G12</f>
        <v>118.4447484192</v>
      </c>
      <c r="H16" s="0" t="n">
        <f aca="false">-H12</f>
        <v>130.28922326112</v>
      </c>
      <c r="I16" s="0" t="n">
        <f aca="false">-I12</f>
        <v>140.71236112201</v>
      </c>
      <c r="J16" s="0" t="n">
        <f aca="false">-J12</f>
        <v>149.15510278933</v>
      </c>
      <c r="K16" s="0" t="n">
        <f aca="false">-K12</f>
        <v>156.612857928797</v>
      </c>
      <c r="L16" s="0" t="n">
        <f aca="false">-L12</f>
        <v>162.877372245949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-69.20225</v>
      </c>
      <c r="D17" s="4" t="n">
        <f aca="false">-D6*Assumptions!D46/100</f>
        <v>-84.426745</v>
      </c>
      <c r="E17" s="4" t="n">
        <f aca="false">-E6*Assumptions!E46/100</f>
        <v>-99.6235591</v>
      </c>
      <c r="F17" s="4" t="n">
        <f aca="false">-F6*Assumptions!F46/100</f>
        <v>-114.567092965</v>
      </c>
      <c r="G17" s="4" t="n">
        <f aca="false">-G6*Assumptions!G46/100</f>
        <v>-128.3151441208</v>
      </c>
      <c r="H17" s="4" t="n">
        <f aca="false">-H6*Assumptions!H46/100</f>
        <v>-141.14665853288</v>
      </c>
      <c r="I17" s="4" t="n">
        <f aca="false">-I6*Assumptions!I46/100</f>
        <v>-152.43839121551</v>
      </c>
      <c r="J17" s="4" t="n">
        <f aca="false">-J6*Assumptions!J46/100</f>
        <v>-161.584694688441</v>
      </c>
      <c r="K17" s="4" t="n">
        <f aca="false">-K6*Assumptions!K46/100</f>
        <v>-169.663929422863</v>
      </c>
      <c r="L17" s="4" t="n">
        <f aca="false">-L6*Assumptions!L46/100</f>
        <v>-176.450486599778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159.6975</v>
      </c>
      <c r="D18" s="4" t="n">
        <f aca="false">(D6-C6)*Assumptions!$B$51/100</f>
        <v>175.66725</v>
      </c>
      <c r="E18" s="4" t="n">
        <f aca="false">(E6-D6)*Assumptions!$B$51/100</f>
        <v>175.347855</v>
      </c>
      <c r="F18" s="4" t="n">
        <f aca="false">(F6-E6)*Assumptions!$B$51/100</f>
        <v>172.42539075</v>
      </c>
      <c r="G18" s="4" t="n">
        <f aca="false">(G6-F6)*Assumptions!$B$51/100</f>
        <v>158.63135949</v>
      </c>
      <c r="H18" s="4" t="n">
        <f aca="false">(H6-G6)*Assumptions!$B$51/100</f>
        <v>148.055935524</v>
      </c>
      <c r="I18" s="4" t="n">
        <f aca="false">(I6-H6)*Assumptions!$B$51/100</f>
        <v>130.28922326112</v>
      </c>
      <c r="J18" s="4" t="n">
        <f aca="false">(J6-I6)*Assumptions!$B$51/100</f>
        <v>105.534270841507</v>
      </c>
      <c r="K18" s="4" t="n">
        <f aca="false">(K6-J6)*Assumptions!$B$51/100</f>
        <v>93.2219392433314</v>
      </c>
      <c r="L18" s="4" t="n">
        <f aca="false">(L6-K6)*Assumptions!$B$51/100</f>
        <v>78.3064289643984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1329.74785</v>
      </c>
      <c r="D19" s="0" t="n">
        <f aca="false">D15+D16+D17+D18</f>
        <v>1688.01002755</v>
      </c>
      <c r="E19" s="0" t="n">
        <f aca="false">E15+E16+E17+E18</f>
        <v>2054.018279105</v>
      </c>
      <c r="F19" s="0" t="n">
        <f aca="false">F15+F16+F17+F18</f>
        <v>2438.2099754655</v>
      </c>
      <c r="G19" s="0" t="n">
        <f aca="false">G15+G16+G17+G18</f>
        <v>2811.00409242395</v>
      </c>
      <c r="H19" s="0" t="n">
        <f aca="false">H15+H16+H17+H18</f>
        <v>3141.01654253736</v>
      </c>
      <c r="I19" s="0" t="n">
        <f aca="false">I15+I16+I17+I18</f>
        <v>3436.32614782274</v>
      </c>
      <c r="J19" s="0" t="n">
        <f aca="false">J15+J16+J17+J18</f>
        <v>3579.60520664299</v>
      </c>
      <c r="K19" s="0" t="n">
        <f aca="false">K15+K16+K17+K18</f>
        <v>3752.08983260484</v>
      </c>
      <c r="L19" s="0" t="n">
        <f aca="false">L15+L16+L17+L18</f>
        <v>3906.60333246188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1208.86168181818</v>
      </c>
      <c r="D21" s="0" t="n">
        <f aca="false">D19*D20</f>
        <v>1395.04960954545</v>
      </c>
      <c r="E21" s="0" t="n">
        <f aca="false">E19*E20</f>
        <v>1543.21433441397</v>
      </c>
      <c r="F21" s="0" t="n">
        <f aca="false">F19*F20</f>
        <v>1665.33022024827</v>
      </c>
      <c r="G21" s="0" t="n">
        <f aca="false">G19*G20</f>
        <v>1745.41238019258</v>
      </c>
      <c r="H21" s="0" t="n">
        <f aca="false">H19*H20</f>
        <v>1773.02195212999</v>
      </c>
      <c r="I21" s="0" t="n">
        <f aca="false">I19*I20</f>
        <v>1763.37865964369</v>
      </c>
      <c r="J21" s="0" t="n">
        <f aca="false">J19*J20</f>
        <v>1669.91224713614</v>
      </c>
      <c r="K21" s="0" t="n">
        <f aca="false">K19*K20</f>
        <v>1591.25236192733</v>
      </c>
      <c r="L21" s="0" t="n">
        <f aca="false">L19*L20</f>
        <v>1506.16469929372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0.8</v>
      </c>
      <c r="D23" s="4" t="n">
        <f aca="false">Assumptions!D44</f>
        <v>0.7</v>
      </c>
      <c r="E23" s="4" t="n">
        <f aca="false">Assumptions!E44</f>
        <v>0.65</v>
      </c>
      <c r="F23" s="4" t="n">
        <f aca="false">Assumptions!F44</f>
        <v>0.6</v>
      </c>
      <c r="G23" s="4" t="n">
        <f aca="false">Assumptions!G44</f>
        <v>0.55</v>
      </c>
      <c r="H23" s="4" t="n">
        <f aca="false">Assumptions!H44</f>
        <v>0.5</v>
      </c>
      <c r="I23" s="4" t="n">
        <f aca="false">Assumptions!I44</f>
        <v>0.5</v>
      </c>
      <c r="J23" s="4" t="n">
        <f aca="false">Assumptions!J44</f>
        <v>0.5</v>
      </c>
      <c r="K23" s="4" t="n">
        <f aca="false">Assumptions!K44</f>
        <v>0.5</v>
      </c>
      <c r="L23" s="4" t="n">
        <f aca="false">Assumptions!L44</f>
        <v>0.5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-42.586</v>
      </c>
      <c r="D24" s="0" t="n">
        <f aca="false">-D6*D23/100</f>
        <v>-45.460555</v>
      </c>
      <c r="E24" s="0" t="n">
        <f aca="false">-E6*E23/100</f>
        <v>-49.81177955</v>
      </c>
      <c r="F24" s="0" t="n">
        <f aca="false">-F6*F23/100</f>
        <v>-52.87711983</v>
      </c>
      <c r="G24" s="0" t="n">
        <f aca="false">-G6*G23/100</f>
        <v>-54.2871763588</v>
      </c>
      <c r="H24" s="0" t="n">
        <f aca="false">-H6*H23/100</f>
        <v>-54.2871763588</v>
      </c>
      <c r="I24" s="0" t="n">
        <f aca="false">-I6*I23/100</f>
        <v>-58.630150467504</v>
      </c>
      <c r="J24" s="0" t="n">
        <f aca="false">-J6*J23/100</f>
        <v>-62.1479594955543</v>
      </c>
      <c r="K24" s="0" t="n">
        <f aca="false">-K6*K23/100</f>
        <v>-65.255357470332</v>
      </c>
      <c r="L24" s="0" t="n">
        <f aca="false">-L6*L23/100</f>
        <v>-67.8655717691453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15861.5981463493</v>
      </c>
    </row>
    <row r="31" customFormat="false" ht="15" hidden="false" customHeight="false" outlineLevel="0" collapsed="false">
      <c r="A31" s="0" t="s">
        <v>127</v>
      </c>
      <c r="B31" s="0" t="n">
        <f aca="false">L19</f>
        <v>3906.60333246188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62205.1453707392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70318.8599843139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62205.1453707392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23982.776365677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39844.3745120263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44298.2745120263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11.348680834572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2.17002257948938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1441.33851236047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1666.51660499406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12.1448756343801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35159.4299921569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6.55119152161885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2.58739258554996</v>
      </c>
      <c r="C4" s="0" t="n">
        <f aca="false">B4/Assumptions!$B$2-1</f>
        <v>-0.277264640907833</v>
      </c>
      <c r="D4" s="4" t="n">
        <f aca="false">Assumptions!$B$24</f>
        <v>0.25</v>
      </c>
      <c r="E4" s="4" t="n">
        <f aca="false">DCF_Bear!$B$43</f>
        <v>2.98547855632284</v>
      </c>
      <c r="F4" s="4" t="n">
        <f aca="false">DCF_Bear!$B$47</f>
        <v>2.13603564407511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7.05625053421643</v>
      </c>
      <c r="C5" s="0" t="n">
        <f aca="false">B5/Assumptions!$B$2-1</f>
        <v>0.971019702295091</v>
      </c>
      <c r="D5" s="4" t="n">
        <f aca="false">Assumptions!$B$38</f>
        <v>0.5</v>
      </c>
      <c r="E5" s="4" t="n">
        <f aca="false">DCF_Base!$B$43</f>
        <v>7.73538795919675</v>
      </c>
      <c r="F5" s="4" t="n">
        <f aca="false">DCF_Base!$B$47</f>
        <v>4.48588340158395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11.348680834572</v>
      </c>
      <c r="C6" s="0" t="n">
        <f aca="false">B6/Assumptions!$B$2-1</f>
        <v>2.17002257948938</v>
      </c>
      <c r="D6" s="4" t="n">
        <f aca="false">Assumptions!$B$52</f>
        <v>0.25</v>
      </c>
      <c r="E6" s="4" t="n">
        <f aca="false">DCF_Bull!$B$43</f>
        <v>12.1448756343801</v>
      </c>
      <c r="F6" s="4" t="n">
        <f aca="false">DCF_Bull!$B$47</f>
        <v>6.55119152161885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7.0121436221387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7.65028252727411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0.489457119974376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-537.836448227585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4.41474849221547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7.5681058599939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7.05625053421643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6.28258823698742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5.68204251443673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4.48588340158395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8.06063636255214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8.06063636255214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8.06063636255214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8.06063636255214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8.06063636255214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7.46493705178237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7.5681058599939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7.5681058599939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7.5681058599939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7.5681058599939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6.6246639016207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6.82607099683204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7.05625053421643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7.11902677168489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7.11902677168489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5.97316646217698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6.1187767091466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6.28258823698742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6.46824130187369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6.68041623317228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5.45370069095326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5.56186260734016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5.68204251443673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5.81636123413289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5.96746979379107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2026-10-16T10:00:57Z</dcterms:created>
  <dc:creator>openpyxl</dc:creator>
  <dc:description/>
  <dc:language>en-NZ</dc:language>
  <cp:lastModifiedBy/>
  <dcterms:modified xsi:type="dcterms:W3CDTF">2026-10-16T10:00:57Z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