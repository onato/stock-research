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<sst xmlns="http://schemas.openxmlformats.org/spreadsheetml/2006/main" count="362" uniqueCount="167">
  <si>
    <t xml:space="preserve">Ticker</t>
  </si>
  <si>
    <t xml:space="preserve">3101.T</t>
  </si>
  <si>
    <t xml:space="preserve">Company</t>
  </si>
  <si>
    <t xml:space="preserve">TOYOBO Co., Ltd.</t>
  </si>
  <si>
    <t xml:space="preserve">Valuation date</t>
  </si>
  <si>
    <t xml:space="preserve">2026-10-26</t>
  </si>
  <si>
    <t xml:space="preserve">Current price</t>
  </si>
  <si>
    <t xml:space="preserve">Price as of</t>
  </si>
  <si>
    <t xml:space="preserve">2026-10-26T06:30:00Z (TSE regular close, 15:30 JST)</t>
  </si>
  <si>
    <t xml:space="preserve">Balance sheet date</t>
  </si>
  <si>
    <t xml:space="preserve">2026-06-30</t>
  </si>
  <si>
    <t xml:space="preserve">Model</t>
  </si>
  <si>
    <t xml:space="preserve">owner_fcf_dcf_component</t>
  </si>
  <si>
    <t xml:space="preserve">Currency (model)</t>
  </si>
  <si>
    <t xml:space="preserve">JPY</t>
  </si>
  <si>
    <t xml:space="preserve">Currency (quote)</t>
  </si>
  <si>
    <t xml:space="preserve">Units</t>
  </si>
  <si>
    <t xml:space="preserve">millions</t>
  </si>
  <si>
    <t xml:space="preserve">Engine</t>
  </si>
  <si>
    <t xml:space="preserve">dcf_engine v1</t>
  </si>
  <si>
    <t xml:space="preserve">Built at</t>
  </si>
  <si>
    <t xml:space="preserve">2026-10-26T06:54:27Z</t>
  </si>
  <si>
    <t xml:space="preserve">Drivers file</t>
  </si>
  <si>
    <t xml:space="preserve">3101.T_Drivers.json</t>
  </si>
  <si>
    <t xml:space="preserve">Convention</t>
  </si>
  <si>
    <t xml:space="preserve">Percents stored as percents; formulas divide by 100. Blue = input, green = link, black = formula.</t>
  </si>
  <si>
    <t xml:space="preserve">Methodology</t>
  </si>
  <si>
    <t xml:space="preserve">summary: An unlevered owner-FCF DCF in JPY on a diversified Japanese materials manufacturer whose returns on capital have sat at or below its cost of capital for a decade (ROIC 3.8% FY2026, P/B persistently &lt;1.0x) and whose balance sheet carries 4.4x ND/EBITDA plus a large JV minority. The flows start from FY2027 guidance rather than the FY2026 Films peak, risk is charged once in the scenarios and weights, and NCI, finance leases and the securities portfolio each enter the bridge exactly once. Because interest-bearing debt and the Mitsubishi minority together exceed JPY260bn against an enterprise value in the 250-350bn range, the equity is a thin residual and per-share value is extremely sensitive to the terminal margin and exit multiple: the stock trades as a P/E and P/B instrument on recovery earnings, not as an FCF compounder.
key_risks_to_valuation: Terminal EBITDA margin: each 1pp of terminal margin is worth roughly JPY400-500/share because equity is a thin residual over 260bn of debt-like claims; Capex intensity: the 2030 plan's shift of capital toward Priority businesses may hold capex at the FY2022-25 pace (~10% of revenue) rather than 7%, which would erase base-case FCF; Films-segment cyclicality (MLCC release film, polarizer protective film) -- FY2026 OP +140% in that segment is the single source of the FY2026 recovery; Middle East conflict exposure (desalination membranes, Gulf textiles) that management explicitly excluded from its plan assumptions; Rising JPY interest rates on ~255bn of borrowings, including the 2024 subordinated instrument; interest paid already rose 1,330 -&gt; 2,878 in two years; NCI valued at book (37.3bn); the Toyobo MC JV's economic value to Mitsubishi could be higher, which would reduce the parent's share further; Discount rate: at a mechanical levered WACC (~4.5%) the value would be much higher; at the house 9% JPY keiretsu rate the equity is worthless -- the 6% unlevered rate is a judgment</t>
  </si>
  <si>
    <t xml:space="preserve">Data sources</t>
  </si>
  <si>
    <t xml:space="preserve">price: Yahoo Finance chart API (query1.finance.yahoo.com/v8/finance/chart/3101.T) via make dcf-context, regular close at inputs.price_as_of; 52-week range 1,114-1,945
financials: research/3101.T/Reports/3101.T_Metrics.csv (metrics_normalized, JPY millions); FY2026 tanshin (3101.T_Annual_FY2026.txt) income statement :455-505, cash flows :720-810, segment table :915-960; FY2026 yuho (3101.T_Securities_FY2026.txt) lease table :2701, investment securities :5969, deferred tax :7114-7190, treasury shares :3283; Q1 FY2027 tanshin (3101.T_Quarterly_Q1-FY2027.txt) balance sheet :286-362
qualitative: research/3101.T/Reports/3101.T_Analysis.json (2026-10-26): FY2027 guidance of 2026-08-06, 2030 Medium-Term Management Plan targets, segment commentary, bull/bear points</t>
  </si>
  <si>
    <t xml:space="preserve">Scenario narrative: bear</t>
  </si>
  <si>
    <t xml:space="preserve">FY2026 proves to be a cyclical Films peak: MLCC and polarizer-film demand normalises, the Middle East conflict escalates (desalination membrane and traditional Arabic fabric sales, logistics costs), Chinese diagnostics competition keeps Life Science at a loss, and the 'businesses requiring improvement' (textiles, airbag fabrics, pharma CMO, packaging film) stay sub-scale. EBITDA margin settles at 10.5%, revenue stagnates for two years, and with 4.4x ND/EBITDA most of the enterprise value belongs to lenders and the Mitsubishi minority. Watch for the TV floor: the bear scenario is where the leverage shows.</t>
  </si>
  <si>
    <t xml:space="preserve">Scenario narrative: base</t>
  </si>
  <si>
    <t xml:space="preserve">FY2027 lands near guidance (revenue 435bn, OP ~23bn) as the Films segment gives back part of its FY2026 jump and Middle East disruption weighs on membranes and Gulf textiles; thereafter revenue compounds ~3% and the EBITDA margin rebuilds to ~12.3% by FY2032 as Priority-business capital (industrial film, engineering plastics, electronics materials) rises from 27% to 50%+ of capital employed. The 2030 plan's 9% operating margin is NOT reached; ROIC stays near 5-6%, roughly the cost of capital, which is why the equity value sits at a fraction of book. Capex stays above D&amp;A through the plan period and the cash tax rate normalises to 30.6% as loss carry-forwards are consumed.</t>
  </si>
  <si>
    <t xml:space="preserve">Scenario narrative: bull</t>
  </si>
  <si>
    <t xml:space="preserve">The MLCC release-film / AI-server capacitor cycle and polarizer protective film keep Films at FY2026 profitability or better, engineering plastics and VYLON adhesives grow through the Toyobo MC JV, Life Science recovers as new plants ramp, and the 2030 plan is delivered on time: revenue ~500bn and EBITDA ~76bn (15%) by FY2031 with Net Debt/EBITDA back below 4.0x. Even here the value is capped by the ~7.5% plan-period capex and a 16x FCF exit.</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</si>
  <si>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</si>
  <si>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</si>
  <si>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</si>
  <si>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</si>
  <si>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</si>
  <si>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</si>
  <si>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</si>
  <si>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</si>
  <si>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</si>
  <si>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</si>
  <si>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</si>
  <si>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</si>
  <si>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</si>
  <si>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</si>
  <si>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</si>
  <si>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</si>
  <si>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</si>
  <si>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</si>
  <si>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</si>
  <si>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</si>
  <si>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</si>
  <si>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</si>
  <si>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</si>
  <si>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</si>
  <si>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</si>
  <si>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</si>
  <si>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</si>
  <si>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BookValuePerShare</t>
  </si>
  <si>
    <t xml:space="preserve">NetAssets</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</si>
  <si>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</si>
  <si>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</si>
  <si>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</si>
  <si>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</si>
  <si>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</si>
  <si>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</si>
  <si>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</si>
  <si>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</si>
  <si>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</si>
  <si>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</si>
  <si>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</si>
  <si>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</si>
  <si>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</si>
  <si>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</si>
  <si>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</si>
  <si>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</si>
  <si>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</si>
  <si>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</si>
  <si>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</si>
  <si>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</si>
  <si>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JPY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</si>
  <si>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</si>
  <si>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</si>
  <si>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</si>
  <si>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</si>
  <si>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</si>
  <si>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</si>
  <si>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</si>
  <si>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</si>
  <si>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</si>
  <si>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</si>
  <si>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</si>
  <si>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</si>
  <si>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</si>
  <si>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</si>
  <si>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</si>
  <si>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</si>
  <si>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</si>
  <si>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</si>
  <si>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</si>
  <si>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</si>
  <si>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</si>
  <si>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</si>
  <si>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</si>
  <si>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</si>
  <si>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</si>
  <si>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</si>
  <si>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3101.T owner-FCF component DCF: bear case (millions, JPY)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</si>
  <si>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</si>
  <si>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</si>
  <si>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</si>
  <si>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</si>
  <si>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</si>
  <si>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</si>
  <si>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</si>
  <si>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</si>
  <si>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</si>
  <si>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</si>
  <si>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</si>
  <si>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</si>
  <si>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</si>
  <si>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</si>
  <si>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</si>
  <si>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</si>
  <si>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</si>
  <si>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</si>
  <si>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</si>
  <si>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</si>
  <si>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</si>
  <si>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</si>
  <si>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</si>
  <si>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</si>
  <si>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</si>
  <si>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</si>
  <si>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</si>
  <si>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</si>
  <si>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</si>
  <si>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</si>
  <si>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3101.T owner-FCF component DCF: base case (millions, JPY)</t>
  </si>
  <si>
    <t xml:space="preserve">3101.T owner-FCF component DCF: bull case (millions, JPY)</t>
  </si>
  <si>
    <t xml:space="preserve">3101.T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</si>
  <si>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</si>
  <si>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</si>
  <si>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</si>
  <si>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</si>
  <si>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</si>
  <si>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</si>
  <si>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</si>
  <si>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</si>
  <si>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</si>
  <si>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</si>
  <si>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</si>
  <si>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</si>
  <si>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</si>
  <si>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</si>
  <si>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6%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</si>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</sst>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1524</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row>
    <row r="2" customFormat="false" ht="15" hidden="false" customHeight="false" outlineLevel="0" collapsed="false">
      <c r="A2" s="0" t="s">
        <v>65</v>
      </c>
      <c r="B2" s="0" t="n">
        <v>329487</v>
      </c>
      <c r="C2" s="0" t="n">
        <v>249940</v>
      </c>
      <c r="D2" s="0" t="n">
        <v>79547</v>
      </c>
      <c r="E2" s="0" t="n">
        <v>24.1</v>
      </c>
      <c r="F2" s="0" t="n">
        <v>23332</v>
      </c>
      <c r="G2" s="0" t="n">
        <v>7.1</v>
      </c>
      <c r="H2" s="0" t="n">
        <v>38271</v>
      </c>
      <c r="I2" s="0" t="n">
        <v>9444</v>
      </c>
      <c r="J2" s="0" t="n">
        <v>2.9</v>
      </c>
      <c r="K2" s="0" t="n">
        <v>106.4</v>
      </c>
      <c r="L2" s="0" t="n">
        <v>26872</v>
      </c>
      <c r="M2" s="0" t="n">
        <v>17152</v>
      </c>
      <c r="N2" s="0" t="n">
        <v>9720</v>
      </c>
      <c r="O2" s="0" t="n">
        <v>167773</v>
      </c>
      <c r="P2" s="0" t="n">
        <v>450790</v>
      </c>
      <c r="Q2" s="0" t="n">
        <v>279880</v>
      </c>
      <c r="R2" s="0" t="n">
        <v>168345</v>
      </c>
      <c r="S2" s="0" t="n">
        <v>32329</v>
      </c>
      <c r="T2" s="0" t="n">
        <v>88.779</v>
      </c>
      <c r="AA2" s="0" t="s">
        <v>17</v>
      </c>
      <c r="AB2" s="0" t="s">
        <v>14</v>
      </c>
      <c r="AC2" s="0" t="n">
        <v>1889.78</v>
      </c>
      <c r="AD2" s="0" t="n">
        <v>170910</v>
      </c>
    </row>
    <row r="3" customFormat="false" ht="15" hidden="false" customHeight="false" outlineLevel="0" collapsed="false">
      <c r="A3" s="0" t="s">
        <v>66</v>
      </c>
      <c r="B3" s="0" t="n">
        <v>331148</v>
      </c>
      <c r="C3" s="0" t="n">
        <v>250042</v>
      </c>
      <c r="D3" s="0" t="n">
        <v>81106</v>
      </c>
      <c r="E3" s="0" t="n">
        <v>24.5</v>
      </c>
      <c r="F3" s="0" t="n">
        <v>23923</v>
      </c>
      <c r="G3" s="0" t="n">
        <v>7.2</v>
      </c>
      <c r="H3" s="0" t="n">
        <v>39589</v>
      </c>
      <c r="I3" s="0" t="n">
        <v>13044</v>
      </c>
      <c r="J3" s="0" t="n">
        <v>3.9</v>
      </c>
      <c r="K3" s="0" t="n">
        <v>146.93</v>
      </c>
      <c r="L3" s="0" t="n">
        <v>22353</v>
      </c>
      <c r="M3" s="0" t="n">
        <v>20694</v>
      </c>
      <c r="N3" s="0" t="n">
        <v>1659</v>
      </c>
      <c r="O3" s="0" t="n">
        <v>180561</v>
      </c>
      <c r="P3" s="0" t="n">
        <v>446156</v>
      </c>
      <c r="Q3" s="0" t="n">
        <v>261642</v>
      </c>
      <c r="R3" s="0" t="n">
        <v>144832</v>
      </c>
      <c r="S3" s="0" t="n">
        <v>26006</v>
      </c>
      <c r="T3" s="0" t="n">
        <v>88.775</v>
      </c>
      <c r="AA3" s="0" t="s">
        <v>17</v>
      </c>
      <c r="AB3" s="0" t="s">
        <v>14</v>
      </c>
      <c r="AC3" s="0" t="n">
        <v>2033.92</v>
      </c>
      <c r="AD3" s="0" t="n">
        <v>184515</v>
      </c>
    </row>
    <row r="4" customFormat="false" ht="15" hidden="false" customHeight="false" outlineLevel="0" collapsed="false">
      <c r="A4" s="0" t="s">
        <v>67</v>
      </c>
      <c r="B4" s="0" t="n">
        <v>336698</v>
      </c>
      <c r="C4" s="0" t="n">
        <v>255634</v>
      </c>
      <c r="D4" s="0" t="n">
        <v>81064</v>
      </c>
      <c r="E4" s="0" t="n">
        <v>24.1</v>
      </c>
      <c r="F4" s="0" t="n">
        <v>21727</v>
      </c>
      <c r="G4" s="0" t="n">
        <v>6.5</v>
      </c>
      <c r="H4" s="0" t="n">
        <v>37550</v>
      </c>
      <c r="I4" s="0" t="n">
        <v>-603</v>
      </c>
      <c r="J4" s="0" t="n">
        <v>-0.2</v>
      </c>
      <c r="K4" s="0" t="n">
        <v>-6.8</v>
      </c>
      <c r="L4" s="0" t="n">
        <v>7838</v>
      </c>
      <c r="M4" s="0" t="n">
        <v>24235</v>
      </c>
      <c r="N4" s="0" t="n">
        <v>-16397</v>
      </c>
      <c r="O4" s="0" t="n">
        <v>176585</v>
      </c>
      <c r="P4" s="0" t="n">
        <v>461047</v>
      </c>
      <c r="Q4" s="0" t="n">
        <v>279821</v>
      </c>
      <c r="R4" s="0" t="n">
        <v>163324</v>
      </c>
      <c r="S4" s="0" t="n">
        <v>22318</v>
      </c>
      <c r="T4" s="0" t="n">
        <v>88.768</v>
      </c>
      <c r="AA4" s="0" t="s">
        <v>17</v>
      </c>
      <c r="AB4" s="0" t="s">
        <v>14</v>
      </c>
      <c r="AC4" s="0" t="n">
        <v>1989.29</v>
      </c>
      <c r="AD4" s="0" t="n">
        <v>181226</v>
      </c>
    </row>
    <row r="5" customFormat="false" ht="15" hidden="false" customHeight="false" outlineLevel="0" collapsed="false">
      <c r="A5" s="0" t="s">
        <v>68</v>
      </c>
      <c r="B5" s="0" t="n">
        <v>339607</v>
      </c>
      <c r="C5" s="0" t="n">
        <v>255140</v>
      </c>
      <c r="D5" s="0" t="n">
        <v>84467</v>
      </c>
      <c r="E5" s="0" t="n">
        <v>24.9</v>
      </c>
      <c r="F5" s="0" t="n">
        <v>22794</v>
      </c>
      <c r="G5" s="0" t="n">
        <v>6.7</v>
      </c>
      <c r="H5" s="0" t="n">
        <v>39799</v>
      </c>
      <c r="I5" s="0" t="n">
        <v>13774</v>
      </c>
      <c r="J5" s="0" t="n">
        <v>4.1</v>
      </c>
      <c r="K5" s="0" t="n">
        <v>155.12</v>
      </c>
      <c r="L5" s="0" t="n">
        <v>44255</v>
      </c>
      <c r="M5" s="0" t="n">
        <v>30858</v>
      </c>
      <c r="N5" s="0" t="n">
        <v>13397</v>
      </c>
      <c r="O5" s="0" t="n">
        <v>177890</v>
      </c>
      <c r="P5" s="0" t="n">
        <v>488874</v>
      </c>
      <c r="Q5" s="0" t="n">
        <v>306238</v>
      </c>
      <c r="R5" s="0" t="n">
        <v>171388</v>
      </c>
      <c r="S5" s="0" t="n">
        <v>25247</v>
      </c>
      <c r="T5" s="0" t="n">
        <v>88.795</v>
      </c>
      <c r="AA5" s="0" t="s">
        <v>17</v>
      </c>
      <c r="AB5" s="0" t="s">
        <v>14</v>
      </c>
      <c r="AC5" s="0" t="n">
        <v>2003.38</v>
      </c>
      <c r="AD5" s="0" t="n">
        <v>182636</v>
      </c>
    </row>
    <row r="6" customFormat="false" ht="15" hidden="false" customHeight="false" outlineLevel="0" collapsed="false">
      <c r="A6" s="0" t="s">
        <v>69</v>
      </c>
      <c r="B6" s="0" t="n">
        <v>337406</v>
      </c>
      <c r="C6" s="0" t="n">
        <v>247032</v>
      </c>
      <c r="D6" s="0" t="n">
        <v>90375</v>
      </c>
      <c r="E6" s="0" t="n">
        <v>26.8</v>
      </c>
      <c r="F6" s="0" t="n">
        <v>26657</v>
      </c>
      <c r="G6" s="0" t="n">
        <v>7.9</v>
      </c>
      <c r="H6" s="0" t="n">
        <v>45752</v>
      </c>
      <c r="I6" s="0" t="n">
        <v>4202</v>
      </c>
      <c r="J6" s="0" t="n">
        <v>1.2</v>
      </c>
      <c r="K6" s="0" t="n">
        <v>47.3</v>
      </c>
      <c r="L6" s="0" t="n">
        <v>35028</v>
      </c>
      <c r="M6" s="0" t="n">
        <v>27495</v>
      </c>
      <c r="N6" s="0" t="n">
        <v>7533</v>
      </c>
      <c r="O6" s="0" t="n">
        <v>185729</v>
      </c>
      <c r="P6" s="0" t="n">
        <v>491188</v>
      </c>
      <c r="Q6" s="0" t="n">
        <v>302553</v>
      </c>
      <c r="R6" s="0" t="n">
        <v>182920</v>
      </c>
      <c r="S6" s="0" t="n">
        <v>34695</v>
      </c>
      <c r="T6" s="0" t="n">
        <v>88.834</v>
      </c>
      <c r="AA6" s="0" t="s">
        <v>17</v>
      </c>
      <c r="AB6" s="0" t="s">
        <v>14</v>
      </c>
      <c r="AC6" s="0" t="n">
        <v>2090.74</v>
      </c>
      <c r="AD6" s="0" t="n">
        <v>188635</v>
      </c>
    </row>
    <row r="7" customFormat="false" ht="15" hidden="false" customHeight="false" outlineLevel="0" collapsed="false">
      <c r="A7" s="0" t="s">
        <v>70</v>
      </c>
      <c r="B7" s="0" t="n">
        <v>375720</v>
      </c>
      <c r="C7" s="0" t="n">
        <v>279594</v>
      </c>
      <c r="D7" s="0" t="n">
        <v>96126</v>
      </c>
      <c r="E7" s="0" t="n">
        <v>25.6</v>
      </c>
      <c r="F7" s="0" t="n">
        <v>28430</v>
      </c>
      <c r="G7" s="0" t="n">
        <v>7.6</v>
      </c>
      <c r="H7" s="0" t="n">
        <v>48510</v>
      </c>
      <c r="I7" s="0" t="n">
        <v>12865</v>
      </c>
      <c r="J7" s="0" t="n">
        <v>3.4</v>
      </c>
      <c r="K7" s="0" t="n">
        <v>144.75</v>
      </c>
      <c r="L7" s="0" t="n">
        <v>17097</v>
      </c>
      <c r="M7" s="0" t="n">
        <v>29112</v>
      </c>
      <c r="N7" s="0" t="n">
        <v>-12015</v>
      </c>
      <c r="O7" s="0" t="n">
        <v>194876</v>
      </c>
      <c r="P7" s="0" t="n">
        <v>517774</v>
      </c>
      <c r="Q7" s="0" t="n">
        <v>320626</v>
      </c>
      <c r="R7" s="0" t="n">
        <v>187691</v>
      </c>
      <c r="S7" s="0" t="n">
        <v>27176</v>
      </c>
      <c r="T7" s="0" t="n">
        <v>88.877</v>
      </c>
      <c r="AA7" s="0" t="s">
        <v>17</v>
      </c>
      <c r="AB7" s="0" t="s">
        <v>14</v>
      </c>
      <c r="AC7" s="0" t="n">
        <v>2192.65</v>
      </c>
      <c r="AD7" s="0" t="n">
        <v>197149</v>
      </c>
    </row>
    <row r="8" customFormat="false" ht="15" hidden="false" customHeight="false" outlineLevel="0" collapsed="false">
      <c r="A8" s="0" t="s">
        <v>71</v>
      </c>
      <c r="B8" s="0" t="n">
        <v>399921</v>
      </c>
      <c r="C8" s="0" t="n">
        <v>314915</v>
      </c>
      <c r="D8" s="0" t="n">
        <v>85006</v>
      </c>
      <c r="E8" s="0" t="n">
        <v>21.3</v>
      </c>
      <c r="F8" s="0" t="n">
        <v>10063</v>
      </c>
      <c r="G8" s="0" t="n">
        <v>2.5</v>
      </c>
      <c r="H8" s="0" t="n">
        <v>29113</v>
      </c>
      <c r="I8" s="0" t="n">
        <v>-655</v>
      </c>
      <c r="J8" s="0" t="n">
        <v>-0.2</v>
      </c>
      <c r="K8" s="0" t="n">
        <v>-7.37</v>
      </c>
      <c r="L8" s="0" t="n">
        <v>7798</v>
      </c>
      <c r="M8" s="0" t="n">
        <v>39158</v>
      </c>
      <c r="N8" s="0" t="n">
        <v>-31360</v>
      </c>
      <c r="O8" s="0" t="n">
        <v>189588</v>
      </c>
      <c r="P8" s="0" t="n">
        <v>588906</v>
      </c>
      <c r="Q8" s="0" t="n">
        <v>367484</v>
      </c>
      <c r="R8" s="0" t="n">
        <v>225166</v>
      </c>
      <c r="S8" s="0" t="n">
        <v>60703</v>
      </c>
      <c r="T8" s="0" t="n">
        <v>88.886</v>
      </c>
      <c r="AA8" s="0" t="s">
        <v>17</v>
      </c>
      <c r="AB8" s="0" t="s">
        <v>14</v>
      </c>
      <c r="AC8" s="0" t="n">
        <v>2132.93</v>
      </c>
      <c r="AD8" s="0" t="n">
        <v>221422</v>
      </c>
    </row>
    <row r="9" customFormat="false" ht="15" hidden="false" customHeight="false" outlineLevel="0" collapsed="false">
      <c r="A9" s="0" t="s">
        <v>72</v>
      </c>
      <c r="B9" s="0" t="n">
        <v>414265</v>
      </c>
      <c r="C9" s="0" t="n">
        <v>326267</v>
      </c>
      <c r="D9" s="0" t="n">
        <v>87998</v>
      </c>
      <c r="E9" s="0" t="n">
        <v>21.2</v>
      </c>
      <c r="F9" s="0" t="n">
        <v>8995</v>
      </c>
      <c r="G9" s="0" t="n">
        <v>2.2</v>
      </c>
      <c r="H9" s="0" t="n">
        <v>28801</v>
      </c>
      <c r="I9" s="0" t="n">
        <v>2455</v>
      </c>
      <c r="J9" s="0" t="n">
        <v>0.6</v>
      </c>
      <c r="K9" s="0" t="n">
        <v>27.87</v>
      </c>
      <c r="L9" s="0" t="n">
        <v>21595</v>
      </c>
      <c r="M9" s="0" t="n">
        <v>56629</v>
      </c>
      <c r="N9" s="0" t="n">
        <v>-35034</v>
      </c>
      <c r="O9" s="0" t="n">
        <v>197033</v>
      </c>
      <c r="P9" s="0" t="n">
        <v>606990</v>
      </c>
      <c r="Q9" s="0" t="n">
        <v>376903</v>
      </c>
      <c r="R9" s="0" t="n">
        <v>242091</v>
      </c>
      <c r="S9" s="0" t="n">
        <v>33796</v>
      </c>
      <c r="T9" s="0" t="n">
        <v>88.097</v>
      </c>
      <c r="AA9" s="0" t="s">
        <v>17</v>
      </c>
      <c r="AB9" s="0" t="s">
        <v>14</v>
      </c>
      <c r="AC9" s="0" t="n">
        <v>2236.55</v>
      </c>
      <c r="AD9" s="0" t="n">
        <v>230087</v>
      </c>
    </row>
    <row r="10" customFormat="false" ht="15" hidden="false" customHeight="false" outlineLevel="0" collapsed="false">
      <c r="A10" s="0" t="s">
        <v>73</v>
      </c>
      <c r="B10" s="0" t="n">
        <v>422032</v>
      </c>
      <c r="C10" s="0" t="n">
        <v>324977</v>
      </c>
      <c r="D10" s="0" t="n">
        <v>97055</v>
      </c>
      <c r="E10" s="0" t="n">
        <v>23</v>
      </c>
      <c r="F10" s="0" t="n">
        <v>16653</v>
      </c>
      <c r="G10" s="0" t="n">
        <v>3.9</v>
      </c>
      <c r="H10" s="0" t="n">
        <v>39351</v>
      </c>
      <c r="I10" s="0" t="n">
        <v>2003</v>
      </c>
      <c r="J10" s="0" t="n">
        <v>0.5</v>
      </c>
      <c r="K10" s="0" t="n">
        <v>22.73</v>
      </c>
      <c r="L10" s="0" t="n">
        <v>30118</v>
      </c>
      <c r="M10" s="0" t="n">
        <v>45225</v>
      </c>
      <c r="N10" s="0" t="n">
        <v>-15107</v>
      </c>
      <c r="O10" s="0" t="n">
        <v>195312</v>
      </c>
      <c r="P10" s="0" t="n">
        <v>617799</v>
      </c>
      <c r="Q10" s="0" t="n">
        <v>385755</v>
      </c>
      <c r="R10" s="0" t="n">
        <v>261070</v>
      </c>
      <c r="S10" s="0" t="n">
        <v>28581</v>
      </c>
      <c r="T10" s="0" t="n">
        <v>88.15</v>
      </c>
      <c r="AA10" s="0" t="s">
        <v>17</v>
      </c>
      <c r="AB10" s="0" t="s">
        <v>14</v>
      </c>
      <c r="AC10" s="0" t="n">
        <v>2215.68</v>
      </c>
      <c r="AD10" s="0" t="n">
        <v>232044</v>
      </c>
    </row>
    <row r="11" customFormat="false" ht="15" hidden="false" customHeight="false" outlineLevel="0" collapsed="false">
      <c r="A11" s="0" t="s">
        <v>74</v>
      </c>
      <c r="B11" s="0" t="n">
        <v>421563</v>
      </c>
      <c r="C11" s="0" t="n">
        <v>313411</v>
      </c>
      <c r="D11" s="0" t="n">
        <v>108152</v>
      </c>
      <c r="E11" s="0" t="n">
        <v>25.7</v>
      </c>
      <c r="F11" s="0" t="n">
        <v>27906</v>
      </c>
      <c r="G11" s="0" t="n">
        <v>6.6</v>
      </c>
      <c r="H11" s="0" t="n">
        <v>52537</v>
      </c>
      <c r="I11" s="0" t="n">
        <v>11174</v>
      </c>
      <c r="J11" s="0" t="n">
        <v>2.7</v>
      </c>
      <c r="K11" s="0" t="n">
        <v>126.65</v>
      </c>
      <c r="L11" s="0" t="n">
        <v>45032</v>
      </c>
      <c r="M11" s="0" t="n">
        <v>29150</v>
      </c>
      <c r="N11" s="0" t="n">
        <v>15882</v>
      </c>
      <c r="O11" s="0" t="n">
        <v>213315</v>
      </c>
      <c r="P11" s="0" t="n">
        <v>627667</v>
      </c>
      <c r="Q11" s="0" t="n">
        <v>375672</v>
      </c>
      <c r="R11" s="0" t="n">
        <v>254471</v>
      </c>
      <c r="S11" s="0" t="n">
        <v>31107</v>
      </c>
      <c r="T11" s="0" t="n">
        <v>88.222</v>
      </c>
      <c r="AA11" s="0" t="s">
        <v>17</v>
      </c>
      <c r="AB11" s="0" t="s">
        <v>14</v>
      </c>
      <c r="AC11" s="0" t="n">
        <v>2417.93</v>
      </c>
      <c r="AD11" s="0" t="n">
        <v>251995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75</v>
      </c>
      <c r="B1" s="2" t="s">
        <v>76</v>
      </c>
    </row>
    <row r="2" customFormat="false" ht="15" hidden="false" customHeight="false" outlineLevel="0" collapsed="false">
      <c r="A2" s="0" t="s">
        <v>77</v>
      </c>
      <c r="B2" s="3" t="n">
        <v>1524</v>
      </c>
    </row>
    <row r="3" customFormat="false" ht="15" hidden="false" customHeight="false" outlineLevel="0" collapsed="false">
      <c r="A3" s="0" t="s">
        <v>78</v>
      </c>
      <c r="B3" s="3" t="n">
        <v>88.241</v>
      </c>
    </row>
    <row r="4" customFormat="false" ht="15" hidden="false" customHeight="false" outlineLevel="0" collapsed="false">
      <c r="A4" s="0" t="s">
        <v>79</v>
      </c>
      <c r="B4" s="3" t="n">
        <v>226036</v>
      </c>
    </row>
    <row r="5" customFormat="false" ht="15" hidden="false" customHeight="false" outlineLevel="0" collapsed="false">
      <c r="A5" s="0" t="s">
        <v>80</v>
      </c>
      <c r="B5" s="3" t="n">
        <v>-32869</v>
      </c>
    </row>
    <row r="6" customFormat="false" ht="15" hidden="false" customHeight="false" outlineLevel="0" collapsed="false">
      <c r="A6" s="0" t="s">
        <v>81</v>
      </c>
      <c r="B6" s="3" t="n">
        <v>15</v>
      </c>
    </row>
    <row r="7" customFormat="false" ht="15" hidden="false" customHeight="false" outlineLevel="0" collapsed="false">
      <c r="A7" s="0" t="s">
        <v>82</v>
      </c>
      <c r="B7" s="3" t="n">
        <v>421563</v>
      </c>
    </row>
    <row r="8" customFormat="false" ht="15" hidden="false" customHeight="false" outlineLevel="0" collapsed="false">
      <c r="A8" s="0" t="s">
        <v>83</v>
      </c>
      <c r="B8" s="3" t="s">
        <v>74</v>
      </c>
    </row>
    <row r="9" customFormat="false" ht="15" hidden="false" customHeight="false" outlineLevel="0" collapsed="false">
      <c r="A9" s="0" t="s">
        <v>84</v>
      </c>
      <c r="B9" s="3" t="s">
        <v>85</v>
      </c>
    </row>
    <row r="10" customFormat="false" ht="15" hidden="false" customHeight="false" outlineLevel="0" collapsed="false">
      <c r="A10" s="0" t="s">
        <v>86</v>
      </c>
      <c r="B10" s="3" t="n">
        <v>1</v>
      </c>
    </row>
    <row r="12" customFormat="false" ht="15" hidden="false" customHeight="false" outlineLevel="0" collapsed="false">
      <c r="A12" s="2" t="s">
        <v>87</v>
      </c>
      <c r="C12" s="2" t="s">
        <v>88</v>
      </c>
      <c r="D12" s="2" t="s">
        <v>89</v>
      </c>
      <c r="E12" s="2" t="s">
        <v>90</v>
      </c>
      <c r="F12" s="2" t="s">
        <v>91</v>
      </c>
      <c r="G12" s="2" t="s">
        <v>92</v>
      </c>
      <c r="H12" s="2" t="s">
        <v>93</v>
      </c>
      <c r="I12" s="2" t="s">
        <v>94</v>
      </c>
      <c r="J12" s="2" t="s">
        <v>95</v>
      </c>
      <c r="K12" s="2" t="s">
        <v>96</v>
      </c>
      <c r="L12" s="2" t="s">
        <v>97</v>
      </c>
    </row>
    <row r="13" customFormat="false" ht="15" hidden="false" customHeight="false" outlineLevel="0" collapsed="false">
      <c r="A13" s="0" t="s">
        <v>98</v>
      </c>
      <c r="C13" s="3" t="n">
        <v>1</v>
      </c>
      <c r="D13" s="3" t="n">
        <v>0</v>
      </c>
      <c r="E13" s="3" t="n">
        <v>1</v>
      </c>
      <c r="F13" s="3" t="n">
        <v>1.5</v>
      </c>
      <c r="G13" s="3" t="n">
        <v>1.5</v>
      </c>
      <c r="H13" s="3" t="n">
        <v>1.5</v>
      </c>
      <c r="I13" s="3" t="n">
        <v>1.5</v>
      </c>
      <c r="J13" s="3" t="n">
        <v>1.5</v>
      </c>
      <c r="K13" s="3" t="n">
        <v>1.5</v>
      </c>
      <c r="L13" s="3" t="n">
        <v>1.5</v>
      </c>
    </row>
    <row r="14" customFormat="false" ht="15" hidden="false" customHeight="false" outlineLevel="0" collapsed="false">
      <c r="A14" s="0" t="s">
        <v>99</v>
      </c>
      <c r="C14" s="3" t="n">
        <v>10</v>
      </c>
      <c r="D14" s="3" t="n">
        <v>9.5</v>
      </c>
      <c r="E14" s="3" t="n">
        <v>9.5</v>
      </c>
      <c r="F14" s="3" t="n">
        <v>10</v>
      </c>
      <c r="G14" s="3" t="n">
        <v>10.5</v>
      </c>
      <c r="H14" s="3" t="n">
        <v>10.5</v>
      </c>
      <c r="I14" s="3" t="n">
        <v>10.5</v>
      </c>
      <c r="J14" s="3" t="n">
        <v>10.5</v>
      </c>
      <c r="K14" s="3" t="n">
        <v>10.5</v>
      </c>
      <c r="L14" s="3" t="n">
        <v>10.5</v>
      </c>
    </row>
    <row r="15" customFormat="false" ht="15" hidden="false" customHeight="false" outlineLevel="0" collapsed="false">
      <c r="A15" s="0" t="s">
        <v>100</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101</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102</v>
      </c>
      <c r="C17" s="3" t="n">
        <v>5.9</v>
      </c>
      <c r="D17" s="3" t="n">
        <v>6</v>
      </c>
      <c r="E17" s="3" t="n">
        <v>6</v>
      </c>
      <c r="F17" s="3" t="n">
        <v>6</v>
      </c>
      <c r="G17" s="3" t="n">
        <v>6</v>
      </c>
      <c r="H17" s="3" t="n">
        <v>6</v>
      </c>
      <c r="I17" s="3" t="n">
        <v>6</v>
      </c>
      <c r="J17" s="3" t="n">
        <v>6</v>
      </c>
      <c r="K17" s="3" t="n">
        <v>6</v>
      </c>
      <c r="L17" s="3" t="n">
        <v>6</v>
      </c>
    </row>
    <row r="18" customFormat="false" ht="15" hidden="false" customHeight="false" outlineLevel="0" collapsed="false">
      <c r="A18" s="0" t="s">
        <v>103</v>
      </c>
      <c r="C18" s="3" t="n">
        <v>7.5</v>
      </c>
      <c r="D18" s="3" t="n">
        <v>7</v>
      </c>
      <c r="E18" s="3" t="n">
        <v>7</v>
      </c>
      <c r="F18" s="3" t="n">
        <v>6.8</v>
      </c>
      <c r="G18" s="3" t="n">
        <v>6.5</v>
      </c>
      <c r="H18" s="3" t="n">
        <v>6.5</v>
      </c>
      <c r="I18" s="3" t="n">
        <v>6.5</v>
      </c>
      <c r="J18" s="3" t="n">
        <v>6.5</v>
      </c>
      <c r="K18" s="3" t="n">
        <v>6.5</v>
      </c>
      <c r="L18" s="3" t="n">
        <v>6.5</v>
      </c>
    </row>
    <row r="19" customFormat="false" ht="15" hidden="false" customHeight="false" outlineLevel="0" collapsed="false">
      <c r="A19" s="0" t="s">
        <v>104</v>
      </c>
      <c r="C19" s="3" t="n">
        <v>26</v>
      </c>
      <c r="D19" s="3" t="n">
        <v>28</v>
      </c>
      <c r="E19" s="3" t="n">
        <v>30.6</v>
      </c>
      <c r="F19" s="3" t="n">
        <v>30.6</v>
      </c>
      <c r="G19" s="3" t="n">
        <v>30.6</v>
      </c>
      <c r="H19" s="3" t="n">
        <v>30.6</v>
      </c>
      <c r="I19" s="3" t="n">
        <v>30.6</v>
      </c>
      <c r="J19" s="3" t="n">
        <v>30.6</v>
      </c>
      <c r="K19" s="3" t="n">
        <v>30.6</v>
      </c>
      <c r="L19" s="3" t="n">
        <v>30.6</v>
      </c>
    </row>
    <row r="20" customFormat="false" ht="15" hidden="false" customHeight="false" outlineLevel="0" collapsed="false">
      <c r="A20" s="0" t="s">
        <v>105</v>
      </c>
      <c r="B20" s="3" t="n">
        <v>6</v>
      </c>
    </row>
    <row r="21" customFormat="false" ht="15" hidden="false" customHeight="false" outlineLevel="0" collapsed="false">
      <c r="A21" s="0" t="s">
        <v>106</v>
      </c>
      <c r="B21" s="3" t="n">
        <v>1</v>
      </c>
    </row>
    <row r="22" customFormat="false" ht="15" hidden="false" customHeight="false" outlineLevel="0" collapsed="false">
      <c r="A22" s="0" t="s">
        <v>107</v>
      </c>
      <c r="B22" s="3" t="n">
        <v>13</v>
      </c>
    </row>
    <row r="23" customFormat="false" ht="15" hidden="false" customHeight="false" outlineLevel="0" collapsed="false">
      <c r="A23" s="0" t="s">
        <v>108</v>
      </c>
      <c r="B23" s="3" t="n">
        <v>-20</v>
      </c>
    </row>
    <row r="24" customFormat="false" ht="15" hidden="false" customHeight="false" outlineLevel="0" collapsed="false">
      <c r="A24" s="0" t="s">
        <v>109</v>
      </c>
      <c r="B24" s="3" t="n">
        <v>0.3</v>
      </c>
    </row>
    <row r="26" customFormat="false" ht="15" hidden="false" customHeight="false" outlineLevel="0" collapsed="false">
      <c r="A26" s="2" t="s">
        <v>110</v>
      </c>
      <c r="C26" s="2" t="s">
        <v>88</v>
      </c>
      <c r="D26" s="2" t="s">
        <v>89</v>
      </c>
      <c r="E26" s="2" t="s">
        <v>90</v>
      </c>
      <c r="F26" s="2" t="s">
        <v>91</v>
      </c>
      <c r="G26" s="2" t="s">
        <v>92</v>
      </c>
      <c r="H26" s="2" t="s">
        <v>93</v>
      </c>
      <c r="I26" s="2" t="s">
        <v>94</v>
      </c>
      <c r="J26" s="2" t="s">
        <v>95</v>
      </c>
      <c r="K26" s="2" t="s">
        <v>96</v>
      </c>
      <c r="L26" s="2" t="s">
        <v>97</v>
      </c>
    </row>
    <row r="27" customFormat="false" ht="15" hidden="false" customHeight="false" outlineLevel="0" collapsed="false">
      <c r="A27" s="0" t="s">
        <v>98</v>
      </c>
      <c r="C27" s="3" t="n">
        <v>3.2</v>
      </c>
      <c r="D27" s="3" t="n">
        <v>3</v>
      </c>
      <c r="E27" s="3" t="n">
        <v>3</v>
      </c>
      <c r="F27" s="3" t="n">
        <v>3</v>
      </c>
      <c r="G27" s="3" t="n">
        <v>3</v>
      </c>
      <c r="H27" s="3" t="n">
        <v>2.5</v>
      </c>
      <c r="I27" s="3" t="n">
        <v>2.5</v>
      </c>
      <c r="J27" s="3" t="n">
        <v>2</v>
      </c>
      <c r="K27" s="3" t="n">
        <v>2</v>
      </c>
      <c r="L27" s="3" t="n">
        <v>2</v>
      </c>
    </row>
    <row r="28" customFormat="false" ht="15" hidden="false" customHeight="false" outlineLevel="0" collapsed="false">
      <c r="A28" s="0" t="s">
        <v>99</v>
      </c>
      <c r="C28" s="3" t="n">
        <v>11.2</v>
      </c>
      <c r="D28" s="3" t="n">
        <v>11.5</v>
      </c>
      <c r="E28" s="3" t="n">
        <v>11.8</v>
      </c>
      <c r="F28" s="3" t="n">
        <v>12</v>
      </c>
      <c r="G28" s="3" t="n">
        <v>12.2</v>
      </c>
      <c r="H28" s="3" t="n">
        <v>12.3</v>
      </c>
      <c r="I28" s="3" t="n">
        <v>12.3</v>
      </c>
      <c r="J28" s="3" t="n">
        <v>12.3</v>
      </c>
      <c r="K28" s="3" t="n">
        <v>12.3</v>
      </c>
      <c r="L28" s="3" t="n">
        <v>12.3</v>
      </c>
    </row>
    <row r="29" customFormat="false" ht="15" hidden="false" customHeight="false" outlineLevel="0" collapsed="false">
      <c r="A29" s="0" t="s">
        <v>100</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101</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102</v>
      </c>
      <c r="C31" s="3" t="n">
        <v>5.9</v>
      </c>
      <c r="D31" s="3" t="n">
        <v>5.9</v>
      </c>
      <c r="E31" s="3" t="n">
        <v>6</v>
      </c>
      <c r="F31" s="3" t="n">
        <v>6</v>
      </c>
      <c r="G31" s="3" t="n">
        <v>6</v>
      </c>
      <c r="H31" s="3" t="n">
        <v>6</v>
      </c>
      <c r="I31" s="3" t="n">
        <v>6</v>
      </c>
      <c r="J31" s="3" t="n">
        <v>6</v>
      </c>
      <c r="K31" s="3" t="n">
        <v>6</v>
      </c>
      <c r="L31" s="3" t="n">
        <v>6</v>
      </c>
    </row>
    <row r="32" customFormat="false" ht="15" hidden="false" customHeight="false" outlineLevel="0" collapsed="false">
      <c r="A32" s="0" t="s">
        <v>103</v>
      </c>
      <c r="C32" s="3" t="n">
        <v>7</v>
      </c>
      <c r="D32" s="3" t="n">
        <v>7</v>
      </c>
      <c r="E32" s="3" t="n">
        <v>7</v>
      </c>
      <c r="F32" s="3" t="n">
        <v>7</v>
      </c>
      <c r="G32" s="3" t="n">
        <v>7</v>
      </c>
      <c r="H32" s="3" t="n">
        <v>6.8</v>
      </c>
      <c r="I32" s="3" t="n">
        <v>6.6</v>
      </c>
      <c r="J32" s="3" t="n">
        <v>6.5</v>
      </c>
      <c r="K32" s="3" t="n">
        <v>6.5</v>
      </c>
      <c r="L32" s="3" t="n">
        <v>6.5</v>
      </c>
    </row>
    <row r="33" customFormat="false" ht="15" hidden="false" customHeight="false" outlineLevel="0" collapsed="false">
      <c r="A33" s="0" t="s">
        <v>104</v>
      </c>
      <c r="C33" s="3" t="n">
        <v>26</v>
      </c>
      <c r="D33" s="3" t="n">
        <v>28</v>
      </c>
      <c r="E33" s="3" t="n">
        <v>30.6</v>
      </c>
      <c r="F33" s="3" t="n">
        <v>30.6</v>
      </c>
      <c r="G33" s="3" t="n">
        <v>30.6</v>
      </c>
      <c r="H33" s="3" t="n">
        <v>30.6</v>
      </c>
      <c r="I33" s="3" t="n">
        <v>30.6</v>
      </c>
      <c r="J33" s="3" t="n">
        <v>30.6</v>
      </c>
      <c r="K33" s="3" t="n">
        <v>30.6</v>
      </c>
      <c r="L33" s="3" t="n">
        <v>30.6</v>
      </c>
    </row>
    <row r="34" customFormat="false" ht="15" hidden="false" customHeight="false" outlineLevel="0" collapsed="false">
      <c r="A34" s="0" t="s">
        <v>105</v>
      </c>
      <c r="B34" s="3" t="n">
        <v>6</v>
      </c>
    </row>
    <row r="35" customFormat="false" ht="15" hidden="false" customHeight="false" outlineLevel="0" collapsed="false">
      <c r="A35" s="0" t="s">
        <v>106</v>
      </c>
      <c r="B35" s="3" t="n">
        <v>1.5</v>
      </c>
    </row>
    <row r="36" customFormat="false" ht="15" hidden="false" customHeight="false" outlineLevel="0" collapsed="false">
      <c r="A36" s="0" t="s">
        <v>107</v>
      </c>
      <c r="B36" s="3" t="n">
        <v>15</v>
      </c>
    </row>
    <row r="37" customFormat="false" ht="15" hidden="false" customHeight="false" outlineLevel="0" collapsed="false">
      <c r="A37" s="0" t="s">
        <v>108</v>
      </c>
      <c r="B37" s="3" t="n">
        <v>-20</v>
      </c>
    </row>
    <row r="38" customFormat="false" ht="15" hidden="false" customHeight="false" outlineLevel="0" collapsed="false">
      <c r="A38" s="0" t="s">
        <v>109</v>
      </c>
      <c r="B38" s="3" t="n">
        <v>0.5</v>
      </c>
    </row>
    <row r="40" customFormat="false" ht="15" hidden="false" customHeight="false" outlineLevel="0" collapsed="false">
      <c r="A40" s="2" t="s">
        <v>111</v>
      </c>
      <c r="C40" s="2" t="s">
        <v>88</v>
      </c>
      <c r="D40" s="2" t="s">
        <v>89</v>
      </c>
      <c r="E40" s="2" t="s">
        <v>90</v>
      </c>
      <c r="F40" s="2" t="s">
        <v>91</v>
      </c>
      <c r="G40" s="2" t="s">
        <v>92</v>
      </c>
      <c r="H40" s="2" t="s">
        <v>93</v>
      </c>
      <c r="I40" s="2" t="s">
        <v>94</v>
      </c>
      <c r="J40" s="2" t="s">
        <v>95</v>
      </c>
      <c r="K40" s="2" t="s">
        <v>96</v>
      </c>
      <c r="L40" s="2" t="s">
        <v>97</v>
      </c>
    </row>
    <row r="41" customFormat="false" ht="15" hidden="false" customHeight="false" outlineLevel="0" collapsed="false">
      <c r="A41" s="0" t="s">
        <v>98</v>
      </c>
      <c r="C41" s="3" t="n">
        <v>4</v>
      </c>
      <c r="D41" s="3" t="n">
        <v>4</v>
      </c>
      <c r="E41" s="3" t="n">
        <v>4</v>
      </c>
      <c r="F41" s="3" t="n">
        <v>3.5</v>
      </c>
      <c r="G41" s="3" t="n">
        <v>3.5</v>
      </c>
      <c r="H41" s="3" t="n">
        <v>3</v>
      </c>
      <c r="I41" s="3" t="n">
        <v>2.5</v>
      </c>
      <c r="J41" s="3" t="n">
        <v>2.5</v>
      </c>
      <c r="K41" s="3" t="n">
        <v>2</v>
      </c>
      <c r="L41" s="3" t="n">
        <v>2</v>
      </c>
    </row>
    <row r="42" customFormat="false" ht="15" hidden="false" customHeight="false" outlineLevel="0" collapsed="false">
      <c r="A42" s="0" t="s">
        <v>99</v>
      </c>
      <c r="C42" s="3" t="n">
        <v>11.8</v>
      </c>
      <c r="D42" s="3" t="n">
        <v>12.6</v>
      </c>
      <c r="E42" s="3" t="n">
        <v>13.4</v>
      </c>
      <c r="F42" s="3" t="n">
        <v>14.2</v>
      </c>
      <c r="G42" s="3" t="n">
        <v>15</v>
      </c>
      <c r="H42" s="3" t="n">
        <v>15</v>
      </c>
      <c r="I42" s="3" t="n">
        <v>15</v>
      </c>
      <c r="J42" s="3" t="n">
        <v>15</v>
      </c>
      <c r="K42" s="3" t="n">
        <v>15</v>
      </c>
      <c r="L42" s="3" t="n">
        <v>15</v>
      </c>
    </row>
    <row r="43" customFormat="false" ht="15" hidden="false" customHeight="false" outlineLevel="0" collapsed="false">
      <c r="A43" s="0" t="s">
        <v>100</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101</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102</v>
      </c>
      <c r="C45" s="3" t="n">
        <v>5.9</v>
      </c>
      <c r="D45" s="3" t="n">
        <v>5.9</v>
      </c>
      <c r="E45" s="3" t="n">
        <v>6</v>
      </c>
      <c r="F45" s="3" t="n">
        <v>6</v>
      </c>
      <c r="G45" s="3" t="n">
        <v>6</v>
      </c>
      <c r="H45" s="3" t="n">
        <v>6</v>
      </c>
      <c r="I45" s="3" t="n">
        <v>6</v>
      </c>
      <c r="J45" s="3" t="n">
        <v>6</v>
      </c>
      <c r="K45" s="3" t="n">
        <v>6</v>
      </c>
      <c r="L45" s="3" t="n">
        <v>6</v>
      </c>
    </row>
    <row r="46" customFormat="false" ht="15" hidden="false" customHeight="false" outlineLevel="0" collapsed="false">
      <c r="A46" s="0" t="s">
        <v>103</v>
      </c>
      <c r="C46" s="3" t="n">
        <v>7.5</v>
      </c>
      <c r="D46" s="3" t="n">
        <v>7.5</v>
      </c>
      <c r="E46" s="3" t="n">
        <v>7.5</v>
      </c>
      <c r="F46" s="3" t="n">
        <v>7.5</v>
      </c>
      <c r="G46" s="3" t="n">
        <v>7.5</v>
      </c>
      <c r="H46" s="3" t="n">
        <v>7</v>
      </c>
      <c r="I46" s="3" t="n">
        <v>6.8</v>
      </c>
      <c r="J46" s="3" t="n">
        <v>6.5</v>
      </c>
      <c r="K46" s="3" t="n">
        <v>6.5</v>
      </c>
      <c r="L46" s="3" t="n">
        <v>6.5</v>
      </c>
    </row>
    <row r="47" customFormat="false" ht="15" hidden="false" customHeight="false" outlineLevel="0" collapsed="false">
      <c r="A47" s="0" t="s">
        <v>104</v>
      </c>
      <c r="C47" s="3" t="n">
        <v>26</v>
      </c>
      <c r="D47" s="3" t="n">
        <v>28</v>
      </c>
      <c r="E47" s="3" t="n">
        <v>30.6</v>
      </c>
      <c r="F47" s="3" t="n">
        <v>30.6</v>
      </c>
      <c r="G47" s="3" t="n">
        <v>30.6</v>
      </c>
      <c r="H47" s="3" t="n">
        <v>30.6</v>
      </c>
      <c r="I47" s="3" t="n">
        <v>30.6</v>
      </c>
      <c r="J47" s="3" t="n">
        <v>30.6</v>
      </c>
      <c r="K47" s="3" t="n">
        <v>30.6</v>
      </c>
      <c r="L47" s="3" t="n">
        <v>30.6</v>
      </c>
    </row>
    <row r="48" customFormat="false" ht="15" hidden="false" customHeight="false" outlineLevel="0" collapsed="false">
      <c r="A48" s="0" t="s">
        <v>105</v>
      </c>
      <c r="B48" s="3" t="n">
        <v>6</v>
      </c>
    </row>
    <row r="49" customFormat="false" ht="15" hidden="false" customHeight="false" outlineLevel="0" collapsed="false">
      <c r="A49" s="0" t="s">
        <v>106</v>
      </c>
      <c r="B49" s="3" t="n">
        <v>2</v>
      </c>
    </row>
    <row r="50" customFormat="false" ht="15" hidden="false" customHeight="false" outlineLevel="0" collapsed="false">
      <c r="A50" s="0" t="s">
        <v>107</v>
      </c>
      <c r="B50" s="3" t="n">
        <v>16</v>
      </c>
    </row>
    <row r="51" customFormat="false" ht="15" hidden="false" customHeight="false" outlineLevel="0" collapsed="false">
      <c r="A51" s="0" t="s">
        <v>108</v>
      </c>
      <c r="B51" s="3" t="n">
        <v>-20</v>
      </c>
    </row>
    <row r="52" customFormat="false" ht="15" hidden="false" customHeight="false" outlineLevel="0" collapsed="false">
      <c r="A52" s="0" t="s">
        <v>109</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112</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Assumptions!C13</f>
        <v>1</v>
      </c>
      <c r="D5" s="4" t="n">
        <f aca="false">Assumptions!D13</f>
        <v>0</v>
      </c>
      <c r="E5" s="4" t="n">
        <f aca="false">Assumptions!E13</f>
        <v>1</v>
      </c>
      <c r="F5" s="4" t="n">
        <f aca="false">Assumptions!F13</f>
        <v>1.5</v>
      </c>
      <c r="G5" s="4" t="n">
        <f aca="false">Assumptions!G13</f>
        <v>1.5</v>
      </c>
      <c r="H5" s="4" t="n">
        <f aca="false">Assumptions!H13</f>
        <v>1.5</v>
      </c>
      <c r="I5" s="4" t="n">
        <f aca="false">Assumptions!I13</f>
        <v>1.5</v>
      </c>
      <c r="J5" s="4" t="n">
        <f aca="false">Assumptions!J13</f>
        <v>1.5</v>
      </c>
      <c r="K5" s="4" t="n">
        <f aca="false">Assumptions!K13</f>
        <v>1.5</v>
      </c>
      <c r="L5" s="4" t="n">
        <f aca="false">Assumptions!L13</f>
        <v>1.5</v>
      </c>
    </row>
    <row r="6" customFormat="false" ht="15" hidden="false" customHeight="false" outlineLevel="0" collapsed="false">
      <c r="A6" s="0" t="s">
        <v>37</v>
      </c>
      <c r="B6" s="3" t="n">
        <v>421563</v>
      </c>
      <c r="C6" s="0" t="n">
        <f aca="false">B6*(1+C5/100)</f>
        <v>425778.63</v>
      </c>
      <c r="D6" s="0" t="n">
        <f aca="false">C6*(1+D5/100)</f>
        <v>425778.63</v>
      </c>
      <c r="E6" s="0" t="n">
        <f aca="false">D6*(1+E5/100)</f>
        <v>430036.4163</v>
      </c>
      <c r="F6" s="0" t="n">
        <f aca="false">E6*(1+F5/100)</f>
        <v>436486.9625445</v>
      </c>
      <c r="G6" s="0" t="n">
        <f aca="false">F6*(1+G5/100)</f>
        <v>443034.266982667</v>
      </c>
      <c r="H6" s="0" t="n">
        <f aca="false">G6*(1+H5/100)</f>
        <v>449679.780987407</v>
      </c>
      <c r="I6" s="0" t="n">
        <f aca="false">H6*(1+I5/100)</f>
        <v>456424.977702219</v>
      </c>
      <c r="J6" s="0" t="n">
        <f aca="false">I6*(1+J5/100)</f>
        <v>463271.352367752</v>
      </c>
      <c r="K6" s="0" t="n">
        <f aca="false">J6*(1+K5/100)</f>
        <v>470220.422653268</v>
      </c>
      <c r="L6" s="0" t="n">
        <f aca="false">K6*(1+L5/100)</f>
        <v>477273.728993067</v>
      </c>
    </row>
    <row r="7" customFormat="false" ht="15" hidden="false" customHeight="false" outlineLevel="0" collapsed="false">
      <c r="A7" s="0" t="s">
        <v>99</v>
      </c>
      <c r="C7" s="4" t="n">
        <f aca="false">Assumptions!C14</f>
        <v>10</v>
      </c>
      <c r="D7" s="4" t="n">
        <f aca="false">Assumptions!D14</f>
        <v>9.5</v>
      </c>
      <c r="E7" s="4" t="n">
        <f aca="false">Assumptions!E14</f>
        <v>9.5</v>
      </c>
      <c r="F7" s="4" t="n">
        <f aca="false">Assumptions!F14</f>
        <v>10</v>
      </c>
      <c r="G7" s="4" t="n">
        <f aca="false">Assumptions!G14</f>
        <v>10.5</v>
      </c>
      <c r="H7" s="4" t="n">
        <f aca="false">Assumptions!H14</f>
        <v>10.5</v>
      </c>
      <c r="I7" s="4" t="n">
        <f aca="false">Assumptions!I14</f>
        <v>10.5</v>
      </c>
      <c r="J7" s="4" t="n">
        <f aca="false">Assumptions!J14</f>
        <v>10.5</v>
      </c>
      <c r="K7" s="4" t="n">
        <f aca="false">Assumptions!K14</f>
        <v>10.5</v>
      </c>
      <c r="L7" s="4" t="n">
        <f aca="false">Assumptions!L14</f>
        <v>10.5</v>
      </c>
    </row>
    <row r="8" customFormat="false" ht="15" hidden="false" customHeight="false" outlineLevel="0" collapsed="false">
      <c r="A8" s="0" t="s">
        <v>43</v>
      </c>
      <c r="C8" s="0" t="n">
        <f aca="false">C6*C7/100</f>
        <v>42577.863</v>
      </c>
      <c r="D8" s="0" t="n">
        <f aca="false">D6*D7/100</f>
        <v>40448.96985</v>
      </c>
      <c r="E8" s="0" t="n">
        <f aca="false">E6*E7/100</f>
        <v>40853.4595485</v>
      </c>
      <c r="F8" s="0" t="n">
        <f aca="false">F6*F7/100</f>
        <v>43648.69625445</v>
      </c>
      <c r="G8" s="0" t="n">
        <f aca="false">G6*G7/100</f>
        <v>46518.5980331801</v>
      </c>
      <c r="H8" s="0" t="n">
        <f aca="false">H6*H7/100</f>
        <v>47216.3770036778</v>
      </c>
      <c r="I8" s="0" t="n">
        <f aca="false">I6*I7/100</f>
        <v>47924.6226587329</v>
      </c>
      <c r="J8" s="0" t="n">
        <f aca="false">J6*J7/100</f>
        <v>48643.4919986139</v>
      </c>
      <c r="K8" s="0" t="n">
        <f aca="false">K6*K7/100</f>
        <v>49373.1443785931</v>
      </c>
      <c r="L8" s="0" t="n">
        <f aca="false">L6*L7/100</f>
        <v>50113.741544272</v>
      </c>
    </row>
    <row r="9" customFormat="false" ht="15" hidden="false" customHeight="false" outlineLevel="0" collapsed="false">
      <c r="A9" s="0" t="s">
        <v>100</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115</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116</v>
      </c>
      <c r="C11" s="0" t="n">
        <f aca="false">C8+C10+C24</f>
        <v>42577.863</v>
      </c>
      <c r="D11" s="0" t="n">
        <f aca="false">D8+D10+D24</f>
        <v>40448.96985</v>
      </c>
      <c r="E11" s="0" t="n">
        <f aca="false">E8+E10+E24</f>
        <v>40853.4595485</v>
      </c>
      <c r="F11" s="0" t="n">
        <f aca="false">F8+F10+F24</f>
        <v>43648.69625445</v>
      </c>
      <c r="G11" s="0" t="n">
        <f aca="false">G8+G10+G24</f>
        <v>46518.5980331801</v>
      </c>
      <c r="H11" s="0" t="n">
        <f aca="false">H8+H10+H24</f>
        <v>47216.3770036778</v>
      </c>
      <c r="I11" s="0" t="n">
        <f aca="false">I8+I10+I24</f>
        <v>47924.6226587329</v>
      </c>
      <c r="J11" s="0" t="n">
        <f aca="false">J8+J10+J24</f>
        <v>48643.4919986139</v>
      </c>
      <c r="K11" s="0" t="n">
        <f aca="false">K8+K10+K24</f>
        <v>49373.1443785931</v>
      </c>
      <c r="L11" s="0" t="n">
        <f aca="false">L8+L10+L24</f>
        <v>50113.741544272</v>
      </c>
    </row>
    <row r="12" customFormat="false" ht="15" hidden="false" customHeight="false" outlineLevel="0" collapsed="false">
      <c r="A12" s="0" t="s">
        <v>117</v>
      </c>
      <c r="C12" s="4" t="n">
        <f aca="false">-C6*Assumptions!C17/100</f>
        <v>-25120.93917</v>
      </c>
      <c r="D12" s="4" t="n">
        <f aca="false">-D6*Assumptions!D17/100</f>
        <v>-25546.7178</v>
      </c>
      <c r="E12" s="4" t="n">
        <f aca="false">-E6*Assumptions!E17/100</f>
        <v>-25802.184978</v>
      </c>
      <c r="F12" s="4" t="n">
        <f aca="false">-F6*Assumptions!F17/100</f>
        <v>-26189.21775267</v>
      </c>
      <c r="G12" s="4" t="n">
        <f aca="false">-G6*Assumptions!G17/100</f>
        <v>-26582.05601896</v>
      </c>
      <c r="H12" s="4" t="n">
        <f aca="false">-H6*Assumptions!H17/100</f>
        <v>-26980.7868592444</v>
      </c>
      <c r="I12" s="4" t="n">
        <f aca="false">-I6*Assumptions!I17/100</f>
        <v>-27385.4986621331</v>
      </c>
      <c r="J12" s="4" t="n">
        <f aca="false">-J6*Assumptions!J17/100</f>
        <v>-27796.2811420651</v>
      </c>
      <c r="K12" s="4" t="n">
        <f aca="false">-K6*Assumptions!K17/100</f>
        <v>-28213.2253591961</v>
      </c>
      <c r="L12" s="4" t="n">
        <f aca="false">-L6*Assumptions!L17/100</f>
        <v>-28636.423739584</v>
      </c>
    </row>
    <row r="13" customFormat="false" ht="15" hidden="false" customHeight="false" outlineLevel="0" collapsed="false">
      <c r="A13" s="0" t="s">
        <v>118</v>
      </c>
      <c r="C13" s="0" t="n">
        <f aca="false">C11+C12</f>
        <v>17456.92383</v>
      </c>
      <c r="D13" s="0" t="n">
        <f aca="false">D11+D12</f>
        <v>14902.25205</v>
      </c>
      <c r="E13" s="0" t="n">
        <f aca="false">E11+E12</f>
        <v>15051.2745705</v>
      </c>
      <c r="F13" s="0" t="n">
        <f aca="false">F11+F12</f>
        <v>17459.47850178</v>
      </c>
      <c r="G13" s="0" t="n">
        <f aca="false">G11+G12</f>
        <v>19936.54201422</v>
      </c>
      <c r="H13" s="0" t="n">
        <f aca="false">H11+H12</f>
        <v>20235.5901444333</v>
      </c>
      <c r="I13" s="0" t="n">
        <f aca="false">I11+I12</f>
        <v>20539.1239965998</v>
      </c>
      <c r="J13" s="0" t="n">
        <f aca="false">J11+J12</f>
        <v>20847.2108565488</v>
      </c>
      <c r="K13" s="0" t="n">
        <f aca="false">K11+K12</f>
        <v>21159.9190193971</v>
      </c>
      <c r="L13" s="0" t="n">
        <f aca="false">L11+L12</f>
        <v>21477.317804688</v>
      </c>
    </row>
    <row r="14" customFormat="false" ht="15" hidden="false" customHeight="false" outlineLevel="0" collapsed="false">
      <c r="A14" s="0" t="s">
        <v>104</v>
      </c>
      <c r="C14" s="4" t="n">
        <f aca="false">Assumptions!C19</f>
        <v>26</v>
      </c>
      <c r="D14" s="4" t="n">
        <f aca="false">Assumptions!D19</f>
        <v>28</v>
      </c>
      <c r="E14" s="4" t="n">
        <f aca="false">Assumptions!E19</f>
        <v>30.6</v>
      </c>
      <c r="F14" s="4" t="n">
        <f aca="false">Assumptions!F19</f>
        <v>30.6</v>
      </c>
      <c r="G14" s="4" t="n">
        <f aca="false">Assumptions!G19</f>
        <v>30.6</v>
      </c>
      <c r="H14" s="4" t="n">
        <f aca="false">Assumptions!H19</f>
        <v>30.6</v>
      </c>
      <c r="I14" s="4" t="n">
        <f aca="false">Assumptions!I19</f>
        <v>30.6</v>
      </c>
      <c r="J14" s="4" t="n">
        <f aca="false">Assumptions!J19</f>
        <v>30.6</v>
      </c>
      <c r="K14" s="4" t="n">
        <f aca="false">Assumptions!K19</f>
        <v>30.6</v>
      </c>
      <c r="L14" s="4" t="n">
        <f aca="false">Assumptions!L19</f>
        <v>30.6</v>
      </c>
    </row>
    <row r="15" customFormat="false" ht="15" hidden="false" customHeight="false" outlineLevel="0" collapsed="false">
      <c r="A15" s="0" t="s">
        <v>119</v>
      </c>
      <c r="C15" s="0" t="n">
        <f aca="false">C13-MAX(0,C13)*C14/100</f>
        <v>12918.1236342</v>
      </c>
      <c r="D15" s="0" t="n">
        <f aca="false">D13-MAX(0,D13)*D14/100</f>
        <v>10729.621476</v>
      </c>
      <c r="E15" s="0" t="n">
        <f aca="false">E13-MAX(0,E13)*E14/100</f>
        <v>10445.584551927</v>
      </c>
      <c r="F15" s="0" t="n">
        <f aca="false">F13-MAX(0,F13)*F14/100</f>
        <v>12116.8780802353</v>
      </c>
      <c r="G15" s="0" t="n">
        <f aca="false">G13-MAX(0,G13)*G14/100</f>
        <v>13835.9601578687</v>
      </c>
      <c r="H15" s="0" t="n">
        <f aca="false">H13-MAX(0,H13)*H14/100</f>
        <v>14043.4995602367</v>
      </c>
      <c r="I15" s="0" t="n">
        <f aca="false">I13-MAX(0,I13)*I14/100</f>
        <v>14254.1520536403</v>
      </c>
      <c r="J15" s="0" t="n">
        <f aca="false">J13-MAX(0,J13)*J14/100</f>
        <v>14467.9643344449</v>
      </c>
      <c r="K15" s="0" t="n">
        <f aca="false">K13-MAX(0,K13)*K14/100</f>
        <v>14684.9837994616</v>
      </c>
      <c r="L15" s="0" t="n">
        <f aca="false">L13-MAX(0,L13)*L14/100</f>
        <v>14905.2585564535</v>
      </c>
    </row>
    <row r="16" customFormat="false" ht="15" hidden="false" customHeight="false" outlineLevel="0" collapsed="false">
      <c r="A16" s="0" t="s">
        <v>120</v>
      </c>
      <c r="C16" s="0" t="n">
        <f aca="false">-C12</f>
        <v>25120.93917</v>
      </c>
      <c r="D16" s="0" t="n">
        <f aca="false">-D12</f>
        <v>25546.7178</v>
      </c>
      <c r="E16" s="0" t="n">
        <f aca="false">-E12</f>
        <v>25802.184978</v>
      </c>
      <c r="F16" s="0" t="n">
        <f aca="false">-F12</f>
        <v>26189.21775267</v>
      </c>
      <c r="G16" s="0" t="n">
        <f aca="false">-G12</f>
        <v>26582.05601896</v>
      </c>
      <c r="H16" s="0" t="n">
        <f aca="false">-H12</f>
        <v>26980.7868592444</v>
      </c>
      <c r="I16" s="0" t="n">
        <f aca="false">-I12</f>
        <v>27385.4986621331</v>
      </c>
      <c r="J16" s="0" t="n">
        <f aca="false">-J12</f>
        <v>27796.2811420651</v>
      </c>
      <c r="K16" s="0" t="n">
        <f aca="false">-K12</f>
        <v>28213.2253591961</v>
      </c>
      <c r="L16" s="0" t="n">
        <f aca="false">-L12</f>
        <v>28636.423739584</v>
      </c>
    </row>
    <row r="17" customFormat="false" ht="15" hidden="false" customHeight="false" outlineLevel="0" collapsed="false">
      <c r="A17" s="0" t="s">
        <v>121</v>
      </c>
      <c r="C17" s="4" t="n">
        <f aca="false">-C6*Assumptions!C18/100</f>
        <v>-31933.39725</v>
      </c>
      <c r="D17" s="4" t="n">
        <f aca="false">-D6*Assumptions!D18/100</f>
        <v>-29804.5041</v>
      </c>
      <c r="E17" s="4" t="n">
        <f aca="false">-E6*Assumptions!E18/100</f>
        <v>-30102.549141</v>
      </c>
      <c r="F17" s="4" t="n">
        <f aca="false">-F6*Assumptions!F18/100</f>
        <v>-29681.113453026</v>
      </c>
      <c r="G17" s="4" t="n">
        <f aca="false">-G6*Assumptions!G18/100</f>
        <v>-28797.2273538734</v>
      </c>
      <c r="H17" s="4" t="n">
        <f aca="false">-H6*Assumptions!H18/100</f>
        <v>-29229.1857641815</v>
      </c>
      <c r="I17" s="4" t="n">
        <f aca="false">-I6*Assumptions!I18/100</f>
        <v>-29667.6235506442</v>
      </c>
      <c r="J17" s="4" t="n">
        <f aca="false">-J6*Assumptions!J18/100</f>
        <v>-30112.6379039039</v>
      </c>
      <c r="K17" s="4" t="n">
        <f aca="false">-K6*Assumptions!K18/100</f>
        <v>-30564.3274724624</v>
      </c>
      <c r="L17" s="4" t="n">
        <f aca="false">-L6*Assumptions!L18/100</f>
        <v>-31022.7923845494</v>
      </c>
    </row>
    <row r="18" customFormat="false" ht="15" hidden="false" customHeight="false" outlineLevel="0" collapsed="false">
      <c r="A18" s="0" t="s">
        <v>122</v>
      </c>
      <c r="C18" s="4" t="n">
        <f aca="false">(C6-B6)*Assumptions!$B$23/100</f>
        <v>-843.126000000001</v>
      </c>
      <c r="D18" s="4" t="n">
        <f aca="false">(D6-C6)*Assumptions!$B$23/100</f>
        <v>-0</v>
      </c>
      <c r="E18" s="4" t="n">
        <f aca="false">(E6-D6)*Assumptions!$B$23/100</f>
        <v>-851.557259999996</v>
      </c>
      <c r="F18" s="4" t="n">
        <f aca="false">(F6-E6)*Assumptions!$B$23/100</f>
        <v>-1290.10924889999</v>
      </c>
      <c r="G18" s="4" t="n">
        <f aca="false">(G6-F6)*Assumptions!$B$23/100</f>
        <v>-1309.4608876335</v>
      </c>
      <c r="H18" s="4" t="n">
        <f aca="false">(H6-G6)*Assumptions!$B$23/100</f>
        <v>-1329.102800948</v>
      </c>
      <c r="I18" s="4" t="n">
        <f aca="false">(I6-H6)*Assumptions!$B$23/100</f>
        <v>-1349.03934296222</v>
      </c>
      <c r="J18" s="4" t="n">
        <f aca="false">(J6-I6)*Assumptions!$B$23/100</f>
        <v>-1369.27493310665</v>
      </c>
      <c r="K18" s="4" t="n">
        <f aca="false">(K6-J6)*Assumptions!$B$23/100</f>
        <v>-1389.81405710324</v>
      </c>
      <c r="L18" s="4" t="n">
        <f aca="false">(L6-K6)*Assumptions!$B$23/100</f>
        <v>-1410.66126795979</v>
      </c>
    </row>
    <row r="19" customFormat="false" ht="15" hidden="false" customHeight="false" outlineLevel="0" collapsed="false">
      <c r="A19" s="0" t="s">
        <v>123</v>
      </c>
      <c r="C19" s="0" t="n">
        <f aca="false">C15+C16+C17+C18</f>
        <v>5262.5395542</v>
      </c>
      <c r="D19" s="0" t="n">
        <f aca="false">D15+D16+D17+D18</f>
        <v>6471.835176</v>
      </c>
      <c r="E19" s="0" t="n">
        <f aca="false">E15+E16+E17+E18</f>
        <v>5293.66312892701</v>
      </c>
      <c r="F19" s="0" t="n">
        <f aca="false">F15+F16+F17+F18</f>
        <v>7334.87313097933</v>
      </c>
      <c r="G19" s="0" t="n">
        <f aca="false">G15+G16+G17+G18</f>
        <v>10311.3279353219</v>
      </c>
      <c r="H19" s="0" t="n">
        <f aca="false">H15+H16+H17+H18</f>
        <v>10465.9978543517</v>
      </c>
      <c r="I19" s="0" t="n">
        <f aca="false">I15+I16+I17+I18</f>
        <v>10622.987822167</v>
      </c>
      <c r="J19" s="0" t="n">
        <f aca="false">J15+J16+J17+J18</f>
        <v>10782.3326394995</v>
      </c>
      <c r="K19" s="0" t="n">
        <f aca="false">K15+K16+K17+K18</f>
        <v>10944.067629092</v>
      </c>
      <c r="L19" s="0" t="n">
        <f aca="false">L15+L16+L17+L18</f>
        <v>11108.2286435284</v>
      </c>
    </row>
    <row r="20" customFormat="false" ht="15" hidden="false" customHeight="false" outlineLevel="0" collapsed="false">
      <c r="A20" s="0" t="s">
        <v>124</v>
      </c>
      <c r="C20" s="0" t="n">
        <f aca="false">1/(1+$B$27/100)^C4</f>
        <v>0.943396226415094</v>
      </c>
      <c r="D20" s="0" t="n">
        <f aca="false">1/(1+$B$27/100)^D4</f>
        <v>0.88999644001424</v>
      </c>
      <c r="E20" s="0" t="n">
        <f aca="false">1/(1+$B$27/100)^E4</f>
        <v>0.839619283032302</v>
      </c>
      <c r="F20" s="0" t="n">
        <f aca="false">1/(1+$B$27/100)^F4</f>
        <v>0.79209366323802</v>
      </c>
      <c r="G20" s="0" t="n">
        <f aca="false">1/(1+$B$27/100)^G4</f>
        <v>0.747258172866057</v>
      </c>
      <c r="H20" s="0" t="n">
        <f aca="false">1/(1+$B$27/100)^H4</f>
        <v>0.704960540439676</v>
      </c>
      <c r="I20" s="0" t="n">
        <f aca="false">1/(1+$B$27/100)^I4</f>
        <v>0.665057113622336</v>
      </c>
      <c r="J20" s="0" t="n">
        <f aca="false">1/(1+$B$27/100)^J4</f>
        <v>0.627412371341827</v>
      </c>
      <c r="K20" s="0" t="n">
        <f aca="false">1/(1+$B$27/100)^K4</f>
        <v>0.591898463530025</v>
      </c>
      <c r="L20" s="0" t="n">
        <f aca="false">1/(1+$B$27/100)^L4</f>
        <v>0.558394776915118</v>
      </c>
    </row>
    <row r="21" customFormat="false" ht="15" hidden="false" customHeight="false" outlineLevel="0" collapsed="false">
      <c r="A21" s="0" t="s">
        <v>125</v>
      </c>
      <c r="C21" s="0" t="n">
        <f aca="false">C19*C20</f>
        <v>4964.65995679245</v>
      </c>
      <c r="D21" s="0" t="n">
        <f aca="false">D19*D20</f>
        <v>5759.91026699893</v>
      </c>
      <c r="E21" s="0" t="n">
        <f aca="false">E19*E20</f>
        <v>4444.66164092422</v>
      </c>
      <c r="F21" s="0" t="n">
        <f aca="false">F19*F20</f>
        <v>5809.90652770354</v>
      </c>
      <c r="G21" s="0" t="n">
        <f aca="false">G19*G20</f>
        <v>7705.22407277135</v>
      </c>
      <c r="H21" s="0" t="n">
        <f aca="false">H19*H20</f>
        <v>7378.11550364427</v>
      </c>
      <c r="I21" s="0" t="n">
        <f aca="false">I19*I20</f>
        <v>7064.89361905559</v>
      </c>
      <c r="J21" s="0" t="n">
        <f aca="false">J19*J20</f>
        <v>6764.96888994475</v>
      </c>
      <c r="K21" s="0" t="n">
        <f aca="false">K19*K20</f>
        <v>6477.77681442822</v>
      </c>
      <c r="L21" s="0" t="n">
        <f aca="false">L19*L20</f>
        <v>6202.77685532514</v>
      </c>
    </row>
    <row r="23" customFormat="false" ht="15" hidden="false" customHeight="false" outlineLevel="0" collapsed="false">
      <c r="A23" s="0" t="s">
        <v>101</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127</v>
      </c>
    </row>
    <row r="27" customFormat="false" ht="15" hidden="false" customHeight="false" outlineLevel="0" collapsed="false">
      <c r="A27" s="0" t="s">
        <v>105</v>
      </c>
      <c r="B27" s="4" t="n">
        <f aca="false">Assumptions!$B$20</f>
        <v>6</v>
      </c>
    </row>
    <row r="28" customFormat="false" ht="15" hidden="false" customHeight="false" outlineLevel="0" collapsed="false">
      <c r="A28" s="0" t="s">
        <v>106</v>
      </c>
      <c r="B28" s="4" t="n">
        <f aca="false">Assumptions!$B$21</f>
        <v>1</v>
      </c>
    </row>
    <row r="29" customFormat="false" ht="15" hidden="false" customHeight="false" outlineLevel="0" collapsed="false">
      <c r="A29" s="0" t="s">
        <v>107</v>
      </c>
      <c r="B29" s="4" t="n">
        <f aca="false">Assumptions!$B$22</f>
        <v>13</v>
      </c>
    </row>
    <row r="30" customFormat="false" ht="15" hidden="false" customHeight="false" outlineLevel="0" collapsed="false">
      <c r="A30" s="0" t="s">
        <v>128</v>
      </c>
      <c r="B30" s="0" t="n">
        <f aca="false">SUM(C21:L21)</f>
        <v>62572.8941475885</v>
      </c>
    </row>
    <row r="31" customFormat="false" ht="15" hidden="false" customHeight="false" outlineLevel="0" collapsed="false">
      <c r="A31" s="0" t="s">
        <v>129</v>
      </c>
      <c r="B31" s="0" t="n">
        <f aca="false">L19</f>
        <v>11108.2286435284</v>
      </c>
    </row>
    <row r="32" customFormat="false" ht="15" hidden="false" customHeight="false" outlineLevel="0" collapsed="false">
      <c r="A32" s="0" t="s">
        <v>130</v>
      </c>
      <c r="B32" s="0" t="n">
        <f aca="false">IF(B27&gt;B28,B31*(1+B28/100)/((B27-B28)/100),B31*B29)</f>
        <v>224386.218599273</v>
      </c>
    </row>
    <row r="33" customFormat="false" ht="15" hidden="false" customHeight="false" outlineLevel="0" collapsed="false">
      <c r="A33" s="0" t="s">
        <v>131</v>
      </c>
      <c r="B33" s="0" t="n">
        <f aca="false">B31*B29</f>
        <v>144406.972365869</v>
      </c>
    </row>
    <row r="34" customFormat="false" ht="15" hidden="false" customHeight="false" outlineLevel="0" collapsed="false">
      <c r="A34" s="0" t="s">
        <v>132</v>
      </c>
      <c r="B34" s="0" t="n">
        <f aca="false">MAX(0,MIN(B32,B33))</f>
        <v>144406.972365869</v>
      </c>
    </row>
    <row r="35" customFormat="false" ht="15" hidden="false" customHeight="false" outlineLevel="0" collapsed="false">
      <c r="A35" s="0" t="s">
        <v>133</v>
      </c>
      <c r="B35" s="0" t="n">
        <f aca="false">B34/(1+B27/100)^L4</f>
        <v>80636.0991192268</v>
      </c>
    </row>
    <row r="36" customFormat="false" ht="15" hidden="false" customHeight="false" outlineLevel="0" collapsed="false">
      <c r="A36" s="0" t="s">
        <v>134</v>
      </c>
      <c r="B36" s="0" t="n">
        <f aca="false">B30+B35</f>
        <v>143208.993266815</v>
      </c>
    </row>
    <row r="37" customFormat="false" ht="15" hidden="false" customHeight="false" outlineLevel="0" collapsed="false">
      <c r="A37" s="0" t="s">
        <v>135</v>
      </c>
      <c r="B37" s="0" t="n">
        <f aca="false">B36+Assumptions!$B$5-Assumptions!$B$4</f>
        <v>-115696.006733185</v>
      </c>
    </row>
    <row r="38" customFormat="false" ht="15" hidden="false" customHeight="false" outlineLevel="0" collapsed="false">
      <c r="A38" s="0" t="s">
        <v>136</v>
      </c>
      <c r="B38" s="0" t="n">
        <f aca="false">B37/Assumptions!$B$3*Assumptions!$B$10</f>
        <v>-1311.13662280782</v>
      </c>
    </row>
    <row r="39" customFormat="false" ht="15" hidden="false" customHeight="false" outlineLevel="0" collapsed="false">
      <c r="A39" s="0" t="s">
        <v>137</v>
      </c>
      <c r="B39" s="4" t="n">
        <f aca="false">B38/Assumptions!$B$2-1</f>
        <v>-1.86032586798413</v>
      </c>
    </row>
    <row r="41" customFormat="false" ht="15" hidden="false" customHeight="false" outlineLevel="0" collapsed="false">
      <c r="A41" s="0" t="s">
        <v>138</v>
      </c>
      <c r="B41" s="0" t="n">
        <f aca="false">SUMPRODUCT(-C10:L10/(1+$B$27/100)^C4:L4)</f>
        <v>0</v>
      </c>
    </row>
    <row r="42" customFormat="false" ht="15" hidden="false" customHeight="false" outlineLevel="0" collapsed="false">
      <c r="A42" s="0" t="s">
        <v>139</v>
      </c>
      <c r="B42" s="0" t="n">
        <f aca="false">IF(B27&gt;B28,-L10*(1+B28/100)/((B27-B28)/100),-L10*20)/(1+B27/100)^L4</f>
        <v>0</v>
      </c>
    </row>
    <row r="43" customFormat="false" ht="15" hidden="false" customHeight="false" outlineLevel="0" collapsed="false">
      <c r="A43" s="0" t="s">
        <v>140</v>
      </c>
      <c r="B43" s="0" t="n">
        <f aca="false">(B37+B41+B42)/Assumptions!$B$3*Assumptions!$B$10</f>
        <v>-1311.13662280782</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80137.9352140259</v>
      </c>
    </row>
    <row r="47" customFormat="false" ht="15" hidden="false" customHeight="false" outlineLevel="0" collapsed="false">
      <c r="A47" s="0" t="s">
        <v>142</v>
      </c>
      <c r="B47" s="0" t="n">
        <f aca="false">(SUMPRODUCT(C19:L19/(1+B45/100)^C4:L4)+B46/(1+B45/100)^L4+Assumptions!$B$5-Assumptions!$B$4)/Assumptions!$B$3*Assumptions!$B$10</f>
        <v>-2254.34390970279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Assumptions!C27</f>
        <v>3.2</v>
      </c>
      <c r="D5" s="4" t="n">
        <f aca="false">Assumptions!D27</f>
        <v>3</v>
      </c>
      <c r="E5" s="4" t="n">
        <f aca="false">Assumptions!E27</f>
        <v>3</v>
      </c>
      <c r="F5" s="4" t="n">
        <f aca="false">Assumptions!F27</f>
        <v>3</v>
      </c>
      <c r="G5" s="4" t="n">
        <f aca="false">Assumptions!G27</f>
        <v>3</v>
      </c>
      <c r="H5" s="4" t="n">
        <f aca="false">Assumptions!H27</f>
        <v>2.5</v>
      </c>
      <c r="I5" s="4" t="n">
        <f aca="false">Assumptions!I27</f>
        <v>2.5</v>
      </c>
      <c r="J5" s="4" t="n">
        <f aca="false">Assumptions!J27</f>
        <v>2</v>
      </c>
      <c r="K5" s="4" t="n">
        <f aca="false">Assumptions!K27</f>
        <v>2</v>
      </c>
      <c r="L5" s="4" t="n">
        <f aca="false">Assumptions!L27</f>
        <v>2</v>
      </c>
    </row>
    <row r="6" customFormat="false" ht="15" hidden="false" customHeight="false" outlineLevel="0" collapsed="false">
      <c r="A6" s="0" t="s">
        <v>37</v>
      </c>
      <c r="B6" s="3" t="n">
        <v>421563</v>
      </c>
      <c r="C6" s="0" t="n">
        <f aca="false">B6*(1+C5/100)</f>
        <v>435053.016</v>
      </c>
      <c r="D6" s="0" t="n">
        <f aca="false">C6*(1+D5/100)</f>
        <v>448104.60648</v>
      </c>
      <c r="E6" s="0" t="n">
        <f aca="false">D6*(1+E5/100)</f>
        <v>461547.7446744</v>
      </c>
      <c r="F6" s="0" t="n">
        <f aca="false">E6*(1+F5/100)</f>
        <v>475394.177014632</v>
      </c>
      <c r="G6" s="0" t="n">
        <f aca="false">F6*(1+G5/100)</f>
        <v>489656.002325071</v>
      </c>
      <c r="H6" s="0" t="n">
        <f aca="false">G6*(1+H5/100)</f>
        <v>501897.402383198</v>
      </c>
      <c r="I6" s="0" t="n">
        <f aca="false">H6*(1+I5/100)</f>
        <v>514444.837442778</v>
      </c>
      <c r="J6" s="0" t="n">
        <f aca="false">I6*(1+J5/100)</f>
        <v>524733.734191633</v>
      </c>
      <c r="K6" s="0" t="n">
        <f aca="false">J6*(1+K5/100)</f>
        <v>535228.408875466</v>
      </c>
      <c r="L6" s="0" t="n">
        <f aca="false">K6*(1+L5/100)</f>
        <v>545932.977052975</v>
      </c>
    </row>
    <row r="7" customFormat="false" ht="15" hidden="false" customHeight="false" outlineLevel="0" collapsed="false">
      <c r="A7" s="0" t="s">
        <v>99</v>
      </c>
      <c r="C7" s="4" t="n">
        <f aca="false">Assumptions!C28</f>
        <v>11.2</v>
      </c>
      <c r="D7" s="4" t="n">
        <f aca="false">Assumptions!D28</f>
        <v>11.5</v>
      </c>
      <c r="E7" s="4" t="n">
        <f aca="false">Assumptions!E28</f>
        <v>11.8</v>
      </c>
      <c r="F7" s="4" t="n">
        <f aca="false">Assumptions!F28</f>
        <v>12</v>
      </c>
      <c r="G7" s="4" t="n">
        <f aca="false">Assumptions!G28</f>
        <v>12.2</v>
      </c>
      <c r="H7" s="4" t="n">
        <f aca="false">Assumptions!H28</f>
        <v>12.3</v>
      </c>
      <c r="I7" s="4" t="n">
        <f aca="false">Assumptions!I28</f>
        <v>12.3</v>
      </c>
      <c r="J7" s="4" t="n">
        <f aca="false">Assumptions!J28</f>
        <v>12.3</v>
      </c>
      <c r="K7" s="4" t="n">
        <f aca="false">Assumptions!K28</f>
        <v>12.3</v>
      </c>
      <c r="L7" s="4" t="n">
        <f aca="false">Assumptions!L28</f>
        <v>12.3</v>
      </c>
    </row>
    <row r="8" customFormat="false" ht="15" hidden="false" customHeight="false" outlineLevel="0" collapsed="false">
      <c r="A8" s="0" t="s">
        <v>43</v>
      </c>
      <c r="C8" s="0" t="n">
        <f aca="false">C6*C7/100</f>
        <v>48725.937792</v>
      </c>
      <c r="D8" s="0" t="n">
        <f aca="false">D6*D7/100</f>
        <v>51532.0297452</v>
      </c>
      <c r="E8" s="0" t="n">
        <f aca="false">E6*E7/100</f>
        <v>54462.6338715792</v>
      </c>
      <c r="F8" s="0" t="n">
        <f aca="false">F6*F7/100</f>
        <v>57047.3012417558</v>
      </c>
      <c r="G8" s="0" t="n">
        <f aca="false">G6*G7/100</f>
        <v>59738.0322836587</v>
      </c>
      <c r="H8" s="0" t="n">
        <f aca="false">H6*H7/100</f>
        <v>61733.3804931333</v>
      </c>
      <c r="I8" s="0" t="n">
        <f aca="false">I6*I7/100</f>
        <v>63276.7150054617</v>
      </c>
      <c r="J8" s="0" t="n">
        <f aca="false">J6*J7/100</f>
        <v>64542.2493055709</v>
      </c>
      <c r="K8" s="0" t="n">
        <f aca="false">K6*K7/100</f>
        <v>65833.0942916823</v>
      </c>
      <c r="L8" s="0" t="n">
        <f aca="false">L6*L7/100</f>
        <v>67149.756177516</v>
      </c>
    </row>
    <row r="9" customFormat="false" ht="15" hidden="false" customHeight="false" outlineLevel="0" collapsed="false">
      <c r="A9" s="0" t="s">
        <v>100</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115</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116</v>
      </c>
      <c r="C11" s="0" t="n">
        <f aca="false">C8+C10+C24</f>
        <v>48725.937792</v>
      </c>
      <c r="D11" s="0" t="n">
        <f aca="false">D8+D10+D24</f>
        <v>51532.0297452</v>
      </c>
      <c r="E11" s="0" t="n">
        <f aca="false">E8+E10+E24</f>
        <v>54462.6338715792</v>
      </c>
      <c r="F11" s="0" t="n">
        <f aca="false">F8+F10+F24</f>
        <v>57047.3012417558</v>
      </c>
      <c r="G11" s="0" t="n">
        <f aca="false">G8+G10+G24</f>
        <v>59738.0322836587</v>
      </c>
      <c r="H11" s="0" t="n">
        <f aca="false">H8+H10+H24</f>
        <v>61733.3804931333</v>
      </c>
      <c r="I11" s="0" t="n">
        <f aca="false">I8+I10+I24</f>
        <v>63276.7150054617</v>
      </c>
      <c r="J11" s="0" t="n">
        <f aca="false">J8+J10+J24</f>
        <v>64542.2493055709</v>
      </c>
      <c r="K11" s="0" t="n">
        <f aca="false">K8+K10+K24</f>
        <v>65833.0942916823</v>
      </c>
      <c r="L11" s="0" t="n">
        <f aca="false">L8+L10+L24</f>
        <v>67149.756177516</v>
      </c>
    </row>
    <row r="12" customFormat="false" ht="15" hidden="false" customHeight="false" outlineLevel="0" collapsed="false">
      <c r="A12" s="0" t="s">
        <v>117</v>
      </c>
      <c r="C12" s="4" t="n">
        <f aca="false">-C6*Assumptions!C31/100</f>
        <v>-25668.127944</v>
      </c>
      <c r="D12" s="4" t="n">
        <f aca="false">-D6*Assumptions!D31/100</f>
        <v>-26438.17178232</v>
      </c>
      <c r="E12" s="4" t="n">
        <f aca="false">-E6*Assumptions!E31/100</f>
        <v>-27692.864680464</v>
      </c>
      <c r="F12" s="4" t="n">
        <f aca="false">-F6*Assumptions!F31/100</f>
        <v>-28523.6506208779</v>
      </c>
      <c r="G12" s="4" t="n">
        <f aca="false">-G6*Assumptions!G31/100</f>
        <v>-29379.3601395043</v>
      </c>
      <c r="H12" s="4" t="n">
        <f aca="false">-H6*Assumptions!H31/100</f>
        <v>-30113.8441429919</v>
      </c>
      <c r="I12" s="4" t="n">
        <f aca="false">-I6*Assumptions!I31/100</f>
        <v>-30866.6902465667</v>
      </c>
      <c r="J12" s="4" t="n">
        <f aca="false">-J6*Assumptions!J31/100</f>
        <v>-31484.024051498</v>
      </c>
      <c r="K12" s="4" t="n">
        <f aca="false">-K6*Assumptions!K31/100</f>
        <v>-32113.704532528</v>
      </c>
      <c r="L12" s="4" t="n">
        <f aca="false">-L6*Assumptions!L31/100</f>
        <v>-32755.9786231785</v>
      </c>
    </row>
    <row r="13" customFormat="false" ht="15" hidden="false" customHeight="false" outlineLevel="0" collapsed="false">
      <c r="A13" s="0" t="s">
        <v>118</v>
      </c>
      <c r="C13" s="0" t="n">
        <f aca="false">C11+C12</f>
        <v>23057.809848</v>
      </c>
      <c r="D13" s="0" t="n">
        <f aca="false">D11+D12</f>
        <v>25093.85796288</v>
      </c>
      <c r="E13" s="0" t="n">
        <f aca="false">E11+E12</f>
        <v>26769.7691911152</v>
      </c>
      <c r="F13" s="0" t="n">
        <f aca="false">F11+F12</f>
        <v>28523.6506208779</v>
      </c>
      <c r="G13" s="0" t="n">
        <f aca="false">G11+G12</f>
        <v>30358.6721441544</v>
      </c>
      <c r="H13" s="0" t="n">
        <f aca="false">H11+H12</f>
        <v>31619.5363501415</v>
      </c>
      <c r="I13" s="0" t="n">
        <f aca="false">I11+I12</f>
        <v>32410.024758895</v>
      </c>
      <c r="J13" s="0" t="n">
        <f aca="false">J11+J12</f>
        <v>33058.2252540729</v>
      </c>
      <c r="K13" s="0" t="n">
        <f aca="false">K11+K12</f>
        <v>33719.3897591544</v>
      </c>
      <c r="L13" s="0" t="n">
        <f aca="false">L11+L12</f>
        <v>34393.7775543374</v>
      </c>
    </row>
    <row r="14" customFormat="false" ht="15" hidden="false" customHeight="false" outlineLevel="0" collapsed="false">
      <c r="A14" s="0" t="s">
        <v>104</v>
      </c>
      <c r="C14" s="4" t="n">
        <f aca="false">Assumptions!C33</f>
        <v>26</v>
      </c>
      <c r="D14" s="4" t="n">
        <f aca="false">Assumptions!D33</f>
        <v>28</v>
      </c>
      <c r="E14" s="4" t="n">
        <f aca="false">Assumptions!E33</f>
        <v>30.6</v>
      </c>
      <c r="F14" s="4" t="n">
        <f aca="false">Assumptions!F33</f>
        <v>30.6</v>
      </c>
      <c r="G14" s="4" t="n">
        <f aca="false">Assumptions!G33</f>
        <v>30.6</v>
      </c>
      <c r="H14" s="4" t="n">
        <f aca="false">Assumptions!H33</f>
        <v>30.6</v>
      </c>
      <c r="I14" s="4" t="n">
        <f aca="false">Assumptions!I33</f>
        <v>30.6</v>
      </c>
      <c r="J14" s="4" t="n">
        <f aca="false">Assumptions!J33</f>
        <v>30.6</v>
      </c>
      <c r="K14" s="4" t="n">
        <f aca="false">Assumptions!K33</f>
        <v>30.6</v>
      </c>
      <c r="L14" s="4" t="n">
        <f aca="false">Assumptions!L33</f>
        <v>30.6</v>
      </c>
    </row>
    <row r="15" customFormat="false" ht="15" hidden="false" customHeight="false" outlineLevel="0" collapsed="false">
      <c r="A15" s="0" t="s">
        <v>119</v>
      </c>
      <c r="C15" s="0" t="n">
        <f aca="false">C13-MAX(0,C13)*C14/100</f>
        <v>17062.77928752</v>
      </c>
      <c r="D15" s="0" t="n">
        <f aca="false">D13-MAX(0,D13)*D14/100</f>
        <v>18067.5777332736</v>
      </c>
      <c r="E15" s="0" t="n">
        <f aca="false">E13-MAX(0,E13)*E14/100</f>
        <v>18578.219818634</v>
      </c>
      <c r="F15" s="0" t="n">
        <f aca="false">F13-MAX(0,F13)*F14/100</f>
        <v>19795.4135308893</v>
      </c>
      <c r="G15" s="0" t="n">
        <f aca="false">G13-MAX(0,G13)*G14/100</f>
        <v>21068.9184680432</v>
      </c>
      <c r="H15" s="0" t="n">
        <f aca="false">H13-MAX(0,H13)*H14/100</f>
        <v>21943.9582269982</v>
      </c>
      <c r="I15" s="0" t="n">
        <f aca="false">I13-MAX(0,I13)*I14/100</f>
        <v>22492.5571826731</v>
      </c>
      <c r="J15" s="0" t="n">
        <f aca="false">J13-MAX(0,J13)*J14/100</f>
        <v>22942.4083263266</v>
      </c>
      <c r="K15" s="0" t="n">
        <f aca="false">K13-MAX(0,K13)*K14/100</f>
        <v>23401.2564928531</v>
      </c>
      <c r="L15" s="0" t="n">
        <f aca="false">L13-MAX(0,L13)*L14/100</f>
        <v>23869.2816227102</v>
      </c>
    </row>
    <row r="16" customFormat="false" ht="15" hidden="false" customHeight="false" outlineLevel="0" collapsed="false">
      <c r="A16" s="0" t="s">
        <v>120</v>
      </c>
      <c r="C16" s="0" t="n">
        <f aca="false">-C12</f>
        <v>25668.127944</v>
      </c>
      <c r="D16" s="0" t="n">
        <f aca="false">-D12</f>
        <v>26438.17178232</v>
      </c>
      <c r="E16" s="0" t="n">
        <f aca="false">-E12</f>
        <v>27692.864680464</v>
      </c>
      <c r="F16" s="0" t="n">
        <f aca="false">-F12</f>
        <v>28523.6506208779</v>
      </c>
      <c r="G16" s="0" t="n">
        <f aca="false">-G12</f>
        <v>29379.3601395043</v>
      </c>
      <c r="H16" s="0" t="n">
        <f aca="false">-H12</f>
        <v>30113.8441429919</v>
      </c>
      <c r="I16" s="0" t="n">
        <f aca="false">-I12</f>
        <v>30866.6902465667</v>
      </c>
      <c r="J16" s="0" t="n">
        <f aca="false">-J12</f>
        <v>31484.024051498</v>
      </c>
      <c r="K16" s="0" t="n">
        <f aca="false">-K12</f>
        <v>32113.704532528</v>
      </c>
      <c r="L16" s="0" t="n">
        <f aca="false">-L12</f>
        <v>32755.9786231785</v>
      </c>
    </row>
    <row r="17" customFormat="false" ht="15" hidden="false" customHeight="false" outlineLevel="0" collapsed="false">
      <c r="A17" s="0" t="s">
        <v>121</v>
      </c>
      <c r="C17" s="4" t="n">
        <f aca="false">-C6*Assumptions!C32/100</f>
        <v>-30453.71112</v>
      </c>
      <c r="D17" s="4" t="n">
        <f aca="false">-D6*Assumptions!D32/100</f>
        <v>-31367.3224536</v>
      </c>
      <c r="E17" s="4" t="n">
        <f aca="false">-E6*Assumptions!E32/100</f>
        <v>-32308.342127208</v>
      </c>
      <c r="F17" s="4" t="n">
        <f aca="false">-F6*Assumptions!F32/100</f>
        <v>-33277.5923910242</v>
      </c>
      <c r="G17" s="4" t="n">
        <f aca="false">-G6*Assumptions!G32/100</f>
        <v>-34275.920162755</v>
      </c>
      <c r="H17" s="4" t="n">
        <f aca="false">-H6*Assumptions!H32/100</f>
        <v>-34129.0233620574</v>
      </c>
      <c r="I17" s="4" t="n">
        <f aca="false">-I6*Assumptions!I32/100</f>
        <v>-33953.3592712233</v>
      </c>
      <c r="J17" s="4" t="n">
        <f aca="false">-J6*Assumptions!J32/100</f>
        <v>-34107.6927224562</v>
      </c>
      <c r="K17" s="4" t="n">
        <f aca="false">-K6*Assumptions!K32/100</f>
        <v>-34789.8465769053</v>
      </c>
      <c r="L17" s="4" t="n">
        <f aca="false">-L6*Assumptions!L32/100</f>
        <v>-35485.6435084434</v>
      </c>
    </row>
    <row r="18" customFormat="false" ht="15" hidden="false" customHeight="false" outlineLevel="0" collapsed="false">
      <c r="A18" s="0" t="s">
        <v>122</v>
      </c>
      <c r="C18" s="4" t="n">
        <f aca="false">(C6-B6)*Assumptions!$B$37/100</f>
        <v>-2698.0032</v>
      </c>
      <c r="D18" s="4" t="n">
        <f aca="false">(D6-C6)*Assumptions!$B$37/100</f>
        <v>-2610.318096</v>
      </c>
      <c r="E18" s="4" t="n">
        <f aca="false">(E6-D6)*Assumptions!$B$37/100</f>
        <v>-2688.62763888</v>
      </c>
      <c r="F18" s="4" t="n">
        <f aca="false">(F6-E6)*Assumptions!$B$37/100</f>
        <v>-2769.2864680464</v>
      </c>
      <c r="G18" s="4" t="n">
        <f aca="false">(G6-F6)*Assumptions!$B$37/100</f>
        <v>-2852.3650620878</v>
      </c>
      <c r="H18" s="4" t="n">
        <f aca="false">(H6-G6)*Assumptions!$B$37/100</f>
        <v>-2448.28001162534</v>
      </c>
      <c r="I18" s="4" t="n">
        <f aca="false">(I6-H6)*Assumptions!$B$37/100</f>
        <v>-2509.48701191598</v>
      </c>
      <c r="J18" s="4" t="n">
        <f aca="false">(J6-I6)*Assumptions!$B$37/100</f>
        <v>-2057.77934977111</v>
      </c>
      <c r="K18" s="4" t="n">
        <f aca="false">(K6-J6)*Assumptions!$B$37/100</f>
        <v>-2098.93493676654</v>
      </c>
      <c r="L18" s="4" t="n">
        <f aca="false">(L6-K6)*Assumptions!$B$37/100</f>
        <v>-2140.91363550187</v>
      </c>
    </row>
    <row r="19" customFormat="false" ht="15" hidden="false" customHeight="false" outlineLevel="0" collapsed="false">
      <c r="A19" s="0" t="s">
        <v>123</v>
      </c>
      <c r="C19" s="0" t="n">
        <f aca="false">C15+C16+C17+C18</f>
        <v>9579.19291152</v>
      </c>
      <c r="D19" s="0" t="n">
        <f aca="false">D15+D16+D17+D18</f>
        <v>10528.1089659936</v>
      </c>
      <c r="E19" s="0" t="n">
        <f aca="false">E15+E16+E17+E18</f>
        <v>11274.11473301</v>
      </c>
      <c r="F19" s="0" t="n">
        <f aca="false">F15+F16+F17+F18</f>
        <v>12272.1852926966</v>
      </c>
      <c r="G19" s="0" t="n">
        <f aca="false">G15+G16+G17+G18</f>
        <v>13319.9933827046</v>
      </c>
      <c r="H19" s="0" t="n">
        <f aca="false">H15+H16+H17+H18</f>
        <v>15480.4989963073</v>
      </c>
      <c r="I19" s="0" t="n">
        <f aca="false">I15+I16+I17+I18</f>
        <v>16896.4011461005</v>
      </c>
      <c r="J19" s="0" t="n">
        <f aca="false">J15+J16+J17+J18</f>
        <v>18260.9603055973</v>
      </c>
      <c r="K19" s="0" t="n">
        <f aca="false">K15+K16+K17+K18</f>
        <v>18626.1795117093</v>
      </c>
      <c r="L19" s="0" t="n">
        <f aca="false">L15+L16+L17+L18</f>
        <v>18998.7031019434</v>
      </c>
    </row>
    <row r="20" customFormat="false" ht="15" hidden="false" customHeight="false" outlineLevel="0" collapsed="false">
      <c r="A20" s="0" t="s">
        <v>124</v>
      </c>
      <c r="C20" s="0" t="n">
        <f aca="false">1/(1+$B$27/100)^C4</f>
        <v>0.943396226415094</v>
      </c>
      <c r="D20" s="0" t="n">
        <f aca="false">1/(1+$B$27/100)^D4</f>
        <v>0.88999644001424</v>
      </c>
      <c r="E20" s="0" t="n">
        <f aca="false">1/(1+$B$27/100)^E4</f>
        <v>0.839619283032302</v>
      </c>
      <c r="F20" s="0" t="n">
        <f aca="false">1/(1+$B$27/100)^F4</f>
        <v>0.79209366323802</v>
      </c>
      <c r="G20" s="0" t="n">
        <f aca="false">1/(1+$B$27/100)^G4</f>
        <v>0.747258172866057</v>
      </c>
      <c r="H20" s="0" t="n">
        <f aca="false">1/(1+$B$27/100)^H4</f>
        <v>0.704960540439676</v>
      </c>
      <c r="I20" s="0" t="n">
        <f aca="false">1/(1+$B$27/100)^I4</f>
        <v>0.665057113622336</v>
      </c>
      <c r="J20" s="0" t="n">
        <f aca="false">1/(1+$B$27/100)^J4</f>
        <v>0.627412371341827</v>
      </c>
      <c r="K20" s="0" t="n">
        <f aca="false">1/(1+$B$27/100)^K4</f>
        <v>0.591898463530025</v>
      </c>
      <c r="L20" s="0" t="n">
        <f aca="false">1/(1+$B$27/100)^L4</f>
        <v>0.558394776915118</v>
      </c>
    </row>
    <row r="21" customFormat="false" ht="15" hidden="false" customHeight="false" outlineLevel="0" collapsed="false">
      <c r="A21" s="0" t="s">
        <v>125</v>
      </c>
      <c r="C21" s="0" t="n">
        <f aca="false">C19*C20</f>
        <v>9036.97444483019</v>
      </c>
      <c r="D21" s="0" t="n">
        <f aca="false">D19*D20</f>
        <v>9369.9794998163</v>
      </c>
      <c r="E21" s="0" t="n">
        <f aca="false">E19*E20</f>
        <v>9465.96412895373</v>
      </c>
      <c r="F21" s="0" t="n">
        <f aca="false">F19*F20</f>
        <v>9720.72020442777</v>
      </c>
      <c r="G21" s="0" t="n">
        <f aca="false">G19*G20</f>
        <v>9953.47391774784</v>
      </c>
      <c r="H21" s="0" t="n">
        <f aca="false">H19*H20</f>
        <v>10913.1409387126</v>
      </c>
      <c r="I21" s="0" t="n">
        <f aca="false">I19*I20</f>
        <v>11237.0717768307</v>
      </c>
      <c r="J21" s="0" t="n">
        <f aca="false">J19*J20</f>
        <v>11457.1524083138</v>
      </c>
      <c r="K21" s="0" t="n">
        <f aca="false">K19*K20</f>
        <v>11024.8070344151</v>
      </c>
      <c r="L21" s="0" t="n">
        <f aca="false">L19*L20</f>
        <v>10608.7765802863</v>
      </c>
    </row>
    <row r="23" customFormat="false" ht="15" hidden="false" customHeight="false" outlineLevel="0" collapsed="false">
      <c r="A23" s="0" t="s">
        <v>101</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127</v>
      </c>
    </row>
    <row r="27" customFormat="false" ht="15" hidden="false" customHeight="false" outlineLevel="0" collapsed="false">
      <c r="A27" s="0" t="s">
        <v>105</v>
      </c>
      <c r="B27" s="4" t="n">
        <f aca="false">Assumptions!$B$34</f>
        <v>6</v>
      </c>
    </row>
    <row r="28" customFormat="false" ht="15" hidden="false" customHeight="false" outlineLevel="0" collapsed="false">
      <c r="A28" s="0" t="s">
        <v>106</v>
      </c>
      <c r="B28" s="4" t="n">
        <f aca="false">Assumptions!$B$35</f>
        <v>1.5</v>
      </c>
    </row>
    <row r="29" customFormat="false" ht="15" hidden="false" customHeight="false" outlineLevel="0" collapsed="false">
      <c r="A29" s="0" t="s">
        <v>107</v>
      </c>
      <c r="B29" s="4" t="n">
        <f aca="false">Assumptions!$B$36</f>
        <v>15</v>
      </c>
    </row>
    <row r="30" customFormat="false" ht="15" hidden="false" customHeight="false" outlineLevel="0" collapsed="false">
      <c r="A30" s="0" t="s">
        <v>128</v>
      </c>
      <c r="B30" s="0" t="n">
        <f aca="false">SUM(C21:L21)</f>
        <v>102788.060934334</v>
      </c>
    </row>
    <row r="31" customFormat="false" ht="15" hidden="false" customHeight="false" outlineLevel="0" collapsed="false">
      <c r="A31" s="0" t="s">
        <v>129</v>
      </c>
      <c r="B31" s="0" t="n">
        <f aca="false">L19</f>
        <v>18998.7031019434</v>
      </c>
    </row>
    <row r="32" customFormat="false" ht="15" hidden="false" customHeight="false" outlineLevel="0" collapsed="false">
      <c r="A32" s="0" t="s">
        <v>130</v>
      </c>
      <c r="B32" s="0" t="n">
        <f aca="false">IF(B27&gt;B28,B31*(1+B28/100)/((B27-B28)/100),B31*B29)</f>
        <v>428526.303299391</v>
      </c>
    </row>
    <row r="33" customFormat="false" ht="15" hidden="false" customHeight="false" outlineLevel="0" collapsed="false">
      <c r="A33" s="0" t="s">
        <v>131</v>
      </c>
      <c r="B33" s="0" t="n">
        <f aca="false">B31*B29</f>
        <v>284980.546529152</v>
      </c>
    </row>
    <row r="34" customFormat="false" ht="15" hidden="false" customHeight="false" outlineLevel="0" collapsed="false">
      <c r="A34" s="0" t="s">
        <v>132</v>
      </c>
      <c r="B34" s="0" t="n">
        <f aca="false">MAX(0,MIN(B32,B33))</f>
        <v>284980.546529152</v>
      </c>
    </row>
    <row r="35" customFormat="false" ht="15" hidden="false" customHeight="false" outlineLevel="0" collapsed="false">
      <c r="A35" s="0" t="s">
        <v>133</v>
      </c>
      <c r="B35" s="0" t="n">
        <f aca="false">B34/(1+B27/100)^L4</f>
        <v>159131.648704294</v>
      </c>
    </row>
    <row r="36" customFormat="false" ht="15" hidden="false" customHeight="false" outlineLevel="0" collapsed="false">
      <c r="A36" s="0" t="s">
        <v>134</v>
      </c>
      <c r="B36" s="0" t="n">
        <f aca="false">B30+B35</f>
        <v>261919.709638628</v>
      </c>
    </row>
    <row r="37" customFormat="false" ht="15" hidden="false" customHeight="false" outlineLevel="0" collapsed="false">
      <c r="A37" s="0" t="s">
        <v>135</v>
      </c>
      <c r="B37" s="0" t="n">
        <f aca="false">B36+Assumptions!$B$5-Assumptions!$B$4</f>
        <v>3014.70963862829</v>
      </c>
    </row>
    <row r="38" customFormat="false" ht="15" hidden="false" customHeight="false" outlineLevel="0" collapsed="false">
      <c r="A38" s="0" t="s">
        <v>136</v>
      </c>
      <c r="B38" s="0" t="n">
        <f aca="false">B37/Assumptions!$B$3*Assumptions!$B$10</f>
        <v>34.1644999334583</v>
      </c>
    </row>
    <row r="39" customFormat="false" ht="15" hidden="false" customHeight="false" outlineLevel="0" collapsed="false">
      <c r="A39" s="0" t="s">
        <v>137</v>
      </c>
      <c r="B39" s="4" t="n">
        <f aca="false">B38/Assumptions!$B$2-1</f>
        <v>-0.977582349125027</v>
      </c>
    </row>
    <row r="41" customFormat="false" ht="15" hidden="false" customHeight="false" outlineLevel="0" collapsed="false">
      <c r="A41" s="0" t="s">
        <v>138</v>
      </c>
      <c r="B41" s="0" t="n">
        <f aca="false">SUMPRODUCT(-C10:L10/(1+$B$27/100)^C4:L4)</f>
        <v>0</v>
      </c>
    </row>
    <row r="42" customFormat="false" ht="15" hidden="false" customHeight="false" outlineLevel="0" collapsed="false">
      <c r="A42" s="0" t="s">
        <v>139</v>
      </c>
      <c r="B42" s="0" t="n">
        <f aca="false">IF(B27&gt;B28,-L10*(1+B28/100)/((B27-B28)/100),-L10*20)/(1+B27/100)^L4</f>
        <v>0</v>
      </c>
    </row>
    <row r="43" customFormat="false" ht="15" hidden="false" customHeight="false" outlineLevel="0" collapsed="false">
      <c r="A43" s="0" t="s">
        <v>140</v>
      </c>
      <c r="B43" s="0" t="n">
        <f aca="false">(B37+B41+B42)/Assumptions!$B$3*Assumptions!$B$10</f>
        <v>34.1644999334583</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142842.101099797</v>
      </c>
    </row>
    <row r="47" customFormat="false" ht="15" hidden="false" customHeight="false" outlineLevel="0" collapsed="false">
      <c r="A47" s="0" t="s">
        <v>142</v>
      </c>
      <c r="B47" s="0" t="n">
        <f aca="false">(SUMPRODUCT(C19:L19/(1+B45/100)^C4:L4)+B46/(1+B45/100)^L4+Assumptions!$B$5-Assumptions!$B$4)/Assumptions!$B$3*Assumptions!$B$10</f>
        <v>-1782.04092732484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Assumptions!C41</f>
        <v>4</v>
      </c>
      <c r="D5" s="4" t="n">
        <f aca="false">Assumptions!D41</f>
        <v>4</v>
      </c>
      <c r="E5" s="4" t="n">
        <f aca="false">Assumptions!E41</f>
        <v>4</v>
      </c>
      <c r="F5" s="4" t="n">
        <f aca="false">Assumptions!F41</f>
        <v>3.5</v>
      </c>
      <c r="G5" s="4" t="n">
        <f aca="false">Assumptions!G41</f>
        <v>3.5</v>
      </c>
      <c r="H5" s="4" t="n">
        <f aca="false">Assumptions!H41</f>
        <v>3</v>
      </c>
      <c r="I5" s="4" t="n">
        <f aca="false">Assumptions!I41</f>
        <v>2.5</v>
      </c>
      <c r="J5" s="4" t="n">
        <f aca="false">Assumptions!J41</f>
        <v>2.5</v>
      </c>
      <c r="K5" s="4" t="n">
        <f aca="false">Assumptions!K41</f>
        <v>2</v>
      </c>
      <c r="L5" s="4" t="n">
        <f aca="false">Assumptions!L41</f>
        <v>2</v>
      </c>
    </row>
    <row r="6" customFormat="false" ht="15" hidden="false" customHeight="false" outlineLevel="0" collapsed="false">
      <c r="A6" s="0" t="s">
        <v>37</v>
      </c>
      <c r="B6" s="3" t="n">
        <v>421563</v>
      </c>
      <c r="C6" s="0" t="n">
        <f aca="false">B6*(1+C5/100)</f>
        <v>438425.52</v>
      </c>
      <c r="D6" s="0" t="n">
        <f aca="false">C6*(1+D5/100)</f>
        <v>455962.5408</v>
      </c>
      <c r="E6" s="0" t="n">
        <f aca="false">D6*(1+E5/100)</f>
        <v>474201.042432</v>
      </c>
      <c r="F6" s="0" t="n">
        <f aca="false">E6*(1+F5/100)</f>
        <v>490798.07891712</v>
      </c>
      <c r="G6" s="0" t="n">
        <f aca="false">F6*(1+G5/100)</f>
        <v>507976.011679219</v>
      </c>
      <c r="H6" s="0" t="n">
        <f aca="false">G6*(1+H5/100)</f>
        <v>523215.292029596</v>
      </c>
      <c r="I6" s="0" t="n">
        <f aca="false">H6*(1+I5/100)</f>
        <v>536295.674330336</v>
      </c>
      <c r="J6" s="0" t="n">
        <f aca="false">I6*(1+J5/100)</f>
        <v>549703.066188594</v>
      </c>
      <c r="K6" s="0" t="n">
        <f aca="false">J6*(1+K5/100)</f>
        <v>560697.127512366</v>
      </c>
      <c r="L6" s="0" t="n">
        <f aca="false">K6*(1+L5/100)</f>
        <v>571911.070062613</v>
      </c>
    </row>
    <row r="7" customFormat="false" ht="15" hidden="false" customHeight="false" outlineLevel="0" collapsed="false">
      <c r="A7" s="0" t="s">
        <v>99</v>
      </c>
      <c r="C7" s="4" t="n">
        <f aca="false">Assumptions!C42</f>
        <v>11.8</v>
      </c>
      <c r="D7" s="4" t="n">
        <f aca="false">Assumptions!D42</f>
        <v>12.6</v>
      </c>
      <c r="E7" s="4" t="n">
        <f aca="false">Assumptions!E42</f>
        <v>13.4</v>
      </c>
      <c r="F7" s="4" t="n">
        <f aca="false">Assumptions!F42</f>
        <v>14.2</v>
      </c>
      <c r="G7" s="4" t="n">
        <f aca="false">Assumptions!G42</f>
        <v>15</v>
      </c>
      <c r="H7" s="4" t="n">
        <f aca="false">Assumptions!H42</f>
        <v>15</v>
      </c>
      <c r="I7" s="4" t="n">
        <f aca="false">Assumptions!I42</f>
        <v>15</v>
      </c>
      <c r="J7" s="4" t="n">
        <f aca="false">Assumptions!J42</f>
        <v>15</v>
      </c>
      <c r="K7" s="4" t="n">
        <f aca="false">Assumptions!K42</f>
        <v>15</v>
      </c>
      <c r="L7" s="4" t="n">
        <f aca="false">Assumptions!L42</f>
        <v>15</v>
      </c>
    </row>
    <row r="8" customFormat="false" ht="15" hidden="false" customHeight="false" outlineLevel="0" collapsed="false">
      <c r="A8" s="0" t="s">
        <v>43</v>
      </c>
      <c r="C8" s="0" t="n">
        <f aca="false">C6*C7/100</f>
        <v>51734.21136</v>
      </c>
      <c r="D8" s="0" t="n">
        <f aca="false">D6*D7/100</f>
        <v>57451.2801408</v>
      </c>
      <c r="E8" s="0" t="n">
        <f aca="false">E6*E7/100</f>
        <v>63542.939685888</v>
      </c>
      <c r="F8" s="0" t="n">
        <f aca="false">F6*F7/100</f>
        <v>69693.327206231</v>
      </c>
      <c r="G8" s="0" t="n">
        <f aca="false">G6*G7/100</f>
        <v>76196.4017518829</v>
      </c>
      <c r="H8" s="0" t="n">
        <f aca="false">H6*H7/100</f>
        <v>78482.2938044394</v>
      </c>
      <c r="I8" s="0" t="n">
        <f aca="false">I6*I7/100</f>
        <v>80444.3511495504</v>
      </c>
      <c r="J8" s="0" t="n">
        <f aca="false">J6*J7/100</f>
        <v>82455.4599282891</v>
      </c>
      <c r="K8" s="0" t="n">
        <f aca="false">K6*K7/100</f>
        <v>84104.5691268549</v>
      </c>
      <c r="L8" s="0" t="n">
        <f aca="false">L6*L7/100</f>
        <v>85786.660509392</v>
      </c>
    </row>
    <row r="9" customFormat="false" ht="15" hidden="false" customHeight="false" outlineLevel="0" collapsed="false">
      <c r="A9" s="0" t="s">
        <v>100</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115</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116</v>
      </c>
      <c r="C11" s="0" t="n">
        <f aca="false">C8+C10+C24</f>
        <v>51734.21136</v>
      </c>
      <c r="D11" s="0" t="n">
        <f aca="false">D8+D10+D24</f>
        <v>57451.2801408</v>
      </c>
      <c r="E11" s="0" t="n">
        <f aca="false">E8+E10+E24</f>
        <v>63542.939685888</v>
      </c>
      <c r="F11" s="0" t="n">
        <f aca="false">F8+F10+F24</f>
        <v>69693.327206231</v>
      </c>
      <c r="G11" s="0" t="n">
        <f aca="false">G8+G10+G24</f>
        <v>76196.4017518829</v>
      </c>
      <c r="H11" s="0" t="n">
        <f aca="false">H8+H10+H24</f>
        <v>78482.2938044394</v>
      </c>
      <c r="I11" s="0" t="n">
        <f aca="false">I8+I10+I24</f>
        <v>80444.3511495504</v>
      </c>
      <c r="J11" s="0" t="n">
        <f aca="false">J8+J10+J24</f>
        <v>82455.4599282891</v>
      </c>
      <c r="K11" s="0" t="n">
        <f aca="false">K8+K10+K24</f>
        <v>84104.5691268549</v>
      </c>
      <c r="L11" s="0" t="n">
        <f aca="false">L8+L10+L24</f>
        <v>85786.660509392</v>
      </c>
    </row>
    <row r="12" customFormat="false" ht="15" hidden="false" customHeight="false" outlineLevel="0" collapsed="false">
      <c r="A12" s="0" t="s">
        <v>117</v>
      </c>
      <c r="C12" s="4" t="n">
        <f aca="false">-C6*Assumptions!C45/100</f>
        <v>-25867.10568</v>
      </c>
      <c r="D12" s="4" t="n">
        <f aca="false">-D6*Assumptions!D45/100</f>
        <v>-26901.7899072</v>
      </c>
      <c r="E12" s="4" t="n">
        <f aca="false">-E6*Assumptions!E45/100</f>
        <v>-28452.06254592</v>
      </c>
      <c r="F12" s="4" t="n">
        <f aca="false">-F6*Assumptions!F45/100</f>
        <v>-29447.8847350272</v>
      </c>
      <c r="G12" s="4" t="n">
        <f aca="false">-G6*Assumptions!G45/100</f>
        <v>-30478.5607007532</v>
      </c>
      <c r="H12" s="4" t="n">
        <f aca="false">-H6*Assumptions!H45/100</f>
        <v>-31392.9175217757</v>
      </c>
      <c r="I12" s="4" t="n">
        <f aca="false">-I6*Assumptions!I45/100</f>
        <v>-32177.7404598201</v>
      </c>
      <c r="J12" s="4" t="n">
        <f aca="false">-J6*Assumptions!J45/100</f>
        <v>-32982.1839713156</v>
      </c>
      <c r="K12" s="4" t="n">
        <f aca="false">-K6*Assumptions!K45/100</f>
        <v>-33641.8276507419</v>
      </c>
      <c r="L12" s="4" t="n">
        <f aca="false">-L6*Assumptions!L45/100</f>
        <v>-34314.6642037568</v>
      </c>
    </row>
    <row r="13" customFormat="false" ht="15" hidden="false" customHeight="false" outlineLevel="0" collapsed="false">
      <c r="A13" s="0" t="s">
        <v>118</v>
      </c>
      <c r="C13" s="0" t="n">
        <f aca="false">C11+C12</f>
        <v>25867.10568</v>
      </c>
      <c r="D13" s="0" t="n">
        <f aca="false">D11+D12</f>
        <v>30549.4902336</v>
      </c>
      <c r="E13" s="0" t="n">
        <f aca="false">E11+E12</f>
        <v>35090.877139968</v>
      </c>
      <c r="F13" s="0" t="n">
        <f aca="false">F11+F12</f>
        <v>40245.4424712038</v>
      </c>
      <c r="G13" s="0" t="n">
        <f aca="false">G11+G12</f>
        <v>45717.8410511297</v>
      </c>
      <c r="H13" s="0" t="n">
        <f aca="false">H11+H12</f>
        <v>47089.3762826636</v>
      </c>
      <c r="I13" s="0" t="n">
        <f aca="false">I11+I12</f>
        <v>48266.6106897302</v>
      </c>
      <c r="J13" s="0" t="n">
        <f aca="false">J11+J12</f>
        <v>49473.2759569734</v>
      </c>
      <c r="K13" s="0" t="n">
        <f aca="false">K11+K12</f>
        <v>50462.7414761129</v>
      </c>
      <c r="L13" s="0" t="n">
        <f aca="false">L11+L12</f>
        <v>51471.9963056352</v>
      </c>
    </row>
    <row r="14" customFormat="false" ht="15" hidden="false" customHeight="false" outlineLevel="0" collapsed="false">
      <c r="A14" s="0" t="s">
        <v>104</v>
      </c>
      <c r="C14" s="4" t="n">
        <f aca="false">Assumptions!C47</f>
        <v>26</v>
      </c>
      <c r="D14" s="4" t="n">
        <f aca="false">Assumptions!D47</f>
        <v>28</v>
      </c>
      <c r="E14" s="4" t="n">
        <f aca="false">Assumptions!E47</f>
        <v>30.6</v>
      </c>
      <c r="F14" s="4" t="n">
        <f aca="false">Assumptions!F47</f>
        <v>30.6</v>
      </c>
      <c r="G14" s="4" t="n">
        <f aca="false">Assumptions!G47</f>
        <v>30.6</v>
      </c>
      <c r="H14" s="4" t="n">
        <f aca="false">Assumptions!H47</f>
        <v>30.6</v>
      </c>
      <c r="I14" s="4" t="n">
        <f aca="false">Assumptions!I47</f>
        <v>30.6</v>
      </c>
      <c r="J14" s="4" t="n">
        <f aca="false">Assumptions!J47</f>
        <v>30.6</v>
      </c>
      <c r="K14" s="4" t="n">
        <f aca="false">Assumptions!K47</f>
        <v>30.6</v>
      </c>
      <c r="L14" s="4" t="n">
        <f aca="false">Assumptions!L47</f>
        <v>30.6</v>
      </c>
    </row>
    <row r="15" customFormat="false" ht="15" hidden="false" customHeight="false" outlineLevel="0" collapsed="false">
      <c r="A15" s="0" t="s">
        <v>119</v>
      </c>
      <c r="C15" s="0" t="n">
        <f aca="false">C13-MAX(0,C13)*C14/100</f>
        <v>19141.6582032</v>
      </c>
      <c r="D15" s="0" t="n">
        <f aca="false">D13-MAX(0,D13)*D14/100</f>
        <v>21995.632968192</v>
      </c>
      <c r="E15" s="0" t="n">
        <f aca="false">E13-MAX(0,E13)*E14/100</f>
        <v>24353.0687351378</v>
      </c>
      <c r="F15" s="0" t="n">
        <f aca="false">F13-MAX(0,F13)*F14/100</f>
        <v>27930.3370750155</v>
      </c>
      <c r="G15" s="0" t="n">
        <f aca="false">G13-MAX(0,G13)*G14/100</f>
        <v>31728.181689484</v>
      </c>
      <c r="H15" s="0" t="n">
        <f aca="false">H13-MAX(0,H13)*H14/100</f>
        <v>32680.0271401685</v>
      </c>
      <c r="I15" s="0" t="n">
        <f aca="false">I13-MAX(0,I13)*I14/100</f>
        <v>33497.0278186728</v>
      </c>
      <c r="J15" s="0" t="n">
        <f aca="false">J13-MAX(0,J13)*J14/100</f>
        <v>34334.4535141396</v>
      </c>
      <c r="K15" s="0" t="n">
        <f aca="false">K13-MAX(0,K13)*K14/100</f>
        <v>35021.1425844224</v>
      </c>
      <c r="L15" s="0" t="n">
        <f aca="false">L13-MAX(0,L13)*L14/100</f>
        <v>35721.5654361108</v>
      </c>
    </row>
    <row r="16" customFormat="false" ht="15" hidden="false" customHeight="false" outlineLevel="0" collapsed="false">
      <c r="A16" s="0" t="s">
        <v>120</v>
      </c>
      <c r="C16" s="0" t="n">
        <f aca="false">-C12</f>
        <v>25867.10568</v>
      </c>
      <c r="D16" s="0" t="n">
        <f aca="false">-D12</f>
        <v>26901.7899072</v>
      </c>
      <c r="E16" s="0" t="n">
        <f aca="false">-E12</f>
        <v>28452.06254592</v>
      </c>
      <c r="F16" s="0" t="n">
        <f aca="false">-F12</f>
        <v>29447.8847350272</v>
      </c>
      <c r="G16" s="0" t="n">
        <f aca="false">-G12</f>
        <v>30478.5607007532</v>
      </c>
      <c r="H16" s="0" t="n">
        <f aca="false">-H12</f>
        <v>31392.9175217757</v>
      </c>
      <c r="I16" s="0" t="n">
        <f aca="false">-I12</f>
        <v>32177.7404598201</v>
      </c>
      <c r="J16" s="0" t="n">
        <f aca="false">-J12</f>
        <v>32982.1839713156</v>
      </c>
      <c r="K16" s="0" t="n">
        <f aca="false">-K12</f>
        <v>33641.8276507419</v>
      </c>
      <c r="L16" s="0" t="n">
        <f aca="false">-L12</f>
        <v>34314.6642037568</v>
      </c>
    </row>
    <row r="17" customFormat="false" ht="15" hidden="false" customHeight="false" outlineLevel="0" collapsed="false">
      <c r="A17" s="0" t="s">
        <v>121</v>
      </c>
      <c r="C17" s="4" t="n">
        <f aca="false">-C6*Assumptions!C46/100</f>
        <v>-32881.914</v>
      </c>
      <c r="D17" s="4" t="n">
        <f aca="false">-D6*Assumptions!D46/100</f>
        <v>-34197.19056</v>
      </c>
      <c r="E17" s="4" t="n">
        <f aca="false">-E6*Assumptions!E46/100</f>
        <v>-35565.0781824</v>
      </c>
      <c r="F17" s="4" t="n">
        <f aca="false">-F6*Assumptions!F46/100</f>
        <v>-36809.855918784</v>
      </c>
      <c r="G17" s="4" t="n">
        <f aca="false">-G6*Assumptions!G46/100</f>
        <v>-38098.2008759414</v>
      </c>
      <c r="H17" s="4" t="n">
        <f aca="false">-H6*Assumptions!H46/100</f>
        <v>-36625.0704420717</v>
      </c>
      <c r="I17" s="4" t="n">
        <f aca="false">-I6*Assumptions!I46/100</f>
        <v>-36468.1058544628</v>
      </c>
      <c r="J17" s="4" t="n">
        <f aca="false">-J6*Assumptions!J46/100</f>
        <v>-35730.6993022586</v>
      </c>
      <c r="K17" s="4" t="n">
        <f aca="false">-K6*Assumptions!K46/100</f>
        <v>-36445.3132883038</v>
      </c>
      <c r="L17" s="4" t="n">
        <f aca="false">-L6*Assumptions!L46/100</f>
        <v>-37174.2195540698</v>
      </c>
    </row>
    <row r="18" customFormat="false" ht="15" hidden="false" customHeight="false" outlineLevel="0" collapsed="false">
      <c r="A18" s="0" t="s">
        <v>122</v>
      </c>
      <c r="C18" s="4" t="n">
        <f aca="false">(C6-B6)*Assumptions!$B$51/100</f>
        <v>-3372.504</v>
      </c>
      <c r="D18" s="4" t="n">
        <f aca="false">(D6-C6)*Assumptions!$B$51/100</f>
        <v>-3507.40416</v>
      </c>
      <c r="E18" s="4" t="n">
        <f aca="false">(E6-D6)*Assumptions!$B$51/100</f>
        <v>-3647.70032640001</v>
      </c>
      <c r="F18" s="4" t="n">
        <f aca="false">(F6-E6)*Assumptions!$B$51/100</f>
        <v>-3319.40729702399</v>
      </c>
      <c r="G18" s="4" t="n">
        <f aca="false">(G6-F6)*Assumptions!$B$51/100</f>
        <v>-3435.58655241983</v>
      </c>
      <c r="H18" s="4" t="n">
        <f aca="false">(H6-G6)*Assumptions!$B$51/100</f>
        <v>-3047.85607007531</v>
      </c>
      <c r="I18" s="4" t="n">
        <f aca="false">(I6-H6)*Assumptions!$B$51/100</f>
        <v>-2616.07646014798</v>
      </c>
      <c r="J18" s="4" t="n">
        <f aca="false">(J6-I6)*Assumptions!$B$51/100</f>
        <v>-2681.47837165166</v>
      </c>
      <c r="K18" s="4" t="n">
        <f aca="false">(K6-J6)*Assumptions!$B$51/100</f>
        <v>-2198.81226475437</v>
      </c>
      <c r="L18" s="4" t="n">
        <f aca="false">(L6-K6)*Assumptions!$B$51/100</f>
        <v>-2242.78851004946</v>
      </c>
    </row>
    <row r="19" customFormat="false" ht="15" hidden="false" customHeight="false" outlineLevel="0" collapsed="false">
      <c r="A19" s="0" t="s">
        <v>123</v>
      </c>
      <c r="C19" s="0" t="n">
        <f aca="false">C15+C16+C17+C18</f>
        <v>8754.3458832</v>
      </c>
      <c r="D19" s="0" t="n">
        <f aca="false">D15+D16+D17+D18</f>
        <v>11192.828155392</v>
      </c>
      <c r="E19" s="0" t="n">
        <f aca="false">E15+E16+E17+E18</f>
        <v>13592.3527722578</v>
      </c>
      <c r="F19" s="0" t="n">
        <f aca="false">F15+F16+F17+F18</f>
        <v>17248.9585942347</v>
      </c>
      <c r="G19" s="0" t="n">
        <f aca="false">G15+G16+G17+G18</f>
        <v>20672.9549618759</v>
      </c>
      <c r="H19" s="0" t="n">
        <f aca="false">H15+H16+H17+H18</f>
        <v>24400.0181497973</v>
      </c>
      <c r="I19" s="0" t="n">
        <f aca="false">I15+I16+I17+I18</f>
        <v>26590.5859638821</v>
      </c>
      <c r="J19" s="0" t="n">
        <f aca="false">J15+J16+J17+J18</f>
        <v>28904.4598115449</v>
      </c>
      <c r="K19" s="0" t="n">
        <f aca="false">K15+K16+K17+K18</f>
        <v>30018.8446821062</v>
      </c>
      <c r="L19" s="0" t="n">
        <f aca="false">L15+L16+L17+L18</f>
        <v>30619.2215757483</v>
      </c>
    </row>
    <row r="20" customFormat="false" ht="15" hidden="false" customHeight="false" outlineLevel="0" collapsed="false">
      <c r="A20" s="0" t="s">
        <v>124</v>
      </c>
      <c r="C20" s="0" t="n">
        <f aca="false">1/(1+$B$27/100)^C4</f>
        <v>0.943396226415094</v>
      </c>
      <c r="D20" s="0" t="n">
        <f aca="false">1/(1+$B$27/100)^D4</f>
        <v>0.88999644001424</v>
      </c>
      <c r="E20" s="0" t="n">
        <f aca="false">1/(1+$B$27/100)^E4</f>
        <v>0.839619283032302</v>
      </c>
      <c r="F20" s="0" t="n">
        <f aca="false">1/(1+$B$27/100)^F4</f>
        <v>0.79209366323802</v>
      </c>
      <c r="G20" s="0" t="n">
        <f aca="false">1/(1+$B$27/100)^G4</f>
        <v>0.747258172866057</v>
      </c>
      <c r="H20" s="0" t="n">
        <f aca="false">1/(1+$B$27/100)^H4</f>
        <v>0.704960540439676</v>
      </c>
      <c r="I20" s="0" t="n">
        <f aca="false">1/(1+$B$27/100)^I4</f>
        <v>0.665057113622336</v>
      </c>
      <c r="J20" s="0" t="n">
        <f aca="false">1/(1+$B$27/100)^J4</f>
        <v>0.627412371341827</v>
      </c>
      <c r="K20" s="0" t="n">
        <f aca="false">1/(1+$B$27/100)^K4</f>
        <v>0.591898463530025</v>
      </c>
      <c r="L20" s="0" t="n">
        <f aca="false">1/(1+$B$27/100)^L4</f>
        <v>0.558394776915118</v>
      </c>
    </row>
    <row r="21" customFormat="false" ht="15" hidden="false" customHeight="false" outlineLevel="0" collapsed="false">
      <c r="A21" s="0" t="s">
        <v>125</v>
      </c>
      <c r="C21" s="0" t="n">
        <f aca="false">C19*C20</f>
        <v>8258.8168709434</v>
      </c>
      <c r="D21" s="0" t="n">
        <f aca="false">D19*D20</f>
        <v>9961.57721199003</v>
      </c>
      <c r="E21" s="0" t="n">
        <f aca="false">E19*E20</f>
        <v>11412.4014893652</v>
      </c>
      <c r="F21" s="0" t="n">
        <f aca="false">F19*F20</f>
        <v>13662.7907999483</v>
      </c>
      <c r="G21" s="0" t="n">
        <f aca="false">G19*G20</f>
        <v>15448.0345525537</v>
      </c>
      <c r="H21" s="0" t="n">
        <f aca="false">H19*H20</f>
        <v>17201.049981619</v>
      </c>
      <c r="I21" s="0" t="n">
        <f aca="false">I19*I20</f>
        <v>17684.258350666</v>
      </c>
      <c r="J21" s="0" t="n">
        <f aca="false">J19*J20</f>
        <v>18135.0156727159</v>
      </c>
      <c r="K21" s="0" t="n">
        <f aca="false">K19*K20</f>
        <v>17768.1080442851</v>
      </c>
      <c r="L21" s="0" t="n">
        <f aca="false">L19*L20</f>
        <v>17097.6134011045</v>
      </c>
    </row>
    <row r="23" customFormat="false" ht="15" hidden="false" customHeight="false" outlineLevel="0" collapsed="false">
      <c r="A23" s="0" t="s">
        <v>101</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127</v>
      </c>
    </row>
    <row r="27" customFormat="false" ht="15" hidden="false" customHeight="false" outlineLevel="0" collapsed="false">
      <c r="A27" s="0" t="s">
        <v>105</v>
      </c>
      <c r="B27" s="4" t="n">
        <f aca="false">Assumptions!$B$48</f>
        <v>6</v>
      </c>
    </row>
    <row r="28" customFormat="false" ht="15" hidden="false" customHeight="false" outlineLevel="0" collapsed="false">
      <c r="A28" s="0" t="s">
        <v>106</v>
      </c>
      <c r="B28" s="4" t="n">
        <f aca="false">Assumptions!$B$49</f>
        <v>2</v>
      </c>
    </row>
    <row r="29" customFormat="false" ht="15" hidden="false" customHeight="false" outlineLevel="0" collapsed="false">
      <c r="A29" s="0" t="s">
        <v>107</v>
      </c>
      <c r="B29" s="4" t="n">
        <f aca="false">Assumptions!$B$50</f>
        <v>16</v>
      </c>
    </row>
    <row r="30" customFormat="false" ht="15" hidden="false" customHeight="false" outlineLevel="0" collapsed="false">
      <c r="A30" s="0" t="s">
        <v>128</v>
      </c>
      <c r="B30" s="0" t="n">
        <f aca="false">SUM(C21:L21)</f>
        <v>146629.666375191</v>
      </c>
    </row>
    <row r="31" customFormat="false" ht="15" hidden="false" customHeight="false" outlineLevel="0" collapsed="false">
      <c r="A31" s="0" t="s">
        <v>129</v>
      </c>
      <c r="B31" s="0" t="n">
        <f aca="false">L19</f>
        <v>30619.2215757483</v>
      </c>
    </row>
    <row r="32" customFormat="false" ht="15" hidden="false" customHeight="false" outlineLevel="0" collapsed="false">
      <c r="A32" s="0" t="s">
        <v>130</v>
      </c>
      <c r="B32" s="0" t="n">
        <f aca="false">IF(B27&gt;B28,B31*(1+B28/100)/((B27-B28)/100),B31*B29)</f>
        <v>780790.150181581</v>
      </c>
    </row>
    <row r="33" customFormat="false" ht="15" hidden="false" customHeight="false" outlineLevel="0" collapsed="false">
      <c r="A33" s="0" t="s">
        <v>131</v>
      </c>
      <c r="B33" s="0" t="n">
        <f aca="false">B31*B29</f>
        <v>489907.545211972</v>
      </c>
    </row>
    <row r="34" customFormat="false" ht="15" hidden="false" customHeight="false" outlineLevel="0" collapsed="false">
      <c r="A34" s="0" t="s">
        <v>132</v>
      </c>
      <c r="B34" s="0" t="n">
        <f aca="false">MAX(0,MIN(B32,B33))</f>
        <v>489907.545211972</v>
      </c>
    </row>
    <row r="35" customFormat="false" ht="15" hidden="false" customHeight="false" outlineLevel="0" collapsed="false">
      <c r="A35" s="0" t="s">
        <v>133</v>
      </c>
      <c r="B35" s="0" t="n">
        <f aca="false">B34/(1+B27/100)^L4</f>
        <v>273561.814417672</v>
      </c>
    </row>
    <row r="36" customFormat="false" ht="15" hidden="false" customHeight="false" outlineLevel="0" collapsed="false">
      <c r="A36" s="0" t="s">
        <v>134</v>
      </c>
      <c r="B36" s="0" t="n">
        <f aca="false">B30+B35</f>
        <v>420191.480792864</v>
      </c>
    </row>
    <row r="37" customFormat="false" ht="15" hidden="false" customHeight="false" outlineLevel="0" collapsed="false">
      <c r="A37" s="0" t="s">
        <v>135</v>
      </c>
      <c r="B37" s="0" t="n">
        <f aca="false">B36+Assumptions!$B$5-Assumptions!$B$4</f>
        <v>161286.480792864</v>
      </c>
    </row>
    <row r="38" customFormat="false" ht="15" hidden="false" customHeight="false" outlineLevel="0" collapsed="false">
      <c r="A38" s="0" t="s">
        <v>136</v>
      </c>
      <c r="B38" s="0" t="n">
        <f aca="false">B37/Assumptions!$B$3*Assumptions!$B$10</f>
        <v>1827.79525155952</v>
      </c>
    </row>
    <row r="39" customFormat="false" ht="15" hidden="false" customHeight="false" outlineLevel="0" collapsed="false">
      <c r="A39" s="0" t="s">
        <v>137</v>
      </c>
      <c r="B39" s="4" t="n">
        <f aca="false">B38/Assumptions!$B$2-1</f>
        <v>0.199340716246404</v>
      </c>
    </row>
    <row r="41" customFormat="false" ht="15" hidden="false" customHeight="false" outlineLevel="0" collapsed="false">
      <c r="A41" s="0" t="s">
        <v>138</v>
      </c>
      <c r="B41" s="0" t="n">
        <f aca="false">SUMPRODUCT(-C10:L10/(1+$B$27/100)^C4:L4)</f>
        <v>0</v>
      </c>
    </row>
    <row r="42" customFormat="false" ht="15" hidden="false" customHeight="false" outlineLevel="0" collapsed="false">
      <c r="A42" s="0" t="s">
        <v>139</v>
      </c>
      <c r="B42" s="0" t="n">
        <f aca="false">IF(B27&gt;B28,-L10*(1+B28/100)/((B27-B28)/100),-L10*20)/(1+B27/100)^L4</f>
        <v>0</v>
      </c>
    </row>
    <row r="43" customFormat="false" ht="15" hidden="false" customHeight="false" outlineLevel="0" collapsed="false">
      <c r="A43" s="0" t="s">
        <v>140</v>
      </c>
      <c r="B43" s="0" t="n">
        <f aca="false">(B37+B41+B42)/Assumptions!$B$3*Assumptions!$B$10</f>
        <v>1827.79525155952</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240243.123132794</v>
      </c>
    </row>
    <row r="47" customFormat="false" ht="15" hidden="false" customHeight="false" outlineLevel="0" collapsed="false">
      <c r="A47" s="0" t="s">
        <v>142</v>
      </c>
      <c r="B47" s="0" t="n">
        <f aca="false">(SUMPRODUCT(C19:L19/(1+B45/100)^C4:L4)+B46/(1+B45/100)^L4+Assumptions!$B$5-Assumptions!$B$4)/Assumptions!$B$3*Assumptions!$B$10</f>
        <v>-1226.99563092497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145</v>
      </c>
    </row>
    <row r="3" customFormat="false" ht="15" hidden="false" customHeight="false" outlineLevel="0" collapsed="false">
      <c r="A3" s="2" t="s">
        <v>146</v>
      </c>
      <c r="B3" s="2" t="s">
        <v>147</v>
      </c>
      <c r="C3" s="2" t="s">
        <v>137</v>
      </c>
      <c r="D3" s="2" t="s">
        <v>148</v>
      </c>
      <c r="E3" s="2" t="s">
        <v>140</v>
      </c>
      <c r="F3" s="2" t="s">
        <v>149</v>
      </c>
    </row>
    <row r="4" customFormat="false" ht="15" hidden="false" customHeight="false" outlineLevel="0" collapsed="false">
      <c r="A4" s="0" t="s">
        <v>150</v>
      </c>
      <c r="B4" s="4" t="n">
        <f aca="false">DCF_Bear!$B$38</f>
        <v>-1311.13662280782</v>
      </c>
      <c r="C4" s="0" t="n">
        <f aca="false">B4/Assumptions!$B$2-1</f>
        <v>-1.86032586798413</v>
      </c>
      <c r="D4" s="4" t="n">
        <f aca="false">Assumptions!$B$24</f>
        <v>0.3</v>
      </c>
      <c r="E4" s="4" t="n">
        <f aca="false">DCF_Bear!$B$43</f>
        <v>-1311.13662280782</v>
      </c>
      <c r="F4" s="4" t="n">
        <f aca="false">DCF_Bear!$B$47</f>
        <v>-2254.34390970279</v>
      </c>
    </row>
    <row r="5" customFormat="false" ht="15" hidden="false" customHeight="false" outlineLevel="0" collapsed="false">
      <c r="A5" s="0" t="s">
        <v>151</v>
      </c>
      <c r="B5" s="4" t="n">
        <f aca="false">DCF_Base!$B$38</f>
        <v>34.1644999334583</v>
      </c>
      <c r="C5" s="0" t="n">
        <f aca="false">B5/Assumptions!$B$2-1</f>
        <v>-0.977582349125027</v>
      </c>
      <c r="D5" s="4" t="n">
        <f aca="false">Assumptions!$B$38</f>
        <v>0.5</v>
      </c>
      <c r="E5" s="4" t="n">
        <f aca="false">DCF_Base!$B$43</f>
        <v>34.1644999334583</v>
      </c>
      <c r="F5" s="4" t="n">
        <f aca="false">DCF_Base!$B$47</f>
        <v>-1782.04092732484</v>
      </c>
    </row>
    <row r="6" customFormat="false" ht="15" hidden="false" customHeight="false" outlineLevel="0" collapsed="false">
      <c r="A6" s="0" t="s">
        <v>152</v>
      </c>
      <c r="B6" s="4" t="n">
        <f aca="false">DCF_Bull!$B$38</f>
        <v>1827.79525155952</v>
      </c>
      <c r="C6" s="0" t="n">
        <f aca="false">B6/Assumptions!$B$2-1</f>
        <v>0.199340716246404</v>
      </c>
      <c r="D6" s="4" t="n">
        <f aca="false">Assumptions!$B$52</f>
        <v>0.2</v>
      </c>
      <c r="E6" s="4" t="n">
        <f aca="false">DCF_Bull!$B$43</f>
        <v>1827.79525155952</v>
      </c>
      <c r="F6" s="4" t="n">
        <f aca="false">DCF_Bull!$B$47</f>
        <v>-1226.99563092497</v>
      </c>
    </row>
    <row r="8" customFormat="false" ht="15" hidden="false" customHeight="false" outlineLevel="0" collapsed="false">
      <c r="A8" s="0" t="s">
        <v>153</v>
      </c>
      <c r="B8" s="0" t="n">
        <f aca="false">SUMPRODUCT(B4:B6,D4:D6)</f>
        <v>-10.6996865637126</v>
      </c>
    </row>
    <row r="9" customFormat="false" ht="15" hidden="false" customHeight="false" outlineLevel="0" collapsed="false">
      <c r="A9" s="0" t="s">
        <v>154</v>
      </c>
      <c r="B9" s="0" t="n">
        <f aca="false">SUMPRODUCT(E4:E6,D4:D6)</f>
        <v>-10.6996865637126</v>
      </c>
    </row>
    <row r="10" customFormat="false" ht="15" hidden="false" customHeight="false" outlineLevel="0" collapsed="false">
      <c r="A10" s="0" t="s">
        <v>155</v>
      </c>
      <c r="B10" s="0" t="n">
        <f aca="false">1-Assumptions!$B$2/B8</f>
        <v>143.434078879335</v>
      </c>
    </row>
    <row r="11" customFormat="false" ht="15" hidden="false" customHeight="false" outlineLevel="0" collapsed="false">
      <c r="A11" s="0" t="s">
        <v>156</v>
      </c>
      <c r="B11" s="0" t="str">
        <f aca="false">IF(ABS(B9-B8)&gt;0.01*ABS(B8),(Assumptions!$B$2-B8)/(B9-B8)*100,"n/a")</f>
        <v>n/a</v>
      </c>
    </row>
    <row r="12" customFormat="false" ht="15" hidden="false" customHeight="false" outlineLevel="0" collapsed="false">
      <c r="A12" s="0" t="s">
        <v>157</v>
      </c>
      <c r="B12" s="0" t="n">
        <f aca="false">SUMPRODUCT(F4:F6,D4:D6)</f>
        <v>-1812.72276275825</v>
      </c>
    </row>
    <row r="14" customFormat="false" ht="15" hidden="false" customHeight="false" outlineLevel="0" collapsed="false">
      <c r="A14" s="2" t="s">
        <v>158</v>
      </c>
      <c r="C14" s="0" t="s">
        <v>159</v>
      </c>
    </row>
    <row r="15" customFormat="false" ht="15" hidden="false" customHeight="false" outlineLevel="0" collapsed="false">
      <c r="A15" s="0" t="s">
        <v>160</v>
      </c>
      <c r="B15" s="0" t="n">
        <f aca="false">(SUMPRODUCT(DCF_Base!$C$19:$L$19/(1+$C$15/100)^DCF_Base!$C$4:$L$4)+MAX(0,MIN(IF($C$15&gt;DCF_Base!$B$28,DCF_Base!$L$19*(1+DCF_Base!$B$28/100)/(($C$15-DCF_Base!$B$28)/100),DCF_Base!$L$19*DCF_Base!$B$29),DCF_Base!$L$19*DCF_Base!$B$29))/(1+$C$15/100)^DCF_Base!$L$4+Assumptions!$B$5-Assumptions!$B$4)/Assumptions!$B$3*Assumptions!$B$10</f>
        <v>34.1644999334583</v>
      </c>
      <c r="C15" s="3" t="n">
        <v>6</v>
      </c>
    </row>
    <row r="16" customFormat="false" ht="15" hidden="false" customHeight="false" outlineLevel="0" collapsed="false">
      <c r="A16" s="0" t="s">
        <v>161</v>
      </c>
      <c r="B16" s="0" t="n">
        <f aca="false">(SUMPRODUCT(DCF_Base!$C$19:$L$19/(1+$C$16/100)^DCF_Base!$C$4:$L$4)+MAX(0,MIN(IF($C$16&gt;DCF_Base!$B$28,DCF_Base!$L$19*(1+DCF_Base!$B$28/100)/(($C$16-DCF_Base!$B$28)/100),DCF_Base!$L$19*DCF_Base!$B$29),DCF_Base!$L$19*DCF_Base!$B$29))/(1+$C$16/100)^DCF_Base!$L$4+Assumptions!$B$5-Assumptions!$B$4)/Assumptions!$B$3*Assumptions!$B$10</f>
        <v>-706.599195927218</v>
      </c>
      <c r="C16" s="3" t="n">
        <v>9</v>
      </c>
    </row>
    <row r="17" customFormat="false" ht="15" hidden="false" customHeight="false" outlineLevel="0" collapsed="false">
      <c r="A17" s="0" t="s">
        <v>162</v>
      </c>
      <c r="B17" s="0" t="n">
        <f aca="false">(SUMPRODUCT(DCF_Base!$C$19:$L$19/(1+$C$17/100)^DCF_Base!$C$4:$L$4)+MAX(0,MIN(IF($C$17&gt;DCF_Base!$B$28,DCF_Base!$L$19*(1+DCF_Base!$B$28/100)/(($C$17-DCF_Base!$B$28)/100),DCF_Base!$L$19*DCF_Base!$B$29),DCF_Base!$L$19*DCF_Base!$B$29))/(1+$C$17/100)^DCF_Base!$L$4+Assumptions!$B$5-Assumptions!$B$4)/Assumptions!$B$3*Assumptions!$B$10</f>
        <v>-994.477695789883</v>
      </c>
      <c r="C17" s="3" t="n">
        <v>10</v>
      </c>
    </row>
    <row r="18" customFormat="false" ht="15" hidden="false" customHeight="false" outlineLevel="0" collapsed="false">
      <c r="A18" s="0" t="s">
        <v>163</v>
      </c>
      <c r="B18" s="0" t="n">
        <f aca="false">(SUMPRODUCT(DCF_Base!$C$19:$L$19/(1+$C$18/100)^DCF_Base!$C$4:$L$4)+MAX(0,MIN(IF($C$18&gt;DCF_Base!$B$28,DCF_Base!$L$19*(1+DCF_Base!$B$28/100)/(($C$18-DCF_Base!$B$28)/100),DCF_Base!$L$19*DCF_Base!$B$29),DCF_Base!$L$19*DCF_Base!$B$29))/(1+$C$18/100)^DCF_Base!$L$4+Assumptions!$B$5-Assumptions!$B$4)/Assumptions!$B$3*Assumptions!$B$10</f>
        <v>-1220.4996260127</v>
      </c>
      <c r="C18" s="3" t="n">
        <v>11</v>
      </c>
    </row>
    <row r="19" customFormat="false" ht="15" hidden="false" customHeight="false" outlineLevel="0" collapsed="false">
      <c r="A19" s="0" t="s">
        <v>164</v>
      </c>
      <c r="B19" s="0" t="n">
        <f aca="false">(SUMPRODUCT(DCF_Base!$C$19:$L$19/(1+$C$19/100)^DCF_Base!$C$4:$L$4)+MAX(0,MIN(IF($C$19&gt;DCF_Base!$B$28,DCF_Base!$L$19*(1+DCF_Base!$B$28/100)/(($C$19-DCF_Base!$B$28)/100),DCF_Base!$L$19*DCF_Base!$B$29),DCF_Base!$L$19*DCF_Base!$B$29))/(1+$C$19/100)^DCF_Base!$L$4+Assumptions!$B$5-Assumptions!$B$4)/Assumptions!$B$3*Assumptions!$B$10</f>
        <v>-1402.41325267531</v>
      </c>
      <c r="C19" s="3" t="n">
        <v>12</v>
      </c>
    </row>
    <row r="20" customFormat="false" ht="15" hidden="false" customHeight="false" outlineLevel="0" collapsed="false">
      <c r="A20" s="0" t="s">
        <v>165</v>
      </c>
      <c r="B20" s="0" t="n">
        <f aca="false">(SUMPRODUCT(DCF_Base!$C$19:$L$19/(1+$C$20/100)^DCF_Base!$C$4:$L$4)+MAX(0,MIN(IF($C$20&gt;DCF_Base!$B$28,DCF_Base!$L$19*(1+DCF_Base!$B$28/100)/(($C$20-DCF_Base!$B$28)/100),DCF_Base!$L$19*DCF_Base!$B$29),DCF_Base!$L$19*DCF_Base!$B$29))/(1+$C$20/100)^DCF_Base!$L$4+Assumptions!$B$5-Assumptions!$B$4)/Assumptions!$B$3*Assumptions!$B$10</f>
        <v>-1782.04092732484</v>
      </c>
      <c r="C20" s="3" t="n">
        <v>15</v>
      </c>
    </row>
    <row r="22" customFormat="false" ht="15" hidden="false" customHeight="false" outlineLevel="0" collapsed="false">
      <c r="A22" s="2" t="s">
        <v>166</v>
      </c>
    </row>
    <row r="23" customFormat="false" ht="15" hidden="false" customHeight="false" outlineLevel="0" collapsed="false">
      <c r="B23" s="3" t="n">
        <v>0.5</v>
      </c>
      <c r="C23" s="3" t="n">
        <v>1</v>
      </c>
      <c r="D23" s="3" t="n">
        <v>1.5</v>
      </c>
      <c r="E23" s="3" t="n">
        <v>2</v>
      </c>
      <c r="F23" s="3" t="n">
        <v>2.5</v>
      </c>
    </row>
    <row r="24" customFormat="false" ht="15" hidden="false" customHeight="false" outlineLevel="0" collapsed="false">
      <c r="A24" s="3" t="n">
        <v>4</v>
      </c>
      <c r="B24" s="0" t="n">
        <f aca="false">(SUMPRODUCT(DCF_Base!$C$19:$L$19/(1+$A$24/100)^DCF_Base!$C$4:$L$4)+MAX(0,MIN(IF($A$24&gt;$B$23,DCF_Base!$L$19*(1+$B$23/100)/(($A$24-$B$23)/100),DCF_Base!$L$19*DCF_Base!$B$29),DCF_Base!$L$19*DCF_Base!$B$29))/(1+$A$24/100)^DCF_Base!$L$4+Assumptions!$B$5-Assumptions!$B$4)/Assumptions!$B$3*Assumptions!$B$10</f>
        <v>548.067870924906</v>
      </c>
      <c r="C24" s="0" t="n">
        <f aca="false">(SUMPRODUCT(DCF_Base!$C$19:$L$19/(1+$A$24/100)^DCF_Base!$C$4:$L$4)+MAX(0,MIN(IF($A$24&gt;$C$23,DCF_Base!$L$19*(1+$C$23/100)/(($A$24-$C$23)/100),DCF_Base!$L$19*DCF_Base!$B$29),DCF_Base!$L$19*DCF_Base!$B$29))/(1+$A$24/100)^DCF_Base!$L$4+Assumptions!$B$5-Assumptions!$B$4)/Assumptions!$B$3*Assumptions!$B$10</f>
        <v>548.067870924906</v>
      </c>
      <c r="D24" s="0" t="n">
        <f aca="false">(SUMPRODUCT(DCF_Base!$C$19:$L$19/(1+$A$24/100)^DCF_Base!$C$4:$L$4)+MAX(0,MIN(IF($A$24&gt;$D$23,DCF_Base!$L$19*(1+$D$23/100)/(($A$24-$D$23)/100),DCF_Base!$L$19*DCF_Base!$B$29),DCF_Base!$L$19*DCF_Base!$B$29))/(1+$A$24/100)^DCF_Base!$L$4+Assumptions!$B$5-Assumptions!$B$4)/Assumptions!$B$3*Assumptions!$B$10</f>
        <v>548.067870924906</v>
      </c>
      <c r="E24" s="0" t="n">
        <f aca="false">(SUMPRODUCT(DCF_Base!$C$19:$L$19/(1+$A$24/100)^DCF_Base!$C$4:$L$4)+MAX(0,MIN(IF($A$24&gt;$E$23,DCF_Base!$L$19*(1+$E$23/100)/(($A$24-$E$23)/100),DCF_Base!$L$19*DCF_Base!$B$29),DCF_Base!$L$19*DCF_Base!$B$29))/(1+$A$24/100)^DCF_Base!$L$4+Assumptions!$B$5-Assumptions!$B$4)/Assumptions!$B$3*Assumptions!$B$10</f>
        <v>548.067870924906</v>
      </c>
      <c r="F24" s="0" t="n">
        <f aca="false">(SUMPRODUCT(DCF_Base!$C$19:$L$19/(1+$A$24/100)^DCF_Base!$C$4:$L$4)+MAX(0,MIN(IF($A$24&gt;$F$23,DCF_Base!$L$19*(1+$F$23/100)/(($A$24-$F$23)/100),DCF_Base!$L$19*DCF_Base!$B$29),DCF_Base!$L$19*DCF_Base!$B$29))/(1+$A$24/100)^DCF_Base!$L$4+Assumptions!$B$5-Assumptions!$B$4)/Assumptions!$B$3*Assumptions!$B$10</f>
        <v>548.067870924906</v>
      </c>
    </row>
    <row r="25" customFormat="false" ht="15" hidden="false" customHeight="false" outlineLevel="0" collapsed="false">
      <c r="A25" s="3" t="n">
        <v>5</v>
      </c>
      <c r="B25" s="0" t="n">
        <f aca="false">(SUMPRODUCT(DCF_Base!$C$19:$L$19/(1+$A$25/100)^DCF_Base!$C$4:$L$4)+MAX(0,MIN(IF($A$25&gt;$B$23,DCF_Base!$L$19*(1+$B$23/100)/(($A$25-$B$23)/100),DCF_Base!$L$19*DCF_Base!$B$29),DCF_Base!$L$19*DCF_Base!$B$29))/(1+$A$25/100)^DCF_Base!$L$4+Assumptions!$B$5-Assumptions!$B$4)/Assumptions!$B$3*Assumptions!$B$10</f>
        <v>278.58073474059</v>
      </c>
      <c r="C25" s="0" t="n">
        <f aca="false">(SUMPRODUCT(DCF_Base!$C$19:$L$19/(1+$A$25/100)^DCF_Base!$C$4:$L$4)+MAX(0,MIN(IF($A$25&gt;$C$23,DCF_Base!$L$19*(1+$C$23/100)/(($A$25-$C$23)/100),DCF_Base!$L$19*DCF_Base!$B$29),DCF_Base!$L$19*DCF_Base!$B$29))/(1+$A$25/100)^DCF_Base!$L$4+Assumptions!$B$5-Assumptions!$B$4)/Assumptions!$B$3*Assumptions!$B$10</f>
        <v>278.58073474059</v>
      </c>
      <c r="D25" s="0" t="n">
        <f aca="false">(SUMPRODUCT(DCF_Base!$C$19:$L$19/(1+$A$25/100)^DCF_Base!$C$4:$L$4)+MAX(0,MIN(IF($A$25&gt;$D$23,DCF_Base!$L$19*(1+$D$23/100)/(($A$25-$D$23)/100),DCF_Base!$L$19*DCF_Base!$B$29),DCF_Base!$L$19*DCF_Base!$B$29))/(1+$A$25/100)^DCF_Base!$L$4+Assumptions!$B$5-Assumptions!$B$4)/Assumptions!$B$3*Assumptions!$B$10</f>
        <v>278.58073474059</v>
      </c>
      <c r="E25" s="0" t="n">
        <f aca="false">(SUMPRODUCT(DCF_Base!$C$19:$L$19/(1+$A$25/100)^DCF_Base!$C$4:$L$4)+MAX(0,MIN(IF($A$25&gt;$E$23,DCF_Base!$L$19*(1+$E$23/100)/(($A$25-$E$23)/100),DCF_Base!$L$19*DCF_Base!$B$29),DCF_Base!$L$19*DCF_Base!$B$29))/(1+$A$25/100)^DCF_Base!$L$4+Assumptions!$B$5-Assumptions!$B$4)/Assumptions!$B$3*Assumptions!$B$10</f>
        <v>278.58073474059</v>
      </c>
      <c r="F25" s="0" t="n">
        <f aca="false">(SUMPRODUCT(DCF_Base!$C$19:$L$19/(1+$A$25/100)^DCF_Base!$C$4:$L$4)+MAX(0,MIN(IF($A$25&gt;$F$23,DCF_Base!$L$19*(1+$F$23/100)/(($A$25-$F$23)/100),DCF_Base!$L$19*DCF_Base!$B$29),DCF_Base!$L$19*DCF_Base!$B$29))/(1+$A$25/100)^DCF_Base!$L$4+Assumptions!$B$5-Assumptions!$B$4)/Assumptions!$B$3*Assumptions!$B$10</f>
        <v>278.58073474059</v>
      </c>
    </row>
    <row r="26" customFormat="false" ht="15" hidden="false" customHeight="false" outlineLevel="0" collapsed="false">
      <c r="A26" s="3" t="n">
        <v>6</v>
      </c>
      <c r="B26" s="0" t="n">
        <f aca="false">(SUMPRODUCT(DCF_Base!$C$19:$L$19/(1+$A$26/100)^DCF_Base!$C$4:$L$4)+MAX(0,MIN(IF($A$26&gt;$B$23,DCF_Base!$L$19*(1+$B$23/100)/(($A$26-$B$23)/100),DCF_Base!$L$19*DCF_Base!$B$29),DCF_Base!$L$19*DCF_Base!$B$29))/(1+$A$26/100)^DCF_Base!$L$4+Assumptions!$B$5-Assumptions!$B$4)/Assumptions!$B$3*Assumptions!$B$10</f>
        <v>34.1644999334583</v>
      </c>
      <c r="C26" s="0" t="n">
        <f aca="false">(SUMPRODUCT(DCF_Base!$C$19:$L$19/(1+$A$26/100)^DCF_Base!$C$4:$L$4)+MAX(0,MIN(IF($A$26&gt;$C$23,DCF_Base!$L$19*(1+$C$23/100)/(($A$26-$C$23)/100),DCF_Base!$L$19*DCF_Base!$B$29),DCF_Base!$L$19*DCF_Base!$B$29))/(1+$A$26/100)^DCF_Base!$L$4+Assumptions!$B$5-Assumptions!$B$4)/Assumptions!$B$3*Assumptions!$B$10</f>
        <v>34.1644999334583</v>
      </c>
      <c r="D26" s="0" t="n">
        <f aca="false">(SUMPRODUCT(DCF_Base!$C$19:$L$19/(1+$A$26/100)^DCF_Base!$C$4:$L$4)+MAX(0,MIN(IF($A$26&gt;$D$23,DCF_Base!$L$19*(1+$D$23/100)/(($A$26-$D$23)/100),DCF_Base!$L$19*DCF_Base!$B$29),DCF_Base!$L$19*DCF_Base!$B$29))/(1+$A$26/100)^DCF_Base!$L$4+Assumptions!$B$5-Assumptions!$B$4)/Assumptions!$B$3*Assumptions!$B$10</f>
        <v>34.1644999334583</v>
      </c>
      <c r="E26" s="0" t="n">
        <f aca="false">(SUMPRODUCT(DCF_Base!$C$19:$L$19/(1+$A$26/100)^DCF_Base!$C$4:$L$4)+MAX(0,MIN(IF($A$26&gt;$E$23,DCF_Base!$L$19*(1+$E$23/100)/(($A$26-$E$23)/100),DCF_Base!$L$19*DCF_Base!$B$29),DCF_Base!$L$19*DCF_Base!$B$29))/(1+$A$26/100)^DCF_Base!$L$4+Assumptions!$B$5-Assumptions!$B$4)/Assumptions!$B$3*Assumptions!$B$10</f>
        <v>34.1644999334583</v>
      </c>
      <c r="F26" s="0" t="n">
        <f aca="false">(SUMPRODUCT(DCF_Base!$C$19:$L$19/(1+$A$26/100)^DCF_Base!$C$4:$L$4)+MAX(0,MIN(IF($A$26&gt;$F$23,DCF_Base!$L$19*(1+$F$23/100)/(($A$26-$F$23)/100),DCF_Base!$L$19*DCF_Base!$B$29),DCF_Base!$L$19*DCF_Base!$B$29))/(1+$A$26/100)^DCF_Base!$L$4+Assumptions!$B$5-Assumptions!$B$4)/Assumptions!$B$3*Assumptions!$B$10</f>
        <v>34.1644999334583</v>
      </c>
    </row>
    <row r="27" customFormat="false" ht="15" hidden="false" customHeight="false" outlineLevel="0" collapsed="false">
      <c r="A27" s="3" t="n">
        <v>7</v>
      </c>
      <c r="B27" s="0" t="n">
        <f aca="false">(SUMPRODUCT(DCF_Base!$C$19:$L$19/(1+$A$27/100)^DCF_Base!$C$4:$L$4)+MAX(0,MIN(IF($A$27&gt;$B$23,DCF_Base!$L$19*(1+$B$23/100)/(($A$27-$B$23)/100),DCF_Base!$L$19*DCF_Base!$B$29),DCF_Base!$L$19*DCF_Base!$B$29))/(1+$A$27/100)^DCF_Base!$L$4+Assumptions!$B$5-Assumptions!$B$4)/Assumptions!$B$3*Assumptions!$B$10</f>
        <v>-187.778900950175</v>
      </c>
      <c r="C27" s="0" t="n">
        <f aca="false">(SUMPRODUCT(DCF_Base!$C$19:$L$19/(1+$A$27/100)^DCF_Base!$C$4:$L$4)+MAX(0,MIN(IF($A$27&gt;$C$23,DCF_Base!$L$19*(1+$C$23/100)/(($A$27-$C$23)/100),DCF_Base!$L$19*DCF_Base!$B$29),DCF_Base!$L$19*DCF_Base!$B$29))/(1+$A$27/100)^DCF_Base!$L$4+Assumptions!$B$5-Assumptions!$B$4)/Assumptions!$B$3*Assumptions!$B$10</f>
        <v>-187.778900950175</v>
      </c>
      <c r="D27" s="0" t="n">
        <f aca="false">(SUMPRODUCT(DCF_Base!$C$19:$L$19/(1+$A$27/100)^DCF_Base!$C$4:$L$4)+MAX(0,MIN(IF($A$27&gt;$D$23,DCF_Base!$L$19*(1+$D$23/100)/(($A$27-$D$23)/100),DCF_Base!$L$19*DCF_Base!$B$29),DCF_Base!$L$19*DCF_Base!$B$29))/(1+$A$27/100)^DCF_Base!$L$4+Assumptions!$B$5-Assumptions!$B$4)/Assumptions!$B$3*Assumptions!$B$10</f>
        <v>-187.778900950175</v>
      </c>
      <c r="E27" s="0" t="n">
        <f aca="false">(SUMPRODUCT(DCF_Base!$C$19:$L$19/(1+$A$27/100)^DCF_Base!$C$4:$L$4)+MAX(0,MIN(IF($A$27&gt;$E$23,DCF_Base!$L$19*(1+$E$23/100)/(($A$27-$E$23)/100),DCF_Base!$L$19*DCF_Base!$B$29),DCF_Base!$L$19*DCF_Base!$B$29))/(1+$A$27/100)^DCF_Base!$L$4+Assumptions!$B$5-Assumptions!$B$4)/Assumptions!$B$3*Assumptions!$B$10</f>
        <v>-187.778900950175</v>
      </c>
      <c r="F27" s="0" t="n">
        <f aca="false">(SUMPRODUCT(DCF_Base!$C$19:$L$19/(1+$A$27/100)^DCF_Base!$C$4:$L$4)+MAX(0,MIN(IF($A$27&gt;$F$23,DCF_Base!$L$19*(1+$F$23/100)/(($A$27-$F$23)/100),DCF_Base!$L$19*DCF_Base!$B$29),DCF_Base!$L$19*DCF_Base!$B$29))/(1+$A$27/100)^DCF_Base!$L$4+Assumptions!$B$5-Assumptions!$B$4)/Assumptions!$B$3*Assumptions!$B$10</f>
        <v>-187.778900950175</v>
      </c>
    </row>
    <row r="28" customFormat="false" ht="15" hidden="false" customHeight="false" outlineLevel="0" collapsed="false">
      <c r="A28" s="3" t="n">
        <v>8</v>
      </c>
      <c r="B28" s="0" t="n">
        <f aca="false">(SUMPRODUCT(DCF_Base!$C$19:$L$19/(1+$A$28/100)^DCF_Base!$C$4:$L$4)+MAX(0,MIN(IF($A$28&gt;$B$23,DCF_Base!$L$19*(1+$B$23/100)/(($A$28-$B$23)/100),DCF_Base!$L$19*DCF_Base!$B$29),DCF_Base!$L$19*DCF_Base!$B$29))/(1+$A$28/100)^DCF_Base!$L$4+Assumptions!$B$5-Assumptions!$B$4)/Assumptions!$B$3*Assumptions!$B$10</f>
        <v>-549.118965046929</v>
      </c>
      <c r="C28" s="0" t="n">
        <f aca="false">(SUMPRODUCT(DCF_Base!$C$19:$L$19/(1+$A$28/100)^DCF_Base!$C$4:$L$4)+MAX(0,MIN(IF($A$28&gt;$C$23,DCF_Base!$L$19*(1+$C$23/100)/(($A$28-$C$23)/100),DCF_Base!$L$19*DCF_Base!$B$29),DCF_Base!$L$19*DCF_Base!$B$29))/(1+$A$28/100)^DCF_Base!$L$4+Assumptions!$B$5-Assumptions!$B$4)/Assumptions!$B$3*Assumptions!$B$10</f>
        <v>-446.541860422911</v>
      </c>
      <c r="D28" s="0" t="n">
        <f aca="false">(SUMPRODUCT(DCF_Base!$C$19:$L$19/(1+$A$28/100)^DCF_Base!$C$4:$L$4)+MAX(0,MIN(IF($A$28&gt;$D$23,DCF_Base!$L$19*(1+$D$23/100)/(($A$28-$D$23)/100),DCF_Base!$L$19*DCF_Base!$B$29),DCF_Base!$L$19*DCF_Base!$B$29))/(1+$A$28/100)^DCF_Base!$L$4+Assumptions!$B$5-Assumptions!$B$4)/Assumptions!$B$3*Assumptions!$B$10</f>
        <v>-389.554580076233</v>
      </c>
      <c r="E28" s="0" t="n">
        <f aca="false">(SUMPRODUCT(DCF_Base!$C$19:$L$19/(1+$A$28/100)^DCF_Base!$C$4:$L$4)+MAX(0,MIN(IF($A$28&gt;$E$23,DCF_Base!$L$19*(1+$E$23/100)/(($A$28-$E$23)/100),DCF_Base!$L$19*DCF_Base!$B$29),DCF_Base!$L$19*DCF_Base!$B$29))/(1+$A$28/100)^DCF_Base!$L$4+Assumptions!$B$5-Assumptions!$B$4)/Assumptions!$B$3*Assumptions!$B$10</f>
        <v>-389.554580076233</v>
      </c>
      <c r="F28" s="0" t="n">
        <f aca="false">(SUMPRODUCT(DCF_Base!$C$19:$L$19/(1+$A$28/100)^DCF_Base!$C$4:$L$4)+MAX(0,MIN(IF($A$28&gt;$F$23,DCF_Base!$L$19*(1+$F$23/100)/(($A$28-$F$23)/100),DCF_Base!$L$19*DCF_Base!$B$29),DCF_Base!$L$19*DCF_Base!$B$29))/(1+$A$28/100)^DCF_Base!$L$4+Assumptions!$B$5-Assumptions!$B$4)/Assumptions!$B$3*Assumptions!$B$10</f>
        <v>-389.554580076233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2026-10-26T06:54:27Z</dcterms:created>
  <dc:creator>openpyxl</dc:creator>
  <dc:description/>
  <dc:language>en-NZ</dc:language>
  <cp:lastModifiedBy/>
  <dcterms:modified xsi:type="dcterms:W3CDTF">2026-10-26T06:54:27Z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