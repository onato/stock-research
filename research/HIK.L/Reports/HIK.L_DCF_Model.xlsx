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<sst xmlns="http://schemas.openxmlformats.org/spreadsheetml/2006/main" count="357" uniqueCount="171">
  <si>
    <t xml:space="preserve">Ticker</t>
  </si>
  <si>
    <t xml:space="preserve">HIK.L</t>
  </si>
  <si>
    <t xml:space="preserve">Company</t>
  </si>
  <si>
    <t xml:space="preserve">Hikma Pharmaceuticals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</si>
  <si>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</si>
  <si>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</si>
  <si>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</si>
  <si>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</si>
  <si>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2026-10-09T15:35:14Z regular close (LSE)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</si>
  <si>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</si>
  <si>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</si>
  <si>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</si>
  <si>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</si>
  <si>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</si>
  <si>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</si>
  <si>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</si>
  <si>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</si>
  <si>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</si>
  <si>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</si>
  <si>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</si>
  <si>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</si>
  <si>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</si>
  <si>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2026-10-09T23:15:54Z</t>
  </si>
  <si>
    <t xml:space="preserve">Drivers file</t>
  </si>
  <si>
    <t xml:space="preserve">HIK.L_Drivers.json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</si>
  <si>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</si>
  <si>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</si>
  <si>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</si>
  <si>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Hikma is valued as a cash-generative, moderately leveraged generics and branded pharma company on a strict owner-FCF basis: core EBITDA (plus SBC, charged once) less core D&amp;A, cash tax at the guided 23%, PPE and intangible capex, and a negative working-capital capture, discounted at a USD 8.5% WACC with the terminal value capped at 15x FCF. The flows are unlevered and the June-2026 company-defined net debt (including leases) and NCI are deducted once. Values are computed in USD and converted to pence at the dated GBPUSD rate; the FY2025 reported FCF trough ($186m legal settlements, peak capex) is not carried forward, nor is the FY2025 finance-income gain.
key_risks_to_valuation: Share count is an estimate for 30 June 2026 (buyback pro-rated); a reported interim count could move value per share by ~1-2%.; FX: a 5% move in GBPUSD moves every pence figure ~5% with no change in the USD model; refresh_price.py does not update fx_rate.; US generics pricing, FDA inspection outcomes at Columbus/Cherry Hill/Bedford, and US drug-pricing or tariff policy are the dominant swing factors in the flows.; MENA currency devaluations and geopolitical disruption to tenders and in-licensing supply.; Capex and R&amp;D are both stepping up (Bedford to 2028, R&amp;D to 5-6% of revenue): if the returns lag, FCF conversion stays below the modelled path.; Working-capital intensity (245 days) means growth above the base case consumes cash before it creates value.</t>
  </si>
  <si>
    <t xml:space="preserve">Data sources</t>
  </si>
  <si>
    <t xml:space="preserve">price: Yahoo Finance chart API, LSE regular close at inputs.price_as_of; 52-week range 1,187-1,865p. FX from Yahoo GBPUSD=X at the date in inputs.fx_note; parity checked against the HKMPY/HKMPF OTC ADRs.
financials: research/HIK.L/Reports/HIK.L_Metrics.csv (core_metrics, statutory basis) and the kpis table (core/adjusted figures); FY2025 Annual Report (cash flow statement, notes 11, 12, 15, 27, 29); H1 2026 results presentation and transcript (6 Aug 2026) for net debt, capex, buyback progress and reiterated guidance.
qualitative: FY2025 Annual Report business review and segment outlooks; H1 2026 results transcript (segment commentary, sodium oxybate competition, Tyzavan transition, MENA phasing).</t>
  </si>
  <si>
    <t xml:space="preserve">Scenario narrative: bear</t>
  </si>
  <si>
    <t xml:space="preserve">Sodium oxybate generic competition arrives faster and deeper, US injectables price erosion resumes as competitors return to products Hikma gained share on, and the Vanco Ready-to-Tyzavan transition loses share rather than holding it; MENA geopolitics disrupts tender timing and in-licensing supply (as it did in H1 2026) and currency devaluations (Egypt, Algeria, Sudan) hit reported Branded revenue; US tariff or MFN drug-pricing policy compresses the injectables segment. Revenue stalls for two years and core margin falls ~3pp to 23% while capex commitments (Bedford, Tunisia, Algeria) are already made and R&amp;D is rising; leverage stays near 2x so buybacks stop. Terminal growth 2%, cap 12x. No going-concern or covenant risk: the balance sheet is BBB and the downside is a de-rating, not solvency.</t>
  </si>
  <si>
    <t xml:space="preserve">Scenario narrative: base</t>
  </si>
  <si>
    <t xml:space="preserve">Hikma delivers its reiterated FY2026 guidance (revenue +2-4%, core operating profit $720-770m, top end after a strong Branded H1) and then compounds at ~4% for three years: Tyzavan replaces Vanco Ready in US Injectables, the contract-manufacturing business (Bedford online 2028) adds steady volume, MENA Branded grows 6-8% on chronic therapies, and Hikma Rx stays flat as sodium oxybate competition offsets differentiated launches. Core margin edges up ~1pp as mix improves and R&amp;D settles at 5-6% of revenue. Capex steps down from the Bedford peak after 2028; working capital (245 days) keeps absorbing ~30c per $1 of growth. Terminal value is bound by the 15x cap, i.e. the model does not assume a re-rating beyond a mid-teens FCF multiple.</t>
  </si>
  <si>
    <t xml:space="preserve">Scenario narrative: bull</t>
  </si>
  <si>
    <t xml:space="preserve">US Injectables returns to mid-single-digit growth as Tyzavan, 505(b)(2) launches and the CMO platform scale through the Bedford capacity; MENA Branded sustains high-single-digit growth with tender share gains and in-licensed partnerships (gEllipta, 10 MENA partnerships); Hikma Rx holds sodium oxybate economics longer than feared. Group grows ~6% through FY2029 with core EBITDA margin expanding to 29% (back toward the 2021 level) as scale, mix and the end of the Bedford build-out lift conversion. Capex normalises to 6% and net debt falls below 1x EBITDA, leaving room for continued buybacks. Terminal growth 3%, cap 15x.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</si>
  <si>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</si>
  <si>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</si>
  <si>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</si>
  <si>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</si>
  <si>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</si>
  <si>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</si>
  <si>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</si>
  <si>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</si>
  <si>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</si>
  <si>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</si>
  <si>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</si>
  <si>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</si>
  <si>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</si>
  <si>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</si>
  <si>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</si>
  <si>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</si>
  <si>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</si>
  <si>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</si>
  <si>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</si>
  <si>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</si>
  <si>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</si>
  <si>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</si>
  <si>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</si>
  <si>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</si>
  <si>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</si>
  <si>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</si>
  <si>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</si>
  <si>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</t>
  </si>
  <si>
    <t xml:space="preserve">AdjustedNetIncome</t>
  </si>
  <si>
    <t xml:space="preserve">CapexIntangibles</t>
  </si>
  <si>
    <t xml:space="preserve">CapexPPE</t>
  </si>
  <si>
    <t xml:space="preserve">CoreEPS</t>
  </si>
  <si>
    <t xml:space="preserve">CoreRevenue</t>
  </si>
  <si>
    <t xml:space="preserve">EPS_Basic</t>
  </si>
  <si>
    <t xml:space="preserve">ProfitAfterTaxTotal</t>
  </si>
  <si>
    <t xml:space="preserve">TotalEquityInclNCI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</si>
  <si>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</si>
  <si>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</si>
  <si>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</si>
  <si>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</si>
  <si>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</si>
  <si>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</si>
  <si>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</si>
  <si>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</si>
  <si>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</si>
  <si>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</si>
  <si>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</si>
  <si>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</si>
  <si>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</si>
  <si>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</si>
  <si>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</si>
  <si>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</si>
  <si>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</si>
  <si>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</si>
  <si>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</si>
  <si>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</si>
  <si>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</si>
  <si>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</si>
  <si>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</si>
  <si>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</si>
  <si>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</si>
  <si>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</si>
  <si>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</si>
  <si>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</si>
  <si>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</si>
  <si>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</si>
  <si>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</si>
  <si>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</si>
  <si>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</si>
  <si>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</si>
  <si>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</si>
  <si>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</si>
  <si>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</si>
  <si>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</si>
  <si>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</si>
  <si>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</si>
  <si>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</si>
  <si>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</si>
  <si>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</si>
  <si>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HIK.L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</si>
  <si>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</si>
  <si>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</si>
  <si>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</si>
  <si>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</si>
  <si>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</si>
  <si>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</si>
  <si>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</si>
  <si>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</si>
  <si>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</si>
  <si>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</si>
  <si>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</si>
  <si>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</si>
  <si>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</si>
  <si>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</si>
  <si>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</si>
  <si>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</si>
  <si>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</si>
  <si>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</si>
  <si>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</si>
  <si>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</si>
  <si>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</si>
  <si>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</si>
  <si>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</si>
  <si>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</si>
  <si>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</si>
  <si>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</si>
  <si>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</si>
  <si>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</si>
  <si>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</si>
  <si>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</si>
  <si>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HIK.L owner-FCF component DCF: base case (millions, USD)</t>
  </si>
  <si>
    <t xml:space="preserve">HIK.L owner-FCF component DCF: bull case (millions, USD)</t>
  </si>
  <si>
    <t xml:space="preserve">HIK.L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</si>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</sst>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1612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  <c r="AK1" s="2" t="s">
        <v>72</v>
      </c>
    </row>
    <row r="2" customFormat="false" ht="15" hidden="false" customHeight="false" outlineLevel="0" collapsed="false">
      <c r="A2" s="0" t="s">
        <v>73</v>
      </c>
      <c r="B2" s="0" t="n">
        <v>2341</v>
      </c>
      <c r="C2" s="0" t="n">
        <v>1140</v>
      </c>
      <c r="D2" s="0" t="n">
        <v>1201</v>
      </c>
      <c r="E2" s="0" t="n">
        <v>51.3</v>
      </c>
      <c r="F2" s="0" t="n">
        <v>579</v>
      </c>
      <c r="G2" s="0" t="n">
        <v>24.7</v>
      </c>
      <c r="H2" s="0" t="n">
        <v>670</v>
      </c>
      <c r="I2" s="0" t="n">
        <v>431</v>
      </c>
      <c r="J2" s="0" t="n">
        <v>18.4</v>
      </c>
      <c r="K2" s="0" t="n">
        <v>1.811</v>
      </c>
      <c r="L2" s="0" t="n">
        <v>464</v>
      </c>
      <c r="M2" s="0" t="n">
        <v>224</v>
      </c>
      <c r="N2" s="0" t="n">
        <v>240</v>
      </c>
      <c r="O2" s="0" t="n">
        <v>2135</v>
      </c>
      <c r="P2" s="0" t="n">
        <v>4135</v>
      </c>
      <c r="Q2" s="0" t="n">
        <v>1987</v>
      </c>
      <c r="R2" s="0" t="n">
        <v>932</v>
      </c>
      <c r="S2" s="0" t="n">
        <v>323</v>
      </c>
      <c r="T2" s="0" t="n">
        <v>238</v>
      </c>
      <c r="U2" s="0" t="n">
        <v>27</v>
      </c>
      <c r="AA2" s="0" t="s">
        <v>18</v>
      </c>
      <c r="AB2" s="0" t="s">
        <v>14</v>
      </c>
      <c r="AC2" s="0" t="n">
        <v>566</v>
      </c>
      <c r="AD2" s="0" t="n">
        <v>408</v>
      </c>
      <c r="AE2" s="0" t="n">
        <v>52</v>
      </c>
      <c r="AF2" s="0" t="n">
        <v>172</v>
      </c>
      <c r="AG2" s="0" t="n">
        <v>1.714</v>
      </c>
      <c r="AJ2" s="0" t="n">
        <v>430</v>
      </c>
      <c r="AK2" s="0" t="n">
        <v>2148</v>
      </c>
    </row>
    <row r="3" customFormat="false" ht="15" hidden="false" customHeight="false" outlineLevel="0" collapsed="false">
      <c r="A3" s="0" t="s">
        <v>74</v>
      </c>
      <c r="B3" s="0" t="n">
        <v>2553</v>
      </c>
      <c r="C3" s="0" t="n">
        <v>1252</v>
      </c>
      <c r="D3" s="0" t="n">
        <v>1301</v>
      </c>
      <c r="E3" s="0" t="n">
        <v>51</v>
      </c>
      <c r="F3" s="0" t="n">
        <v>582</v>
      </c>
      <c r="G3" s="0" t="n">
        <v>22.8</v>
      </c>
      <c r="H3" s="0" t="n">
        <v>727</v>
      </c>
      <c r="I3" s="0" t="n">
        <v>421</v>
      </c>
      <c r="J3" s="0" t="n">
        <v>16.5</v>
      </c>
      <c r="K3" s="0" t="n">
        <v>1.807</v>
      </c>
      <c r="L3" s="0" t="n">
        <v>638</v>
      </c>
      <c r="M3" s="0" t="n">
        <v>229</v>
      </c>
      <c r="N3" s="0" t="n">
        <v>409</v>
      </c>
      <c r="O3" s="0" t="n">
        <v>2453</v>
      </c>
      <c r="P3" s="0" t="n">
        <v>4372</v>
      </c>
      <c r="Q3" s="0" t="n">
        <v>1905</v>
      </c>
      <c r="R3" s="0" t="n">
        <v>846</v>
      </c>
      <c r="S3" s="0" t="n">
        <v>426</v>
      </c>
      <c r="T3" s="0" t="n">
        <v>233</v>
      </c>
      <c r="U3" s="0" t="n">
        <v>29</v>
      </c>
      <c r="AA3" s="0" t="s">
        <v>18</v>
      </c>
      <c r="AB3" s="0" t="s">
        <v>14</v>
      </c>
      <c r="AC3" s="0" t="n">
        <v>632</v>
      </c>
      <c r="AD3" s="0" t="n">
        <v>450</v>
      </c>
      <c r="AE3" s="0" t="n">
        <v>84</v>
      </c>
      <c r="AF3" s="0" t="n">
        <v>145</v>
      </c>
      <c r="AG3" s="0" t="n">
        <v>1.931</v>
      </c>
      <c r="AJ3" s="0" t="n">
        <v>420</v>
      </c>
      <c r="AK3" s="0" t="n">
        <v>2467</v>
      </c>
    </row>
    <row r="4" customFormat="false" ht="15" hidden="false" customHeight="false" outlineLevel="0" collapsed="false">
      <c r="A4" s="0" t="s">
        <v>75</v>
      </c>
      <c r="B4" s="0" t="n">
        <v>2517</v>
      </c>
      <c r="C4" s="0" t="n">
        <v>1279</v>
      </c>
      <c r="D4" s="0" t="n">
        <v>1238</v>
      </c>
      <c r="E4" s="0" t="n">
        <v>49.2</v>
      </c>
      <c r="F4" s="0" t="n">
        <v>282</v>
      </c>
      <c r="G4" s="0" t="n">
        <v>11.2</v>
      </c>
      <c r="H4" s="0" t="n">
        <v>654</v>
      </c>
      <c r="I4" s="0" t="n">
        <v>188</v>
      </c>
      <c r="J4" s="0" t="n">
        <v>7.5</v>
      </c>
      <c r="K4" s="0" t="n">
        <v>0.84</v>
      </c>
      <c r="L4" s="0" t="n">
        <v>530</v>
      </c>
      <c r="M4" s="0" t="n">
        <v>225</v>
      </c>
      <c r="N4" s="0" t="n">
        <v>305</v>
      </c>
      <c r="O4" s="0" t="n">
        <v>2135</v>
      </c>
      <c r="P4" s="0" t="n">
        <v>4471</v>
      </c>
      <c r="Q4" s="0" t="n">
        <v>2323</v>
      </c>
      <c r="R4" s="0" t="n">
        <v>1283</v>
      </c>
      <c r="S4" s="0" t="n">
        <v>270</v>
      </c>
      <c r="T4" s="0" t="n">
        <v>225.6</v>
      </c>
      <c r="U4" s="0" t="n">
        <v>22</v>
      </c>
      <c r="AA4" s="0" t="s">
        <v>18</v>
      </c>
      <c r="AB4" s="0" t="s">
        <v>14</v>
      </c>
      <c r="AC4" s="0" t="n">
        <v>596</v>
      </c>
      <c r="AD4" s="0" t="n">
        <v>406</v>
      </c>
      <c r="AE4" s="0" t="n">
        <v>87</v>
      </c>
      <c r="AF4" s="0" t="n">
        <v>138</v>
      </c>
      <c r="AG4" s="0" t="n">
        <v>1.8</v>
      </c>
      <c r="AJ4" s="0" t="n">
        <v>191</v>
      </c>
      <c r="AK4" s="0" t="n">
        <v>2148</v>
      </c>
    </row>
    <row r="5" customFormat="false" ht="15" hidden="false" customHeight="false" outlineLevel="0" collapsed="false">
      <c r="A5" s="0" t="s">
        <v>76</v>
      </c>
      <c r="B5" s="0" t="n">
        <v>2875</v>
      </c>
      <c r="C5" s="0" t="n">
        <v>1485</v>
      </c>
      <c r="D5" s="0" t="n">
        <v>1390</v>
      </c>
      <c r="E5" s="0" t="n">
        <v>48.3</v>
      </c>
      <c r="F5" s="0" t="n">
        <v>367</v>
      </c>
      <c r="G5" s="0" t="n">
        <v>12.8</v>
      </c>
      <c r="H5" s="0" t="n">
        <v>626</v>
      </c>
      <c r="I5" s="0" t="n">
        <v>190</v>
      </c>
      <c r="J5" s="0" t="n">
        <v>6.6</v>
      </c>
      <c r="K5" s="0" t="n">
        <v>0.85</v>
      </c>
      <c r="L5" s="0" t="n">
        <v>608</v>
      </c>
      <c r="M5" s="0" t="n">
        <v>204</v>
      </c>
      <c r="N5" s="0" t="n">
        <v>404</v>
      </c>
      <c r="O5" s="0" t="n">
        <v>2198</v>
      </c>
      <c r="P5" s="0" t="n">
        <v>4680</v>
      </c>
      <c r="Q5" s="0" t="n">
        <v>2471</v>
      </c>
      <c r="R5" s="0" t="n">
        <v>1191</v>
      </c>
      <c r="S5" s="0" t="n">
        <v>205</v>
      </c>
      <c r="T5" s="0" t="n">
        <v>222.6</v>
      </c>
      <c r="U5" s="0" t="n">
        <v>25</v>
      </c>
      <c r="W5" s="0" t="n">
        <v>811</v>
      </c>
      <c r="AA5" s="0" t="s">
        <v>18</v>
      </c>
      <c r="AB5" s="0" t="s">
        <v>14</v>
      </c>
      <c r="AC5" s="0" t="n">
        <v>707</v>
      </c>
      <c r="AD5" s="0" t="n">
        <v>492</v>
      </c>
      <c r="AE5" s="0" t="n">
        <v>35</v>
      </c>
      <c r="AF5" s="0" t="n">
        <v>169</v>
      </c>
      <c r="AG5" s="0" t="n">
        <v>2.21</v>
      </c>
      <c r="AJ5" s="0" t="n">
        <v>192</v>
      </c>
      <c r="AK5" s="0" t="n">
        <v>2209</v>
      </c>
    </row>
    <row r="6" customFormat="false" ht="15" hidden="false" customHeight="false" outlineLevel="0" collapsed="false">
      <c r="A6" s="0" t="s">
        <v>77</v>
      </c>
      <c r="B6" s="0" t="n">
        <v>3127</v>
      </c>
      <c r="C6" s="0" t="n">
        <v>1712</v>
      </c>
      <c r="D6" s="0" t="n">
        <v>1415</v>
      </c>
      <c r="E6" s="0" t="n">
        <v>45.3</v>
      </c>
      <c r="F6" s="0" t="n">
        <v>612</v>
      </c>
      <c r="G6" s="0" t="n">
        <v>19.6</v>
      </c>
      <c r="H6" s="0" t="n">
        <v>780</v>
      </c>
      <c r="I6" s="0" t="n">
        <v>359</v>
      </c>
      <c r="J6" s="0" t="n">
        <v>11.5</v>
      </c>
      <c r="K6" s="0" t="n">
        <v>1.61</v>
      </c>
      <c r="L6" s="0" t="n">
        <v>564</v>
      </c>
      <c r="M6" s="0" t="n">
        <v>235</v>
      </c>
      <c r="N6" s="0" t="n">
        <v>329</v>
      </c>
      <c r="O6" s="0" t="n">
        <v>2310</v>
      </c>
      <c r="P6" s="0" t="n">
        <v>5133</v>
      </c>
      <c r="Q6" s="0" t="n">
        <v>2812</v>
      </c>
      <c r="R6" s="0" t="n">
        <v>1306</v>
      </c>
      <c r="S6" s="0" t="n">
        <v>188</v>
      </c>
      <c r="T6" s="0" t="n">
        <v>224</v>
      </c>
      <c r="U6" s="0" t="n">
        <v>27</v>
      </c>
      <c r="W6" s="0" t="n">
        <v>824</v>
      </c>
      <c r="AA6" s="0" t="s">
        <v>18</v>
      </c>
      <c r="AB6" s="0" t="s">
        <v>14</v>
      </c>
      <c r="AC6" s="0" t="n">
        <v>719</v>
      </c>
      <c r="AD6" s="0" t="n">
        <v>495</v>
      </c>
      <c r="AE6" s="0" t="n">
        <v>70</v>
      </c>
      <c r="AF6" s="0" t="n">
        <v>165</v>
      </c>
      <c r="AG6" s="0" t="n">
        <v>2.21</v>
      </c>
      <c r="AH6" s="0" t="n">
        <v>3156</v>
      </c>
      <c r="AJ6" s="0" t="n">
        <v>362</v>
      </c>
      <c r="AK6" s="0" t="n">
        <v>2321</v>
      </c>
    </row>
    <row r="7" customFormat="false" ht="15" hidden="false" customHeight="false" outlineLevel="0" collapsed="false">
      <c r="A7" s="0" t="s">
        <v>78</v>
      </c>
      <c r="B7" s="0" t="n">
        <v>3349</v>
      </c>
      <c r="C7" s="0" t="n">
        <v>1908</v>
      </c>
      <c r="D7" s="0" t="n">
        <v>1441</v>
      </c>
      <c r="E7" s="0" t="n">
        <v>43</v>
      </c>
      <c r="F7" s="0" t="n">
        <v>542</v>
      </c>
      <c r="G7" s="0" t="n">
        <v>16.2</v>
      </c>
      <c r="H7" s="0" t="n">
        <v>780</v>
      </c>
      <c r="I7" s="0" t="n">
        <v>402</v>
      </c>
      <c r="J7" s="0" t="n">
        <v>12</v>
      </c>
      <c r="K7" s="0" t="n">
        <v>1.81</v>
      </c>
      <c r="L7" s="0" t="n">
        <v>436</v>
      </c>
      <c r="M7" s="0" t="n">
        <v>317</v>
      </c>
      <c r="N7" s="0" t="n">
        <v>119</v>
      </c>
      <c r="O7" s="0" t="n">
        <v>2593</v>
      </c>
      <c r="P7" s="0" t="n">
        <v>5671</v>
      </c>
      <c r="Q7" s="0" t="n">
        <v>3065</v>
      </c>
      <c r="R7" s="0" t="n">
        <v>1604</v>
      </c>
      <c r="S7" s="0" t="n">
        <v>217</v>
      </c>
      <c r="T7" s="0" t="n">
        <v>222.6</v>
      </c>
      <c r="U7" s="0" t="n">
        <v>23</v>
      </c>
      <c r="W7" s="0" t="n">
        <v>853</v>
      </c>
      <c r="AA7" s="0" t="s">
        <v>18</v>
      </c>
      <c r="AB7" s="0" t="s">
        <v>14</v>
      </c>
      <c r="AC7" s="0" t="n">
        <v>741</v>
      </c>
      <c r="AD7" s="0" t="n">
        <v>503</v>
      </c>
      <c r="AE7" s="0" t="n">
        <v>120</v>
      </c>
      <c r="AF7" s="0" t="n">
        <v>197</v>
      </c>
      <c r="AG7" s="0" t="n">
        <v>2.26</v>
      </c>
      <c r="AH7" s="0" t="n">
        <v>3349</v>
      </c>
      <c r="AJ7" s="0" t="n">
        <v>407</v>
      </c>
      <c r="AK7" s="0" t="n">
        <v>2606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1612</v>
      </c>
    </row>
    <row r="3" customFormat="false" ht="15" hidden="false" customHeight="false" outlineLevel="0" collapsed="false">
      <c r="A3" s="0" t="s">
        <v>82</v>
      </c>
      <c r="B3" s="3" t="n">
        <v>212.4</v>
      </c>
    </row>
    <row r="4" customFormat="false" ht="15" hidden="false" customHeight="false" outlineLevel="0" collapsed="false">
      <c r="A4" s="0" t="s">
        <v>83</v>
      </c>
      <c r="B4" s="3" t="n">
        <v>1694</v>
      </c>
    </row>
    <row r="5" customFormat="false" ht="15" hidden="false" customHeight="false" outlineLevel="0" collapsed="false">
      <c r="A5" s="0" t="s">
        <v>84</v>
      </c>
      <c r="B5" s="3" t="n">
        <v>-13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3349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75.57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2</v>
      </c>
      <c r="D13" s="3" t="n">
        <v>0</v>
      </c>
      <c r="E13" s="3" t="n">
        <v>0</v>
      </c>
      <c r="F13" s="3" t="n">
        <v>1</v>
      </c>
      <c r="G13" s="3" t="n">
        <v>1.5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103</v>
      </c>
      <c r="C14" s="3" t="n">
        <v>25.5</v>
      </c>
      <c r="D14" s="3" t="n">
        <v>24.5</v>
      </c>
      <c r="E14" s="3" t="n">
        <v>23.5</v>
      </c>
      <c r="F14" s="3" t="n">
        <v>23</v>
      </c>
      <c r="G14" s="3" t="n">
        <v>23</v>
      </c>
      <c r="H14" s="3" t="n">
        <v>23</v>
      </c>
      <c r="I14" s="3" t="n">
        <v>23</v>
      </c>
      <c r="J14" s="3" t="n">
        <v>23</v>
      </c>
      <c r="K14" s="3" t="n">
        <v>23</v>
      </c>
      <c r="L14" s="3" t="n">
        <v>23</v>
      </c>
    </row>
    <row r="15" customFormat="false" ht="15" hidden="false" customHeight="false" outlineLevel="0" collapsed="false">
      <c r="A15" s="0" t="s">
        <v>104</v>
      </c>
      <c r="C15" s="3" t="n">
        <v>0.7</v>
      </c>
      <c r="D15" s="3" t="n">
        <v>0.7</v>
      </c>
      <c r="E15" s="3" t="n">
        <v>0.7</v>
      </c>
      <c r="F15" s="3" t="n">
        <v>0.7</v>
      </c>
      <c r="G15" s="3" t="n">
        <v>0.7</v>
      </c>
      <c r="H15" s="3" t="n">
        <v>0.7</v>
      </c>
      <c r="I15" s="3" t="n">
        <v>0.7</v>
      </c>
      <c r="J15" s="3" t="n">
        <v>0.7</v>
      </c>
      <c r="K15" s="3" t="n">
        <v>0.7</v>
      </c>
      <c r="L15" s="3" t="n">
        <v>0.7</v>
      </c>
    </row>
    <row r="16" customFormat="false" ht="15" hidden="false" customHeight="false" outlineLevel="0" collapsed="false">
      <c r="A16" s="0" t="s">
        <v>105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106</v>
      </c>
      <c r="C17" s="3" t="n">
        <v>3.4</v>
      </c>
      <c r="D17" s="3" t="n">
        <v>3.5</v>
      </c>
      <c r="E17" s="3" t="n">
        <v>3.6</v>
      </c>
      <c r="F17" s="3" t="n">
        <v>3.7</v>
      </c>
      <c r="G17" s="3" t="n">
        <v>3.7</v>
      </c>
      <c r="H17" s="3" t="n">
        <v>3.7</v>
      </c>
      <c r="I17" s="3" t="n">
        <v>3.7</v>
      </c>
      <c r="J17" s="3" t="n">
        <v>3.7</v>
      </c>
      <c r="K17" s="3" t="n">
        <v>3.7</v>
      </c>
      <c r="L17" s="3" t="n">
        <v>3.7</v>
      </c>
    </row>
    <row r="18" customFormat="false" ht="15" hidden="false" customHeight="false" outlineLevel="0" collapsed="false">
      <c r="A18" s="0" t="s">
        <v>107</v>
      </c>
      <c r="C18" s="3" t="n">
        <v>9</v>
      </c>
      <c r="D18" s="3" t="n">
        <v>8.5</v>
      </c>
      <c r="E18" s="3" t="n">
        <v>8</v>
      </c>
      <c r="F18" s="3" t="n">
        <v>7.5</v>
      </c>
      <c r="G18" s="3" t="n">
        <v>7</v>
      </c>
      <c r="H18" s="3" t="n">
        <v>7</v>
      </c>
      <c r="I18" s="3" t="n">
        <v>6.5</v>
      </c>
      <c r="J18" s="3" t="n">
        <v>6.5</v>
      </c>
      <c r="K18" s="3" t="n">
        <v>6.5</v>
      </c>
      <c r="L18" s="3" t="n">
        <v>6.5</v>
      </c>
    </row>
    <row r="19" customFormat="false" ht="15" hidden="false" customHeight="false" outlineLevel="0" collapsed="false">
      <c r="A19" s="0" t="s">
        <v>108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109</v>
      </c>
      <c r="B20" s="3" t="n">
        <v>8.5</v>
      </c>
    </row>
    <row r="21" customFormat="false" ht="15" hidden="false" customHeight="false" outlineLevel="0" collapsed="false">
      <c r="A21" s="0" t="s">
        <v>110</v>
      </c>
      <c r="B21" s="3" t="n">
        <v>2</v>
      </c>
    </row>
    <row r="22" customFormat="false" ht="15" hidden="false" customHeight="false" outlineLevel="0" collapsed="false">
      <c r="A22" s="0" t="s">
        <v>111</v>
      </c>
      <c r="B22" s="3" t="n">
        <v>12</v>
      </c>
    </row>
    <row r="23" customFormat="false" ht="15" hidden="false" customHeight="false" outlineLevel="0" collapsed="false">
      <c r="A23" s="0" t="s">
        <v>112</v>
      </c>
      <c r="B23" s="3" t="n">
        <v>-30</v>
      </c>
    </row>
    <row r="24" customFormat="false" ht="15" hidden="false" customHeight="false" outlineLevel="0" collapsed="false">
      <c r="A24" s="0" t="s">
        <v>113</v>
      </c>
      <c r="B24" s="3" t="n">
        <v>0.25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3</v>
      </c>
      <c r="D27" s="3" t="n">
        <v>4</v>
      </c>
      <c r="E27" s="3" t="n">
        <v>4</v>
      </c>
      <c r="F27" s="3" t="n">
        <v>4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103</v>
      </c>
      <c r="C28" s="3" t="n">
        <v>26</v>
      </c>
      <c r="D28" s="3" t="n">
        <v>26.3</v>
      </c>
      <c r="E28" s="3" t="n">
        <v>26.6</v>
      </c>
      <c r="F28" s="3" t="n">
        <v>26.8</v>
      </c>
      <c r="G28" s="3" t="n">
        <v>27</v>
      </c>
      <c r="H28" s="3" t="n">
        <v>27</v>
      </c>
      <c r="I28" s="3" t="n">
        <v>27</v>
      </c>
      <c r="J28" s="3" t="n">
        <v>27</v>
      </c>
      <c r="K28" s="3" t="n">
        <v>27</v>
      </c>
      <c r="L28" s="3" t="n">
        <v>27</v>
      </c>
    </row>
    <row r="29" customFormat="false" ht="15" hidden="false" customHeight="false" outlineLevel="0" collapsed="false">
      <c r="A29" s="0" t="s">
        <v>104</v>
      </c>
      <c r="C29" s="3" t="n">
        <v>0.7</v>
      </c>
      <c r="D29" s="3" t="n">
        <v>0.7</v>
      </c>
      <c r="E29" s="3" t="n">
        <v>0.7</v>
      </c>
      <c r="F29" s="3" t="n">
        <v>0.7</v>
      </c>
      <c r="G29" s="3" t="n">
        <v>0.7</v>
      </c>
      <c r="H29" s="3" t="n">
        <v>0.7</v>
      </c>
      <c r="I29" s="3" t="n">
        <v>0.7</v>
      </c>
      <c r="J29" s="3" t="n">
        <v>0.7</v>
      </c>
      <c r="K29" s="3" t="n">
        <v>0.7</v>
      </c>
      <c r="L29" s="3" t="n">
        <v>0.7</v>
      </c>
    </row>
    <row r="30" customFormat="false" ht="15" hidden="false" customHeight="false" outlineLevel="0" collapsed="false">
      <c r="A30" s="0" t="s">
        <v>105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106</v>
      </c>
      <c r="C31" s="3" t="n">
        <v>3.4</v>
      </c>
      <c r="D31" s="3" t="n">
        <v>3.5</v>
      </c>
      <c r="E31" s="3" t="n">
        <v>3.5</v>
      </c>
      <c r="F31" s="3" t="n">
        <v>3.6</v>
      </c>
      <c r="G31" s="3" t="n">
        <v>3.6</v>
      </c>
      <c r="H31" s="3" t="n">
        <v>3.6</v>
      </c>
      <c r="I31" s="3" t="n">
        <v>3.6</v>
      </c>
      <c r="J31" s="3" t="n">
        <v>3.6</v>
      </c>
      <c r="K31" s="3" t="n">
        <v>3.6</v>
      </c>
      <c r="L31" s="3" t="n">
        <v>3.6</v>
      </c>
    </row>
    <row r="32" customFormat="false" ht="15" hidden="false" customHeight="false" outlineLevel="0" collapsed="false">
      <c r="A32" s="0" t="s">
        <v>107</v>
      </c>
      <c r="C32" s="3" t="n">
        <v>8.5</v>
      </c>
      <c r="D32" s="3" t="n">
        <v>8.5</v>
      </c>
      <c r="E32" s="3" t="n">
        <v>8</v>
      </c>
      <c r="F32" s="3" t="n">
        <v>7.5</v>
      </c>
      <c r="G32" s="3" t="n">
        <v>7</v>
      </c>
      <c r="H32" s="3" t="n">
        <v>7</v>
      </c>
      <c r="I32" s="3" t="n">
        <v>6.5</v>
      </c>
      <c r="J32" s="3" t="n">
        <v>6.5</v>
      </c>
      <c r="K32" s="3" t="n">
        <v>6.5</v>
      </c>
      <c r="L32" s="3" t="n">
        <v>6.5</v>
      </c>
    </row>
    <row r="33" customFormat="false" ht="15" hidden="false" customHeight="false" outlineLevel="0" collapsed="false">
      <c r="A33" s="0" t="s">
        <v>108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109</v>
      </c>
      <c r="B34" s="3" t="n">
        <v>8.5</v>
      </c>
    </row>
    <row r="35" customFormat="false" ht="15" hidden="false" customHeight="false" outlineLevel="0" collapsed="false">
      <c r="A35" s="0" t="s">
        <v>110</v>
      </c>
      <c r="B35" s="3" t="n">
        <v>2.5</v>
      </c>
    </row>
    <row r="36" customFormat="false" ht="15" hidden="false" customHeight="false" outlineLevel="0" collapsed="false">
      <c r="A36" s="0" t="s">
        <v>111</v>
      </c>
      <c r="B36" s="3" t="n">
        <v>15</v>
      </c>
    </row>
    <row r="37" customFormat="false" ht="15" hidden="false" customHeight="false" outlineLevel="0" collapsed="false">
      <c r="A37" s="0" t="s">
        <v>112</v>
      </c>
      <c r="B37" s="3" t="n">
        <v>-30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4</v>
      </c>
      <c r="D41" s="3" t="n">
        <v>6</v>
      </c>
      <c r="E41" s="3" t="n">
        <v>6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103</v>
      </c>
      <c r="C42" s="3" t="n">
        <v>26.3</v>
      </c>
      <c r="D42" s="3" t="n">
        <v>27</v>
      </c>
      <c r="E42" s="3" t="n">
        <v>27.5</v>
      </c>
      <c r="F42" s="3" t="n">
        <v>28</v>
      </c>
      <c r="G42" s="3" t="n">
        <v>28.5</v>
      </c>
      <c r="H42" s="3" t="n">
        <v>29</v>
      </c>
      <c r="I42" s="3" t="n">
        <v>29</v>
      </c>
      <c r="J42" s="3" t="n">
        <v>29</v>
      </c>
      <c r="K42" s="3" t="n">
        <v>29</v>
      </c>
      <c r="L42" s="3" t="n">
        <v>29</v>
      </c>
    </row>
    <row r="43" customFormat="false" ht="15" hidden="false" customHeight="false" outlineLevel="0" collapsed="false">
      <c r="A43" s="0" t="s">
        <v>104</v>
      </c>
      <c r="C43" s="3" t="n">
        <v>0.7</v>
      </c>
      <c r="D43" s="3" t="n">
        <v>0.7</v>
      </c>
      <c r="E43" s="3" t="n">
        <v>0.7</v>
      </c>
      <c r="F43" s="3" t="n">
        <v>0.7</v>
      </c>
      <c r="G43" s="3" t="n">
        <v>0.7</v>
      </c>
      <c r="H43" s="3" t="n">
        <v>0.7</v>
      </c>
      <c r="I43" s="3" t="n">
        <v>0.7</v>
      </c>
      <c r="J43" s="3" t="n">
        <v>0.7</v>
      </c>
      <c r="K43" s="3" t="n">
        <v>0.7</v>
      </c>
      <c r="L43" s="3" t="n">
        <v>0.7</v>
      </c>
    </row>
    <row r="44" customFormat="false" ht="15" hidden="false" customHeight="false" outlineLevel="0" collapsed="false">
      <c r="A44" s="0" t="s">
        <v>105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106</v>
      </c>
      <c r="C45" s="3" t="n">
        <v>3.4</v>
      </c>
      <c r="D45" s="3" t="n">
        <v>3.5</v>
      </c>
      <c r="E45" s="3" t="n">
        <v>3.5</v>
      </c>
      <c r="F45" s="3" t="n">
        <v>3.6</v>
      </c>
      <c r="G45" s="3" t="n">
        <v>3.6</v>
      </c>
      <c r="H45" s="3" t="n">
        <v>3.6</v>
      </c>
      <c r="I45" s="3" t="n">
        <v>3.6</v>
      </c>
      <c r="J45" s="3" t="n">
        <v>3.6</v>
      </c>
      <c r="K45" s="3" t="n">
        <v>3.6</v>
      </c>
      <c r="L45" s="3" t="n">
        <v>3.6</v>
      </c>
    </row>
    <row r="46" customFormat="false" ht="15" hidden="false" customHeight="false" outlineLevel="0" collapsed="false">
      <c r="A46" s="0" t="s">
        <v>107</v>
      </c>
      <c r="C46" s="3" t="n">
        <v>8.5</v>
      </c>
      <c r="D46" s="3" t="n">
        <v>8</v>
      </c>
      <c r="E46" s="3" t="n">
        <v>7.5</v>
      </c>
      <c r="F46" s="3" t="n">
        <v>7</v>
      </c>
      <c r="G46" s="3" t="n">
        <v>6.5</v>
      </c>
      <c r="H46" s="3" t="n">
        <v>6</v>
      </c>
      <c r="I46" s="3" t="n">
        <v>6</v>
      </c>
      <c r="J46" s="3" t="n">
        <v>6</v>
      </c>
      <c r="K46" s="3" t="n">
        <v>6</v>
      </c>
      <c r="L46" s="3" t="n">
        <v>6</v>
      </c>
    </row>
    <row r="47" customFormat="false" ht="15" hidden="false" customHeight="false" outlineLevel="0" collapsed="false">
      <c r="A47" s="0" t="s">
        <v>108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109</v>
      </c>
      <c r="B48" s="3" t="n">
        <v>8.5</v>
      </c>
    </row>
    <row r="49" customFormat="false" ht="15" hidden="false" customHeight="false" outlineLevel="0" collapsed="false">
      <c r="A49" s="0" t="s">
        <v>110</v>
      </c>
      <c r="B49" s="3" t="n">
        <v>3</v>
      </c>
    </row>
    <row r="50" customFormat="false" ht="15" hidden="false" customHeight="false" outlineLevel="0" collapsed="false">
      <c r="A50" s="0" t="s">
        <v>111</v>
      </c>
      <c r="B50" s="3" t="n">
        <v>15</v>
      </c>
    </row>
    <row r="51" customFormat="false" ht="15" hidden="false" customHeight="false" outlineLevel="0" collapsed="false">
      <c r="A51" s="0" t="s">
        <v>112</v>
      </c>
      <c r="B51" s="3" t="n">
        <v>-30</v>
      </c>
    </row>
    <row r="52" customFormat="false" ht="15" hidden="false" customHeight="false" outlineLevel="0" collapsed="false">
      <c r="A52" s="0" t="s">
        <v>113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2</v>
      </c>
      <c r="D5" s="4" t="n">
        <f aca="false">Assumptions!D13</f>
        <v>0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3349</v>
      </c>
      <c r="C6" s="0" t="n">
        <f aca="false">B6*(1+C5/100)</f>
        <v>3415.98</v>
      </c>
      <c r="D6" s="0" t="n">
        <f aca="false">C6*(1+D5/100)</f>
        <v>3415.98</v>
      </c>
      <c r="E6" s="0" t="n">
        <f aca="false">D6*(1+E5/100)</f>
        <v>3415.98</v>
      </c>
      <c r="F6" s="0" t="n">
        <f aca="false">E6*(1+F5/100)</f>
        <v>3450.1398</v>
      </c>
      <c r="G6" s="0" t="n">
        <f aca="false">F6*(1+G5/100)</f>
        <v>3501.891897</v>
      </c>
      <c r="H6" s="0" t="n">
        <f aca="false">G6*(1+H5/100)</f>
        <v>3571.92973494</v>
      </c>
      <c r="I6" s="0" t="n">
        <f aca="false">H6*(1+I5/100)</f>
        <v>3643.3683296388</v>
      </c>
      <c r="J6" s="0" t="n">
        <f aca="false">I6*(1+J5/100)</f>
        <v>3716.23569623158</v>
      </c>
      <c r="K6" s="0" t="n">
        <f aca="false">J6*(1+K5/100)</f>
        <v>3790.56041015621</v>
      </c>
      <c r="L6" s="0" t="n">
        <f aca="false">K6*(1+L5/100)</f>
        <v>3866.37161835933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25.5</v>
      </c>
      <c r="D7" s="4" t="n">
        <f aca="false">Assumptions!D14</f>
        <v>24.5</v>
      </c>
      <c r="E7" s="4" t="n">
        <f aca="false">Assumptions!E14</f>
        <v>23.5</v>
      </c>
      <c r="F7" s="4" t="n">
        <f aca="false">Assumptions!F14</f>
        <v>23</v>
      </c>
      <c r="G7" s="4" t="n">
        <f aca="false">Assumptions!G14</f>
        <v>23</v>
      </c>
      <c r="H7" s="4" t="n">
        <f aca="false">Assumptions!H14</f>
        <v>23</v>
      </c>
      <c r="I7" s="4" t="n">
        <f aca="false">Assumptions!I14</f>
        <v>23</v>
      </c>
      <c r="J7" s="4" t="n">
        <f aca="false">Assumptions!J14</f>
        <v>23</v>
      </c>
      <c r="K7" s="4" t="n">
        <f aca="false">Assumptions!K14</f>
        <v>23</v>
      </c>
      <c r="L7" s="4" t="n">
        <f aca="false">Assumptions!L14</f>
        <v>23</v>
      </c>
    </row>
    <row r="8" customFormat="false" ht="15" hidden="false" customHeight="false" outlineLevel="0" collapsed="false">
      <c r="A8" s="0" t="s">
        <v>44</v>
      </c>
      <c r="C8" s="0" t="n">
        <f aca="false">C6*C7/100</f>
        <v>871.0749</v>
      </c>
      <c r="D8" s="0" t="n">
        <f aca="false">D6*D7/100</f>
        <v>836.9151</v>
      </c>
      <c r="E8" s="0" t="n">
        <f aca="false">E6*E7/100</f>
        <v>802.7553</v>
      </c>
      <c r="F8" s="0" t="n">
        <f aca="false">F6*F7/100</f>
        <v>793.532154</v>
      </c>
      <c r="G8" s="0" t="n">
        <f aca="false">G6*G7/100</f>
        <v>805.43513631</v>
      </c>
      <c r="H8" s="0" t="n">
        <f aca="false">H6*H7/100</f>
        <v>821.5438390362</v>
      </c>
      <c r="I8" s="0" t="n">
        <f aca="false">I6*I7/100</f>
        <v>837.974715816924</v>
      </c>
      <c r="J8" s="0" t="n">
        <f aca="false">J6*J7/100</f>
        <v>854.734210133262</v>
      </c>
      <c r="K8" s="0" t="n">
        <f aca="false">K6*K7/100</f>
        <v>871.828894335927</v>
      </c>
      <c r="L8" s="0" t="n">
        <f aca="false">L6*L7/100</f>
        <v>889.265472222646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0.7</v>
      </c>
      <c r="D9" s="4" t="n">
        <f aca="false">Assumptions!D15</f>
        <v>0.7</v>
      </c>
      <c r="E9" s="4" t="n">
        <f aca="false">Assumptions!E15</f>
        <v>0.7</v>
      </c>
      <c r="F9" s="4" t="n">
        <f aca="false">Assumptions!F15</f>
        <v>0.7</v>
      </c>
      <c r="G9" s="4" t="n">
        <f aca="false">Assumptions!G15</f>
        <v>0.7</v>
      </c>
      <c r="H9" s="4" t="n">
        <f aca="false">Assumptions!H15</f>
        <v>0.7</v>
      </c>
      <c r="I9" s="4" t="n">
        <f aca="false">Assumptions!I15</f>
        <v>0.7</v>
      </c>
      <c r="J9" s="4" t="n">
        <f aca="false">Assumptions!J15</f>
        <v>0.7</v>
      </c>
      <c r="K9" s="4" t="n">
        <f aca="false">Assumptions!K15</f>
        <v>0.7</v>
      </c>
      <c r="L9" s="4" t="n">
        <f aca="false">Assumptions!L15</f>
        <v>0.7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-23.91186</v>
      </c>
      <c r="D10" s="0" t="n">
        <f aca="false">-D6*D9/100</f>
        <v>-23.91186</v>
      </c>
      <c r="E10" s="0" t="n">
        <f aca="false">-E6*E9/100</f>
        <v>-23.91186</v>
      </c>
      <c r="F10" s="0" t="n">
        <f aca="false">-F6*F9/100</f>
        <v>-24.1509786</v>
      </c>
      <c r="G10" s="0" t="n">
        <f aca="false">-G6*G9/100</f>
        <v>-24.513243279</v>
      </c>
      <c r="H10" s="0" t="n">
        <f aca="false">-H6*H9/100</f>
        <v>-25.00350814458</v>
      </c>
      <c r="I10" s="0" t="n">
        <f aca="false">-I6*I9/100</f>
        <v>-25.5035783074716</v>
      </c>
      <c r="J10" s="0" t="n">
        <f aca="false">-J6*J9/100</f>
        <v>-26.013649873621</v>
      </c>
      <c r="K10" s="0" t="n">
        <f aca="false">-K6*K9/100</f>
        <v>-26.5339228710934</v>
      </c>
      <c r="L10" s="0" t="n">
        <f aca="false">-L6*L9/100</f>
        <v>-27.0646013285153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847.16304</v>
      </c>
      <c r="D11" s="0" t="n">
        <f aca="false">D8+D10+D24</f>
        <v>813.00324</v>
      </c>
      <c r="E11" s="0" t="n">
        <f aca="false">E8+E10+E24</f>
        <v>778.84344</v>
      </c>
      <c r="F11" s="0" t="n">
        <f aca="false">F8+F10+F24</f>
        <v>769.3811754</v>
      </c>
      <c r="G11" s="0" t="n">
        <f aca="false">G8+G10+G24</f>
        <v>780.921893031</v>
      </c>
      <c r="H11" s="0" t="n">
        <f aca="false">H8+H10+H24</f>
        <v>796.54033089162</v>
      </c>
      <c r="I11" s="0" t="n">
        <f aca="false">I8+I10+I24</f>
        <v>812.471137509452</v>
      </c>
      <c r="J11" s="0" t="n">
        <f aca="false">J8+J10+J24</f>
        <v>828.720560259641</v>
      </c>
      <c r="K11" s="0" t="n">
        <f aca="false">K8+K10+K24</f>
        <v>845.294971464834</v>
      </c>
      <c r="L11" s="0" t="n">
        <f aca="false">L8+L10+L24</f>
        <v>862.200870894131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-116.14332</v>
      </c>
      <c r="D12" s="4" t="n">
        <f aca="false">-D6*Assumptions!D17/100</f>
        <v>-119.5593</v>
      </c>
      <c r="E12" s="4" t="n">
        <f aca="false">-E6*Assumptions!E17/100</f>
        <v>-122.97528</v>
      </c>
      <c r="F12" s="4" t="n">
        <f aca="false">-F6*Assumptions!F17/100</f>
        <v>-127.6551726</v>
      </c>
      <c r="G12" s="4" t="n">
        <f aca="false">-G6*Assumptions!G17/100</f>
        <v>-129.570000189</v>
      </c>
      <c r="H12" s="4" t="n">
        <f aca="false">-H6*Assumptions!H17/100</f>
        <v>-132.16140019278</v>
      </c>
      <c r="I12" s="4" t="n">
        <f aca="false">-I6*Assumptions!I17/100</f>
        <v>-134.804628196636</v>
      </c>
      <c r="J12" s="4" t="n">
        <f aca="false">-J6*Assumptions!J17/100</f>
        <v>-137.500720760568</v>
      </c>
      <c r="K12" s="4" t="n">
        <f aca="false">-K6*Assumptions!K17/100</f>
        <v>-140.25073517578</v>
      </c>
      <c r="L12" s="4" t="n">
        <f aca="false">-L6*Assumptions!L17/100</f>
        <v>-143.055749879295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731.01972</v>
      </c>
      <c r="D13" s="0" t="n">
        <f aca="false">D11+D12</f>
        <v>693.44394</v>
      </c>
      <c r="E13" s="0" t="n">
        <f aca="false">E11+E12</f>
        <v>655.86816</v>
      </c>
      <c r="F13" s="0" t="n">
        <f aca="false">F11+F12</f>
        <v>641.7260028</v>
      </c>
      <c r="G13" s="0" t="n">
        <f aca="false">G11+G12</f>
        <v>651.351892842</v>
      </c>
      <c r="H13" s="0" t="n">
        <f aca="false">H11+H12</f>
        <v>664.37893069884</v>
      </c>
      <c r="I13" s="0" t="n">
        <f aca="false">I11+I12</f>
        <v>677.666509312817</v>
      </c>
      <c r="J13" s="0" t="n">
        <f aca="false">J11+J12</f>
        <v>691.219839499073</v>
      </c>
      <c r="K13" s="0" t="n">
        <f aca="false">K11+K12</f>
        <v>705.044236289054</v>
      </c>
      <c r="L13" s="0" t="n">
        <f aca="false">L11+L12</f>
        <v>719.145121014836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555.5749872</v>
      </c>
      <c r="D15" s="0" t="n">
        <f aca="false">D13-MAX(0,D13)*D14/100</f>
        <v>527.0173944</v>
      </c>
      <c r="E15" s="0" t="n">
        <f aca="false">E13-MAX(0,E13)*E14/100</f>
        <v>498.4598016</v>
      </c>
      <c r="F15" s="0" t="n">
        <f aca="false">F13-MAX(0,F13)*F14/100</f>
        <v>487.711762128</v>
      </c>
      <c r="G15" s="0" t="n">
        <f aca="false">G13-MAX(0,G13)*G14/100</f>
        <v>495.02743855992</v>
      </c>
      <c r="H15" s="0" t="n">
        <f aca="false">H13-MAX(0,H13)*H14/100</f>
        <v>504.927987331118</v>
      </c>
      <c r="I15" s="0" t="n">
        <f aca="false">I13-MAX(0,I13)*I14/100</f>
        <v>515.026547077741</v>
      </c>
      <c r="J15" s="0" t="n">
        <f aca="false">J13-MAX(0,J13)*J14/100</f>
        <v>525.327078019296</v>
      </c>
      <c r="K15" s="0" t="n">
        <f aca="false">K13-MAX(0,K13)*K14/100</f>
        <v>535.833619579681</v>
      </c>
      <c r="L15" s="0" t="n">
        <f aca="false">L13-MAX(0,L13)*L14/100</f>
        <v>546.550291971275</v>
      </c>
    </row>
    <row r="16" customFormat="false" ht="15" hidden="false" customHeight="false" outlineLevel="0" collapsed="false">
      <c r="A16" s="0" t="s">
        <v>124</v>
      </c>
      <c r="C16" s="0" t="n">
        <f aca="false">-C12</f>
        <v>116.14332</v>
      </c>
      <c r="D16" s="0" t="n">
        <f aca="false">-D12</f>
        <v>119.5593</v>
      </c>
      <c r="E16" s="0" t="n">
        <f aca="false">-E12</f>
        <v>122.97528</v>
      </c>
      <c r="F16" s="0" t="n">
        <f aca="false">-F12</f>
        <v>127.6551726</v>
      </c>
      <c r="G16" s="0" t="n">
        <f aca="false">-G12</f>
        <v>129.570000189</v>
      </c>
      <c r="H16" s="0" t="n">
        <f aca="false">-H12</f>
        <v>132.16140019278</v>
      </c>
      <c r="I16" s="0" t="n">
        <f aca="false">-I12</f>
        <v>134.804628196636</v>
      </c>
      <c r="J16" s="0" t="n">
        <f aca="false">-J12</f>
        <v>137.500720760568</v>
      </c>
      <c r="K16" s="0" t="n">
        <f aca="false">-K12</f>
        <v>140.25073517578</v>
      </c>
      <c r="L16" s="0" t="n">
        <f aca="false">-L12</f>
        <v>143.055749879295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-307.4382</v>
      </c>
      <c r="D17" s="4" t="n">
        <f aca="false">-D6*Assumptions!D18/100</f>
        <v>-290.3583</v>
      </c>
      <c r="E17" s="4" t="n">
        <f aca="false">-E6*Assumptions!E18/100</f>
        <v>-273.2784</v>
      </c>
      <c r="F17" s="4" t="n">
        <f aca="false">-F6*Assumptions!F18/100</f>
        <v>-258.760485</v>
      </c>
      <c r="G17" s="4" t="n">
        <f aca="false">-G6*Assumptions!G18/100</f>
        <v>-245.13243279</v>
      </c>
      <c r="H17" s="4" t="n">
        <f aca="false">-H6*Assumptions!H18/100</f>
        <v>-250.0350814458</v>
      </c>
      <c r="I17" s="4" t="n">
        <f aca="false">-I6*Assumptions!I18/100</f>
        <v>-236.818941426522</v>
      </c>
      <c r="J17" s="4" t="n">
        <f aca="false">-J6*Assumptions!J18/100</f>
        <v>-241.555320255052</v>
      </c>
      <c r="K17" s="4" t="n">
        <f aca="false">-K6*Assumptions!K18/100</f>
        <v>-246.386426660153</v>
      </c>
      <c r="L17" s="4" t="n">
        <f aca="false">-L6*Assumptions!L18/100</f>
        <v>-251.314155193357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-20.094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-10.24794</v>
      </c>
      <c r="G18" s="4" t="n">
        <f aca="false">(G6-F6)*Assumptions!$B$23/100</f>
        <v>-15.5256290999999</v>
      </c>
      <c r="H18" s="4" t="n">
        <f aca="false">(H6-G6)*Assumptions!$B$23/100</f>
        <v>-21.011351382</v>
      </c>
      <c r="I18" s="4" t="n">
        <f aca="false">(I6-H6)*Assumptions!$B$23/100</f>
        <v>-21.43157840964</v>
      </c>
      <c r="J18" s="4" t="n">
        <f aca="false">(J6-I6)*Assumptions!$B$23/100</f>
        <v>-21.8602099778328</v>
      </c>
      <c r="K18" s="4" t="n">
        <f aca="false">(K6-J6)*Assumptions!$B$23/100</f>
        <v>-22.2974141773894</v>
      </c>
      <c r="L18" s="4" t="n">
        <f aca="false">(L6-K6)*Assumptions!$B$23/100</f>
        <v>-22.7433624609373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344.1861072</v>
      </c>
      <c r="D19" s="0" t="n">
        <f aca="false">D15+D16+D17+D18</f>
        <v>356.2183944</v>
      </c>
      <c r="E19" s="0" t="n">
        <f aca="false">E15+E16+E17+E18</f>
        <v>348.1566816</v>
      </c>
      <c r="F19" s="0" t="n">
        <f aca="false">F15+F16+F17+F18</f>
        <v>346.358509728</v>
      </c>
      <c r="G19" s="0" t="n">
        <f aca="false">G15+G16+G17+G18</f>
        <v>363.93937685892</v>
      </c>
      <c r="H19" s="0" t="n">
        <f aca="false">H15+H16+H17+H18</f>
        <v>366.042954696098</v>
      </c>
      <c r="I19" s="0" t="n">
        <f aca="false">I15+I16+I17+I18</f>
        <v>391.580655438214</v>
      </c>
      <c r="J19" s="0" t="n">
        <f aca="false">J15+J16+J17+J18</f>
        <v>399.412268546979</v>
      </c>
      <c r="K19" s="0" t="n">
        <f aca="false">K15+K16+K17+K18</f>
        <v>407.400513917918</v>
      </c>
      <c r="L19" s="0" t="n">
        <f aca="false">L15+L16+L17+L18</f>
        <v>415.548524196277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317.222218617512</v>
      </c>
      <c r="D21" s="0" t="n">
        <f aca="false">D19*D20</f>
        <v>302.59159837754</v>
      </c>
      <c r="E21" s="0" t="n">
        <f aca="false">E19*E20</f>
        <v>272.574685547409</v>
      </c>
      <c r="F21" s="0" t="n">
        <f aca="false">F19*F20</f>
        <v>249.923393757097</v>
      </c>
      <c r="G21" s="0" t="n">
        <f aca="false">G19*G20</f>
        <v>242.03621693447</v>
      </c>
      <c r="H21" s="0" t="n">
        <f aca="false">H19*H20</f>
        <v>224.364232025453</v>
      </c>
      <c r="I21" s="0" t="n">
        <f aca="false">I19*I20</f>
        <v>221.214230709907</v>
      </c>
      <c r="J21" s="0" t="n">
        <f aca="false">J19*J20</f>
        <v>207.961765275673</v>
      </c>
      <c r="K21" s="0" t="n">
        <f aca="false">K19*K20</f>
        <v>195.503226342107</v>
      </c>
      <c r="L21" s="0" t="n">
        <f aca="false">L19*L20</f>
        <v>183.79105149212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2417.18261907929</v>
      </c>
    </row>
    <row r="31" customFormat="false" ht="15" hidden="false" customHeight="false" outlineLevel="0" collapsed="false">
      <c r="A31" s="0" t="s">
        <v>133</v>
      </c>
      <c r="B31" s="0" t="n">
        <f aca="false">L19</f>
        <v>415.548524196277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6520.91530277234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4986.58229035532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4986.58229035532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2205.49261790543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4622.67523698472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2915.67523698472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1037.37089293284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-0.356469669396501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162.781873158178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187.841292307974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1162.11944573076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3260.45765138617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330.895161959239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3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3349</v>
      </c>
      <c r="C6" s="0" t="n">
        <f aca="false">B6*(1+C5/100)</f>
        <v>3449.47</v>
      </c>
      <c r="D6" s="0" t="n">
        <f aca="false">C6*(1+D5/100)</f>
        <v>3587.4488</v>
      </c>
      <c r="E6" s="0" t="n">
        <f aca="false">D6*(1+E5/100)</f>
        <v>3730.946752</v>
      </c>
      <c r="F6" s="0" t="n">
        <f aca="false">E6*(1+F5/100)</f>
        <v>3880.18462208</v>
      </c>
      <c r="G6" s="0" t="n">
        <f aca="false">F6*(1+G5/100)</f>
        <v>4015.9910838528</v>
      </c>
      <c r="H6" s="0" t="n">
        <f aca="false">G6*(1+H5/100)</f>
        <v>4156.55077178765</v>
      </c>
      <c r="I6" s="0" t="n">
        <f aca="false">H6*(1+I5/100)</f>
        <v>4281.24729494128</v>
      </c>
      <c r="J6" s="0" t="n">
        <f aca="false">I6*(1+J5/100)</f>
        <v>4409.68471378952</v>
      </c>
      <c r="K6" s="0" t="n">
        <f aca="false">J6*(1+K5/100)</f>
        <v>4519.92683163425</v>
      </c>
      <c r="L6" s="0" t="n">
        <f aca="false">K6*(1+L5/100)</f>
        <v>4632.92500242511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26</v>
      </c>
      <c r="D7" s="4" t="n">
        <f aca="false">Assumptions!D28</f>
        <v>26.3</v>
      </c>
      <c r="E7" s="4" t="n">
        <f aca="false">Assumptions!E28</f>
        <v>26.6</v>
      </c>
      <c r="F7" s="4" t="n">
        <f aca="false">Assumptions!F28</f>
        <v>26.8</v>
      </c>
      <c r="G7" s="4" t="n">
        <f aca="false">Assumptions!G28</f>
        <v>27</v>
      </c>
      <c r="H7" s="4" t="n">
        <f aca="false">Assumptions!H28</f>
        <v>27</v>
      </c>
      <c r="I7" s="4" t="n">
        <f aca="false">Assumptions!I28</f>
        <v>27</v>
      </c>
      <c r="J7" s="4" t="n">
        <f aca="false">Assumptions!J28</f>
        <v>27</v>
      </c>
      <c r="K7" s="4" t="n">
        <f aca="false">Assumptions!K28</f>
        <v>27</v>
      </c>
      <c r="L7" s="4" t="n">
        <f aca="false">Assumptions!L28</f>
        <v>27</v>
      </c>
    </row>
    <row r="8" customFormat="false" ht="15" hidden="false" customHeight="false" outlineLevel="0" collapsed="false">
      <c r="A8" s="0" t="s">
        <v>44</v>
      </c>
      <c r="C8" s="0" t="n">
        <f aca="false">C6*C7/100</f>
        <v>896.8622</v>
      </c>
      <c r="D8" s="0" t="n">
        <f aca="false">D6*D7/100</f>
        <v>943.4990344</v>
      </c>
      <c r="E8" s="0" t="n">
        <f aca="false">E6*E7/100</f>
        <v>992.431836032</v>
      </c>
      <c r="F8" s="0" t="n">
        <f aca="false">F6*F7/100</f>
        <v>1039.88947871744</v>
      </c>
      <c r="G8" s="0" t="n">
        <f aca="false">G6*G7/100</f>
        <v>1084.31759264026</v>
      </c>
      <c r="H8" s="0" t="n">
        <f aca="false">H6*H7/100</f>
        <v>1122.26870838267</v>
      </c>
      <c r="I8" s="0" t="n">
        <f aca="false">I6*I7/100</f>
        <v>1155.93676963415</v>
      </c>
      <c r="J8" s="0" t="n">
        <f aca="false">J6*J7/100</f>
        <v>1190.61487272317</v>
      </c>
      <c r="K8" s="0" t="n">
        <f aca="false">K6*K7/100</f>
        <v>1220.38024454125</v>
      </c>
      <c r="L8" s="0" t="n">
        <f aca="false">L6*L7/100</f>
        <v>1250.88975065478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0.7</v>
      </c>
      <c r="D9" s="4" t="n">
        <f aca="false">Assumptions!D29</f>
        <v>0.7</v>
      </c>
      <c r="E9" s="4" t="n">
        <f aca="false">Assumptions!E29</f>
        <v>0.7</v>
      </c>
      <c r="F9" s="4" t="n">
        <f aca="false">Assumptions!F29</f>
        <v>0.7</v>
      </c>
      <c r="G9" s="4" t="n">
        <f aca="false">Assumptions!G29</f>
        <v>0.7</v>
      </c>
      <c r="H9" s="4" t="n">
        <f aca="false">Assumptions!H29</f>
        <v>0.7</v>
      </c>
      <c r="I9" s="4" t="n">
        <f aca="false">Assumptions!I29</f>
        <v>0.7</v>
      </c>
      <c r="J9" s="4" t="n">
        <f aca="false">Assumptions!J29</f>
        <v>0.7</v>
      </c>
      <c r="K9" s="4" t="n">
        <f aca="false">Assumptions!K29</f>
        <v>0.7</v>
      </c>
      <c r="L9" s="4" t="n">
        <f aca="false">Assumptions!L29</f>
        <v>0.7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-24.14629</v>
      </c>
      <c r="D10" s="0" t="n">
        <f aca="false">-D6*D9/100</f>
        <v>-25.1121416</v>
      </c>
      <c r="E10" s="0" t="n">
        <f aca="false">-E6*E9/100</f>
        <v>-26.116627264</v>
      </c>
      <c r="F10" s="0" t="n">
        <f aca="false">-F6*F9/100</f>
        <v>-27.16129235456</v>
      </c>
      <c r="G10" s="0" t="n">
        <f aca="false">-G6*G9/100</f>
        <v>-28.1119375869696</v>
      </c>
      <c r="H10" s="0" t="n">
        <f aca="false">-H6*H9/100</f>
        <v>-29.0958554025135</v>
      </c>
      <c r="I10" s="0" t="n">
        <f aca="false">-I6*I9/100</f>
        <v>-29.9687310645889</v>
      </c>
      <c r="J10" s="0" t="n">
        <f aca="false">-J6*J9/100</f>
        <v>-30.8677929965266</v>
      </c>
      <c r="K10" s="0" t="n">
        <f aca="false">-K6*K9/100</f>
        <v>-31.6394878214398</v>
      </c>
      <c r="L10" s="0" t="n">
        <f aca="false">-L6*L9/100</f>
        <v>-32.4304750169758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872.71591</v>
      </c>
      <c r="D11" s="0" t="n">
        <f aca="false">D8+D10+D24</f>
        <v>918.3868928</v>
      </c>
      <c r="E11" s="0" t="n">
        <f aca="false">E8+E10+E24</f>
        <v>966.315208768</v>
      </c>
      <c r="F11" s="0" t="n">
        <f aca="false">F8+F10+F24</f>
        <v>1012.72818636288</v>
      </c>
      <c r="G11" s="0" t="n">
        <f aca="false">G8+G10+G24</f>
        <v>1056.20565505329</v>
      </c>
      <c r="H11" s="0" t="n">
        <f aca="false">H8+H10+H24</f>
        <v>1093.17285298015</v>
      </c>
      <c r="I11" s="0" t="n">
        <f aca="false">I8+I10+I24</f>
        <v>1125.96803856956</v>
      </c>
      <c r="J11" s="0" t="n">
        <f aca="false">J8+J10+J24</f>
        <v>1159.74707972664</v>
      </c>
      <c r="K11" s="0" t="n">
        <f aca="false">K8+K10+K24</f>
        <v>1188.74075671981</v>
      </c>
      <c r="L11" s="0" t="n">
        <f aca="false">L8+L10+L24</f>
        <v>1218.4592756378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-117.28198</v>
      </c>
      <c r="D12" s="4" t="n">
        <f aca="false">-D6*Assumptions!D31/100</f>
        <v>-125.560708</v>
      </c>
      <c r="E12" s="4" t="n">
        <f aca="false">-E6*Assumptions!E31/100</f>
        <v>-130.58313632</v>
      </c>
      <c r="F12" s="4" t="n">
        <f aca="false">-F6*Assumptions!F31/100</f>
        <v>-139.68664639488</v>
      </c>
      <c r="G12" s="4" t="n">
        <f aca="false">-G6*Assumptions!G31/100</f>
        <v>-144.575679018701</v>
      </c>
      <c r="H12" s="4" t="n">
        <f aca="false">-H6*Assumptions!H31/100</f>
        <v>-149.635827784355</v>
      </c>
      <c r="I12" s="4" t="n">
        <f aca="false">-I6*Assumptions!I31/100</f>
        <v>-154.124902617886</v>
      </c>
      <c r="J12" s="4" t="n">
        <f aca="false">-J6*Assumptions!J31/100</f>
        <v>-158.748649696423</v>
      </c>
      <c r="K12" s="4" t="n">
        <f aca="false">-K6*Assumptions!K31/100</f>
        <v>-162.717365938833</v>
      </c>
      <c r="L12" s="4" t="n">
        <f aca="false">-L6*Assumptions!L31/100</f>
        <v>-166.785300087304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755.43393</v>
      </c>
      <c r="D13" s="0" t="n">
        <f aca="false">D11+D12</f>
        <v>792.8261848</v>
      </c>
      <c r="E13" s="0" t="n">
        <f aca="false">E11+E12</f>
        <v>835.732072448</v>
      </c>
      <c r="F13" s="0" t="n">
        <f aca="false">F11+F12</f>
        <v>873.041539968</v>
      </c>
      <c r="G13" s="0" t="n">
        <f aca="false">G11+G12</f>
        <v>911.629976034586</v>
      </c>
      <c r="H13" s="0" t="n">
        <f aca="false">H11+H12</f>
        <v>943.537025195796</v>
      </c>
      <c r="I13" s="0" t="n">
        <f aca="false">I11+I12</f>
        <v>971.84313595167</v>
      </c>
      <c r="J13" s="0" t="n">
        <f aca="false">J11+J12</f>
        <v>1000.99843003022</v>
      </c>
      <c r="K13" s="0" t="n">
        <f aca="false">K11+K12</f>
        <v>1026.02339078098</v>
      </c>
      <c r="L13" s="0" t="n">
        <f aca="false">L11+L12</f>
        <v>1051.6739755505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581.6841261</v>
      </c>
      <c r="D15" s="0" t="n">
        <f aca="false">D13-MAX(0,D13)*D14/100</f>
        <v>610.476162296</v>
      </c>
      <c r="E15" s="0" t="n">
        <f aca="false">E13-MAX(0,E13)*E14/100</f>
        <v>643.51369578496</v>
      </c>
      <c r="F15" s="0" t="n">
        <f aca="false">F13-MAX(0,F13)*F14/100</f>
        <v>672.24198577536</v>
      </c>
      <c r="G15" s="0" t="n">
        <f aca="false">G13-MAX(0,G13)*G14/100</f>
        <v>701.955081546631</v>
      </c>
      <c r="H15" s="0" t="n">
        <f aca="false">H13-MAX(0,H13)*H14/100</f>
        <v>726.523509400763</v>
      </c>
      <c r="I15" s="0" t="n">
        <f aca="false">I13-MAX(0,I13)*I14/100</f>
        <v>748.319214682786</v>
      </c>
      <c r="J15" s="0" t="n">
        <f aca="false">J13-MAX(0,J13)*J14/100</f>
        <v>770.76879112327</v>
      </c>
      <c r="K15" s="0" t="n">
        <f aca="false">K13-MAX(0,K13)*K14/100</f>
        <v>790.038010901351</v>
      </c>
      <c r="L15" s="0" t="n">
        <f aca="false">L13-MAX(0,L13)*L14/100</f>
        <v>809.788961173885</v>
      </c>
    </row>
    <row r="16" customFormat="false" ht="15" hidden="false" customHeight="false" outlineLevel="0" collapsed="false">
      <c r="A16" s="0" t="s">
        <v>124</v>
      </c>
      <c r="C16" s="0" t="n">
        <f aca="false">-C12</f>
        <v>117.28198</v>
      </c>
      <c r="D16" s="0" t="n">
        <f aca="false">-D12</f>
        <v>125.560708</v>
      </c>
      <c r="E16" s="0" t="n">
        <f aca="false">-E12</f>
        <v>130.58313632</v>
      </c>
      <c r="F16" s="0" t="n">
        <f aca="false">-F12</f>
        <v>139.68664639488</v>
      </c>
      <c r="G16" s="0" t="n">
        <f aca="false">-G12</f>
        <v>144.575679018701</v>
      </c>
      <c r="H16" s="0" t="n">
        <f aca="false">-H12</f>
        <v>149.635827784355</v>
      </c>
      <c r="I16" s="0" t="n">
        <f aca="false">-I12</f>
        <v>154.124902617886</v>
      </c>
      <c r="J16" s="0" t="n">
        <f aca="false">-J12</f>
        <v>158.748649696423</v>
      </c>
      <c r="K16" s="0" t="n">
        <f aca="false">-K12</f>
        <v>162.717365938833</v>
      </c>
      <c r="L16" s="0" t="n">
        <f aca="false">-L12</f>
        <v>166.785300087304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-293.20495</v>
      </c>
      <c r="D17" s="4" t="n">
        <f aca="false">-D6*Assumptions!D32/100</f>
        <v>-304.933148</v>
      </c>
      <c r="E17" s="4" t="n">
        <f aca="false">-E6*Assumptions!E32/100</f>
        <v>-298.47574016</v>
      </c>
      <c r="F17" s="4" t="n">
        <f aca="false">-F6*Assumptions!F32/100</f>
        <v>-291.013846656</v>
      </c>
      <c r="G17" s="4" t="n">
        <f aca="false">-G6*Assumptions!G32/100</f>
        <v>-281.119375869696</v>
      </c>
      <c r="H17" s="4" t="n">
        <f aca="false">-H6*Assumptions!H32/100</f>
        <v>-290.958554025135</v>
      </c>
      <c r="I17" s="4" t="n">
        <f aca="false">-I6*Assumptions!I32/100</f>
        <v>-278.281074171183</v>
      </c>
      <c r="J17" s="4" t="n">
        <f aca="false">-J6*Assumptions!J32/100</f>
        <v>-286.629506396319</v>
      </c>
      <c r="K17" s="4" t="n">
        <f aca="false">-K6*Assumptions!K32/100</f>
        <v>-293.795244056227</v>
      </c>
      <c r="L17" s="4" t="n">
        <f aca="false">-L6*Assumptions!L32/100</f>
        <v>-301.140125157632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-30.1410000000001</v>
      </c>
      <c r="D18" s="4" t="n">
        <f aca="false">(D6-C6)*Assumptions!$B$37/100</f>
        <v>-41.3936400000001</v>
      </c>
      <c r="E18" s="4" t="n">
        <f aca="false">(E6-D6)*Assumptions!$B$37/100</f>
        <v>-43.0493856000001</v>
      </c>
      <c r="F18" s="4" t="n">
        <f aca="false">(F6-E6)*Assumptions!$B$37/100</f>
        <v>-44.771361024</v>
      </c>
      <c r="G18" s="4" t="n">
        <f aca="false">(G6-F6)*Assumptions!$B$37/100</f>
        <v>-40.7419385318399</v>
      </c>
      <c r="H18" s="4" t="n">
        <f aca="false">(H6-G6)*Assumptions!$B$37/100</f>
        <v>-42.1679063804543</v>
      </c>
      <c r="I18" s="4" t="n">
        <f aca="false">(I6-H6)*Assumptions!$B$37/100</f>
        <v>-37.4089569460889</v>
      </c>
      <c r="J18" s="4" t="n">
        <f aca="false">(J6-I6)*Assumptions!$B$37/100</f>
        <v>-38.5312256544717</v>
      </c>
      <c r="K18" s="4" t="n">
        <f aca="false">(K6-J6)*Assumptions!$B$37/100</f>
        <v>-33.0726353534213</v>
      </c>
      <c r="L18" s="4" t="n">
        <f aca="false">(L6-K6)*Assumptions!$B$37/100</f>
        <v>-33.8994512372567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375.6201561</v>
      </c>
      <c r="D19" s="0" t="n">
        <f aca="false">D15+D16+D17+D18</f>
        <v>389.710082296</v>
      </c>
      <c r="E19" s="0" t="n">
        <f aca="false">E15+E16+E17+E18</f>
        <v>432.57170634496</v>
      </c>
      <c r="F19" s="0" t="n">
        <f aca="false">F15+F16+F17+F18</f>
        <v>476.14342449024</v>
      </c>
      <c r="G19" s="0" t="n">
        <f aca="false">G15+G16+G17+G18</f>
        <v>524.669446163796</v>
      </c>
      <c r="H19" s="0" t="n">
        <f aca="false">H15+H16+H17+H18</f>
        <v>543.032876779529</v>
      </c>
      <c r="I19" s="0" t="n">
        <f aca="false">I15+I16+I17+I18</f>
        <v>586.7540861834</v>
      </c>
      <c r="J19" s="0" t="n">
        <f aca="false">J15+J16+J17+J18</f>
        <v>604.356708768902</v>
      </c>
      <c r="K19" s="0" t="n">
        <f aca="false">K15+K16+K17+K18</f>
        <v>625.887497430537</v>
      </c>
      <c r="L19" s="0" t="n">
        <f aca="false">L15+L16+L17+L18</f>
        <v>641.5346848663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346.193692258064</v>
      </c>
      <c r="D21" s="0" t="n">
        <f aca="false">D19*D20</f>
        <v>331.041289724564</v>
      </c>
      <c r="E21" s="0" t="n">
        <f aca="false">E19*E20</f>
        <v>338.663892049469</v>
      </c>
      <c r="F21" s="0" t="n">
        <f aca="false">F19*F20</f>
        <v>343.572850735437</v>
      </c>
      <c r="G21" s="0" t="n">
        <f aca="false">G19*G20</f>
        <v>348.929013910511</v>
      </c>
      <c r="H21" s="0" t="n">
        <f aca="false">H19*H20</f>
        <v>332.849335850119</v>
      </c>
      <c r="I21" s="0" t="n">
        <f aca="false">I19*I20</f>
        <v>331.472844708581</v>
      </c>
      <c r="J21" s="0" t="n">
        <f aca="false">J19*J20</f>
        <v>314.670073778653</v>
      </c>
      <c r="K21" s="0" t="n">
        <f aca="false">K19*K20</f>
        <v>300.350689050703</v>
      </c>
      <c r="L21" s="0" t="n">
        <f aca="false">L19*L20</f>
        <v>283.741434356655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3271.48511642276</v>
      </c>
    </row>
    <row r="31" customFormat="false" ht="15" hidden="false" customHeight="false" outlineLevel="0" collapsed="false">
      <c r="A31" s="0" t="s">
        <v>133</v>
      </c>
      <c r="B31" s="0" t="n">
        <f aca="false">L19</f>
        <v>641.5346848663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10959.550866466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9623.0202729945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9623.0202729945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4256.12151534983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7527.60663177259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5820.60663177259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2070.91922393152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0.284689344870668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182.690688697815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245.035237588249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2223.10024205505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5260.58441590366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719.253407487171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4</v>
      </c>
      <c r="D5" s="4" t="n">
        <f aca="false">Assumptions!D41</f>
        <v>6</v>
      </c>
      <c r="E5" s="4" t="n">
        <f aca="false">Assumptions!E41</f>
        <v>6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3349</v>
      </c>
      <c r="C6" s="0" t="n">
        <f aca="false">B6*(1+C5/100)</f>
        <v>3482.96</v>
      </c>
      <c r="D6" s="0" t="n">
        <f aca="false">C6*(1+D5/100)</f>
        <v>3691.9376</v>
      </c>
      <c r="E6" s="0" t="n">
        <f aca="false">D6*(1+E5/100)</f>
        <v>3913.453856</v>
      </c>
      <c r="F6" s="0" t="n">
        <f aca="false">E6*(1+F5/100)</f>
        <v>4148.26108736</v>
      </c>
      <c r="G6" s="0" t="n">
        <f aca="false">F6*(1+G5/100)</f>
        <v>4376.4154471648</v>
      </c>
      <c r="H6" s="0" t="n">
        <f aca="false">G6*(1+H5/100)</f>
        <v>4595.23621952304</v>
      </c>
      <c r="I6" s="0" t="n">
        <f aca="false">H6*(1+I5/100)</f>
        <v>4802.02184940158</v>
      </c>
      <c r="J6" s="0" t="n">
        <f aca="false">I6*(1+J5/100)</f>
        <v>4994.10272337764</v>
      </c>
      <c r="K6" s="0" t="n">
        <f aca="false">J6*(1+K5/100)</f>
        <v>5168.89631869586</v>
      </c>
      <c r="L6" s="0" t="n">
        <f aca="false">K6*(1+L5/100)</f>
        <v>5323.96320825673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26.3</v>
      </c>
      <c r="D7" s="4" t="n">
        <f aca="false">Assumptions!D42</f>
        <v>27</v>
      </c>
      <c r="E7" s="4" t="n">
        <f aca="false">Assumptions!E42</f>
        <v>27.5</v>
      </c>
      <c r="F7" s="4" t="n">
        <f aca="false">Assumptions!F42</f>
        <v>28</v>
      </c>
      <c r="G7" s="4" t="n">
        <f aca="false">Assumptions!G42</f>
        <v>28.5</v>
      </c>
      <c r="H7" s="4" t="n">
        <f aca="false">Assumptions!H42</f>
        <v>29</v>
      </c>
      <c r="I7" s="4" t="n">
        <f aca="false">Assumptions!I42</f>
        <v>29</v>
      </c>
      <c r="J7" s="4" t="n">
        <f aca="false">Assumptions!J42</f>
        <v>29</v>
      </c>
      <c r="K7" s="4" t="n">
        <f aca="false">Assumptions!K42</f>
        <v>29</v>
      </c>
      <c r="L7" s="4" t="n">
        <f aca="false">Assumptions!L42</f>
        <v>29</v>
      </c>
    </row>
    <row r="8" customFormat="false" ht="15" hidden="false" customHeight="false" outlineLevel="0" collapsed="false">
      <c r="A8" s="0" t="s">
        <v>44</v>
      </c>
      <c r="C8" s="0" t="n">
        <f aca="false">C6*C7/100</f>
        <v>916.01848</v>
      </c>
      <c r="D8" s="0" t="n">
        <f aca="false">D6*D7/100</f>
        <v>996.823152</v>
      </c>
      <c r="E8" s="0" t="n">
        <f aca="false">E6*E7/100</f>
        <v>1076.1998104</v>
      </c>
      <c r="F8" s="0" t="n">
        <f aca="false">F6*F7/100</f>
        <v>1161.5131044608</v>
      </c>
      <c r="G8" s="0" t="n">
        <f aca="false">G6*G7/100</f>
        <v>1247.27840244197</v>
      </c>
      <c r="H8" s="0" t="n">
        <f aca="false">H6*H7/100</f>
        <v>1332.61850366168</v>
      </c>
      <c r="I8" s="0" t="n">
        <f aca="false">I6*I7/100</f>
        <v>1392.58633632646</v>
      </c>
      <c r="J8" s="0" t="n">
        <f aca="false">J6*J7/100</f>
        <v>1448.28978977952</v>
      </c>
      <c r="K8" s="0" t="n">
        <f aca="false">K6*K7/100</f>
        <v>1498.9799324218</v>
      </c>
      <c r="L8" s="0" t="n">
        <f aca="false">L6*L7/100</f>
        <v>1543.94933039445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0.7</v>
      </c>
      <c r="D9" s="4" t="n">
        <f aca="false">Assumptions!D43</f>
        <v>0.7</v>
      </c>
      <c r="E9" s="4" t="n">
        <f aca="false">Assumptions!E43</f>
        <v>0.7</v>
      </c>
      <c r="F9" s="4" t="n">
        <f aca="false">Assumptions!F43</f>
        <v>0.7</v>
      </c>
      <c r="G9" s="4" t="n">
        <f aca="false">Assumptions!G43</f>
        <v>0.7</v>
      </c>
      <c r="H9" s="4" t="n">
        <f aca="false">Assumptions!H43</f>
        <v>0.7</v>
      </c>
      <c r="I9" s="4" t="n">
        <f aca="false">Assumptions!I43</f>
        <v>0.7</v>
      </c>
      <c r="J9" s="4" t="n">
        <f aca="false">Assumptions!J43</f>
        <v>0.7</v>
      </c>
      <c r="K9" s="4" t="n">
        <f aca="false">Assumptions!K43</f>
        <v>0.7</v>
      </c>
      <c r="L9" s="4" t="n">
        <f aca="false">Assumptions!L43</f>
        <v>0.7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-24.38072</v>
      </c>
      <c r="D10" s="0" t="n">
        <f aca="false">-D6*D9/100</f>
        <v>-25.8435632</v>
      </c>
      <c r="E10" s="0" t="n">
        <f aca="false">-E6*E9/100</f>
        <v>-27.394176992</v>
      </c>
      <c r="F10" s="0" t="n">
        <f aca="false">-F6*F9/100</f>
        <v>-29.03782761152</v>
      </c>
      <c r="G10" s="0" t="n">
        <f aca="false">-G6*G9/100</f>
        <v>-30.6349081301536</v>
      </c>
      <c r="H10" s="0" t="n">
        <f aca="false">-H6*H9/100</f>
        <v>-32.1666535366613</v>
      </c>
      <c r="I10" s="0" t="n">
        <f aca="false">-I6*I9/100</f>
        <v>-33.614152945811</v>
      </c>
      <c r="J10" s="0" t="n">
        <f aca="false">-J6*J9/100</f>
        <v>-34.9587190636435</v>
      </c>
      <c r="K10" s="0" t="n">
        <f aca="false">-K6*K9/100</f>
        <v>-36.182274230871</v>
      </c>
      <c r="L10" s="0" t="n">
        <f aca="false">-L6*L9/100</f>
        <v>-37.2677424577971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891.63776</v>
      </c>
      <c r="D11" s="0" t="n">
        <f aca="false">D8+D10+D24</f>
        <v>970.9795888</v>
      </c>
      <c r="E11" s="0" t="n">
        <f aca="false">E8+E10+E24</f>
        <v>1048.805633408</v>
      </c>
      <c r="F11" s="0" t="n">
        <f aca="false">F8+F10+F24</f>
        <v>1132.47527684928</v>
      </c>
      <c r="G11" s="0" t="n">
        <f aca="false">G8+G10+G24</f>
        <v>1216.64349431181</v>
      </c>
      <c r="H11" s="0" t="n">
        <f aca="false">H8+H10+H24</f>
        <v>1300.45185012502</v>
      </c>
      <c r="I11" s="0" t="n">
        <f aca="false">I8+I10+I24</f>
        <v>1358.97218338065</v>
      </c>
      <c r="J11" s="0" t="n">
        <f aca="false">J8+J10+J24</f>
        <v>1413.33107071587</v>
      </c>
      <c r="K11" s="0" t="n">
        <f aca="false">K8+K10+K24</f>
        <v>1462.79765819093</v>
      </c>
      <c r="L11" s="0" t="n">
        <f aca="false">L8+L10+L24</f>
        <v>1506.68158793666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-118.42064</v>
      </c>
      <c r="D12" s="4" t="n">
        <f aca="false">-D6*Assumptions!D45/100</f>
        <v>-129.217816</v>
      </c>
      <c r="E12" s="4" t="n">
        <f aca="false">-E6*Assumptions!E45/100</f>
        <v>-136.97088496</v>
      </c>
      <c r="F12" s="4" t="n">
        <f aca="false">-F6*Assumptions!F45/100</f>
        <v>-149.33739914496</v>
      </c>
      <c r="G12" s="4" t="n">
        <f aca="false">-G6*Assumptions!G45/100</f>
        <v>-157.550956097933</v>
      </c>
      <c r="H12" s="4" t="n">
        <f aca="false">-H6*Assumptions!H45/100</f>
        <v>-165.428503902829</v>
      </c>
      <c r="I12" s="4" t="n">
        <f aca="false">-I6*Assumptions!I45/100</f>
        <v>-172.872786578457</v>
      </c>
      <c r="J12" s="4" t="n">
        <f aca="false">-J6*Assumptions!J45/100</f>
        <v>-179.787698041595</v>
      </c>
      <c r="K12" s="4" t="n">
        <f aca="false">-K6*Assumptions!K45/100</f>
        <v>-186.080267473051</v>
      </c>
      <c r="L12" s="4" t="n">
        <f aca="false">-L6*Assumptions!L45/100</f>
        <v>-191.662675497242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773.21712</v>
      </c>
      <c r="D13" s="0" t="n">
        <f aca="false">D11+D12</f>
        <v>841.7617728</v>
      </c>
      <c r="E13" s="0" t="n">
        <f aca="false">E11+E12</f>
        <v>911.834748448</v>
      </c>
      <c r="F13" s="0" t="n">
        <f aca="false">F11+F12</f>
        <v>983.13787770432</v>
      </c>
      <c r="G13" s="0" t="n">
        <f aca="false">G11+G12</f>
        <v>1059.09253821388</v>
      </c>
      <c r="H13" s="0" t="n">
        <f aca="false">H11+H12</f>
        <v>1135.02334622219</v>
      </c>
      <c r="I13" s="0" t="n">
        <f aca="false">I11+I12</f>
        <v>1186.09939680219</v>
      </c>
      <c r="J13" s="0" t="n">
        <f aca="false">J11+J12</f>
        <v>1233.54337267428</v>
      </c>
      <c r="K13" s="0" t="n">
        <f aca="false">K11+K12</f>
        <v>1276.71739071788</v>
      </c>
      <c r="L13" s="0" t="n">
        <f aca="false">L11+L12</f>
        <v>1315.01891243941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595.3771824</v>
      </c>
      <c r="D15" s="0" t="n">
        <f aca="false">D13-MAX(0,D13)*D14/100</f>
        <v>648.156565056</v>
      </c>
      <c r="E15" s="0" t="n">
        <f aca="false">E13-MAX(0,E13)*E14/100</f>
        <v>702.11275630496</v>
      </c>
      <c r="F15" s="0" t="n">
        <f aca="false">F13-MAX(0,F13)*F14/100</f>
        <v>757.016165832327</v>
      </c>
      <c r="G15" s="0" t="n">
        <f aca="false">G13-MAX(0,G13)*G14/100</f>
        <v>815.501254424689</v>
      </c>
      <c r="H15" s="0" t="n">
        <f aca="false">H13-MAX(0,H13)*H14/100</f>
        <v>873.967976591087</v>
      </c>
      <c r="I15" s="0" t="n">
        <f aca="false">I13-MAX(0,I13)*I14/100</f>
        <v>913.296535537686</v>
      </c>
      <c r="J15" s="0" t="n">
        <f aca="false">J13-MAX(0,J13)*J14/100</f>
        <v>949.828396959194</v>
      </c>
      <c r="K15" s="0" t="n">
        <f aca="false">K13-MAX(0,K13)*K14/100</f>
        <v>983.072390852765</v>
      </c>
      <c r="L15" s="0" t="n">
        <f aca="false">L13-MAX(0,L13)*L14/100</f>
        <v>1012.56456257835</v>
      </c>
    </row>
    <row r="16" customFormat="false" ht="15" hidden="false" customHeight="false" outlineLevel="0" collapsed="false">
      <c r="A16" s="0" t="s">
        <v>124</v>
      </c>
      <c r="C16" s="0" t="n">
        <f aca="false">-C12</f>
        <v>118.42064</v>
      </c>
      <c r="D16" s="0" t="n">
        <f aca="false">-D12</f>
        <v>129.217816</v>
      </c>
      <c r="E16" s="0" t="n">
        <f aca="false">-E12</f>
        <v>136.97088496</v>
      </c>
      <c r="F16" s="0" t="n">
        <f aca="false">-F12</f>
        <v>149.33739914496</v>
      </c>
      <c r="G16" s="0" t="n">
        <f aca="false">-G12</f>
        <v>157.550956097933</v>
      </c>
      <c r="H16" s="0" t="n">
        <f aca="false">-H12</f>
        <v>165.428503902829</v>
      </c>
      <c r="I16" s="0" t="n">
        <f aca="false">-I12</f>
        <v>172.872786578457</v>
      </c>
      <c r="J16" s="0" t="n">
        <f aca="false">-J12</f>
        <v>179.787698041595</v>
      </c>
      <c r="K16" s="0" t="n">
        <f aca="false">-K12</f>
        <v>186.080267473051</v>
      </c>
      <c r="L16" s="0" t="n">
        <f aca="false">-L12</f>
        <v>191.662675497242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-296.0516</v>
      </c>
      <c r="D17" s="4" t="n">
        <f aca="false">-D6*Assumptions!D46/100</f>
        <v>-295.355008</v>
      </c>
      <c r="E17" s="4" t="n">
        <f aca="false">-E6*Assumptions!E46/100</f>
        <v>-293.5090392</v>
      </c>
      <c r="F17" s="4" t="n">
        <f aca="false">-F6*Assumptions!F46/100</f>
        <v>-290.3782761152</v>
      </c>
      <c r="G17" s="4" t="n">
        <f aca="false">-G6*Assumptions!G46/100</f>
        <v>-284.467004065712</v>
      </c>
      <c r="H17" s="4" t="n">
        <f aca="false">-H6*Assumptions!H46/100</f>
        <v>-275.714173171382</v>
      </c>
      <c r="I17" s="4" t="n">
        <f aca="false">-I6*Assumptions!I46/100</f>
        <v>-288.121310964095</v>
      </c>
      <c r="J17" s="4" t="n">
        <f aca="false">-J6*Assumptions!J46/100</f>
        <v>-299.646163402658</v>
      </c>
      <c r="K17" s="4" t="n">
        <f aca="false">-K6*Assumptions!K46/100</f>
        <v>-310.133779121751</v>
      </c>
      <c r="L17" s="4" t="n">
        <f aca="false">-L6*Assumptions!L46/100</f>
        <v>-319.437792495404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-40.188</v>
      </c>
      <c r="D18" s="4" t="n">
        <f aca="false">(D6-C6)*Assumptions!$B$51/100</f>
        <v>-62.6932800000001</v>
      </c>
      <c r="E18" s="4" t="n">
        <f aca="false">(E6-D6)*Assumptions!$B$51/100</f>
        <v>-66.4548768000001</v>
      </c>
      <c r="F18" s="4" t="n">
        <f aca="false">(F6-E6)*Assumptions!$B$51/100</f>
        <v>-70.442169408</v>
      </c>
      <c r="G18" s="4" t="n">
        <f aca="false">(G6-F6)*Assumptions!$B$51/100</f>
        <v>-68.44630794144</v>
      </c>
      <c r="H18" s="4" t="n">
        <f aca="false">(H6-G6)*Assumptions!$B$51/100</f>
        <v>-65.646231707472</v>
      </c>
      <c r="I18" s="4" t="n">
        <f aca="false">(I6-H6)*Assumptions!$B$51/100</f>
        <v>-62.0356889635609</v>
      </c>
      <c r="J18" s="4" t="n">
        <f aca="false">(J6-I6)*Assumptions!$B$51/100</f>
        <v>-57.624262192819</v>
      </c>
      <c r="K18" s="4" t="n">
        <f aca="false">(K6-J6)*Assumptions!$B$51/100</f>
        <v>-52.4380785954651</v>
      </c>
      <c r="L18" s="4" t="n">
        <f aca="false">(L6-K6)*Assumptions!$B$51/100</f>
        <v>-46.5200668682628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377.5582224</v>
      </c>
      <c r="D19" s="0" t="n">
        <f aca="false">D15+D16+D17+D18</f>
        <v>419.326093056</v>
      </c>
      <c r="E19" s="0" t="n">
        <f aca="false">E15+E16+E17+E18</f>
        <v>479.11972526496</v>
      </c>
      <c r="F19" s="0" t="n">
        <f aca="false">F15+F16+F17+F18</f>
        <v>545.533119454086</v>
      </c>
      <c r="G19" s="0" t="n">
        <f aca="false">G15+G16+G17+G18</f>
        <v>620.13889851547</v>
      </c>
      <c r="H19" s="0" t="n">
        <f aca="false">H15+H16+H17+H18</f>
        <v>698.036075615062</v>
      </c>
      <c r="I19" s="0" t="n">
        <f aca="false">I15+I16+I17+I18</f>
        <v>736.012322188487</v>
      </c>
      <c r="J19" s="0" t="n">
        <f aca="false">J15+J16+J17+J18</f>
        <v>772.345669405311</v>
      </c>
      <c r="K19" s="0" t="n">
        <f aca="false">K15+K16+K17+K18</f>
        <v>806.5808006086</v>
      </c>
      <c r="L19" s="0" t="n">
        <f aca="false">L15+L16+L17+L18</f>
        <v>838.269378711924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347.979928479263</v>
      </c>
      <c r="D21" s="0" t="n">
        <f aca="false">D19*D20</f>
        <v>356.198766638493</v>
      </c>
      <c r="E21" s="0" t="n">
        <f aca="false">E19*E20</f>
        <v>375.106713027843</v>
      </c>
      <c r="F21" s="0" t="n">
        <f aca="false">F19*F20</f>
        <v>393.642670214546</v>
      </c>
      <c r="G21" s="0" t="n">
        <f aca="false">G19*G20</f>
        <v>412.420536260845</v>
      </c>
      <c r="H21" s="0" t="n">
        <f aca="false">H19*H20</f>
        <v>427.85778560186</v>
      </c>
      <c r="I21" s="0" t="n">
        <f aca="false">I19*I20</f>
        <v>415.792755297711</v>
      </c>
      <c r="J21" s="0" t="n">
        <f aca="false">J19*J20</f>
        <v>402.136793135733</v>
      </c>
      <c r="K21" s="0" t="n">
        <f aca="false">K19*K20</f>
        <v>387.061732711393</v>
      </c>
      <c r="L21" s="0" t="n">
        <f aca="false">L19*L20</f>
        <v>370.754320076324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3888.95200144401</v>
      </c>
    </row>
    <row r="31" customFormat="false" ht="15" hidden="false" customHeight="false" outlineLevel="0" collapsed="false">
      <c r="A31" s="0" t="s">
        <v>133</v>
      </c>
      <c r="B31" s="0" t="n">
        <f aca="false">L19</f>
        <v>838.269378711924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15698.4992740597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12574.0406806789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12574.0406806789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5561.31480114485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9450.26680258886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7743.26680258886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2754.984332729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0.709047352809556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197.951306226729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308.681241975418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2935.23961365008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7195.14550061068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1038.77221595278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1037.37089293284</v>
      </c>
      <c r="C4" s="0" t="n">
        <f aca="false">B4/Assumptions!$B$2-1</f>
        <v>-0.356469669396501</v>
      </c>
      <c r="D4" s="4" t="n">
        <f aca="false">Assumptions!$B$24</f>
        <v>0.25</v>
      </c>
      <c r="E4" s="4" t="n">
        <f aca="false">DCF_Bear!$B$43</f>
        <v>1162.11944573076</v>
      </c>
      <c r="F4" s="4" t="n">
        <f aca="false">DCF_Bear!$B$47</f>
        <v>330.895161959239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2070.91922393152</v>
      </c>
      <c r="C5" s="0" t="n">
        <f aca="false">B5/Assumptions!$B$2-1</f>
        <v>0.284689344870668</v>
      </c>
      <c r="D5" s="4" t="n">
        <f aca="false">Assumptions!$B$38</f>
        <v>0.5</v>
      </c>
      <c r="E5" s="4" t="n">
        <f aca="false">DCF_Base!$B$43</f>
        <v>2223.10024205505</v>
      </c>
      <c r="F5" s="4" t="n">
        <f aca="false">DCF_Base!$B$47</f>
        <v>719.253407487171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2754.984332729</v>
      </c>
      <c r="C6" s="0" t="n">
        <f aca="false">B6/Assumptions!$B$2-1</f>
        <v>0.709047352809556</v>
      </c>
      <c r="D6" s="4" t="n">
        <f aca="false">Assumptions!$B$52</f>
        <v>0.25</v>
      </c>
      <c r="E6" s="4" t="n">
        <f aca="false">DCF_Bull!$B$43</f>
        <v>2935.23961365008</v>
      </c>
      <c r="F6" s="4" t="n">
        <f aca="false">DCF_Bull!$B$47</f>
        <v>1038.77221595278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1983.54841838122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2135.88988587273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0.187315023388459</v>
      </c>
    </row>
    <row r="11" customFormat="false" ht="15" hidden="false" customHeight="false" outlineLevel="0" collapsed="false">
      <c r="A11" s="0" t="s">
        <v>160</v>
      </c>
      <c r="B11" s="0" t="n">
        <f aca="false">IF(ABS(B9-B8)&gt;0.01*ABS(B8),(Assumptions!$B$2-B8)/(B9-B8)*100,"n/a")</f>
        <v>-243.891846717257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702.04354822159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2070.91922393152</v>
      </c>
      <c r="C15" s="3" t="n">
        <v>8.5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1974.6616139758</v>
      </c>
      <c r="C16" s="3" t="n">
        <v>9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1677.61837391529</v>
      </c>
      <c r="C17" s="3" t="n">
        <v>10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1394.47234661954</v>
      </c>
      <c r="C18" s="3" t="n">
        <v>11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1171.54106284024</v>
      </c>
      <c r="C19" s="3" t="n">
        <v>12</v>
      </c>
    </row>
    <row r="20" customFormat="false" ht="15" hidden="false" customHeight="false" outlineLevel="0" collapsed="false">
      <c r="A20" s="0" t="s">
        <v>169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719.253407487171</v>
      </c>
      <c r="C20" s="3" t="n">
        <v>15</v>
      </c>
    </row>
    <row r="22" customFormat="false" ht="15" hidden="false" customHeight="false" outlineLevel="0" collapsed="false">
      <c r="A22" s="2" t="s">
        <v>170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2504.29125759674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2504.29125759674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2504.29125759674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2504.29125759674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2504.29125759674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2277.41629102983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2277.41629102983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2277.41629102983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2277.41629102983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2277.41629102983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2020.44290520663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2070.91922393152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2070.91922393152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2070.91922393152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2070.91922393152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1669.7585836321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1753.80258726304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1849.85287712696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1882.74681201187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1882.74681201187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1398.03537194136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1458.77373993357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1527.10440392479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1604.54582311485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1693.05030218921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2026-10-09T23:15:54Z</dcterms:created>
  <dc:creator>openpyxl</dc:creator>
  <dc:description/>
  <dc:language>en-NZ</dc:language>
  <cp:lastModifiedBy/>
  <dcterms:modified xsi:type="dcterms:W3CDTF">2026-10-09T23:15:54Z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