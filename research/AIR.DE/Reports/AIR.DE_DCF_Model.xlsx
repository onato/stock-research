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<sst xmlns="http://schemas.openxmlformats.org/spreadsheetml/2006/main" count="366" uniqueCount="169">
  <si>
    <t xml:space="preserve">Ticker</t>
  </si>
  <si>
    <t xml:space="preserve">AIR.DE</t>
  </si>
  <si>
    <t xml:space="preserve">Company</t>
  </si>
  <si>
    <t xml:space="preserve">Airbus SE</t>
  </si>
  <si>
    <t xml:space="preserve">Valuation date</t>
  </si>
  <si>
    <t xml:space="preserve">2026-10-25</t>
  </si>
  <si>
    <t xml:space="preserve">Current price</t>
  </si>
  <si>
    <t xml:space="preserve">Price as of</t>
  </si>
  <si>
    <t xml:space="preserve">2026-10-23T15:35:17Z Xetra regular close (Yahoo meta currency EUR, exchange GER)</t>
  </si>
  <si>
    <t xml:space="preserve">Balance sheet date</t>
  </si>
  <si>
    <t xml:space="preserve">2026-06-30</t>
  </si>
  <si>
    <t xml:space="preserve">Model</t>
  </si>
  <si>
    <t xml:space="preserve">owner_fcf_dcf_component</t>
  </si>
  <si>
    <t xml:space="preserve">Currency (model)</t>
  </si>
  <si>
    <t xml:space="preserve">EUR</t>
  </si>
  <si>
    <t xml:space="preserve">Currency (quote)</t>
  </si>
  <si>
    <t xml:space="preserve">Units</t>
  </si>
  <si>
    <t xml:space="preserve">millions</t>
  </si>
  <si>
    <t xml:space="preserve">Engine</t>
  </si>
  <si>
    <t xml:space="preserve">dcf_engine v1</t>
  </si>
  <si>
    <t xml:space="preserve">Built at</t>
  </si>
  <si>
    <t xml:space="preserve">2026-10-24T13:01:48Z</t>
  </si>
  <si>
    <t xml:space="preserve">Drivers file</t>
  </si>
  <si>
    <t xml:space="preserve">AIR.DE_Drivers.json</t>
  </si>
  <si>
    <t xml:space="preserve">Convention</t>
  </si>
  <si>
    <t xml:space="preserve">Percents stored as percents; formulas divide by 100. Blue = input, green = link, black = formula.</t>
  </si>
  <si>
    <t xml:space="preserve">Methodology</t>
  </si>
  <si>
    <t xml:space="preserve">summary: Value Airbus as a cyclical duopoly industrial on an unlevered owner-FCF basis, anchored to reported (not adjusted) EBIT so recurring 'one-offs' are paid for, with the ramp's working-capital and capex intensity charged explicitly and cyclicality carried in a meaningful bear weight rather than a WACC premium.
key_risks_to_valuation: Engine supply (P&amp;W GTF, CFM LEAP) gating A320 Family rates - each year of delay pushes the margin ramp right; Terminal value carries most of the value; a 15x cap on a cyclical is the binding judgment; USD-priced revenue against a EUR cost base: hedge book protects ~3 years, beyond that FX moves margins; Working-capital intensity of the ramp (H1 2026 FCF before customer financing -EUR1.2bn) - a bigger inventory build would cut near-term FCF; Defence &amp; Space programme charges (OneSat, A400M legacy) and Spirit purchase-price allocation still open through end-2026</t>
  </si>
  <si>
    <t xml:space="preserve">Data sources</t>
  </si>
  <si>
    <t xml:space="preserve">price: Yahoo Finance chart API (AIR.DE, Xetra, EUR) at inputs.price_as_of; 52-week range 157.48-221.25
financials: AIR.DE_Metrics.csv / AIR.DE.duckdb core_metrics + kpis (FY2015-FY2025 annual reports, H1-2026 interim); net cash, share count and NCI from the H1-2026 Unaudited Condensed Interim IFRS Consolidated Financial Information (notes 20-21)
qualitative: AIR.DE_Analysis.json (2026-10-25): FY2026 guidance, rate-ramp targets, backlog, Spirit AeroSystems charge, bull/bear cases</t>
  </si>
  <si>
    <t xml:space="preserve">Scenario narrative: bear</t>
  </si>
  <si>
    <t xml:space="preserve">GTF and LEAP engine shortages keep pushing A320 Family rate targets out, Spirit integration absorbs more cost than the EUR749m already booked, and Space Systems produces another programme charge. Around year 4 an airline down-cycle (recession, fuel spike or credit tightening for lessors) triggers deferrals that the backlog cushions but does not prevent: revenue falls 3% and EBITDA margin troughs at 12% (reported EBIT ~7%) with D&amp;A and capex sticky. Recovery is to a lower 13% EBITDA margin as COMAC's C919 starts to cap narrowbody pricing in China, with a cyclical 13x exit and 2% terminal growth. The business stays solidly cash generative - this is a margin-and-timing bear, not a solvency bear (net cash EUR8.4bn).</t>
  </si>
  <si>
    <t xml:space="preserve">Scenario narrative: base</t>
  </si>
  <si>
    <t xml:space="preserve">Airbus delivers the FY2026 guide (~870 aircraft, EBIT Adjusted ~EUR7.5bn, FCF before customer financing ~EUR4.5bn) and the A320 Family reaches 70-75/month around end-2027 as Pratt &amp; Whitney GTF supply slowly normalises, with A220 to 13/month and A350 to 12/month by 2028. Revenue compounds ~8% for three years on the record 9,222-aircraft backlog then decelerates to ~3% as rates plateau. Operating leverage on the ramp plus Defence &amp; Space recovery lift reported EBIT margin from ~8.7% to ~10.6% by 2030 (EBITDA before SBC 15.3%), then hold. Capex steps down from the Spirit/rate-ramp peak (5.3% of revenue) to 4.5%; the ramp keeps consuming working capital.</t>
  </si>
  <si>
    <t xml:space="preserve">Scenario narrative: bull</t>
  </si>
  <si>
    <t xml:space="preserve">Engine supply unblocks faster than feared and Boeing's 737 MAX/787 recovery remains slow, letting Airbus sell every slot it can build at firmer pricing: A320 at 75/month by end-2027, widebody demand lifts A350/A330 rates, and the in-housed Spirit work packages cut structure costs. European rearmament drives record Defence &amp; Space intake at improving margins and the Leonardo/Thales satellite combination ends the OneSat-type losses. Revenue grows ~10% for three years, reported EBIT margin reaches ~12% (EBITDA before SBC 16.5%), and the terminal exit is a modestly richer 16x.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</si>
  <si>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</si>
  <si>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</si>
  <si>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</si>
  <si>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</si>
  <si>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</si>
  <si>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</si>
  <si>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</si>
  <si>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</si>
  <si>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</si>
  <si>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</si>
  <si>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</si>
  <si>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</si>
  <si>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</si>
  <si>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</si>
  <si>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</si>
  <si>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</si>
  <si>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</si>
  <si>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</si>
  <si>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</si>
  <si>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</si>
  <si>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</si>
  <si>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</si>
  <si>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</si>
  <si>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</si>
  <si>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</si>
  <si>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</si>
  <si>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</si>
  <si>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AdjustedEBIT</t>
  </si>
  <si>
    <t xml:space="preserve">AdjustedFreeCashFlow</t>
  </si>
  <si>
    <t xml:space="preserve">Backlog</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</si>
  <si>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</si>
  <si>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</si>
  <si>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</si>
  <si>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</si>
  <si>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</si>
  <si>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</si>
  <si>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</si>
  <si>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</si>
  <si>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</si>
  <si>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</si>
  <si>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</si>
  <si>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</si>
  <si>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</si>
  <si>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</si>
  <si>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</si>
  <si>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</si>
  <si>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</si>
  <si>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</si>
  <si>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</si>
  <si>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</si>
  <si>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</si>
  <si>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EUR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</si>
  <si>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</si>
  <si>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</si>
  <si>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</si>
  <si>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</si>
  <si>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</si>
  <si>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</si>
  <si>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</si>
  <si>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</si>
  <si>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</si>
  <si>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</si>
  <si>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</si>
  <si>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</si>
  <si>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</si>
  <si>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</si>
  <si>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</si>
  <si>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</si>
  <si>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</si>
  <si>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</si>
  <si>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</si>
  <si>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</si>
  <si>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</si>
  <si>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</si>
  <si>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</si>
  <si>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</si>
  <si>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</si>
  <si>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</si>
  <si>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AIR.DE owner-FCF component DCF: bear case (millions, EUR)</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</si>
  <si>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</si>
  <si>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</si>
  <si>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</si>
  <si>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</si>
  <si>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</si>
  <si>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</si>
  <si>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</si>
  <si>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</si>
  <si>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</si>
  <si>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</si>
  <si>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</si>
  <si>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</si>
  <si>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</si>
  <si>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</si>
  <si>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</si>
  <si>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</si>
  <si>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</si>
  <si>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</si>
  <si>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</si>
  <si>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</si>
  <si>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</si>
  <si>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</si>
  <si>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</si>
  <si>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</si>
  <si>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</si>
  <si>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</si>
  <si>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</si>
  <si>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</si>
  <si>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</si>
  <si>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</si>
  <si>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AIR.DE owner-FCF component DCF: base case (millions, EUR)</t>
  </si>
  <si>
    <t xml:space="preserve">AIR.DE owner-FCF component DCF: bull case (millions, EUR)</t>
  </si>
  <si>
    <t xml:space="preserve">AIR.DE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</si>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</sst>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192.38</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row>
    <row r="2" customFormat="false" ht="15" hidden="false" customHeight="false" outlineLevel="0" collapsed="false">
      <c r="A2" s="0" t="s">
        <v>66</v>
      </c>
      <c r="B2" s="0" t="n">
        <v>64450</v>
      </c>
      <c r="C2" s="0" t="n">
        <v>-55599</v>
      </c>
      <c r="D2" s="0" t="n">
        <v>8851</v>
      </c>
      <c r="E2" s="0" t="n">
        <v>13.7</v>
      </c>
      <c r="F2" s="0" t="n">
        <v>4062</v>
      </c>
      <c r="G2" s="0" t="n">
        <v>6.3</v>
      </c>
      <c r="I2" s="0" t="n">
        <v>2696</v>
      </c>
      <c r="J2" s="0" t="n">
        <v>4.2</v>
      </c>
      <c r="K2" s="0" t="n">
        <v>3.42</v>
      </c>
      <c r="AA2" s="0" t="s">
        <v>17</v>
      </c>
      <c r="AB2" s="0" t="s">
        <v>14</v>
      </c>
      <c r="AC2" s="0" t="n">
        <v>4108</v>
      </c>
      <c r="AD2" s="0" t="n">
        <v>1325</v>
      </c>
    </row>
    <row r="3" customFormat="false" ht="15" hidden="false" customHeight="false" outlineLevel="0" collapsed="false">
      <c r="A3" s="0" t="s">
        <v>67</v>
      </c>
      <c r="B3" s="0" t="n">
        <v>66581</v>
      </c>
      <c r="C3" s="0" t="n">
        <v>-61317</v>
      </c>
      <c r="D3" s="0" t="n">
        <v>5264</v>
      </c>
      <c r="E3" s="0" t="n">
        <v>7.9</v>
      </c>
      <c r="F3" s="0" t="n">
        <v>2258</v>
      </c>
      <c r="G3" s="0" t="n">
        <v>3.4</v>
      </c>
      <c r="I3" s="0" t="n">
        <v>995</v>
      </c>
      <c r="J3" s="0" t="n">
        <v>1.5</v>
      </c>
      <c r="K3" s="0" t="n">
        <v>1.29</v>
      </c>
      <c r="L3" s="0" t="n">
        <v>3621</v>
      </c>
      <c r="M3" s="0" t="n">
        <v>3060</v>
      </c>
      <c r="N3" s="0" t="n">
        <v>561</v>
      </c>
      <c r="O3" s="0" t="n">
        <v>3657</v>
      </c>
      <c r="P3" s="0" t="n">
        <v>111133</v>
      </c>
      <c r="Q3" s="0" t="n">
        <v>107481</v>
      </c>
      <c r="R3" s="0" t="n">
        <v>10478</v>
      </c>
      <c r="S3" s="0" t="n">
        <v>10143</v>
      </c>
      <c r="U3" s="0" t="n">
        <v>31</v>
      </c>
      <c r="AA3" s="0" t="s">
        <v>17</v>
      </c>
      <c r="AB3" s="0" t="s">
        <v>14</v>
      </c>
      <c r="AC3" s="0" t="n">
        <v>3955</v>
      </c>
      <c r="AD3" s="0" t="n">
        <v>1408</v>
      </c>
    </row>
    <row r="4" customFormat="false" ht="15" hidden="false" customHeight="false" outlineLevel="0" collapsed="false">
      <c r="A4" s="0" t="s">
        <v>68</v>
      </c>
      <c r="B4" s="0" t="n">
        <v>59022</v>
      </c>
      <c r="C4" s="0" t="n">
        <v>-52149</v>
      </c>
      <c r="D4" s="0" t="n">
        <v>6873</v>
      </c>
      <c r="E4" s="0" t="n">
        <v>11.6</v>
      </c>
      <c r="F4" s="0" t="n">
        <v>2665</v>
      </c>
      <c r="G4" s="0" t="n">
        <v>4.5</v>
      </c>
      <c r="I4" s="0" t="n">
        <v>2361</v>
      </c>
      <c r="J4" s="0" t="n">
        <v>4</v>
      </c>
      <c r="K4" s="0" t="n">
        <v>3.04</v>
      </c>
      <c r="L4" s="0" t="n">
        <v>4259</v>
      </c>
      <c r="M4" s="0" t="n">
        <v>2558</v>
      </c>
      <c r="N4" s="0" t="n">
        <v>1701</v>
      </c>
      <c r="O4" s="0" t="n">
        <v>10740</v>
      </c>
      <c r="P4" s="0" t="n">
        <v>111074</v>
      </c>
      <c r="Q4" s="0" t="n">
        <v>100332</v>
      </c>
      <c r="R4" s="0" t="n">
        <v>11197</v>
      </c>
      <c r="S4" s="0" t="n">
        <v>12016</v>
      </c>
      <c r="T4" s="0" t="n">
        <v>780.06</v>
      </c>
      <c r="U4" s="0" t="n">
        <v>36</v>
      </c>
      <c r="AA4" s="0" t="s">
        <v>17</v>
      </c>
      <c r="AB4" s="0" t="s">
        <v>14</v>
      </c>
      <c r="AC4" s="0" t="n">
        <v>3190</v>
      </c>
      <c r="AD4" s="0" t="n">
        <v>2949</v>
      </c>
    </row>
    <row r="5" customFormat="false" ht="15" hidden="false" customHeight="false" outlineLevel="0" collapsed="false">
      <c r="A5" s="0" t="s">
        <v>69</v>
      </c>
      <c r="B5" s="0" t="n">
        <v>63707</v>
      </c>
      <c r="C5" s="0" t="n">
        <v>-54920</v>
      </c>
      <c r="D5" s="0" t="n">
        <v>8787</v>
      </c>
      <c r="E5" s="0" t="n">
        <v>13.8</v>
      </c>
      <c r="F5" s="0" t="n">
        <v>5048</v>
      </c>
      <c r="G5" s="0" t="n">
        <v>7.9</v>
      </c>
      <c r="I5" s="0" t="n">
        <v>3054</v>
      </c>
      <c r="J5" s="0" t="n">
        <v>4.8</v>
      </c>
      <c r="K5" s="0" t="n">
        <v>3.92</v>
      </c>
      <c r="L5" s="0" t="n">
        <v>2363</v>
      </c>
      <c r="M5" s="0" t="n">
        <v>2285</v>
      </c>
      <c r="N5" s="0" t="n">
        <v>78</v>
      </c>
      <c r="O5" s="0" t="n">
        <v>9724</v>
      </c>
      <c r="P5" s="0" t="n">
        <v>115198</v>
      </c>
      <c r="Q5" s="0" t="n">
        <v>105479</v>
      </c>
      <c r="R5" s="0" t="n">
        <v>8926</v>
      </c>
      <c r="S5" s="0" t="n">
        <v>9413</v>
      </c>
      <c r="T5" s="0" t="n">
        <v>781.606</v>
      </c>
      <c r="U5" s="0" t="n">
        <v>62</v>
      </c>
      <c r="AA5" s="0" t="s">
        <v>17</v>
      </c>
      <c r="AB5" s="0" t="s">
        <v>14</v>
      </c>
      <c r="AC5" s="0" t="n">
        <v>5834</v>
      </c>
      <c r="AD5" s="0" t="n">
        <v>2912</v>
      </c>
    </row>
    <row r="6" customFormat="false" ht="15" hidden="false" customHeight="false" outlineLevel="0" collapsed="false">
      <c r="A6" s="0" t="s">
        <v>70</v>
      </c>
      <c r="B6" s="0" t="n">
        <v>70478</v>
      </c>
      <c r="C6" s="0" t="n">
        <v>-59973</v>
      </c>
      <c r="D6" s="0" t="n">
        <v>10505</v>
      </c>
      <c r="E6" s="0" t="n">
        <v>14.9</v>
      </c>
      <c r="F6" s="0" t="n">
        <v>1339</v>
      </c>
      <c r="G6" s="0" t="n">
        <v>1.9</v>
      </c>
      <c r="I6" s="0" t="n">
        <v>-1362</v>
      </c>
      <c r="J6" s="0" t="n">
        <v>-1.9</v>
      </c>
      <c r="K6" s="0" t="n">
        <v>-1.75</v>
      </c>
      <c r="L6" s="0" t="n">
        <v>3815</v>
      </c>
      <c r="M6" s="0" t="n">
        <v>2340</v>
      </c>
      <c r="N6" s="0" t="n">
        <v>1475</v>
      </c>
      <c r="O6" s="0" t="n">
        <v>5975</v>
      </c>
      <c r="P6" s="0" t="n">
        <v>114409</v>
      </c>
      <c r="Q6" s="0" t="n">
        <v>108419</v>
      </c>
      <c r="R6" s="0" t="n">
        <v>10148</v>
      </c>
      <c r="S6" s="0" t="n">
        <v>9314</v>
      </c>
      <c r="T6" s="0" t="n">
        <v>777.04</v>
      </c>
      <c r="U6" s="0" t="n">
        <v>76</v>
      </c>
      <c r="AA6" s="0" t="s">
        <v>17</v>
      </c>
      <c r="AB6" s="0" t="s">
        <v>14</v>
      </c>
      <c r="AC6" s="0" t="n">
        <v>6946</v>
      </c>
      <c r="AD6" s="0" t="n">
        <v>3509</v>
      </c>
    </row>
    <row r="7" customFormat="false" ht="15" hidden="false" customHeight="false" outlineLevel="0" collapsed="false">
      <c r="A7" s="0" t="s">
        <v>71</v>
      </c>
      <c r="B7" s="0" t="n">
        <v>49912</v>
      </c>
      <c r="C7" s="0" t="n">
        <v>-44250</v>
      </c>
      <c r="D7" s="0" t="n">
        <v>5662</v>
      </c>
      <c r="E7" s="0" t="n">
        <v>11.3</v>
      </c>
      <c r="F7" s="0" t="n">
        <v>-510</v>
      </c>
      <c r="G7" s="0" t="n">
        <v>-1</v>
      </c>
      <c r="I7" s="0" t="n">
        <v>-1133</v>
      </c>
      <c r="J7" s="0" t="n">
        <v>-2.3</v>
      </c>
      <c r="K7" s="0" t="n">
        <v>-1.45</v>
      </c>
      <c r="L7" s="0" t="n">
        <v>-5450</v>
      </c>
      <c r="M7" s="0" t="n">
        <v>1759</v>
      </c>
      <c r="N7" s="0" t="n">
        <v>-7209</v>
      </c>
      <c r="O7" s="0" t="n">
        <v>6445</v>
      </c>
      <c r="P7" s="0" t="n">
        <v>110095</v>
      </c>
      <c r="Q7" s="0" t="n">
        <v>103639</v>
      </c>
      <c r="R7" s="0" t="n">
        <v>17095</v>
      </c>
      <c r="S7" s="0" t="n">
        <v>14439</v>
      </c>
      <c r="T7" s="0" t="n">
        <v>783.178</v>
      </c>
      <c r="U7" s="0" t="n">
        <v>42</v>
      </c>
      <c r="AA7" s="0" t="s">
        <v>17</v>
      </c>
      <c r="AB7" s="0" t="s">
        <v>14</v>
      </c>
      <c r="AC7" s="0" t="n">
        <v>1706</v>
      </c>
      <c r="AD7" s="0" t="n">
        <v>-6935</v>
      </c>
    </row>
    <row r="8" customFormat="false" ht="15" hidden="false" customHeight="false" outlineLevel="0" collapsed="false">
      <c r="A8" s="0" t="s">
        <v>72</v>
      </c>
      <c r="B8" s="0" t="n">
        <v>52149</v>
      </c>
      <c r="C8" s="0" t="n">
        <v>-42518</v>
      </c>
      <c r="D8" s="0" t="n">
        <v>9631</v>
      </c>
      <c r="E8" s="0" t="n">
        <v>18.5</v>
      </c>
      <c r="F8" s="0" t="n">
        <v>5342</v>
      </c>
      <c r="G8" s="0" t="n">
        <v>10.2</v>
      </c>
      <c r="I8" s="0" t="n">
        <v>4213</v>
      </c>
      <c r="J8" s="0" t="n">
        <v>8.1</v>
      </c>
      <c r="K8" s="0" t="n">
        <v>5.36</v>
      </c>
      <c r="L8" s="0" t="n">
        <v>4529</v>
      </c>
      <c r="M8" s="0" t="n">
        <v>1928</v>
      </c>
      <c r="N8" s="0" t="n">
        <v>2601</v>
      </c>
      <c r="O8" s="0" t="n">
        <v>9466</v>
      </c>
      <c r="P8" s="0" t="n">
        <v>107047</v>
      </c>
      <c r="Q8" s="0" t="n">
        <v>97561</v>
      </c>
      <c r="R8" s="0" t="n">
        <v>15040</v>
      </c>
      <c r="S8" s="0" t="n">
        <v>14572</v>
      </c>
      <c r="T8" s="0" t="n">
        <v>785.902</v>
      </c>
      <c r="U8" s="0" t="n">
        <v>61</v>
      </c>
      <c r="AA8" s="0" t="s">
        <v>17</v>
      </c>
      <c r="AB8" s="0" t="s">
        <v>14</v>
      </c>
      <c r="AC8" s="0" t="n">
        <v>4865</v>
      </c>
      <c r="AD8" s="0" t="n">
        <v>3515</v>
      </c>
    </row>
    <row r="9" customFormat="false" ht="15" hidden="false" customHeight="false" outlineLevel="0" collapsed="false">
      <c r="A9" s="0" t="s">
        <v>73</v>
      </c>
      <c r="B9" s="0" t="n">
        <v>58763</v>
      </c>
      <c r="C9" s="0" t="n">
        <v>-48192</v>
      </c>
      <c r="D9" s="0" t="n">
        <v>10571</v>
      </c>
      <c r="E9" s="0" t="n">
        <v>18</v>
      </c>
      <c r="F9" s="0" t="n">
        <v>5325</v>
      </c>
      <c r="G9" s="0" t="n">
        <v>9.1</v>
      </c>
      <c r="I9" s="0" t="n">
        <v>4247</v>
      </c>
      <c r="J9" s="0" t="n">
        <v>7.2</v>
      </c>
      <c r="K9" s="0" t="n">
        <v>5.39</v>
      </c>
      <c r="L9" s="0" t="n">
        <v>6332</v>
      </c>
      <c r="M9" s="0" t="n">
        <v>2464</v>
      </c>
      <c r="N9" s="0" t="n">
        <v>3868</v>
      </c>
      <c r="O9" s="0" t="n">
        <v>12950</v>
      </c>
      <c r="P9" s="0" t="n">
        <v>115944</v>
      </c>
      <c r="Q9" s="0" t="n">
        <v>102962</v>
      </c>
      <c r="R9" s="0" t="n">
        <v>12773</v>
      </c>
      <c r="S9" s="0" t="n">
        <v>15823</v>
      </c>
      <c r="T9" s="0" t="n">
        <v>787.753</v>
      </c>
      <c r="U9" s="0" t="n">
        <v>115</v>
      </c>
      <c r="AA9" s="0" t="s">
        <v>17</v>
      </c>
      <c r="AB9" s="0" t="s">
        <v>14</v>
      </c>
      <c r="AC9" s="0" t="n">
        <v>5627</v>
      </c>
      <c r="AD9" s="0" t="n">
        <v>4680</v>
      </c>
    </row>
    <row r="10" customFormat="false" ht="15" hidden="false" customHeight="false" outlineLevel="0" collapsed="false">
      <c r="A10" s="0" t="s">
        <v>74</v>
      </c>
      <c r="B10" s="0" t="n">
        <v>65446</v>
      </c>
      <c r="C10" s="0" t="n">
        <v>-55402</v>
      </c>
      <c r="D10" s="0" t="n">
        <v>10044</v>
      </c>
      <c r="E10" s="0" t="n">
        <v>15.3</v>
      </c>
      <c r="F10" s="0" t="n">
        <v>4603</v>
      </c>
      <c r="G10" s="0" t="n">
        <v>7</v>
      </c>
      <c r="H10" s="0" t="n">
        <v>6845</v>
      </c>
      <c r="I10" s="0" t="n">
        <v>3789</v>
      </c>
      <c r="J10" s="0" t="n">
        <v>5.8</v>
      </c>
      <c r="K10" s="0" t="n">
        <v>4.8</v>
      </c>
      <c r="L10" s="0" t="n">
        <v>6255</v>
      </c>
      <c r="M10" s="0" t="n">
        <v>3051</v>
      </c>
      <c r="N10" s="0" t="n">
        <v>3204</v>
      </c>
      <c r="O10" s="0" t="n">
        <v>17695</v>
      </c>
      <c r="P10" s="0" t="n">
        <v>118871</v>
      </c>
      <c r="Q10" s="0" t="n">
        <v>101141</v>
      </c>
      <c r="R10" s="0" t="n">
        <v>13591</v>
      </c>
      <c r="S10" s="0" t="n">
        <v>16469</v>
      </c>
      <c r="T10" s="0" t="n">
        <v>789.761</v>
      </c>
      <c r="U10" s="0" t="n">
        <v>168</v>
      </c>
      <c r="AA10" s="0" t="s">
        <v>17</v>
      </c>
      <c r="AB10" s="0" t="s">
        <v>14</v>
      </c>
      <c r="AC10" s="0" t="n">
        <v>5838</v>
      </c>
      <c r="AD10" s="0" t="n">
        <v>4386</v>
      </c>
      <c r="AE10" s="0" t="n">
        <v>553893</v>
      </c>
    </row>
    <row r="11" customFormat="false" ht="15" hidden="false" customHeight="false" outlineLevel="0" collapsed="false">
      <c r="A11" s="0" t="s">
        <v>75</v>
      </c>
      <c r="B11" s="0" t="n">
        <v>69230</v>
      </c>
      <c r="C11" s="0" t="n">
        <v>-58555</v>
      </c>
      <c r="D11" s="0" t="n">
        <v>10675</v>
      </c>
      <c r="E11" s="0" t="n">
        <v>15.4</v>
      </c>
      <c r="F11" s="0" t="n">
        <v>5304</v>
      </c>
      <c r="G11" s="0" t="n">
        <v>7.7</v>
      </c>
      <c r="H11" s="0" t="n">
        <v>8157</v>
      </c>
      <c r="I11" s="0" t="n">
        <v>4232</v>
      </c>
      <c r="J11" s="0" t="n">
        <v>6.1</v>
      </c>
      <c r="K11" s="0" t="n">
        <v>5.35</v>
      </c>
      <c r="L11" s="0" t="n">
        <v>7402</v>
      </c>
      <c r="M11" s="0" t="n">
        <v>3669</v>
      </c>
      <c r="N11" s="0" t="n">
        <v>3733</v>
      </c>
      <c r="O11" s="0" t="n">
        <v>19606</v>
      </c>
      <c r="P11" s="0" t="n">
        <v>129213</v>
      </c>
      <c r="Q11" s="0" t="n">
        <v>109517</v>
      </c>
      <c r="R11" s="0" t="n">
        <v>14279</v>
      </c>
      <c r="S11" s="0" t="n">
        <v>15003</v>
      </c>
      <c r="T11" s="0" t="n">
        <v>790.991</v>
      </c>
      <c r="U11" s="0" t="n">
        <v>310</v>
      </c>
      <c r="AA11" s="0" t="s">
        <v>17</v>
      </c>
      <c r="AB11" s="0" t="s">
        <v>14</v>
      </c>
      <c r="AE11" s="0" t="n">
        <v>628917</v>
      </c>
    </row>
    <row r="12" customFormat="false" ht="15" hidden="false" customHeight="false" outlineLevel="0" collapsed="false">
      <c r="A12" s="0" t="s">
        <v>76</v>
      </c>
      <c r="B12" s="0" t="n">
        <v>73420</v>
      </c>
      <c r="C12" s="0" t="n">
        <v>-62453</v>
      </c>
      <c r="D12" s="0" t="n">
        <v>10967</v>
      </c>
      <c r="E12" s="0" t="n">
        <v>14.9</v>
      </c>
      <c r="F12" s="0" t="n">
        <v>6082</v>
      </c>
      <c r="G12" s="0" t="n">
        <v>8.3</v>
      </c>
      <c r="H12" s="0" t="n">
        <v>9215</v>
      </c>
      <c r="I12" s="0" t="n">
        <v>5221</v>
      </c>
      <c r="J12" s="0" t="n">
        <v>7.1</v>
      </c>
      <c r="K12" s="0" t="n">
        <v>6.6</v>
      </c>
      <c r="L12" s="0" t="n">
        <v>7995</v>
      </c>
      <c r="M12" s="0" t="n">
        <v>3964</v>
      </c>
      <c r="N12" s="0" t="n">
        <v>4031</v>
      </c>
      <c r="O12" s="0" t="n">
        <v>26104</v>
      </c>
      <c r="P12" s="0" t="n">
        <v>134939</v>
      </c>
      <c r="Q12" s="0" t="n">
        <v>108755</v>
      </c>
      <c r="R12" s="0" t="n">
        <v>14249</v>
      </c>
      <c r="S12" s="0" t="n">
        <v>14128</v>
      </c>
      <c r="T12" s="0" t="n">
        <v>790.892</v>
      </c>
      <c r="U12" s="0" t="n">
        <v>335</v>
      </c>
      <c r="AA12" s="0" t="s">
        <v>17</v>
      </c>
      <c r="AB12" s="0" t="s">
        <v>14</v>
      </c>
      <c r="AE12" s="0" t="n">
        <v>618824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77</v>
      </c>
      <c r="B1" s="2" t="s">
        <v>78</v>
      </c>
    </row>
    <row r="2" customFormat="false" ht="15" hidden="false" customHeight="false" outlineLevel="0" collapsed="false">
      <c r="A2" s="0" t="s">
        <v>79</v>
      </c>
      <c r="B2" s="3" t="n">
        <v>192.38</v>
      </c>
    </row>
    <row r="3" customFormat="false" ht="15" hidden="false" customHeight="false" outlineLevel="0" collapsed="false">
      <c r="A3" s="0" t="s">
        <v>80</v>
      </c>
      <c r="B3" s="3" t="n">
        <v>792.2</v>
      </c>
    </row>
    <row r="4" customFormat="false" ht="15" hidden="false" customHeight="false" outlineLevel="0" collapsed="false">
      <c r="A4" s="0" t="s">
        <v>81</v>
      </c>
      <c r="B4" s="3" t="n">
        <v>-8360</v>
      </c>
    </row>
    <row r="5" customFormat="false" ht="15" hidden="false" customHeight="false" outlineLevel="0" collapsed="false">
      <c r="A5" s="0" t="s">
        <v>82</v>
      </c>
      <c r="B5" s="3" t="n">
        <v>1078</v>
      </c>
    </row>
    <row r="6" customFormat="false" ht="15" hidden="false" customHeight="false" outlineLevel="0" collapsed="false">
      <c r="A6" s="0" t="s">
        <v>83</v>
      </c>
      <c r="B6" s="3" t="n">
        <v>15</v>
      </c>
    </row>
    <row r="7" customFormat="false" ht="15" hidden="false" customHeight="false" outlineLevel="0" collapsed="false">
      <c r="A7" s="0" t="s">
        <v>84</v>
      </c>
      <c r="B7" s="3" t="n">
        <v>73420</v>
      </c>
    </row>
    <row r="8" customFormat="false" ht="15" hidden="false" customHeight="false" outlineLevel="0" collapsed="false">
      <c r="A8" s="0" t="s">
        <v>85</v>
      </c>
      <c r="B8" s="3" t="s">
        <v>76</v>
      </c>
    </row>
    <row r="9" customFormat="false" ht="15" hidden="false" customHeight="false" outlineLevel="0" collapsed="false">
      <c r="A9" s="0" t="s">
        <v>86</v>
      </c>
      <c r="B9" s="3" t="s">
        <v>87</v>
      </c>
    </row>
    <row r="10" customFormat="false" ht="15" hidden="false" customHeight="false" outlineLevel="0" collapsed="false">
      <c r="A10" s="0" t="s">
        <v>88</v>
      </c>
      <c r="B10" s="3" t="n">
        <v>1</v>
      </c>
    </row>
    <row r="12" customFormat="false" ht="15" hidden="false" customHeight="false" outlineLevel="0" collapsed="false">
      <c r="A12" s="2" t="s">
        <v>89</v>
      </c>
      <c r="C12" s="2" t="s">
        <v>90</v>
      </c>
      <c r="D12" s="2" t="s">
        <v>91</v>
      </c>
      <c r="E12" s="2" t="s">
        <v>92</v>
      </c>
      <c r="F12" s="2" t="s">
        <v>93</v>
      </c>
      <c r="G12" s="2" t="s">
        <v>94</v>
      </c>
      <c r="H12" s="2" t="s">
        <v>95</v>
      </c>
      <c r="I12" s="2" t="s">
        <v>96</v>
      </c>
      <c r="J12" s="2" t="s">
        <v>97</v>
      </c>
      <c r="K12" s="2" t="s">
        <v>98</v>
      </c>
      <c r="L12" s="2" t="s">
        <v>99</v>
      </c>
    </row>
    <row r="13" customFormat="false" ht="15" hidden="false" customHeight="false" outlineLevel="0" collapsed="false">
      <c r="A13" s="0" t="s">
        <v>100</v>
      </c>
      <c r="C13" s="3" t="n">
        <v>7</v>
      </c>
      <c r="D13" s="3" t="n">
        <v>4</v>
      </c>
      <c r="E13" s="3" t="n">
        <v>2</v>
      </c>
      <c r="F13" s="3" t="n">
        <v>-3</v>
      </c>
      <c r="G13" s="3" t="n">
        <v>2</v>
      </c>
      <c r="H13" s="3" t="n">
        <v>3</v>
      </c>
      <c r="I13" s="3" t="n">
        <v>3</v>
      </c>
      <c r="J13" s="3" t="n">
        <v>3</v>
      </c>
      <c r="K13" s="3" t="n">
        <v>2.5</v>
      </c>
      <c r="L13" s="3" t="n">
        <v>2.5</v>
      </c>
    </row>
    <row r="14" customFormat="false" ht="15" hidden="false" customHeight="false" outlineLevel="0" collapsed="false">
      <c r="A14" s="0" t="s">
        <v>101</v>
      </c>
      <c r="C14" s="3" t="n">
        <v>13.2</v>
      </c>
      <c r="D14" s="3" t="n">
        <v>13</v>
      </c>
      <c r="E14" s="3" t="n">
        <v>12.5</v>
      </c>
      <c r="F14" s="3" t="n">
        <v>12</v>
      </c>
      <c r="G14" s="3" t="n">
        <v>12.5</v>
      </c>
      <c r="H14" s="3" t="n">
        <v>13</v>
      </c>
      <c r="I14" s="3" t="n">
        <v>13</v>
      </c>
      <c r="J14" s="3" t="n">
        <v>13</v>
      </c>
      <c r="K14" s="3" t="n">
        <v>13</v>
      </c>
      <c r="L14" s="3" t="n">
        <v>13</v>
      </c>
    </row>
    <row r="15" customFormat="false" ht="15" hidden="false" customHeight="false" outlineLevel="0" collapsed="false">
      <c r="A15" s="0" t="s">
        <v>102</v>
      </c>
      <c r="C15" s="3" t="n">
        <v>0.46</v>
      </c>
      <c r="D15" s="3" t="n">
        <v>0.46</v>
      </c>
      <c r="E15" s="3" t="n">
        <v>0.46</v>
      </c>
      <c r="F15" s="3" t="n">
        <v>0.46</v>
      </c>
      <c r="G15" s="3" t="n">
        <v>0.46</v>
      </c>
      <c r="H15" s="3" t="n">
        <v>0.46</v>
      </c>
      <c r="I15" s="3" t="n">
        <v>0.46</v>
      </c>
      <c r="J15" s="3" t="n">
        <v>0.46</v>
      </c>
      <c r="K15" s="3" t="n">
        <v>0.46</v>
      </c>
      <c r="L15" s="3" t="n">
        <v>0.46</v>
      </c>
    </row>
    <row r="16" customFormat="false" ht="15" hidden="false" customHeight="false" outlineLevel="0" collapsed="false">
      <c r="A16" s="0" t="s">
        <v>103</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104</v>
      </c>
      <c r="C17" s="3" t="n">
        <v>4.3</v>
      </c>
      <c r="D17" s="3" t="n">
        <v>4.4</v>
      </c>
      <c r="E17" s="3" t="n">
        <v>4.5</v>
      </c>
      <c r="F17" s="3" t="n">
        <v>4.6</v>
      </c>
      <c r="G17" s="3" t="n">
        <v>4.5</v>
      </c>
      <c r="H17" s="3" t="n">
        <v>4.4</v>
      </c>
      <c r="I17" s="3" t="n">
        <v>4.4</v>
      </c>
      <c r="J17" s="3" t="n">
        <v>4.4</v>
      </c>
      <c r="K17" s="3" t="n">
        <v>4.4</v>
      </c>
      <c r="L17" s="3" t="n">
        <v>4.4</v>
      </c>
    </row>
    <row r="18" customFormat="false" ht="15" hidden="false" customHeight="false" outlineLevel="0" collapsed="false">
      <c r="A18" s="0" t="s">
        <v>105</v>
      </c>
      <c r="C18" s="3" t="n">
        <v>5.4</v>
      </c>
      <c r="D18" s="3" t="n">
        <v>5.4</v>
      </c>
      <c r="E18" s="3" t="n">
        <v>5.2</v>
      </c>
      <c r="F18" s="3" t="n">
        <v>5</v>
      </c>
      <c r="G18" s="3" t="n">
        <v>4.9</v>
      </c>
      <c r="H18" s="3" t="n">
        <v>4.8</v>
      </c>
      <c r="I18" s="3" t="n">
        <v>4.7</v>
      </c>
      <c r="J18" s="3" t="n">
        <v>4.7</v>
      </c>
      <c r="K18" s="3" t="n">
        <v>4.7</v>
      </c>
      <c r="L18" s="3" t="n">
        <v>4.7</v>
      </c>
    </row>
    <row r="19" customFormat="false" ht="15" hidden="false" customHeight="false" outlineLevel="0" collapsed="false">
      <c r="A19" s="0" t="s">
        <v>106</v>
      </c>
      <c r="C19" s="3" t="n">
        <v>22</v>
      </c>
      <c r="D19" s="3" t="n">
        <v>23</v>
      </c>
      <c r="E19" s="3" t="n">
        <v>24</v>
      </c>
      <c r="F19" s="3" t="n">
        <v>25</v>
      </c>
      <c r="G19" s="3" t="n">
        <v>25</v>
      </c>
      <c r="H19" s="3" t="n">
        <v>25</v>
      </c>
      <c r="I19" s="3" t="n">
        <v>25</v>
      </c>
      <c r="J19" s="3" t="n">
        <v>25</v>
      </c>
      <c r="K19" s="3" t="n">
        <v>25</v>
      </c>
      <c r="L19" s="3" t="n">
        <v>25</v>
      </c>
    </row>
    <row r="20" customFormat="false" ht="15" hidden="false" customHeight="false" outlineLevel="0" collapsed="false">
      <c r="A20" s="0" t="s">
        <v>107</v>
      </c>
      <c r="B20" s="3" t="n">
        <v>8.5</v>
      </c>
    </row>
    <row r="21" customFormat="false" ht="15" hidden="false" customHeight="false" outlineLevel="0" collapsed="false">
      <c r="A21" s="0" t="s">
        <v>108</v>
      </c>
      <c r="B21" s="3" t="n">
        <v>2</v>
      </c>
    </row>
    <row r="22" customFormat="false" ht="15" hidden="false" customHeight="false" outlineLevel="0" collapsed="false">
      <c r="A22" s="0" t="s">
        <v>109</v>
      </c>
      <c r="B22" s="3" t="n">
        <v>13</v>
      </c>
    </row>
    <row r="23" customFormat="false" ht="15" hidden="false" customHeight="false" outlineLevel="0" collapsed="false">
      <c r="A23" s="0" t="s">
        <v>110</v>
      </c>
      <c r="B23" s="3" t="n">
        <v>-8</v>
      </c>
    </row>
    <row r="24" customFormat="false" ht="15" hidden="false" customHeight="false" outlineLevel="0" collapsed="false">
      <c r="A24" s="0" t="s">
        <v>111</v>
      </c>
      <c r="B24" s="3" t="n">
        <v>0.25</v>
      </c>
    </row>
    <row r="26" customFormat="false" ht="15" hidden="false" customHeight="false" outlineLevel="0" collapsed="false">
      <c r="A26" s="2" t="s">
        <v>112</v>
      </c>
      <c r="C26" s="2" t="s">
        <v>90</v>
      </c>
      <c r="D26" s="2" t="s">
        <v>91</v>
      </c>
      <c r="E26" s="2" t="s">
        <v>92</v>
      </c>
      <c r="F26" s="2" t="s">
        <v>93</v>
      </c>
      <c r="G26" s="2" t="s">
        <v>94</v>
      </c>
      <c r="H26" s="2" t="s">
        <v>95</v>
      </c>
      <c r="I26" s="2" t="s">
        <v>96</v>
      </c>
      <c r="J26" s="2" t="s">
        <v>97</v>
      </c>
      <c r="K26" s="2" t="s">
        <v>98</v>
      </c>
      <c r="L26" s="2" t="s">
        <v>99</v>
      </c>
    </row>
    <row r="27" customFormat="false" ht="15" hidden="false" customHeight="false" outlineLevel="0" collapsed="false">
      <c r="A27" s="0" t="s">
        <v>100</v>
      </c>
      <c r="C27" s="3" t="n">
        <v>9</v>
      </c>
      <c r="D27" s="3" t="n">
        <v>8.5</v>
      </c>
      <c r="E27" s="3" t="n">
        <v>7.5</v>
      </c>
      <c r="F27" s="3" t="n">
        <v>6</v>
      </c>
      <c r="G27" s="3" t="n">
        <v>5</v>
      </c>
      <c r="H27" s="3" t="n">
        <v>4.5</v>
      </c>
      <c r="I27" s="3" t="n">
        <v>4</v>
      </c>
      <c r="J27" s="3" t="n">
        <v>3.5</v>
      </c>
      <c r="K27" s="3" t="n">
        <v>3</v>
      </c>
      <c r="L27" s="3" t="n">
        <v>3</v>
      </c>
    </row>
    <row r="28" customFormat="false" ht="15" hidden="false" customHeight="false" outlineLevel="0" collapsed="false">
      <c r="A28" s="0" t="s">
        <v>101</v>
      </c>
      <c r="C28" s="3" t="n">
        <v>13.5</v>
      </c>
      <c r="D28" s="3" t="n">
        <v>14</v>
      </c>
      <c r="E28" s="3" t="n">
        <v>14.5</v>
      </c>
      <c r="F28" s="3" t="n">
        <v>14.9</v>
      </c>
      <c r="G28" s="3" t="n">
        <v>15.2</v>
      </c>
      <c r="H28" s="3" t="n">
        <v>15.3</v>
      </c>
      <c r="I28" s="3" t="n">
        <v>15.3</v>
      </c>
      <c r="J28" s="3" t="n">
        <v>15.3</v>
      </c>
      <c r="K28" s="3" t="n">
        <v>15.3</v>
      </c>
      <c r="L28" s="3" t="n">
        <v>15.3</v>
      </c>
    </row>
    <row r="29" customFormat="false" ht="15" hidden="false" customHeight="false" outlineLevel="0" collapsed="false">
      <c r="A29" s="0" t="s">
        <v>102</v>
      </c>
      <c r="C29" s="3" t="n">
        <v>0.46</v>
      </c>
      <c r="D29" s="3" t="n">
        <v>0.46</v>
      </c>
      <c r="E29" s="3" t="n">
        <v>0.45</v>
      </c>
      <c r="F29" s="3" t="n">
        <v>0.45</v>
      </c>
      <c r="G29" s="3" t="n">
        <v>0.45</v>
      </c>
      <c r="H29" s="3" t="n">
        <v>0.45</v>
      </c>
      <c r="I29" s="3" t="n">
        <v>0.45</v>
      </c>
      <c r="J29" s="3" t="n">
        <v>0.45</v>
      </c>
      <c r="K29" s="3" t="n">
        <v>0.45</v>
      </c>
      <c r="L29" s="3" t="n">
        <v>0.45</v>
      </c>
    </row>
    <row r="30" customFormat="false" ht="15" hidden="false" customHeight="false" outlineLevel="0" collapsed="false">
      <c r="A30" s="0" t="s">
        <v>103</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104</v>
      </c>
      <c r="C31" s="3" t="n">
        <v>4.3</v>
      </c>
      <c r="D31" s="3" t="n">
        <v>4.3</v>
      </c>
      <c r="E31" s="3" t="n">
        <v>4.25</v>
      </c>
      <c r="F31" s="3" t="n">
        <v>4.2</v>
      </c>
      <c r="G31" s="3" t="n">
        <v>4.2</v>
      </c>
      <c r="H31" s="3" t="n">
        <v>4.2</v>
      </c>
      <c r="I31" s="3" t="n">
        <v>4.2</v>
      </c>
      <c r="J31" s="3" t="n">
        <v>4.2</v>
      </c>
      <c r="K31" s="3" t="n">
        <v>4.2</v>
      </c>
      <c r="L31" s="3" t="n">
        <v>4.2</v>
      </c>
    </row>
    <row r="32" customFormat="false" ht="15" hidden="false" customHeight="false" outlineLevel="0" collapsed="false">
      <c r="A32" s="0" t="s">
        <v>105</v>
      </c>
      <c r="C32" s="3" t="n">
        <v>5.3</v>
      </c>
      <c r="D32" s="3" t="n">
        <v>5.2</v>
      </c>
      <c r="E32" s="3" t="n">
        <v>5</v>
      </c>
      <c r="F32" s="3" t="n">
        <v>4.8</v>
      </c>
      <c r="G32" s="3" t="n">
        <v>4.7</v>
      </c>
      <c r="H32" s="3" t="n">
        <v>4.6</v>
      </c>
      <c r="I32" s="3" t="n">
        <v>4.5</v>
      </c>
      <c r="J32" s="3" t="n">
        <v>4.5</v>
      </c>
      <c r="K32" s="3" t="n">
        <v>4.5</v>
      </c>
      <c r="L32" s="3" t="n">
        <v>4.5</v>
      </c>
    </row>
    <row r="33" customFormat="false" ht="15" hidden="false" customHeight="false" outlineLevel="0" collapsed="false">
      <c r="A33" s="0" t="s">
        <v>106</v>
      </c>
      <c r="C33" s="3" t="n">
        <v>22</v>
      </c>
      <c r="D33" s="3" t="n">
        <v>23</v>
      </c>
      <c r="E33" s="3" t="n">
        <v>24</v>
      </c>
      <c r="F33" s="3" t="n">
        <v>25</v>
      </c>
      <c r="G33" s="3" t="n">
        <v>25</v>
      </c>
      <c r="H33" s="3" t="n">
        <v>25</v>
      </c>
      <c r="I33" s="3" t="n">
        <v>25</v>
      </c>
      <c r="J33" s="3" t="n">
        <v>25</v>
      </c>
      <c r="K33" s="3" t="n">
        <v>25</v>
      </c>
      <c r="L33" s="3" t="n">
        <v>25</v>
      </c>
    </row>
    <row r="34" customFormat="false" ht="15" hidden="false" customHeight="false" outlineLevel="0" collapsed="false">
      <c r="A34" s="0" t="s">
        <v>107</v>
      </c>
      <c r="B34" s="3" t="n">
        <v>8.5</v>
      </c>
    </row>
    <row r="35" customFormat="false" ht="15" hidden="false" customHeight="false" outlineLevel="0" collapsed="false">
      <c r="A35" s="0" t="s">
        <v>108</v>
      </c>
      <c r="B35" s="3" t="n">
        <v>2.5</v>
      </c>
    </row>
    <row r="36" customFormat="false" ht="15" hidden="false" customHeight="false" outlineLevel="0" collapsed="false">
      <c r="A36" s="0" t="s">
        <v>109</v>
      </c>
      <c r="B36" s="3" t="n">
        <v>15</v>
      </c>
    </row>
    <row r="37" customFormat="false" ht="15" hidden="false" customHeight="false" outlineLevel="0" collapsed="false">
      <c r="A37" s="0" t="s">
        <v>110</v>
      </c>
      <c r="B37" s="3" t="n">
        <v>-8</v>
      </c>
    </row>
    <row r="38" customFormat="false" ht="15" hidden="false" customHeight="false" outlineLevel="0" collapsed="false">
      <c r="A38" s="0" t="s">
        <v>111</v>
      </c>
      <c r="B38" s="3" t="n">
        <v>0.5</v>
      </c>
    </row>
    <row r="40" customFormat="false" ht="15" hidden="false" customHeight="false" outlineLevel="0" collapsed="false">
      <c r="A40" s="2" t="s">
        <v>113</v>
      </c>
      <c r="C40" s="2" t="s">
        <v>90</v>
      </c>
      <c r="D40" s="2" t="s">
        <v>91</v>
      </c>
      <c r="E40" s="2" t="s">
        <v>92</v>
      </c>
      <c r="F40" s="2" t="s">
        <v>93</v>
      </c>
      <c r="G40" s="2" t="s">
        <v>94</v>
      </c>
      <c r="H40" s="2" t="s">
        <v>95</v>
      </c>
      <c r="I40" s="2" t="s">
        <v>96</v>
      </c>
      <c r="J40" s="2" t="s">
        <v>97</v>
      </c>
      <c r="K40" s="2" t="s">
        <v>98</v>
      </c>
      <c r="L40" s="2" t="s">
        <v>99</v>
      </c>
    </row>
    <row r="41" customFormat="false" ht="15" hidden="false" customHeight="false" outlineLevel="0" collapsed="false">
      <c r="A41" s="0" t="s">
        <v>100</v>
      </c>
      <c r="C41" s="3" t="n">
        <v>10</v>
      </c>
      <c r="D41" s="3" t="n">
        <v>11</v>
      </c>
      <c r="E41" s="3" t="n">
        <v>10</v>
      </c>
      <c r="F41" s="3" t="n">
        <v>8</v>
      </c>
      <c r="G41" s="3" t="n">
        <v>6.5</v>
      </c>
      <c r="H41" s="3" t="n">
        <v>5.5</v>
      </c>
      <c r="I41" s="3" t="n">
        <v>4.5</v>
      </c>
      <c r="J41" s="3" t="n">
        <v>4</v>
      </c>
      <c r="K41" s="3" t="n">
        <v>3.5</v>
      </c>
      <c r="L41" s="3" t="n">
        <v>3</v>
      </c>
    </row>
    <row r="42" customFormat="false" ht="15" hidden="false" customHeight="false" outlineLevel="0" collapsed="false">
      <c r="A42" s="0" t="s">
        <v>101</v>
      </c>
      <c r="C42" s="3" t="n">
        <v>13.6</v>
      </c>
      <c r="D42" s="3" t="n">
        <v>14.4</v>
      </c>
      <c r="E42" s="3" t="n">
        <v>15.2</v>
      </c>
      <c r="F42" s="3" t="n">
        <v>15.8</v>
      </c>
      <c r="G42" s="3" t="n">
        <v>16.2</v>
      </c>
      <c r="H42" s="3" t="n">
        <v>16.5</v>
      </c>
      <c r="I42" s="3" t="n">
        <v>16.5</v>
      </c>
      <c r="J42" s="3" t="n">
        <v>16.5</v>
      </c>
      <c r="K42" s="3" t="n">
        <v>16.5</v>
      </c>
      <c r="L42" s="3" t="n">
        <v>16.5</v>
      </c>
    </row>
    <row r="43" customFormat="false" ht="15" hidden="false" customHeight="false" outlineLevel="0" collapsed="false">
      <c r="A43" s="0" t="s">
        <v>102</v>
      </c>
      <c r="C43" s="3" t="n">
        <v>0.46</v>
      </c>
      <c r="D43" s="3" t="n">
        <v>0.46</v>
      </c>
      <c r="E43" s="3" t="n">
        <v>0.45</v>
      </c>
      <c r="F43" s="3" t="n">
        <v>0.45</v>
      </c>
      <c r="G43" s="3" t="n">
        <v>0.45</v>
      </c>
      <c r="H43" s="3" t="n">
        <v>0.45</v>
      </c>
      <c r="I43" s="3" t="n">
        <v>0.45</v>
      </c>
      <c r="J43" s="3" t="n">
        <v>0.45</v>
      </c>
      <c r="K43" s="3" t="n">
        <v>0.45</v>
      </c>
      <c r="L43" s="3" t="n">
        <v>0.45</v>
      </c>
    </row>
    <row r="44" customFormat="false" ht="15" hidden="false" customHeight="false" outlineLevel="0" collapsed="false">
      <c r="A44" s="0" t="s">
        <v>103</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104</v>
      </c>
      <c r="C45" s="3" t="n">
        <v>4.3</v>
      </c>
      <c r="D45" s="3" t="n">
        <v>4.3</v>
      </c>
      <c r="E45" s="3" t="n">
        <v>4.2</v>
      </c>
      <c r="F45" s="3" t="n">
        <v>4.1</v>
      </c>
      <c r="G45" s="3" t="n">
        <v>4.1</v>
      </c>
      <c r="H45" s="3" t="n">
        <v>4.1</v>
      </c>
      <c r="I45" s="3" t="n">
        <v>4.1</v>
      </c>
      <c r="J45" s="3" t="n">
        <v>4.1</v>
      </c>
      <c r="K45" s="3" t="n">
        <v>4.1</v>
      </c>
      <c r="L45" s="3" t="n">
        <v>4.1</v>
      </c>
    </row>
    <row r="46" customFormat="false" ht="15" hidden="false" customHeight="false" outlineLevel="0" collapsed="false">
      <c r="A46" s="0" t="s">
        <v>105</v>
      </c>
      <c r="C46" s="3" t="n">
        <v>5.3</v>
      </c>
      <c r="D46" s="3" t="n">
        <v>5.2</v>
      </c>
      <c r="E46" s="3" t="n">
        <v>5</v>
      </c>
      <c r="F46" s="3" t="n">
        <v>4.8</v>
      </c>
      <c r="G46" s="3" t="n">
        <v>4.6</v>
      </c>
      <c r="H46" s="3" t="n">
        <v>4.5</v>
      </c>
      <c r="I46" s="3" t="n">
        <v>4.4</v>
      </c>
      <c r="J46" s="3" t="n">
        <v>4.4</v>
      </c>
      <c r="K46" s="3" t="n">
        <v>4.4</v>
      </c>
      <c r="L46" s="3" t="n">
        <v>4.4</v>
      </c>
    </row>
    <row r="47" customFormat="false" ht="15" hidden="false" customHeight="false" outlineLevel="0" collapsed="false">
      <c r="A47" s="0" t="s">
        <v>106</v>
      </c>
      <c r="C47" s="3" t="n">
        <v>22</v>
      </c>
      <c r="D47" s="3" t="n">
        <v>23</v>
      </c>
      <c r="E47" s="3" t="n">
        <v>24</v>
      </c>
      <c r="F47" s="3" t="n">
        <v>25</v>
      </c>
      <c r="G47" s="3" t="n">
        <v>25</v>
      </c>
      <c r="H47" s="3" t="n">
        <v>25</v>
      </c>
      <c r="I47" s="3" t="n">
        <v>25</v>
      </c>
      <c r="J47" s="3" t="n">
        <v>25</v>
      </c>
      <c r="K47" s="3" t="n">
        <v>25</v>
      </c>
      <c r="L47" s="3" t="n">
        <v>25</v>
      </c>
    </row>
    <row r="48" customFormat="false" ht="15" hidden="false" customHeight="false" outlineLevel="0" collapsed="false">
      <c r="A48" s="0" t="s">
        <v>107</v>
      </c>
      <c r="B48" s="3" t="n">
        <v>8.5</v>
      </c>
    </row>
    <row r="49" customFormat="false" ht="15" hidden="false" customHeight="false" outlineLevel="0" collapsed="false">
      <c r="A49" s="0" t="s">
        <v>108</v>
      </c>
      <c r="B49" s="3" t="n">
        <v>2.75</v>
      </c>
    </row>
    <row r="50" customFormat="false" ht="15" hidden="false" customHeight="false" outlineLevel="0" collapsed="false">
      <c r="A50" s="0" t="s">
        <v>109</v>
      </c>
      <c r="B50" s="3" t="n">
        <v>16</v>
      </c>
    </row>
    <row r="51" customFormat="false" ht="15" hidden="false" customHeight="false" outlineLevel="0" collapsed="false">
      <c r="A51" s="0" t="s">
        <v>110</v>
      </c>
      <c r="B51" s="3" t="n">
        <v>-8</v>
      </c>
    </row>
    <row r="52" customFormat="false" ht="15" hidden="false" customHeight="false" outlineLevel="0" collapsed="false">
      <c r="A52" s="0" t="s">
        <v>111</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114</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Assumptions!C13</f>
        <v>7</v>
      </c>
      <c r="D5" s="4" t="n">
        <f aca="false">Assumptions!D13</f>
        <v>4</v>
      </c>
      <c r="E5" s="4" t="n">
        <f aca="false">Assumptions!E13</f>
        <v>2</v>
      </c>
      <c r="F5" s="4" t="n">
        <f aca="false">Assumptions!F13</f>
        <v>-3</v>
      </c>
      <c r="G5" s="4" t="n">
        <f aca="false">Assumptions!G13</f>
        <v>2</v>
      </c>
      <c r="H5" s="4" t="n">
        <f aca="false">Assumptions!H13</f>
        <v>3</v>
      </c>
      <c r="I5" s="4" t="n">
        <f aca="false">Assumptions!I13</f>
        <v>3</v>
      </c>
      <c r="J5" s="4" t="n">
        <f aca="false">Assumptions!J13</f>
        <v>3</v>
      </c>
      <c r="K5" s="4" t="n">
        <f aca="false">Assumptions!K13</f>
        <v>2.5</v>
      </c>
      <c r="L5" s="4" t="n">
        <f aca="false">Assumptions!L13</f>
        <v>2.5</v>
      </c>
    </row>
    <row r="6" customFormat="false" ht="15" hidden="false" customHeight="false" outlineLevel="0" collapsed="false">
      <c r="A6" s="0" t="s">
        <v>37</v>
      </c>
      <c r="B6" s="3" t="n">
        <v>73420</v>
      </c>
      <c r="C6" s="0" t="n">
        <f aca="false">B6*(1+C5/100)</f>
        <v>78559.4</v>
      </c>
      <c r="D6" s="0" t="n">
        <f aca="false">C6*(1+D5/100)</f>
        <v>81701.776</v>
      </c>
      <c r="E6" s="0" t="n">
        <f aca="false">D6*(1+E5/100)</f>
        <v>83335.81152</v>
      </c>
      <c r="F6" s="0" t="n">
        <f aca="false">E6*(1+F5/100)</f>
        <v>80835.7371744</v>
      </c>
      <c r="G6" s="0" t="n">
        <f aca="false">F6*(1+G5/100)</f>
        <v>82452.451917888</v>
      </c>
      <c r="H6" s="0" t="n">
        <f aca="false">G6*(1+H5/100)</f>
        <v>84926.0254754247</v>
      </c>
      <c r="I6" s="0" t="n">
        <f aca="false">H6*(1+I5/100)</f>
        <v>87473.8062396874</v>
      </c>
      <c r="J6" s="0" t="n">
        <f aca="false">I6*(1+J5/100)</f>
        <v>90098.020426878</v>
      </c>
      <c r="K6" s="0" t="n">
        <f aca="false">J6*(1+K5/100)</f>
        <v>92350.47093755</v>
      </c>
      <c r="L6" s="0" t="n">
        <f aca="false">K6*(1+L5/100)</f>
        <v>94659.2327109887</v>
      </c>
    </row>
    <row r="7" customFormat="false" ht="15" hidden="false" customHeight="false" outlineLevel="0" collapsed="false">
      <c r="A7" s="0" t="s">
        <v>101</v>
      </c>
      <c r="C7" s="4" t="n">
        <f aca="false">Assumptions!C14</f>
        <v>13.2</v>
      </c>
      <c r="D7" s="4" t="n">
        <f aca="false">Assumptions!D14</f>
        <v>13</v>
      </c>
      <c r="E7" s="4" t="n">
        <f aca="false">Assumptions!E14</f>
        <v>12.5</v>
      </c>
      <c r="F7" s="4" t="n">
        <f aca="false">Assumptions!F14</f>
        <v>12</v>
      </c>
      <c r="G7" s="4" t="n">
        <f aca="false">Assumptions!G14</f>
        <v>12.5</v>
      </c>
      <c r="H7" s="4" t="n">
        <f aca="false">Assumptions!H14</f>
        <v>13</v>
      </c>
      <c r="I7" s="4" t="n">
        <f aca="false">Assumptions!I14</f>
        <v>13</v>
      </c>
      <c r="J7" s="4" t="n">
        <f aca="false">Assumptions!J14</f>
        <v>13</v>
      </c>
      <c r="K7" s="4" t="n">
        <f aca="false">Assumptions!K14</f>
        <v>13</v>
      </c>
      <c r="L7" s="4" t="n">
        <f aca="false">Assumptions!L14</f>
        <v>13</v>
      </c>
    </row>
    <row r="8" customFormat="false" ht="15" hidden="false" customHeight="false" outlineLevel="0" collapsed="false">
      <c r="A8" s="0" t="s">
        <v>43</v>
      </c>
      <c r="C8" s="0" t="n">
        <f aca="false">C6*C7/100</f>
        <v>10369.8408</v>
      </c>
      <c r="D8" s="0" t="n">
        <f aca="false">D6*D7/100</f>
        <v>10621.23088</v>
      </c>
      <c r="E8" s="0" t="n">
        <f aca="false">E6*E7/100</f>
        <v>10416.97644</v>
      </c>
      <c r="F8" s="0" t="n">
        <f aca="false">F6*F7/100</f>
        <v>9700.288460928</v>
      </c>
      <c r="G8" s="0" t="n">
        <f aca="false">G6*G7/100</f>
        <v>10306.556489736</v>
      </c>
      <c r="H8" s="0" t="n">
        <f aca="false">H6*H7/100</f>
        <v>11040.3833118052</v>
      </c>
      <c r="I8" s="0" t="n">
        <f aca="false">I6*I7/100</f>
        <v>11371.5948111594</v>
      </c>
      <c r="J8" s="0" t="n">
        <f aca="false">J6*J7/100</f>
        <v>11712.7426554941</v>
      </c>
      <c r="K8" s="0" t="n">
        <f aca="false">K6*K7/100</f>
        <v>12005.5612218815</v>
      </c>
      <c r="L8" s="0" t="n">
        <f aca="false">L6*L7/100</f>
        <v>12305.7002524285</v>
      </c>
    </row>
    <row r="9" customFormat="false" ht="15" hidden="false" customHeight="false" outlineLevel="0" collapsed="false">
      <c r="A9" s="0" t="s">
        <v>102</v>
      </c>
      <c r="C9" s="4" t="n">
        <f aca="false">Assumptions!C15</f>
        <v>0.46</v>
      </c>
      <c r="D9" s="4" t="n">
        <f aca="false">Assumptions!D15</f>
        <v>0.46</v>
      </c>
      <c r="E9" s="4" t="n">
        <f aca="false">Assumptions!E15</f>
        <v>0.46</v>
      </c>
      <c r="F9" s="4" t="n">
        <f aca="false">Assumptions!F15</f>
        <v>0.46</v>
      </c>
      <c r="G9" s="4" t="n">
        <f aca="false">Assumptions!G15</f>
        <v>0.46</v>
      </c>
      <c r="H9" s="4" t="n">
        <f aca="false">Assumptions!H15</f>
        <v>0.46</v>
      </c>
      <c r="I9" s="4" t="n">
        <f aca="false">Assumptions!I15</f>
        <v>0.46</v>
      </c>
      <c r="J9" s="4" t="n">
        <f aca="false">Assumptions!J15</f>
        <v>0.46</v>
      </c>
      <c r="K9" s="4" t="n">
        <f aca="false">Assumptions!K15</f>
        <v>0.46</v>
      </c>
      <c r="L9" s="4" t="n">
        <f aca="false">Assumptions!L15</f>
        <v>0.46</v>
      </c>
    </row>
    <row r="10" customFormat="false" ht="15" hidden="false" customHeight="false" outlineLevel="0" collapsed="false">
      <c r="A10" s="0" t="s">
        <v>117</v>
      </c>
      <c r="C10" s="0" t="n">
        <f aca="false">-C6*C9/100</f>
        <v>-361.37324</v>
      </c>
      <c r="D10" s="0" t="n">
        <f aca="false">-D6*D9/100</f>
        <v>-375.8281696</v>
      </c>
      <c r="E10" s="0" t="n">
        <f aca="false">-E6*E9/100</f>
        <v>-383.344732992</v>
      </c>
      <c r="F10" s="0" t="n">
        <f aca="false">-F6*F9/100</f>
        <v>-371.84439100224</v>
      </c>
      <c r="G10" s="0" t="n">
        <f aca="false">-G6*G9/100</f>
        <v>-379.281278822285</v>
      </c>
      <c r="H10" s="0" t="n">
        <f aca="false">-H6*H9/100</f>
        <v>-390.659717186953</v>
      </c>
      <c r="I10" s="0" t="n">
        <f aca="false">-I6*I9/100</f>
        <v>-402.379508702562</v>
      </c>
      <c r="J10" s="0" t="n">
        <f aca="false">-J6*J9/100</f>
        <v>-414.450893963639</v>
      </c>
      <c r="K10" s="0" t="n">
        <f aca="false">-K6*K9/100</f>
        <v>-424.81216631273</v>
      </c>
      <c r="L10" s="0" t="n">
        <f aca="false">-L6*L9/100</f>
        <v>-435.432470470548</v>
      </c>
    </row>
    <row r="11" customFormat="false" ht="15" hidden="false" customHeight="false" outlineLevel="0" collapsed="false">
      <c r="A11" s="0" t="s">
        <v>118</v>
      </c>
      <c r="C11" s="0" t="n">
        <f aca="false">C8+C10+C24</f>
        <v>10008.46756</v>
      </c>
      <c r="D11" s="0" t="n">
        <f aca="false">D8+D10+D24</f>
        <v>10245.4027104</v>
      </c>
      <c r="E11" s="0" t="n">
        <f aca="false">E8+E10+E24</f>
        <v>10033.631707008</v>
      </c>
      <c r="F11" s="0" t="n">
        <f aca="false">F8+F10+F24</f>
        <v>9328.44406992576</v>
      </c>
      <c r="G11" s="0" t="n">
        <f aca="false">G8+G10+G24</f>
        <v>9927.27521091372</v>
      </c>
      <c r="H11" s="0" t="n">
        <f aca="false">H8+H10+H24</f>
        <v>10649.7235946183</v>
      </c>
      <c r="I11" s="0" t="n">
        <f aca="false">I8+I10+I24</f>
        <v>10969.2153024568</v>
      </c>
      <c r="J11" s="0" t="n">
        <f aca="false">J8+J10+J24</f>
        <v>11298.2917615305</v>
      </c>
      <c r="K11" s="0" t="n">
        <f aca="false">K8+K10+K24</f>
        <v>11580.7490555688</v>
      </c>
      <c r="L11" s="0" t="n">
        <f aca="false">L8+L10+L24</f>
        <v>11870.267781958</v>
      </c>
    </row>
    <row r="12" customFormat="false" ht="15" hidden="false" customHeight="false" outlineLevel="0" collapsed="false">
      <c r="A12" s="0" t="s">
        <v>119</v>
      </c>
      <c r="C12" s="4" t="n">
        <f aca="false">-C6*Assumptions!C17/100</f>
        <v>-3378.0542</v>
      </c>
      <c r="D12" s="4" t="n">
        <f aca="false">-D6*Assumptions!D17/100</f>
        <v>-3594.878144</v>
      </c>
      <c r="E12" s="4" t="n">
        <f aca="false">-E6*Assumptions!E17/100</f>
        <v>-3750.1115184</v>
      </c>
      <c r="F12" s="4" t="n">
        <f aca="false">-F6*Assumptions!F17/100</f>
        <v>-3718.4439100224</v>
      </c>
      <c r="G12" s="4" t="n">
        <f aca="false">-G6*Assumptions!G17/100</f>
        <v>-3710.36033630496</v>
      </c>
      <c r="H12" s="4" t="n">
        <f aca="false">-H6*Assumptions!H17/100</f>
        <v>-3736.74512091869</v>
      </c>
      <c r="I12" s="4" t="n">
        <f aca="false">-I6*Assumptions!I17/100</f>
        <v>-3848.84747454625</v>
      </c>
      <c r="J12" s="4" t="n">
        <f aca="false">-J6*Assumptions!J17/100</f>
        <v>-3964.31289878263</v>
      </c>
      <c r="K12" s="4" t="n">
        <f aca="false">-K6*Assumptions!K17/100</f>
        <v>-4063.4207212522</v>
      </c>
      <c r="L12" s="4" t="n">
        <f aca="false">-L6*Assumptions!L17/100</f>
        <v>-4165.0062392835</v>
      </c>
    </row>
    <row r="13" customFormat="false" ht="15" hidden="false" customHeight="false" outlineLevel="0" collapsed="false">
      <c r="A13" s="0" t="s">
        <v>120</v>
      </c>
      <c r="C13" s="0" t="n">
        <f aca="false">C11+C12</f>
        <v>6630.41336</v>
      </c>
      <c r="D13" s="0" t="n">
        <f aca="false">D11+D12</f>
        <v>6650.5245664</v>
      </c>
      <c r="E13" s="0" t="n">
        <f aca="false">E11+E12</f>
        <v>6283.520188608</v>
      </c>
      <c r="F13" s="0" t="n">
        <f aca="false">F11+F12</f>
        <v>5610.00015990336</v>
      </c>
      <c r="G13" s="0" t="n">
        <f aca="false">G11+G12</f>
        <v>6216.91487460876</v>
      </c>
      <c r="H13" s="0" t="n">
        <f aca="false">H11+H12</f>
        <v>6912.97847369957</v>
      </c>
      <c r="I13" s="0" t="n">
        <f aca="false">I11+I12</f>
        <v>7120.36782791055</v>
      </c>
      <c r="J13" s="0" t="n">
        <f aca="false">J11+J12</f>
        <v>7333.97886274787</v>
      </c>
      <c r="K13" s="0" t="n">
        <f aca="false">K11+K12</f>
        <v>7517.32833431657</v>
      </c>
      <c r="L13" s="0" t="n">
        <f aca="false">L11+L12</f>
        <v>7705.26154267448</v>
      </c>
    </row>
    <row r="14" customFormat="false" ht="15" hidden="false" customHeight="false" outlineLevel="0" collapsed="false">
      <c r="A14" s="0" t="s">
        <v>106</v>
      </c>
      <c r="C14" s="4" t="n">
        <f aca="false">Assumptions!C19</f>
        <v>22</v>
      </c>
      <c r="D14" s="4" t="n">
        <f aca="false">Assumptions!D19</f>
        <v>23</v>
      </c>
      <c r="E14" s="4" t="n">
        <f aca="false">Assumptions!E19</f>
        <v>24</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121</v>
      </c>
      <c r="C15" s="0" t="n">
        <f aca="false">C13-MAX(0,C13)*C14/100</f>
        <v>5171.7224208</v>
      </c>
      <c r="D15" s="0" t="n">
        <f aca="false">D13-MAX(0,D13)*D14/100</f>
        <v>5120.903916128</v>
      </c>
      <c r="E15" s="0" t="n">
        <f aca="false">E13-MAX(0,E13)*E14/100</f>
        <v>4775.47534334208</v>
      </c>
      <c r="F15" s="0" t="n">
        <f aca="false">F13-MAX(0,F13)*F14/100</f>
        <v>4207.50011992752</v>
      </c>
      <c r="G15" s="0" t="n">
        <f aca="false">G13-MAX(0,G13)*G14/100</f>
        <v>4662.68615595657</v>
      </c>
      <c r="H15" s="0" t="n">
        <f aca="false">H13-MAX(0,H13)*H14/100</f>
        <v>5184.73385527468</v>
      </c>
      <c r="I15" s="0" t="n">
        <f aca="false">I13-MAX(0,I13)*I14/100</f>
        <v>5340.27587093292</v>
      </c>
      <c r="J15" s="0" t="n">
        <f aca="false">J13-MAX(0,J13)*J14/100</f>
        <v>5500.4841470609</v>
      </c>
      <c r="K15" s="0" t="n">
        <f aca="false">K13-MAX(0,K13)*K14/100</f>
        <v>5637.99625073743</v>
      </c>
      <c r="L15" s="0" t="n">
        <f aca="false">L13-MAX(0,L13)*L14/100</f>
        <v>5778.94615700586</v>
      </c>
    </row>
    <row r="16" customFormat="false" ht="15" hidden="false" customHeight="false" outlineLevel="0" collapsed="false">
      <c r="A16" s="0" t="s">
        <v>122</v>
      </c>
      <c r="C16" s="0" t="n">
        <f aca="false">-C12</f>
        <v>3378.0542</v>
      </c>
      <c r="D16" s="0" t="n">
        <f aca="false">-D12</f>
        <v>3594.878144</v>
      </c>
      <c r="E16" s="0" t="n">
        <f aca="false">-E12</f>
        <v>3750.1115184</v>
      </c>
      <c r="F16" s="0" t="n">
        <f aca="false">-F12</f>
        <v>3718.4439100224</v>
      </c>
      <c r="G16" s="0" t="n">
        <f aca="false">-G12</f>
        <v>3710.36033630496</v>
      </c>
      <c r="H16" s="0" t="n">
        <f aca="false">-H12</f>
        <v>3736.74512091869</v>
      </c>
      <c r="I16" s="0" t="n">
        <f aca="false">-I12</f>
        <v>3848.84747454625</v>
      </c>
      <c r="J16" s="0" t="n">
        <f aca="false">-J12</f>
        <v>3964.31289878263</v>
      </c>
      <c r="K16" s="0" t="n">
        <f aca="false">-K12</f>
        <v>4063.4207212522</v>
      </c>
      <c r="L16" s="0" t="n">
        <f aca="false">-L12</f>
        <v>4165.0062392835</v>
      </c>
    </row>
    <row r="17" customFormat="false" ht="15" hidden="false" customHeight="false" outlineLevel="0" collapsed="false">
      <c r="A17" s="0" t="s">
        <v>123</v>
      </c>
      <c r="C17" s="4" t="n">
        <f aca="false">-C6*Assumptions!C18/100</f>
        <v>-4242.2076</v>
      </c>
      <c r="D17" s="4" t="n">
        <f aca="false">-D6*Assumptions!D18/100</f>
        <v>-4411.895904</v>
      </c>
      <c r="E17" s="4" t="n">
        <f aca="false">-E6*Assumptions!E18/100</f>
        <v>-4333.46219904</v>
      </c>
      <c r="F17" s="4" t="n">
        <f aca="false">-F6*Assumptions!F18/100</f>
        <v>-4041.78685872</v>
      </c>
      <c r="G17" s="4" t="n">
        <f aca="false">-G6*Assumptions!G18/100</f>
        <v>-4040.17014397651</v>
      </c>
      <c r="H17" s="4" t="n">
        <f aca="false">-H6*Assumptions!H18/100</f>
        <v>-4076.44922282038</v>
      </c>
      <c r="I17" s="4" t="n">
        <f aca="false">-I6*Assumptions!I18/100</f>
        <v>-4111.26889326531</v>
      </c>
      <c r="J17" s="4" t="n">
        <f aca="false">-J6*Assumptions!J18/100</f>
        <v>-4234.60696006327</v>
      </c>
      <c r="K17" s="4" t="n">
        <f aca="false">-K6*Assumptions!K18/100</f>
        <v>-4340.47213406485</v>
      </c>
      <c r="L17" s="4" t="n">
        <f aca="false">-L6*Assumptions!L18/100</f>
        <v>-4448.98393741647</v>
      </c>
    </row>
    <row r="18" customFormat="false" ht="15" hidden="false" customHeight="false" outlineLevel="0" collapsed="false">
      <c r="A18" s="0" t="s">
        <v>124</v>
      </c>
      <c r="C18" s="4" t="n">
        <f aca="false">(C6-B6)*Assumptions!$B$23/100</f>
        <v>-411.152000000001</v>
      </c>
      <c r="D18" s="4" t="n">
        <f aca="false">(D6-C6)*Assumptions!$B$23/100</f>
        <v>-251.39008</v>
      </c>
      <c r="E18" s="4" t="n">
        <f aca="false">(E6-D6)*Assumptions!$B$23/100</f>
        <v>-130.7228416</v>
      </c>
      <c r="F18" s="4" t="n">
        <f aca="false">(F6-E6)*Assumptions!$B$23/100</f>
        <v>200.005947648</v>
      </c>
      <c r="G18" s="4" t="n">
        <f aca="false">(G6-F6)*Assumptions!$B$23/100</f>
        <v>-129.33717947904</v>
      </c>
      <c r="H18" s="4" t="n">
        <f aca="false">(H6-G6)*Assumptions!$B$23/100</f>
        <v>-197.885884602931</v>
      </c>
      <c r="I18" s="4" t="n">
        <f aca="false">(I6-H6)*Assumptions!$B$23/100</f>
        <v>-203.82246114102</v>
      </c>
      <c r="J18" s="4" t="n">
        <f aca="false">(J6-I6)*Assumptions!$B$23/100</f>
        <v>-209.93713497525</v>
      </c>
      <c r="K18" s="4" t="n">
        <f aca="false">(K6-J6)*Assumptions!$B$23/100</f>
        <v>-180.196040853756</v>
      </c>
      <c r="L18" s="4" t="n">
        <f aca="false">(L6-K6)*Assumptions!$B$23/100</f>
        <v>-184.7009418751</v>
      </c>
    </row>
    <row r="19" customFormat="false" ht="15" hidden="false" customHeight="false" outlineLevel="0" collapsed="false">
      <c r="A19" s="0" t="s">
        <v>125</v>
      </c>
      <c r="C19" s="0" t="n">
        <f aca="false">C15+C16+C17+C18</f>
        <v>3896.4170208</v>
      </c>
      <c r="D19" s="0" t="n">
        <f aca="false">D15+D16+D17+D18</f>
        <v>4052.496076128</v>
      </c>
      <c r="E19" s="0" t="n">
        <f aca="false">E15+E16+E17+E18</f>
        <v>4061.40182110208</v>
      </c>
      <c r="F19" s="0" t="n">
        <f aca="false">F15+F16+F17+F18</f>
        <v>4084.16311887792</v>
      </c>
      <c r="G19" s="0" t="n">
        <f aca="false">G15+G16+G17+G18</f>
        <v>4203.53916880598</v>
      </c>
      <c r="H19" s="0" t="n">
        <f aca="false">H15+H16+H17+H18</f>
        <v>4647.14386877005</v>
      </c>
      <c r="I19" s="0" t="n">
        <f aca="false">I15+I16+I17+I18</f>
        <v>4874.03199107283</v>
      </c>
      <c r="J19" s="0" t="n">
        <f aca="false">J15+J16+J17+J18</f>
        <v>5020.25295080502</v>
      </c>
      <c r="K19" s="0" t="n">
        <f aca="false">K15+K16+K17+K18</f>
        <v>5180.74879707102</v>
      </c>
      <c r="L19" s="0" t="n">
        <f aca="false">L15+L16+L17+L18</f>
        <v>5310.2675169978</v>
      </c>
    </row>
    <row r="20" customFormat="false" ht="15" hidden="false" customHeight="false" outlineLevel="0" collapsed="false">
      <c r="A20" s="0" t="s">
        <v>126</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127</v>
      </c>
      <c r="C21" s="0" t="n">
        <f aca="false">C19*C20</f>
        <v>3591.16776110599</v>
      </c>
      <c r="D21" s="0" t="n">
        <f aca="false">D19*D20</f>
        <v>3442.41421659241</v>
      </c>
      <c r="E21" s="0" t="n">
        <f aca="false">E19*E20</f>
        <v>3179.70437672213</v>
      </c>
      <c r="F21" s="0" t="n">
        <f aca="false">F19*F20</f>
        <v>2947.02707933791</v>
      </c>
      <c r="G21" s="0" t="n">
        <f aca="false">G19*G20</f>
        <v>2795.54448582809</v>
      </c>
      <c r="H21" s="0" t="n">
        <f aca="false">H19*H20</f>
        <v>2848.44401962068</v>
      </c>
      <c r="I21" s="0" t="n">
        <f aca="false">I19*I20</f>
        <v>2753.46910626636</v>
      </c>
      <c r="J21" s="0" t="n">
        <f aca="false">J19*J20</f>
        <v>2613.89233129433</v>
      </c>
      <c r="K21" s="0" t="n">
        <f aca="false">K19*K20</f>
        <v>2486.13605062718</v>
      </c>
      <c r="L21" s="0" t="n">
        <f aca="false">L19*L20</f>
        <v>2348.65387271231</v>
      </c>
    </row>
    <row r="23" customFormat="false" ht="15" hidden="false" customHeight="false" outlineLevel="0" collapsed="false">
      <c r="A23" s="0" t="s">
        <v>103</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Assumptions!$B$20</f>
        <v>8.5</v>
      </c>
    </row>
    <row r="28" customFormat="false" ht="15" hidden="false" customHeight="false" outlineLevel="0" collapsed="false">
      <c r="A28" s="0" t="s">
        <v>108</v>
      </c>
      <c r="B28" s="4" t="n">
        <f aca="false">Assumptions!$B$21</f>
        <v>2</v>
      </c>
    </row>
    <row r="29" customFormat="false" ht="15" hidden="false" customHeight="false" outlineLevel="0" collapsed="false">
      <c r="A29" s="0" t="s">
        <v>109</v>
      </c>
      <c r="B29" s="4" t="n">
        <f aca="false">Assumptions!$B$22</f>
        <v>13</v>
      </c>
    </row>
    <row r="30" customFormat="false" ht="15" hidden="false" customHeight="false" outlineLevel="0" collapsed="false">
      <c r="A30" s="0" t="s">
        <v>130</v>
      </c>
      <c r="B30" s="0" t="n">
        <f aca="false">SUM(C21:L21)</f>
        <v>29006.4533001074</v>
      </c>
    </row>
    <row r="31" customFormat="false" ht="15" hidden="false" customHeight="false" outlineLevel="0" collapsed="false">
      <c r="A31" s="0" t="s">
        <v>131</v>
      </c>
      <c r="B31" s="0" t="n">
        <f aca="false">L19</f>
        <v>5310.2675169978</v>
      </c>
    </row>
    <row r="32" customFormat="false" ht="15" hidden="false" customHeight="false" outlineLevel="0" collapsed="false">
      <c r="A32" s="0" t="s">
        <v>132</v>
      </c>
      <c r="B32" s="0" t="n">
        <f aca="false">IF(B27&gt;B28,B31*(1+B28/100)/((B27-B28)/100),B31*B29)</f>
        <v>83330.3518051962</v>
      </c>
    </row>
    <row r="33" customFormat="false" ht="15" hidden="false" customHeight="false" outlineLevel="0" collapsed="false">
      <c r="A33" s="0" t="s">
        <v>133</v>
      </c>
      <c r="B33" s="0" t="n">
        <f aca="false">B31*B29</f>
        <v>69033.4777209714</v>
      </c>
    </row>
    <row r="34" customFormat="false" ht="15" hidden="false" customHeight="false" outlineLevel="0" collapsed="false">
      <c r="A34" s="0" t="s">
        <v>134</v>
      </c>
      <c r="B34" s="0" t="n">
        <f aca="false">MAX(0,MIN(B32,B33))</f>
        <v>69033.4777209714</v>
      </c>
    </row>
    <row r="35" customFormat="false" ht="15" hidden="false" customHeight="false" outlineLevel="0" collapsed="false">
      <c r="A35" s="0" t="s">
        <v>135</v>
      </c>
      <c r="B35" s="0" t="n">
        <f aca="false">B34/(1+B27/100)^L4</f>
        <v>30532.5003452601</v>
      </c>
    </row>
    <row r="36" customFormat="false" ht="15" hidden="false" customHeight="false" outlineLevel="0" collapsed="false">
      <c r="A36" s="0" t="s">
        <v>136</v>
      </c>
      <c r="B36" s="0" t="n">
        <f aca="false">B30+B35</f>
        <v>59538.9536453675</v>
      </c>
    </row>
    <row r="37" customFormat="false" ht="15" hidden="false" customHeight="false" outlineLevel="0" collapsed="false">
      <c r="A37" s="0" t="s">
        <v>137</v>
      </c>
      <c r="B37" s="0" t="n">
        <f aca="false">B36+Assumptions!$B$5-Assumptions!$B$4</f>
        <v>68976.9536453675</v>
      </c>
    </row>
    <row r="38" customFormat="false" ht="15" hidden="false" customHeight="false" outlineLevel="0" collapsed="false">
      <c r="A38" s="0" t="s">
        <v>138</v>
      </c>
      <c r="B38" s="0" t="n">
        <f aca="false">B37/Assumptions!$B$3*Assumptions!$B$10</f>
        <v>87.0701257830945</v>
      </c>
    </row>
    <row r="39" customFormat="false" ht="15" hidden="false" customHeight="false" outlineLevel="0" collapsed="false">
      <c r="A39" s="0" t="s">
        <v>139</v>
      </c>
      <c r="B39" s="4" t="n">
        <f aca="false">B38/Assumptions!$B$2-1</f>
        <v>-0.547405521451843</v>
      </c>
    </row>
    <row r="41" customFormat="false" ht="15" hidden="false" customHeight="false" outlineLevel="0" collapsed="false">
      <c r="A41" s="0" t="s">
        <v>140</v>
      </c>
      <c r="B41" s="0" t="n">
        <f aca="false">SUMPRODUCT(-C10:L10/(1+$B$27/100)^C4:L4)</f>
        <v>2551.99226111564</v>
      </c>
    </row>
    <row r="42" customFormat="false" ht="15" hidden="false" customHeight="false" outlineLevel="0" collapsed="false">
      <c r="A42" s="0" t="s">
        <v>141</v>
      </c>
      <c r="B42" s="0" t="n">
        <f aca="false">IF(B27&gt;B28,-L10*(1+B28/100)/((B27-B28)/100),-L10*20)/(1+B27/100)^L4</f>
        <v>3022.10983909322</v>
      </c>
    </row>
    <row r="43" customFormat="false" ht="15" hidden="false" customHeight="false" outlineLevel="0" collapsed="false">
      <c r="A43" s="0" t="s">
        <v>142</v>
      </c>
      <c r="B43" s="0" t="n">
        <f aca="false">(B37+B41+B42)/Assumptions!$B$3*Assumptions!$B$10</f>
        <v>94.1063566593996</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41665.1759025981</v>
      </c>
    </row>
    <row r="47" customFormat="false" ht="15" hidden="false" customHeight="false" outlineLevel="0" collapsed="false">
      <c r="A47" s="0" t="s">
        <v>144</v>
      </c>
      <c r="B47" s="0" t="n">
        <f aca="false">(SUMPRODUCT(C19:L19/(1+B45/100)^C4:L4)+B46/(1+B45/100)^L4+Assumptions!$B$5-Assumptions!$B$4)/Assumptions!$B$3*Assumptions!$B$10</f>
        <v>52.4523877784944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145</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Assumptions!C27</f>
        <v>9</v>
      </c>
      <c r="D5" s="4" t="n">
        <f aca="false">Assumptions!D27</f>
        <v>8.5</v>
      </c>
      <c r="E5" s="4" t="n">
        <f aca="false">Assumptions!E27</f>
        <v>7.5</v>
      </c>
      <c r="F5" s="4" t="n">
        <f aca="false">Assumptions!F27</f>
        <v>6</v>
      </c>
      <c r="G5" s="4" t="n">
        <f aca="false">Assumptions!G27</f>
        <v>5</v>
      </c>
      <c r="H5" s="4" t="n">
        <f aca="false">Assumptions!H27</f>
        <v>4.5</v>
      </c>
      <c r="I5" s="4" t="n">
        <f aca="false">Assumptions!I27</f>
        <v>4</v>
      </c>
      <c r="J5" s="4" t="n">
        <f aca="false">Assumptions!J27</f>
        <v>3.5</v>
      </c>
      <c r="K5" s="4" t="n">
        <f aca="false">Assumptions!K27</f>
        <v>3</v>
      </c>
      <c r="L5" s="4" t="n">
        <f aca="false">Assumptions!L27</f>
        <v>3</v>
      </c>
    </row>
    <row r="6" customFormat="false" ht="15" hidden="false" customHeight="false" outlineLevel="0" collapsed="false">
      <c r="A6" s="0" t="s">
        <v>37</v>
      </c>
      <c r="B6" s="3" t="n">
        <v>73420</v>
      </c>
      <c r="C6" s="0" t="n">
        <f aca="false">B6*(1+C5/100)</f>
        <v>80027.8</v>
      </c>
      <c r="D6" s="0" t="n">
        <f aca="false">C6*(1+D5/100)</f>
        <v>86830.163</v>
      </c>
      <c r="E6" s="0" t="n">
        <f aca="false">D6*(1+E5/100)</f>
        <v>93342.425225</v>
      </c>
      <c r="F6" s="0" t="n">
        <f aca="false">E6*(1+F5/100)</f>
        <v>98942.9707385</v>
      </c>
      <c r="G6" s="0" t="n">
        <f aca="false">F6*(1+G5/100)</f>
        <v>103890.119275425</v>
      </c>
      <c r="H6" s="0" t="n">
        <f aca="false">G6*(1+H5/100)</f>
        <v>108565.174642819</v>
      </c>
      <c r="I6" s="0" t="n">
        <f aca="false">H6*(1+I5/100)</f>
        <v>112907.781628532</v>
      </c>
      <c r="J6" s="0" t="n">
        <f aca="false">I6*(1+J5/100)</f>
        <v>116859.553985531</v>
      </c>
      <c r="K6" s="0" t="n">
        <f aca="false">J6*(1+K5/100)</f>
        <v>120365.340605096</v>
      </c>
      <c r="L6" s="0" t="n">
        <f aca="false">K6*(1+L5/100)</f>
        <v>123976.300823249</v>
      </c>
    </row>
    <row r="7" customFormat="false" ht="15" hidden="false" customHeight="false" outlineLevel="0" collapsed="false">
      <c r="A7" s="0" t="s">
        <v>101</v>
      </c>
      <c r="C7" s="4" t="n">
        <f aca="false">Assumptions!C28</f>
        <v>13.5</v>
      </c>
      <c r="D7" s="4" t="n">
        <f aca="false">Assumptions!D28</f>
        <v>14</v>
      </c>
      <c r="E7" s="4" t="n">
        <f aca="false">Assumptions!E28</f>
        <v>14.5</v>
      </c>
      <c r="F7" s="4" t="n">
        <f aca="false">Assumptions!F28</f>
        <v>14.9</v>
      </c>
      <c r="G7" s="4" t="n">
        <f aca="false">Assumptions!G28</f>
        <v>15.2</v>
      </c>
      <c r="H7" s="4" t="n">
        <f aca="false">Assumptions!H28</f>
        <v>15.3</v>
      </c>
      <c r="I7" s="4" t="n">
        <f aca="false">Assumptions!I28</f>
        <v>15.3</v>
      </c>
      <c r="J7" s="4" t="n">
        <f aca="false">Assumptions!J28</f>
        <v>15.3</v>
      </c>
      <c r="K7" s="4" t="n">
        <f aca="false">Assumptions!K28</f>
        <v>15.3</v>
      </c>
      <c r="L7" s="4" t="n">
        <f aca="false">Assumptions!L28</f>
        <v>15.3</v>
      </c>
    </row>
    <row r="8" customFormat="false" ht="15" hidden="false" customHeight="false" outlineLevel="0" collapsed="false">
      <c r="A8" s="0" t="s">
        <v>43</v>
      </c>
      <c r="C8" s="0" t="n">
        <f aca="false">C6*C7/100</f>
        <v>10803.753</v>
      </c>
      <c r="D8" s="0" t="n">
        <f aca="false">D6*D7/100</f>
        <v>12156.22282</v>
      </c>
      <c r="E8" s="0" t="n">
        <f aca="false">E6*E7/100</f>
        <v>13534.651657625</v>
      </c>
      <c r="F8" s="0" t="n">
        <f aca="false">F6*F7/100</f>
        <v>14742.5026400365</v>
      </c>
      <c r="G8" s="0" t="n">
        <f aca="false">G6*G7/100</f>
        <v>15791.2981298646</v>
      </c>
      <c r="H8" s="0" t="n">
        <f aca="false">H6*H7/100</f>
        <v>16610.4717203513</v>
      </c>
      <c r="I8" s="0" t="n">
        <f aca="false">I6*I7/100</f>
        <v>17274.8905891654</v>
      </c>
      <c r="J8" s="0" t="n">
        <f aca="false">J6*J7/100</f>
        <v>17879.5117597862</v>
      </c>
      <c r="K8" s="0" t="n">
        <f aca="false">K6*K7/100</f>
        <v>18415.8971125798</v>
      </c>
      <c r="L8" s="0" t="n">
        <f aca="false">L6*L7/100</f>
        <v>18968.3740259571</v>
      </c>
    </row>
    <row r="9" customFormat="false" ht="15" hidden="false" customHeight="false" outlineLevel="0" collapsed="false">
      <c r="A9" s="0" t="s">
        <v>102</v>
      </c>
      <c r="C9" s="4" t="n">
        <f aca="false">Assumptions!C29</f>
        <v>0.46</v>
      </c>
      <c r="D9" s="4" t="n">
        <f aca="false">Assumptions!D29</f>
        <v>0.46</v>
      </c>
      <c r="E9" s="4" t="n">
        <f aca="false">Assumptions!E29</f>
        <v>0.45</v>
      </c>
      <c r="F9" s="4" t="n">
        <f aca="false">Assumptions!F29</f>
        <v>0.45</v>
      </c>
      <c r="G9" s="4" t="n">
        <f aca="false">Assumptions!G29</f>
        <v>0.45</v>
      </c>
      <c r="H9" s="4" t="n">
        <f aca="false">Assumptions!H29</f>
        <v>0.45</v>
      </c>
      <c r="I9" s="4" t="n">
        <f aca="false">Assumptions!I29</f>
        <v>0.45</v>
      </c>
      <c r="J9" s="4" t="n">
        <f aca="false">Assumptions!J29</f>
        <v>0.45</v>
      </c>
      <c r="K9" s="4" t="n">
        <f aca="false">Assumptions!K29</f>
        <v>0.45</v>
      </c>
      <c r="L9" s="4" t="n">
        <f aca="false">Assumptions!L29</f>
        <v>0.45</v>
      </c>
    </row>
    <row r="10" customFormat="false" ht="15" hidden="false" customHeight="false" outlineLevel="0" collapsed="false">
      <c r="A10" s="0" t="s">
        <v>117</v>
      </c>
      <c r="C10" s="0" t="n">
        <f aca="false">-C6*C9/100</f>
        <v>-368.12788</v>
      </c>
      <c r="D10" s="0" t="n">
        <f aca="false">-D6*D9/100</f>
        <v>-399.4187498</v>
      </c>
      <c r="E10" s="0" t="n">
        <f aca="false">-E6*E9/100</f>
        <v>-420.0409135125</v>
      </c>
      <c r="F10" s="0" t="n">
        <f aca="false">-F6*F9/100</f>
        <v>-445.24336832325</v>
      </c>
      <c r="G10" s="0" t="n">
        <f aca="false">-G6*G9/100</f>
        <v>-467.505536739413</v>
      </c>
      <c r="H10" s="0" t="n">
        <f aca="false">-H6*H9/100</f>
        <v>-488.543285892686</v>
      </c>
      <c r="I10" s="0" t="n">
        <f aca="false">-I6*I9/100</f>
        <v>-508.085017328394</v>
      </c>
      <c r="J10" s="0" t="n">
        <f aca="false">-J6*J9/100</f>
        <v>-525.867992934887</v>
      </c>
      <c r="K10" s="0" t="n">
        <f aca="false">-K6*K9/100</f>
        <v>-541.644032722934</v>
      </c>
      <c r="L10" s="0" t="n">
        <f aca="false">-L6*L9/100</f>
        <v>-557.893353704622</v>
      </c>
    </row>
    <row r="11" customFormat="false" ht="15" hidden="false" customHeight="false" outlineLevel="0" collapsed="false">
      <c r="A11" s="0" t="s">
        <v>118</v>
      </c>
      <c r="C11" s="0" t="n">
        <f aca="false">C8+C10+C24</f>
        <v>10435.62512</v>
      </c>
      <c r="D11" s="0" t="n">
        <f aca="false">D8+D10+D24</f>
        <v>11756.8040702</v>
      </c>
      <c r="E11" s="0" t="n">
        <f aca="false">E8+E10+E24</f>
        <v>13114.6107441125</v>
      </c>
      <c r="F11" s="0" t="n">
        <f aca="false">F8+F10+F24</f>
        <v>14297.2592717133</v>
      </c>
      <c r="G11" s="0" t="n">
        <f aca="false">G8+G10+G24</f>
        <v>15323.7925931252</v>
      </c>
      <c r="H11" s="0" t="n">
        <f aca="false">H8+H10+H24</f>
        <v>16121.9284344586</v>
      </c>
      <c r="I11" s="0" t="n">
        <f aca="false">I8+I10+I24</f>
        <v>16766.805571837</v>
      </c>
      <c r="J11" s="0" t="n">
        <f aca="false">J8+J10+J24</f>
        <v>17353.6437668513</v>
      </c>
      <c r="K11" s="0" t="n">
        <f aca="false">K8+K10+K24</f>
        <v>17874.2530798568</v>
      </c>
      <c r="L11" s="0" t="n">
        <f aca="false">L8+L10+L24</f>
        <v>18410.4806722525</v>
      </c>
    </row>
    <row r="12" customFormat="false" ht="15" hidden="false" customHeight="false" outlineLevel="0" collapsed="false">
      <c r="A12" s="0" t="s">
        <v>119</v>
      </c>
      <c r="C12" s="4" t="n">
        <f aca="false">-C6*Assumptions!C31/100</f>
        <v>-3441.1954</v>
      </c>
      <c r="D12" s="4" t="n">
        <f aca="false">-D6*Assumptions!D31/100</f>
        <v>-3733.697009</v>
      </c>
      <c r="E12" s="4" t="n">
        <f aca="false">-E6*Assumptions!E31/100</f>
        <v>-3967.0530720625</v>
      </c>
      <c r="F12" s="4" t="n">
        <f aca="false">-F6*Assumptions!F31/100</f>
        <v>-4155.604771017</v>
      </c>
      <c r="G12" s="4" t="n">
        <f aca="false">-G6*Assumptions!G31/100</f>
        <v>-4363.38500956785</v>
      </c>
      <c r="H12" s="4" t="n">
        <f aca="false">-H6*Assumptions!H31/100</f>
        <v>-4559.7373349984</v>
      </c>
      <c r="I12" s="4" t="n">
        <f aca="false">-I6*Assumptions!I31/100</f>
        <v>-4742.12682839834</v>
      </c>
      <c r="J12" s="4" t="n">
        <f aca="false">-J6*Assumptions!J31/100</f>
        <v>-4908.10126739228</v>
      </c>
      <c r="K12" s="4" t="n">
        <f aca="false">-K6*Assumptions!K31/100</f>
        <v>-5055.34430541405</v>
      </c>
      <c r="L12" s="4" t="n">
        <f aca="false">-L6*Assumptions!L31/100</f>
        <v>-5207.00463457647</v>
      </c>
    </row>
    <row r="13" customFormat="false" ht="15" hidden="false" customHeight="false" outlineLevel="0" collapsed="false">
      <c r="A13" s="0" t="s">
        <v>120</v>
      </c>
      <c r="C13" s="0" t="n">
        <f aca="false">C11+C12</f>
        <v>6994.42972</v>
      </c>
      <c r="D13" s="0" t="n">
        <f aca="false">D11+D12</f>
        <v>8023.1070612</v>
      </c>
      <c r="E13" s="0" t="n">
        <f aca="false">E11+E12</f>
        <v>9147.55767205</v>
      </c>
      <c r="F13" s="0" t="n">
        <f aca="false">F11+F12</f>
        <v>10141.6545006963</v>
      </c>
      <c r="G13" s="0" t="n">
        <f aca="false">G11+G12</f>
        <v>10960.4075835573</v>
      </c>
      <c r="H13" s="0" t="n">
        <f aca="false">H11+H12</f>
        <v>11562.1910994602</v>
      </c>
      <c r="I13" s="0" t="n">
        <f aca="false">I11+I12</f>
        <v>12024.6787434386</v>
      </c>
      <c r="J13" s="0" t="n">
        <f aca="false">J11+J12</f>
        <v>12445.542499459</v>
      </c>
      <c r="K13" s="0" t="n">
        <f aca="false">K11+K12</f>
        <v>12818.9087744428</v>
      </c>
      <c r="L13" s="0" t="n">
        <f aca="false">L11+L12</f>
        <v>13203.4760376761</v>
      </c>
    </row>
    <row r="14" customFormat="false" ht="15" hidden="false" customHeight="false" outlineLevel="0" collapsed="false">
      <c r="A14" s="0" t="s">
        <v>106</v>
      </c>
      <c r="C14" s="4" t="n">
        <f aca="false">Assumptions!C33</f>
        <v>22</v>
      </c>
      <c r="D14" s="4" t="n">
        <f aca="false">Assumptions!D33</f>
        <v>23</v>
      </c>
      <c r="E14" s="4" t="n">
        <f aca="false">Assumptions!E33</f>
        <v>24</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121</v>
      </c>
      <c r="C15" s="0" t="n">
        <f aca="false">C13-MAX(0,C13)*C14/100</f>
        <v>5455.6551816</v>
      </c>
      <c r="D15" s="0" t="n">
        <f aca="false">D13-MAX(0,D13)*D14/100</f>
        <v>6177.792437124</v>
      </c>
      <c r="E15" s="0" t="n">
        <f aca="false">E13-MAX(0,E13)*E14/100</f>
        <v>6952.143830758</v>
      </c>
      <c r="F15" s="0" t="n">
        <f aca="false">F13-MAX(0,F13)*F14/100</f>
        <v>7606.24087552219</v>
      </c>
      <c r="G15" s="0" t="n">
        <f aca="false">G13-MAX(0,G13)*G14/100</f>
        <v>8220.305687668</v>
      </c>
      <c r="H15" s="0" t="n">
        <f aca="false">H13-MAX(0,H13)*H14/100</f>
        <v>8671.64332459518</v>
      </c>
      <c r="I15" s="0" t="n">
        <f aca="false">I13-MAX(0,I13)*I14/100</f>
        <v>9018.50905757898</v>
      </c>
      <c r="J15" s="0" t="n">
        <f aca="false">J13-MAX(0,J13)*J14/100</f>
        <v>9334.15687459425</v>
      </c>
      <c r="K15" s="0" t="n">
        <f aca="false">K13-MAX(0,K13)*K14/100</f>
        <v>9614.18158083208</v>
      </c>
      <c r="L15" s="0" t="n">
        <f aca="false">L13-MAX(0,L13)*L14/100</f>
        <v>9902.60702825704</v>
      </c>
    </row>
    <row r="16" customFormat="false" ht="15" hidden="false" customHeight="false" outlineLevel="0" collapsed="false">
      <c r="A16" s="0" t="s">
        <v>122</v>
      </c>
      <c r="C16" s="0" t="n">
        <f aca="false">-C12</f>
        <v>3441.1954</v>
      </c>
      <c r="D16" s="0" t="n">
        <f aca="false">-D12</f>
        <v>3733.697009</v>
      </c>
      <c r="E16" s="0" t="n">
        <f aca="false">-E12</f>
        <v>3967.0530720625</v>
      </c>
      <c r="F16" s="0" t="n">
        <f aca="false">-F12</f>
        <v>4155.604771017</v>
      </c>
      <c r="G16" s="0" t="n">
        <f aca="false">-G12</f>
        <v>4363.38500956785</v>
      </c>
      <c r="H16" s="0" t="n">
        <f aca="false">-H12</f>
        <v>4559.7373349984</v>
      </c>
      <c r="I16" s="0" t="n">
        <f aca="false">-I12</f>
        <v>4742.12682839834</v>
      </c>
      <c r="J16" s="0" t="n">
        <f aca="false">-J12</f>
        <v>4908.10126739228</v>
      </c>
      <c r="K16" s="0" t="n">
        <f aca="false">-K12</f>
        <v>5055.34430541405</v>
      </c>
      <c r="L16" s="0" t="n">
        <f aca="false">-L12</f>
        <v>5207.00463457647</v>
      </c>
    </row>
    <row r="17" customFormat="false" ht="15" hidden="false" customHeight="false" outlineLevel="0" collapsed="false">
      <c r="A17" s="0" t="s">
        <v>123</v>
      </c>
      <c r="C17" s="4" t="n">
        <f aca="false">-C6*Assumptions!C32/100</f>
        <v>-4241.4734</v>
      </c>
      <c r="D17" s="4" t="n">
        <f aca="false">-D6*Assumptions!D32/100</f>
        <v>-4515.168476</v>
      </c>
      <c r="E17" s="4" t="n">
        <f aca="false">-E6*Assumptions!E32/100</f>
        <v>-4667.12126125</v>
      </c>
      <c r="F17" s="4" t="n">
        <f aca="false">-F6*Assumptions!F32/100</f>
        <v>-4749.262595448</v>
      </c>
      <c r="G17" s="4" t="n">
        <f aca="false">-G6*Assumptions!G32/100</f>
        <v>-4882.83560594498</v>
      </c>
      <c r="H17" s="4" t="n">
        <f aca="false">-H6*Assumptions!H32/100</f>
        <v>-4993.99803356968</v>
      </c>
      <c r="I17" s="4" t="n">
        <f aca="false">-I6*Assumptions!I32/100</f>
        <v>-5080.85017328394</v>
      </c>
      <c r="J17" s="4" t="n">
        <f aca="false">-J6*Assumptions!J32/100</f>
        <v>-5258.67992934887</v>
      </c>
      <c r="K17" s="4" t="n">
        <f aca="false">-K6*Assumptions!K32/100</f>
        <v>-5416.44032722934</v>
      </c>
      <c r="L17" s="4" t="n">
        <f aca="false">-L6*Assumptions!L32/100</f>
        <v>-5578.93353704622</v>
      </c>
    </row>
    <row r="18" customFormat="false" ht="15" hidden="false" customHeight="false" outlineLevel="0" collapsed="false">
      <c r="A18" s="0" t="s">
        <v>124</v>
      </c>
      <c r="C18" s="4" t="n">
        <f aca="false">(C6-B6)*Assumptions!$B$37/100</f>
        <v>-528.624</v>
      </c>
      <c r="D18" s="4" t="n">
        <f aca="false">(D6-C6)*Assumptions!$B$37/100</f>
        <v>-544.18904</v>
      </c>
      <c r="E18" s="4" t="n">
        <f aca="false">(E6-D6)*Assumptions!$B$37/100</f>
        <v>-520.980978</v>
      </c>
      <c r="F18" s="4" t="n">
        <f aca="false">(F6-E6)*Assumptions!$B$37/100</f>
        <v>-448.043641080001</v>
      </c>
      <c r="G18" s="4" t="n">
        <f aca="false">(G6-F6)*Assumptions!$B$37/100</f>
        <v>-395.771882954</v>
      </c>
      <c r="H18" s="4" t="n">
        <f aca="false">(H6-G6)*Assumptions!$B$37/100</f>
        <v>-374.004429391529</v>
      </c>
      <c r="I18" s="4" t="n">
        <f aca="false">(I6-H6)*Assumptions!$B$37/100</f>
        <v>-347.408558857022</v>
      </c>
      <c r="J18" s="4" t="n">
        <f aca="false">(J6-I6)*Assumptions!$B$37/100</f>
        <v>-316.141788559889</v>
      </c>
      <c r="K18" s="4" t="n">
        <f aca="false">(K6-J6)*Assumptions!$B$37/100</f>
        <v>-280.462929565273</v>
      </c>
      <c r="L18" s="4" t="n">
        <f aca="false">(L6-K6)*Assumptions!$B$37/100</f>
        <v>-288.876817452231</v>
      </c>
    </row>
    <row r="19" customFormat="false" ht="15" hidden="false" customHeight="false" outlineLevel="0" collapsed="false">
      <c r="A19" s="0" t="s">
        <v>125</v>
      </c>
      <c r="C19" s="0" t="n">
        <f aca="false">C15+C16+C17+C18</f>
        <v>4126.7531816</v>
      </c>
      <c r="D19" s="0" t="n">
        <f aca="false">D15+D16+D17+D18</f>
        <v>4852.131930124</v>
      </c>
      <c r="E19" s="0" t="n">
        <f aca="false">E15+E16+E17+E18</f>
        <v>5731.0946635705</v>
      </c>
      <c r="F19" s="0" t="n">
        <f aca="false">F15+F16+F17+F18</f>
        <v>6564.53941001119</v>
      </c>
      <c r="G19" s="0" t="n">
        <f aca="false">G15+G16+G17+G18</f>
        <v>7305.08320833688</v>
      </c>
      <c r="H19" s="0" t="n">
        <f aca="false">H15+H16+H17+H18</f>
        <v>7863.37819663237</v>
      </c>
      <c r="I19" s="0" t="n">
        <f aca="false">I15+I16+I17+I18</f>
        <v>8332.37715383637</v>
      </c>
      <c r="J19" s="0" t="n">
        <f aca="false">J15+J16+J17+J18</f>
        <v>8667.43642407777</v>
      </c>
      <c r="K19" s="0" t="n">
        <f aca="false">K15+K16+K17+K18</f>
        <v>8972.62262945152</v>
      </c>
      <c r="L19" s="0" t="n">
        <f aca="false">L15+L16+L17+L18</f>
        <v>9241.80130833506</v>
      </c>
    </row>
    <row r="20" customFormat="false" ht="15" hidden="false" customHeight="false" outlineLevel="0" collapsed="false">
      <c r="A20" s="0" t="s">
        <v>126</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127</v>
      </c>
      <c r="C21" s="0" t="n">
        <f aca="false">C19*C20</f>
        <v>3803.45915354839</v>
      </c>
      <c r="D21" s="0" t="n">
        <f aca="false">D19*D20</f>
        <v>4121.66912028202</v>
      </c>
      <c r="E21" s="0" t="n">
        <f aca="false">E19*E20</f>
        <v>4486.92042498248</v>
      </c>
      <c r="F21" s="0" t="n">
        <f aca="false">F19*F20</f>
        <v>4736.8028263276</v>
      </c>
      <c r="G21" s="0" t="n">
        <f aca="false">G19*G20</f>
        <v>4858.21215444565</v>
      </c>
      <c r="H21" s="0" t="n">
        <f aca="false">H19*H20</f>
        <v>4819.81906106584</v>
      </c>
      <c r="I21" s="0" t="n">
        <f aca="false">I19*I20</f>
        <v>4707.17941877891</v>
      </c>
      <c r="J21" s="0" t="n">
        <f aca="false">J19*J20</f>
        <v>4512.86933604513</v>
      </c>
      <c r="K21" s="0" t="n">
        <f aca="false">K19*K20</f>
        <v>4305.7792341455</v>
      </c>
      <c r="L21" s="0" t="n">
        <f aca="false">L19*L20</f>
        <v>4087.5139273455</v>
      </c>
    </row>
    <row r="23" customFormat="false" ht="15" hidden="false" customHeight="false" outlineLevel="0" collapsed="false">
      <c r="A23" s="0" t="s">
        <v>103</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Assumptions!$B$34</f>
        <v>8.5</v>
      </c>
    </row>
    <row r="28" customFormat="false" ht="15" hidden="false" customHeight="false" outlineLevel="0" collapsed="false">
      <c r="A28" s="0" t="s">
        <v>108</v>
      </c>
      <c r="B28" s="4" t="n">
        <f aca="false">Assumptions!$B$35</f>
        <v>2.5</v>
      </c>
    </row>
    <row r="29" customFormat="false" ht="15" hidden="false" customHeight="false" outlineLevel="0" collapsed="false">
      <c r="A29" s="0" t="s">
        <v>109</v>
      </c>
      <c r="B29" s="4" t="n">
        <f aca="false">Assumptions!$B$36</f>
        <v>15</v>
      </c>
    </row>
    <row r="30" customFormat="false" ht="15" hidden="false" customHeight="false" outlineLevel="0" collapsed="false">
      <c r="A30" s="0" t="s">
        <v>130</v>
      </c>
      <c r="B30" s="0" t="n">
        <f aca="false">SUM(C21:L21)</f>
        <v>44440.224656967</v>
      </c>
    </row>
    <row r="31" customFormat="false" ht="15" hidden="false" customHeight="false" outlineLevel="0" collapsed="false">
      <c r="A31" s="0" t="s">
        <v>131</v>
      </c>
      <c r="B31" s="0" t="n">
        <f aca="false">L19</f>
        <v>9241.80130833506</v>
      </c>
    </row>
    <row r="32" customFormat="false" ht="15" hidden="false" customHeight="false" outlineLevel="0" collapsed="false">
      <c r="A32" s="0" t="s">
        <v>132</v>
      </c>
      <c r="B32" s="0" t="n">
        <f aca="false">IF(B27&gt;B28,B31*(1+B28/100)/((B27-B28)/100),B31*B29)</f>
        <v>157880.772350724</v>
      </c>
    </row>
    <row r="33" customFormat="false" ht="15" hidden="false" customHeight="false" outlineLevel="0" collapsed="false">
      <c r="A33" s="0" t="s">
        <v>133</v>
      </c>
      <c r="B33" s="0" t="n">
        <f aca="false">B31*B29</f>
        <v>138627.019625026</v>
      </c>
    </row>
    <row r="34" customFormat="false" ht="15" hidden="false" customHeight="false" outlineLevel="0" collapsed="false">
      <c r="A34" s="0" t="s">
        <v>134</v>
      </c>
      <c r="B34" s="0" t="n">
        <f aca="false">MAX(0,MIN(B32,B33))</f>
        <v>138627.019625026</v>
      </c>
    </row>
    <row r="35" customFormat="false" ht="15" hidden="false" customHeight="false" outlineLevel="0" collapsed="false">
      <c r="A35" s="0" t="s">
        <v>135</v>
      </c>
      <c r="B35" s="0" t="n">
        <f aca="false">B34/(1+B27/100)^L4</f>
        <v>61312.7089101824</v>
      </c>
    </row>
    <row r="36" customFormat="false" ht="15" hidden="false" customHeight="false" outlineLevel="0" collapsed="false">
      <c r="A36" s="0" t="s">
        <v>136</v>
      </c>
      <c r="B36" s="0" t="n">
        <f aca="false">B30+B35</f>
        <v>105752.933567149</v>
      </c>
    </row>
    <row r="37" customFormat="false" ht="15" hidden="false" customHeight="false" outlineLevel="0" collapsed="false">
      <c r="A37" s="0" t="s">
        <v>137</v>
      </c>
      <c r="B37" s="0" t="n">
        <f aca="false">B36+Assumptions!$B$5-Assumptions!$B$4</f>
        <v>115190.933567149</v>
      </c>
    </row>
    <row r="38" customFormat="false" ht="15" hidden="false" customHeight="false" outlineLevel="0" collapsed="false">
      <c r="A38" s="0" t="s">
        <v>138</v>
      </c>
      <c r="B38" s="0" t="n">
        <f aca="false">B37/Assumptions!$B$3*Assumptions!$B$10</f>
        <v>145.406379155705</v>
      </c>
    </row>
    <row r="39" customFormat="false" ht="15" hidden="false" customHeight="false" outlineLevel="0" collapsed="false">
      <c r="A39" s="0" t="s">
        <v>139</v>
      </c>
      <c r="B39" s="4" t="n">
        <f aca="false">B38/Assumptions!$B$2-1</f>
        <v>-0.244171020086782</v>
      </c>
    </row>
    <row r="41" customFormat="false" ht="15" hidden="false" customHeight="false" outlineLevel="0" collapsed="false">
      <c r="A41" s="0" t="s">
        <v>140</v>
      </c>
      <c r="B41" s="0" t="n">
        <f aca="false">SUMPRODUCT(-C10:L10/(1+$B$27/100)^C4:L4)</f>
        <v>3006.57502943364</v>
      </c>
    </row>
    <row r="42" customFormat="false" ht="15" hidden="false" customHeight="false" outlineLevel="0" collapsed="false">
      <c r="A42" s="0" t="s">
        <v>141</v>
      </c>
      <c r="B42" s="0" t="n">
        <f aca="false">IF(B27&gt;B28,-L10*(1+B28/100)/((B27-B28)/100),-L10*20)/(1+B27/100)^L4</f>
        <v>4215.27993044689</v>
      </c>
    </row>
    <row r="43" customFormat="false" ht="15" hidden="false" customHeight="false" outlineLevel="0" collapsed="false">
      <c r="A43" s="0" t="s">
        <v>142</v>
      </c>
      <c r="B43" s="0" t="n">
        <f aca="false">(B37+B41+B42)/Assumptions!$B$3*Assumptions!$B$10</f>
        <v>154.5225808218</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75782.7707283475</v>
      </c>
    </row>
    <row r="47" customFormat="false" ht="15" hidden="false" customHeight="false" outlineLevel="0" collapsed="false">
      <c r="A47" s="0" t="s">
        <v>144</v>
      </c>
      <c r="B47" s="0" t="n">
        <f aca="false">(SUMPRODUCT(C19:L19/(1+B45/100)^C4:L4)+B46/(1+B45/100)^L4+Assumptions!$B$5-Assumptions!$B$4)/Assumptions!$B$3*Assumptions!$B$10</f>
        <v>76.7251324202103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146</v>
      </c>
    </row>
    <row r="3" customFormat="false" ht="15" hidden="false" customHeight="false" outlineLevel="0" collapsed="false">
      <c r="A3" s="0" t="s">
        <v>115</v>
      </c>
      <c r="B3" s="0" t="s">
        <v>76</v>
      </c>
      <c r="C3" s="2" t="s">
        <v>90</v>
      </c>
      <c r="D3" s="2" t="s">
        <v>91</v>
      </c>
      <c r="E3" s="2" t="s">
        <v>92</v>
      </c>
      <c r="F3" s="2" t="s">
        <v>93</v>
      </c>
      <c r="G3" s="2" t="s">
        <v>94</v>
      </c>
      <c r="H3" s="2" t="s">
        <v>95</v>
      </c>
      <c r="I3" s="2" t="s">
        <v>96</v>
      </c>
      <c r="J3" s="2" t="s">
        <v>97</v>
      </c>
      <c r="K3" s="2" t="s">
        <v>98</v>
      </c>
      <c r="L3" s="2" t="s">
        <v>99</v>
      </c>
    </row>
    <row r="4" customFormat="false" ht="15" hidden="false" customHeight="false" outlineLevel="0" collapsed="false">
      <c r="A4" s="0" t="s">
        <v>116</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100</v>
      </c>
      <c r="C5" s="4" t="n">
        <f aca="false">Assumptions!C41</f>
        <v>10</v>
      </c>
      <c r="D5" s="4" t="n">
        <f aca="false">Assumptions!D41</f>
        <v>11</v>
      </c>
      <c r="E5" s="4" t="n">
        <f aca="false">Assumptions!E41</f>
        <v>10</v>
      </c>
      <c r="F5" s="4" t="n">
        <f aca="false">Assumptions!F41</f>
        <v>8</v>
      </c>
      <c r="G5" s="4" t="n">
        <f aca="false">Assumptions!G41</f>
        <v>6.5</v>
      </c>
      <c r="H5" s="4" t="n">
        <f aca="false">Assumptions!H41</f>
        <v>5.5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37</v>
      </c>
      <c r="B6" s="3" t="n">
        <v>73420</v>
      </c>
      <c r="C6" s="0" t="n">
        <f aca="false">B6*(1+C5/100)</f>
        <v>80762</v>
      </c>
      <c r="D6" s="0" t="n">
        <f aca="false">C6*(1+D5/100)</f>
        <v>89645.82</v>
      </c>
      <c r="E6" s="0" t="n">
        <f aca="false">D6*(1+E5/100)</f>
        <v>98610.402</v>
      </c>
      <c r="F6" s="0" t="n">
        <f aca="false">E6*(1+F5/100)</f>
        <v>106499.23416</v>
      </c>
      <c r="G6" s="0" t="n">
        <f aca="false">F6*(1+G5/100)</f>
        <v>113421.6843804</v>
      </c>
      <c r="H6" s="0" t="n">
        <f aca="false">G6*(1+H5/100)</f>
        <v>119659.877021322</v>
      </c>
      <c r="I6" s="0" t="n">
        <f aca="false">H6*(1+I5/100)</f>
        <v>125044.571487282</v>
      </c>
      <c r="J6" s="0" t="n">
        <f aca="false">I6*(1+J5/100)</f>
        <v>130046.354346773</v>
      </c>
      <c r="K6" s="0" t="n">
        <f aca="false">J6*(1+K5/100)</f>
        <v>134597.97674891</v>
      </c>
      <c r="L6" s="0" t="n">
        <f aca="false">K6*(1+L5/100)</f>
        <v>138635.916051377</v>
      </c>
    </row>
    <row r="7" customFormat="false" ht="15" hidden="false" customHeight="false" outlineLevel="0" collapsed="false">
      <c r="A7" s="0" t="s">
        <v>101</v>
      </c>
      <c r="C7" s="4" t="n">
        <f aca="false">Assumptions!C42</f>
        <v>13.6</v>
      </c>
      <c r="D7" s="4" t="n">
        <f aca="false">Assumptions!D42</f>
        <v>14.4</v>
      </c>
      <c r="E7" s="4" t="n">
        <f aca="false">Assumptions!E42</f>
        <v>15.2</v>
      </c>
      <c r="F7" s="4" t="n">
        <f aca="false">Assumptions!F42</f>
        <v>15.8</v>
      </c>
      <c r="G7" s="4" t="n">
        <f aca="false">Assumptions!G42</f>
        <v>16.2</v>
      </c>
      <c r="H7" s="4" t="n">
        <f aca="false">Assumptions!H42</f>
        <v>16.5</v>
      </c>
      <c r="I7" s="4" t="n">
        <f aca="false">Assumptions!I42</f>
        <v>16.5</v>
      </c>
      <c r="J7" s="4" t="n">
        <f aca="false">Assumptions!J42</f>
        <v>16.5</v>
      </c>
      <c r="K7" s="4" t="n">
        <f aca="false">Assumptions!K42</f>
        <v>16.5</v>
      </c>
      <c r="L7" s="4" t="n">
        <f aca="false">Assumptions!L42</f>
        <v>16.5</v>
      </c>
    </row>
    <row r="8" customFormat="false" ht="15" hidden="false" customHeight="false" outlineLevel="0" collapsed="false">
      <c r="A8" s="0" t="s">
        <v>43</v>
      </c>
      <c r="C8" s="0" t="n">
        <f aca="false">C6*C7/100</f>
        <v>10983.632</v>
      </c>
      <c r="D8" s="0" t="n">
        <f aca="false">D6*D7/100</f>
        <v>12908.99808</v>
      </c>
      <c r="E8" s="0" t="n">
        <f aca="false">E6*E7/100</f>
        <v>14988.781104</v>
      </c>
      <c r="F8" s="0" t="n">
        <f aca="false">F6*F7/100</f>
        <v>16826.87899728</v>
      </c>
      <c r="G8" s="0" t="n">
        <f aca="false">G6*G7/100</f>
        <v>18374.3128696248</v>
      </c>
      <c r="H8" s="0" t="n">
        <f aca="false">H6*H7/100</f>
        <v>19743.8797085181</v>
      </c>
      <c r="I8" s="0" t="n">
        <f aca="false">I6*I7/100</f>
        <v>20632.3542954015</v>
      </c>
      <c r="J8" s="0" t="n">
        <f aca="false">J6*J7/100</f>
        <v>21457.6484672175</v>
      </c>
      <c r="K8" s="0" t="n">
        <f aca="false">K6*K7/100</f>
        <v>22208.6661635701</v>
      </c>
      <c r="L8" s="0" t="n">
        <f aca="false">L6*L7/100</f>
        <v>22874.9261484772</v>
      </c>
    </row>
    <row r="9" customFormat="false" ht="15" hidden="false" customHeight="false" outlineLevel="0" collapsed="false">
      <c r="A9" s="0" t="s">
        <v>102</v>
      </c>
      <c r="C9" s="4" t="n">
        <f aca="false">Assumptions!C43</f>
        <v>0.46</v>
      </c>
      <c r="D9" s="4" t="n">
        <f aca="false">Assumptions!D43</f>
        <v>0.46</v>
      </c>
      <c r="E9" s="4" t="n">
        <f aca="false">Assumptions!E43</f>
        <v>0.45</v>
      </c>
      <c r="F9" s="4" t="n">
        <f aca="false">Assumptions!F43</f>
        <v>0.45</v>
      </c>
      <c r="G9" s="4" t="n">
        <f aca="false">Assumptions!G43</f>
        <v>0.45</v>
      </c>
      <c r="H9" s="4" t="n">
        <f aca="false">Assumptions!H43</f>
        <v>0.45</v>
      </c>
      <c r="I9" s="4" t="n">
        <f aca="false">Assumptions!I43</f>
        <v>0.45</v>
      </c>
      <c r="J9" s="4" t="n">
        <f aca="false">Assumptions!J43</f>
        <v>0.45</v>
      </c>
      <c r="K9" s="4" t="n">
        <f aca="false">Assumptions!K43</f>
        <v>0.45</v>
      </c>
      <c r="L9" s="4" t="n">
        <f aca="false">Assumptions!L43</f>
        <v>0.45</v>
      </c>
    </row>
    <row r="10" customFormat="false" ht="15" hidden="false" customHeight="false" outlineLevel="0" collapsed="false">
      <c r="A10" s="0" t="s">
        <v>117</v>
      </c>
      <c r="C10" s="0" t="n">
        <f aca="false">-C6*C9/100</f>
        <v>-371.5052</v>
      </c>
      <c r="D10" s="0" t="n">
        <f aca="false">-D6*D9/100</f>
        <v>-412.370772</v>
      </c>
      <c r="E10" s="0" t="n">
        <f aca="false">-E6*E9/100</f>
        <v>-443.746809</v>
      </c>
      <c r="F10" s="0" t="n">
        <f aca="false">-F6*F9/100</f>
        <v>-479.24655372</v>
      </c>
      <c r="G10" s="0" t="n">
        <f aca="false">-G6*G9/100</f>
        <v>-510.3975797118</v>
      </c>
      <c r="H10" s="0" t="n">
        <f aca="false">-H6*H9/100</f>
        <v>-538.469446595949</v>
      </c>
      <c r="I10" s="0" t="n">
        <f aca="false">-I6*I9/100</f>
        <v>-562.700571692767</v>
      </c>
      <c r="J10" s="0" t="n">
        <f aca="false">-J6*J9/100</f>
        <v>-585.208594560478</v>
      </c>
      <c r="K10" s="0" t="n">
        <f aca="false">-K6*K9/100</f>
        <v>-605.690895370094</v>
      </c>
      <c r="L10" s="0" t="n">
        <f aca="false">-L6*L9/100</f>
        <v>-623.861622231197</v>
      </c>
    </row>
    <row r="11" customFormat="false" ht="15" hidden="false" customHeight="false" outlineLevel="0" collapsed="false">
      <c r="A11" s="0" t="s">
        <v>118</v>
      </c>
      <c r="C11" s="0" t="n">
        <f aca="false">C8+C10+C24</f>
        <v>10612.1268</v>
      </c>
      <c r="D11" s="0" t="n">
        <f aca="false">D8+D10+D24</f>
        <v>12496.627308</v>
      </c>
      <c r="E11" s="0" t="n">
        <f aca="false">E8+E10+E24</f>
        <v>14545.034295</v>
      </c>
      <c r="F11" s="0" t="n">
        <f aca="false">F8+F10+F24</f>
        <v>16347.63244356</v>
      </c>
      <c r="G11" s="0" t="n">
        <f aca="false">G8+G10+G24</f>
        <v>17863.915289913</v>
      </c>
      <c r="H11" s="0" t="n">
        <f aca="false">H8+H10+H24</f>
        <v>19205.4102619222</v>
      </c>
      <c r="I11" s="0" t="n">
        <f aca="false">I8+I10+I24</f>
        <v>20069.6537237087</v>
      </c>
      <c r="J11" s="0" t="n">
        <f aca="false">J8+J10+J24</f>
        <v>20872.439872657</v>
      </c>
      <c r="K11" s="0" t="n">
        <f aca="false">K8+K10+K24</f>
        <v>21602.9752682</v>
      </c>
      <c r="L11" s="0" t="n">
        <f aca="false">L8+L10+L24</f>
        <v>22251.064526246</v>
      </c>
    </row>
    <row r="12" customFormat="false" ht="15" hidden="false" customHeight="false" outlineLevel="0" collapsed="false">
      <c r="A12" s="0" t="s">
        <v>119</v>
      </c>
      <c r="C12" s="4" t="n">
        <f aca="false">-C6*Assumptions!C45/100</f>
        <v>-3472.766</v>
      </c>
      <c r="D12" s="4" t="n">
        <f aca="false">-D6*Assumptions!D45/100</f>
        <v>-3854.77026</v>
      </c>
      <c r="E12" s="4" t="n">
        <f aca="false">-E6*Assumptions!E45/100</f>
        <v>-4141.636884</v>
      </c>
      <c r="F12" s="4" t="n">
        <f aca="false">-F6*Assumptions!F45/100</f>
        <v>-4366.46860056</v>
      </c>
      <c r="G12" s="4" t="n">
        <f aca="false">-G6*Assumptions!G45/100</f>
        <v>-4650.2890595964</v>
      </c>
      <c r="H12" s="4" t="n">
        <f aca="false">-H6*Assumptions!H45/100</f>
        <v>-4906.0549578742</v>
      </c>
      <c r="I12" s="4" t="n">
        <f aca="false">-I6*Assumptions!I45/100</f>
        <v>-5126.82743097854</v>
      </c>
      <c r="J12" s="4" t="n">
        <f aca="false">-J6*Assumptions!J45/100</f>
        <v>-5331.90052821768</v>
      </c>
      <c r="K12" s="4" t="n">
        <f aca="false">-K6*Assumptions!K45/100</f>
        <v>-5518.5170467053</v>
      </c>
      <c r="L12" s="4" t="n">
        <f aca="false">-L6*Assumptions!L45/100</f>
        <v>-5684.07255810646</v>
      </c>
    </row>
    <row r="13" customFormat="false" ht="15" hidden="false" customHeight="false" outlineLevel="0" collapsed="false">
      <c r="A13" s="0" t="s">
        <v>120</v>
      </c>
      <c r="C13" s="0" t="n">
        <f aca="false">C11+C12</f>
        <v>7139.3608</v>
      </c>
      <c r="D13" s="0" t="n">
        <f aca="false">D11+D12</f>
        <v>8641.857048</v>
      </c>
      <c r="E13" s="0" t="n">
        <f aca="false">E11+E12</f>
        <v>10403.397411</v>
      </c>
      <c r="F13" s="0" t="n">
        <f aca="false">F11+F12</f>
        <v>11981.163843</v>
      </c>
      <c r="G13" s="0" t="n">
        <f aca="false">G11+G12</f>
        <v>13213.6262303166</v>
      </c>
      <c r="H13" s="0" t="n">
        <f aca="false">H11+H12</f>
        <v>14299.355304048</v>
      </c>
      <c r="I13" s="0" t="n">
        <f aca="false">I11+I12</f>
        <v>14942.8262927301</v>
      </c>
      <c r="J13" s="0" t="n">
        <f aca="false">J11+J12</f>
        <v>15540.5393444393</v>
      </c>
      <c r="K13" s="0" t="n">
        <f aca="false">K11+K12</f>
        <v>16084.4582214947</v>
      </c>
      <c r="L13" s="0" t="n">
        <f aca="false">L11+L12</f>
        <v>16566.9919681396</v>
      </c>
    </row>
    <row r="14" customFormat="false" ht="15" hidden="false" customHeight="false" outlineLevel="0" collapsed="false">
      <c r="A14" s="0" t="s">
        <v>106</v>
      </c>
      <c r="C14" s="4" t="n">
        <f aca="false">Assumptions!C47</f>
        <v>22</v>
      </c>
      <c r="D14" s="4" t="n">
        <f aca="false">Assumptions!D47</f>
        <v>23</v>
      </c>
      <c r="E14" s="4" t="n">
        <f aca="false">Assumptions!E47</f>
        <v>24</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121</v>
      </c>
      <c r="C15" s="0" t="n">
        <f aca="false">C13-MAX(0,C13)*C14/100</f>
        <v>5568.701424</v>
      </c>
      <c r="D15" s="0" t="n">
        <f aca="false">D13-MAX(0,D13)*D14/100</f>
        <v>6654.22992696</v>
      </c>
      <c r="E15" s="0" t="n">
        <f aca="false">E13-MAX(0,E13)*E14/100</f>
        <v>7906.58203236</v>
      </c>
      <c r="F15" s="0" t="n">
        <f aca="false">F13-MAX(0,F13)*F14/100</f>
        <v>8985.87288225</v>
      </c>
      <c r="G15" s="0" t="n">
        <f aca="false">G13-MAX(0,G13)*G14/100</f>
        <v>9910.21967273745</v>
      </c>
      <c r="H15" s="0" t="n">
        <f aca="false">H13-MAX(0,H13)*H14/100</f>
        <v>10724.516478036</v>
      </c>
      <c r="I15" s="0" t="n">
        <f aca="false">I13-MAX(0,I13)*I14/100</f>
        <v>11207.1197195476</v>
      </c>
      <c r="J15" s="0" t="n">
        <f aca="false">J13-MAX(0,J13)*J14/100</f>
        <v>11655.4045083295</v>
      </c>
      <c r="K15" s="0" t="n">
        <f aca="false">K13-MAX(0,K13)*K14/100</f>
        <v>12063.343666121</v>
      </c>
      <c r="L15" s="0" t="n">
        <f aca="false">L13-MAX(0,L13)*L14/100</f>
        <v>12425.2439761047</v>
      </c>
    </row>
    <row r="16" customFormat="false" ht="15" hidden="false" customHeight="false" outlineLevel="0" collapsed="false">
      <c r="A16" s="0" t="s">
        <v>122</v>
      </c>
      <c r="C16" s="0" t="n">
        <f aca="false">-C12</f>
        <v>3472.766</v>
      </c>
      <c r="D16" s="0" t="n">
        <f aca="false">-D12</f>
        <v>3854.77026</v>
      </c>
      <c r="E16" s="0" t="n">
        <f aca="false">-E12</f>
        <v>4141.636884</v>
      </c>
      <c r="F16" s="0" t="n">
        <f aca="false">-F12</f>
        <v>4366.46860056</v>
      </c>
      <c r="G16" s="0" t="n">
        <f aca="false">-G12</f>
        <v>4650.2890595964</v>
      </c>
      <c r="H16" s="0" t="n">
        <f aca="false">-H12</f>
        <v>4906.0549578742</v>
      </c>
      <c r="I16" s="0" t="n">
        <f aca="false">-I12</f>
        <v>5126.82743097854</v>
      </c>
      <c r="J16" s="0" t="n">
        <f aca="false">-J12</f>
        <v>5331.90052821768</v>
      </c>
      <c r="K16" s="0" t="n">
        <f aca="false">-K12</f>
        <v>5518.5170467053</v>
      </c>
      <c r="L16" s="0" t="n">
        <f aca="false">-L12</f>
        <v>5684.07255810646</v>
      </c>
    </row>
    <row r="17" customFormat="false" ht="15" hidden="false" customHeight="false" outlineLevel="0" collapsed="false">
      <c r="A17" s="0" t="s">
        <v>123</v>
      </c>
      <c r="C17" s="4" t="n">
        <f aca="false">-C6*Assumptions!C46/100</f>
        <v>-4280.386</v>
      </c>
      <c r="D17" s="4" t="n">
        <f aca="false">-D6*Assumptions!D46/100</f>
        <v>-4661.58264</v>
      </c>
      <c r="E17" s="4" t="n">
        <f aca="false">-E6*Assumptions!E46/100</f>
        <v>-4930.5201</v>
      </c>
      <c r="F17" s="4" t="n">
        <f aca="false">-F6*Assumptions!F46/100</f>
        <v>-5111.96323968</v>
      </c>
      <c r="G17" s="4" t="n">
        <f aca="false">-G6*Assumptions!G46/100</f>
        <v>-5217.3974814984</v>
      </c>
      <c r="H17" s="4" t="n">
        <f aca="false">-H6*Assumptions!H46/100</f>
        <v>-5384.69446595949</v>
      </c>
      <c r="I17" s="4" t="n">
        <f aca="false">-I6*Assumptions!I46/100</f>
        <v>-5501.96114544039</v>
      </c>
      <c r="J17" s="4" t="n">
        <f aca="false">-J6*Assumptions!J46/100</f>
        <v>-5722.039591258</v>
      </c>
      <c r="K17" s="4" t="n">
        <f aca="false">-K6*Assumptions!K46/100</f>
        <v>-5922.31097695203</v>
      </c>
      <c r="L17" s="4" t="n">
        <f aca="false">-L6*Assumptions!L46/100</f>
        <v>-6099.98030626059</v>
      </c>
    </row>
    <row r="18" customFormat="false" ht="15" hidden="false" customHeight="false" outlineLevel="0" collapsed="false">
      <c r="A18" s="0" t="s">
        <v>124</v>
      </c>
      <c r="C18" s="4" t="n">
        <f aca="false">(C6-B6)*Assumptions!$B$51/100</f>
        <v>-587.36</v>
      </c>
      <c r="D18" s="4" t="n">
        <f aca="false">(D6-C6)*Assumptions!$B$51/100</f>
        <v>-710.705600000001</v>
      </c>
      <c r="E18" s="4" t="n">
        <f aca="false">(E6-D6)*Assumptions!$B$51/100</f>
        <v>-717.166560000001</v>
      </c>
      <c r="F18" s="4" t="n">
        <f aca="false">(F6-E6)*Assumptions!$B$51/100</f>
        <v>-631.1065728</v>
      </c>
      <c r="G18" s="4" t="n">
        <f aca="false">(G6-F6)*Assumptions!$B$51/100</f>
        <v>-553.796017632</v>
      </c>
      <c r="H18" s="4" t="n">
        <f aca="false">(H6-G6)*Assumptions!$B$51/100</f>
        <v>-499.055411273759</v>
      </c>
      <c r="I18" s="4" t="n">
        <f aca="false">(I6-H6)*Assumptions!$B$51/100</f>
        <v>-430.775557276759</v>
      </c>
      <c r="J18" s="4" t="n">
        <f aca="false">(J6-I6)*Assumptions!$B$51/100</f>
        <v>-400.142628759302</v>
      </c>
      <c r="K18" s="4" t="n">
        <f aca="false">(K6-J6)*Assumptions!$B$51/100</f>
        <v>-364.129792170962</v>
      </c>
      <c r="L18" s="4" t="n">
        <f aca="false">(L6-K6)*Assumptions!$B$51/100</f>
        <v>-323.035144197384</v>
      </c>
    </row>
    <row r="19" customFormat="false" ht="15" hidden="false" customHeight="false" outlineLevel="0" collapsed="false">
      <c r="A19" s="0" t="s">
        <v>125</v>
      </c>
      <c r="C19" s="0" t="n">
        <f aca="false">C15+C16+C17+C18</f>
        <v>4173.721424</v>
      </c>
      <c r="D19" s="0" t="n">
        <f aca="false">D15+D16+D17+D18</f>
        <v>5136.71194696</v>
      </c>
      <c r="E19" s="0" t="n">
        <f aca="false">E15+E16+E17+E18</f>
        <v>6400.53225636</v>
      </c>
      <c r="F19" s="0" t="n">
        <f aca="false">F15+F16+F17+F18</f>
        <v>7609.27167033</v>
      </c>
      <c r="G19" s="0" t="n">
        <f aca="false">G15+G16+G17+G18</f>
        <v>8789.31523320345</v>
      </c>
      <c r="H19" s="0" t="n">
        <f aca="false">H15+H16+H17+H18</f>
        <v>9746.82155867694</v>
      </c>
      <c r="I19" s="0" t="n">
        <f aca="false">I15+I16+I17+I18</f>
        <v>10401.210447809</v>
      </c>
      <c r="J19" s="0" t="n">
        <f aca="false">J15+J16+J17+J18</f>
        <v>10865.1228165299</v>
      </c>
      <c r="K19" s="0" t="n">
        <f aca="false">K15+K16+K17+K18</f>
        <v>11295.4199437033</v>
      </c>
      <c r="L19" s="0" t="n">
        <f aca="false">L15+L16+L17+L18</f>
        <v>11686.3010837532</v>
      </c>
    </row>
    <row r="20" customFormat="false" ht="15" hidden="false" customHeight="false" outlineLevel="0" collapsed="false">
      <c r="A20" s="0" t="s">
        <v>126</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127</v>
      </c>
      <c r="C21" s="0" t="n">
        <f aca="false">C19*C20</f>
        <v>3846.7478562212</v>
      </c>
      <c r="D21" s="0" t="n">
        <f aca="false">D19*D20</f>
        <v>4363.40712010024</v>
      </c>
      <c r="E21" s="0" t="n">
        <f aca="false">E19*E20</f>
        <v>5011.02853777135</v>
      </c>
      <c r="F21" s="0" t="n">
        <f aca="false">F19*F20</f>
        <v>5490.65475931879</v>
      </c>
      <c r="G21" s="0" t="n">
        <f aca="false">G19*G20</f>
        <v>5845.29386968129</v>
      </c>
      <c r="H21" s="0" t="n">
        <f aca="false">H19*H20</f>
        <v>5974.26642323241</v>
      </c>
      <c r="I21" s="0" t="n">
        <f aca="false">I19*I20</f>
        <v>5875.91786190001</v>
      </c>
      <c r="J21" s="0" t="n">
        <f aca="false">J19*J20</f>
        <v>5657.13749625792</v>
      </c>
      <c r="K21" s="0" t="n">
        <f aca="false">K19*K20</f>
        <v>5420.44245513129</v>
      </c>
      <c r="L21" s="0" t="n">
        <f aca="false">L19*L20</f>
        <v>5168.68052507389</v>
      </c>
    </row>
    <row r="23" customFormat="false" ht="15" hidden="false" customHeight="false" outlineLevel="0" collapsed="false">
      <c r="A23" s="0" t="s">
        <v>103</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128</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129</v>
      </c>
    </row>
    <row r="27" customFormat="false" ht="15" hidden="false" customHeight="false" outlineLevel="0" collapsed="false">
      <c r="A27" s="0" t="s">
        <v>107</v>
      </c>
      <c r="B27" s="4" t="n">
        <f aca="false">Assumptions!$B$48</f>
        <v>8.5</v>
      </c>
    </row>
    <row r="28" customFormat="false" ht="15" hidden="false" customHeight="false" outlineLevel="0" collapsed="false">
      <c r="A28" s="0" t="s">
        <v>108</v>
      </c>
      <c r="B28" s="4" t="n">
        <f aca="false">Assumptions!$B$49</f>
        <v>2.75</v>
      </c>
    </row>
    <row r="29" customFormat="false" ht="15" hidden="false" customHeight="false" outlineLevel="0" collapsed="false">
      <c r="A29" s="0" t="s">
        <v>109</v>
      </c>
      <c r="B29" s="4" t="n">
        <f aca="false">Assumptions!$B$50</f>
        <v>16</v>
      </c>
    </row>
    <row r="30" customFormat="false" ht="15" hidden="false" customHeight="false" outlineLevel="0" collapsed="false">
      <c r="A30" s="0" t="s">
        <v>130</v>
      </c>
      <c r="B30" s="0" t="n">
        <f aca="false">SUM(C21:L21)</f>
        <v>52653.5769046884</v>
      </c>
    </row>
    <row r="31" customFormat="false" ht="15" hidden="false" customHeight="false" outlineLevel="0" collapsed="false">
      <c r="A31" s="0" t="s">
        <v>131</v>
      </c>
      <c r="B31" s="0" t="n">
        <f aca="false">L19</f>
        <v>11686.3010837532</v>
      </c>
    </row>
    <row r="32" customFormat="false" ht="15" hidden="false" customHeight="false" outlineLevel="0" collapsed="false">
      <c r="A32" s="0" t="s">
        <v>132</v>
      </c>
      <c r="B32" s="0" t="n">
        <f aca="false">IF(B27&gt;B28,B31*(1+B28/100)/((B27-B28)/100),B31*B29)</f>
        <v>208829.119366198</v>
      </c>
    </row>
    <row r="33" customFormat="false" ht="15" hidden="false" customHeight="false" outlineLevel="0" collapsed="false">
      <c r="A33" s="0" t="s">
        <v>133</v>
      </c>
      <c r="B33" s="0" t="n">
        <f aca="false">B31*B29</f>
        <v>186980.817340051</v>
      </c>
    </row>
    <row r="34" customFormat="false" ht="15" hidden="false" customHeight="false" outlineLevel="0" collapsed="false">
      <c r="A34" s="0" t="s">
        <v>134</v>
      </c>
      <c r="B34" s="0" t="n">
        <f aca="false">MAX(0,MIN(B32,B33))</f>
        <v>186980.817340051</v>
      </c>
    </row>
    <row r="35" customFormat="false" ht="15" hidden="false" customHeight="false" outlineLevel="0" collapsed="false">
      <c r="A35" s="0" t="s">
        <v>135</v>
      </c>
      <c r="B35" s="0" t="n">
        <f aca="false">B34/(1+B27/100)^L4</f>
        <v>82698.8884011822</v>
      </c>
    </row>
    <row r="36" customFormat="false" ht="15" hidden="false" customHeight="false" outlineLevel="0" collapsed="false">
      <c r="A36" s="0" t="s">
        <v>136</v>
      </c>
      <c r="B36" s="0" t="n">
        <f aca="false">B30+B35</f>
        <v>135352.465305871</v>
      </c>
    </row>
    <row r="37" customFormat="false" ht="15" hidden="false" customHeight="false" outlineLevel="0" collapsed="false">
      <c r="A37" s="0" t="s">
        <v>137</v>
      </c>
      <c r="B37" s="0" t="n">
        <f aca="false">B36+Assumptions!$B$5-Assumptions!$B$4</f>
        <v>144790.465305871</v>
      </c>
    </row>
    <row r="38" customFormat="false" ht="15" hidden="false" customHeight="false" outlineLevel="0" collapsed="false">
      <c r="A38" s="0" t="s">
        <v>138</v>
      </c>
      <c r="B38" s="0" t="n">
        <f aca="false">B37/Assumptions!$B$3*Assumptions!$B$10</f>
        <v>182.770090009935</v>
      </c>
    </row>
    <row r="39" customFormat="false" ht="15" hidden="false" customHeight="false" outlineLevel="0" collapsed="false">
      <c r="A39" s="0" t="s">
        <v>139</v>
      </c>
      <c r="B39" s="4" t="n">
        <f aca="false">B38/Assumptions!$B$2-1</f>
        <v>-0.049952749714445</v>
      </c>
    </row>
    <row r="41" customFormat="false" ht="15" hidden="false" customHeight="false" outlineLevel="0" collapsed="false">
      <c r="A41" s="0" t="s">
        <v>140</v>
      </c>
      <c r="B41" s="0" t="n">
        <f aca="false">SUMPRODUCT(-C10:L10/(1+$B$27/100)^C4:L4)</f>
        <v>3244.5746389605</v>
      </c>
    </row>
    <row r="42" customFormat="false" ht="15" hidden="false" customHeight="false" outlineLevel="0" collapsed="false">
      <c r="A42" s="0" t="s">
        <v>141</v>
      </c>
      <c r="B42" s="0" t="n">
        <f aca="false">IF(B27&gt;B28,-L10*(1+B28/100)/((B27-B28)/100),-L10*20)/(1+B27/100)^L4</f>
        <v>4930.65793336094</v>
      </c>
    </row>
    <row r="43" customFormat="false" ht="15" hidden="false" customHeight="false" outlineLevel="0" collapsed="false">
      <c r="A43" s="0" t="s">
        <v>142</v>
      </c>
      <c r="B43" s="0" t="n">
        <f aca="false">(B37+B41+B42)/Assumptions!$B$3*Assumptions!$B$10</f>
        <v>193.089747384741</v>
      </c>
    </row>
    <row r="45" customFormat="false" ht="15" hidden="false" customHeight="false" outlineLevel="0" collapsed="false">
      <c r="A45" s="0" t="s">
        <v>83</v>
      </c>
      <c r="B45" s="4" t="n">
        <f aca="false">Assumptions!$B$6</f>
        <v>15</v>
      </c>
    </row>
    <row r="46" customFormat="false" ht="15" hidden="false" customHeight="false" outlineLevel="0" collapsed="false">
      <c r="A46" s="0" t="s">
        <v>143</v>
      </c>
      <c r="B46" s="0" t="n">
        <f aca="false">MAX(0,MIN(IF(B45&gt;B28,B31*(1+B28/100)/((B45-B28)/100),B31*B29),B31*B29))</f>
        <v>98021.8315392357</v>
      </c>
    </row>
    <row r="47" customFormat="false" ht="15" hidden="false" customHeight="false" outlineLevel="0" collapsed="false">
      <c r="A47" s="0" t="s">
        <v>144</v>
      </c>
      <c r="B47" s="0" t="n">
        <f aca="false">(SUMPRODUCT(C19:L19/(1+B45/100)^C4:L4)+B46/(1+B45/100)^L4+Assumptions!$B$5-Assumptions!$B$4)/Assumptions!$B$3*Assumptions!$B$10</f>
        <v>90.741254519086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147</v>
      </c>
    </row>
    <row r="3" customFormat="false" ht="15" hidden="false" customHeight="false" outlineLevel="0" collapsed="false">
      <c r="A3" s="2" t="s">
        <v>148</v>
      </c>
      <c r="B3" s="2" t="s">
        <v>149</v>
      </c>
      <c r="C3" s="2" t="s">
        <v>139</v>
      </c>
      <c r="D3" s="2" t="s">
        <v>150</v>
      </c>
      <c r="E3" s="2" t="s">
        <v>142</v>
      </c>
      <c r="F3" s="2" t="s">
        <v>151</v>
      </c>
    </row>
    <row r="4" customFormat="false" ht="15" hidden="false" customHeight="false" outlineLevel="0" collapsed="false">
      <c r="A4" s="0" t="s">
        <v>152</v>
      </c>
      <c r="B4" s="4" t="n">
        <f aca="false">DCF_Bear!$B$38</f>
        <v>87.0701257830945</v>
      </c>
      <c r="C4" s="0" t="n">
        <f aca="false">B4/Assumptions!$B$2-1</f>
        <v>-0.547405521451843</v>
      </c>
      <c r="D4" s="4" t="n">
        <f aca="false">Assumptions!$B$24</f>
        <v>0.25</v>
      </c>
      <c r="E4" s="4" t="n">
        <f aca="false">DCF_Bear!$B$43</f>
        <v>94.1063566593996</v>
      </c>
      <c r="F4" s="4" t="n">
        <f aca="false">DCF_Bear!$B$47</f>
        <v>52.4523877784944</v>
      </c>
    </row>
    <row r="5" customFormat="false" ht="15" hidden="false" customHeight="false" outlineLevel="0" collapsed="false">
      <c r="A5" s="0" t="s">
        <v>153</v>
      </c>
      <c r="B5" s="4" t="n">
        <f aca="false">DCF_Base!$B$38</f>
        <v>145.406379155705</v>
      </c>
      <c r="C5" s="0" t="n">
        <f aca="false">B5/Assumptions!$B$2-1</f>
        <v>-0.244171020086782</v>
      </c>
      <c r="D5" s="4" t="n">
        <f aca="false">Assumptions!$B$38</f>
        <v>0.5</v>
      </c>
      <c r="E5" s="4" t="n">
        <f aca="false">DCF_Base!$B$43</f>
        <v>154.5225808218</v>
      </c>
      <c r="F5" s="4" t="n">
        <f aca="false">DCF_Base!$B$47</f>
        <v>76.7251324202103</v>
      </c>
    </row>
    <row r="6" customFormat="false" ht="15" hidden="false" customHeight="false" outlineLevel="0" collapsed="false">
      <c r="A6" s="0" t="s">
        <v>154</v>
      </c>
      <c r="B6" s="4" t="n">
        <f aca="false">DCF_Bull!$B$38</f>
        <v>182.770090009935</v>
      </c>
      <c r="C6" s="0" t="n">
        <f aca="false">B6/Assumptions!$B$2-1</f>
        <v>-0.049952749714445</v>
      </c>
      <c r="D6" s="4" t="n">
        <f aca="false">Assumptions!$B$52</f>
        <v>0.25</v>
      </c>
      <c r="E6" s="4" t="n">
        <f aca="false">DCF_Bull!$B$43</f>
        <v>193.089747384741</v>
      </c>
      <c r="F6" s="4" t="n">
        <f aca="false">DCF_Bull!$B$47</f>
        <v>90.741254519086</v>
      </c>
    </row>
    <row r="8" customFormat="false" ht="15" hidden="false" customHeight="false" outlineLevel="0" collapsed="false">
      <c r="A8" s="0" t="s">
        <v>155</v>
      </c>
      <c r="B8" s="0" t="n">
        <f aca="false">SUMPRODUCT(B4:B6,D4:D6)</f>
        <v>140.16324352611</v>
      </c>
    </row>
    <row r="9" customFormat="false" ht="15" hidden="false" customHeight="false" outlineLevel="0" collapsed="false">
      <c r="A9" s="0" t="s">
        <v>156</v>
      </c>
      <c r="B9" s="0" t="n">
        <f aca="false">SUMPRODUCT(E4:E6,D4:D6)</f>
        <v>149.060316421935</v>
      </c>
    </row>
    <row r="10" customFormat="false" ht="15" hidden="false" customHeight="false" outlineLevel="0" collapsed="false">
      <c r="A10" s="0" t="s">
        <v>157</v>
      </c>
      <c r="B10" s="0" t="n">
        <f aca="false">1-Assumptions!$B$2/B8</f>
        <v>-0.372542438090505</v>
      </c>
    </row>
    <row r="11" customFormat="false" ht="15" hidden="false" customHeight="false" outlineLevel="0" collapsed="false">
      <c r="A11" s="0" t="s">
        <v>158</v>
      </c>
      <c r="B11" s="0" t="n">
        <f aca="false">IF(ABS(B9-B8)&gt;0.01*ABS(B8),(Assumptions!$B$2-B8)/(B9-B8)*100,"n/a")</f>
        <v>586.898152744046</v>
      </c>
    </row>
    <row r="12" customFormat="false" ht="15" hidden="false" customHeight="false" outlineLevel="0" collapsed="false">
      <c r="A12" s="0" t="s">
        <v>159</v>
      </c>
      <c r="B12" s="0" t="n">
        <f aca="false">SUMPRODUCT(F4:F6,D4:D6)</f>
        <v>74.1609767845003</v>
      </c>
    </row>
    <row r="14" customFormat="false" ht="15" hidden="false" customHeight="false" outlineLevel="0" collapsed="false">
      <c r="A14" s="2" t="s">
        <v>160</v>
      </c>
      <c r="C14" s="0" t="s">
        <v>161</v>
      </c>
    </row>
    <row r="15" customFormat="false" ht="15" hidden="false" customHeight="false" outlineLevel="0" collapsed="false">
      <c r="A15" s="0" t="s">
        <v>162</v>
      </c>
      <c r="B15" s="0" t="n">
        <f aca="false">(SUMPRODUCT(DCF_Base!$C$19:$L$19/(1+$C$15/100)^DCF_Base!$C$4:$L$4)+MAX(0,MIN(IF($C$15&gt;DCF_Base!$B$28,DCF_Base!$L$19*(1+DCF_Base!$B$28/100)/(($C$15-DCF_Base!$B$28)/100),DCF_Base!$L$19*DCF_Base!$B$29),DCF_Base!$L$19*DCF_Base!$B$29))/(1+$C$15/100)^DCF_Base!$L$4+Assumptions!$B$5-Assumptions!$B$4)/Assumptions!$B$3*Assumptions!$B$10</f>
        <v>145.406379155705</v>
      </c>
      <c r="C15" s="3" t="n">
        <v>8.5</v>
      </c>
    </row>
    <row r="16" customFormat="false" ht="15" hidden="false" customHeight="false" outlineLevel="0" collapsed="false">
      <c r="A16" s="0" t="s">
        <v>163</v>
      </c>
      <c r="B16" s="0" t="n">
        <f aca="false">(SUMPRODUCT(DCF_Base!$C$19:$L$19/(1+$C$16/100)^DCF_Base!$C$4:$L$4)+MAX(0,MIN(IF($C$16&gt;DCF_Base!$B$28,DCF_Base!$L$19*(1+DCF_Base!$B$28/100)/(($C$16-DCF_Base!$B$28)/100),DCF_Base!$L$19*DCF_Base!$B$29),DCF_Base!$L$19*DCF_Base!$B$29))/(1+$C$16/100)^DCF_Base!$L$4+Assumptions!$B$5-Assumptions!$B$4)/Assumptions!$B$3*Assumptions!$B$10</f>
        <v>140.521329275501</v>
      </c>
      <c r="C16" s="3" t="n">
        <v>9</v>
      </c>
    </row>
    <row r="17" customFormat="false" ht="15" hidden="false" customHeight="false" outlineLevel="0" collapsed="false">
      <c r="A17" s="0" t="s">
        <v>164</v>
      </c>
      <c r="B17" s="0" t="n">
        <f aca="false">(SUMPRODUCT(DCF_Base!$C$19:$L$19/(1+$C$17/100)^DCF_Base!$C$4:$L$4)+MAX(0,MIN(IF($C$17&gt;DCF_Base!$B$28,DCF_Base!$L$19*(1+DCF_Base!$B$28/100)/(($C$17-DCF_Base!$B$28)/100),DCF_Base!$L$19*DCF_Base!$B$29),DCF_Base!$L$19*DCF_Base!$B$29))/(1+$C$17/100)^DCF_Base!$L$4+Assumptions!$B$5-Assumptions!$B$4)/Assumptions!$B$3*Assumptions!$B$10</f>
        <v>125.406752535361</v>
      </c>
      <c r="C17" s="3" t="n">
        <v>10</v>
      </c>
    </row>
    <row r="18" customFormat="false" ht="15" hidden="false" customHeight="false" outlineLevel="0" collapsed="false">
      <c r="A18" s="0" t="s">
        <v>165</v>
      </c>
      <c r="B18" s="0" t="n">
        <f aca="false">(SUMPRODUCT(DCF_Base!$C$19:$L$19/(1+$C$18/100)^DCF_Base!$C$4:$L$4)+MAX(0,MIN(IF($C$18&gt;DCF_Base!$B$28,DCF_Base!$L$19*(1+DCF_Base!$B$28/100)/(($C$18-DCF_Base!$B$28)/100),DCF_Base!$L$19*DCF_Base!$B$29),DCF_Base!$L$19*DCF_Base!$B$29))/(1+$C$18/100)^DCF_Base!$L$4+Assumptions!$B$5-Assumptions!$B$4)/Assumptions!$B$3*Assumptions!$B$10</f>
        <v>110.9998720241</v>
      </c>
      <c r="C18" s="3" t="n">
        <v>11</v>
      </c>
    </row>
    <row r="19" customFormat="false" ht="15" hidden="false" customHeight="false" outlineLevel="0" collapsed="false">
      <c r="A19" s="0" t="s">
        <v>166</v>
      </c>
      <c r="B19" s="0" t="n">
        <f aca="false">(SUMPRODUCT(DCF_Base!$C$19:$L$19/(1+$C$19/100)^DCF_Base!$C$4:$L$4)+MAX(0,MIN(IF($C$19&gt;DCF_Base!$B$28,DCF_Base!$L$19*(1+DCF_Base!$B$28/100)/(($C$19-DCF_Base!$B$28)/100),DCF_Base!$L$19*DCF_Base!$B$29),DCF_Base!$L$19*DCF_Base!$B$29))/(1+$C$19/100)^DCF_Base!$L$4+Assumptions!$B$5-Assumptions!$B$4)/Assumptions!$B$3*Assumptions!$B$10</f>
        <v>99.6681247116073</v>
      </c>
      <c r="C19" s="3" t="n">
        <v>12</v>
      </c>
    </row>
    <row r="20" customFormat="false" ht="15" hidden="false" customHeight="false" outlineLevel="0" collapsed="false">
      <c r="A20" s="0" t="s">
        <v>167</v>
      </c>
      <c r="B20" s="0" t="n">
        <f aca="false">(SUMPRODUCT(DCF_Base!$C$19:$L$19/(1+$C$20/100)^DCF_Base!$C$4:$L$4)+MAX(0,MIN(IF($C$20&gt;DCF_Base!$B$28,DCF_Base!$L$19*(1+DCF_Base!$B$28/100)/(($C$20-DCF_Base!$B$28)/100),DCF_Base!$L$19*DCF_Base!$B$29),DCF_Base!$L$19*DCF_Base!$B$29))/(1+$C$20/100)^DCF_Base!$L$4+Assumptions!$B$5-Assumptions!$B$4)/Assumptions!$B$3*Assumptions!$B$10</f>
        <v>76.7251324202103</v>
      </c>
      <c r="C20" s="3" t="n">
        <v>15</v>
      </c>
    </row>
    <row r="22" customFormat="false" ht="15" hidden="false" customHeight="false" outlineLevel="0" collapsed="false">
      <c r="A22" s="2" t="s">
        <v>168</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167.41003914645</v>
      </c>
      <c r="C24" s="0" t="n">
        <f aca="false">(SUMPRODUCT(DCF_Base!$C$19:$L$19/(1+$A$24/100)^DCF_Base!$C$4:$L$4)+MAX(0,MIN(IF($A$24&gt;$C$23,DCF_Base!$L$19*(1+$C$23/100)/(($A$24-$C$23)/100),DCF_Base!$L$19*DCF_Base!$B$29),DCF_Base!$L$19*DCF_Base!$B$29))/(1+$A$24/100)^DCF_Base!$L$4+Assumptions!$B$5-Assumptions!$B$4)/Assumptions!$B$3*Assumptions!$B$10</f>
        <v>167.41003914645</v>
      </c>
      <c r="D24" s="0" t="n">
        <f aca="false">(SUMPRODUCT(DCF_Base!$C$19:$L$19/(1+$A$24/100)^DCF_Base!$C$4:$L$4)+MAX(0,MIN(IF($A$24&gt;$D$23,DCF_Base!$L$19*(1+$D$23/100)/(($A$24-$D$23)/100),DCF_Base!$L$19*DCF_Base!$B$29),DCF_Base!$L$19*DCF_Base!$B$29))/(1+$A$24/100)^DCF_Base!$L$4+Assumptions!$B$5-Assumptions!$B$4)/Assumptions!$B$3*Assumptions!$B$10</f>
        <v>167.41003914645</v>
      </c>
      <c r="E24" s="0" t="n">
        <f aca="false">(SUMPRODUCT(DCF_Base!$C$19:$L$19/(1+$A$24/100)^DCF_Base!$C$4:$L$4)+MAX(0,MIN(IF($A$24&gt;$E$23,DCF_Base!$L$19*(1+$E$23/100)/(($A$24-$E$23)/100),DCF_Base!$L$19*DCF_Base!$B$29),DCF_Base!$L$19*DCF_Base!$B$29))/(1+$A$24/100)^DCF_Base!$L$4+Assumptions!$B$5-Assumptions!$B$4)/Assumptions!$B$3*Assumptions!$B$10</f>
        <v>167.41003914645</v>
      </c>
      <c r="F24" s="0" t="n">
        <f aca="false">(SUMPRODUCT(DCF_Base!$C$19:$L$19/(1+$A$24/100)^DCF_Base!$C$4:$L$4)+MAX(0,MIN(IF($A$24&gt;$F$23,DCF_Base!$L$19*(1+$F$23/100)/(($A$24-$F$23)/100),DCF_Base!$L$19*DCF_Base!$B$29),DCF_Base!$L$19*DCF_Base!$B$29))/(1+$A$24/100)^DCF_Base!$L$4+Assumptions!$B$5-Assumptions!$B$4)/Assumptions!$B$3*Assumptions!$B$10</f>
        <v>167.41003914645</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155.888951180432</v>
      </c>
      <c r="C25" s="0" t="n">
        <f aca="false">(SUMPRODUCT(DCF_Base!$C$19:$L$19/(1+$A$25/100)^DCF_Base!$C$4:$L$4)+MAX(0,MIN(IF($A$25&gt;$C$23,DCF_Base!$L$19*(1+$C$23/100)/(($A$25-$C$23)/100),DCF_Base!$L$19*DCF_Base!$B$29),DCF_Base!$L$19*DCF_Base!$B$29))/(1+$A$25/100)^DCF_Base!$L$4+Assumptions!$B$5-Assumptions!$B$4)/Assumptions!$B$3*Assumptions!$B$10</f>
        <v>155.888951180432</v>
      </c>
      <c r="D25" s="0" t="n">
        <f aca="false">(SUMPRODUCT(DCF_Base!$C$19:$L$19/(1+$A$25/100)^DCF_Base!$C$4:$L$4)+MAX(0,MIN(IF($A$25&gt;$D$23,DCF_Base!$L$19*(1+$D$23/100)/(($A$25-$D$23)/100),DCF_Base!$L$19*DCF_Base!$B$29),DCF_Base!$L$19*DCF_Base!$B$29))/(1+$A$25/100)^DCF_Base!$L$4+Assumptions!$B$5-Assumptions!$B$4)/Assumptions!$B$3*Assumptions!$B$10</f>
        <v>155.888951180432</v>
      </c>
      <c r="E25" s="0" t="n">
        <f aca="false">(SUMPRODUCT(DCF_Base!$C$19:$L$19/(1+$A$25/100)^DCF_Base!$C$4:$L$4)+MAX(0,MIN(IF($A$25&gt;$E$23,DCF_Base!$L$19*(1+$E$23/100)/(($A$25-$E$23)/100),DCF_Base!$L$19*DCF_Base!$B$29),DCF_Base!$L$19*DCF_Base!$B$29))/(1+$A$25/100)^DCF_Base!$L$4+Assumptions!$B$5-Assumptions!$B$4)/Assumptions!$B$3*Assumptions!$B$10</f>
        <v>155.888951180432</v>
      </c>
      <c r="F25" s="0" t="n">
        <f aca="false">(SUMPRODUCT(DCF_Base!$C$19:$L$19/(1+$A$25/100)^DCF_Base!$C$4:$L$4)+MAX(0,MIN(IF($A$25&gt;$F$23,DCF_Base!$L$19*(1+$F$23/100)/(($A$25-$F$23)/100),DCF_Base!$L$19*DCF_Base!$B$29),DCF_Base!$L$19*DCF_Base!$B$29))/(1+$A$25/100)^DCF_Base!$L$4+Assumptions!$B$5-Assumptions!$B$4)/Assumptions!$B$3*Assumptions!$B$10</f>
        <v>155.888951180432</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142.826529416153</v>
      </c>
      <c r="C26" s="0" t="n">
        <f aca="false">(SUMPRODUCT(DCF_Base!$C$19:$L$19/(1+$A$26/100)^DCF_Base!$C$4:$L$4)+MAX(0,MIN(IF($A$26&gt;$C$23,DCF_Base!$L$19*(1+$C$23/100)/(($A$26-$C$23)/100),DCF_Base!$L$19*DCF_Base!$B$29),DCF_Base!$L$19*DCF_Base!$B$29))/(1+$A$26/100)^DCF_Base!$L$4+Assumptions!$B$5-Assumptions!$B$4)/Assumptions!$B$3*Assumptions!$B$10</f>
        <v>145.406379155705</v>
      </c>
      <c r="D26" s="0" t="n">
        <f aca="false">(SUMPRODUCT(DCF_Base!$C$19:$L$19/(1+$A$26/100)^DCF_Base!$C$4:$L$4)+MAX(0,MIN(IF($A$26&gt;$D$23,DCF_Base!$L$19*(1+$D$23/100)/(($A$26-$D$23)/100),DCF_Base!$L$19*DCF_Base!$B$29),DCF_Base!$L$19*DCF_Base!$B$29))/(1+$A$26/100)^DCF_Base!$L$4+Assumptions!$B$5-Assumptions!$B$4)/Assumptions!$B$3*Assumptions!$B$10</f>
        <v>145.406379155705</v>
      </c>
      <c r="E26" s="0" t="n">
        <f aca="false">(SUMPRODUCT(DCF_Base!$C$19:$L$19/(1+$A$26/100)^DCF_Base!$C$4:$L$4)+MAX(0,MIN(IF($A$26&gt;$E$23,DCF_Base!$L$19*(1+$E$23/100)/(($A$26-$E$23)/100),DCF_Base!$L$19*DCF_Base!$B$29),DCF_Base!$L$19*DCF_Base!$B$29))/(1+$A$26/100)^DCF_Base!$L$4+Assumptions!$B$5-Assumptions!$B$4)/Assumptions!$B$3*Assumptions!$B$10</f>
        <v>145.406379155705</v>
      </c>
      <c r="F26" s="0" t="n">
        <f aca="false">(SUMPRODUCT(DCF_Base!$C$19:$L$19/(1+$A$26/100)^DCF_Base!$C$4:$L$4)+MAX(0,MIN(IF($A$26&gt;$F$23,DCF_Base!$L$19*(1+$F$23/100)/(($A$26-$F$23)/100),DCF_Base!$L$19*DCF_Base!$B$29),DCF_Base!$L$19*DCF_Base!$B$29))/(1+$A$26/100)^DCF_Base!$L$4+Assumptions!$B$5-Assumptions!$B$4)/Assumptions!$B$3*Assumptions!$B$10</f>
        <v>145.406379155705</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124.971704596735</v>
      </c>
      <c r="C27" s="0" t="n">
        <f aca="false">(SUMPRODUCT(DCF_Base!$C$19:$L$19/(1+$A$27/100)^DCF_Base!$C$4:$L$4)+MAX(0,MIN(IF($A$27&gt;$C$23,DCF_Base!$L$19*(1+$C$23/100)/(($A$27-$C$23)/100),DCF_Base!$L$19*DCF_Base!$B$29),DCF_Base!$L$19*DCF_Base!$B$29))/(1+$A$27/100)^DCF_Base!$L$4+Assumptions!$B$5-Assumptions!$B$4)/Assumptions!$B$3*Assumptions!$B$10</f>
        <v>129.267202096461</v>
      </c>
      <c r="D27" s="0" t="n">
        <f aca="false">(SUMPRODUCT(DCF_Base!$C$19:$L$19/(1+$A$27/100)^DCF_Base!$C$4:$L$4)+MAX(0,MIN(IF($A$27&gt;$D$23,DCF_Base!$L$19*(1+$D$23/100)/(($A$27-$D$23)/100),DCF_Base!$L$19*DCF_Base!$B$29),DCF_Base!$L$19*DCF_Base!$B$29))/(1+$A$27/100)^DCF_Base!$L$4+Assumptions!$B$5-Assumptions!$B$4)/Assumptions!$B$3*Assumptions!$B$10</f>
        <v>134.176342096148</v>
      </c>
      <c r="E27" s="0" t="n">
        <f aca="false">(SUMPRODUCT(DCF_Base!$C$19:$L$19/(1+$A$27/100)^DCF_Base!$C$4:$L$4)+MAX(0,MIN(IF($A$27&gt;$E$23,DCF_Base!$L$19*(1+$E$23/100)/(($A$27-$E$23)/100),DCF_Base!$L$19*DCF_Base!$B$29),DCF_Base!$L$19*DCF_Base!$B$29))/(1+$A$27/100)^DCF_Base!$L$4+Assumptions!$B$5-Assumptions!$B$4)/Assumptions!$B$3*Assumptions!$B$10</f>
        <v>135.857554424808</v>
      </c>
      <c r="F27" s="0" t="n">
        <f aca="false">(SUMPRODUCT(DCF_Base!$C$19:$L$19/(1+$A$27/100)^DCF_Base!$C$4:$L$4)+MAX(0,MIN(IF($A$27&gt;$F$23,DCF_Base!$L$19*(1+$F$23/100)/(($A$27-$F$23)/100),DCF_Base!$L$19*DCF_Base!$B$29),DCF_Base!$L$19*DCF_Base!$B$29))/(1+$A$27/100)^DCF_Base!$L$4+Assumptions!$B$5-Assumptions!$B$4)/Assumptions!$B$3*Assumptions!$B$10</f>
        <v>135.857554424808</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111.149922621896</v>
      </c>
      <c r="C28" s="0" t="n">
        <f aca="false">(SUMPRODUCT(DCF_Base!$C$19:$L$19/(1+$A$28/100)^DCF_Base!$C$4:$L$4)+MAX(0,MIN(IF($A$28&gt;$C$23,DCF_Base!$L$19*(1+$C$23/100)/(($A$28-$C$23)/100),DCF_Base!$L$19*DCF_Base!$B$29),DCF_Base!$L$19*DCF_Base!$B$29))/(1+$A$28/100)^DCF_Base!$L$4+Assumptions!$B$5-Assumptions!$B$4)/Assumptions!$B$3*Assumptions!$B$10</f>
        <v>114.254266734222</v>
      </c>
      <c r="D28" s="0" t="n">
        <f aca="false">(SUMPRODUCT(DCF_Base!$C$19:$L$19/(1+$A$28/100)^DCF_Base!$C$4:$L$4)+MAX(0,MIN(IF($A$28&gt;$D$23,DCF_Base!$L$19*(1+$D$23/100)/(($A$28-$D$23)/100),DCF_Base!$L$19*DCF_Base!$B$29),DCF_Base!$L$19*DCF_Base!$B$29))/(1+$A$28/100)^DCF_Base!$L$4+Assumptions!$B$5-Assumptions!$B$4)/Assumptions!$B$3*Assumptions!$B$10</f>
        <v>117.746653860588</v>
      </c>
      <c r="E28" s="0" t="n">
        <f aca="false">(SUMPRODUCT(DCF_Base!$C$19:$L$19/(1+$A$28/100)^DCF_Base!$C$4:$L$4)+MAX(0,MIN(IF($A$28&gt;$E$23,DCF_Base!$L$19*(1+$E$23/100)/(($A$28-$E$23)/100),DCF_Base!$L$19*DCF_Base!$B$29),DCF_Base!$L$19*DCF_Base!$B$29))/(1+$A$28/100)^DCF_Base!$L$4+Assumptions!$B$5-Assumptions!$B$4)/Assumptions!$B$3*Assumptions!$B$10</f>
        <v>121.704692603803</v>
      </c>
      <c r="F28" s="0" t="n">
        <f aca="false">(SUMPRODUCT(DCF_Base!$C$19:$L$19/(1+$A$28/100)^DCF_Base!$C$4:$L$4)+MAX(0,MIN(IF($A$28&gt;$F$23,DCF_Base!$L$19*(1+$F$23/100)/(($A$28-$F$23)/100),DCF_Base!$L$19*DCF_Base!$B$29),DCF_Base!$L$19*DCF_Base!$B$29))/(1+$A$28/100)^DCF_Base!$L$4+Assumptions!$B$5-Assumptions!$B$4)/Assumptions!$B$3*Assumptions!$B$10</f>
        <v>126.228165453192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2026-10-24T13:01:48Z</dcterms:created>
  <dc:creator>openpyxl</dc:creator>
  <dc:description/>
  <dc:language>en-NZ</dc:language>
  <cp:lastModifiedBy/>
  <dcterms:modified xsi:type="dcterms:W3CDTF">2026-10-24T13:01:48Z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