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<sst xmlns="http://schemas.openxmlformats.org/spreadsheetml/2006/main" count="389" uniqueCount="174">
  <si>
    <t xml:space="preserve">Ticker</t>
  </si>
  <si>
    <t xml:space="preserve">ISRG</t>
  </si>
  <si>
    <t xml:space="preserve">Company</t>
  </si>
  <si>
    <t xml:space="preserve">Intuitive Surgical, Inc.</t>
  </si>
  <si>
    <t xml:space="preserve">Valuation date</t>
  </si>
  <si>
    <t xml:space="preserve">2026-09-29</t>
  </si>
  <si>
    <t xml:space="preserve">Current price</t>
  </si>
  <si>
    <t xml:space="preserve">Price as of</t>
  </si>
  <si>
    <t xml:space="preserve">2026-09-28T20:00:01Z</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</si>
  <si>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</si>
  <si>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</si>
  <si>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</si>
  <si>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</si>
  <si>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</si>
  <si>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</si>
  <si>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</si>
  <si>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</si>
  <si>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</si>
  <si>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</si>
  <si>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</si>
  <si>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</si>
  <si>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2026-09-28T22:02:11Z</t>
  </si>
  <si>
    <t xml:space="preserve">Drivers file</t>
  </si>
  <si>
    <t xml:space="preserve">ISRG_Drivers.json</t>
  </si>
  <si>
    <t xml:space="preserve">Convention</t>
  </si>
  <si>
    <t xml:space="preserve">Percents stored as percents; formulas divide by 100. Blue = input, green = link, black = formula.</t>
  </si>
  <si>
    <t xml:space="preserve">Methodology</t>
  </si>
  <si>
    <t xml:space="preserve">summary: House-basis owner-FCF DCF: SBC and net-share-settlement taxes are charged as cash costs, interest on the cash pile is stripped and the pile added back once, the share count is held flat, and the FCF margin is built from components so the FY2025 working-capital and capex troughs are neither perpetuated nor ignored. The street basis (SBC as non-cash) is reported alongside so the reader can see how much of the market price depends on that accounting choice.
key_risks_to_valuation: Competitive entry: Medtronic Hugo (US) and J&amp;J Ottava reaching scale would pressure system pricing and slow procedure share gains -- the bear axis.; Tariffs: guidance embeds ~1% of revenue; a broader regime on components or finished systems would compress gross margin further.; China: volume-based procurement and domestic robots cap pricing in the fastest-growing region; the Fosun JV NCI is small but the market exposure is not.; SBC treatment: house and street values differ materially because SBC plus award taxes run ~12% of revenue; the market price sits inside that band.; Terminal-value dominance: a 10-year build with margins still maturing leaves ~70% of value in the terminal; each 1pp of WACC moves value by roughly a fifth (see sensitivity grid).; Working-capital capture (-50% of revenue change) is the least-observed driver: the leased-fleet build sits in OCF as inventory, and if leasing mix keeps rising the drag could persist longer than modelled.</t>
  </si>
  <si>
    <t xml:space="preserve">Data sources</t>
  </si>
  <si>
    <t xml:space="preserve">price: Yahoo Finance chart API regular-session close at inputs.price_as_of; 52-week range 328.57-603.88.
financials: ISRG_Metrics.csv (SEC XBRL, FY2007-Q2 2026); SEC companyfacts API for interest and other income, depreciation, marketable securities, diluted shares, NCI, award-tax withholding, cash taxes; Q2-26 10-Q (filed 2026-07-21) balance sheet and share count; FY2025 10-K (filed 2026-02-03).
qualitative: Q2-26 earnings release (8-K EX-99.1, 2026-07-16): placements, installed base, FY2026 outlook; info.json business summary. No Analysis JSON exists for this ticker at build time.</t>
  </si>
  <si>
    <t xml:space="preserve">Scenario narrative: bear</t>
  </si>
  <si>
    <t xml:space="preserve">Hugo and Ottava reach commercial scale in the US and Europe by 2028 and hospitals use them as pricing leverage; China volume-based procurement and domestic robots (MicroPort MedBot, Edge) cap Asia pricing; tariffs persist or widen beyond the 1% of revenue guided; and reimbursement pressure on elective procedures slows the shift to robotics. Procedure growth falls to mid-single digits by 2029, adjusted EBITDA erodes to 42% as pricing softens and R&amp;D must be sustained, SBC stays near 10% of revenue, and the lease-fleet capital intensity does not fade. Terminal growth 2.5%. The balance sheet ($8.6bn cash, no debt) means this is a value-compression case, not a solvency one.</t>
  </si>
  <si>
    <t xml:space="preserve">Scenario narrative: base</t>
  </si>
  <si>
    <t xml:space="preserve">Da Vinci procedure growth runs at the guided ~14.5% in 2026 and decelerates gradually as US general-surgery penetration deepens, international (Europe, Japan, India) expands and da Vinci 5 replaces the Xi fleet; systems revenue tracks procedures via the usage-based lease model. Gross margin holds 68-69% after a ~1% tariff drag, opex grows slower than revenue, and adjusted EBITDA reaches ~48% by 2030. SBC stays a significant recurring expense (~8% of revenue) with net-share-settlement taxes fading as a share of revenue. Competition from Medtronic Hugo (US clearance 2025) and J&amp;J Ottava takes share at the margin in the late 2020s, which is what brings growth to 5% by 2035. The working-capital drag from building the leased fleet shrinks as growth slows.</t>
  </si>
  <si>
    <t xml:space="preserve">Scenario narrative: bull</t>
  </si>
  <si>
    <t xml:space="preserve">Ion and SP add second and third growth legs, da Vinci 5 force-feedback and digital tools widen the clinical-evidence moat, and procedure growth holds mid-teens through 2028 before decelerating. Pricing on da Vinci 5, service scale and manufacturing regionalisation lift adjusted EBITDA to ~51%, and SBC declines to ~7% of revenue as the employee base matures. Competitors remain sub-scale in soft-tissue surgery and hospital capex favours the incumbent's installed base (11,710 systems at Q2-26). Terminal growth 3%.</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</si>
  <si>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</si>
  <si>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</si>
  <si>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</si>
  <si>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</si>
  <si>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</si>
  <si>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</si>
  <si>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</si>
  <si>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</si>
  <si>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</si>
  <si>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</si>
  <si>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</si>
  <si>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</si>
  <si>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</si>
  <si>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</si>
  <si>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</si>
  <si>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</si>
  <si>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</si>
  <si>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</si>
  <si>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</si>
  <si>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</si>
  <si>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</si>
  <si>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</si>
  <si>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</si>
  <si>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</si>
  <si>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</si>
  <si>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</si>
  <si>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</si>
  <si>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</si>
  <si>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</si>
  <si>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</si>
  <si>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</si>
  <si>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</si>
  <si>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</si>
  <si>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</si>
  <si>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</si>
  <si>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</si>
  <si>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</si>
  <si>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</si>
  <si>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</si>
  <si>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</si>
  <si>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</si>
  <si>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</si>
  <si>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</si>
  <si>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</si>
  <si>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</si>
  <si>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</si>
  <si>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</si>
  <si>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</si>
  <si>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</si>
  <si>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</si>
  <si>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</si>
  <si>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</si>
  <si>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</si>
  <si>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</si>
  <si>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</si>
  <si>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</si>
  <si>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</si>
  <si>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</si>
  <si>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</si>
  <si>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</si>
  <si>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</si>
  <si>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</si>
  <si>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</si>
  <si>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</si>
  <si>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</si>
  <si>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</si>
  <si>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</si>
  <si>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</si>
  <si>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</si>
  <si>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</si>
  <si>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</si>
  <si>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</si>
  <si>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</si>
  <si>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</si>
  <si>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</si>
  <si>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</si>
  <si>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</si>
  <si>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</si>
  <si>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</si>
  <si>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</si>
  <si>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</si>
  <si>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</si>
  <si>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</si>
  <si>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</si>
  <si>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ISRG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</si>
  <si>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</si>
  <si>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</si>
  <si>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</si>
  <si>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</si>
  <si>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</si>
  <si>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</si>
  <si>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</si>
  <si>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</si>
  <si>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</si>
  <si>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</si>
  <si>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</si>
  <si>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</si>
  <si>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</si>
  <si>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</si>
  <si>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</si>
  <si>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</si>
  <si>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</si>
  <si>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</si>
  <si>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</si>
  <si>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</si>
  <si>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</si>
  <si>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</si>
  <si>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</si>
  <si>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</si>
  <si>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</si>
  <si>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</si>
  <si>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</si>
  <si>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</si>
  <si>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</si>
  <si>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</si>
  <si>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ISRG owner-FCF component DCF: base case (millions, USD)</t>
  </si>
  <si>
    <t xml:space="preserve">ISRG owner-FCF component DCF: bull case (millions, USD)</t>
  </si>
  <si>
    <t xml:space="preserve">ISRG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</si>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</sst>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414.79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589.705</v>
      </c>
      <c r="S2" s="0" t="n">
        <v>34.39</v>
      </c>
      <c r="AA2" s="0" t="s">
        <v>17</v>
      </c>
      <c r="AB2" s="0" t="s">
        <v>14</v>
      </c>
    </row>
    <row r="3" customFormat="false" ht="15" hidden="false" customHeight="false" outlineLevel="0" collapsed="false">
      <c r="A3" s="0" t="s">
        <v>64</v>
      </c>
      <c r="B3" s="0" t="n">
        <v>600.828</v>
      </c>
      <c r="C3" s="0" t="n">
        <v>186.542</v>
      </c>
      <c r="D3" s="0" t="n">
        <v>414.286</v>
      </c>
      <c r="E3" s="0" t="n">
        <v>68.9525121998309</v>
      </c>
      <c r="F3" s="0" t="n">
        <v>206.742</v>
      </c>
      <c r="G3" s="0" t="n">
        <v>34.4095148694801</v>
      </c>
      <c r="I3" s="0" t="n">
        <v>144.537</v>
      </c>
      <c r="J3" s="0" t="n">
        <v>24.0563023028221</v>
      </c>
      <c r="K3" s="0" t="n">
        <v>3.82</v>
      </c>
      <c r="L3" s="0" t="n">
        <v>205.687</v>
      </c>
      <c r="M3" s="0" t="n">
        <v>24.007</v>
      </c>
      <c r="N3" s="0" t="n">
        <v>181.68</v>
      </c>
      <c r="O3" s="0" t="n">
        <v>888.7</v>
      </c>
      <c r="S3" s="0" t="n">
        <v>122.8</v>
      </c>
      <c r="T3" s="0" t="n">
        <v>39.021</v>
      </c>
      <c r="U3" s="0" t="n">
        <v>36.292</v>
      </c>
      <c r="AA3" s="0" t="s">
        <v>17</v>
      </c>
      <c r="AB3" s="0" t="s">
        <v>14</v>
      </c>
    </row>
    <row r="4" customFormat="false" ht="15" hidden="false" customHeight="false" outlineLevel="0" collapsed="false">
      <c r="A4" s="0" t="s">
        <v>65</v>
      </c>
      <c r="B4" s="0" t="n">
        <v>874.9</v>
      </c>
      <c r="C4" s="0" t="n">
        <v>254.1</v>
      </c>
      <c r="D4" s="0" t="n">
        <v>620.8</v>
      </c>
      <c r="E4" s="0" t="n">
        <v>70.9566807635158</v>
      </c>
      <c r="F4" s="0" t="n">
        <v>310.8</v>
      </c>
      <c r="G4" s="0" t="n">
        <v>35.5240598925592</v>
      </c>
      <c r="I4" s="0" t="n">
        <v>204.3</v>
      </c>
      <c r="J4" s="0" t="n">
        <v>23.3512401417305</v>
      </c>
      <c r="K4" s="0" t="n">
        <v>5.26</v>
      </c>
      <c r="L4" s="0" t="n">
        <v>278.2</v>
      </c>
      <c r="M4" s="0" t="n">
        <v>106</v>
      </c>
      <c r="N4" s="0" t="n">
        <v>172.2</v>
      </c>
      <c r="O4" s="0" t="n">
        <v>1266.7</v>
      </c>
      <c r="P4" s="0" t="n">
        <v>1474.624</v>
      </c>
      <c r="Q4" s="0" t="n">
        <v>207.858</v>
      </c>
      <c r="S4" s="0" t="n">
        <v>194.6</v>
      </c>
      <c r="T4" s="0" t="n">
        <v>39.9</v>
      </c>
      <c r="U4" s="0" t="n">
        <v>76.6</v>
      </c>
      <c r="AA4" s="0" t="s">
        <v>17</v>
      </c>
      <c r="AB4" s="0" t="s">
        <v>14</v>
      </c>
    </row>
    <row r="5" customFormat="false" ht="15" hidden="false" customHeight="false" outlineLevel="0" collapsed="false">
      <c r="A5" s="0" t="s">
        <v>66</v>
      </c>
      <c r="B5" s="0" t="n">
        <v>1052.2</v>
      </c>
      <c r="C5" s="0" t="n">
        <v>301.1</v>
      </c>
      <c r="D5" s="0" t="n">
        <v>751.1</v>
      </c>
      <c r="E5" s="0" t="n">
        <v>71.3837673446113</v>
      </c>
      <c r="F5" s="0" t="n">
        <v>377.4</v>
      </c>
      <c r="G5" s="0" t="n">
        <v>35.8677057593613</v>
      </c>
      <c r="I5" s="0" t="n">
        <v>232.6</v>
      </c>
      <c r="J5" s="0" t="n">
        <v>22.1060634860293</v>
      </c>
      <c r="K5" s="0" t="n">
        <v>6.07</v>
      </c>
      <c r="L5" s="0" t="n">
        <v>392.2</v>
      </c>
      <c r="M5" s="0" t="n">
        <v>53.4</v>
      </c>
      <c r="N5" s="0" t="n">
        <v>338.8</v>
      </c>
      <c r="O5" s="0" t="n">
        <v>1537.3</v>
      </c>
      <c r="P5" s="0" t="n">
        <v>1809.7</v>
      </c>
      <c r="Q5" s="0" t="n">
        <v>272.4</v>
      </c>
      <c r="S5" s="0" t="n">
        <v>221.4</v>
      </c>
      <c r="T5" s="0" t="n">
        <v>39.2</v>
      </c>
      <c r="U5" s="0" t="n">
        <v>97</v>
      </c>
      <c r="AA5" s="0" t="s">
        <v>17</v>
      </c>
      <c r="AB5" s="0" t="s">
        <v>14</v>
      </c>
    </row>
    <row r="6" customFormat="false" ht="15" hidden="false" customHeight="false" outlineLevel="0" collapsed="false">
      <c r="A6" s="0" t="s">
        <v>67</v>
      </c>
      <c r="B6" s="0" t="n">
        <v>1413</v>
      </c>
      <c r="C6" s="0" t="n">
        <v>383</v>
      </c>
      <c r="D6" s="0" t="n">
        <v>1030</v>
      </c>
      <c r="E6" s="0" t="n">
        <v>72.894550601557</v>
      </c>
      <c r="F6" s="0" t="n">
        <v>555.2</v>
      </c>
      <c r="G6" s="0" t="n">
        <v>39.2922859164897</v>
      </c>
      <c r="I6" s="0" t="n">
        <v>381.8</v>
      </c>
      <c r="J6" s="0" t="n">
        <v>27.0205237084218</v>
      </c>
      <c r="K6" s="0" t="n">
        <v>9.74</v>
      </c>
      <c r="L6" s="0" t="n">
        <v>545.8</v>
      </c>
      <c r="M6" s="0" t="n">
        <v>96</v>
      </c>
      <c r="N6" s="0" t="n">
        <v>449.8</v>
      </c>
      <c r="O6" s="0" t="n">
        <v>2037.4</v>
      </c>
      <c r="P6" s="0" t="n">
        <v>2390.4</v>
      </c>
      <c r="Q6" s="0" t="n">
        <v>353</v>
      </c>
      <c r="S6" s="0" t="n">
        <v>279.8</v>
      </c>
      <c r="T6" s="0" t="n">
        <v>40.3</v>
      </c>
      <c r="U6" s="0" t="n">
        <v>117.6</v>
      </c>
      <c r="AA6" s="0" t="s">
        <v>17</v>
      </c>
      <c r="AB6" s="0" t="s">
        <v>14</v>
      </c>
    </row>
    <row r="7" customFormat="false" ht="15" hidden="false" customHeight="false" outlineLevel="0" collapsed="false">
      <c r="A7" s="0" t="s">
        <v>68</v>
      </c>
      <c r="B7" s="0" t="n">
        <v>1757.3</v>
      </c>
      <c r="C7" s="0" t="n">
        <v>483.5</v>
      </c>
      <c r="D7" s="0" t="n">
        <v>1273.8</v>
      </c>
      <c r="E7" s="0" t="n">
        <v>72.4862004211006</v>
      </c>
      <c r="F7" s="0" t="n">
        <v>694.8</v>
      </c>
      <c r="G7" s="0" t="n">
        <v>39.5379275024185</v>
      </c>
      <c r="I7" s="0" t="n">
        <v>495.1</v>
      </c>
      <c r="J7" s="0" t="n">
        <v>28.1739031468731</v>
      </c>
      <c r="K7" s="0" t="n">
        <v>12.63</v>
      </c>
      <c r="L7" s="0" t="n">
        <v>677.6</v>
      </c>
      <c r="M7" s="0" t="n">
        <v>82.9</v>
      </c>
      <c r="N7" s="0" t="n">
        <v>594.7</v>
      </c>
      <c r="O7" s="0" t="n">
        <v>2645.6</v>
      </c>
      <c r="P7" s="0" t="n">
        <v>3063.1</v>
      </c>
      <c r="Q7" s="0" t="n">
        <v>417.5</v>
      </c>
      <c r="S7" s="0" t="n">
        <v>465.8</v>
      </c>
      <c r="T7" s="0" t="n">
        <v>40.2</v>
      </c>
      <c r="U7" s="0" t="n">
        <v>136.4</v>
      </c>
      <c r="AA7" s="0" t="s">
        <v>17</v>
      </c>
      <c r="AB7" s="0" t="s">
        <v>14</v>
      </c>
    </row>
    <row r="8" customFormat="false" ht="15" hidden="false" customHeight="false" outlineLevel="0" collapsed="false">
      <c r="A8" s="0" t="s">
        <v>69</v>
      </c>
      <c r="B8" s="0" t="n">
        <v>2178.8</v>
      </c>
      <c r="C8" s="0" t="n">
        <v>608.5</v>
      </c>
      <c r="D8" s="0" t="n">
        <v>1570.3</v>
      </c>
      <c r="E8" s="0" t="n">
        <v>72.0717826326418</v>
      </c>
      <c r="F8" s="0" t="n">
        <v>878.1</v>
      </c>
      <c r="G8" s="0" t="n">
        <v>40.3020011015238</v>
      </c>
      <c r="I8" s="0" t="n">
        <v>656.6</v>
      </c>
      <c r="J8" s="0" t="n">
        <v>30.1358545988618</v>
      </c>
      <c r="K8" s="0" t="n">
        <v>16.5</v>
      </c>
      <c r="L8" s="0" t="n">
        <v>814.2</v>
      </c>
      <c r="M8" s="0" t="n">
        <v>114.2</v>
      </c>
      <c r="N8" s="0" t="n">
        <v>700</v>
      </c>
      <c r="O8" s="0" t="n">
        <v>3580.1</v>
      </c>
      <c r="P8" s="0" t="n">
        <v>4059.2</v>
      </c>
      <c r="Q8" s="0" t="n">
        <v>479.1</v>
      </c>
      <c r="S8" s="0" t="n">
        <v>553.7</v>
      </c>
      <c r="T8" s="0" t="n">
        <v>41.1</v>
      </c>
      <c r="U8" s="0" t="n">
        <v>153.3</v>
      </c>
      <c r="AA8" s="0" t="s">
        <v>17</v>
      </c>
      <c r="AB8" s="0" t="s">
        <v>14</v>
      </c>
    </row>
    <row r="9" customFormat="false" ht="15" hidden="false" customHeight="false" outlineLevel="0" collapsed="false">
      <c r="A9" s="0" t="s">
        <v>70</v>
      </c>
      <c r="B9" s="0" t="n">
        <v>2265.1</v>
      </c>
      <c r="C9" s="0" t="n">
        <v>670.9</v>
      </c>
      <c r="D9" s="0" t="n">
        <v>1594.2</v>
      </c>
      <c r="E9" s="0" t="n">
        <v>70.380998631407</v>
      </c>
      <c r="F9" s="0" t="n">
        <v>852.5</v>
      </c>
      <c r="G9" s="0" t="n">
        <v>37.6363074477948</v>
      </c>
      <c r="I9" s="0" t="n">
        <v>671</v>
      </c>
      <c r="J9" s="0" t="n">
        <v>29.6234161847159</v>
      </c>
      <c r="K9" s="0" t="n">
        <v>17.12</v>
      </c>
      <c r="L9" s="0" t="n">
        <v>880</v>
      </c>
      <c r="M9" s="0" t="n">
        <v>104.6</v>
      </c>
      <c r="N9" s="0" t="n">
        <v>775.4</v>
      </c>
      <c r="O9" s="0" t="n">
        <v>3501.4</v>
      </c>
      <c r="P9" s="0" t="n">
        <v>3950.3</v>
      </c>
      <c r="Q9" s="0" t="n">
        <v>448.9</v>
      </c>
      <c r="S9" s="0" t="n">
        <v>782.1</v>
      </c>
      <c r="T9" s="0" t="n">
        <v>40.1</v>
      </c>
      <c r="U9" s="0" t="n">
        <v>168.9</v>
      </c>
      <c r="AA9" s="0" t="s">
        <v>17</v>
      </c>
      <c r="AB9" s="0" t="s">
        <v>14</v>
      </c>
    </row>
    <row r="10" customFormat="false" ht="15" hidden="false" customHeight="false" outlineLevel="0" collapsed="false">
      <c r="A10" s="0" t="s">
        <v>71</v>
      </c>
      <c r="B10" s="0" t="n">
        <v>2131.7</v>
      </c>
      <c r="C10" s="0" t="n">
        <v>717.9</v>
      </c>
      <c r="D10" s="0" t="n">
        <v>1413.8</v>
      </c>
      <c r="E10" s="0" t="n">
        <v>66.3226532814186</v>
      </c>
      <c r="F10" s="0" t="n">
        <v>544.8</v>
      </c>
      <c r="G10" s="0" t="n">
        <v>25.557067129521</v>
      </c>
      <c r="I10" s="0" t="n">
        <v>418.8</v>
      </c>
      <c r="J10" s="0" t="n">
        <v>19.6462916920768</v>
      </c>
      <c r="K10" s="0" t="n">
        <v>11.35</v>
      </c>
      <c r="L10" s="0" t="n">
        <v>665.1</v>
      </c>
      <c r="M10" s="0" t="n">
        <v>105.6</v>
      </c>
      <c r="N10" s="0" t="n">
        <v>559.5</v>
      </c>
      <c r="O10" s="0" t="n">
        <v>3379.4</v>
      </c>
      <c r="P10" s="0" t="n">
        <v>3959.4</v>
      </c>
      <c r="Q10" s="0" t="n">
        <v>580</v>
      </c>
      <c r="S10" s="0" t="n">
        <v>600.3</v>
      </c>
      <c r="T10" s="0" t="n">
        <v>37.7</v>
      </c>
      <c r="U10" s="0" t="n">
        <v>169.1</v>
      </c>
      <c r="AA10" s="0" t="s">
        <v>17</v>
      </c>
      <c r="AB10" s="0" t="s">
        <v>14</v>
      </c>
    </row>
    <row r="11" customFormat="false" ht="15" hidden="false" customHeight="false" outlineLevel="0" collapsed="false">
      <c r="A11" s="0" t="s">
        <v>72</v>
      </c>
      <c r="B11" s="0" t="n">
        <v>2384.4</v>
      </c>
      <c r="C11" s="0" t="n">
        <v>806.5</v>
      </c>
      <c r="D11" s="0" t="n">
        <v>1577.9</v>
      </c>
      <c r="E11" s="0" t="n">
        <v>66.1759771850361</v>
      </c>
      <c r="F11" s="0" t="n">
        <v>740</v>
      </c>
      <c r="G11" s="0" t="n">
        <v>31.035061231337</v>
      </c>
      <c r="I11" s="0" t="n">
        <v>588.8</v>
      </c>
      <c r="J11" s="0" t="n">
        <v>24.6938433148801</v>
      </c>
      <c r="K11" s="0" t="n">
        <v>5.29</v>
      </c>
      <c r="L11" s="0" t="n">
        <v>806.2</v>
      </c>
      <c r="M11" s="0" t="n">
        <v>81</v>
      </c>
      <c r="N11" s="0" t="n">
        <v>725.2</v>
      </c>
      <c r="O11" s="0" t="n">
        <v>4319.5</v>
      </c>
      <c r="P11" s="0" t="n">
        <v>4907.3</v>
      </c>
      <c r="Q11" s="0" t="n">
        <v>587.8</v>
      </c>
      <c r="S11" s="0" t="n">
        <v>714.6</v>
      </c>
      <c r="T11" s="0" t="n">
        <v>113.7</v>
      </c>
      <c r="U11" s="0" t="n">
        <v>168.1</v>
      </c>
      <c r="AA11" s="0" t="s">
        <v>17</v>
      </c>
      <c r="AB11" s="0" t="s">
        <v>14</v>
      </c>
    </row>
    <row r="12" customFormat="false" ht="15" hidden="false" customHeight="false" outlineLevel="0" collapsed="false">
      <c r="A12" s="0" t="s">
        <v>73</v>
      </c>
      <c r="B12" s="0" t="n">
        <v>2706.5</v>
      </c>
      <c r="C12" s="0" t="n">
        <v>813.6</v>
      </c>
      <c r="D12" s="0" t="n">
        <v>1892.9</v>
      </c>
      <c r="E12" s="0" t="n">
        <v>69.9390356549049</v>
      </c>
      <c r="F12" s="0" t="n">
        <v>949.7</v>
      </c>
      <c r="G12" s="0" t="n">
        <v>35.0895991132459</v>
      </c>
      <c r="I12" s="0" t="n">
        <v>738.3</v>
      </c>
      <c r="J12" s="0" t="n">
        <v>27.2787733234805</v>
      </c>
      <c r="K12" s="0" t="n">
        <v>6.43</v>
      </c>
      <c r="L12" s="0" t="n">
        <v>1087</v>
      </c>
      <c r="M12" s="0" t="n">
        <v>53.9</v>
      </c>
      <c r="N12" s="0" t="n">
        <v>1033.1</v>
      </c>
      <c r="O12" s="0" t="n">
        <v>5820.5</v>
      </c>
      <c r="P12" s="0" t="n">
        <v>6486.9</v>
      </c>
      <c r="Q12" s="0" t="n">
        <v>709.1</v>
      </c>
      <c r="S12" s="0" t="n">
        <v>1036.6</v>
      </c>
      <c r="T12" s="0" t="n">
        <v>117.9</v>
      </c>
      <c r="U12" s="0" t="n">
        <v>178</v>
      </c>
      <c r="AA12" s="0" t="s">
        <v>17</v>
      </c>
      <c r="AB12" s="0" t="s">
        <v>14</v>
      </c>
    </row>
    <row r="13" customFormat="false" ht="15" hidden="false" customHeight="false" outlineLevel="0" collapsed="false">
      <c r="A13" s="0" t="s">
        <v>74</v>
      </c>
      <c r="B13" s="0" t="n">
        <v>3138.2</v>
      </c>
      <c r="C13" s="0" t="n">
        <v>936.2</v>
      </c>
      <c r="D13" s="0" t="n">
        <v>2202</v>
      </c>
      <c r="E13" s="0" t="n">
        <v>70.1676120068829</v>
      </c>
      <c r="F13" s="0" t="n">
        <v>1062.9</v>
      </c>
      <c r="G13" s="0" t="n">
        <v>33.8697342425594</v>
      </c>
      <c r="I13" s="0" t="n">
        <v>670.9</v>
      </c>
      <c r="J13" s="0" t="n">
        <v>21.3784972277102</v>
      </c>
      <c r="K13" s="0" t="n">
        <v>6.01</v>
      </c>
      <c r="L13" s="0" t="n">
        <v>1143.9</v>
      </c>
      <c r="M13" s="0" t="n">
        <v>190.7</v>
      </c>
      <c r="N13" s="0" t="n">
        <v>953.2</v>
      </c>
      <c r="O13" s="0" t="n">
        <v>4780.4</v>
      </c>
      <c r="P13" s="0" t="n">
        <v>5776.8</v>
      </c>
      <c r="Q13" s="0" t="n">
        <v>996.4</v>
      </c>
      <c r="S13" s="0" t="n">
        <v>648.2</v>
      </c>
      <c r="T13" s="0" t="n">
        <v>116.3</v>
      </c>
      <c r="U13" s="0" t="n">
        <v>209.9</v>
      </c>
      <c r="AA13" s="0" t="s">
        <v>17</v>
      </c>
      <c r="AB13" s="0" t="s">
        <v>14</v>
      </c>
    </row>
    <row r="14" customFormat="false" ht="15" hidden="false" customHeight="false" outlineLevel="0" collapsed="false">
      <c r="A14" s="0" t="s">
        <v>75</v>
      </c>
      <c r="B14" s="0" t="n">
        <v>3724.2</v>
      </c>
      <c r="C14" s="0" t="n">
        <v>1120.1</v>
      </c>
      <c r="D14" s="0" t="n">
        <v>2604.1</v>
      </c>
      <c r="E14" s="0" t="n">
        <v>69.9237420117072</v>
      </c>
      <c r="F14" s="0" t="n">
        <v>1199.4</v>
      </c>
      <c r="G14" s="0" t="n">
        <v>32.2055743515386</v>
      </c>
      <c r="I14" s="0" t="n">
        <v>1127.9</v>
      </c>
      <c r="J14" s="0" t="n">
        <v>30.2856989420547</v>
      </c>
      <c r="K14" s="0" t="n">
        <v>9.92</v>
      </c>
      <c r="L14" s="0" t="n">
        <v>1169.6</v>
      </c>
      <c r="M14" s="0" t="n">
        <v>187.4</v>
      </c>
      <c r="N14" s="0" t="n">
        <v>982.2</v>
      </c>
      <c r="O14" s="0" t="n">
        <v>6687.5</v>
      </c>
      <c r="P14" s="0" t="n">
        <v>7846.7</v>
      </c>
      <c r="Q14" s="0" t="n">
        <v>1159.2</v>
      </c>
      <c r="S14" s="0" t="n">
        <v>857.9</v>
      </c>
      <c r="T14" s="0" t="n">
        <v>118.8</v>
      </c>
      <c r="U14" s="0" t="n">
        <v>262.6</v>
      </c>
      <c r="AA14" s="0" t="s">
        <v>17</v>
      </c>
      <c r="AB14" s="0" t="s">
        <v>14</v>
      </c>
    </row>
    <row r="15" customFormat="false" ht="15" hidden="false" customHeight="false" outlineLevel="0" collapsed="false">
      <c r="A15" s="0" t="s">
        <v>76</v>
      </c>
      <c r="B15" s="0" t="n">
        <v>4478.5</v>
      </c>
      <c r="C15" s="0" t="n">
        <v>1368.3</v>
      </c>
      <c r="D15" s="0" t="n">
        <v>3110.2</v>
      </c>
      <c r="E15" s="0" t="n">
        <v>69.4473596070113</v>
      </c>
      <c r="F15" s="0" t="n">
        <v>1374.5</v>
      </c>
      <c r="G15" s="0" t="n">
        <v>30.6910796025455</v>
      </c>
      <c r="I15" s="0" t="n">
        <v>1381.8</v>
      </c>
      <c r="J15" s="0" t="n">
        <v>30.8540806073462</v>
      </c>
      <c r="K15" s="0" t="n">
        <v>3.98</v>
      </c>
      <c r="L15" s="0" t="n">
        <v>1598.2</v>
      </c>
      <c r="M15" s="0" t="n">
        <v>425.6</v>
      </c>
      <c r="N15" s="0" t="n">
        <v>1172.6</v>
      </c>
      <c r="O15" s="0" t="n">
        <v>8284.7</v>
      </c>
      <c r="P15" s="0" t="n">
        <v>9733.2</v>
      </c>
      <c r="Q15" s="0" t="n">
        <v>1448.5</v>
      </c>
      <c r="S15" s="0" t="n">
        <v>1167.6</v>
      </c>
      <c r="T15" s="0" t="n">
        <v>358.4</v>
      </c>
      <c r="U15" s="0" t="n">
        <v>337.9</v>
      </c>
      <c r="AA15" s="0" t="s">
        <v>17</v>
      </c>
      <c r="AB15" s="0" t="s">
        <v>14</v>
      </c>
    </row>
    <row r="16" customFormat="false" ht="15" hidden="false" customHeight="false" outlineLevel="0" collapsed="false">
      <c r="A16" s="0" t="s">
        <v>77</v>
      </c>
      <c r="B16" s="0" t="n">
        <v>4358.4</v>
      </c>
      <c r="C16" s="0" t="n">
        <v>1497.2</v>
      </c>
      <c r="D16" s="0" t="n">
        <v>2861.2</v>
      </c>
      <c r="E16" s="0" t="n">
        <v>65.6479441997063</v>
      </c>
      <c r="F16" s="0" t="n">
        <v>1049.8</v>
      </c>
      <c r="G16" s="0" t="n">
        <v>24.0868208516887</v>
      </c>
      <c r="I16" s="0" t="n">
        <v>1066.8</v>
      </c>
      <c r="J16" s="0" t="n">
        <v>24.476872246696</v>
      </c>
      <c r="K16" s="0" t="n">
        <v>3.02</v>
      </c>
      <c r="L16" s="0" t="n">
        <v>1484.8</v>
      </c>
      <c r="M16" s="0" t="n">
        <v>341.5</v>
      </c>
      <c r="N16" s="0" t="n">
        <v>1143.3</v>
      </c>
      <c r="O16" s="0" t="n">
        <v>9759.1</v>
      </c>
      <c r="P16" s="0" t="n">
        <v>11168.9</v>
      </c>
      <c r="Q16" s="0" t="n">
        <v>1409.8</v>
      </c>
      <c r="S16" s="0" t="n">
        <v>1622.6</v>
      </c>
      <c r="T16" s="0" t="n">
        <v>361</v>
      </c>
      <c r="U16" s="0" t="n">
        <v>398.7</v>
      </c>
      <c r="AA16" s="0" t="s">
        <v>17</v>
      </c>
      <c r="AB16" s="0" t="s">
        <v>14</v>
      </c>
    </row>
    <row r="17" customFormat="false" ht="15" hidden="false" customHeight="false" outlineLevel="0" collapsed="false">
      <c r="A17" s="0" t="s">
        <v>78</v>
      </c>
      <c r="B17" s="0" t="n">
        <v>5710.1</v>
      </c>
      <c r="C17" s="0" t="n">
        <v>1751.6</v>
      </c>
      <c r="D17" s="0" t="n">
        <v>3958.5</v>
      </c>
      <c r="E17" s="0" t="n">
        <v>69.324530218385</v>
      </c>
      <c r="F17" s="0" t="n">
        <v>1821</v>
      </c>
      <c r="G17" s="0" t="n">
        <v>31.8908600549903</v>
      </c>
      <c r="I17" s="0" t="n">
        <v>1728.1</v>
      </c>
      <c r="J17" s="0" t="n">
        <v>30.2639183201695</v>
      </c>
      <c r="K17" s="0" t="n">
        <v>4.79</v>
      </c>
      <c r="L17" s="0" t="n">
        <v>2089.4</v>
      </c>
      <c r="M17" s="0" t="n">
        <v>339.5</v>
      </c>
      <c r="N17" s="0" t="n">
        <v>1749.9</v>
      </c>
      <c r="O17" s="0" t="n">
        <v>11951.5</v>
      </c>
      <c r="P17" s="0" t="n">
        <v>13555</v>
      </c>
      <c r="Q17" s="0" t="n">
        <v>1603.5</v>
      </c>
      <c r="S17" s="0" t="n">
        <v>1290.9</v>
      </c>
      <c r="T17" s="0" t="n">
        <v>365.8</v>
      </c>
      <c r="U17" s="0" t="n">
        <v>456.8</v>
      </c>
      <c r="AA17" s="0" t="s">
        <v>17</v>
      </c>
      <c r="AB17" s="0" t="s">
        <v>14</v>
      </c>
    </row>
    <row r="18" customFormat="false" ht="15" hidden="false" customHeight="false" outlineLevel="0" collapsed="false">
      <c r="A18" s="0" t="s">
        <v>79</v>
      </c>
      <c r="B18" s="0" t="n">
        <v>6222.2</v>
      </c>
      <c r="C18" s="0" t="n">
        <v>2026.2</v>
      </c>
      <c r="D18" s="0" t="n">
        <v>4196</v>
      </c>
      <c r="E18" s="0" t="n">
        <v>67.4359551284112</v>
      </c>
      <c r="F18" s="0" t="n">
        <v>1577.1</v>
      </c>
      <c r="G18" s="0" t="n">
        <v>25.3463405226447</v>
      </c>
      <c r="I18" s="0" t="n">
        <v>1344.4</v>
      </c>
      <c r="J18" s="0" t="n">
        <v>21.6065057375205</v>
      </c>
      <c r="K18" s="0" t="n">
        <v>3.72</v>
      </c>
      <c r="L18" s="0" t="n">
        <v>1490.8</v>
      </c>
      <c r="M18" s="0" t="n">
        <v>532.4</v>
      </c>
      <c r="N18" s="0" t="n">
        <v>958.4</v>
      </c>
      <c r="O18" s="0" t="n">
        <v>11112.6</v>
      </c>
      <c r="P18" s="0" t="n">
        <v>12974</v>
      </c>
      <c r="Q18" s="0" t="n">
        <v>1861.4</v>
      </c>
      <c r="S18" s="0" t="n">
        <v>1581.2</v>
      </c>
      <c r="T18" s="0" t="n">
        <v>362</v>
      </c>
      <c r="U18" s="0" t="n">
        <v>516.5</v>
      </c>
      <c r="AA18" s="0" t="s">
        <v>17</v>
      </c>
      <c r="AB18" s="0" t="s">
        <v>14</v>
      </c>
    </row>
    <row r="19" customFormat="false" ht="15" hidden="false" customHeight="false" outlineLevel="0" collapsed="false">
      <c r="A19" s="0" t="s">
        <v>80</v>
      </c>
      <c r="B19" s="0" t="n">
        <v>7124.1</v>
      </c>
      <c r="C19" s="0" t="n">
        <v>2394.6</v>
      </c>
      <c r="D19" s="0" t="n">
        <v>4729.5</v>
      </c>
      <c r="E19" s="0" t="n">
        <v>66.3873331368173</v>
      </c>
      <c r="F19" s="0" t="n">
        <v>1766.8</v>
      </c>
      <c r="G19" s="0" t="n">
        <v>24.8003256551705</v>
      </c>
      <c r="I19" s="0" t="n">
        <v>1817.3</v>
      </c>
      <c r="J19" s="0" t="n">
        <v>25.5091871253913</v>
      </c>
      <c r="K19" s="0" t="n">
        <v>5.12</v>
      </c>
      <c r="L19" s="0" t="n">
        <v>1813.8</v>
      </c>
      <c r="M19" s="0" t="n">
        <v>1064.2</v>
      </c>
      <c r="N19" s="0" t="n">
        <v>749.6</v>
      </c>
      <c r="O19" s="0" t="n">
        <v>13397.3</v>
      </c>
      <c r="P19" s="0" t="n">
        <v>15441.5</v>
      </c>
      <c r="Q19" s="0" t="n">
        <v>2044.2</v>
      </c>
      <c r="S19" s="0" t="n">
        <v>2750.1</v>
      </c>
      <c r="T19" s="0" t="n">
        <v>357.4</v>
      </c>
      <c r="U19" s="0" t="n">
        <v>598.2</v>
      </c>
      <c r="AA19" s="0" t="s">
        <v>17</v>
      </c>
      <c r="AB19" s="0" t="s">
        <v>14</v>
      </c>
    </row>
    <row r="20" customFormat="false" ht="15" hidden="false" customHeight="false" outlineLevel="0" collapsed="false">
      <c r="A20" s="0" t="s">
        <v>81</v>
      </c>
      <c r="B20" s="0" t="n">
        <v>8352.1</v>
      </c>
      <c r="C20" s="0" t="n">
        <v>2717.9</v>
      </c>
      <c r="D20" s="0" t="n">
        <v>5634.2</v>
      </c>
      <c r="E20" s="0" t="n">
        <v>67.4584834951689</v>
      </c>
      <c r="F20" s="0" t="n">
        <v>2348.9</v>
      </c>
      <c r="G20" s="0" t="n">
        <v>28.1234659546701</v>
      </c>
      <c r="I20" s="0" t="n">
        <v>2337.5</v>
      </c>
      <c r="J20" s="0" t="n">
        <v>27.9869733360472</v>
      </c>
      <c r="K20" s="0" t="n">
        <v>6.54</v>
      </c>
      <c r="L20" s="0" t="n">
        <v>2415</v>
      </c>
      <c r="M20" s="0" t="n">
        <v>1111.2</v>
      </c>
      <c r="N20" s="0" t="n">
        <v>1303.8</v>
      </c>
      <c r="O20" s="0" t="n">
        <v>16529.6</v>
      </c>
      <c r="P20" s="0" t="n">
        <v>18743.2</v>
      </c>
      <c r="Q20" s="0" t="n">
        <v>2213.6</v>
      </c>
      <c r="S20" s="0" t="n">
        <v>2027.4</v>
      </c>
      <c r="T20" s="0" t="n">
        <v>362</v>
      </c>
      <c r="U20" s="0" t="n">
        <v>688.1</v>
      </c>
      <c r="AA20" s="0" t="s">
        <v>17</v>
      </c>
      <c r="AB20" s="0" t="s">
        <v>14</v>
      </c>
    </row>
    <row r="21" customFormat="false" ht="15" hidden="false" customHeight="false" outlineLevel="0" collapsed="false">
      <c r="A21" s="0" t="s">
        <v>82</v>
      </c>
      <c r="B21" s="0" t="n">
        <v>10064.7</v>
      </c>
      <c r="C21" s="0" t="n">
        <v>3422.4</v>
      </c>
      <c r="D21" s="0" t="n">
        <v>6642.3</v>
      </c>
      <c r="E21" s="0" t="n">
        <v>65.996005842201</v>
      </c>
      <c r="F21" s="0" t="n">
        <v>2945.5</v>
      </c>
      <c r="G21" s="0" t="n">
        <v>29.2656512364999</v>
      </c>
      <c r="I21" s="0" t="n">
        <v>2876.6</v>
      </c>
      <c r="J21" s="0" t="n">
        <v>28.5810804097489</v>
      </c>
      <c r="K21" s="0" t="n">
        <v>8</v>
      </c>
      <c r="L21" s="0" t="n">
        <v>3030.5</v>
      </c>
      <c r="M21" s="0" t="n">
        <v>539.8</v>
      </c>
      <c r="N21" s="0" t="n">
        <v>2490.7</v>
      </c>
      <c r="O21" s="0" t="n">
        <v>17941.7</v>
      </c>
      <c r="P21" s="0" t="n">
        <v>20458.7</v>
      </c>
      <c r="Q21" s="0" t="n">
        <v>2517</v>
      </c>
      <c r="S21" s="0" t="n">
        <v>3368</v>
      </c>
      <c r="T21" s="0" t="n">
        <v>362.7</v>
      </c>
      <c r="U21" s="0" t="n">
        <v>802.8</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414.79</v>
      </c>
    </row>
    <row r="3" customFormat="false" ht="15" hidden="false" customHeight="false" outlineLevel="0" collapsed="false">
      <c r="A3" s="0" t="s">
        <v>86</v>
      </c>
      <c r="B3" s="3" t="n">
        <v>357.3</v>
      </c>
    </row>
    <row r="4" customFormat="false" ht="15" hidden="false" customHeight="false" outlineLevel="0" collapsed="false">
      <c r="A4" s="0" t="s">
        <v>87</v>
      </c>
      <c r="B4" s="3" t="n">
        <v>-8625.5</v>
      </c>
    </row>
    <row r="5" customFormat="false" ht="15" hidden="false" customHeight="false" outlineLevel="0" collapsed="false">
      <c r="A5" s="0" t="s">
        <v>88</v>
      </c>
      <c r="B5" s="3" t="n">
        <v>-310</v>
      </c>
    </row>
    <row r="6" customFormat="false" ht="15" hidden="false" customHeight="false" outlineLevel="0" collapsed="false">
      <c r="A6" s="0" t="s">
        <v>89</v>
      </c>
      <c r="B6" s="3" t="n">
        <v>15</v>
      </c>
    </row>
    <row r="7" customFormat="false" ht="15" hidden="false" customHeight="false" outlineLevel="0" collapsed="false">
      <c r="A7" s="0" t="s">
        <v>90</v>
      </c>
      <c r="B7" s="3" t="n">
        <v>10064.7</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16</v>
      </c>
      <c r="D13" s="3" t="n">
        <v>10</v>
      </c>
      <c r="E13" s="3" t="n">
        <v>8</v>
      </c>
      <c r="F13" s="3" t="n">
        <v>6.5</v>
      </c>
      <c r="G13" s="3" t="n">
        <v>5.5</v>
      </c>
      <c r="H13" s="3" t="n">
        <v>4.5</v>
      </c>
      <c r="I13" s="3" t="n">
        <v>4</v>
      </c>
      <c r="J13" s="3" t="n">
        <v>3.5</v>
      </c>
      <c r="K13" s="3" t="n">
        <v>3</v>
      </c>
      <c r="L13" s="3" t="n">
        <v>3</v>
      </c>
    </row>
    <row r="14" customFormat="false" ht="15" hidden="false" customHeight="false" outlineLevel="0" collapsed="false">
      <c r="A14" s="0" t="s">
        <v>107</v>
      </c>
      <c r="C14" s="3" t="n">
        <v>44.5</v>
      </c>
      <c r="D14" s="3" t="n">
        <v>44</v>
      </c>
      <c r="E14" s="3" t="n">
        <v>43.5</v>
      </c>
      <c r="F14" s="3" t="n">
        <v>43</v>
      </c>
      <c r="G14" s="3" t="n">
        <v>42.5</v>
      </c>
      <c r="H14" s="3" t="n">
        <v>42</v>
      </c>
      <c r="I14" s="3" t="n">
        <v>42</v>
      </c>
      <c r="J14" s="3" t="n">
        <v>42</v>
      </c>
      <c r="K14" s="3" t="n">
        <v>42</v>
      </c>
      <c r="L14" s="3" t="n">
        <v>42</v>
      </c>
    </row>
    <row r="15" customFormat="false" ht="15" hidden="false" customHeight="false" outlineLevel="0" collapsed="false">
      <c r="A15" s="0" t="s">
        <v>108</v>
      </c>
      <c r="C15" s="3" t="n">
        <v>12</v>
      </c>
      <c r="D15" s="3" t="n">
        <v>11.8</v>
      </c>
      <c r="E15" s="3" t="n">
        <v>11.5</v>
      </c>
      <c r="F15" s="3" t="n">
        <v>11.2</v>
      </c>
      <c r="G15" s="3" t="n">
        <v>10.9</v>
      </c>
      <c r="H15" s="3" t="n">
        <v>10.6</v>
      </c>
      <c r="I15" s="3" t="n">
        <v>10.3</v>
      </c>
      <c r="J15" s="3" t="n">
        <v>10</v>
      </c>
      <c r="K15" s="3" t="n">
        <v>9.8</v>
      </c>
      <c r="L15" s="3" t="n">
        <v>9.5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6.2</v>
      </c>
      <c r="D17" s="3" t="n">
        <v>6.2</v>
      </c>
      <c r="E17" s="3" t="n">
        <v>6.2</v>
      </c>
      <c r="F17" s="3" t="n">
        <v>6.2</v>
      </c>
      <c r="G17" s="3" t="n">
        <v>6.2</v>
      </c>
      <c r="H17" s="3" t="n">
        <v>6.2</v>
      </c>
      <c r="I17" s="3" t="n">
        <v>6.2</v>
      </c>
      <c r="J17" s="3" t="n">
        <v>6.2</v>
      </c>
      <c r="K17" s="3" t="n">
        <v>6.2</v>
      </c>
      <c r="L17" s="3" t="n">
        <v>6.2</v>
      </c>
    </row>
    <row r="18" customFormat="false" ht="15" hidden="false" customHeight="false" outlineLevel="0" collapsed="false">
      <c r="A18" s="0" t="s">
        <v>111</v>
      </c>
      <c r="C18" s="3" t="n">
        <v>5.5</v>
      </c>
      <c r="D18" s="3" t="n">
        <v>5.5</v>
      </c>
      <c r="E18" s="3" t="n">
        <v>5.5</v>
      </c>
      <c r="F18" s="3" t="n">
        <v>5.5</v>
      </c>
      <c r="G18" s="3" t="n">
        <v>5.5</v>
      </c>
      <c r="H18" s="3" t="n">
        <v>5.5</v>
      </c>
      <c r="I18" s="3" t="n">
        <v>5.5</v>
      </c>
      <c r="J18" s="3" t="n">
        <v>5.5</v>
      </c>
      <c r="K18" s="3" t="n">
        <v>5.5</v>
      </c>
      <c r="L18" s="3" t="n">
        <v>5.5</v>
      </c>
    </row>
    <row r="19" customFormat="false" ht="15" hidden="false" customHeight="false" outlineLevel="0" collapsed="false">
      <c r="A19" s="0" t="s">
        <v>112</v>
      </c>
      <c r="C19" s="3" t="n">
        <v>20</v>
      </c>
      <c r="D19" s="3" t="n">
        <v>21</v>
      </c>
      <c r="E19" s="3" t="n">
        <v>22</v>
      </c>
      <c r="F19" s="3" t="n">
        <v>22</v>
      </c>
      <c r="G19" s="3" t="n">
        <v>22</v>
      </c>
      <c r="H19" s="3" t="n">
        <v>22</v>
      </c>
      <c r="I19" s="3" t="n">
        <v>22</v>
      </c>
      <c r="J19" s="3" t="n">
        <v>22</v>
      </c>
      <c r="K19" s="3" t="n">
        <v>22</v>
      </c>
      <c r="L19" s="3" t="n">
        <v>22</v>
      </c>
    </row>
    <row r="20" customFormat="false" ht="15" hidden="false" customHeight="false" outlineLevel="0" collapsed="false">
      <c r="A20" s="0" t="s">
        <v>113</v>
      </c>
      <c r="B20" s="3" t="n">
        <v>9</v>
      </c>
    </row>
    <row r="21" customFormat="false" ht="15" hidden="false" customHeight="false" outlineLevel="0" collapsed="false">
      <c r="A21" s="0" t="s">
        <v>114</v>
      </c>
      <c r="B21" s="3" t="n">
        <v>2.5</v>
      </c>
    </row>
    <row r="22" customFormat="false" ht="15" hidden="false" customHeight="false" outlineLevel="0" collapsed="false">
      <c r="A22" s="0" t="s">
        <v>115</v>
      </c>
      <c r="B22" s="3" t="n">
        <v>20</v>
      </c>
    </row>
    <row r="23" customFormat="false" ht="15" hidden="false" customHeight="false" outlineLevel="0" collapsed="false">
      <c r="A23" s="0" t="s">
        <v>116</v>
      </c>
      <c r="B23" s="3" t="n">
        <v>-55</v>
      </c>
    </row>
    <row r="24" customFormat="false" ht="15" hidden="false" customHeight="false" outlineLevel="0" collapsed="false">
      <c r="A24" s="0" t="s">
        <v>117</v>
      </c>
      <c r="B24" s="3" t="n">
        <v>0.2</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17.5</v>
      </c>
      <c r="D27" s="3" t="n">
        <v>13.5</v>
      </c>
      <c r="E27" s="3" t="n">
        <v>12</v>
      </c>
      <c r="F27" s="3" t="n">
        <v>11</v>
      </c>
      <c r="G27" s="3" t="n">
        <v>10</v>
      </c>
      <c r="H27" s="3" t="n">
        <v>9</v>
      </c>
      <c r="I27" s="3" t="n">
        <v>8</v>
      </c>
      <c r="J27" s="3" t="n">
        <v>7</v>
      </c>
      <c r="K27" s="3" t="n">
        <v>6</v>
      </c>
      <c r="L27" s="3" t="n">
        <v>5</v>
      </c>
    </row>
    <row r="28" customFormat="false" ht="15" hidden="false" customHeight="false" outlineLevel="0" collapsed="false">
      <c r="A28" s="0" t="s">
        <v>107</v>
      </c>
      <c r="C28" s="3" t="n">
        <v>45.5</v>
      </c>
      <c r="D28" s="3" t="n">
        <v>46.2</v>
      </c>
      <c r="E28" s="3" t="n">
        <v>46.8</v>
      </c>
      <c r="F28" s="3" t="n">
        <v>47.3</v>
      </c>
      <c r="G28" s="3" t="n">
        <v>47.7</v>
      </c>
      <c r="H28" s="3" t="n">
        <v>48</v>
      </c>
      <c r="I28" s="3" t="n">
        <v>48</v>
      </c>
      <c r="J28" s="3" t="n">
        <v>48</v>
      </c>
      <c r="K28" s="3" t="n">
        <v>48</v>
      </c>
      <c r="L28" s="3" t="n">
        <v>48</v>
      </c>
    </row>
    <row r="29" customFormat="false" ht="15" hidden="false" customHeight="false" outlineLevel="0" collapsed="false">
      <c r="A29" s="0" t="s">
        <v>108</v>
      </c>
      <c r="C29" s="3" t="n">
        <v>11.5</v>
      </c>
      <c r="D29" s="3" t="n">
        <v>11</v>
      </c>
      <c r="E29" s="3" t="n">
        <v>10.6</v>
      </c>
      <c r="F29" s="3" t="n">
        <v>10.2</v>
      </c>
      <c r="G29" s="3" t="n">
        <v>9.8</v>
      </c>
      <c r="H29" s="3" t="n">
        <v>9.4</v>
      </c>
      <c r="I29" s="3" t="n">
        <v>9</v>
      </c>
      <c r="J29" s="3" t="n">
        <v>8.7</v>
      </c>
      <c r="K29" s="3" t="n">
        <v>8.4</v>
      </c>
      <c r="L29" s="3" t="n">
        <v>8</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6.2</v>
      </c>
      <c r="D31" s="3" t="n">
        <v>6.2</v>
      </c>
      <c r="E31" s="3" t="n">
        <v>6.1</v>
      </c>
      <c r="F31" s="3" t="n">
        <v>6.1</v>
      </c>
      <c r="G31" s="3" t="n">
        <v>6</v>
      </c>
      <c r="H31" s="3" t="n">
        <v>6</v>
      </c>
      <c r="I31" s="3" t="n">
        <v>6</v>
      </c>
      <c r="J31" s="3" t="n">
        <v>6</v>
      </c>
      <c r="K31" s="3" t="n">
        <v>6</v>
      </c>
      <c r="L31" s="3" t="n">
        <v>6</v>
      </c>
    </row>
    <row r="32" customFormat="false" ht="15" hidden="false" customHeight="false" outlineLevel="0" collapsed="false">
      <c r="A32" s="0" t="s">
        <v>111</v>
      </c>
      <c r="C32" s="3" t="n">
        <v>5.5</v>
      </c>
      <c r="D32" s="3" t="n">
        <v>5.2</v>
      </c>
      <c r="E32" s="3" t="n">
        <v>5</v>
      </c>
      <c r="F32" s="3" t="n">
        <v>5</v>
      </c>
      <c r="G32" s="3" t="n">
        <v>5</v>
      </c>
      <c r="H32" s="3" t="n">
        <v>5</v>
      </c>
      <c r="I32" s="3" t="n">
        <v>5</v>
      </c>
      <c r="J32" s="3" t="n">
        <v>5</v>
      </c>
      <c r="K32" s="3" t="n">
        <v>5</v>
      </c>
      <c r="L32" s="3" t="n">
        <v>5</v>
      </c>
    </row>
    <row r="33" customFormat="false" ht="15" hidden="false" customHeight="false" outlineLevel="0" collapsed="false">
      <c r="A33" s="0" t="s">
        <v>112</v>
      </c>
      <c r="C33" s="3" t="n">
        <v>20</v>
      </c>
      <c r="D33" s="3" t="n">
        <v>21</v>
      </c>
      <c r="E33" s="3" t="n">
        <v>22</v>
      </c>
      <c r="F33" s="3" t="n">
        <v>22</v>
      </c>
      <c r="G33" s="3" t="n">
        <v>22</v>
      </c>
      <c r="H33" s="3" t="n">
        <v>22</v>
      </c>
      <c r="I33" s="3" t="n">
        <v>22</v>
      </c>
      <c r="J33" s="3" t="n">
        <v>22</v>
      </c>
      <c r="K33" s="3" t="n">
        <v>22</v>
      </c>
      <c r="L33" s="3" t="n">
        <v>22</v>
      </c>
    </row>
    <row r="34" customFormat="false" ht="15" hidden="false" customHeight="false" outlineLevel="0" collapsed="false">
      <c r="A34" s="0" t="s">
        <v>113</v>
      </c>
      <c r="B34" s="3" t="n">
        <v>9</v>
      </c>
    </row>
    <row r="35" customFormat="false" ht="15" hidden="false" customHeight="false" outlineLevel="0" collapsed="false">
      <c r="A35" s="0" t="s">
        <v>114</v>
      </c>
      <c r="B35" s="3" t="n">
        <v>3</v>
      </c>
    </row>
    <row r="36" customFormat="false" ht="15" hidden="false" customHeight="false" outlineLevel="0" collapsed="false">
      <c r="A36" s="0" t="s">
        <v>115</v>
      </c>
      <c r="B36" s="3" t="n">
        <v>20</v>
      </c>
    </row>
    <row r="37" customFormat="false" ht="15" hidden="false" customHeight="false" outlineLevel="0" collapsed="false">
      <c r="A37" s="0" t="s">
        <v>116</v>
      </c>
      <c r="B37" s="3" t="n">
        <v>-50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19</v>
      </c>
      <c r="D41" s="3" t="n">
        <v>16</v>
      </c>
      <c r="E41" s="3" t="n">
        <v>15</v>
      </c>
      <c r="F41" s="3" t="n">
        <v>14</v>
      </c>
      <c r="G41" s="3" t="n">
        <v>13</v>
      </c>
      <c r="H41" s="3" t="n">
        <v>12</v>
      </c>
      <c r="I41" s="3" t="n">
        <v>10</v>
      </c>
      <c r="J41" s="3" t="n">
        <v>8.5</v>
      </c>
      <c r="K41" s="3" t="n">
        <v>7</v>
      </c>
      <c r="L41" s="3" t="n">
        <v>6</v>
      </c>
    </row>
    <row r="42" customFormat="false" ht="15" hidden="false" customHeight="false" outlineLevel="0" collapsed="false">
      <c r="A42" s="0" t="s">
        <v>107</v>
      </c>
      <c r="C42" s="3" t="n">
        <v>46</v>
      </c>
      <c r="D42" s="3" t="n">
        <v>47</v>
      </c>
      <c r="E42" s="3" t="n">
        <v>48</v>
      </c>
      <c r="F42" s="3" t="n">
        <v>49</v>
      </c>
      <c r="G42" s="3" t="n">
        <v>49.5</v>
      </c>
      <c r="H42" s="3" t="n">
        <v>50</v>
      </c>
      <c r="I42" s="3" t="n">
        <v>50.5</v>
      </c>
      <c r="J42" s="3" t="n">
        <v>51</v>
      </c>
      <c r="K42" s="3" t="n">
        <v>51</v>
      </c>
      <c r="L42" s="3" t="n">
        <v>51</v>
      </c>
    </row>
    <row r="43" customFormat="false" ht="15" hidden="false" customHeight="false" outlineLevel="0" collapsed="false">
      <c r="A43" s="0" t="s">
        <v>108</v>
      </c>
      <c r="C43" s="3" t="n">
        <v>11</v>
      </c>
      <c r="D43" s="3" t="n">
        <v>10.5</v>
      </c>
      <c r="E43" s="3" t="n">
        <v>10</v>
      </c>
      <c r="F43" s="3" t="n">
        <v>9.5</v>
      </c>
      <c r="G43" s="3" t="n">
        <v>9</v>
      </c>
      <c r="H43" s="3" t="n">
        <v>8.5</v>
      </c>
      <c r="I43" s="3" t="n">
        <v>8</v>
      </c>
      <c r="J43" s="3" t="n">
        <v>7.5</v>
      </c>
      <c r="K43" s="3" t="n">
        <v>7.2</v>
      </c>
      <c r="L43" s="3" t="n">
        <v>7</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6.2</v>
      </c>
      <c r="D45" s="3" t="n">
        <v>6.2</v>
      </c>
      <c r="E45" s="3" t="n">
        <v>6.1</v>
      </c>
      <c r="F45" s="3" t="n">
        <v>6.1</v>
      </c>
      <c r="G45" s="3" t="n">
        <v>6</v>
      </c>
      <c r="H45" s="3" t="n">
        <v>6</v>
      </c>
      <c r="I45" s="3" t="n">
        <v>6</v>
      </c>
      <c r="J45" s="3" t="n">
        <v>6</v>
      </c>
      <c r="K45" s="3" t="n">
        <v>6</v>
      </c>
      <c r="L45" s="3" t="n">
        <v>6</v>
      </c>
    </row>
    <row r="46" customFormat="false" ht="15" hidden="false" customHeight="false" outlineLevel="0" collapsed="false">
      <c r="A46" s="0" t="s">
        <v>111</v>
      </c>
      <c r="C46" s="3" t="n">
        <v>5.5</v>
      </c>
      <c r="D46" s="3" t="n">
        <v>5.2</v>
      </c>
      <c r="E46" s="3" t="n">
        <v>5</v>
      </c>
      <c r="F46" s="3" t="n">
        <v>5</v>
      </c>
      <c r="G46" s="3" t="n">
        <v>5</v>
      </c>
      <c r="H46" s="3" t="n">
        <v>5</v>
      </c>
      <c r="I46" s="3" t="n">
        <v>5</v>
      </c>
      <c r="J46" s="3" t="n">
        <v>5</v>
      </c>
      <c r="K46" s="3" t="n">
        <v>5</v>
      </c>
      <c r="L46" s="3" t="n">
        <v>5</v>
      </c>
    </row>
    <row r="47" customFormat="false" ht="15" hidden="false" customHeight="false" outlineLevel="0" collapsed="false">
      <c r="A47" s="0" t="s">
        <v>112</v>
      </c>
      <c r="C47" s="3" t="n">
        <v>20</v>
      </c>
      <c r="D47" s="3" t="n">
        <v>21</v>
      </c>
      <c r="E47" s="3" t="n">
        <v>22</v>
      </c>
      <c r="F47" s="3" t="n">
        <v>22</v>
      </c>
      <c r="G47" s="3" t="n">
        <v>22</v>
      </c>
      <c r="H47" s="3" t="n">
        <v>22</v>
      </c>
      <c r="I47" s="3" t="n">
        <v>22</v>
      </c>
      <c r="J47" s="3" t="n">
        <v>22</v>
      </c>
      <c r="K47" s="3" t="n">
        <v>22</v>
      </c>
      <c r="L47" s="3" t="n">
        <v>22</v>
      </c>
    </row>
    <row r="48" customFormat="false" ht="15" hidden="false" customHeight="false" outlineLevel="0" collapsed="false">
      <c r="A48" s="0" t="s">
        <v>113</v>
      </c>
      <c r="B48" s="3" t="n">
        <v>9</v>
      </c>
    </row>
    <row r="49" customFormat="false" ht="15" hidden="false" customHeight="false" outlineLevel="0" collapsed="false">
      <c r="A49" s="0" t="s">
        <v>114</v>
      </c>
      <c r="B49" s="3" t="n">
        <v>3</v>
      </c>
    </row>
    <row r="50" customFormat="false" ht="15" hidden="false" customHeight="false" outlineLevel="0" collapsed="false">
      <c r="A50" s="0" t="s">
        <v>115</v>
      </c>
      <c r="B50" s="3" t="n">
        <v>20</v>
      </c>
    </row>
    <row r="51" customFormat="false" ht="15" hidden="false" customHeight="false" outlineLevel="0" collapsed="false">
      <c r="A51" s="0" t="s">
        <v>116</v>
      </c>
      <c r="B51" s="3" t="n">
        <v>-50</v>
      </c>
    </row>
    <row r="52" customFormat="false" ht="15" hidden="false" customHeight="false" outlineLevel="0" collapsed="false">
      <c r="A52" s="0" t="s">
        <v>117</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16</v>
      </c>
      <c r="D5" s="4" t="n">
        <f aca="false">Assumptions!D13</f>
        <v>10</v>
      </c>
      <c r="E5" s="4" t="n">
        <f aca="false">Assumptions!E13</f>
        <v>8</v>
      </c>
      <c r="F5" s="4" t="n">
        <f aca="false">Assumptions!F13</f>
        <v>6.5</v>
      </c>
      <c r="G5" s="4" t="n">
        <f aca="false">Assumptions!G13</f>
        <v>5.5</v>
      </c>
      <c r="H5" s="4" t="n">
        <f aca="false">Assumptions!H13</f>
        <v>4.5</v>
      </c>
      <c r="I5" s="4" t="n">
        <f aca="false">Assumptions!I13</f>
        <v>4</v>
      </c>
      <c r="J5" s="4" t="n">
        <f aca="false">Assumptions!J13</f>
        <v>3.5</v>
      </c>
      <c r="K5" s="4" t="n">
        <f aca="false">Assumptions!K13</f>
        <v>3</v>
      </c>
      <c r="L5" s="4" t="n">
        <f aca="false">Assumptions!L13</f>
        <v>3</v>
      </c>
    </row>
    <row r="6" customFormat="false" ht="15" hidden="false" customHeight="false" outlineLevel="0" collapsed="false">
      <c r="A6" s="0" t="s">
        <v>37</v>
      </c>
      <c r="B6" s="3" t="n">
        <v>10064.7</v>
      </c>
      <c r="C6" s="0" t="n">
        <f aca="false">B6*(1+C5/100)</f>
        <v>11675.052</v>
      </c>
      <c r="D6" s="0" t="n">
        <f aca="false">C6*(1+D5/100)</f>
        <v>12842.5572</v>
      </c>
      <c r="E6" s="0" t="n">
        <f aca="false">D6*(1+E5/100)</f>
        <v>13869.961776</v>
      </c>
      <c r="F6" s="0" t="n">
        <f aca="false">E6*(1+F5/100)</f>
        <v>14771.50929144</v>
      </c>
      <c r="G6" s="0" t="n">
        <f aca="false">F6*(1+G5/100)</f>
        <v>15583.9423024692</v>
      </c>
      <c r="H6" s="0" t="n">
        <f aca="false">G6*(1+H5/100)</f>
        <v>16285.2197060803</v>
      </c>
      <c r="I6" s="0" t="n">
        <f aca="false">H6*(1+I5/100)</f>
        <v>16936.6284943235</v>
      </c>
      <c r="J6" s="0" t="n">
        <f aca="false">I6*(1+J5/100)</f>
        <v>17529.4104916248</v>
      </c>
      <c r="K6" s="0" t="n">
        <f aca="false">J6*(1+K5/100)</f>
        <v>18055.2928063736</v>
      </c>
      <c r="L6" s="0" t="n">
        <f aca="false">K6*(1+L5/100)</f>
        <v>18596.9515905648</v>
      </c>
    </row>
    <row r="7" customFormat="false" ht="15" hidden="false" customHeight="false" outlineLevel="0" collapsed="false">
      <c r="A7" s="0" t="s">
        <v>107</v>
      </c>
      <c r="C7" s="4" t="n">
        <f aca="false">Assumptions!C14</f>
        <v>44.5</v>
      </c>
      <c r="D7" s="4" t="n">
        <f aca="false">Assumptions!D14</f>
        <v>44</v>
      </c>
      <c r="E7" s="4" t="n">
        <f aca="false">Assumptions!E14</f>
        <v>43.5</v>
      </c>
      <c r="F7" s="4" t="n">
        <f aca="false">Assumptions!F14</f>
        <v>43</v>
      </c>
      <c r="G7" s="4" t="n">
        <f aca="false">Assumptions!G14</f>
        <v>42.5</v>
      </c>
      <c r="H7" s="4" t="n">
        <f aca="false">Assumptions!H14</f>
        <v>42</v>
      </c>
      <c r="I7" s="4" t="n">
        <f aca="false">Assumptions!I14</f>
        <v>42</v>
      </c>
      <c r="J7" s="4" t="n">
        <f aca="false">Assumptions!J14</f>
        <v>42</v>
      </c>
      <c r="K7" s="4" t="n">
        <f aca="false">Assumptions!K14</f>
        <v>42</v>
      </c>
      <c r="L7" s="4" t="n">
        <f aca="false">Assumptions!L14</f>
        <v>42</v>
      </c>
    </row>
    <row r="8" customFormat="false" ht="15" hidden="false" customHeight="false" outlineLevel="0" collapsed="false">
      <c r="A8" s="0" t="s">
        <v>43</v>
      </c>
      <c r="C8" s="0" t="n">
        <f aca="false">C6*C7/100</f>
        <v>5195.39814</v>
      </c>
      <c r="D8" s="0" t="n">
        <f aca="false">D6*D7/100</f>
        <v>5650.725168</v>
      </c>
      <c r="E8" s="0" t="n">
        <f aca="false">E6*E7/100</f>
        <v>6033.43337256</v>
      </c>
      <c r="F8" s="0" t="n">
        <f aca="false">F6*F7/100</f>
        <v>6351.7489953192</v>
      </c>
      <c r="G8" s="0" t="n">
        <f aca="false">G6*G7/100</f>
        <v>6623.17547854941</v>
      </c>
      <c r="H8" s="0" t="n">
        <f aca="false">H6*H7/100</f>
        <v>6839.79227655373</v>
      </c>
      <c r="I8" s="0" t="n">
        <f aca="false">I6*I7/100</f>
        <v>7113.38396761588</v>
      </c>
      <c r="J8" s="0" t="n">
        <f aca="false">J6*J7/100</f>
        <v>7362.35240648244</v>
      </c>
      <c r="K8" s="0" t="n">
        <f aca="false">K6*K7/100</f>
        <v>7583.22297867691</v>
      </c>
      <c r="L8" s="0" t="n">
        <f aca="false">L6*L7/100</f>
        <v>7810.71966803722</v>
      </c>
    </row>
    <row r="9" customFormat="false" ht="15" hidden="false" customHeight="false" outlineLevel="0" collapsed="false">
      <c r="A9" s="0" t="s">
        <v>108</v>
      </c>
      <c r="C9" s="4" t="n">
        <f aca="false">Assumptions!C15</f>
        <v>12</v>
      </c>
      <c r="D9" s="4" t="n">
        <f aca="false">Assumptions!D15</f>
        <v>11.8</v>
      </c>
      <c r="E9" s="4" t="n">
        <f aca="false">Assumptions!E15</f>
        <v>11.5</v>
      </c>
      <c r="F9" s="4" t="n">
        <f aca="false">Assumptions!F15</f>
        <v>11.2</v>
      </c>
      <c r="G9" s="4" t="n">
        <f aca="false">Assumptions!G15</f>
        <v>10.9</v>
      </c>
      <c r="H9" s="4" t="n">
        <f aca="false">Assumptions!H15</f>
        <v>10.6</v>
      </c>
      <c r="I9" s="4" t="n">
        <f aca="false">Assumptions!I15</f>
        <v>10.3</v>
      </c>
      <c r="J9" s="4" t="n">
        <f aca="false">Assumptions!J15</f>
        <v>10</v>
      </c>
      <c r="K9" s="4" t="n">
        <f aca="false">Assumptions!K15</f>
        <v>9.8</v>
      </c>
      <c r="L9" s="4" t="n">
        <f aca="false">Assumptions!L15</f>
        <v>9.5</v>
      </c>
    </row>
    <row r="10" customFormat="false" ht="15" hidden="false" customHeight="false" outlineLevel="0" collapsed="false">
      <c r="A10" s="0" t="s">
        <v>123</v>
      </c>
      <c r="C10" s="0" t="n">
        <f aca="false">-C6*C9/100</f>
        <v>-1401.00624</v>
      </c>
      <c r="D10" s="0" t="n">
        <f aca="false">-D6*D9/100</f>
        <v>-1515.4217496</v>
      </c>
      <c r="E10" s="0" t="n">
        <f aca="false">-E6*E9/100</f>
        <v>-1595.04560424</v>
      </c>
      <c r="F10" s="0" t="n">
        <f aca="false">-F6*F9/100</f>
        <v>-1654.40904064128</v>
      </c>
      <c r="G10" s="0" t="n">
        <f aca="false">-G6*G9/100</f>
        <v>-1698.64971096914</v>
      </c>
      <c r="H10" s="0" t="n">
        <f aca="false">-H6*H9/100</f>
        <v>-1726.23328884451</v>
      </c>
      <c r="I10" s="0" t="n">
        <f aca="false">-I6*I9/100</f>
        <v>-1744.47273491532</v>
      </c>
      <c r="J10" s="0" t="n">
        <f aca="false">-J6*J9/100</f>
        <v>-1752.94104916248</v>
      </c>
      <c r="K10" s="0" t="n">
        <f aca="false">-K6*K9/100</f>
        <v>-1769.41869502461</v>
      </c>
      <c r="L10" s="0" t="n">
        <f aca="false">-L6*L9/100</f>
        <v>-1766.71040110366</v>
      </c>
    </row>
    <row r="11" customFormat="false" ht="15" hidden="false" customHeight="false" outlineLevel="0" collapsed="false">
      <c r="A11" s="0" t="s">
        <v>124</v>
      </c>
      <c r="C11" s="0" t="n">
        <f aca="false">C8+C10+C24</f>
        <v>3794.3919</v>
      </c>
      <c r="D11" s="0" t="n">
        <f aca="false">D8+D10+D24</f>
        <v>4135.3034184</v>
      </c>
      <c r="E11" s="0" t="n">
        <f aca="false">E8+E10+E24</f>
        <v>4438.38776832</v>
      </c>
      <c r="F11" s="0" t="n">
        <f aca="false">F8+F10+F24</f>
        <v>4697.33995467792</v>
      </c>
      <c r="G11" s="0" t="n">
        <f aca="false">G8+G10+G24</f>
        <v>4924.52576758027</v>
      </c>
      <c r="H11" s="0" t="n">
        <f aca="false">H8+H10+H24</f>
        <v>5113.55898770922</v>
      </c>
      <c r="I11" s="0" t="n">
        <f aca="false">I8+I10+I24</f>
        <v>5368.91123270056</v>
      </c>
      <c r="J11" s="0" t="n">
        <f aca="false">J8+J10+J24</f>
        <v>5609.41135731995</v>
      </c>
      <c r="K11" s="0" t="n">
        <f aca="false">K8+K10+K24</f>
        <v>5813.8042836523</v>
      </c>
      <c r="L11" s="0" t="n">
        <f aca="false">L8+L10+L24</f>
        <v>6044.00926693356</v>
      </c>
    </row>
    <row r="12" customFormat="false" ht="15" hidden="false" customHeight="false" outlineLevel="0" collapsed="false">
      <c r="A12" s="0" t="s">
        <v>125</v>
      </c>
      <c r="C12" s="4" t="n">
        <f aca="false">-C6*Assumptions!C17/100</f>
        <v>-723.853224</v>
      </c>
      <c r="D12" s="4" t="n">
        <f aca="false">-D6*Assumptions!D17/100</f>
        <v>-796.2385464</v>
      </c>
      <c r="E12" s="4" t="n">
        <f aca="false">-E6*Assumptions!E17/100</f>
        <v>-859.937630112</v>
      </c>
      <c r="F12" s="4" t="n">
        <f aca="false">-F6*Assumptions!F17/100</f>
        <v>-915.83357606928</v>
      </c>
      <c r="G12" s="4" t="n">
        <f aca="false">-G6*Assumptions!G17/100</f>
        <v>-966.204422753091</v>
      </c>
      <c r="H12" s="4" t="n">
        <f aca="false">-H6*Assumptions!H17/100</f>
        <v>-1009.68362177698</v>
      </c>
      <c r="I12" s="4" t="n">
        <f aca="false">-I6*Assumptions!I17/100</f>
        <v>-1050.07096664806</v>
      </c>
      <c r="J12" s="4" t="n">
        <f aca="false">-J6*Assumptions!J17/100</f>
        <v>-1086.82345048074</v>
      </c>
      <c r="K12" s="4" t="n">
        <f aca="false">-K6*Assumptions!K17/100</f>
        <v>-1119.42815399516</v>
      </c>
      <c r="L12" s="4" t="n">
        <f aca="false">-L6*Assumptions!L17/100</f>
        <v>-1153.01099861502</v>
      </c>
    </row>
    <row r="13" customFormat="false" ht="15" hidden="false" customHeight="false" outlineLevel="0" collapsed="false">
      <c r="A13" s="0" t="s">
        <v>126</v>
      </c>
      <c r="C13" s="0" t="n">
        <f aca="false">C11+C12</f>
        <v>3070.538676</v>
      </c>
      <c r="D13" s="0" t="n">
        <f aca="false">D11+D12</f>
        <v>3339.064872</v>
      </c>
      <c r="E13" s="0" t="n">
        <f aca="false">E11+E12</f>
        <v>3578.450138208</v>
      </c>
      <c r="F13" s="0" t="n">
        <f aca="false">F11+F12</f>
        <v>3781.50637860864</v>
      </c>
      <c r="G13" s="0" t="n">
        <f aca="false">G11+G12</f>
        <v>3958.32134482718</v>
      </c>
      <c r="H13" s="0" t="n">
        <f aca="false">H11+H12</f>
        <v>4103.87536593224</v>
      </c>
      <c r="I13" s="0" t="n">
        <f aca="false">I11+I12</f>
        <v>4318.8402660525</v>
      </c>
      <c r="J13" s="0" t="n">
        <f aca="false">J11+J12</f>
        <v>4522.58790683921</v>
      </c>
      <c r="K13" s="0" t="n">
        <f aca="false">K11+K12</f>
        <v>4694.37612965714</v>
      </c>
      <c r="L13" s="0" t="n">
        <f aca="false">L11+L12</f>
        <v>4890.99826831854</v>
      </c>
    </row>
    <row r="14" customFormat="false" ht="15" hidden="false" customHeight="false" outlineLevel="0" collapsed="false">
      <c r="A14" s="0" t="s">
        <v>112</v>
      </c>
      <c r="C14" s="4" t="n">
        <f aca="false">Assumptions!C19</f>
        <v>20</v>
      </c>
      <c r="D14" s="4" t="n">
        <f aca="false">Assumptions!D19</f>
        <v>21</v>
      </c>
      <c r="E14" s="4" t="n">
        <f aca="false">Assumptions!E19</f>
        <v>22</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127</v>
      </c>
      <c r="C15" s="0" t="n">
        <f aca="false">C13-MAX(0,C13)*C14/100</f>
        <v>2456.4309408</v>
      </c>
      <c r="D15" s="0" t="n">
        <f aca="false">D13-MAX(0,D13)*D14/100</f>
        <v>2637.86124888</v>
      </c>
      <c r="E15" s="0" t="n">
        <f aca="false">E13-MAX(0,E13)*E14/100</f>
        <v>2791.19110780224</v>
      </c>
      <c r="F15" s="0" t="n">
        <f aca="false">F13-MAX(0,F13)*F14/100</f>
        <v>2949.57497531474</v>
      </c>
      <c r="G15" s="0" t="n">
        <f aca="false">G13-MAX(0,G13)*G14/100</f>
        <v>3087.4906489652</v>
      </c>
      <c r="H15" s="0" t="n">
        <f aca="false">H13-MAX(0,H13)*H14/100</f>
        <v>3201.02278542715</v>
      </c>
      <c r="I15" s="0" t="n">
        <f aca="false">I13-MAX(0,I13)*I14/100</f>
        <v>3368.69540752095</v>
      </c>
      <c r="J15" s="0" t="n">
        <f aca="false">J13-MAX(0,J13)*J14/100</f>
        <v>3527.61856733458</v>
      </c>
      <c r="K15" s="0" t="n">
        <f aca="false">K13-MAX(0,K13)*K14/100</f>
        <v>3661.61338113257</v>
      </c>
      <c r="L15" s="0" t="n">
        <f aca="false">L13-MAX(0,L13)*L14/100</f>
        <v>3814.97864928846</v>
      </c>
    </row>
    <row r="16" customFormat="false" ht="15" hidden="false" customHeight="false" outlineLevel="0" collapsed="false">
      <c r="A16" s="0" t="s">
        <v>128</v>
      </c>
      <c r="C16" s="0" t="n">
        <f aca="false">-C12</f>
        <v>723.853224</v>
      </c>
      <c r="D16" s="0" t="n">
        <f aca="false">-D12</f>
        <v>796.2385464</v>
      </c>
      <c r="E16" s="0" t="n">
        <f aca="false">-E12</f>
        <v>859.937630112</v>
      </c>
      <c r="F16" s="0" t="n">
        <f aca="false">-F12</f>
        <v>915.83357606928</v>
      </c>
      <c r="G16" s="0" t="n">
        <f aca="false">-G12</f>
        <v>966.204422753091</v>
      </c>
      <c r="H16" s="0" t="n">
        <f aca="false">-H12</f>
        <v>1009.68362177698</v>
      </c>
      <c r="I16" s="0" t="n">
        <f aca="false">-I12</f>
        <v>1050.07096664806</v>
      </c>
      <c r="J16" s="0" t="n">
        <f aca="false">-J12</f>
        <v>1086.82345048074</v>
      </c>
      <c r="K16" s="0" t="n">
        <f aca="false">-K12</f>
        <v>1119.42815399516</v>
      </c>
      <c r="L16" s="0" t="n">
        <f aca="false">-L12</f>
        <v>1153.01099861502</v>
      </c>
    </row>
    <row r="17" customFormat="false" ht="15" hidden="false" customHeight="false" outlineLevel="0" collapsed="false">
      <c r="A17" s="0" t="s">
        <v>129</v>
      </c>
      <c r="C17" s="4" t="n">
        <f aca="false">-C6*Assumptions!C18/100</f>
        <v>-642.12786</v>
      </c>
      <c r="D17" s="4" t="n">
        <f aca="false">-D6*Assumptions!D18/100</f>
        <v>-706.340646</v>
      </c>
      <c r="E17" s="4" t="n">
        <f aca="false">-E6*Assumptions!E18/100</f>
        <v>-762.84789768</v>
      </c>
      <c r="F17" s="4" t="n">
        <f aca="false">-F6*Assumptions!F18/100</f>
        <v>-812.4330110292</v>
      </c>
      <c r="G17" s="4" t="n">
        <f aca="false">-G6*Assumptions!G18/100</f>
        <v>-857.116826635806</v>
      </c>
      <c r="H17" s="4" t="n">
        <f aca="false">-H6*Assumptions!H18/100</f>
        <v>-895.687083834417</v>
      </c>
      <c r="I17" s="4" t="n">
        <f aca="false">-I6*Assumptions!I18/100</f>
        <v>-931.514567187794</v>
      </c>
      <c r="J17" s="4" t="n">
        <f aca="false">-J6*Assumptions!J18/100</f>
        <v>-964.117577039367</v>
      </c>
      <c r="K17" s="4" t="n">
        <f aca="false">-K6*Assumptions!K18/100</f>
        <v>-993.041104350548</v>
      </c>
      <c r="L17" s="4" t="n">
        <f aca="false">-L6*Assumptions!L18/100</f>
        <v>-1022.83233748106</v>
      </c>
    </row>
    <row r="18" customFormat="false" ht="15" hidden="false" customHeight="false" outlineLevel="0" collapsed="false">
      <c r="A18" s="0" t="s">
        <v>130</v>
      </c>
      <c r="C18" s="4" t="n">
        <f aca="false">(C6-B6)*Assumptions!$B$23/100</f>
        <v>-885.693599999999</v>
      </c>
      <c r="D18" s="4" t="n">
        <f aca="false">(D6-C6)*Assumptions!$B$23/100</f>
        <v>-642.127860000001</v>
      </c>
      <c r="E18" s="4" t="n">
        <f aca="false">(E6-D6)*Assumptions!$B$23/100</f>
        <v>-565.072516800001</v>
      </c>
      <c r="F18" s="4" t="n">
        <f aca="false">(F6-E6)*Assumptions!$B$23/100</f>
        <v>-495.851133492</v>
      </c>
      <c r="G18" s="4" t="n">
        <f aca="false">(G6-F6)*Assumptions!$B$23/100</f>
        <v>-446.83815606606</v>
      </c>
      <c r="H18" s="4" t="n">
        <f aca="false">(H6-G6)*Assumptions!$B$23/100</f>
        <v>-385.702571986112</v>
      </c>
      <c r="I18" s="4" t="n">
        <f aca="false">(I6-H6)*Assumptions!$B$23/100</f>
        <v>-358.274833533767</v>
      </c>
      <c r="J18" s="4" t="n">
        <f aca="false">(J6-I6)*Assumptions!$B$23/100</f>
        <v>-326.030098515727</v>
      </c>
      <c r="K18" s="4" t="n">
        <f aca="false">(K6-J6)*Assumptions!$B$23/100</f>
        <v>-289.23527311181</v>
      </c>
      <c r="L18" s="4" t="n">
        <f aca="false">(L6-K6)*Assumptions!$B$23/100</f>
        <v>-297.912331305164</v>
      </c>
    </row>
    <row r="19" customFormat="false" ht="15" hidden="false" customHeight="false" outlineLevel="0" collapsed="false">
      <c r="A19" s="0" t="s">
        <v>131</v>
      </c>
      <c r="C19" s="0" t="n">
        <f aca="false">C15+C16+C17+C18</f>
        <v>1652.4627048</v>
      </c>
      <c r="D19" s="0" t="n">
        <f aca="false">D15+D16+D17+D18</f>
        <v>2085.63128928</v>
      </c>
      <c r="E19" s="0" t="n">
        <f aca="false">E15+E16+E17+E18</f>
        <v>2323.20832343424</v>
      </c>
      <c r="F19" s="0" t="n">
        <f aca="false">F15+F16+F17+F18</f>
        <v>2557.12440686282</v>
      </c>
      <c r="G19" s="0" t="n">
        <f aca="false">G15+G16+G17+G18</f>
        <v>2749.74008901642</v>
      </c>
      <c r="H19" s="0" t="n">
        <f aca="false">H15+H16+H17+H18</f>
        <v>2929.3167513836</v>
      </c>
      <c r="I19" s="0" t="n">
        <f aca="false">I15+I16+I17+I18</f>
        <v>3128.97697344745</v>
      </c>
      <c r="J19" s="0" t="n">
        <f aca="false">J15+J16+J17+J18</f>
        <v>3324.29434226023</v>
      </c>
      <c r="K19" s="0" t="n">
        <f aca="false">K15+K16+K17+K18</f>
        <v>3498.76515766537</v>
      </c>
      <c r="L19" s="0" t="n">
        <f aca="false">L15+L16+L17+L18</f>
        <v>3647.24497911725</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1516.02083009174</v>
      </c>
      <c r="D21" s="0" t="n">
        <f aca="false">D19*D20</f>
        <v>1755.43412951772</v>
      </c>
      <c r="E21" s="0" t="n">
        <f aca="false">E19*E20</f>
        <v>1793.94308809628</v>
      </c>
      <c r="F21" s="0" t="n">
        <f aca="false">F19*F20</f>
        <v>1811.53139765176</v>
      </c>
      <c r="G21" s="0" t="n">
        <f aca="false">G19*G20</f>
        <v>1787.14238801458</v>
      </c>
      <c r="H21" s="0" t="n">
        <f aca="false">H19*H20</f>
        <v>1746.65586893</v>
      </c>
      <c r="I21" s="0" t="n">
        <f aca="false">I19*I20</f>
        <v>1711.65755580195</v>
      </c>
      <c r="J21" s="0" t="n">
        <f aca="false">J19*J20</f>
        <v>1668.35123408737</v>
      </c>
      <c r="K21" s="0" t="n">
        <f aca="false">K19*K20</f>
        <v>1610.92867259287</v>
      </c>
      <c r="L21" s="0" t="n">
        <f aca="false">L19*L20</f>
        <v>1540.63569457517</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9</v>
      </c>
    </row>
    <row r="28" customFormat="false" ht="15" hidden="false" customHeight="false" outlineLevel="0" collapsed="false">
      <c r="A28" s="0" t="s">
        <v>114</v>
      </c>
      <c r="B28" s="4" t="n">
        <f aca="false">Assumptions!$B$21</f>
        <v>2.5</v>
      </c>
    </row>
    <row r="29" customFormat="false" ht="15" hidden="false" customHeight="false" outlineLevel="0" collapsed="false">
      <c r="A29" s="0" t="s">
        <v>115</v>
      </c>
      <c r="B29" s="4" t="n">
        <f aca="false">Assumptions!$B$22</f>
        <v>20</v>
      </c>
    </row>
    <row r="30" customFormat="false" ht="15" hidden="false" customHeight="false" outlineLevel="0" collapsed="false">
      <c r="A30" s="0" t="s">
        <v>136</v>
      </c>
      <c r="B30" s="0" t="n">
        <f aca="false">SUM(C21:L21)</f>
        <v>16942.3008593594</v>
      </c>
    </row>
    <row r="31" customFormat="false" ht="15" hidden="false" customHeight="false" outlineLevel="0" collapsed="false">
      <c r="A31" s="0" t="s">
        <v>137</v>
      </c>
      <c r="B31" s="0" t="n">
        <f aca="false">L19</f>
        <v>3647.24497911725</v>
      </c>
    </row>
    <row r="32" customFormat="false" ht="15" hidden="false" customHeight="false" outlineLevel="0" collapsed="false">
      <c r="A32" s="0" t="s">
        <v>138</v>
      </c>
      <c r="B32" s="0" t="n">
        <f aca="false">IF(B27&gt;B28,B31*(1+B28/100)/((B27-B28)/100),B31*B29)</f>
        <v>57514.2477476182</v>
      </c>
    </row>
    <row r="33" customFormat="false" ht="15" hidden="false" customHeight="false" outlineLevel="0" collapsed="false">
      <c r="A33" s="0" t="s">
        <v>139</v>
      </c>
      <c r="B33" s="0" t="n">
        <f aca="false">B31*B29</f>
        <v>72944.8995823451</v>
      </c>
    </row>
    <row r="34" customFormat="false" ht="15" hidden="false" customHeight="false" outlineLevel="0" collapsed="false">
      <c r="A34" s="0" t="s">
        <v>140</v>
      </c>
      <c r="B34" s="0" t="n">
        <f aca="false">MAX(0,MIN(B32,B33))</f>
        <v>57514.2477476182</v>
      </c>
    </row>
    <row r="35" customFormat="false" ht="15" hidden="false" customHeight="false" outlineLevel="0" collapsed="false">
      <c r="A35" s="0" t="s">
        <v>141</v>
      </c>
      <c r="B35" s="0" t="n">
        <f aca="false">B34/(1+B27/100)^L4</f>
        <v>24294.63979907</v>
      </c>
    </row>
    <row r="36" customFormat="false" ht="15" hidden="false" customHeight="false" outlineLevel="0" collapsed="false">
      <c r="A36" s="0" t="s">
        <v>142</v>
      </c>
      <c r="B36" s="0" t="n">
        <f aca="false">B30+B35</f>
        <v>41236.9406584294</v>
      </c>
    </row>
    <row r="37" customFormat="false" ht="15" hidden="false" customHeight="false" outlineLevel="0" collapsed="false">
      <c r="A37" s="0" t="s">
        <v>143</v>
      </c>
      <c r="B37" s="0" t="n">
        <f aca="false">B36+Assumptions!$B$5-Assumptions!$B$4</f>
        <v>49552.4406584294</v>
      </c>
    </row>
    <row r="38" customFormat="false" ht="15" hidden="false" customHeight="false" outlineLevel="0" collapsed="false">
      <c r="A38" s="0" t="s">
        <v>144</v>
      </c>
      <c r="B38" s="0" t="n">
        <f aca="false">B37/Assumptions!$B$3*Assumptions!$B$10</f>
        <v>138.685812086284</v>
      </c>
    </row>
    <row r="39" customFormat="false" ht="15" hidden="false" customHeight="false" outlineLevel="0" collapsed="false">
      <c r="A39" s="0" t="s">
        <v>145</v>
      </c>
      <c r="B39" s="4" t="n">
        <f aca="false">B38/Assumptions!$B$2-1</f>
        <v>-0.665648130171209</v>
      </c>
    </row>
    <row r="41" customFormat="false" ht="15" hidden="false" customHeight="false" outlineLevel="0" collapsed="false">
      <c r="A41" s="0" t="s">
        <v>146</v>
      </c>
      <c r="B41" s="0" t="n">
        <f aca="false">SUMPRODUCT(-C10:L10/(1+$B$27/100)^C4:L4)</f>
        <v>10492.8176181137</v>
      </c>
    </row>
    <row r="42" customFormat="false" ht="15" hidden="false" customHeight="false" outlineLevel="0" collapsed="false">
      <c r="A42" s="0" t="s">
        <v>147</v>
      </c>
      <c r="B42" s="0" t="n">
        <f aca="false">IF(B27&gt;B28,-L10*(1+B28/100)/((B27-B28)/100),-L10*20)/(1+B27/100)^L4</f>
        <v>11768.2231574343</v>
      </c>
    </row>
    <row r="43" customFormat="false" ht="15" hidden="false" customHeight="false" outlineLevel="0" collapsed="false">
      <c r="A43" s="0" t="s">
        <v>148</v>
      </c>
      <c r="B43" s="0" t="n">
        <f aca="false">(B37+B41+B42)/Assumptions!$B$3*Assumptions!$B$10</f>
        <v>200.989312717541</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29907.4088287615</v>
      </c>
    </row>
    <row r="47" customFormat="false" ht="15" hidden="false" customHeight="false" outlineLevel="0" collapsed="false">
      <c r="A47" s="0" t="s">
        <v>150</v>
      </c>
      <c r="B47" s="0" t="n">
        <f aca="false">(SUMPRODUCT(C19:L19/(1+B45/100)^C4:L4)+B46/(1+B45/100)^L4+Assumptions!$B$5-Assumptions!$B$4)/Assumptions!$B$3*Assumptions!$B$10</f>
        <v>79.777118211719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17.5</v>
      </c>
      <c r="D5" s="4" t="n">
        <f aca="false">Assumptions!D27</f>
        <v>13.5</v>
      </c>
      <c r="E5" s="4" t="n">
        <f aca="false">Assumptions!E27</f>
        <v>12</v>
      </c>
      <c r="F5" s="4" t="n">
        <f aca="false">Assumptions!F27</f>
        <v>11</v>
      </c>
      <c r="G5" s="4" t="n">
        <f aca="false">Assumptions!G27</f>
        <v>10</v>
      </c>
      <c r="H5" s="4" t="n">
        <f aca="false">Assumptions!H27</f>
        <v>9</v>
      </c>
      <c r="I5" s="4" t="n">
        <f aca="false">Assumptions!I27</f>
        <v>8</v>
      </c>
      <c r="J5" s="4" t="n">
        <f aca="false">Assumptions!J27</f>
        <v>7</v>
      </c>
      <c r="K5" s="4" t="n">
        <f aca="false">Assumptions!K27</f>
        <v>6</v>
      </c>
      <c r="L5" s="4" t="n">
        <f aca="false">Assumptions!L27</f>
        <v>5</v>
      </c>
    </row>
    <row r="6" customFormat="false" ht="15" hidden="false" customHeight="false" outlineLevel="0" collapsed="false">
      <c r="A6" s="0" t="s">
        <v>37</v>
      </c>
      <c r="B6" s="3" t="n">
        <v>10064.7</v>
      </c>
      <c r="C6" s="0" t="n">
        <f aca="false">B6*(1+C5/100)</f>
        <v>11826.0225</v>
      </c>
      <c r="D6" s="0" t="n">
        <f aca="false">C6*(1+D5/100)</f>
        <v>13422.5355375</v>
      </c>
      <c r="E6" s="0" t="n">
        <f aca="false">D6*(1+E5/100)</f>
        <v>15033.239802</v>
      </c>
      <c r="F6" s="0" t="n">
        <f aca="false">E6*(1+F5/100)</f>
        <v>16686.89618022</v>
      </c>
      <c r="G6" s="0" t="n">
        <f aca="false">F6*(1+G5/100)</f>
        <v>18355.585798242</v>
      </c>
      <c r="H6" s="0" t="n">
        <f aca="false">G6*(1+H5/100)</f>
        <v>20007.5885200838</v>
      </c>
      <c r="I6" s="0" t="n">
        <f aca="false">H6*(1+I5/100)</f>
        <v>21608.1956016905</v>
      </c>
      <c r="J6" s="0" t="n">
        <f aca="false">I6*(1+J5/100)</f>
        <v>23120.7692938088</v>
      </c>
      <c r="K6" s="0" t="n">
        <f aca="false">J6*(1+K5/100)</f>
        <v>24508.0154514374</v>
      </c>
      <c r="L6" s="0" t="n">
        <f aca="false">K6*(1+L5/100)</f>
        <v>25733.4162240092</v>
      </c>
    </row>
    <row r="7" customFormat="false" ht="15" hidden="false" customHeight="false" outlineLevel="0" collapsed="false">
      <c r="A7" s="0" t="s">
        <v>107</v>
      </c>
      <c r="C7" s="4" t="n">
        <f aca="false">Assumptions!C28</f>
        <v>45.5</v>
      </c>
      <c r="D7" s="4" t="n">
        <f aca="false">Assumptions!D28</f>
        <v>46.2</v>
      </c>
      <c r="E7" s="4" t="n">
        <f aca="false">Assumptions!E28</f>
        <v>46.8</v>
      </c>
      <c r="F7" s="4" t="n">
        <f aca="false">Assumptions!F28</f>
        <v>47.3</v>
      </c>
      <c r="G7" s="4" t="n">
        <f aca="false">Assumptions!G28</f>
        <v>47.7</v>
      </c>
      <c r="H7" s="4" t="n">
        <f aca="false">Assumptions!H28</f>
        <v>48</v>
      </c>
      <c r="I7" s="4" t="n">
        <f aca="false">Assumptions!I28</f>
        <v>48</v>
      </c>
      <c r="J7" s="4" t="n">
        <f aca="false">Assumptions!J28</f>
        <v>48</v>
      </c>
      <c r="K7" s="4" t="n">
        <f aca="false">Assumptions!K28</f>
        <v>48</v>
      </c>
      <c r="L7" s="4" t="n">
        <f aca="false">Assumptions!L28</f>
        <v>48</v>
      </c>
    </row>
    <row r="8" customFormat="false" ht="15" hidden="false" customHeight="false" outlineLevel="0" collapsed="false">
      <c r="A8" s="0" t="s">
        <v>43</v>
      </c>
      <c r="C8" s="0" t="n">
        <f aca="false">C6*C7/100</f>
        <v>5380.8402375</v>
      </c>
      <c r="D8" s="0" t="n">
        <f aca="false">D6*D7/100</f>
        <v>6201.211418325</v>
      </c>
      <c r="E8" s="0" t="n">
        <f aca="false">E6*E7/100</f>
        <v>7035.556227336</v>
      </c>
      <c r="F8" s="0" t="n">
        <f aca="false">F6*F7/100</f>
        <v>7892.90189324406</v>
      </c>
      <c r="G8" s="0" t="n">
        <f aca="false">G6*G7/100</f>
        <v>8755.61442576144</v>
      </c>
      <c r="H8" s="0" t="n">
        <f aca="false">H6*H7/100</f>
        <v>9603.64248964022</v>
      </c>
      <c r="I8" s="0" t="n">
        <f aca="false">I6*I7/100</f>
        <v>10371.9338888114</v>
      </c>
      <c r="J8" s="0" t="n">
        <f aca="false">J6*J7/100</f>
        <v>11097.9692610282</v>
      </c>
      <c r="K8" s="0" t="n">
        <f aca="false">K6*K7/100</f>
        <v>11763.8474166899</v>
      </c>
      <c r="L8" s="0" t="n">
        <f aca="false">L6*L7/100</f>
        <v>12352.0397875244</v>
      </c>
    </row>
    <row r="9" customFormat="false" ht="15" hidden="false" customHeight="false" outlineLevel="0" collapsed="false">
      <c r="A9" s="0" t="s">
        <v>108</v>
      </c>
      <c r="C9" s="4" t="n">
        <f aca="false">Assumptions!C29</f>
        <v>11.5</v>
      </c>
      <c r="D9" s="4" t="n">
        <f aca="false">Assumptions!D29</f>
        <v>11</v>
      </c>
      <c r="E9" s="4" t="n">
        <f aca="false">Assumptions!E29</f>
        <v>10.6</v>
      </c>
      <c r="F9" s="4" t="n">
        <f aca="false">Assumptions!F29</f>
        <v>10.2</v>
      </c>
      <c r="G9" s="4" t="n">
        <f aca="false">Assumptions!G29</f>
        <v>9.8</v>
      </c>
      <c r="H9" s="4" t="n">
        <f aca="false">Assumptions!H29</f>
        <v>9.4</v>
      </c>
      <c r="I9" s="4" t="n">
        <f aca="false">Assumptions!I29</f>
        <v>9</v>
      </c>
      <c r="J9" s="4" t="n">
        <f aca="false">Assumptions!J29</f>
        <v>8.7</v>
      </c>
      <c r="K9" s="4" t="n">
        <f aca="false">Assumptions!K29</f>
        <v>8.4</v>
      </c>
      <c r="L9" s="4" t="n">
        <f aca="false">Assumptions!L29</f>
        <v>8</v>
      </c>
    </row>
    <row r="10" customFormat="false" ht="15" hidden="false" customHeight="false" outlineLevel="0" collapsed="false">
      <c r="A10" s="0" t="s">
        <v>123</v>
      </c>
      <c r="C10" s="0" t="n">
        <f aca="false">-C6*C9/100</f>
        <v>-1359.9925875</v>
      </c>
      <c r="D10" s="0" t="n">
        <f aca="false">-D6*D9/100</f>
        <v>-1476.478909125</v>
      </c>
      <c r="E10" s="0" t="n">
        <f aca="false">-E6*E9/100</f>
        <v>-1593.523419012</v>
      </c>
      <c r="F10" s="0" t="n">
        <f aca="false">-F6*F9/100</f>
        <v>-1702.06341038244</v>
      </c>
      <c r="G10" s="0" t="n">
        <f aca="false">-G6*G9/100</f>
        <v>-1798.84740822772</v>
      </c>
      <c r="H10" s="0" t="n">
        <f aca="false">-H6*H9/100</f>
        <v>-1880.71332088788</v>
      </c>
      <c r="I10" s="0" t="n">
        <f aca="false">-I6*I9/100</f>
        <v>-1944.73760415214</v>
      </c>
      <c r="J10" s="0" t="n">
        <f aca="false">-J6*J9/100</f>
        <v>-2011.50692856137</v>
      </c>
      <c r="K10" s="0" t="n">
        <f aca="false">-K6*K9/100</f>
        <v>-2058.67329792074</v>
      </c>
      <c r="L10" s="0" t="n">
        <f aca="false">-L6*L9/100</f>
        <v>-2058.67329792074</v>
      </c>
    </row>
    <row r="11" customFormat="false" ht="15" hidden="false" customHeight="false" outlineLevel="0" collapsed="false">
      <c r="A11" s="0" t="s">
        <v>124</v>
      </c>
      <c r="C11" s="0" t="n">
        <f aca="false">C8+C10+C24</f>
        <v>4020.84765</v>
      </c>
      <c r="D11" s="0" t="n">
        <f aca="false">D8+D10+D24</f>
        <v>4724.7325092</v>
      </c>
      <c r="E11" s="0" t="n">
        <f aca="false">E8+E10+E24</f>
        <v>5442.032808324</v>
      </c>
      <c r="F11" s="0" t="n">
        <f aca="false">F8+F10+F24</f>
        <v>6190.83848286162</v>
      </c>
      <c r="G11" s="0" t="n">
        <f aca="false">G8+G10+G24</f>
        <v>6956.76701753372</v>
      </c>
      <c r="H11" s="0" t="n">
        <f aca="false">H8+H10+H24</f>
        <v>7722.92916875234</v>
      </c>
      <c r="I11" s="0" t="n">
        <f aca="false">I8+I10+I24</f>
        <v>8427.19628465929</v>
      </c>
      <c r="J11" s="0" t="n">
        <f aca="false">J8+J10+J24</f>
        <v>9086.46233246687</v>
      </c>
      <c r="K11" s="0" t="n">
        <f aca="false">K8+K10+K24</f>
        <v>9705.1741187692</v>
      </c>
      <c r="L11" s="0" t="n">
        <f aca="false">L8+L10+L24</f>
        <v>10293.3664896037</v>
      </c>
    </row>
    <row r="12" customFormat="false" ht="15" hidden="false" customHeight="false" outlineLevel="0" collapsed="false">
      <c r="A12" s="0" t="s">
        <v>125</v>
      </c>
      <c r="C12" s="4" t="n">
        <f aca="false">-C6*Assumptions!C31/100</f>
        <v>-733.213395</v>
      </c>
      <c r="D12" s="4" t="n">
        <f aca="false">-D6*Assumptions!D31/100</f>
        <v>-832.197203325</v>
      </c>
      <c r="E12" s="4" t="n">
        <f aca="false">-E6*Assumptions!E31/100</f>
        <v>-917.027627922</v>
      </c>
      <c r="F12" s="4" t="n">
        <f aca="false">-F6*Assumptions!F31/100</f>
        <v>-1017.90066699342</v>
      </c>
      <c r="G12" s="4" t="n">
        <f aca="false">-G6*Assumptions!G31/100</f>
        <v>-1101.33514789452</v>
      </c>
      <c r="H12" s="4" t="n">
        <f aca="false">-H6*Assumptions!H31/100</f>
        <v>-1200.45531120503</v>
      </c>
      <c r="I12" s="4" t="n">
        <f aca="false">-I6*Assumptions!I31/100</f>
        <v>-1296.49173610143</v>
      </c>
      <c r="J12" s="4" t="n">
        <f aca="false">-J6*Assumptions!J31/100</f>
        <v>-1387.24615762853</v>
      </c>
      <c r="K12" s="4" t="n">
        <f aca="false">-K6*Assumptions!K31/100</f>
        <v>-1470.48092708624</v>
      </c>
      <c r="L12" s="4" t="n">
        <f aca="false">-L6*Assumptions!L31/100</f>
        <v>-1544.00497344055</v>
      </c>
    </row>
    <row r="13" customFormat="false" ht="15" hidden="false" customHeight="false" outlineLevel="0" collapsed="false">
      <c r="A13" s="0" t="s">
        <v>126</v>
      </c>
      <c r="C13" s="0" t="n">
        <f aca="false">C11+C12</f>
        <v>3287.634255</v>
      </c>
      <c r="D13" s="0" t="n">
        <f aca="false">D11+D12</f>
        <v>3892.535305875</v>
      </c>
      <c r="E13" s="0" t="n">
        <f aca="false">E11+E12</f>
        <v>4525.005180402</v>
      </c>
      <c r="F13" s="0" t="n">
        <f aca="false">F11+F12</f>
        <v>5172.9378158682</v>
      </c>
      <c r="G13" s="0" t="n">
        <f aca="false">G11+G12</f>
        <v>5855.4318696392</v>
      </c>
      <c r="H13" s="0" t="n">
        <f aca="false">H11+H12</f>
        <v>6522.47385754732</v>
      </c>
      <c r="I13" s="0" t="n">
        <f aca="false">I11+I12</f>
        <v>7130.70454855787</v>
      </c>
      <c r="J13" s="0" t="n">
        <f aca="false">J11+J12</f>
        <v>7699.21617483834</v>
      </c>
      <c r="K13" s="0" t="n">
        <f aca="false">K11+K12</f>
        <v>8234.69319168295</v>
      </c>
      <c r="L13" s="0" t="n">
        <f aca="false">L11+L12</f>
        <v>8749.36151616314</v>
      </c>
    </row>
    <row r="14" customFormat="false" ht="15" hidden="false" customHeight="false" outlineLevel="0" collapsed="false">
      <c r="A14" s="0" t="s">
        <v>112</v>
      </c>
      <c r="C14" s="4" t="n">
        <f aca="false">Assumptions!C33</f>
        <v>20</v>
      </c>
      <c r="D14" s="4" t="n">
        <f aca="false">Assumptions!D33</f>
        <v>21</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127</v>
      </c>
      <c r="C15" s="0" t="n">
        <f aca="false">C13-MAX(0,C13)*C14/100</f>
        <v>2630.107404</v>
      </c>
      <c r="D15" s="0" t="n">
        <f aca="false">D13-MAX(0,D13)*D14/100</f>
        <v>3075.10289164125</v>
      </c>
      <c r="E15" s="0" t="n">
        <f aca="false">E13-MAX(0,E13)*E14/100</f>
        <v>3529.50404071356</v>
      </c>
      <c r="F15" s="0" t="n">
        <f aca="false">F13-MAX(0,F13)*F14/100</f>
        <v>4034.8914963772</v>
      </c>
      <c r="G15" s="0" t="n">
        <f aca="false">G13-MAX(0,G13)*G14/100</f>
        <v>4567.23685831858</v>
      </c>
      <c r="H15" s="0" t="n">
        <f aca="false">H13-MAX(0,H13)*H14/100</f>
        <v>5087.52960888691</v>
      </c>
      <c r="I15" s="0" t="n">
        <f aca="false">I13-MAX(0,I13)*I14/100</f>
        <v>5561.94954787513</v>
      </c>
      <c r="J15" s="0" t="n">
        <f aca="false">J13-MAX(0,J13)*J14/100</f>
        <v>6005.38861637391</v>
      </c>
      <c r="K15" s="0" t="n">
        <f aca="false">K13-MAX(0,K13)*K14/100</f>
        <v>6423.0606895127</v>
      </c>
      <c r="L15" s="0" t="n">
        <f aca="false">L13-MAX(0,L13)*L14/100</f>
        <v>6824.50198260725</v>
      </c>
    </row>
    <row r="16" customFormat="false" ht="15" hidden="false" customHeight="false" outlineLevel="0" collapsed="false">
      <c r="A16" s="0" t="s">
        <v>128</v>
      </c>
      <c r="C16" s="0" t="n">
        <f aca="false">-C12</f>
        <v>733.213395</v>
      </c>
      <c r="D16" s="0" t="n">
        <f aca="false">-D12</f>
        <v>832.197203325</v>
      </c>
      <c r="E16" s="0" t="n">
        <f aca="false">-E12</f>
        <v>917.027627922</v>
      </c>
      <c r="F16" s="0" t="n">
        <f aca="false">-F12</f>
        <v>1017.90066699342</v>
      </c>
      <c r="G16" s="0" t="n">
        <f aca="false">-G12</f>
        <v>1101.33514789452</v>
      </c>
      <c r="H16" s="0" t="n">
        <f aca="false">-H12</f>
        <v>1200.45531120503</v>
      </c>
      <c r="I16" s="0" t="n">
        <f aca="false">-I12</f>
        <v>1296.49173610143</v>
      </c>
      <c r="J16" s="0" t="n">
        <f aca="false">-J12</f>
        <v>1387.24615762853</v>
      </c>
      <c r="K16" s="0" t="n">
        <f aca="false">-K12</f>
        <v>1470.48092708624</v>
      </c>
      <c r="L16" s="0" t="n">
        <f aca="false">-L12</f>
        <v>1544.00497344055</v>
      </c>
    </row>
    <row r="17" customFormat="false" ht="15" hidden="false" customHeight="false" outlineLevel="0" collapsed="false">
      <c r="A17" s="0" t="s">
        <v>129</v>
      </c>
      <c r="C17" s="4" t="n">
        <f aca="false">-C6*Assumptions!C32/100</f>
        <v>-650.4312375</v>
      </c>
      <c r="D17" s="4" t="n">
        <f aca="false">-D6*Assumptions!D32/100</f>
        <v>-697.97184795</v>
      </c>
      <c r="E17" s="4" t="n">
        <f aca="false">-E6*Assumptions!E32/100</f>
        <v>-751.6619901</v>
      </c>
      <c r="F17" s="4" t="n">
        <f aca="false">-F6*Assumptions!F32/100</f>
        <v>-834.344809011</v>
      </c>
      <c r="G17" s="4" t="n">
        <f aca="false">-G6*Assumptions!G32/100</f>
        <v>-917.779289912101</v>
      </c>
      <c r="H17" s="4" t="n">
        <f aca="false">-H6*Assumptions!H32/100</f>
        <v>-1000.37942600419</v>
      </c>
      <c r="I17" s="4" t="n">
        <f aca="false">-I6*Assumptions!I32/100</f>
        <v>-1080.40978008452</v>
      </c>
      <c r="J17" s="4" t="n">
        <f aca="false">-J6*Assumptions!J32/100</f>
        <v>-1156.03846469044</v>
      </c>
      <c r="K17" s="4" t="n">
        <f aca="false">-K6*Assumptions!K32/100</f>
        <v>-1225.40077257187</v>
      </c>
      <c r="L17" s="4" t="n">
        <f aca="false">-L6*Assumptions!L32/100</f>
        <v>-1286.67081120046</v>
      </c>
    </row>
    <row r="18" customFormat="false" ht="15" hidden="false" customHeight="false" outlineLevel="0" collapsed="false">
      <c r="A18" s="0" t="s">
        <v>130</v>
      </c>
      <c r="C18" s="4" t="n">
        <f aca="false">(C6-B6)*Assumptions!$B$37/100</f>
        <v>-880.66125</v>
      </c>
      <c r="D18" s="4" t="n">
        <f aca="false">(D6-C6)*Assumptions!$B$37/100</f>
        <v>-798.25651875</v>
      </c>
      <c r="E18" s="4" t="n">
        <f aca="false">(E6-D6)*Assumptions!$B$37/100</f>
        <v>-805.352132250001</v>
      </c>
      <c r="F18" s="4" t="n">
        <f aca="false">(F6-E6)*Assumptions!$B$37/100</f>
        <v>-826.828189110001</v>
      </c>
      <c r="G18" s="4" t="n">
        <f aca="false">(G6-F6)*Assumptions!$B$37/100</f>
        <v>-834.344809011002</v>
      </c>
      <c r="H18" s="4" t="n">
        <f aca="false">(H6-G6)*Assumptions!$B$37/100</f>
        <v>-826.001360920891</v>
      </c>
      <c r="I18" s="4" t="n">
        <f aca="false">(I6-H6)*Assumptions!$B$37/100</f>
        <v>-800.303540803352</v>
      </c>
      <c r="J18" s="4" t="n">
        <f aca="false">(J6-I6)*Assumptions!$B$37/100</f>
        <v>-756.286846059167</v>
      </c>
      <c r="K18" s="4" t="n">
        <f aca="false">(K6-J6)*Assumptions!$B$37/100</f>
        <v>-693.623078814266</v>
      </c>
      <c r="L18" s="4" t="n">
        <f aca="false">(L6-K6)*Assumptions!$B$37/100</f>
        <v>-612.700386285935</v>
      </c>
    </row>
    <row r="19" customFormat="false" ht="15" hidden="false" customHeight="false" outlineLevel="0" collapsed="false">
      <c r="A19" s="0" t="s">
        <v>131</v>
      </c>
      <c r="C19" s="0" t="n">
        <f aca="false">C15+C16+C17+C18</f>
        <v>1832.2283115</v>
      </c>
      <c r="D19" s="0" t="n">
        <f aca="false">D15+D16+D17+D18</f>
        <v>2411.07172826625</v>
      </c>
      <c r="E19" s="0" t="n">
        <f aca="false">E15+E16+E17+E18</f>
        <v>2889.51754628556</v>
      </c>
      <c r="F19" s="0" t="n">
        <f aca="false">F15+F16+F17+F18</f>
        <v>3391.61916524962</v>
      </c>
      <c r="G19" s="0" t="n">
        <f aca="false">G15+G16+G17+G18</f>
        <v>3916.44790729</v>
      </c>
      <c r="H19" s="0" t="n">
        <f aca="false">H15+H16+H17+H18</f>
        <v>4461.60413316685</v>
      </c>
      <c r="I19" s="0" t="n">
        <f aca="false">I15+I16+I17+I18</f>
        <v>4977.72796308869</v>
      </c>
      <c r="J19" s="0" t="n">
        <f aca="false">J15+J16+J17+J18</f>
        <v>5480.30946325283</v>
      </c>
      <c r="K19" s="0" t="n">
        <f aca="false">K15+K16+K17+K18</f>
        <v>5974.51776521281</v>
      </c>
      <c r="L19" s="0" t="n">
        <f aca="false">L15+L16+L17+L18</f>
        <v>6469.1357585614</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1680.94340504587</v>
      </c>
      <c r="D21" s="0" t="n">
        <f aca="false">D19*D20</f>
        <v>2029.35083601233</v>
      </c>
      <c r="E21" s="0" t="n">
        <f aca="false">E19*E20</f>
        <v>2231.23771458829</v>
      </c>
      <c r="F21" s="0" t="n">
        <f aca="false">F19*F20</f>
        <v>2402.70852299472</v>
      </c>
      <c r="G21" s="0" t="n">
        <f aca="false">G19*G20</f>
        <v>2545.42241775024</v>
      </c>
      <c r="H21" s="0" t="n">
        <f aca="false">H19*H20</f>
        <v>2660.30877007666</v>
      </c>
      <c r="I21" s="0" t="n">
        <f aca="false">I19*I20</f>
        <v>2722.98765732368</v>
      </c>
      <c r="J21" s="0" t="n">
        <f aca="false">J19*J20</f>
        <v>2750.38252177816</v>
      </c>
      <c r="K21" s="0" t="n">
        <f aca="false">K19*K20</f>
        <v>2750.83394831763</v>
      </c>
      <c r="L21" s="0" t="n">
        <f aca="false">L19*L20</f>
        <v>2732.63285569168</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9</v>
      </c>
    </row>
    <row r="28" customFormat="false" ht="15" hidden="false" customHeight="false" outlineLevel="0" collapsed="false">
      <c r="A28" s="0" t="s">
        <v>114</v>
      </c>
      <c r="B28" s="4" t="n">
        <f aca="false">Assumptions!$B$35</f>
        <v>3</v>
      </c>
    </row>
    <row r="29" customFormat="false" ht="15" hidden="false" customHeight="false" outlineLevel="0" collapsed="false">
      <c r="A29" s="0" t="s">
        <v>115</v>
      </c>
      <c r="B29" s="4" t="n">
        <f aca="false">Assumptions!$B$36</f>
        <v>20</v>
      </c>
    </row>
    <row r="30" customFormat="false" ht="15" hidden="false" customHeight="false" outlineLevel="0" collapsed="false">
      <c r="A30" s="0" t="s">
        <v>136</v>
      </c>
      <c r="B30" s="0" t="n">
        <f aca="false">SUM(C21:L21)</f>
        <v>24506.8086495793</v>
      </c>
    </row>
    <row r="31" customFormat="false" ht="15" hidden="false" customHeight="false" outlineLevel="0" collapsed="false">
      <c r="A31" s="0" t="s">
        <v>137</v>
      </c>
      <c r="B31" s="0" t="n">
        <f aca="false">L19</f>
        <v>6469.1357585614</v>
      </c>
    </row>
    <row r="32" customFormat="false" ht="15" hidden="false" customHeight="false" outlineLevel="0" collapsed="false">
      <c r="A32" s="0" t="s">
        <v>138</v>
      </c>
      <c r="B32" s="0" t="n">
        <f aca="false">IF(B27&gt;B28,B31*(1+B28/100)/((B27-B28)/100),B31*B29)</f>
        <v>111053.497188637</v>
      </c>
    </row>
    <row r="33" customFormat="false" ht="15" hidden="false" customHeight="false" outlineLevel="0" collapsed="false">
      <c r="A33" s="0" t="s">
        <v>139</v>
      </c>
      <c r="B33" s="0" t="n">
        <f aca="false">B31*B29</f>
        <v>129382.715171228</v>
      </c>
    </row>
    <row r="34" customFormat="false" ht="15" hidden="false" customHeight="false" outlineLevel="0" collapsed="false">
      <c r="A34" s="0" t="s">
        <v>140</v>
      </c>
      <c r="B34" s="0" t="n">
        <f aca="false">MAX(0,MIN(B32,B33))</f>
        <v>111053.497188637</v>
      </c>
    </row>
    <row r="35" customFormat="false" ht="15" hidden="false" customHeight="false" outlineLevel="0" collapsed="false">
      <c r="A35" s="0" t="s">
        <v>141</v>
      </c>
      <c r="B35" s="0" t="n">
        <f aca="false">B34/(1+B27/100)^L4</f>
        <v>46910.1973560405</v>
      </c>
    </row>
    <row r="36" customFormat="false" ht="15" hidden="false" customHeight="false" outlineLevel="0" collapsed="false">
      <c r="A36" s="0" t="s">
        <v>142</v>
      </c>
      <c r="B36" s="0" t="n">
        <f aca="false">B30+B35</f>
        <v>71417.0060056197</v>
      </c>
    </row>
    <row r="37" customFormat="false" ht="15" hidden="false" customHeight="false" outlineLevel="0" collapsed="false">
      <c r="A37" s="0" t="s">
        <v>143</v>
      </c>
      <c r="B37" s="0" t="n">
        <f aca="false">B36+Assumptions!$B$5-Assumptions!$B$4</f>
        <v>79732.5060056197</v>
      </c>
    </row>
    <row r="38" customFormat="false" ht="15" hidden="false" customHeight="false" outlineLevel="0" collapsed="false">
      <c r="A38" s="0" t="s">
        <v>144</v>
      </c>
      <c r="B38" s="0" t="n">
        <f aca="false">B37/Assumptions!$B$3*Assumptions!$B$10</f>
        <v>223.152829570724</v>
      </c>
    </row>
    <row r="39" customFormat="false" ht="15" hidden="false" customHeight="false" outlineLevel="0" collapsed="false">
      <c r="A39" s="0" t="s">
        <v>145</v>
      </c>
      <c r="B39" s="4" t="n">
        <f aca="false">B38/Assumptions!$B$2-1</f>
        <v>-0.462010102532067</v>
      </c>
    </row>
    <row r="41" customFormat="false" ht="15" hidden="false" customHeight="false" outlineLevel="0" collapsed="false">
      <c r="A41" s="0" t="s">
        <v>146</v>
      </c>
      <c r="B41" s="0" t="n">
        <f aca="false">SUMPRODUCT(-C10:L10/(1+$B$27/100)^C4:L4)</f>
        <v>11108.0565537881</v>
      </c>
    </row>
    <row r="42" customFormat="false" ht="15" hidden="false" customHeight="false" outlineLevel="0" collapsed="false">
      <c r="A42" s="0" t="s">
        <v>147</v>
      </c>
      <c r="B42" s="0" t="n">
        <f aca="false">IF(B27&gt;B28,-L10*(1+B28/100)/((B27-B28)/100),-L10*20)/(1+B27/100)^L4</f>
        <v>14928.2337396098</v>
      </c>
    </row>
    <row r="43" customFormat="false" ht="15" hidden="false" customHeight="false" outlineLevel="0" collapsed="false">
      <c r="A43" s="0" t="s">
        <v>148</v>
      </c>
      <c r="B43" s="0" t="n">
        <f aca="false">(B37+B41+B42)/Assumptions!$B$3*Assumptions!$B$10</f>
        <v>296.022379790142</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55526.7485943187</v>
      </c>
    </row>
    <row r="47" customFormat="false" ht="15" hidden="false" customHeight="false" outlineLevel="0" collapsed="false">
      <c r="A47" s="0" t="s">
        <v>150</v>
      </c>
      <c r="B47" s="0" t="n">
        <f aca="false">(SUMPRODUCT(C19:L19/(1+B45/100)^C4:L4)+B46/(1+B45/100)^L4+Assumptions!$B$5-Assumptions!$B$4)/Assumptions!$B$3*Assumptions!$B$10</f>
        <v>112.321786857442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19</v>
      </c>
      <c r="D5" s="4" t="n">
        <f aca="false">Assumptions!D41</f>
        <v>16</v>
      </c>
      <c r="E5" s="4" t="n">
        <f aca="false">Assumptions!E41</f>
        <v>15</v>
      </c>
      <c r="F5" s="4" t="n">
        <f aca="false">Assumptions!F41</f>
        <v>14</v>
      </c>
      <c r="G5" s="4" t="n">
        <f aca="false">Assumptions!G41</f>
        <v>13</v>
      </c>
      <c r="H5" s="4" t="n">
        <f aca="false">Assumptions!H41</f>
        <v>12</v>
      </c>
      <c r="I5" s="4" t="n">
        <f aca="false">Assumptions!I41</f>
        <v>10</v>
      </c>
      <c r="J5" s="4" t="n">
        <f aca="false">Assumptions!J41</f>
        <v>8.5</v>
      </c>
      <c r="K5" s="4" t="n">
        <f aca="false">Assumptions!K41</f>
        <v>7</v>
      </c>
      <c r="L5" s="4" t="n">
        <f aca="false">Assumptions!L41</f>
        <v>6</v>
      </c>
    </row>
    <row r="6" customFormat="false" ht="15" hidden="false" customHeight="false" outlineLevel="0" collapsed="false">
      <c r="A6" s="0" t="s">
        <v>37</v>
      </c>
      <c r="B6" s="3" t="n">
        <v>10064.7</v>
      </c>
      <c r="C6" s="0" t="n">
        <f aca="false">B6*(1+C5/100)</f>
        <v>11976.993</v>
      </c>
      <c r="D6" s="0" t="n">
        <f aca="false">C6*(1+D5/100)</f>
        <v>13893.31188</v>
      </c>
      <c r="E6" s="0" t="n">
        <f aca="false">D6*(1+E5/100)</f>
        <v>15977.308662</v>
      </c>
      <c r="F6" s="0" t="n">
        <f aca="false">E6*(1+F5/100)</f>
        <v>18214.13187468</v>
      </c>
      <c r="G6" s="0" t="n">
        <f aca="false">F6*(1+G5/100)</f>
        <v>20581.9690183884</v>
      </c>
      <c r="H6" s="0" t="n">
        <f aca="false">G6*(1+H5/100)</f>
        <v>23051.805300595</v>
      </c>
      <c r="I6" s="0" t="n">
        <f aca="false">H6*(1+I5/100)</f>
        <v>25356.9858306545</v>
      </c>
      <c r="J6" s="0" t="n">
        <f aca="false">I6*(1+J5/100)</f>
        <v>27512.3296262601</v>
      </c>
      <c r="K6" s="0" t="n">
        <f aca="false">J6*(1+K5/100)</f>
        <v>29438.1927000984</v>
      </c>
      <c r="L6" s="0" t="n">
        <f aca="false">K6*(1+L5/100)</f>
        <v>31204.4842621043</v>
      </c>
    </row>
    <row r="7" customFormat="false" ht="15" hidden="false" customHeight="false" outlineLevel="0" collapsed="false">
      <c r="A7" s="0" t="s">
        <v>107</v>
      </c>
      <c r="C7" s="4" t="n">
        <f aca="false">Assumptions!C42</f>
        <v>46</v>
      </c>
      <c r="D7" s="4" t="n">
        <f aca="false">Assumptions!D42</f>
        <v>47</v>
      </c>
      <c r="E7" s="4" t="n">
        <f aca="false">Assumptions!E42</f>
        <v>48</v>
      </c>
      <c r="F7" s="4" t="n">
        <f aca="false">Assumptions!F42</f>
        <v>49</v>
      </c>
      <c r="G7" s="4" t="n">
        <f aca="false">Assumptions!G42</f>
        <v>49.5</v>
      </c>
      <c r="H7" s="4" t="n">
        <f aca="false">Assumptions!H42</f>
        <v>50</v>
      </c>
      <c r="I7" s="4" t="n">
        <f aca="false">Assumptions!I42</f>
        <v>50.5</v>
      </c>
      <c r="J7" s="4" t="n">
        <f aca="false">Assumptions!J42</f>
        <v>51</v>
      </c>
      <c r="K7" s="4" t="n">
        <f aca="false">Assumptions!K42</f>
        <v>51</v>
      </c>
      <c r="L7" s="4" t="n">
        <f aca="false">Assumptions!L42</f>
        <v>51</v>
      </c>
    </row>
    <row r="8" customFormat="false" ht="15" hidden="false" customHeight="false" outlineLevel="0" collapsed="false">
      <c r="A8" s="0" t="s">
        <v>43</v>
      </c>
      <c r="C8" s="0" t="n">
        <f aca="false">C6*C7/100</f>
        <v>5509.41678</v>
      </c>
      <c r="D8" s="0" t="n">
        <f aca="false">D6*D7/100</f>
        <v>6529.8565836</v>
      </c>
      <c r="E8" s="0" t="n">
        <f aca="false">E6*E7/100</f>
        <v>7669.10815776</v>
      </c>
      <c r="F8" s="0" t="n">
        <f aca="false">F6*F7/100</f>
        <v>8924.9246185932</v>
      </c>
      <c r="G8" s="0" t="n">
        <f aca="false">G6*G7/100</f>
        <v>10188.0746641023</v>
      </c>
      <c r="H8" s="0" t="n">
        <f aca="false">H6*H7/100</f>
        <v>11525.9026502975</v>
      </c>
      <c r="I8" s="0" t="n">
        <f aca="false">I6*I7/100</f>
        <v>12805.2778444805</v>
      </c>
      <c r="J8" s="0" t="n">
        <f aca="false">J6*J7/100</f>
        <v>14031.2881093927</v>
      </c>
      <c r="K8" s="0" t="n">
        <f aca="false">K6*K7/100</f>
        <v>15013.4782770502</v>
      </c>
      <c r="L8" s="0" t="n">
        <f aca="false">L6*L7/100</f>
        <v>15914.2869736732</v>
      </c>
    </row>
    <row r="9" customFormat="false" ht="15" hidden="false" customHeight="false" outlineLevel="0" collapsed="false">
      <c r="A9" s="0" t="s">
        <v>108</v>
      </c>
      <c r="C9" s="4" t="n">
        <f aca="false">Assumptions!C43</f>
        <v>11</v>
      </c>
      <c r="D9" s="4" t="n">
        <f aca="false">Assumptions!D43</f>
        <v>10.5</v>
      </c>
      <c r="E9" s="4" t="n">
        <f aca="false">Assumptions!E43</f>
        <v>10</v>
      </c>
      <c r="F9" s="4" t="n">
        <f aca="false">Assumptions!F43</f>
        <v>9.5</v>
      </c>
      <c r="G9" s="4" t="n">
        <f aca="false">Assumptions!G43</f>
        <v>9</v>
      </c>
      <c r="H9" s="4" t="n">
        <f aca="false">Assumptions!H43</f>
        <v>8.5</v>
      </c>
      <c r="I9" s="4" t="n">
        <f aca="false">Assumptions!I43</f>
        <v>8</v>
      </c>
      <c r="J9" s="4" t="n">
        <f aca="false">Assumptions!J43</f>
        <v>7.5</v>
      </c>
      <c r="K9" s="4" t="n">
        <f aca="false">Assumptions!K43</f>
        <v>7.2</v>
      </c>
      <c r="L9" s="4" t="n">
        <f aca="false">Assumptions!L43</f>
        <v>7</v>
      </c>
    </row>
    <row r="10" customFormat="false" ht="15" hidden="false" customHeight="false" outlineLevel="0" collapsed="false">
      <c r="A10" s="0" t="s">
        <v>123</v>
      </c>
      <c r="C10" s="0" t="n">
        <f aca="false">-C6*C9/100</f>
        <v>-1317.46923</v>
      </c>
      <c r="D10" s="0" t="n">
        <f aca="false">-D6*D9/100</f>
        <v>-1458.7977474</v>
      </c>
      <c r="E10" s="0" t="n">
        <f aca="false">-E6*E9/100</f>
        <v>-1597.7308662</v>
      </c>
      <c r="F10" s="0" t="n">
        <f aca="false">-F6*F9/100</f>
        <v>-1730.3425280946</v>
      </c>
      <c r="G10" s="0" t="n">
        <f aca="false">-G6*G9/100</f>
        <v>-1852.37721165496</v>
      </c>
      <c r="H10" s="0" t="n">
        <f aca="false">-H6*H9/100</f>
        <v>-1959.40345055058</v>
      </c>
      <c r="I10" s="0" t="n">
        <f aca="false">-I6*I9/100</f>
        <v>-2028.55886645236</v>
      </c>
      <c r="J10" s="0" t="n">
        <f aca="false">-J6*J9/100</f>
        <v>-2063.42472196951</v>
      </c>
      <c r="K10" s="0" t="n">
        <f aca="false">-K6*K9/100</f>
        <v>-2119.54987440708</v>
      </c>
      <c r="L10" s="0" t="n">
        <f aca="false">-L6*L9/100</f>
        <v>-2184.3138983473</v>
      </c>
    </row>
    <row r="11" customFormat="false" ht="15" hidden="false" customHeight="false" outlineLevel="0" collapsed="false">
      <c r="A11" s="0" t="s">
        <v>124</v>
      </c>
      <c r="C11" s="0" t="n">
        <f aca="false">C8+C10+C24</f>
        <v>4191.94755</v>
      </c>
      <c r="D11" s="0" t="n">
        <f aca="false">D8+D10+D24</f>
        <v>5071.0588362</v>
      </c>
      <c r="E11" s="0" t="n">
        <f aca="false">E8+E10+E24</f>
        <v>6071.37729156</v>
      </c>
      <c r="F11" s="0" t="n">
        <f aca="false">F8+F10+F24</f>
        <v>7194.5820904986</v>
      </c>
      <c r="G11" s="0" t="n">
        <f aca="false">G8+G10+G24</f>
        <v>8335.6974524473</v>
      </c>
      <c r="H11" s="0" t="n">
        <f aca="false">H8+H10+H24</f>
        <v>9566.49919974693</v>
      </c>
      <c r="I11" s="0" t="n">
        <f aca="false">I8+I10+I24</f>
        <v>10776.7189780282</v>
      </c>
      <c r="J11" s="0" t="n">
        <f aca="false">J8+J10+J24</f>
        <v>11967.8633874232</v>
      </c>
      <c r="K11" s="0" t="n">
        <f aca="false">K8+K10+K24</f>
        <v>12893.9284026431</v>
      </c>
      <c r="L11" s="0" t="n">
        <f aca="false">L8+L10+L24</f>
        <v>13729.9730753259</v>
      </c>
    </row>
    <row r="12" customFormat="false" ht="15" hidden="false" customHeight="false" outlineLevel="0" collapsed="false">
      <c r="A12" s="0" t="s">
        <v>125</v>
      </c>
      <c r="C12" s="4" t="n">
        <f aca="false">-C6*Assumptions!C45/100</f>
        <v>-742.573566</v>
      </c>
      <c r="D12" s="4" t="n">
        <f aca="false">-D6*Assumptions!D45/100</f>
        <v>-861.38533656</v>
      </c>
      <c r="E12" s="4" t="n">
        <f aca="false">-E6*Assumptions!E45/100</f>
        <v>-974.615828382</v>
      </c>
      <c r="F12" s="4" t="n">
        <f aca="false">-F6*Assumptions!F45/100</f>
        <v>-1111.06204435548</v>
      </c>
      <c r="G12" s="4" t="n">
        <f aca="false">-G6*Assumptions!G45/100</f>
        <v>-1234.9181411033</v>
      </c>
      <c r="H12" s="4" t="n">
        <f aca="false">-H6*Assumptions!H45/100</f>
        <v>-1383.1083180357</v>
      </c>
      <c r="I12" s="4" t="n">
        <f aca="false">-I6*Assumptions!I45/100</f>
        <v>-1521.41914983927</v>
      </c>
      <c r="J12" s="4" t="n">
        <f aca="false">-J6*Assumptions!J45/100</f>
        <v>-1650.73977757561</v>
      </c>
      <c r="K12" s="4" t="n">
        <f aca="false">-K6*Assumptions!K45/100</f>
        <v>-1766.2915620059</v>
      </c>
      <c r="L12" s="4" t="n">
        <f aca="false">-L6*Assumptions!L45/100</f>
        <v>-1872.26905572626</v>
      </c>
    </row>
    <row r="13" customFormat="false" ht="15" hidden="false" customHeight="false" outlineLevel="0" collapsed="false">
      <c r="A13" s="0" t="s">
        <v>126</v>
      </c>
      <c r="C13" s="0" t="n">
        <f aca="false">C11+C12</f>
        <v>3449.373984</v>
      </c>
      <c r="D13" s="0" t="n">
        <f aca="false">D11+D12</f>
        <v>4209.67349964</v>
      </c>
      <c r="E13" s="0" t="n">
        <f aca="false">E11+E12</f>
        <v>5096.761463178</v>
      </c>
      <c r="F13" s="0" t="n">
        <f aca="false">F11+F12</f>
        <v>6083.52004614312</v>
      </c>
      <c r="G13" s="0" t="n">
        <f aca="false">G11+G12</f>
        <v>7100.779311344</v>
      </c>
      <c r="H13" s="0" t="n">
        <f aca="false">H11+H12</f>
        <v>8183.39088171123</v>
      </c>
      <c r="I13" s="0" t="n">
        <f aca="false">I11+I12</f>
        <v>9255.2998281889</v>
      </c>
      <c r="J13" s="0" t="n">
        <f aca="false">J11+J12</f>
        <v>10317.1236098476</v>
      </c>
      <c r="K13" s="0" t="n">
        <f aca="false">K11+K12</f>
        <v>11127.6368406372</v>
      </c>
      <c r="L13" s="0" t="n">
        <f aca="false">L11+L12</f>
        <v>11857.7040195996</v>
      </c>
    </row>
    <row r="14" customFormat="false" ht="15" hidden="false" customHeight="false" outlineLevel="0" collapsed="false">
      <c r="A14" s="0" t="s">
        <v>112</v>
      </c>
      <c r="C14" s="4" t="n">
        <f aca="false">Assumptions!C47</f>
        <v>20</v>
      </c>
      <c r="D14" s="4" t="n">
        <f aca="false">Assumptions!D47</f>
        <v>21</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127</v>
      </c>
      <c r="C15" s="0" t="n">
        <f aca="false">C13-MAX(0,C13)*C14/100</f>
        <v>2759.4991872</v>
      </c>
      <c r="D15" s="0" t="n">
        <f aca="false">D13-MAX(0,D13)*D14/100</f>
        <v>3325.6420647156</v>
      </c>
      <c r="E15" s="0" t="n">
        <f aca="false">E13-MAX(0,E13)*E14/100</f>
        <v>3975.47394127884</v>
      </c>
      <c r="F15" s="0" t="n">
        <f aca="false">F13-MAX(0,F13)*F14/100</f>
        <v>4745.14563599163</v>
      </c>
      <c r="G15" s="0" t="n">
        <f aca="false">G13-MAX(0,G13)*G14/100</f>
        <v>5538.60786284832</v>
      </c>
      <c r="H15" s="0" t="n">
        <f aca="false">H13-MAX(0,H13)*H14/100</f>
        <v>6383.04488773476</v>
      </c>
      <c r="I15" s="0" t="n">
        <f aca="false">I13-MAX(0,I13)*I14/100</f>
        <v>7219.13386598734</v>
      </c>
      <c r="J15" s="0" t="n">
        <f aca="false">J13-MAX(0,J13)*J14/100</f>
        <v>8047.35641568109</v>
      </c>
      <c r="K15" s="0" t="n">
        <f aca="false">K13-MAX(0,K13)*K14/100</f>
        <v>8679.556735697</v>
      </c>
      <c r="L15" s="0" t="n">
        <f aca="false">L13-MAX(0,L13)*L14/100</f>
        <v>9249.0091352877</v>
      </c>
    </row>
    <row r="16" customFormat="false" ht="15" hidden="false" customHeight="false" outlineLevel="0" collapsed="false">
      <c r="A16" s="0" t="s">
        <v>128</v>
      </c>
      <c r="C16" s="0" t="n">
        <f aca="false">-C12</f>
        <v>742.573566</v>
      </c>
      <c r="D16" s="0" t="n">
        <f aca="false">-D12</f>
        <v>861.38533656</v>
      </c>
      <c r="E16" s="0" t="n">
        <f aca="false">-E12</f>
        <v>974.615828382</v>
      </c>
      <c r="F16" s="0" t="n">
        <f aca="false">-F12</f>
        <v>1111.06204435548</v>
      </c>
      <c r="G16" s="0" t="n">
        <f aca="false">-G12</f>
        <v>1234.9181411033</v>
      </c>
      <c r="H16" s="0" t="n">
        <f aca="false">-H12</f>
        <v>1383.1083180357</v>
      </c>
      <c r="I16" s="0" t="n">
        <f aca="false">-I12</f>
        <v>1521.41914983927</v>
      </c>
      <c r="J16" s="0" t="n">
        <f aca="false">-J12</f>
        <v>1650.73977757561</v>
      </c>
      <c r="K16" s="0" t="n">
        <f aca="false">-K12</f>
        <v>1766.2915620059</v>
      </c>
      <c r="L16" s="0" t="n">
        <f aca="false">-L12</f>
        <v>1872.26905572626</v>
      </c>
    </row>
    <row r="17" customFormat="false" ht="15" hidden="false" customHeight="false" outlineLevel="0" collapsed="false">
      <c r="A17" s="0" t="s">
        <v>129</v>
      </c>
      <c r="C17" s="4" t="n">
        <f aca="false">-C6*Assumptions!C46/100</f>
        <v>-658.734615</v>
      </c>
      <c r="D17" s="4" t="n">
        <f aca="false">-D6*Assumptions!D46/100</f>
        <v>-722.45221776</v>
      </c>
      <c r="E17" s="4" t="n">
        <f aca="false">-E6*Assumptions!E46/100</f>
        <v>-798.8654331</v>
      </c>
      <c r="F17" s="4" t="n">
        <f aca="false">-F6*Assumptions!F46/100</f>
        <v>-910.706593734</v>
      </c>
      <c r="G17" s="4" t="n">
        <f aca="false">-G6*Assumptions!G46/100</f>
        <v>-1029.09845091942</v>
      </c>
      <c r="H17" s="4" t="n">
        <f aca="false">-H6*Assumptions!H46/100</f>
        <v>-1152.59026502975</v>
      </c>
      <c r="I17" s="4" t="n">
        <f aca="false">-I6*Assumptions!I46/100</f>
        <v>-1267.84929153273</v>
      </c>
      <c r="J17" s="4" t="n">
        <f aca="false">-J6*Assumptions!J46/100</f>
        <v>-1375.61648131301</v>
      </c>
      <c r="K17" s="4" t="n">
        <f aca="false">-K6*Assumptions!K46/100</f>
        <v>-1471.90963500492</v>
      </c>
      <c r="L17" s="4" t="n">
        <f aca="false">-L6*Assumptions!L46/100</f>
        <v>-1560.22421310521</v>
      </c>
    </row>
    <row r="18" customFormat="false" ht="15" hidden="false" customHeight="false" outlineLevel="0" collapsed="false">
      <c r="A18" s="0" t="s">
        <v>130</v>
      </c>
      <c r="C18" s="4" t="n">
        <f aca="false">(C6-B6)*Assumptions!$B$51/100</f>
        <v>-956.1465</v>
      </c>
      <c r="D18" s="4" t="n">
        <f aca="false">(D6-C6)*Assumptions!$B$51/100</f>
        <v>-958.159439999999</v>
      </c>
      <c r="E18" s="4" t="n">
        <f aca="false">(E6-D6)*Assumptions!$B$51/100</f>
        <v>-1041.998391</v>
      </c>
      <c r="F18" s="4" t="n">
        <f aca="false">(F6-E6)*Assumptions!$B$51/100</f>
        <v>-1118.41160634</v>
      </c>
      <c r="G18" s="4" t="n">
        <f aca="false">(G6-F6)*Assumptions!$B$51/100</f>
        <v>-1183.9185718542</v>
      </c>
      <c r="H18" s="4" t="n">
        <f aca="false">(H6-G6)*Assumptions!$B$51/100</f>
        <v>-1234.9181411033</v>
      </c>
      <c r="I18" s="4" t="n">
        <f aca="false">(I6-H6)*Assumptions!$B$51/100</f>
        <v>-1152.59026502975</v>
      </c>
      <c r="J18" s="4" t="n">
        <f aca="false">(J6-I6)*Assumptions!$B$51/100</f>
        <v>-1077.67189780282</v>
      </c>
      <c r="K18" s="4" t="n">
        <f aca="false">(K6-J6)*Assumptions!$B$51/100</f>
        <v>-962.931536919106</v>
      </c>
      <c r="L18" s="4" t="n">
        <f aca="false">(L6-K6)*Assumptions!$B$51/100</f>
        <v>-883.145781002952</v>
      </c>
    </row>
    <row r="19" customFormat="false" ht="15" hidden="false" customHeight="false" outlineLevel="0" collapsed="false">
      <c r="A19" s="0" t="s">
        <v>131</v>
      </c>
      <c r="C19" s="0" t="n">
        <f aca="false">C15+C16+C17+C18</f>
        <v>1887.1916382</v>
      </c>
      <c r="D19" s="0" t="n">
        <f aca="false">D15+D16+D17+D18</f>
        <v>2506.4157435156</v>
      </c>
      <c r="E19" s="0" t="n">
        <f aca="false">E15+E16+E17+E18</f>
        <v>3109.22594556084</v>
      </c>
      <c r="F19" s="0" t="n">
        <f aca="false">F15+F16+F17+F18</f>
        <v>3827.08948027311</v>
      </c>
      <c r="G19" s="0" t="n">
        <f aca="false">G15+G16+G17+G18</f>
        <v>4560.508981178</v>
      </c>
      <c r="H19" s="0" t="n">
        <f aca="false">H15+H16+H17+H18</f>
        <v>5378.6447996374</v>
      </c>
      <c r="I19" s="0" t="n">
        <f aca="false">I15+I16+I17+I18</f>
        <v>6320.11345926413</v>
      </c>
      <c r="J19" s="0" t="n">
        <f aca="false">J15+J16+J17+J18</f>
        <v>7244.80781414088</v>
      </c>
      <c r="K19" s="0" t="n">
        <f aca="false">K15+K16+K17+K18</f>
        <v>8011.00712577888</v>
      </c>
      <c r="L19" s="0" t="n">
        <f aca="false">L15+L16+L17+L18</f>
        <v>8677.90819690579</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1731.36847541284</v>
      </c>
      <c r="D21" s="0" t="n">
        <f aca="false">D19*D20</f>
        <v>2109.59998612541</v>
      </c>
      <c r="E21" s="0" t="n">
        <f aca="false">E19*E20</f>
        <v>2400.89291093932</v>
      </c>
      <c r="F21" s="0" t="n">
        <f aca="false">F19*F20</f>
        <v>2711.20667282787</v>
      </c>
      <c r="G21" s="0" t="n">
        <f aca="false">G19*G20</f>
        <v>2964.01792436307</v>
      </c>
      <c r="H21" s="0" t="n">
        <f aca="false">H19*H20</f>
        <v>3207.11015691259</v>
      </c>
      <c r="I21" s="0" t="n">
        <f aca="false">I19*I20</f>
        <v>3457.31849351264</v>
      </c>
      <c r="J21" s="0" t="n">
        <f aca="false">J19*J20</f>
        <v>3635.92474462708</v>
      </c>
      <c r="K21" s="0" t="n">
        <f aca="false">K19*K20</f>
        <v>3688.49022261163</v>
      </c>
      <c r="L21" s="0" t="n">
        <f aca="false">L19*L20</f>
        <v>3665.64220362169</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9</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20</v>
      </c>
    </row>
    <row r="30" customFormat="false" ht="15" hidden="false" customHeight="false" outlineLevel="0" collapsed="false">
      <c r="A30" s="0" t="s">
        <v>136</v>
      </c>
      <c r="B30" s="0" t="n">
        <f aca="false">SUM(C21:L21)</f>
        <v>29571.5717909542</v>
      </c>
    </row>
    <row r="31" customFormat="false" ht="15" hidden="false" customHeight="false" outlineLevel="0" collapsed="false">
      <c r="A31" s="0" t="s">
        <v>137</v>
      </c>
      <c r="B31" s="0" t="n">
        <f aca="false">L19</f>
        <v>8677.90819690579</v>
      </c>
    </row>
    <row r="32" customFormat="false" ht="15" hidden="false" customHeight="false" outlineLevel="0" collapsed="false">
      <c r="A32" s="0" t="s">
        <v>138</v>
      </c>
      <c r="B32" s="0" t="n">
        <f aca="false">IF(B27&gt;B28,B31*(1+B28/100)/((B27-B28)/100),B31*B29)</f>
        <v>148970.757380216</v>
      </c>
    </row>
    <row r="33" customFormat="false" ht="15" hidden="false" customHeight="false" outlineLevel="0" collapsed="false">
      <c r="A33" s="0" t="s">
        <v>139</v>
      </c>
      <c r="B33" s="0" t="n">
        <f aca="false">B31*B29</f>
        <v>173558.163938116</v>
      </c>
    </row>
    <row r="34" customFormat="false" ht="15" hidden="false" customHeight="false" outlineLevel="0" collapsed="false">
      <c r="A34" s="0" t="s">
        <v>140</v>
      </c>
      <c r="B34" s="0" t="n">
        <f aca="false">MAX(0,MIN(B32,B33))</f>
        <v>148970.757380216</v>
      </c>
    </row>
    <row r="35" customFormat="false" ht="15" hidden="false" customHeight="false" outlineLevel="0" collapsed="false">
      <c r="A35" s="0" t="s">
        <v>141</v>
      </c>
      <c r="B35" s="0" t="n">
        <f aca="false">B34/(1+B27/100)^L4</f>
        <v>62926.857828839</v>
      </c>
    </row>
    <row r="36" customFormat="false" ht="15" hidden="false" customHeight="false" outlineLevel="0" collapsed="false">
      <c r="A36" s="0" t="s">
        <v>142</v>
      </c>
      <c r="B36" s="0" t="n">
        <f aca="false">B30+B35</f>
        <v>92498.4296197931</v>
      </c>
    </row>
    <row r="37" customFormat="false" ht="15" hidden="false" customHeight="false" outlineLevel="0" collapsed="false">
      <c r="A37" s="0" t="s">
        <v>143</v>
      </c>
      <c r="B37" s="0" t="n">
        <f aca="false">B36+Assumptions!$B$5-Assumptions!$B$4</f>
        <v>100813.929619793</v>
      </c>
    </row>
    <row r="38" customFormat="false" ht="15" hidden="false" customHeight="false" outlineLevel="0" collapsed="false">
      <c r="A38" s="0" t="s">
        <v>144</v>
      </c>
      <c r="B38" s="0" t="n">
        <f aca="false">B37/Assumptions!$B$3*Assumptions!$B$10</f>
        <v>282.154854799309</v>
      </c>
    </row>
    <row r="39" customFormat="false" ht="15" hidden="false" customHeight="false" outlineLevel="0" collapsed="false">
      <c r="A39" s="0" t="s">
        <v>145</v>
      </c>
      <c r="B39" s="4" t="n">
        <f aca="false">B38/Assumptions!$B$2-1</f>
        <v>-0.319764568096364</v>
      </c>
    </row>
    <row r="41" customFormat="false" ht="15" hidden="false" customHeight="false" outlineLevel="0" collapsed="false">
      <c r="A41" s="0" t="s">
        <v>146</v>
      </c>
      <c r="B41" s="0" t="n">
        <f aca="false">SUMPRODUCT(-C10:L10/(1+$B$27/100)^C4:L4)</f>
        <v>11312.1661379725</v>
      </c>
    </row>
    <row r="42" customFormat="false" ht="15" hidden="false" customHeight="false" outlineLevel="0" collapsed="false">
      <c r="A42" s="0" t="s">
        <v>147</v>
      </c>
      <c r="B42" s="0" t="n">
        <f aca="false">IF(B27&gt;B28,-L10*(1+B28/100)/((B27-B28)/100),-L10*20)/(1+B27/100)^L4</f>
        <v>15839.302170063</v>
      </c>
    </row>
    <row r="43" customFormat="false" ht="15" hidden="false" customHeight="false" outlineLevel="0" collapsed="false">
      <c r="A43" s="0" t="s">
        <v>148</v>
      </c>
      <c r="B43" s="0" t="n">
        <f aca="false">(B37+B41+B42)/Assumptions!$B$3*Assumptions!$B$10</f>
        <v>358.145530164648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74485.3786901081</v>
      </c>
    </row>
    <row r="47" customFormat="false" ht="15" hidden="false" customHeight="false" outlineLevel="0" collapsed="false">
      <c r="A47" s="0" t="s">
        <v>150</v>
      </c>
      <c r="B47" s="0" t="n">
        <f aca="false">(SUMPRODUCT(C19:L19/(1+B45/100)^C4:L4)+B46/(1+B45/100)^L4+Assumptions!$B$5-Assumptions!$B$4)/Assumptions!$B$3*Assumptions!$B$10</f>
        <v>135.055151445535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138.685812086284</v>
      </c>
      <c r="C4" s="0" t="n">
        <f aca="false">B4/Assumptions!$B$2-1</f>
        <v>-0.665648130171209</v>
      </c>
      <c r="D4" s="4" t="n">
        <f aca="false">Assumptions!$B$24</f>
        <v>0.2</v>
      </c>
      <c r="E4" s="4" t="n">
        <f aca="false">DCF_Bear!$B$43</f>
        <v>200.989312717541</v>
      </c>
      <c r="F4" s="4" t="n">
        <f aca="false">DCF_Bear!$B$47</f>
        <v>79.777118211719</v>
      </c>
    </row>
    <row r="5" customFormat="false" ht="15" hidden="false" customHeight="false" outlineLevel="0" collapsed="false">
      <c r="A5" s="0" t="s">
        <v>159</v>
      </c>
      <c r="B5" s="4" t="n">
        <f aca="false">DCF_Base!$B$38</f>
        <v>223.152829570724</v>
      </c>
      <c r="C5" s="0" t="n">
        <f aca="false">B5/Assumptions!$B$2-1</f>
        <v>-0.462010102532067</v>
      </c>
      <c r="D5" s="4" t="n">
        <f aca="false">Assumptions!$B$38</f>
        <v>0.5</v>
      </c>
      <c r="E5" s="4" t="n">
        <f aca="false">DCF_Base!$B$43</f>
        <v>296.022379790142</v>
      </c>
      <c r="F5" s="4" t="n">
        <f aca="false">DCF_Base!$B$47</f>
        <v>112.321786857442</v>
      </c>
    </row>
    <row r="6" customFormat="false" ht="15" hidden="false" customHeight="false" outlineLevel="0" collapsed="false">
      <c r="A6" s="0" t="s">
        <v>160</v>
      </c>
      <c r="B6" s="4" t="n">
        <f aca="false">DCF_Bull!$B$38</f>
        <v>282.154854799309</v>
      </c>
      <c r="C6" s="0" t="n">
        <f aca="false">B6/Assumptions!$B$2-1</f>
        <v>-0.319764568096364</v>
      </c>
      <c r="D6" s="4" t="n">
        <f aca="false">Assumptions!$B$52</f>
        <v>0.3</v>
      </c>
      <c r="E6" s="4" t="n">
        <f aca="false">DCF_Bull!$B$43</f>
        <v>358.145530164648</v>
      </c>
      <c r="F6" s="4" t="n">
        <f aca="false">DCF_Bull!$B$47</f>
        <v>135.055151445535</v>
      </c>
    </row>
    <row r="8" customFormat="false" ht="15" hidden="false" customHeight="false" outlineLevel="0" collapsed="false">
      <c r="A8" s="0" t="s">
        <v>161</v>
      </c>
      <c r="B8" s="0" t="n">
        <f aca="false">SUMPRODUCT(B4:B6,D4:D6)</f>
        <v>223.960033642412</v>
      </c>
    </row>
    <row r="9" customFormat="false" ht="15" hidden="false" customHeight="false" outlineLevel="0" collapsed="false">
      <c r="A9" s="0" t="s">
        <v>162</v>
      </c>
      <c r="B9" s="0" t="n">
        <f aca="false">SUMPRODUCT(E4:E6,D4:D6)</f>
        <v>295.652711487973</v>
      </c>
    </row>
    <row r="10" customFormat="false" ht="15" hidden="false" customHeight="false" outlineLevel="0" collapsed="false">
      <c r="A10" s="0" t="s">
        <v>163</v>
      </c>
      <c r="B10" s="0" t="n">
        <f aca="false">1-Assumptions!$B$2/B8</f>
        <v>-0.852071520324377</v>
      </c>
    </row>
    <row r="11" customFormat="false" ht="15" hidden="false" customHeight="false" outlineLevel="0" collapsed="false">
      <c r="A11" s="0" t="s">
        <v>164</v>
      </c>
      <c r="B11" s="0" t="n">
        <f aca="false">IF(ABS(B9-B8)&gt;0.01*ABS(B8),(Assumptions!$B$2-B8)/(B9-B8)*100,"n/a")</f>
        <v>266.177763325662</v>
      </c>
    </row>
    <row r="12" customFormat="false" ht="15" hidden="false" customHeight="false" outlineLevel="0" collapsed="false">
      <c r="A12" s="0" t="s">
        <v>165</v>
      </c>
      <c r="B12" s="0" t="n">
        <f aca="false">SUMPRODUCT(F4:F6,D4:D6)</f>
        <v>112.632862504725</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223.152829570724</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191.015263025306</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167.093727055895</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148.63775650891</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112.321786857442</v>
      </c>
      <c r="C19" s="3" t="n">
        <v>15</v>
      </c>
    </row>
    <row r="21" customFormat="false" ht="15" hidden="false" customHeight="false" outlineLevel="0" collapsed="false">
      <c r="A21" s="2" t="s">
        <v>173</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283.920164327411</v>
      </c>
      <c r="C23" s="0" t="n">
        <f aca="false">(SUMPRODUCT(DCF_Base!$C$19:$L$19/(1+$A$23/100)^DCF_Base!$C$4:$L$4)+MAX(0,MIN(IF($A$23&gt;$C$22,DCF_Base!$L$19*(1+$C$22/100)/(($A$23-$C$22)/100),DCF_Base!$L$19*DCF_Base!$B$29),DCF_Base!$L$19*DCF_Base!$B$29))/(1+$A$23/100)^DCF_Base!$L$4+Assumptions!$B$5-Assumptions!$B$4)/Assumptions!$B$3*Assumptions!$B$10</f>
        <v>283.920164327411</v>
      </c>
      <c r="D23" s="0" t="n">
        <f aca="false">(SUMPRODUCT(DCF_Base!$C$19:$L$19/(1+$A$23/100)^DCF_Base!$C$4:$L$4)+MAX(0,MIN(IF($A$23&gt;$D$22,DCF_Base!$L$19*(1+$D$22/100)/(($A$23-$D$22)/100),DCF_Base!$L$19*DCF_Base!$B$29),DCF_Base!$L$19*DCF_Base!$B$29))/(1+$A$23/100)^DCF_Base!$L$4+Assumptions!$B$5-Assumptions!$B$4)/Assumptions!$B$3*Assumptions!$B$10</f>
        <v>283.920164327411</v>
      </c>
      <c r="E23" s="0" t="n">
        <f aca="false">(SUMPRODUCT(DCF_Base!$C$19:$L$19/(1+$A$23/100)^DCF_Base!$C$4:$L$4)+MAX(0,MIN(IF($A$23&gt;$E$22,DCF_Base!$L$19*(1+$E$22/100)/(($A$23-$E$22)/100),DCF_Base!$L$19*DCF_Base!$B$29),DCF_Base!$L$19*DCF_Base!$B$29))/(1+$A$23/100)^DCF_Base!$L$4+Assumptions!$B$5-Assumptions!$B$4)/Assumptions!$B$3*Assumptions!$B$10</f>
        <v>283.920164327411</v>
      </c>
      <c r="F23" s="0" t="n">
        <f aca="false">(SUMPRODUCT(DCF_Base!$C$19:$L$19/(1+$A$23/100)^DCF_Base!$C$4:$L$4)+MAX(0,MIN(IF($A$23&gt;$F$22,DCF_Base!$L$19*(1+$F$22/100)/(($A$23-$F$22)/100),DCF_Base!$L$19*DCF_Base!$B$29),DCF_Base!$L$19*DCF_Base!$B$29))/(1+$A$23/100)^DCF_Base!$L$4+Assumptions!$B$5-Assumptions!$B$4)/Assumptions!$B$3*Assumptions!$B$10</f>
        <v>283.920164327411</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238.268217643953</v>
      </c>
      <c r="C24" s="0" t="n">
        <f aca="false">(SUMPRODUCT(DCF_Base!$C$19:$L$19/(1+$A$24/100)^DCF_Base!$C$4:$L$4)+MAX(0,MIN(IF($A$24&gt;$C$22,DCF_Base!$L$19*(1+$C$22/100)/(($A$24-$C$22)/100),DCF_Base!$L$19*DCF_Base!$B$29),DCF_Base!$L$19*DCF_Base!$B$29))/(1+$A$24/100)^DCF_Base!$L$4+Assumptions!$B$5-Assumptions!$B$4)/Assumptions!$B$3*Assumptions!$B$10</f>
        <v>251.991421476797</v>
      </c>
      <c r="D24" s="0" t="n">
        <f aca="false">(SUMPRODUCT(DCF_Base!$C$19:$L$19/(1+$A$24/100)^DCF_Base!$C$4:$L$4)+MAX(0,MIN(IF($A$24&gt;$D$22,DCF_Base!$L$19*(1+$D$22/100)/(($A$24-$D$22)/100),DCF_Base!$L$19*DCF_Base!$B$29),DCF_Base!$L$19*DCF_Base!$B$29))/(1+$A$24/100)^DCF_Base!$L$4+Assumptions!$B$5-Assumptions!$B$4)/Assumptions!$B$3*Assumptions!$B$10</f>
        <v>263.427424670833</v>
      </c>
      <c r="E24" s="0" t="n">
        <f aca="false">(SUMPRODUCT(DCF_Base!$C$19:$L$19/(1+$A$24/100)^DCF_Base!$C$4:$L$4)+MAX(0,MIN(IF($A$24&gt;$E$22,DCF_Base!$L$19*(1+$E$22/100)/(($A$24-$E$22)/100),DCF_Base!$L$19*DCF_Base!$B$29),DCF_Base!$L$19*DCF_Base!$B$29))/(1+$A$24/100)^DCF_Base!$L$4+Assumptions!$B$5-Assumptions!$B$4)/Assumptions!$B$3*Assumptions!$B$10</f>
        <v>263.427424670833</v>
      </c>
      <c r="F24" s="0" t="n">
        <f aca="false">(SUMPRODUCT(DCF_Base!$C$19:$L$19/(1+$A$24/100)^DCF_Base!$C$4:$L$4)+MAX(0,MIN(IF($A$24&gt;$F$22,DCF_Base!$L$19*(1+$F$22/100)/(($A$24-$F$22)/100),DCF_Base!$L$19*DCF_Base!$B$29),DCF_Base!$L$19*DCF_Base!$B$29))/(1+$A$24/100)^DCF_Base!$L$4+Assumptions!$B$5-Assumptions!$B$4)/Assumptions!$B$3*Assumptions!$B$10</f>
        <v>263.427424670833</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203.304430781499</v>
      </c>
      <c r="C25" s="0" t="n">
        <f aca="false">(SUMPRODUCT(DCF_Base!$C$19:$L$19/(1+$A$25/100)^DCF_Base!$C$4:$L$4)+MAX(0,MIN(IF($A$25&gt;$C$22,DCF_Base!$L$19*(1+$C$22/100)/(($A$25-$C$22)/100),DCF_Base!$L$19*DCF_Base!$B$29),DCF_Base!$L$19*DCF_Base!$B$29))/(1+$A$25/100)^DCF_Base!$L$4+Assumptions!$B$5-Assumptions!$B$4)/Assumptions!$B$3*Assumptions!$B$10</f>
        <v>212.46523022268</v>
      </c>
      <c r="D25" s="0" t="n">
        <f aca="false">(SUMPRODUCT(DCF_Base!$C$19:$L$19/(1+$A$25/100)^DCF_Base!$C$4:$L$4)+MAX(0,MIN(IF($A$25&gt;$D$22,DCF_Base!$L$19*(1+$D$22/100)/(($A$25-$D$22)/100),DCF_Base!$L$19*DCF_Base!$B$29),DCF_Base!$L$19*DCF_Base!$B$29))/(1+$A$25/100)^DCF_Base!$L$4+Assumptions!$B$5-Assumptions!$B$4)/Assumptions!$B$3*Assumptions!$B$10</f>
        <v>223.152829570724</v>
      </c>
      <c r="E25" s="0" t="n">
        <f aca="false">(SUMPRODUCT(DCF_Base!$C$19:$L$19/(1+$A$25/100)^DCF_Base!$C$4:$L$4)+MAX(0,MIN(IF($A$25&gt;$E$22,DCF_Base!$L$19*(1+$E$22/100)/(($A$25-$E$22)/100),DCF_Base!$L$19*DCF_Base!$B$29),DCF_Base!$L$19*DCF_Base!$B$29))/(1+$A$25/100)^DCF_Base!$L$4+Assumptions!$B$5-Assumptions!$B$4)/Assumptions!$B$3*Assumptions!$B$10</f>
        <v>235.783628800231</v>
      </c>
      <c r="F25" s="0" t="n">
        <f aca="false">(SUMPRODUCT(DCF_Base!$C$19:$L$19/(1+$A$25/100)^DCF_Base!$C$4:$L$4)+MAX(0,MIN(IF($A$25&gt;$F$22,DCF_Base!$L$19*(1+$F$22/100)/(($A$25-$F$22)/100),DCF_Base!$L$19*DCF_Base!$B$29),DCF_Base!$L$19*DCF_Base!$B$29))/(1+$A$25/100)^DCF_Base!$L$4+Assumptions!$B$5-Assumptions!$B$4)/Assumptions!$B$3*Assumptions!$B$10</f>
        <v>244.82218237731</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177.303570829201</v>
      </c>
      <c r="C26" s="0" t="n">
        <f aca="false">(SUMPRODUCT(DCF_Base!$C$19:$L$19/(1+$A$26/100)^DCF_Base!$C$4:$L$4)+MAX(0,MIN(IF($A$26&gt;$C$22,DCF_Base!$L$19*(1+$C$22/100)/(($A$26-$C$22)/100),DCF_Base!$L$19*DCF_Base!$B$29),DCF_Base!$L$19*DCF_Base!$B$29))/(1+$A$26/100)^DCF_Base!$L$4+Assumptions!$B$5-Assumptions!$B$4)/Assumptions!$B$3*Assumptions!$B$10</f>
        <v>183.702360520716</v>
      </c>
      <c r="D26" s="0" t="n">
        <f aca="false">(SUMPRODUCT(DCF_Base!$C$19:$L$19/(1+$A$26/100)^DCF_Base!$C$4:$L$4)+MAX(0,MIN(IF($A$26&gt;$D$22,DCF_Base!$L$19*(1+$D$22/100)/(($A$26-$D$22)/100),DCF_Base!$L$19*DCF_Base!$B$29),DCF_Base!$L$19*DCF_Base!$B$29))/(1+$A$26/100)^DCF_Base!$L$4+Assumptions!$B$5-Assumptions!$B$4)/Assumptions!$B$3*Assumptions!$B$10</f>
        <v>191.015263025306</v>
      </c>
      <c r="E26" s="0" t="n">
        <f aca="false">(SUMPRODUCT(DCF_Base!$C$19:$L$19/(1+$A$26/100)^DCF_Base!$C$4:$L$4)+MAX(0,MIN(IF($A$26&gt;$E$22,DCF_Base!$L$19*(1+$E$22/100)/(($A$26-$E$22)/100),DCF_Base!$L$19*DCF_Base!$B$29),DCF_Base!$L$19*DCF_Base!$B$29))/(1+$A$26/100)^DCF_Base!$L$4+Assumptions!$B$5-Assumptions!$B$4)/Assumptions!$B$3*Assumptions!$B$10</f>
        <v>199.453227453678</v>
      </c>
      <c r="F26" s="0" t="n">
        <f aca="false">(SUMPRODUCT(DCF_Base!$C$19:$L$19/(1+$A$26/100)^DCF_Base!$C$4:$L$4)+MAX(0,MIN(IF($A$26&gt;$F$22,DCF_Base!$L$19*(1+$F$22/100)/(($A$26-$F$22)/100),DCF_Base!$L$19*DCF_Base!$B$29),DCF_Base!$L$19*DCF_Base!$B$29))/(1+$A$26/100)^DCF_Base!$L$4+Assumptions!$B$5-Assumptions!$B$4)/Assumptions!$B$3*Assumptions!$B$10</f>
        <v>209.297519286778</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157.263264723325</v>
      </c>
      <c r="C27" s="0" t="n">
        <f aca="false">(SUMPRODUCT(DCF_Base!$C$19:$L$19/(1+$A$27/100)^DCF_Base!$C$4:$L$4)+MAX(0,MIN(IF($A$27&gt;$C$22,DCF_Base!$L$19*(1+$C$22/100)/(($A$27-$C$22)/100),DCF_Base!$L$19*DCF_Base!$B$29),DCF_Base!$L$19*DCF_Base!$B$29))/(1+$A$27/100)^DCF_Base!$L$4+Assumptions!$B$5-Assumptions!$B$4)/Assumptions!$B$3*Assumptions!$B$10</f>
        <v>161.889364644534</v>
      </c>
      <c r="D27" s="0" t="n">
        <f aca="false">(SUMPRODUCT(DCF_Base!$C$19:$L$19/(1+$A$27/100)^DCF_Base!$C$4:$L$4)+MAX(0,MIN(IF($A$27&gt;$D$22,DCF_Base!$L$19*(1+$D$22/100)/(($A$27-$D$22)/100),DCF_Base!$L$19*DCF_Base!$B$29),DCF_Base!$L$19*DCF_Base!$B$29))/(1+$A$27/100)^DCF_Base!$L$4+Assumptions!$B$5-Assumptions!$B$4)/Assumptions!$B$3*Assumptions!$B$10</f>
        <v>167.093727055895</v>
      </c>
      <c r="E27" s="0" t="n">
        <f aca="false">(SUMPRODUCT(DCF_Base!$C$19:$L$19/(1+$A$27/100)^DCF_Base!$C$4:$L$4)+MAX(0,MIN(IF($A$27&gt;$E$22,DCF_Base!$L$19*(1+$E$22/100)/(($A$27-$E$22)/100),DCF_Base!$L$19*DCF_Base!$B$29),DCF_Base!$L$19*DCF_Base!$B$29))/(1+$A$27/100)^DCF_Base!$L$4+Assumptions!$B$5-Assumptions!$B$4)/Assumptions!$B$3*Assumptions!$B$10</f>
        <v>172.992004455437</v>
      </c>
      <c r="F27" s="0" t="n">
        <f aca="false">(SUMPRODUCT(DCF_Base!$C$19:$L$19/(1+$A$27/100)^DCF_Base!$C$4:$L$4)+MAX(0,MIN(IF($A$27&gt;$F$22,DCF_Base!$L$19*(1+$F$22/100)/(($A$27-$F$22)/100),DCF_Base!$L$19*DCF_Base!$B$29),DCF_Base!$L$19*DCF_Base!$B$29))/(1+$A$27/100)^DCF_Base!$L$4+Assumptions!$B$5-Assumptions!$B$4)/Assumptions!$B$3*Assumptions!$B$10</f>
        <v>179.732892912057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2026-09-28T22:02:11Z</dcterms:created>
  <dc:creator>openpyxl</dc:creator>
  <dc:description/>
  <dc:language>en-NZ</dc:language>
  <cp:lastModifiedBy/>
  <dcterms:modified xsi:type="dcterms:W3CDTF">2026-09-28T22:02:11Z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