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<sst xmlns="http://schemas.openxmlformats.org/spreadsheetml/2006/main" count="371" uniqueCount="183">
  <si>
    <t xml:space="preserve">Ticker</t>
  </si>
  <si>
    <t xml:space="preserve">VLTO</t>
  </si>
  <si>
    <t xml:space="preserve">Company</t>
  </si>
  <si>
    <t xml:space="preserve">Veralto Corporation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</si>
  <si>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</si>
  <si>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</si>
  <si>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</si>
  <si>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</si>
  <si>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2026-10-02T20:00:54Z regular close (Yahoo chart API)</t>
  </si>
  <si>
    <t xml:space="preserve">Balance sheet date</t>
  </si>
  <si>
    <t xml:space="preserve">2026-07-03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</si>
  <si>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</si>
  <si>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</si>
  <si>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</si>
  <si>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</si>
  <si>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</si>
  <si>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</si>
  <si>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</si>
  <si>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</si>
  <si>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</si>
  <si>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</si>
  <si>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2026-10-02T21:41:08Z</t>
  </si>
  <si>
    <t xml:space="preserve">Drivers file</t>
  </si>
  <si>
    <t xml:space="preserve">VLTO_Drivers.json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</si>
  <si>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</si>
  <si>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</si>
  <si>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</si>
  <si>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Danaher-lineage compounder of recurring consumables, chemistry and software revenue: the value is in steady mid-single-digit organic growth and VES-driven margin creep, not in M&amp;A. The model therefore projects organic growth only and treats bolt-ons as NPV-neutral, so any value they create is upside to these numbers.
key_risks_to_valuation: Terminal value is ~60-70% of EV; a 1pp WACC move swings value ~15-20%.; China/high-growth municipal water funding and PQI industrial volumes drive the gap between base and bear.; Bolt-on M&amp;A (Cleanwater1 $465M pending) is excluded; overpaying would destroy value the model does not see, and accretive deals add value it does not count.; ChemTreat raw-material volatility and tariffs (with uncertain refund timing) can absorb a year of VES margin expansion.</t>
  </si>
  <si>
    <t xml:space="preserve">Data sources</t>
  </si>
  <si>
    <t xml:space="preserve">price: Yahoo Finance chart API at inputs.price_as_of; 52-week range 80.03-107.90
financials: SEC EDGAR: FY2025 10-K XBRL company facts (SBC, withholding taxes, D&amp;A, cash taxes, capex); Q2-2026 10-Q vlto-20260703.htm (balance sheet at 2026-07-03, H1-26 cash flow, diluted shares, repurchases); VLTO_Metrics.csv for FY2021-FY2025 history
qualitative: VLTO_Analysis.json (guidance as of Q2-2026 earnings, July 2026; bull/bear points; recent developments)</t>
  </si>
  <si>
    <t xml:space="preserve">Scenario narrative: bear</t>
  </si>
  <si>
    <t xml:space="preserve">FY2026 is largely booked (H1 +7.1%), but from 2027 China/high-growth municipal water funding stays broken, an industrial/consumer slowdown hits PQI coding and marking volumes, and Xylem/Ecolab/Pentair competition plus ChemTreat input-cost volatility and tariffs cap pricing. Organic growth 2-3%, margin slips to 25.5% and never recovers, cash tax drifts to 21.5%. Terminal 2% with a 15x cap. Not a solvency case: leverage is ~1x EBITDA.</t>
  </si>
  <si>
    <t xml:space="preserve">Scenario narrative: base</t>
  </si>
  <si>
    <t xml:space="preserve">Guidance year delivered: FY2026 core growth 3-4.5% with H2 acceleration to 5-6%, reported ~+7% including In-Situ and GlobalVision, adjusted operating margin +25-50bp. Thereafter Water Quality grows mid-single-digit on data-centre cooling/industrial water and regulation-driven testing while China municipal stays soft; PQI tracks packaging volumes at ~3% helped by Esko/GlobalVision software. VES productivity lifts pre-SBC EBITDA margin ~30bp/yr from 26.2% to a 28% plateau. Growth fades to 3% by year 10; terminal 2.5% at 8.5%, capped at 18x.</t>
  </si>
  <si>
    <t xml:space="preserve">Scenario narrative: bull</t>
  </si>
  <si>
    <t xml:space="preserve">Data-centre and industrial water-scarcity demand turn Water Quality into a 6-7% organic grower, PQI digital workflow (Esko, AI-augmented GlobalVision) lifts recurring mix above 62%, and ChemTreat raw-material pressure eases so pricing sticks. Margin expands ~50bp/yr toward 29.5% (Danaher-style VES compounding). Growth fades from 6.5% to 3.5%; terminal 3% with a 20x cap.</t>
  </si>
  <si>
    <t xml:space="preserve">Item</t>
  </si>
  <si>
    <t xml:space="preserve">Value</t>
  </si>
  <si>
    <t xml:space="preserve">Note</t>
  </si>
  <si>
    <t xml:space="preserve">Prior valuation_date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</si>
  <si>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</si>
  <si>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</si>
  <si>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</si>
  <si>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</si>
  <si>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</si>
  <si>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</si>
  <si>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Same-day prior build, made while the Metrics.csv quarterly labels were one quarter shifted.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</si>
  <si>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</si>
  <si>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</si>
  <si>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</si>
  <si>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</si>
  <si>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</si>
  <si>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</si>
  <si>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</si>
  <si>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</si>
  <si>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Quarterly-label fix in Metrics.csv: no driver or anchor read the mislabelled rows (FY2025 annual base; balance sheet read from the Q2-26 10-Q directly)</t>
  </si>
  <si>
    <t xml:space="preserve">Anchor refresh: price, net debt 1,260, diluted shares 244.8 re-verified against the Q2-26 10-Q -- unchanged</t>
  </si>
  <si>
    <t xml:space="preserve">Driver changes: none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</si>
  <si>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</si>
  <si>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</si>
  <si>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</si>
  <si>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</si>
  <si>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</si>
  <si>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</si>
  <si>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</si>
  <si>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</si>
  <si>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</si>
  <si>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</si>
  <si>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</si>
  <si>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</si>
  <si>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</si>
  <si>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</si>
  <si>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</si>
  <si>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</si>
  <si>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</si>
  <si>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</si>
  <si>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</si>
  <si>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</si>
  <si>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</si>
  <si>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</si>
  <si>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</si>
  <si>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</si>
  <si>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</si>
  <si>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</si>
  <si>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</si>
  <si>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</si>
  <si>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</si>
  <si>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</si>
  <si>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</si>
  <si>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</si>
  <si>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</si>
  <si>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</si>
  <si>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</si>
  <si>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</si>
  <si>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</si>
  <si>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</si>
  <si>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</si>
  <si>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</si>
  <si>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</si>
  <si>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</si>
  <si>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</si>
  <si>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</si>
  <si>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</si>
  <si>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</si>
  <si>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</si>
  <si>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</si>
  <si>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</si>
  <si>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</si>
  <si>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</si>
  <si>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</si>
  <si>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</si>
  <si>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</si>
  <si>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</si>
  <si>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</si>
  <si>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</si>
  <si>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</si>
  <si>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</si>
  <si>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</si>
  <si>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</si>
  <si>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</si>
  <si>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</si>
  <si>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</si>
  <si>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</si>
  <si>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</si>
  <si>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</si>
  <si>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</si>
  <si>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</si>
  <si>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</si>
  <si>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VLTO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</si>
  <si>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</si>
  <si>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</si>
  <si>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</si>
  <si>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</si>
  <si>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</si>
  <si>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</si>
  <si>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</si>
  <si>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</si>
  <si>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</si>
  <si>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</si>
  <si>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</si>
  <si>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</si>
  <si>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</si>
  <si>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</si>
  <si>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</si>
  <si>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</si>
  <si>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</si>
  <si>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</si>
  <si>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</si>
  <si>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</si>
  <si>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</si>
  <si>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</si>
  <si>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</si>
  <si>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</si>
  <si>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</si>
  <si>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</si>
  <si>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</si>
  <si>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</si>
  <si>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</si>
  <si>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</si>
  <si>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VLTO owner-FCF component DCF: base case (millions, USD)</t>
  </si>
  <si>
    <t xml:space="preserve">VLTO owner-FCF component DCF: bull case (millions, USD)</t>
  </si>
  <si>
    <t xml:space="preserve">VLTO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</si>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</sst>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94.68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5</v>
      </c>
    </row>
    <row r="3" customFormat="false" ht="15" hidden="false" customHeight="false" outlineLevel="0" collapsed="false">
      <c r="A3" s="0" t="s">
        <v>40</v>
      </c>
      <c r="B3" s="0" t="n">
        <v>94.68</v>
      </c>
    </row>
    <row r="4" customFormat="false" ht="15" hidden="false" customHeight="false" outlineLevel="0" collapsed="false">
      <c r="A4" s="0" t="s">
        <v>41</v>
      </c>
      <c r="B4" s="0" t="n">
        <v>60.3</v>
      </c>
    </row>
    <row r="5" customFormat="false" ht="15" hidden="false" customHeight="false" outlineLevel="0" collapsed="false">
      <c r="A5" s="0" t="s">
        <v>42</v>
      </c>
      <c r="B5" s="0" t="n">
        <v>81.04</v>
      </c>
    </row>
    <row r="6" customFormat="false" ht="15" hidden="false" customHeight="false" outlineLevel="0" collapsed="false">
      <c r="A6" s="0" t="s">
        <v>43</v>
      </c>
      <c r="B6" s="0" t="n">
        <v>101</v>
      </c>
    </row>
    <row r="7" customFormat="false" ht="15" hidden="false" customHeight="false" outlineLevel="0" collapsed="false">
      <c r="A7" s="0" t="s">
        <v>44</v>
      </c>
      <c r="B7" s="0" t="n">
        <v>81.88</v>
      </c>
    </row>
    <row r="8" customFormat="false" ht="15" hidden="false" customHeight="false" outlineLevel="0" collapsed="false">
      <c r="A8" s="0" t="s">
        <v>45</v>
      </c>
      <c r="B8" s="0" t="s">
        <v>46</v>
      </c>
    </row>
    <row r="9" customFormat="false" ht="15" hidden="false" customHeight="false" outlineLevel="0" collapsed="false">
      <c r="A9" s="0" t="s">
        <v>47</v>
      </c>
      <c r="B9" s="0" t="s">
        <v>5</v>
      </c>
    </row>
    <row r="10" customFormat="false" ht="15" hidden="false" customHeight="false" outlineLevel="0" collapsed="false">
      <c r="A10" s="0" t="s">
        <v>48</v>
      </c>
      <c r="B10" s="0" t="n">
        <v>94.68</v>
      </c>
    </row>
    <row r="11" customFormat="false" ht="15" hidden="false" customHeight="false" outlineLevel="0" collapsed="false">
      <c r="A11" s="0" t="s">
        <v>49</v>
      </c>
      <c r="B11" s="0" t="n">
        <v>60.3</v>
      </c>
    </row>
    <row r="12" customFormat="false" ht="15" hidden="false" customHeight="false" outlineLevel="0" collapsed="false">
      <c r="A12" s="0" t="s">
        <v>50</v>
      </c>
      <c r="B12" s="0" t="n">
        <v>81.04</v>
      </c>
    </row>
    <row r="13" customFormat="false" ht="15" hidden="false" customHeight="false" outlineLevel="0" collapsed="false">
      <c r="A13" s="0" t="s">
        <v>51</v>
      </c>
      <c r="B13" s="0" t="n">
        <v>101</v>
      </c>
    </row>
    <row r="14" customFormat="false" ht="15" hidden="false" customHeight="false" outlineLevel="0" collapsed="false">
      <c r="A14" s="0" t="s">
        <v>52</v>
      </c>
      <c r="B14" s="0" t="n">
        <v>81.88</v>
      </c>
    </row>
    <row r="16" customFormat="false" ht="15" hidden="false" customHeight="false" outlineLevel="0" collapsed="false">
      <c r="A16" s="2" t="s">
        <v>53</v>
      </c>
    </row>
    <row r="17" customFormat="false" ht="15" hidden="false" customHeight="false" outlineLevel="0" collapsed="false">
      <c r="A17" s="0" t="s">
        <v>54</v>
      </c>
      <c r="B17" s="0" t="n">
        <v>81.88</v>
      </c>
    </row>
    <row r="18" customFormat="false" ht="15" hidden="false" customHeight="false" outlineLevel="0" collapsed="false">
      <c r="A18" s="0" t="s">
        <v>55</v>
      </c>
      <c r="B18" s="0" t="n">
        <v>0</v>
      </c>
    </row>
    <row r="19" customFormat="false" ht="15" hidden="false" customHeight="false" outlineLevel="0" collapsed="false">
      <c r="A19" s="0" t="s">
        <v>56</v>
      </c>
      <c r="B19" s="0" t="n">
        <v>0</v>
      </c>
    </row>
    <row r="20" customFormat="false" ht="15" hidden="false" customHeight="false" outlineLevel="0" collapsed="false">
      <c r="A20" s="0" t="s">
        <v>57</v>
      </c>
      <c r="B20" s="0" t="n">
        <v>0</v>
      </c>
    </row>
    <row r="21" customFormat="false" ht="15" hidden="false" customHeight="false" outlineLevel="0" collapsed="false">
      <c r="A21" s="0" t="s">
        <v>58</v>
      </c>
      <c r="B21" s="0" t="n">
        <v>81.88</v>
      </c>
      <c r="C21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16</v>
      </c>
      <c r="AB1" s="2" t="s">
        <v>86</v>
      </c>
    </row>
    <row r="2" customFormat="false" ht="15" hidden="false" customHeight="false" outlineLevel="0" collapsed="false">
      <c r="A2" s="0" t="s">
        <v>87</v>
      </c>
      <c r="B2" s="0" t="n">
        <v>4700</v>
      </c>
      <c r="C2" s="0" t="n">
        <v>1987</v>
      </c>
      <c r="D2" s="0" t="n">
        <v>2713</v>
      </c>
      <c r="E2" s="0" t="n">
        <v>57.7234042553192</v>
      </c>
      <c r="F2" s="0" t="n">
        <v>1041</v>
      </c>
      <c r="G2" s="0" t="n">
        <v>22.1489361702128</v>
      </c>
      <c r="H2" s="0" t="n">
        <v>1147</v>
      </c>
      <c r="I2" s="0" t="n">
        <v>861</v>
      </c>
      <c r="J2" s="0" t="n">
        <v>18.3191489361702</v>
      </c>
      <c r="K2" s="0" t="n">
        <v>3.5</v>
      </c>
      <c r="L2" s="0" t="n">
        <v>896</v>
      </c>
      <c r="M2" s="0" t="n">
        <v>54</v>
      </c>
      <c r="N2" s="0" t="n">
        <v>842</v>
      </c>
      <c r="P2" s="0" t="n">
        <v>4840</v>
      </c>
      <c r="T2" s="0" t="n">
        <v>246.3</v>
      </c>
      <c r="U2" s="0" t="n">
        <v>34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88</v>
      </c>
      <c r="B3" s="0" t="n">
        <v>4870</v>
      </c>
      <c r="C3" s="0" t="n">
        <v>2110</v>
      </c>
      <c r="D3" s="0" t="n">
        <v>2760</v>
      </c>
      <c r="E3" s="0" t="n">
        <v>56.6735112936345</v>
      </c>
      <c r="F3" s="0" t="n">
        <v>1112</v>
      </c>
      <c r="G3" s="0" t="n">
        <v>22.8336755646817</v>
      </c>
      <c r="H3" s="0" t="n">
        <v>1202</v>
      </c>
      <c r="I3" s="0" t="n">
        <v>845</v>
      </c>
      <c r="J3" s="0" t="n">
        <v>17.3511293634497</v>
      </c>
      <c r="K3" s="0" t="n">
        <v>3.43</v>
      </c>
      <c r="L3" s="0" t="n">
        <v>870</v>
      </c>
      <c r="M3" s="0" t="n">
        <v>34</v>
      </c>
      <c r="N3" s="0" t="n">
        <v>836</v>
      </c>
      <c r="O3" s="0" t="n">
        <v>3240</v>
      </c>
      <c r="P3" s="0" t="n">
        <v>4825</v>
      </c>
      <c r="R3" s="0" t="n">
        <v>0</v>
      </c>
      <c r="S3" s="0" t="n">
        <v>0</v>
      </c>
      <c r="T3" s="0" t="n">
        <v>246.3</v>
      </c>
      <c r="U3" s="0" t="n">
        <v>41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89</v>
      </c>
      <c r="B4" s="0" t="n">
        <v>5021</v>
      </c>
      <c r="C4" s="0" t="n">
        <v>2120</v>
      </c>
      <c r="D4" s="0" t="n">
        <v>2901</v>
      </c>
      <c r="E4" s="0" t="n">
        <v>57.7773351921928</v>
      </c>
      <c r="F4" s="0" t="n">
        <v>1140</v>
      </c>
      <c r="G4" s="0" t="n">
        <v>22.7046405098586</v>
      </c>
      <c r="H4" s="0" t="n">
        <v>1227</v>
      </c>
      <c r="I4" s="0" t="n">
        <v>839</v>
      </c>
      <c r="J4" s="0" t="n">
        <v>16.709818761203</v>
      </c>
      <c r="K4" s="0" t="n">
        <v>3.41</v>
      </c>
      <c r="L4" s="0" t="n">
        <v>963</v>
      </c>
      <c r="M4" s="0" t="n">
        <v>54</v>
      </c>
      <c r="N4" s="0" t="n">
        <v>909</v>
      </c>
      <c r="O4" s="0" t="n">
        <v>1389</v>
      </c>
      <c r="P4" s="0" t="n">
        <v>5693</v>
      </c>
      <c r="R4" s="0" t="n">
        <v>2629</v>
      </c>
      <c r="S4" s="0" t="n">
        <v>762</v>
      </c>
      <c r="T4" s="0" t="n">
        <v>246.8</v>
      </c>
      <c r="U4" s="0" t="n">
        <v>55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90</v>
      </c>
      <c r="B5" s="0" t="n">
        <v>5193</v>
      </c>
      <c r="C5" s="0" t="n">
        <v>2088</v>
      </c>
      <c r="D5" s="0" t="n">
        <v>3105</v>
      </c>
      <c r="E5" s="0" t="n">
        <v>59.7920277296361</v>
      </c>
      <c r="F5" s="0" t="n">
        <v>1208</v>
      </c>
      <c r="G5" s="0" t="n">
        <v>23.262083574042</v>
      </c>
      <c r="H5" s="0" t="n">
        <v>1286</v>
      </c>
      <c r="I5" s="0" t="n">
        <v>833</v>
      </c>
      <c r="J5" s="0" t="n">
        <v>16.0408241864048</v>
      </c>
      <c r="K5" s="0" t="n">
        <v>3.37</v>
      </c>
      <c r="L5" s="0" t="n">
        <v>875</v>
      </c>
      <c r="M5" s="0" t="n">
        <v>55</v>
      </c>
      <c r="N5" s="0" t="n">
        <v>820</v>
      </c>
      <c r="O5" s="0" t="n">
        <v>2045</v>
      </c>
      <c r="P5" s="0" t="n">
        <v>6406</v>
      </c>
      <c r="R5" s="0" t="n">
        <v>2599</v>
      </c>
      <c r="S5" s="0" t="n">
        <v>1101</v>
      </c>
      <c r="T5" s="0" t="n">
        <v>249.6</v>
      </c>
      <c r="U5" s="0" t="n">
        <v>65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91</v>
      </c>
      <c r="B6" s="0" t="n">
        <v>5503</v>
      </c>
      <c r="C6" s="0" t="n">
        <v>2204</v>
      </c>
      <c r="D6" s="0" t="n">
        <v>3299</v>
      </c>
      <c r="E6" s="0" t="n">
        <v>59.9491186625477</v>
      </c>
      <c r="F6" s="0" t="n">
        <v>1277</v>
      </c>
      <c r="G6" s="0" t="n">
        <v>23.2055242594948</v>
      </c>
      <c r="H6" s="0" t="n">
        <v>1355</v>
      </c>
      <c r="I6" s="0" t="n">
        <v>940</v>
      </c>
      <c r="J6" s="0" t="n">
        <v>17.081591858986</v>
      </c>
      <c r="K6" s="0" t="n">
        <v>3.79</v>
      </c>
      <c r="L6" s="0" t="n">
        <v>1077</v>
      </c>
      <c r="M6" s="0" t="n">
        <v>63</v>
      </c>
      <c r="N6" s="0" t="n">
        <v>1014</v>
      </c>
      <c r="O6" s="0" t="n">
        <v>3106</v>
      </c>
      <c r="P6" s="0" t="n">
        <v>7693</v>
      </c>
      <c r="R6" s="0" t="n">
        <v>3373</v>
      </c>
      <c r="S6" s="0" t="n">
        <v>2031</v>
      </c>
      <c r="T6" s="0" t="n">
        <v>250.3</v>
      </c>
      <c r="U6" s="0" t="n">
        <v>74</v>
      </c>
      <c r="AA6" s="0" t="s">
        <v>17</v>
      </c>
      <c r="AB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92</v>
      </c>
      <c r="B1" s="2" t="s">
        <v>37</v>
      </c>
    </row>
    <row r="2" customFormat="false" ht="15" hidden="false" customHeight="false" outlineLevel="0" collapsed="false">
      <c r="A2" s="0" t="s">
        <v>93</v>
      </c>
      <c r="B2" s="3" t="n">
        <v>94.68</v>
      </c>
    </row>
    <row r="3" customFormat="false" ht="15" hidden="false" customHeight="false" outlineLevel="0" collapsed="false">
      <c r="A3" s="0" t="s">
        <v>94</v>
      </c>
      <c r="B3" s="3" t="n">
        <v>244.8</v>
      </c>
    </row>
    <row r="4" customFormat="false" ht="15" hidden="false" customHeight="false" outlineLevel="0" collapsed="false">
      <c r="A4" s="0" t="s">
        <v>95</v>
      </c>
      <c r="B4" s="3" t="n">
        <v>1260</v>
      </c>
    </row>
    <row r="5" customFormat="false" ht="15" hidden="false" customHeight="false" outlineLevel="0" collapsed="false">
      <c r="A5" s="0" t="s">
        <v>96</v>
      </c>
      <c r="B5" s="3" t="n">
        <v>0</v>
      </c>
    </row>
    <row r="6" customFormat="false" ht="15" hidden="false" customHeight="false" outlineLevel="0" collapsed="false">
      <c r="A6" s="0" t="s">
        <v>97</v>
      </c>
      <c r="B6" s="3" t="n">
        <v>15</v>
      </c>
    </row>
    <row r="7" customFormat="false" ht="15" hidden="false" customHeight="false" outlineLevel="0" collapsed="false">
      <c r="A7" s="0" t="s">
        <v>98</v>
      </c>
      <c r="B7" s="3" t="n">
        <v>5503</v>
      </c>
    </row>
    <row r="8" customFormat="false" ht="15" hidden="false" customHeight="false" outlineLevel="0" collapsed="false">
      <c r="A8" s="0" t="s">
        <v>99</v>
      </c>
      <c r="B8" s="3" t="s">
        <v>91</v>
      </c>
    </row>
    <row r="9" customFormat="false" ht="15" hidden="false" customHeight="false" outlineLevel="0" collapsed="false">
      <c r="A9" s="0" t="s">
        <v>100</v>
      </c>
      <c r="B9" s="3" t="s">
        <v>101</v>
      </c>
    </row>
    <row r="10" customFormat="false" ht="15" hidden="false" customHeight="false" outlineLevel="0" collapsed="false">
      <c r="A10" s="0" t="s">
        <v>102</v>
      </c>
      <c r="B10" s="3" t="n">
        <v>1</v>
      </c>
    </row>
    <row r="12" customFormat="false" ht="15" hidden="false" customHeight="false" outlineLevel="0" collapsed="false">
      <c r="A12" s="2" t="s">
        <v>103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111</v>
      </c>
      <c r="K12" s="2" t="s">
        <v>112</v>
      </c>
      <c r="L12" s="2" t="s">
        <v>113</v>
      </c>
    </row>
    <row r="13" customFormat="false" ht="15" hidden="false" customHeight="false" outlineLevel="0" collapsed="false">
      <c r="A13" s="0" t="s">
        <v>114</v>
      </c>
      <c r="C13" s="3" t="n">
        <v>6</v>
      </c>
      <c r="D13" s="3" t="n">
        <v>2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115</v>
      </c>
      <c r="C14" s="3" t="n">
        <v>25.8</v>
      </c>
      <c r="D14" s="3" t="n">
        <v>25.5</v>
      </c>
      <c r="E14" s="3" t="n">
        <v>25.5</v>
      </c>
      <c r="F14" s="3" t="n">
        <v>25.5</v>
      </c>
      <c r="G14" s="3" t="n">
        <v>25.5</v>
      </c>
      <c r="H14" s="3" t="n">
        <v>25.5</v>
      </c>
      <c r="I14" s="3" t="n">
        <v>25.5</v>
      </c>
      <c r="J14" s="3" t="n">
        <v>25.5</v>
      </c>
      <c r="K14" s="3" t="n">
        <v>25.5</v>
      </c>
      <c r="L14" s="3" t="n">
        <v>25.5</v>
      </c>
    </row>
    <row r="15" customFormat="false" ht="15" hidden="false" customHeight="false" outlineLevel="0" collapsed="false">
      <c r="A15" s="0" t="s">
        <v>116</v>
      </c>
      <c r="C15" s="3" t="n">
        <v>1.55</v>
      </c>
      <c r="D15" s="3" t="n">
        <v>1.55</v>
      </c>
      <c r="E15" s="3" t="n">
        <v>1.55</v>
      </c>
      <c r="F15" s="3" t="n">
        <v>1.55</v>
      </c>
      <c r="G15" s="3" t="n">
        <v>1.55</v>
      </c>
      <c r="H15" s="3" t="n">
        <v>1.55</v>
      </c>
      <c r="I15" s="3" t="n">
        <v>1.55</v>
      </c>
      <c r="J15" s="3" t="n">
        <v>1.55</v>
      </c>
      <c r="K15" s="3" t="n">
        <v>1.55</v>
      </c>
      <c r="L15" s="3" t="n">
        <v>1.55</v>
      </c>
    </row>
    <row r="16" customFormat="false" ht="15" hidden="false" customHeight="false" outlineLevel="0" collapsed="false">
      <c r="A16" s="0" t="s">
        <v>117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118</v>
      </c>
      <c r="C17" s="3" t="n">
        <v>1.75</v>
      </c>
      <c r="D17" s="3" t="n">
        <v>1.7</v>
      </c>
      <c r="E17" s="3" t="n">
        <v>1.65</v>
      </c>
      <c r="F17" s="3" t="n">
        <v>1.6</v>
      </c>
      <c r="G17" s="3" t="n">
        <v>1.55</v>
      </c>
      <c r="H17" s="3" t="n">
        <v>1.5</v>
      </c>
      <c r="I17" s="3" t="n">
        <v>1.5</v>
      </c>
      <c r="J17" s="3" t="n">
        <v>1.45</v>
      </c>
      <c r="K17" s="3" t="n">
        <v>1.45</v>
      </c>
      <c r="L17" s="3" t="n">
        <v>1.45</v>
      </c>
    </row>
    <row r="18" customFormat="false" ht="15" hidden="false" customHeight="false" outlineLevel="0" collapsed="false">
      <c r="A18" s="0" t="s">
        <v>119</v>
      </c>
      <c r="C18" s="3" t="n">
        <v>1.15</v>
      </c>
      <c r="D18" s="3" t="n">
        <v>1.2</v>
      </c>
      <c r="E18" s="3" t="n">
        <v>1.25</v>
      </c>
      <c r="F18" s="3" t="n">
        <v>1.3</v>
      </c>
      <c r="G18" s="3" t="n">
        <v>1.3</v>
      </c>
      <c r="H18" s="3" t="n">
        <v>1.35</v>
      </c>
      <c r="I18" s="3" t="n">
        <v>1.35</v>
      </c>
      <c r="J18" s="3" t="n">
        <v>1.35</v>
      </c>
      <c r="K18" s="3" t="n">
        <v>1.35</v>
      </c>
      <c r="L18" s="3" t="n">
        <v>1.35</v>
      </c>
    </row>
    <row r="19" customFormat="false" ht="15" hidden="false" customHeight="false" outlineLevel="0" collapsed="false">
      <c r="A19" s="0" t="s">
        <v>120</v>
      </c>
      <c r="C19" s="3" t="n">
        <v>20</v>
      </c>
      <c r="D19" s="3" t="n">
        <v>21</v>
      </c>
      <c r="E19" s="3" t="n">
        <v>21.5</v>
      </c>
      <c r="F19" s="3" t="n">
        <v>21.5</v>
      </c>
      <c r="G19" s="3" t="n">
        <v>21.5</v>
      </c>
      <c r="H19" s="3" t="n">
        <v>21.5</v>
      </c>
      <c r="I19" s="3" t="n">
        <v>21.5</v>
      </c>
      <c r="J19" s="3" t="n">
        <v>21.5</v>
      </c>
      <c r="K19" s="3" t="n">
        <v>21.5</v>
      </c>
      <c r="L19" s="3" t="n">
        <v>21.5</v>
      </c>
    </row>
    <row r="20" customFormat="false" ht="15" hidden="false" customHeight="false" outlineLevel="0" collapsed="false">
      <c r="A20" s="0" t="s">
        <v>121</v>
      </c>
      <c r="B20" s="3" t="n">
        <v>8.5</v>
      </c>
    </row>
    <row r="21" customFormat="false" ht="15" hidden="false" customHeight="false" outlineLevel="0" collapsed="false">
      <c r="A21" s="0" t="s">
        <v>122</v>
      </c>
      <c r="B21" s="3" t="n">
        <v>2</v>
      </c>
    </row>
    <row r="22" customFormat="false" ht="15" hidden="false" customHeight="false" outlineLevel="0" collapsed="false">
      <c r="A22" s="0" t="s">
        <v>123</v>
      </c>
      <c r="B22" s="3" t="n">
        <v>15</v>
      </c>
    </row>
    <row r="23" customFormat="false" ht="15" hidden="false" customHeight="false" outlineLevel="0" collapsed="false">
      <c r="A23" s="0" t="s">
        <v>124</v>
      </c>
      <c r="B23" s="3" t="n">
        <v>-12</v>
      </c>
    </row>
    <row r="24" customFormat="false" ht="15" hidden="false" customHeight="false" outlineLevel="0" collapsed="false">
      <c r="A24" s="0" t="s">
        <v>125</v>
      </c>
      <c r="B24" s="3" t="n">
        <v>0.2</v>
      </c>
    </row>
    <row r="26" customFormat="false" ht="15" hidden="false" customHeight="false" outlineLevel="0" collapsed="false">
      <c r="A26" s="2" t="s">
        <v>126</v>
      </c>
      <c r="C26" s="2" t="s">
        <v>104</v>
      </c>
      <c r="D26" s="2" t="s">
        <v>105</v>
      </c>
      <c r="E26" s="2" t="s">
        <v>106</v>
      </c>
      <c r="F26" s="2" t="s">
        <v>107</v>
      </c>
      <c r="G26" s="2" t="s">
        <v>108</v>
      </c>
      <c r="H26" s="2" t="s">
        <v>109</v>
      </c>
      <c r="I26" s="2" t="s">
        <v>110</v>
      </c>
      <c r="J26" s="2" t="s">
        <v>111</v>
      </c>
      <c r="K26" s="2" t="s">
        <v>112</v>
      </c>
      <c r="L26" s="2" t="s">
        <v>113</v>
      </c>
    </row>
    <row r="27" customFormat="false" ht="15" hidden="false" customHeight="false" outlineLevel="0" collapsed="false">
      <c r="A27" s="0" t="s">
        <v>114</v>
      </c>
      <c r="C27" s="3" t="n">
        <v>7</v>
      </c>
      <c r="D27" s="3" t="n">
        <v>4.5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115</v>
      </c>
      <c r="C28" s="3" t="n">
        <v>26.2</v>
      </c>
      <c r="D28" s="3" t="n">
        <v>26.5</v>
      </c>
      <c r="E28" s="3" t="n">
        <v>26.8</v>
      </c>
      <c r="F28" s="3" t="n">
        <v>27.1</v>
      </c>
      <c r="G28" s="3" t="n">
        <v>27.4</v>
      </c>
      <c r="H28" s="3" t="n">
        <v>27.6</v>
      </c>
      <c r="I28" s="3" t="n">
        <v>27.8</v>
      </c>
      <c r="J28" s="3" t="n">
        <v>27.9</v>
      </c>
      <c r="K28" s="3" t="n">
        <v>28</v>
      </c>
      <c r="L28" s="3" t="n">
        <v>28</v>
      </c>
    </row>
    <row r="29" customFormat="false" ht="15" hidden="false" customHeight="false" outlineLevel="0" collapsed="false">
      <c r="A29" s="0" t="s">
        <v>116</v>
      </c>
      <c r="C29" s="3" t="n">
        <v>1.55</v>
      </c>
      <c r="D29" s="3" t="n">
        <v>1.55</v>
      </c>
      <c r="E29" s="3" t="n">
        <v>1.5</v>
      </c>
      <c r="F29" s="3" t="n">
        <v>1.5</v>
      </c>
      <c r="G29" s="3" t="n">
        <v>1.5</v>
      </c>
      <c r="H29" s="3" t="n">
        <v>1.45</v>
      </c>
      <c r="I29" s="3" t="n">
        <v>1.45</v>
      </c>
      <c r="J29" s="3" t="n">
        <v>1.4</v>
      </c>
      <c r="K29" s="3" t="n">
        <v>1.4</v>
      </c>
      <c r="L29" s="3" t="n">
        <v>1.4</v>
      </c>
    </row>
    <row r="30" customFormat="false" ht="15" hidden="false" customHeight="false" outlineLevel="0" collapsed="false">
      <c r="A30" s="0" t="s">
        <v>117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118</v>
      </c>
      <c r="C31" s="3" t="n">
        <v>1.75</v>
      </c>
      <c r="D31" s="3" t="n">
        <v>1.7</v>
      </c>
      <c r="E31" s="3" t="n">
        <v>1.65</v>
      </c>
      <c r="F31" s="3" t="n">
        <v>1.6</v>
      </c>
      <c r="G31" s="3" t="n">
        <v>1.55</v>
      </c>
      <c r="H31" s="3" t="n">
        <v>1.5</v>
      </c>
      <c r="I31" s="3" t="n">
        <v>1.5</v>
      </c>
      <c r="J31" s="3" t="n">
        <v>1.45</v>
      </c>
      <c r="K31" s="3" t="n">
        <v>1.45</v>
      </c>
      <c r="L31" s="3" t="n">
        <v>1.45</v>
      </c>
    </row>
    <row r="32" customFormat="false" ht="15" hidden="false" customHeight="false" outlineLevel="0" collapsed="false">
      <c r="A32" s="0" t="s">
        <v>119</v>
      </c>
      <c r="C32" s="3" t="n">
        <v>1.15</v>
      </c>
      <c r="D32" s="3" t="n">
        <v>1.2</v>
      </c>
      <c r="E32" s="3" t="n">
        <v>1.25</v>
      </c>
      <c r="F32" s="3" t="n">
        <v>1.25</v>
      </c>
      <c r="G32" s="3" t="n">
        <v>1.3</v>
      </c>
      <c r="H32" s="3" t="n">
        <v>1.3</v>
      </c>
      <c r="I32" s="3" t="n">
        <v>1.3</v>
      </c>
      <c r="J32" s="3" t="n">
        <v>1.3</v>
      </c>
      <c r="K32" s="3" t="n">
        <v>1.3</v>
      </c>
      <c r="L32" s="3" t="n">
        <v>1.3</v>
      </c>
    </row>
    <row r="33" customFormat="false" ht="15" hidden="false" customHeight="false" outlineLevel="0" collapsed="false">
      <c r="A33" s="0" t="s">
        <v>120</v>
      </c>
      <c r="C33" s="3" t="n">
        <v>20</v>
      </c>
      <c r="D33" s="3" t="n">
        <v>20.5</v>
      </c>
      <c r="E33" s="3" t="n">
        <v>20.5</v>
      </c>
      <c r="F33" s="3" t="n">
        <v>20.5</v>
      </c>
      <c r="G33" s="3" t="n">
        <v>20.5</v>
      </c>
      <c r="H33" s="3" t="n">
        <v>20.5</v>
      </c>
      <c r="I33" s="3" t="n">
        <v>20.5</v>
      </c>
      <c r="J33" s="3" t="n">
        <v>20.5</v>
      </c>
      <c r="K33" s="3" t="n">
        <v>20.5</v>
      </c>
      <c r="L33" s="3" t="n">
        <v>20.5</v>
      </c>
    </row>
    <row r="34" customFormat="false" ht="15" hidden="false" customHeight="false" outlineLevel="0" collapsed="false">
      <c r="A34" s="0" t="s">
        <v>121</v>
      </c>
      <c r="B34" s="3" t="n">
        <v>8.5</v>
      </c>
    </row>
    <row r="35" customFormat="false" ht="15" hidden="false" customHeight="false" outlineLevel="0" collapsed="false">
      <c r="A35" s="0" t="s">
        <v>122</v>
      </c>
      <c r="B35" s="3" t="n">
        <v>2.5</v>
      </c>
    </row>
    <row r="36" customFormat="false" ht="15" hidden="false" customHeight="false" outlineLevel="0" collapsed="false">
      <c r="A36" s="0" t="s">
        <v>123</v>
      </c>
      <c r="B36" s="3" t="n">
        <v>18</v>
      </c>
    </row>
    <row r="37" customFormat="false" ht="15" hidden="false" customHeight="false" outlineLevel="0" collapsed="false">
      <c r="A37" s="0" t="s">
        <v>124</v>
      </c>
      <c r="B37" s="3" t="n">
        <v>-10</v>
      </c>
    </row>
    <row r="38" customFormat="false" ht="15" hidden="false" customHeight="false" outlineLevel="0" collapsed="false">
      <c r="A38" s="0" t="s">
        <v>125</v>
      </c>
      <c r="B38" s="3" t="n">
        <v>0.55</v>
      </c>
    </row>
    <row r="40" customFormat="false" ht="15" hidden="false" customHeight="false" outlineLevel="0" collapsed="false">
      <c r="A40" s="2" t="s">
        <v>127</v>
      </c>
      <c r="C40" s="2" t="s">
        <v>104</v>
      </c>
      <c r="D40" s="2" t="s">
        <v>105</v>
      </c>
      <c r="E40" s="2" t="s">
        <v>106</v>
      </c>
      <c r="F40" s="2" t="s">
        <v>107</v>
      </c>
      <c r="G40" s="2" t="s">
        <v>108</v>
      </c>
      <c r="H40" s="2" t="s">
        <v>109</v>
      </c>
      <c r="I40" s="2" t="s">
        <v>110</v>
      </c>
      <c r="J40" s="2" t="s">
        <v>111</v>
      </c>
      <c r="K40" s="2" t="s">
        <v>112</v>
      </c>
      <c r="L40" s="2" t="s">
        <v>113</v>
      </c>
    </row>
    <row r="41" customFormat="false" ht="15" hidden="false" customHeight="false" outlineLevel="0" collapsed="false">
      <c r="A41" s="0" t="s">
        <v>114</v>
      </c>
      <c r="C41" s="3" t="n">
        <v>7.5</v>
      </c>
      <c r="D41" s="3" t="n">
        <v>6.5</v>
      </c>
      <c r="E41" s="3" t="n">
        <v>6.5</v>
      </c>
      <c r="F41" s="3" t="n">
        <v>6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115</v>
      </c>
      <c r="C42" s="3" t="n">
        <v>26.3</v>
      </c>
      <c r="D42" s="3" t="n">
        <v>26.8</v>
      </c>
      <c r="E42" s="3" t="n">
        <v>27.3</v>
      </c>
      <c r="F42" s="3" t="n">
        <v>27.8</v>
      </c>
      <c r="G42" s="3" t="n">
        <v>28.3</v>
      </c>
      <c r="H42" s="3" t="n">
        <v>28.7</v>
      </c>
      <c r="I42" s="3" t="n">
        <v>29</v>
      </c>
      <c r="J42" s="3" t="n">
        <v>29.2</v>
      </c>
      <c r="K42" s="3" t="n">
        <v>29.4</v>
      </c>
      <c r="L42" s="3" t="n">
        <v>29.5</v>
      </c>
    </row>
    <row r="43" customFormat="false" ht="15" hidden="false" customHeight="false" outlineLevel="0" collapsed="false">
      <c r="A43" s="0" t="s">
        <v>116</v>
      </c>
      <c r="C43" s="3" t="n">
        <v>1.55</v>
      </c>
      <c r="D43" s="3" t="n">
        <v>1.55</v>
      </c>
      <c r="E43" s="3" t="n">
        <v>1.5</v>
      </c>
      <c r="F43" s="3" t="n">
        <v>1.5</v>
      </c>
      <c r="G43" s="3" t="n">
        <v>1.5</v>
      </c>
      <c r="H43" s="3" t="n">
        <v>1.45</v>
      </c>
      <c r="I43" s="3" t="n">
        <v>1.45</v>
      </c>
      <c r="J43" s="3" t="n">
        <v>1.4</v>
      </c>
      <c r="K43" s="3" t="n">
        <v>1.4</v>
      </c>
      <c r="L43" s="3" t="n">
        <v>1.4</v>
      </c>
    </row>
    <row r="44" customFormat="false" ht="15" hidden="false" customHeight="false" outlineLevel="0" collapsed="false">
      <c r="A44" s="0" t="s">
        <v>117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118</v>
      </c>
      <c r="C45" s="3" t="n">
        <v>1.75</v>
      </c>
      <c r="D45" s="3" t="n">
        <v>1.7</v>
      </c>
      <c r="E45" s="3" t="n">
        <v>1.65</v>
      </c>
      <c r="F45" s="3" t="n">
        <v>1.6</v>
      </c>
      <c r="G45" s="3" t="n">
        <v>1.55</v>
      </c>
      <c r="H45" s="3" t="n">
        <v>1.5</v>
      </c>
      <c r="I45" s="3" t="n">
        <v>1.5</v>
      </c>
      <c r="J45" s="3" t="n">
        <v>1.45</v>
      </c>
      <c r="K45" s="3" t="n">
        <v>1.45</v>
      </c>
      <c r="L45" s="3" t="n">
        <v>1.45</v>
      </c>
    </row>
    <row r="46" customFormat="false" ht="15" hidden="false" customHeight="false" outlineLevel="0" collapsed="false">
      <c r="A46" s="0" t="s">
        <v>119</v>
      </c>
      <c r="C46" s="3" t="n">
        <v>1.15</v>
      </c>
      <c r="D46" s="3" t="n">
        <v>1.2</v>
      </c>
      <c r="E46" s="3" t="n">
        <v>1.25</v>
      </c>
      <c r="F46" s="3" t="n">
        <v>1.25</v>
      </c>
      <c r="G46" s="3" t="n">
        <v>1.3</v>
      </c>
      <c r="H46" s="3" t="n">
        <v>1.3</v>
      </c>
      <c r="I46" s="3" t="n">
        <v>1.3</v>
      </c>
      <c r="J46" s="3" t="n">
        <v>1.3</v>
      </c>
      <c r="K46" s="3" t="n">
        <v>1.3</v>
      </c>
      <c r="L46" s="3" t="n">
        <v>1.3</v>
      </c>
    </row>
    <row r="47" customFormat="false" ht="15" hidden="false" customHeight="false" outlineLevel="0" collapsed="false">
      <c r="A47" s="0" t="s">
        <v>120</v>
      </c>
      <c r="C47" s="3" t="n">
        <v>20</v>
      </c>
      <c r="D47" s="3" t="n">
        <v>20.5</v>
      </c>
      <c r="E47" s="3" t="n">
        <v>20.5</v>
      </c>
      <c r="F47" s="3" t="n">
        <v>20.5</v>
      </c>
      <c r="G47" s="3" t="n">
        <v>20.5</v>
      </c>
      <c r="H47" s="3" t="n">
        <v>20.5</v>
      </c>
      <c r="I47" s="3" t="n">
        <v>20.5</v>
      </c>
      <c r="J47" s="3" t="n">
        <v>20.5</v>
      </c>
      <c r="K47" s="3" t="n">
        <v>20.5</v>
      </c>
      <c r="L47" s="3" t="n">
        <v>20.5</v>
      </c>
    </row>
    <row r="48" customFormat="false" ht="15" hidden="false" customHeight="false" outlineLevel="0" collapsed="false">
      <c r="A48" s="0" t="s">
        <v>121</v>
      </c>
      <c r="B48" s="3" t="n">
        <v>8.5</v>
      </c>
    </row>
    <row r="49" customFormat="false" ht="15" hidden="false" customHeight="false" outlineLevel="0" collapsed="false">
      <c r="A49" s="0" t="s">
        <v>122</v>
      </c>
      <c r="B49" s="3" t="n">
        <v>3</v>
      </c>
    </row>
    <row r="50" customFormat="false" ht="15" hidden="false" customHeight="false" outlineLevel="0" collapsed="false">
      <c r="A50" s="0" t="s">
        <v>123</v>
      </c>
      <c r="B50" s="3" t="n">
        <v>20</v>
      </c>
    </row>
    <row r="51" customFormat="false" ht="15" hidden="false" customHeight="false" outlineLevel="0" collapsed="false">
      <c r="A51" s="0" t="s">
        <v>124</v>
      </c>
      <c r="B51" s="3" t="n">
        <v>-10</v>
      </c>
    </row>
    <row r="52" customFormat="false" ht="15" hidden="false" customHeight="false" outlineLevel="0" collapsed="false">
      <c r="A52" s="0" t="s">
        <v>125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128</v>
      </c>
    </row>
    <row r="3" customFormat="false" ht="15" hidden="false" customHeight="false" outlineLevel="0" collapsed="false">
      <c r="A3" s="0" t="s">
        <v>129</v>
      </c>
      <c r="B3" s="0" t="s">
        <v>91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Assumptions!C13</f>
        <v>6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61</v>
      </c>
      <c r="B6" s="3" t="n">
        <v>5503</v>
      </c>
      <c r="C6" s="0" t="n">
        <f aca="false">B6*(1+C5/100)</f>
        <v>5833.18</v>
      </c>
      <c r="D6" s="0" t="n">
        <f aca="false">C6*(1+D5/100)</f>
        <v>5949.8436</v>
      </c>
      <c r="E6" s="0" t="n">
        <f aca="false">D6*(1+E5/100)</f>
        <v>6098.58969</v>
      </c>
      <c r="F6" s="0" t="n">
        <f aca="false">E6*(1+F5/100)</f>
        <v>6281.5473807</v>
      </c>
      <c r="G6" s="0" t="n">
        <f aca="false">F6*(1+G5/100)</f>
        <v>6469.993802121</v>
      </c>
      <c r="H6" s="0" t="n">
        <f aca="false">G6*(1+H5/100)</f>
        <v>6664.09361618463</v>
      </c>
      <c r="I6" s="0" t="n">
        <f aca="false">H6*(1+I5/100)</f>
        <v>6864.01642467017</v>
      </c>
      <c r="J6" s="0" t="n">
        <f aca="false">I6*(1+J5/100)</f>
        <v>7035.61683528692</v>
      </c>
      <c r="K6" s="0" t="n">
        <f aca="false">J6*(1+K5/100)</f>
        <v>7211.5072561691</v>
      </c>
      <c r="L6" s="0" t="n">
        <f aca="false">K6*(1+L5/100)</f>
        <v>7391.79493757332</v>
      </c>
    </row>
    <row r="7" customFormat="false" ht="15" hidden="false" customHeight="false" outlineLevel="0" collapsed="false">
      <c r="A7" s="0" t="s">
        <v>115</v>
      </c>
      <c r="C7" s="4" t="n">
        <f aca="false">Assumptions!C14</f>
        <v>25.8</v>
      </c>
      <c r="D7" s="4" t="n">
        <f aca="false">Assumptions!D14</f>
        <v>25.5</v>
      </c>
      <c r="E7" s="4" t="n">
        <f aca="false">Assumptions!E14</f>
        <v>25.5</v>
      </c>
      <c r="F7" s="4" t="n">
        <f aca="false">Assumptions!F14</f>
        <v>25.5</v>
      </c>
      <c r="G7" s="4" t="n">
        <f aca="false">Assumptions!G14</f>
        <v>25.5</v>
      </c>
      <c r="H7" s="4" t="n">
        <f aca="false">Assumptions!H14</f>
        <v>25.5</v>
      </c>
      <c r="I7" s="4" t="n">
        <f aca="false">Assumptions!I14</f>
        <v>25.5</v>
      </c>
      <c r="J7" s="4" t="n">
        <f aca="false">Assumptions!J14</f>
        <v>25.5</v>
      </c>
      <c r="K7" s="4" t="n">
        <f aca="false">Assumptions!K14</f>
        <v>25.5</v>
      </c>
      <c r="L7" s="4" t="n">
        <f aca="false">Assumptions!L14</f>
        <v>25.5</v>
      </c>
    </row>
    <row r="8" customFormat="false" ht="15" hidden="false" customHeight="false" outlineLevel="0" collapsed="false">
      <c r="A8" s="0" t="s">
        <v>67</v>
      </c>
      <c r="C8" s="0" t="n">
        <f aca="false">C6*C7/100</f>
        <v>1504.96044</v>
      </c>
      <c r="D8" s="0" t="n">
        <f aca="false">D6*D7/100</f>
        <v>1517.210118</v>
      </c>
      <c r="E8" s="0" t="n">
        <f aca="false">E6*E7/100</f>
        <v>1555.14037095</v>
      </c>
      <c r="F8" s="0" t="n">
        <f aca="false">F6*F7/100</f>
        <v>1601.7945820785</v>
      </c>
      <c r="G8" s="0" t="n">
        <f aca="false">G6*G7/100</f>
        <v>1649.84841954086</v>
      </c>
      <c r="H8" s="0" t="n">
        <f aca="false">H6*H7/100</f>
        <v>1699.34387212708</v>
      </c>
      <c r="I8" s="0" t="n">
        <f aca="false">I6*I7/100</f>
        <v>1750.32418829089</v>
      </c>
      <c r="J8" s="0" t="n">
        <f aca="false">J6*J7/100</f>
        <v>1794.08229299817</v>
      </c>
      <c r="K8" s="0" t="n">
        <f aca="false">K6*K7/100</f>
        <v>1838.93435032312</v>
      </c>
      <c r="L8" s="0" t="n">
        <f aca="false">L6*L7/100</f>
        <v>1884.9077090812</v>
      </c>
    </row>
    <row r="9" customFormat="false" ht="15" hidden="false" customHeight="false" outlineLevel="0" collapsed="false">
      <c r="A9" s="0" t="s">
        <v>116</v>
      </c>
      <c r="C9" s="4" t="n">
        <f aca="false">Assumptions!C15</f>
        <v>1.55</v>
      </c>
      <c r="D9" s="4" t="n">
        <f aca="false">Assumptions!D15</f>
        <v>1.55</v>
      </c>
      <c r="E9" s="4" t="n">
        <f aca="false">Assumptions!E15</f>
        <v>1.55</v>
      </c>
      <c r="F9" s="4" t="n">
        <f aca="false">Assumptions!F15</f>
        <v>1.55</v>
      </c>
      <c r="G9" s="4" t="n">
        <f aca="false">Assumptions!G15</f>
        <v>1.55</v>
      </c>
      <c r="H9" s="4" t="n">
        <f aca="false">Assumptions!H15</f>
        <v>1.55</v>
      </c>
      <c r="I9" s="4" t="n">
        <f aca="false">Assumptions!I15</f>
        <v>1.55</v>
      </c>
      <c r="J9" s="4" t="n">
        <f aca="false">Assumptions!J15</f>
        <v>1.55</v>
      </c>
      <c r="K9" s="4" t="n">
        <f aca="false">Assumptions!K15</f>
        <v>1.55</v>
      </c>
      <c r="L9" s="4" t="n">
        <f aca="false">Assumptions!L15</f>
        <v>1.55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-90.41429</v>
      </c>
      <c r="D10" s="0" t="n">
        <f aca="false">-D6*D9/100</f>
        <v>-92.2225758</v>
      </c>
      <c r="E10" s="0" t="n">
        <f aca="false">-E6*E9/100</f>
        <v>-94.528140195</v>
      </c>
      <c r="F10" s="0" t="n">
        <f aca="false">-F6*F9/100</f>
        <v>-97.36398440085</v>
      </c>
      <c r="G10" s="0" t="n">
        <f aca="false">-G6*G9/100</f>
        <v>-100.284903932876</v>
      </c>
      <c r="H10" s="0" t="n">
        <f aca="false">-H6*H9/100</f>
        <v>-103.293451050862</v>
      </c>
      <c r="I10" s="0" t="n">
        <f aca="false">-I6*I9/100</f>
        <v>-106.392254582388</v>
      </c>
      <c r="J10" s="0" t="n">
        <f aca="false">-J6*J9/100</f>
        <v>-109.052060946947</v>
      </c>
      <c r="K10" s="0" t="n">
        <f aca="false">-K6*K9/100</f>
        <v>-111.778362470621</v>
      </c>
      <c r="L10" s="0" t="n">
        <f aca="false">-L6*L9/100</f>
        <v>-114.572821532387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1414.54615</v>
      </c>
      <c r="D11" s="0" t="n">
        <f aca="false">D8+D10+D24</f>
        <v>1424.9875422</v>
      </c>
      <c r="E11" s="0" t="n">
        <f aca="false">E8+E10+E24</f>
        <v>1460.612230755</v>
      </c>
      <c r="F11" s="0" t="n">
        <f aca="false">F8+F10+F24</f>
        <v>1504.43059767765</v>
      </c>
      <c r="G11" s="0" t="n">
        <f aca="false">G8+G10+G24</f>
        <v>1549.56351560798</v>
      </c>
      <c r="H11" s="0" t="n">
        <f aca="false">H8+H10+H24</f>
        <v>1596.05042107622</v>
      </c>
      <c r="I11" s="0" t="n">
        <f aca="false">I8+I10+I24</f>
        <v>1643.93193370851</v>
      </c>
      <c r="J11" s="0" t="n">
        <f aca="false">J8+J10+J24</f>
        <v>1685.03023205122</v>
      </c>
      <c r="K11" s="0" t="n">
        <f aca="false">K8+K10+K24</f>
        <v>1727.1559878525</v>
      </c>
      <c r="L11" s="0" t="n">
        <f aca="false">L8+L10+L24</f>
        <v>1770.33488754881</v>
      </c>
    </row>
    <row r="12" customFormat="false" ht="15" hidden="false" customHeight="false" outlineLevel="0" collapsed="false">
      <c r="A12" s="0" t="s">
        <v>133</v>
      </c>
      <c r="C12" s="4" t="n">
        <f aca="false">-C6*Assumptions!C17/100</f>
        <v>-102.08065</v>
      </c>
      <c r="D12" s="4" t="n">
        <f aca="false">-D6*Assumptions!D17/100</f>
        <v>-101.1473412</v>
      </c>
      <c r="E12" s="4" t="n">
        <f aca="false">-E6*Assumptions!E17/100</f>
        <v>-100.626729885</v>
      </c>
      <c r="F12" s="4" t="n">
        <f aca="false">-F6*Assumptions!F17/100</f>
        <v>-100.5047580912</v>
      </c>
      <c r="G12" s="4" t="n">
        <f aca="false">-G6*Assumptions!G17/100</f>
        <v>-100.284903932876</v>
      </c>
      <c r="H12" s="4" t="n">
        <f aca="false">-H6*Assumptions!H17/100</f>
        <v>-99.9614042427695</v>
      </c>
      <c r="I12" s="4" t="n">
        <f aca="false">-I6*Assumptions!I17/100</f>
        <v>-102.960246370053</v>
      </c>
      <c r="J12" s="4" t="n">
        <f aca="false">-J6*Assumptions!J17/100</f>
        <v>-102.01644411166</v>
      </c>
      <c r="K12" s="4" t="n">
        <f aca="false">-K6*Assumptions!K17/100</f>
        <v>-104.566855214452</v>
      </c>
      <c r="L12" s="4" t="n">
        <f aca="false">-L6*Assumptions!L17/100</f>
        <v>-107.181026594813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1312.4655</v>
      </c>
      <c r="D13" s="0" t="n">
        <f aca="false">D11+D12</f>
        <v>1323.840201</v>
      </c>
      <c r="E13" s="0" t="n">
        <f aca="false">E11+E12</f>
        <v>1359.98550087</v>
      </c>
      <c r="F13" s="0" t="n">
        <f aca="false">F11+F12</f>
        <v>1403.92583958645</v>
      </c>
      <c r="G13" s="0" t="n">
        <f aca="false">G11+G12</f>
        <v>1449.2786116751</v>
      </c>
      <c r="H13" s="0" t="n">
        <f aca="false">H11+H12</f>
        <v>1496.08901683345</v>
      </c>
      <c r="I13" s="0" t="n">
        <f aca="false">I11+I12</f>
        <v>1540.97168733845</v>
      </c>
      <c r="J13" s="0" t="n">
        <f aca="false">J11+J12</f>
        <v>1583.01378793956</v>
      </c>
      <c r="K13" s="0" t="n">
        <f aca="false">K11+K12</f>
        <v>1622.58913263805</v>
      </c>
      <c r="L13" s="0" t="n">
        <f aca="false">L11+L12</f>
        <v>1663.153860954</v>
      </c>
    </row>
    <row r="14" customFormat="false" ht="15" hidden="false" customHeight="false" outlineLevel="0" collapsed="false">
      <c r="A14" s="0" t="s">
        <v>120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21.5</v>
      </c>
      <c r="F14" s="4" t="n">
        <f aca="false">Assumptions!F19</f>
        <v>21.5</v>
      </c>
      <c r="G14" s="4" t="n">
        <f aca="false">Assumptions!G19</f>
        <v>21.5</v>
      </c>
      <c r="H14" s="4" t="n">
        <f aca="false">Assumptions!H19</f>
        <v>21.5</v>
      </c>
      <c r="I14" s="4" t="n">
        <f aca="false">Assumptions!I19</f>
        <v>21.5</v>
      </c>
      <c r="J14" s="4" t="n">
        <f aca="false">Assumptions!J19</f>
        <v>21.5</v>
      </c>
      <c r="K14" s="4" t="n">
        <f aca="false">Assumptions!K19</f>
        <v>21.5</v>
      </c>
      <c r="L14" s="4" t="n">
        <f aca="false">Assumptions!L19</f>
        <v>21.5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1049.9724</v>
      </c>
      <c r="D15" s="0" t="n">
        <f aca="false">D13-MAX(0,D13)*D14/100</f>
        <v>1045.83375879</v>
      </c>
      <c r="E15" s="0" t="n">
        <f aca="false">E13-MAX(0,E13)*E14/100</f>
        <v>1067.58861818295</v>
      </c>
      <c r="F15" s="0" t="n">
        <f aca="false">F13-MAX(0,F13)*F14/100</f>
        <v>1102.08178407536</v>
      </c>
      <c r="G15" s="0" t="n">
        <f aca="false">G13-MAX(0,G13)*G14/100</f>
        <v>1137.68371016496</v>
      </c>
      <c r="H15" s="0" t="n">
        <f aca="false">H13-MAX(0,H13)*H14/100</f>
        <v>1174.42987821426</v>
      </c>
      <c r="I15" s="0" t="n">
        <f aca="false">I13-MAX(0,I13)*I14/100</f>
        <v>1209.66277456069</v>
      </c>
      <c r="J15" s="0" t="n">
        <f aca="false">J13-MAX(0,J13)*J14/100</f>
        <v>1242.66582353255</v>
      </c>
      <c r="K15" s="0" t="n">
        <f aca="false">K13-MAX(0,K13)*K14/100</f>
        <v>1273.73246912087</v>
      </c>
      <c r="L15" s="0" t="n">
        <f aca="false">L13-MAX(0,L13)*L14/100</f>
        <v>1305.57578084889</v>
      </c>
    </row>
    <row r="16" customFormat="false" ht="15" hidden="false" customHeight="false" outlineLevel="0" collapsed="false">
      <c r="A16" s="0" t="s">
        <v>136</v>
      </c>
      <c r="C16" s="0" t="n">
        <f aca="false">-C12</f>
        <v>102.08065</v>
      </c>
      <c r="D16" s="0" t="n">
        <f aca="false">-D12</f>
        <v>101.1473412</v>
      </c>
      <c r="E16" s="0" t="n">
        <f aca="false">-E12</f>
        <v>100.626729885</v>
      </c>
      <c r="F16" s="0" t="n">
        <f aca="false">-F12</f>
        <v>100.5047580912</v>
      </c>
      <c r="G16" s="0" t="n">
        <f aca="false">-G12</f>
        <v>100.284903932876</v>
      </c>
      <c r="H16" s="0" t="n">
        <f aca="false">-H12</f>
        <v>99.9614042427695</v>
      </c>
      <c r="I16" s="0" t="n">
        <f aca="false">-I12</f>
        <v>102.960246370053</v>
      </c>
      <c r="J16" s="0" t="n">
        <f aca="false">-J12</f>
        <v>102.01644411166</v>
      </c>
      <c r="K16" s="0" t="n">
        <f aca="false">-K12</f>
        <v>104.566855214452</v>
      </c>
      <c r="L16" s="0" t="n">
        <f aca="false">-L12</f>
        <v>107.181026594813</v>
      </c>
    </row>
    <row r="17" customFormat="false" ht="15" hidden="false" customHeight="false" outlineLevel="0" collapsed="false">
      <c r="A17" s="0" t="s">
        <v>137</v>
      </c>
      <c r="C17" s="4" t="n">
        <f aca="false">-C6*Assumptions!C18/100</f>
        <v>-67.08157</v>
      </c>
      <c r="D17" s="4" t="n">
        <f aca="false">-D6*Assumptions!D18/100</f>
        <v>-71.3981232</v>
      </c>
      <c r="E17" s="4" t="n">
        <f aca="false">-E6*Assumptions!E18/100</f>
        <v>-76.232371125</v>
      </c>
      <c r="F17" s="4" t="n">
        <f aca="false">-F6*Assumptions!F18/100</f>
        <v>-81.6601159491</v>
      </c>
      <c r="G17" s="4" t="n">
        <f aca="false">-G6*Assumptions!G18/100</f>
        <v>-84.109919427573</v>
      </c>
      <c r="H17" s="4" t="n">
        <f aca="false">-H6*Assumptions!H18/100</f>
        <v>-89.9652638184925</v>
      </c>
      <c r="I17" s="4" t="n">
        <f aca="false">-I6*Assumptions!I18/100</f>
        <v>-92.6642217330473</v>
      </c>
      <c r="J17" s="4" t="n">
        <f aca="false">-J6*Assumptions!J18/100</f>
        <v>-94.9808272763735</v>
      </c>
      <c r="K17" s="4" t="n">
        <f aca="false">-K6*Assumptions!K18/100</f>
        <v>-97.3553479582828</v>
      </c>
      <c r="L17" s="4" t="n">
        <f aca="false">-L6*Assumptions!L18/100</f>
        <v>-99.7892316572399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(C6-B6)*Assumptions!$B$23/100</f>
        <v>-39.6216</v>
      </c>
      <c r="D18" s="4" t="n">
        <f aca="false">(D6-C6)*Assumptions!$B$23/100</f>
        <v>-13.999632</v>
      </c>
      <c r="E18" s="4" t="n">
        <f aca="false">(E6-D6)*Assumptions!$B$23/100</f>
        <v>-17.8495308</v>
      </c>
      <c r="F18" s="4" t="n">
        <f aca="false">(F6-E6)*Assumptions!$B$23/100</f>
        <v>-21.954922884</v>
      </c>
      <c r="G18" s="4" t="n">
        <f aca="false">(G6-F6)*Assumptions!$B$23/100</f>
        <v>-22.61357057052</v>
      </c>
      <c r="H18" s="4" t="n">
        <f aca="false">(H6-G6)*Assumptions!$B$23/100</f>
        <v>-23.2919776876356</v>
      </c>
      <c r="I18" s="4" t="n">
        <f aca="false">(I6-H6)*Assumptions!$B$23/100</f>
        <v>-23.9907370182647</v>
      </c>
      <c r="J18" s="4" t="n">
        <f aca="false">(J6-I6)*Assumptions!$B$23/100</f>
        <v>-20.5920492740105</v>
      </c>
      <c r="K18" s="4" t="n">
        <f aca="false">(K6-J6)*Assumptions!$B$23/100</f>
        <v>-21.1068505058607</v>
      </c>
      <c r="L18" s="4" t="n">
        <f aca="false">(L6-K6)*Assumptions!$B$23/100</f>
        <v>-21.6345217685072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1045.34988</v>
      </c>
      <c r="D19" s="0" t="n">
        <f aca="false">D15+D16+D17+D18</f>
        <v>1061.58334479</v>
      </c>
      <c r="E19" s="0" t="n">
        <f aca="false">E15+E16+E17+E18</f>
        <v>1074.13344614295</v>
      </c>
      <c r="F19" s="0" t="n">
        <f aca="false">F15+F16+F17+F18</f>
        <v>1098.97150333346</v>
      </c>
      <c r="G19" s="0" t="n">
        <f aca="false">G15+G16+G17+G18</f>
        <v>1131.24512409974</v>
      </c>
      <c r="H19" s="0" t="n">
        <f aca="false">H15+H16+H17+H18</f>
        <v>1161.1340409509</v>
      </c>
      <c r="I19" s="0" t="n">
        <f aca="false">I15+I16+I17+I18</f>
        <v>1195.96806217943</v>
      </c>
      <c r="J19" s="0" t="n">
        <f aca="false">J15+J16+J17+J18</f>
        <v>1229.10939109383</v>
      </c>
      <c r="K19" s="0" t="n">
        <f aca="false">K15+K16+K17+K18</f>
        <v>1259.83712587117</v>
      </c>
      <c r="L19" s="0" t="n">
        <f aca="false">L15+L16+L17+L18</f>
        <v>1291.33305401795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963.456110599079</v>
      </c>
      <c r="D21" s="0" t="n">
        <f aca="false">D19*D20</f>
        <v>901.76758460787</v>
      </c>
      <c r="E21" s="0" t="n">
        <f aca="false">E19*E20</f>
        <v>840.947773780623</v>
      </c>
      <c r="F21" s="0" t="n">
        <f aca="false">F19*F20</f>
        <v>792.98957594872</v>
      </c>
      <c r="G21" s="0" t="n">
        <f aca="false">G19*G20</f>
        <v>752.329392399891</v>
      </c>
      <c r="H21" s="0" t="n">
        <f aca="false">H19*H20</f>
        <v>711.711409915948</v>
      </c>
      <c r="I21" s="0" t="n">
        <f aca="false">I19*I20</f>
        <v>675.633873007766</v>
      </c>
      <c r="J21" s="0" t="n">
        <f aca="false">J19*J20</f>
        <v>639.959707844368</v>
      </c>
      <c r="K21" s="0" t="n">
        <f aca="false">K19*K20</f>
        <v>604.570230912882</v>
      </c>
      <c r="L21" s="0" t="n">
        <f aca="false">L19*L20</f>
        <v>571.137775747192</v>
      </c>
    </row>
    <row r="23" customFormat="false" ht="15" hidden="false" customHeight="false" outlineLevel="0" collapsed="false">
      <c r="A23" s="0" t="s">
        <v>117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122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123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7454.50343476434</v>
      </c>
    </row>
    <row r="31" customFormat="false" ht="15" hidden="false" customHeight="false" outlineLevel="0" collapsed="false">
      <c r="A31" s="0" t="s">
        <v>145</v>
      </c>
      <c r="B31" s="0" t="n">
        <f aca="false">L19</f>
        <v>1291.33305401795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20263.9956168971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19369.9958102693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19369.9958102693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8567.06663620789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16021.5700709722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14761.5700709722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60.3005313356709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-0.363112258812095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657.137438065729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795.190241259503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66.2332424440256</v>
      </c>
    </row>
    <row r="45" customFormat="false" ht="15" hidden="false" customHeight="false" outlineLevel="0" collapsed="false">
      <c r="A45" s="0" t="s">
        <v>97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10131.9978084486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28.1206410186677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0" t="s">
        <v>129</v>
      </c>
      <c r="B3" s="0" t="s">
        <v>91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Assumptions!C27</f>
        <v>7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61</v>
      </c>
      <c r="B6" s="3" t="n">
        <v>5503</v>
      </c>
      <c r="C6" s="0" t="n">
        <f aca="false">B6*(1+C5/100)</f>
        <v>5888.21</v>
      </c>
      <c r="D6" s="0" t="n">
        <f aca="false">C6*(1+D5/100)</f>
        <v>6153.17945</v>
      </c>
      <c r="E6" s="0" t="n">
        <f aca="false">D6*(1+E5/100)</f>
        <v>6430.07252525</v>
      </c>
      <c r="F6" s="0" t="n">
        <f aca="false">E6*(1+F5/100)</f>
        <v>6719.42578888625</v>
      </c>
      <c r="G6" s="0" t="n">
        <f aca="false">F6*(1+G5/100)</f>
        <v>6988.2028204417</v>
      </c>
      <c r="H6" s="0" t="n">
        <f aca="false">G6*(1+H5/100)</f>
        <v>7267.73093325937</v>
      </c>
      <c r="I6" s="0" t="n">
        <f aca="false">H6*(1+I5/100)</f>
        <v>7522.10151592344</v>
      </c>
      <c r="J6" s="0" t="n">
        <f aca="false">I6*(1+J5/100)</f>
        <v>7785.37506898076</v>
      </c>
      <c r="K6" s="0" t="n">
        <f aca="false">J6*(1+K5/100)</f>
        <v>8018.93632105019</v>
      </c>
      <c r="L6" s="0" t="n">
        <f aca="false">K6*(1+L5/100)</f>
        <v>8259.50441068169</v>
      </c>
    </row>
    <row r="7" customFormat="false" ht="15" hidden="false" customHeight="false" outlineLevel="0" collapsed="false">
      <c r="A7" s="0" t="s">
        <v>115</v>
      </c>
      <c r="C7" s="4" t="n">
        <f aca="false">Assumptions!C28</f>
        <v>26.2</v>
      </c>
      <c r="D7" s="4" t="n">
        <f aca="false">Assumptions!D28</f>
        <v>26.5</v>
      </c>
      <c r="E7" s="4" t="n">
        <f aca="false">Assumptions!E28</f>
        <v>26.8</v>
      </c>
      <c r="F7" s="4" t="n">
        <f aca="false">Assumptions!F28</f>
        <v>27.1</v>
      </c>
      <c r="G7" s="4" t="n">
        <f aca="false">Assumptions!G28</f>
        <v>27.4</v>
      </c>
      <c r="H7" s="4" t="n">
        <f aca="false">Assumptions!H28</f>
        <v>27.6</v>
      </c>
      <c r="I7" s="4" t="n">
        <f aca="false">Assumptions!I28</f>
        <v>27.8</v>
      </c>
      <c r="J7" s="4" t="n">
        <f aca="false">Assumptions!J28</f>
        <v>27.9</v>
      </c>
      <c r="K7" s="4" t="n">
        <f aca="false">Assumptions!K28</f>
        <v>28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67</v>
      </c>
      <c r="C8" s="0" t="n">
        <f aca="false">C6*C7/100</f>
        <v>1542.71102</v>
      </c>
      <c r="D8" s="0" t="n">
        <f aca="false">D6*D7/100</f>
        <v>1630.59255425</v>
      </c>
      <c r="E8" s="0" t="n">
        <f aca="false">E6*E7/100</f>
        <v>1723.259436767</v>
      </c>
      <c r="F8" s="0" t="n">
        <f aca="false">F6*F7/100</f>
        <v>1820.96438878817</v>
      </c>
      <c r="G8" s="0" t="n">
        <f aca="false">G6*G7/100</f>
        <v>1914.76757280103</v>
      </c>
      <c r="H8" s="0" t="n">
        <f aca="false">H6*H7/100</f>
        <v>2005.89373757959</v>
      </c>
      <c r="I8" s="0" t="n">
        <f aca="false">I6*I7/100</f>
        <v>2091.14422142672</v>
      </c>
      <c r="J8" s="0" t="n">
        <f aca="false">J6*J7/100</f>
        <v>2172.11964424563</v>
      </c>
      <c r="K8" s="0" t="n">
        <f aca="false">K6*K7/100</f>
        <v>2245.30216989405</v>
      </c>
      <c r="L8" s="0" t="n">
        <f aca="false">L6*L7/100</f>
        <v>2312.66123499087</v>
      </c>
    </row>
    <row r="9" customFormat="false" ht="15" hidden="false" customHeight="false" outlineLevel="0" collapsed="false">
      <c r="A9" s="0" t="s">
        <v>116</v>
      </c>
      <c r="C9" s="4" t="n">
        <f aca="false">Assumptions!C29</f>
        <v>1.55</v>
      </c>
      <c r="D9" s="4" t="n">
        <f aca="false">Assumptions!D29</f>
        <v>1.55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1.45</v>
      </c>
      <c r="I9" s="4" t="n">
        <f aca="false">Assumptions!I29</f>
        <v>1.45</v>
      </c>
      <c r="J9" s="4" t="n">
        <f aca="false">Assumptions!J29</f>
        <v>1.4</v>
      </c>
      <c r="K9" s="4" t="n">
        <f aca="false">Assumptions!K29</f>
        <v>1.4</v>
      </c>
      <c r="L9" s="4" t="n">
        <f aca="false">Assumptions!L29</f>
        <v>1.4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-91.267255</v>
      </c>
      <c r="D10" s="0" t="n">
        <f aca="false">-D6*D9/100</f>
        <v>-95.374281475</v>
      </c>
      <c r="E10" s="0" t="n">
        <f aca="false">-E6*E9/100</f>
        <v>-96.45108787875</v>
      </c>
      <c r="F10" s="0" t="n">
        <f aca="false">-F6*F9/100</f>
        <v>-100.791386833294</v>
      </c>
      <c r="G10" s="0" t="n">
        <f aca="false">-G6*G9/100</f>
        <v>-104.823042306625</v>
      </c>
      <c r="H10" s="0" t="n">
        <f aca="false">-H6*H9/100</f>
        <v>-105.382098532261</v>
      </c>
      <c r="I10" s="0" t="n">
        <f aca="false">-I6*I9/100</f>
        <v>-109.07047198089</v>
      </c>
      <c r="J10" s="0" t="n">
        <f aca="false">-J6*J9/100</f>
        <v>-108.995250965731</v>
      </c>
      <c r="K10" s="0" t="n">
        <f aca="false">-K6*K9/100</f>
        <v>-112.265108494703</v>
      </c>
      <c r="L10" s="0" t="n">
        <f aca="false">-L6*L9/100</f>
        <v>-115.633061749544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1451.443765</v>
      </c>
      <c r="D11" s="0" t="n">
        <f aca="false">D8+D10+D24</f>
        <v>1535.218272775</v>
      </c>
      <c r="E11" s="0" t="n">
        <f aca="false">E8+E10+E24</f>
        <v>1626.80834888825</v>
      </c>
      <c r="F11" s="0" t="n">
        <f aca="false">F8+F10+F24</f>
        <v>1720.17300195488</v>
      </c>
      <c r="G11" s="0" t="n">
        <f aca="false">G8+G10+G24</f>
        <v>1809.9445304944</v>
      </c>
      <c r="H11" s="0" t="n">
        <f aca="false">H8+H10+H24</f>
        <v>1900.51163904732</v>
      </c>
      <c r="I11" s="0" t="n">
        <f aca="false">I8+I10+I24</f>
        <v>1982.07374944583</v>
      </c>
      <c r="J11" s="0" t="n">
        <f aca="false">J8+J10+J24</f>
        <v>2063.1243932799</v>
      </c>
      <c r="K11" s="0" t="n">
        <f aca="false">K8+K10+K24</f>
        <v>2133.03706139935</v>
      </c>
      <c r="L11" s="0" t="n">
        <f aca="false">L8+L10+L24</f>
        <v>2197.02817324133</v>
      </c>
    </row>
    <row r="12" customFormat="false" ht="15" hidden="false" customHeight="false" outlineLevel="0" collapsed="false">
      <c r="A12" s="0" t="s">
        <v>133</v>
      </c>
      <c r="C12" s="4" t="n">
        <f aca="false">-C6*Assumptions!C31/100</f>
        <v>-103.043675</v>
      </c>
      <c r="D12" s="4" t="n">
        <f aca="false">-D6*Assumptions!D31/100</f>
        <v>-104.60405065</v>
      </c>
      <c r="E12" s="4" t="n">
        <f aca="false">-E6*Assumptions!E31/100</f>
        <v>-106.096196666625</v>
      </c>
      <c r="F12" s="4" t="n">
        <f aca="false">-F6*Assumptions!F31/100</f>
        <v>-107.51081262218</v>
      </c>
      <c r="G12" s="4" t="n">
        <f aca="false">-G6*Assumptions!G31/100</f>
        <v>-108.317143716846</v>
      </c>
      <c r="H12" s="4" t="n">
        <f aca="false">-H6*Assumptions!H31/100</f>
        <v>-109.015963998891</v>
      </c>
      <c r="I12" s="4" t="n">
        <f aca="false">-I6*Assumptions!I31/100</f>
        <v>-112.831522738852</v>
      </c>
      <c r="J12" s="4" t="n">
        <f aca="false">-J6*Assumptions!J31/100</f>
        <v>-112.887938500221</v>
      </c>
      <c r="K12" s="4" t="n">
        <f aca="false">-K6*Assumptions!K31/100</f>
        <v>-116.274576655228</v>
      </c>
      <c r="L12" s="4" t="n">
        <f aca="false">-L6*Assumptions!L31/100</f>
        <v>-119.762813954885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1348.40009</v>
      </c>
      <c r="D13" s="0" t="n">
        <f aca="false">D11+D12</f>
        <v>1430.614222125</v>
      </c>
      <c r="E13" s="0" t="n">
        <f aca="false">E11+E12</f>
        <v>1520.71215222162</v>
      </c>
      <c r="F13" s="0" t="n">
        <f aca="false">F11+F12</f>
        <v>1612.6621893327</v>
      </c>
      <c r="G13" s="0" t="n">
        <f aca="false">G11+G12</f>
        <v>1701.62738677755</v>
      </c>
      <c r="H13" s="0" t="n">
        <f aca="false">H11+H12</f>
        <v>1791.49567504843</v>
      </c>
      <c r="I13" s="0" t="n">
        <f aca="false">I11+I12</f>
        <v>1869.24222670698</v>
      </c>
      <c r="J13" s="0" t="n">
        <f aca="false">J11+J12</f>
        <v>1950.23645477968</v>
      </c>
      <c r="K13" s="0" t="n">
        <f aca="false">K11+K12</f>
        <v>2016.76248474412</v>
      </c>
      <c r="L13" s="0" t="n">
        <f aca="false">L11+L12</f>
        <v>2077.26535928645</v>
      </c>
    </row>
    <row r="14" customFormat="false" ht="15" hidden="false" customHeight="false" outlineLevel="0" collapsed="false">
      <c r="A14" s="0" t="s">
        <v>120</v>
      </c>
      <c r="C14" s="4" t="n">
        <f aca="false">Assumptions!C33</f>
        <v>20</v>
      </c>
      <c r="D14" s="4" t="n">
        <f aca="false">Assumptions!D33</f>
        <v>20.5</v>
      </c>
      <c r="E14" s="4" t="n">
        <f aca="false">Assumptions!E33</f>
        <v>20.5</v>
      </c>
      <c r="F14" s="4" t="n">
        <f aca="false">Assumptions!F33</f>
        <v>20.5</v>
      </c>
      <c r="G14" s="4" t="n">
        <f aca="false">Assumptions!G33</f>
        <v>20.5</v>
      </c>
      <c r="H14" s="4" t="n">
        <f aca="false">Assumptions!H33</f>
        <v>20.5</v>
      </c>
      <c r="I14" s="4" t="n">
        <f aca="false">Assumptions!I33</f>
        <v>20.5</v>
      </c>
      <c r="J14" s="4" t="n">
        <f aca="false">Assumptions!J33</f>
        <v>20.5</v>
      </c>
      <c r="K14" s="4" t="n">
        <f aca="false">Assumptions!K33</f>
        <v>20.5</v>
      </c>
      <c r="L14" s="4" t="n">
        <f aca="false">Assumptions!L33</f>
        <v>20.5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1078.720072</v>
      </c>
      <c r="D15" s="0" t="n">
        <f aca="false">D13-MAX(0,D13)*D14/100</f>
        <v>1137.33830658937</v>
      </c>
      <c r="E15" s="0" t="n">
        <f aca="false">E13-MAX(0,E13)*E14/100</f>
        <v>1208.96616101619</v>
      </c>
      <c r="F15" s="0" t="n">
        <f aca="false">F13-MAX(0,F13)*F14/100</f>
        <v>1282.0664405195</v>
      </c>
      <c r="G15" s="0" t="n">
        <f aca="false">G13-MAX(0,G13)*G14/100</f>
        <v>1352.79377248816</v>
      </c>
      <c r="H15" s="0" t="n">
        <f aca="false">H13-MAX(0,H13)*H14/100</f>
        <v>1424.23906166351</v>
      </c>
      <c r="I15" s="0" t="n">
        <f aca="false">I13-MAX(0,I13)*I14/100</f>
        <v>1486.04757023205</v>
      </c>
      <c r="J15" s="0" t="n">
        <f aca="false">J13-MAX(0,J13)*J14/100</f>
        <v>1550.43798154985</v>
      </c>
      <c r="K15" s="0" t="n">
        <f aca="false">K13-MAX(0,K13)*K14/100</f>
        <v>1603.32617537158</v>
      </c>
      <c r="L15" s="0" t="n">
        <f aca="false">L13-MAX(0,L13)*L14/100</f>
        <v>1651.42596063272</v>
      </c>
    </row>
    <row r="16" customFormat="false" ht="15" hidden="false" customHeight="false" outlineLevel="0" collapsed="false">
      <c r="A16" s="0" t="s">
        <v>136</v>
      </c>
      <c r="C16" s="0" t="n">
        <f aca="false">-C12</f>
        <v>103.043675</v>
      </c>
      <c r="D16" s="0" t="n">
        <f aca="false">-D12</f>
        <v>104.60405065</v>
      </c>
      <c r="E16" s="0" t="n">
        <f aca="false">-E12</f>
        <v>106.096196666625</v>
      </c>
      <c r="F16" s="0" t="n">
        <f aca="false">-F12</f>
        <v>107.51081262218</v>
      </c>
      <c r="G16" s="0" t="n">
        <f aca="false">-G12</f>
        <v>108.317143716846</v>
      </c>
      <c r="H16" s="0" t="n">
        <f aca="false">-H12</f>
        <v>109.015963998891</v>
      </c>
      <c r="I16" s="0" t="n">
        <f aca="false">-I12</f>
        <v>112.831522738852</v>
      </c>
      <c r="J16" s="0" t="n">
        <f aca="false">-J12</f>
        <v>112.887938500221</v>
      </c>
      <c r="K16" s="0" t="n">
        <f aca="false">-K12</f>
        <v>116.274576655228</v>
      </c>
      <c r="L16" s="0" t="n">
        <f aca="false">-L12</f>
        <v>119.762813954885</v>
      </c>
    </row>
    <row r="17" customFormat="false" ht="15" hidden="false" customHeight="false" outlineLevel="0" collapsed="false">
      <c r="A17" s="0" t="s">
        <v>137</v>
      </c>
      <c r="C17" s="4" t="n">
        <f aca="false">-C6*Assumptions!C32/100</f>
        <v>-67.714415</v>
      </c>
      <c r="D17" s="4" t="n">
        <f aca="false">-D6*Assumptions!D32/100</f>
        <v>-73.8381534</v>
      </c>
      <c r="E17" s="4" t="n">
        <f aca="false">-E6*Assumptions!E32/100</f>
        <v>-80.375906565625</v>
      </c>
      <c r="F17" s="4" t="n">
        <f aca="false">-F6*Assumptions!F32/100</f>
        <v>-83.9928223610781</v>
      </c>
      <c r="G17" s="4" t="n">
        <f aca="false">-G6*Assumptions!G32/100</f>
        <v>-90.8466366657421</v>
      </c>
      <c r="H17" s="4" t="n">
        <f aca="false">-H6*Assumptions!H32/100</f>
        <v>-94.4805021323718</v>
      </c>
      <c r="I17" s="4" t="n">
        <f aca="false">-I6*Assumptions!I32/100</f>
        <v>-97.7873197070048</v>
      </c>
      <c r="J17" s="4" t="n">
        <f aca="false">-J6*Assumptions!J32/100</f>
        <v>-101.20987589675</v>
      </c>
      <c r="K17" s="4" t="n">
        <f aca="false">-K6*Assumptions!K32/100</f>
        <v>-104.246172173652</v>
      </c>
      <c r="L17" s="4" t="n">
        <f aca="false">-L6*Assumptions!L32/100</f>
        <v>-107.373557338862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(C6-B6)*Assumptions!$B$37/100</f>
        <v>-38.521</v>
      </c>
      <c r="D18" s="4" t="n">
        <f aca="false">(D6-C6)*Assumptions!$B$37/100</f>
        <v>-26.496945</v>
      </c>
      <c r="E18" s="4" t="n">
        <f aca="false">(E6-D6)*Assumptions!$B$37/100</f>
        <v>-27.6893075249999</v>
      </c>
      <c r="F18" s="4" t="n">
        <f aca="false">(F6-E6)*Assumptions!$B$37/100</f>
        <v>-28.935326363625</v>
      </c>
      <c r="G18" s="4" t="n">
        <f aca="false">(G6-F6)*Assumptions!$B$37/100</f>
        <v>-26.877703155545</v>
      </c>
      <c r="H18" s="4" t="n">
        <f aca="false">(H6-G6)*Assumptions!$B$37/100</f>
        <v>-27.9528112817668</v>
      </c>
      <c r="I18" s="4" t="n">
        <f aca="false">(I6-H6)*Assumptions!$B$37/100</f>
        <v>-25.4370582664077</v>
      </c>
      <c r="J18" s="4" t="n">
        <f aca="false">(J6-I6)*Assumptions!$B$37/100</f>
        <v>-26.327355305732</v>
      </c>
      <c r="K18" s="4" t="n">
        <f aca="false">(K6-J6)*Assumptions!$B$37/100</f>
        <v>-23.3561252069423</v>
      </c>
      <c r="L18" s="4" t="n">
        <f aca="false">(L6-K6)*Assumptions!$B$37/100</f>
        <v>-24.0568089631506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1075.528332</v>
      </c>
      <c r="D19" s="0" t="n">
        <f aca="false">D15+D16+D17+D18</f>
        <v>1141.60725883938</v>
      </c>
      <c r="E19" s="0" t="n">
        <f aca="false">E15+E16+E17+E18</f>
        <v>1206.99714359219</v>
      </c>
      <c r="F19" s="0" t="n">
        <f aca="false">F15+F16+F17+F18</f>
        <v>1276.64910441697</v>
      </c>
      <c r="G19" s="0" t="n">
        <f aca="false">G15+G16+G17+G18</f>
        <v>1343.38657638371</v>
      </c>
      <c r="H19" s="0" t="n">
        <f aca="false">H15+H16+H17+H18</f>
        <v>1410.82171224826</v>
      </c>
      <c r="I19" s="0" t="n">
        <f aca="false">I15+I16+I17+I18</f>
        <v>1475.65471499748</v>
      </c>
      <c r="J19" s="0" t="n">
        <f aca="false">J15+J16+J17+J18</f>
        <v>1535.78868884759</v>
      </c>
      <c r="K19" s="0" t="n">
        <f aca="false">K15+K16+K17+K18</f>
        <v>1591.99845464621</v>
      </c>
      <c r="L19" s="0" t="n">
        <f aca="false">L15+L16+L17+L18</f>
        <v>1639.7584082856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991.270352073732</v>
      </c>
      <c r="D21" s="0" t="n">
        <f aca="false">D19*D20</f>
        <v>969.744321467328</v>
      </c>
      <c r="E21" s="0" t="n">
        <f aca="false">E19*E20</f>
        <v>944.967838501085</v>
      </c>
      <c r="F21" s="0" t="n">
        <f aca="false">F19*F20</f>
        <v>921.197163781001</v>
      </c>
      <c r="G21" s="0" t="n">
        <f aca="false">G19*G20</f>
        <v>893.41309433111</v>
      </c>
      <c r="H21" s="0" t="n">
        <f aca="false">H19*H20</f>
        <v>864.756242218118</v>
      </c>
      <c r="I21" s="0" t="n">
        <f aca="false">I19*I20</f>
        <v>833.636233144113</v>
      </c>
      <c r="J21" s="0" t="n">
        <f aca="false">J19*J20</f>
        <v>799.638248431995</v>
      </c>
      <c r="K21" s="0" t="n">
        <f aca="false">K19*K20</f>
        <v>763.967701517655</v>
      </c>
      <c r="L21" s="0" t="n">
        <f aca="false">L19*L20</f>
        <v>725.241228168834</v>
      </c>
    </row>
    <row r="23" customFormat="false" ht="15" hidden="false" customHeight="false" outlineLevel="0" collapsed="false">
      <c r="A23" s="0" t="s">
        <v>117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122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123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8707.83242363497</v>
      </c>
    </row>
    <row r="31" customFormat="false" ht="15" hidden="false" customHeight="false" outlineLevel="0" collapsed="false">
      <c r="A31" s="0" t="s">
        <v>145</v>
      </c>
      <c r="B31" s="0" t="n">
        <f aca="false">L19</f>
        <v>1639.7584082856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28012.5394748789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29515.6513491407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28012.5394748789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12389.5376478842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21097.3700715192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19837.3700715192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81.0350084620883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-0.14411693639535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671.063649786339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873.68978542635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87.3452757627937</v>
      </c>
    </row>
    <row r="45" customFormat="false" ht="15" hidden="false" customHeight="false" outlineLevel="0" collapsed="false">
      <c r="A45" s="0" t="s">
        <v>97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13446.0189479419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35.0415498248822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160</v>
      </c>
    </row>
    <row r="3" customFormat="false" ht="15" hidden="false" customHeight="false" outlineLevel="0" collapsed="false">
      <c r="A3" s="0" t="s">
        <v>129</v>
      </c>
      <c r="B3" s="0" t="s">
        <v>91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Assumptions!C41</f>
        <v>7.5</v>
      </c>
      <c r="D5" s="4" t="n">
        <f aca="false">Assumptions!D41</f>
        <v>6.5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61</v>
      </c>
      <c r="B6" s="3" t="n">
        <v>5503</v>
      </c>
      <c r="C6" s="0" t="n">
        <f aca="false">B6*(1+C5/100)</f>
        <v>5915.725</v>
      </c>
      <c r="D6" s="0" t="n">
        <f aca="false">C6*(1+D5/100)</f>
        <v>6300.247125</v>
      </c>
      <c r="E6" s="0" t="n">
        <f aca="false">D6*(1+E5/100)</f>
        <v>6709.763188125</v>
      </c>
      <c r="F6" s="0" t="n">
        <f aca="false">E6*(1+F5/100)</f>
        <v>7112.3489794125</v>
      </c>
      <c r="G6" s="0" t="n">
        <f aca="false">F6*(1+G5/100)</f>
        <v>7539.08991817725</v>
      </c>
      <c r="H6" s="0" t="n">
        <f aca="false">G6*(1+H5/100)</f>
        <v>7953.739863677</v>
      </c>
      <c r="I6" s="0" t="n">
        <f aca="false">H6*(1+I5/100)</f>
        <v>8351.42685686085</v>
      </c>
      <c r="J6" s="0" t="n">
        <f aca="false">I6*(1+J5/100)</f>
        <v>8727.24106541959</v>
      </c>
      <c r="K6" s="0" t="n">
        <f aca="false">J6*(1+K5/100)</f>
        <v>9076.33070803637</v>
      </c>
      <c r="L6" s="0" t="n">
        <f aca="false">K6*(1+L5/100)</f>
        <v>9394.00228281764</v>
      </c>
    </row>
    <row r="7" customFormat="false" ht="15" hidden="false" customHeight="false" outlineLevel="0" collapsed="false">
      <c r="A7" s="0" t="s">
        <v>115</v>
      </c>
      <c r="C7" s="4" t="n">
        <f aca="false">Assumptions!C42</f>
        <v>26.3</v>
      </c>
      <c r="D7" s="4" t="n">
        <f aca="false">Assumptions!D42</f>
        <v>26.8</v>
      </c>
      <c r="E7" s="4" t="n">
        <f aca="false">Assumptions!E42</f>
        <v>27.3</v>
      </c>
      <c r="F7" s="4" t="n">
        <f aca="false">Assumptions!F42</f>
        <v>27.8</v>
      </c>
      <c r="G7" s="4" t="n">
        <f aca="false">Assumptions!G42</f>
        <v>28.3</v>
      </c>
      <c r="H7" s="4" t="n">
        <f aca="false">Assumptions!H42</f>
        <v>28.7</v>
      </c>
      <c r="I7" s="4" t="n">
        <f aca="false">Assumptions!I42</f>
        <v>29</v>
      </c>
      <c r="J7" s="4" t="n">
        <f aca="false">Assumptions!J42</f>
        <v>29.2</v>
      </c>
      <c r="K7" s="4" t="n">
        <f aca="false">Assumptions!K42</f>
        <v>29.4</v>
      </c>
      <c r="L7" s="4" t="n">
        <f aca="false">Assumptions!L42</f>
        <v>29.5</v>
      </c>
    </row>
    <row r="8" customFormat="false" ht="15" hidden="false" customHeight="false" outlineLevel="0" collapsed="false">
      <c r="A8" s="0" t="s">
        <v>67</v>
      </c>
      <c r="C8" s="0" t="n">
        <f aca="false">C6*C7/100</f>
        <v>1555.835675</v>
      </c>
      <c r="D8" s="0" t="n">
        <f aca="false">D6*D7/100</f>
        <v>1688.4662295</v>
      </c>
      <c r="E8" s="0" t="n">
        <f aca="false">E6*E7/100</f>
        <v>1831.76535035812</v>
      </c>
      <c r="F8" s="0" t="n">
        <f aca="false">F6*F7/100</f>
        <v>1977.23301627667</v>
      </c>
      <c r="G8" s="0" t="n">
        <f aca="false">G6*G7/100</f>
        <v>2133.56244684416</v>
      </c>
      <c r="H8" s="0" t="n">
        <f aca="false">H6*H7/100</f>
        <v>2282.7233408753</v>
      </c>
      <c r="I8" s="0" t="n">
        <f aca="false">I6*I7/100</f>
        <v>2421.91378848965</v>
      </c>
      <c r="J8" s="0" t="n">
        <f aca="false">J6*J7/100</f>
        <v>2548.35439110252</v>
      </c>
      <c r="K8" s="0" t="n">
        <f aca="false">K6*K7/100</f>
        <v>2668.44122816269</v>
      </c>
      <c r="L8" s="0" t="n">
        <f aca="false">L6*L7/100</f>
        <v>2771.2306734312</v>
      </c>
    </row>
    <row r="9" customFormat="false" ht="15" hidden="false" customHeight="false" outlineLevel="0" collapsed="false">
      <c r="A9" s="0" t="s">
        <v>116</v>
      </c>
      <c r="C9" s="4" t="n">
        <f aca="false">Assumptions!C43</f>
        <v>1.55</v>
      </c>
      <c r="D9" s="4" t="n">
        <f aca="false">Assumptions!D43</f>
        <v>1.55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1.45</v>
      </c>
      <c r="I9" s="4" t="n">
        <f aca="false">Assumptions!I43</f>
        <v>1.45</v>
      </c>
      <c r="J9" s="4" t="n">
        <f aca="false">Assumptions!J43</f>
        <v>1.4</v>
      </c>
      <c r="K9" s="4" t="n">
        <f aca="false">Assumptions!K43</f>
        <v>1.4</v>
      </c>
      <c r="L9" s="4" t="n">
        <f aca="false">Assumptions!L43</f>
        <v>1.4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-91.6937375</v>
      </c>
      <c r="D10" s="0" t="n">
        <f aca="false">-D6*D9/100</f>
        <v>-97.6538304375</v>
      </c>
      <c r="E10" s="0" t="n">
        <f aca="false">-E6*E9/100</f>
        <v>-100.646447821875</v>
      </c>
      <c r="F10" s="0" t="n">
        <f aca="false">-F6*F9/100</f>
        <v>-106.685234691187</v>
      </c>
      <c r="G10" s="0" t="n">
        <f aca="false">-G6*G9/100</f>
        <v>-113.086348772659</v>
      </c>
      <c r="H10" s="0" t="n">
        <f aca="false">-H6*H9/100</f>
        <v>-115.329228023316</v>
      </c>
      <c r="I10" s="0" t="n">
        <f aca="false">-I6*I9/100</f>
        <v>-121.095689424482</v>
      </c>
      <c r="J10" s="0" t="n">
        <f aca="false">-J6*J9/100</f>
        <v>-122.181374915874</v>
      </c>
      <c r="K10" s="0" t="n">
        <f aca="false">-K6*K9/100</f>
        <v>-127.068629912509</v>
      </c>
      <c r="L10" s="0" t="n">
        <f aca="false">-L6*L9/100</f>
        <v>-131.516031959447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1464.1419375</v>
      </c>
      <c r="D11" s="0" t="n">
        <f aca="false">D8+D10+D24</f>
        <v>1590.8123990625</v>
      </c>
      <c r="E11" s="0" t="n">
        <f aca="false">E8+E10+E24</f>
        <v>1731.11890253625</v>
      </c>
      <c r="F11" s="0" t="n">
        <f aca="false">F8+F10+F24</f>
        <v>1870.54778158549</v>
      </c>
      <c r="G11" s="0" t="n">
        <f aca="false">G8+G10+G24</f>
        <v>2020.4760980715</v>
      </c>
      <c r="H11" s="0" t="n">
        <f aca="false">H8+H10+H24</f>
        <v>2167.39411285198</v>
      </c>
      <c r="I11" s="0" t="n">
        <f aca="false">I8+I10+I24</f>
        <v>2300.81809906516</v>
      </c>
      <c r="J11" s="0" t="n">
        <f aca="false">J8+J10+J24</f>
        <v>2426.17301618664</v>
      </c>
      <c r="K11" s="0" t="n">
        <f aca="false">K8+K10+K24</f>
        <v>2541.37259825018</v>
      </c>
      <c r="L11" s="0" t="n">
        <f aca="false">L8+L10+L24</f>
        <v>2639.71464147176</v>
      </c>
    </row>
    <row r="12" customFormat="false" ht="15" hidden="false" customHeight="false" outlineLevel="0" collapsed="false">
      <c r="A12" s="0" t="s">
        <v>133</v>
      </c>
      <c r="C12" s="4" t="n">
        <f aca="false">-C6*Assumptions!C45/100</f>
        <v>-103.5251875</v>
      </c>
      <c r="D12" s="4" t="n">
        <f aca="false">-D6*Assumptions!D45/100</f>
        <v>-107.104201125</v>
      </c>
      <c r="E12" s="4" t="n">
        <f aca="false">-E6*Assumptions!E45/100</f>
        <v>-110.711092604062</v>
      </c>
      <c r="F12" s="4" t="n">
        <f aca="false">-F6*Assumptions!F45/100</f>
        <v>-113.7975836706</v>
      </c>
      <c r="G12" s="4" t="n">
        <f aca="false">-G6*Assumptions!G45/100</f>
        <v>-116.855893731747</v>
      </c>
      <c r="H12" s="4" t="n">
        <f aca="false">-H6*Assumptions!H45/100</f>
        <v>-119.306097955155</v>
      </c>
      <c r="I12" s="4" t="n">
        <f aca="false">-I6*Assumptions!I45/100</f>
        <v>-125.271402852913</v>
      </c>
      <c r="J12" s="4" t="n">
        <f aca="false">-J6*Assumptions!J45/100</f>
        <v>-126.544995448584</v>
      </c>
      <c r="K12" s="4" t="n">
        <f aca="false">-K6*Assumptions!K45/100</f>
        <v>-131.606795266527</v>
      </c>
      <c r="L12" s="4" t="n">
        <f aca="false">-L6*Assumptions!L45/100</f>
        <v>-136.213033100856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1360.61675</v>
      </c>
      <c r="D13" s="0" t="n">
        <f aca="false">D11+D12</f>
        <v>1483.7081979375</v>
      </c>
      <c r="E13" s="0" t="n">
        <f aca="false">E11+E12</f>
        <v>1620.40780993219</v>
      </c>
      <c r="F13" s="0" t="n">
        <f aca="false">F11+F12</f>
        <v>1756.75019791489</v>
      </c>
      <c r="G13" s="0" t="n">
        <f aca="false">G11+G12</f>
        <v>1903.62020433976</v>
      </c>
      <c r="H13" s="0" t="n">
        <f aca="false">H11+H12</f>
        <v>2048.08801489683</v>
      </c>
      <c r="I13" s="0" t="n">
        <f aca="false">I11+I12</f>
        <v>2175.54669621225</v>
      </c>
      <c r="J13" s="0" t="n">
        <f aca="false">J11+J12</f>
        <v>2299.62802073806</v>
      </c>
      <c r="K13" s="0" t="n">
        <f aca="false">K11+K12</f>
        <v>2409.76580298366</v>
      </c>
      <c r="L13" s="0" t="n">
        <f aca="false">L11+L12</f>
        <v>2503.5016083709</v>
      </c>
    </row>
    <row r="14" customFormat="false" ht="15" hidden="false" customHeight="false" outlineLevel="0" collapsed="false">
      <c r="A14" s="0" t="s">
        <v>120</v>
      </c>
      <c r="C14" s="4" t="n">
        <f aca="false">Assumptions!C47</f>
        <v>20</v>
      </c>
      <c r="D14" s="4" t="n">
        <f aca="false">Assumptions!D47</f>
        <v>20.5</v>
      </c>
      <c r="E14" s="4" t="n">
        <f aca="false">Assumptions!E47</f>
        <v>20.5</v>
      </c>
      <c r="F14" s="4" t="n">
        <f aca="false">Assumptions!F47</f>
        <v>20.5</v>
      </c>
      <c r="G14" s="4" t="n">
        <f aca="false">Assumptions!G47</f>
        <v>20.5</v>
      </c>
      <c r="H14" s="4" t="n">
        <f aca="false">Assumptions!H47</f>
        <v>20.5</v>
      </c>
      <c r="I14" s="4" t="n">
        <f aca="false">Assumptions!I47</f>
        <v>20.5</v>
      </c>
      <c r="J14" s="4" t="n">
        <f aca="false">Assumptions!J47</f>
        <v>20.5</v>
      </c>
      <c r="K14" s="4" t="n">
        <f aca="false">Assumptions!K47</f>
        <v>20.5</v>
      </c>
      <c r="L14" s="4" t="n">
        <f aca="false">Assumptions!L47</f>
        <v>20.5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1088.4934</v>
      </c>
      <c r="D15" s="0" t="n">
        <f aca="false">D13-MAX(0,D13)*D14/100</f>
        <v>1179.54801736031</v>
      </c>
      <c r="E15" s="0" t="n">
        <f aca="false">E13-MAX(0,E13)*E14/100</f>
        <v>1288.22420889609</v>
      </c>
      <c r="F15" s="0" t="n">
        <f aca="false">F13-MAX(0,F13)*F14/100</f>
        <v>1396.61640734234</v>
      </c>
      <c r="G15" s="0" t="n">
        <f aca="false">G13-MAX(0,G13)*G14/100</f>
        <v>1513.37806245011</v>
      </c>
      <c r="H15" s="0" t="n">
        <f aca="false">H13-MAX(0,H13)*H14/100</f>
        <v>1628.22997184298</v>
      </c>
      <c r="I15" s="0" t="n">
        <f aca="false">I13-MAX(0,I13)*I14/100</f>
        <v>1729.55962348874</v>
      </c>
      <c r="J15" s="0" t="n">
        <f aca="false">J13-MAX(0,J13)*J14/100</f>
        <v>1828.20427648676</v>
      </c>
      <c r="K15" s="0" t="n">
        <f aca="false">K13-MAX(0,K13)*K14/100</f>
        <v>1915.76381337201</v>
      </c>
      <c r="L15" s="0" t="n">
        <f aca="false">L13-MAX(0,L13)*L14/100</f>
        <v>1990.28377865487</v>
      </c>
    </row>
    <row r="16" customFormat="false" ht="15" hidden="false" customHeight="false" outlineLevel="0" collapsed="false">
      <c r="A16" s="0" t="s">
        <v>136</v>
      </c>
      <c r="C16" s="0" t="n">
        <f aca="false">-C12</f>
        <v>103.5251875</v>
      </c>
      <c r="D16" s="0" t="n">
        <f aca="false">-D12</f>
        <v>107.104201125</v>
      </c>
      <c r="E16" s="0" t="n">
        <f aca="false">-E12</f>
        <v>110.711092604062</v>
      </c>
      <c r="F16" s="0" t="n">
        <f aca="false">-F12</f>
        <v>113.7975836706</v>
      </c>
      <c r="G16" s="0" t="n">
        <f aca="false">-G12</f>
        <v>116.855893731747</v>
      </c>
      <c r="H16" s="0" t="n">
        <f aca="false">-H12</f>
        <v>119.306097955155</v>
      </c>
      <c r="I16" s="0" t="n">
        <f aca="false">-I12</f>
        <v>125.271402852913</v>
      </c>
      <c r="J16" s="0" t="n">
        <f aca="false">-J12</f>
        <v>126.544995448584</v>
      </c>
      <c r="K16" s="0" t="n">
        <f aca="false">-K12</f>
        <v>131.606795266527</v>
      </c>
      <c r="L16" s="0" t="n">
        <f aca="false">-L12</f>
        <v>136.213033100856</v>
      </c>
    </row>
    <row r="17" customFormat="false" ht="15" hidden="false" customHeight="false" outlineLevel="0" collapsed="false">
      <c r="A17" s="0" t="s">
        <v>137</v>
      </c>
      <c r="C17" s="4" t="n">
        <f aca="false">-C6*Assumptions!C46/100</f>
        <v>-68.0308375</v>
      </c>
      <c r="D17" s="4" t="n">
        <f aca="false">-D6*Assumptions!D46/100</f>
        <v>-75.6029655</v>
      </c>
      <c r="E17" s="4" t="n">
        <f aca="false">-E6*Assumptions!E46/100</f>
        <v>-83.8720398515625</v>
      </c>
      <c r="F17" s="4" t="n">
        <f aca="false">-F6*Assumptions!F46/100</f>
        <v>-88.9043622426562</v>
      </c>
      <c r="G17" s="4" t="n">
        <f aca="false">-G6*Assumptions!G46/100</f>
        <v>-98.0081689363042</v>
      </c>
      <c r="H17" s="4" t="n">
        <f aca="false">-H6*Assumptions!H46/100</f>
        <v>-103.398618227801</v>
      </c>
      <c r="I17" s="4" t="n">
        <f aca="false">-I6*Assumptions!I46/100</f>
        <v>-108.568549139191</v>
      </c>
      <c r="J17" s="4" t="n">
        <f aca="false">-J6*Assumptions!J46/100</f>
        <v>-113.454133850455</v>
      </c>
      <c r="K17" s="4" t="n">
        <f aca="false">-K6*Assumptions!K46/100</f>
        <v>-117.992299204473</v>
      </c>
      <c r="L17" s="4" t="n">
        <f aca="false">-L6*Assumptions!L46/100</f>
        <v>-122.122029676629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(C6-B6)*Assumptions!$B$51/100</f>
        <v>-41.2724999999999</v>
      </c>
      <c r="D18" s="4" t="n">
        <f aca="false">(D6-C6)*Assumptions!$B$51/100</f>
        <v>-38.4522125</v>
      </c>
      <c r="E18" s="4" t="n">
        <f aca="false">(E6-D6)*Assumptions!$B$51/100</f>
        <v>-40.9516063124999</v>
      </c>
      <c r="F18" s="4" t="n">
        <f aca="false">(F6-E6)*Assumptions!$B$51/100</f>
        <v>-40.25857912875</v>
      </c>
      <c r="G18" s="4" t="n">
        <f aca="false">(G6-F6)*Assumptions!$B$51/100</f>
        <v>-42.674093876475</v>
      </c>
      <c r="H18" s="4" t="n">
        <f aca="false">(H6-G6)*Assumptions!$B$51/100</f>
        <v>-41.4649945499748</v>
      </c>
      <c r="I18" s="4" t="n">
        <f aca="false">(I6-H6)*Assumptions!$B$51/100</f>
        <v>-39.7686993183851</v>
      </c>
      <c r="J18" s="4" t="n">
        <f aca="false">(J6-I6)*Assumptions!$B$51/100</f>
        <v>-37.5814208558737</v>
      </c>
      <c r="K18" s="4" t="n">
        <f aca="false">(K6-J6)*Assumptions!$B$51/100</f>
        <v>-34.9089642616784</v>
      </c>
      <c r="L18" s="4" t="n">
        <f aca="false">(L6-K6)*Assumptions!$B$51/100</f>
        <v>-31.7671574781272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1082.71525</v>
      </c>
      <c r="D19" s="0" t="n">
        <f aca="false">D15+D16+D17+D18</f>
        <v>1172.59704048531</v>
      </c>
      <c r="E19" s="0" t="n">
        <f aca="false">E15+E16+E17+E18</f>
        <v>1274.11165533609</v>
      </c>
      <c r="F19" s="0" t="n">
        <f aca="false">F15+F16+F17+F18</f>
        <v>1381.25104964153</v>
      </c>
      <c r="G19" s="0" t="n">
        <f aca="false">G15+G16+G17+G18</f>
        <v>1489.55169336907</v>
      </c>
      <c r="H19" s="0" t="n">
        <f aca="false">H15+H16+H17+H18</f>
        <v>1602.67245702036</v>
      </c>
      <c r="I19" s="0" t="n">
        <f aca="false">I15+I16+I17+I18</f>
        <v>1706.49377788408</v>
      </c>
      <c r="J19" s="0" t="n">
        <f aca="false">J15+J16+J17+J18</f>
        <v>1803.71371722901</v>
      </c>
      <c r="K19" s="0" t="n">
        <f aca="false">K15+K16+K17+K18</f>
        <v>1894.46934517238</v>
      </c>
      <c r="L19" s="0" t="n">
        <f aca="false">L15+L16+L17+L18</f>
        <v>1972.60762460097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997.894239631336</v>
      </c>
      <c r="D21" s="0" t="n">
        <f aca="false">D19*D20</f>
        <v>996.068755323165</v>
      </c>
      <c r="E21" s="0" t="n">
        <f aca="false">E19*E20</f>
        <v>997.512333267606</v>
      </c>
      <c r="F21" s="0" t="n">
        <f aca="false">F19*F20</f>
        <v>996.675237539446</v>
      </c>
      <c r="G21" s="0" t="n">
        <f aca="false">G19*G20</f>
        <v>990.619536426642</v>
      </c>
      <c r="H21" s="0" t="n">
        <f aca="false">H19*H20</f>
        <v>982.350214351909</v>
      </c>
      <c r="I21" s="0" t="n">
        <f aca="false">I19*I20</f>
        <v>964.043302556434</v>
      </c>
      <c r="J21" s="0" t="n">
        <f aca="false">J19*J20</f>
        <v>939.138624988863</v>
      </c>
      <c r="K21" s="0" t="n">
        <f aca="false">K19*K20</f>
        <v>909.117334255603</v>
      </c>
      <c r="L21" s="0" t="n">
        <f aca="false">L19*L20</f>
        <v>872.455581951582</v>
      </c>
    </row>
    <row r="23" customFormat="false" ht="15" hidden="false" customHeight="false" outlineLevel="0" collapsed="false">
      <c r="A23" s="0" t="s">
        <v>117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122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123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9645.87516029259</v>
      </c>
    </row>
    <row r="31" customFormat="false" ht="15" hidden="false" customHeight="false" outlineLevel="0" collapsed="false">
      <c r="A31" s="0" t="s">
        <v>145</v>
      </c>
      <c r="B31" s="0" t="n">
        <f aca="false">L19</f>
        <v>1972.60762460097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36941.5609697999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39452.1524920193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36941.5609697999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16338.7136256387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25984.5887859313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24724.5887859313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100.999137197432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0.0667420489800572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720.310733996128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1089.32093568301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108.391423429781</v>
      </c>
    </row>
    <row r="45" customFormat="false" ht="15" hidden="false" customHeight="false" outlineLevel="0" collapsed="false">
      <c r="A45" s="0" t="s">
        <v>97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16931.548777825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41.1421298858301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161</v>
      </c>
    </row>
    <row r="3" customFormat="false" ht="15" hidden="false" customHeight="false" outlineLevel="0" collapsed="false">
      <c r="A3" s="2" t="s">
        <v>162</v>
      </c>
      <c r="B3" s="2" t="s">
        <v>163</v>
      </c>
      <c r="C3" s="2" t="s">
        <v>153</v>
      </c>
      <c r="D3" s="2" t="s">
        <v>164</v>
      </c>
      <c r="E3" s="2" t="s">
        <v>156</v>
      </c>
      <c r="F3" s="2" t="s">
        <v>165</v>
      </c>
    </row>
    <row r="4" customFormat="false" ht="15" hidden="false" customHeight="false" outlineLevel="0" collapsed="false">
      <c r="A4" s="0" t="s">
        <v>166</v>
      </c>
      <c r="B4" s="4" t="n">
        <f aca="false">DCF_Bear!$B$38</f>
        <v>60.3005313356709</v>
      </c>
      <c r="C4" s="0" t="n">
        <f aca="false">B4/Assumptions!$B$2-1</f>
        <v>-0.363112258812095</v>
      </c>
      <c r="D4" s="4" t="n">
        <f aca="false">Assumptions!$B$24</f>
        <v>0.2</v>
      </c>
      <c r="E4" s="4" t="n">
        <f aca="false">DCF_Bear!$B$43</f>
        <v>66.2332424440256</v>
      </c>
      <c r="F4" s="4" t="n">
        <f aca="false">DCF_Bear!$B$47</f>
        <v>28.1206410186677</v>
      </c>
    </row>
    <row r="5" customFormat="false" ht="15" hidden="false" customHeight="false" outlineLevel="0" collapsed="false">
      <c r="A5" s="0" t="s">
        <v>167</v>
      </c>
      <c r="B5" s="4" t="n">
        <f aca="false">DCF_Base!$B$38</f>
        <v>81.0350084620883</v>
      </c>
      <c r="C5" s="0" t="n">
        <f aca="false">B5/Assumptions!$B$2-1</f>
        <v>-0.14411693639535</v>
      </c>
      <c r="D5" s="4" t="n">
        <f aca="false">Assumptions!$B$38</f>
        <v>0.55</v>
      </c>
      <c r="E5" s="4" t="n">
        <f aca="false">DCF_Base!$B$43</f>
        <v>87.3452757627937</v>
      </c>
      <c r="F5" s="4" t="n">
        <f aca="false">DCF_Base!$B$47</f>
        <v>35.0415498248822</v>
      </c>
    </row>
    <row r="6" customFormat="false" ht="15" hidden="false" customHeight="false" outlineLevel="0" collapsed="false">
      <c r="A6" s="0" t="s">
        <v>168</v>
      </c>
      <c r="B6" s="4" t="n">
        <f aca="false">DCF_Bull!$B$38</f>
        <v>100.999137197432</v>
      </c>
      <c r="C6" s="0" t="n">
        <f aca="false">B6/Assumptions!$B$2-1</f>
        <v>0.0667420489800572</v>
      </c>
      <c r="D6" s="4" t="n">
        <f aca="false">Assumptions!$B$52</f>
        <v>0.25</v>
      </c>
      <c r="E6" s="4" t="n">
        <f aca="false">DCF_Bull!$B$43</f>
        <v>108.391423429781</v>
      </c>
      <c r="F6" s="4" t="n">
        <f aca="false">DCF_Bull!$B$47</f>
        <v>41.1421298858301</v>
      </c>
    </row>
    <row r="8" customFormat="false" ht="15" hidden="false" customHeight="false" outlineLevel="0" collapsed="false">
      <c r="A8" s="0" t="s">
        <v>169</v>
      </c>
      <c r="B8" s="0" t="n">
        <f aca="false">SUMPRODUCT(B4:B6,D4:D6)</f>
        <v>81.8791452206407</v>
      </c>
    </row>
    <row r="9" customFormat="false" ht="15" hidden="false" customHeight="false" outlineLevel="0" collapsed="false">
      <c r="A9" s="0" t="s">
        <v>170</v>
      </c>
      <c r="B9" s="0" t="n">
        <f aca="false">SUMPRODUCT(E4:E6,D4:D6)</f>
        <v>88.384406015787</v>
      </c>
    </row>
    <row r="10" customFormat="false" ht="15" hidden="false" customHeight="false" outlineLevel="0" collapsed="false">
      <c r="A10" s="0" t="s">
        <v>171</v>
      </c>
      <c r="B10" s="0" t="n">
        <f aca="false">1-Assumptions!$B$2/B8</f>
        <v>-0.156338402713715</v>
      </c>
    </row>
    <row r="11" customFormat="false" ht="15" hidden="false" customHeight="false" outlineLevel="0" collapsed="false">
      <c r="A11" s="0" t="s">
        <v>172</v>
      </c>
      <c r="B11" s="0" t="n">
        <f aca="false">IF(ABS(B9-B8)&gt;0.01*ABS(B8),(Assumptions!$B$2-B8)/(B9-B8)*100,"n/a")</f>
        <v>196.776965327975</v>
      </c>
    </row>
    <row r="12" customFormat="false" ht="15" hidden="false" customHeight="false" outlineLevel="0" collapsed="false">
      <c r="A12" s="0" t="s">
        <v>173</v>
      </c>
      <c r="B12" s="0" t="n">
        <f aca="false">SUMPRODUCT(F4:F6,D4:D6)</f>
        <v>35.1825130788763</v>
      </c>
    </row>
    <row r="14" customFormat="false" ht="15" hidden="false" customHeight="false" outlineLevel="0" collapsed="false">
      <c r="A14" s="2" t="s">
        <v>174</v>
      </c>
      <c r="C14" s="0" t="s">
        <v>175</v>
      </c>
    </row>
    <row r="15" customFormat="false" ht="15" hidden="false" customHeight="false" outlineLevel="0" collapsed="false">
      <c r="A15" s="0" t="s">
        <v>176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81.0350084620883</v>
      </c>
      <c r="C15" s="3" t="n">
        <v>8.5</v>
      </c>
    </row>
    <row r="16" customFormat="false" ht="15" hidden="false" customHeight="false" outlineLevel="0" collapsed="false">
      <c r="A16" s="0" t="s">
        <v>177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74.2017612562815</v>
      </c>
      <c r="C16" s="3" t="n">
        <v>9</v>
      </c>
    </row>
    <row r="17" customFormat="false" ht="15" hidden="false" customHeight="false" outlineLevel="0" collapsed="false">
      <c r="A17" s="0" t="s">
        <v>178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63.2828502199407</v>
      </c>
      <c r="C17" s="3" t="n">
        <v>10</v>
      </c>
    </row>
    <row r="18" customFormat="false" ht="15" hidden="false" customHeight="false" outlineLevel="0" collapsed="false">
      <c r="A18" s="0" t="s">
        <v>179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54.9489384562224</v>
      </c>
      <c r="C18" s="3" t="n">
        <v>11</v>
      </c>
    </row>
    <row r="19" customFormat="false" ht="15" hidden="false" customHeight="false" outlineLevel="0" collapsed="false">
      <c r="A19" s="0" t="s">
        <v>180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48.3827511453972</v>
      </c>
      <c r="C19" s="3" t="n">
        <v>12</v>
      </c>
    </row>
    <row r="20" customFormat="false" ht="15" hidden="false" customHeight="false" outlineLevel="0" collapsed="false">
      <c r="A20" s="0" t="s">
        <v>181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35.0415498248822</v>
      </c>
      <c r="C20" s="3" t="n">
        <v>15</v>
      </c>
    </row>
    <row r="22" customFormat="false" ht="15" hidden="false" customHeight="false" outlineLevel="0" collapsed="false">
      <c r="A22" s="2" t="s">
        <v>182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98.3392927914313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98.3392927914313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98.3392927914313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98.3392927914313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98.3392927914313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87.1783533098408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90.6991902878361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90.6991902878361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90.6991902878361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90.6991902878361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73.3816594447837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76.9139743758474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81.0350084620883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83.7507129520996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83.7507129520996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63.0647523090166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65.5311331291505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68.3498540664464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71.6022243787109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75.3966564096861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55.0657298239897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56.848176392338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58.8534287817297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61.1260481563738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63.7233274416812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2026-10-02T21:41:08Z</dcterms:created>
  <dc:creator>openpyxl</dc:creator>
  <dc:description/>
  <dc:language>en-NZ</dc:language>
  <cp:lastModifiedBy/>
  <dcterms:modified xsi:type="dcterms:W3CDTF">2026-10-02T21:41:08Z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