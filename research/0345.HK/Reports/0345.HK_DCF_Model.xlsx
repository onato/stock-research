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<sst xmlns="http://schemas.openxmlformats.org/spreadsheetml/2006/main" count="357" uniqueCount="164">
  <si>
    <t xml:space="preserve">Ticker</t>
  </si>
  <si>
    <t xml:space="preserve">0345.HK</t>
  </si>
  <si>
    <t xml:space="preserve">Company</t>
  </si>
  <si>
    <t xml:space="preserve">Vitasoy International Holdings Limited</t>
  </si>
  <si>
    <t xml:space="preserve">Valuation date</t>
  </si>
  <si>
    <t xml:space="preserve">2026-10-11</t>
  </si>
  <si>
    <t xml:space="preserve">Current price</t>
  </si>
  <si>
    <t xml:space="preserve">Price as of</t>
  </si>
  <si>
    <t xml:space="preserve">2026-10-09T08:08:05Z (HKEX regular close, Friday)</t>
  </si>
  <si>
    <t xml:space="preserve">Balance sheet date</t>
  </si>
  <si>
    <t xml:space="preserve">2026-03-31</t>
  </si>
  <si>
    <t xml:space="preserve">Model</t>
  </si>
  <si>
    <t xml:space="preserve">owner_fcf_dcf_component</t>
  </si>
  <si>
    <t xml:space="preserve">Currency (model)</t>
  </si>
  <si>
    <t xml:space="preserve">HKD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</si>
  <si>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</si>
  <si>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</si>
  <si>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</si>
  <si>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</si>
  <si>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</si>
  <si>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</si>
  <si>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2026-10-10T22:22:59Z</t>
  </si>
  <si>
    <t xml:space="preserve">Drivers file</t>
  </si>
  <si>
    <t xml:space="preserve">0345.HK_Drivers.json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</si>
  <si>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</si>
  <si>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</si>
  <si>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</si>
  <si>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net-cash, brand-led beverage franchise valued on owner FCF after lease rentals and SBC, with margins allowed to recover only part of the way to the pre-FY2022 peak and capex normalised up from its post-build trough. The question the price asks is whether the Chinese Mainland business is in cyclical or structural decline.
key_risks_to_valuation: Chinese Mainland price competition and general-trade channel erosion (53% of revenue); Capex normalisation: FY23-26 capex of 2-2.5% of revenue is below maintenance; a return to plant-build spending would cut FCF; ANZ (Vitasoy Australia Products) remains loss-making after the AUD19m FY26 impairment; Cash tax rate rising as Mainland tax losses are used up; FY26 buyback funded partly by a one-off land disposal; capital return may not repeat</t>
  </si>
  <si>
    <t xml:space="preserve">Data sources</t>
  </si>
  <si>
    <t xml:space="preserve">price: Yahoo Finance chart API at inputs.price_as_of; 52-week range 5.62-8.32
financials: 0345.HK_Metrics.csv / core_metrics and kpis (FY2018-FY2026, H1 FY2024-FY2026); FY2026 Annual Report: segment note 3(b), cash-flow statement (lease rentals, buyback, interest received), note 6 income tax, note 10 EPS, note 24(c)(iii) share buy-back
qualitative: FY2026 Annual Report Chairman's Statement and Group CEO's Report (outlook FY2026/2027)</t>
  </si>
  <si>
    <t xml:space="preserve">Scenario narrative: bear</t>
  </si>
  <si>
    <t xml:space="preserve">Mainland plant-milk and RTD tea become a structural price war (domestic brands, private label in snack chains, Nongfu/ Master Kong tea promotion) and general trade keeps eroding; further price cuts and trade spend compress gross margin; ANZ stays loss-making and needs more impairment. Revenue falls 3% in FY27 and only creeps back at 1-1.5%, EBITDA margin settles at 13%, and terminal growth is 1.5%.</t>
  </si>
  <si>
    <t xml:space="preserve">Scenario narrative: base</t>
  </si>
  <si>
    <t xml:space="preserve">Chinese Mainland (53% of revenue) stops shrinking: general-trade sell-through stabilises, as H2 FY26 already suggests, and the Omni / snack-chain channel grows. HK Operation holds share and its ~12% margin with Macau fixed under new leadership; ANZ narrows its loss after the FY26 impairment and Singapore stays profitable. Group revenue grows 1.5% in FY27 and ~3% thereafter, EBITDA margin recovers to 15.8%, capex normalises from the post-build trough of ~2.5% to ~4% of revenue, and cash tax rises to 25% as Mainland losses are used up.</t>
  </si>
  <si>
    <t xml:space="preserve">Scenario narrative: bull</t>
  </si>
  <si>
    <t xml:space="preserve">Mainland returns to growth as VITA lemon tea and soymilk innovation regain share in general trade while Omni customisation scales; ANZ reaches breakeven via oat/protein and higher-margin coffee-shop and NZ channels; operating leverage on the under-utilised Dongguan/Wuhan capacity lifts EBITDA margin back to 17.5%, near the FY2019-21 level. Revenue compounds ~5% for five years and regains the FY2021 peak around year 4.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</si>
  <si>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</si>
  <si>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</si>
  <si>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</si>
  <si>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</si>
  <si>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</si>
  <si>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</si>
  <si>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</si>
  <si>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</si>
  <si>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</si>
  <si>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</si>
  <si>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</si>
  <si>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</si>
  <si>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</si>
  <si>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</si>
  <si>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</si>
  <si>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</si>
  <si>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</si>
  <si>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</si>
  <si>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</si>
  <si>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</si>
  <si>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</si>
  <si>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</si>
  <si>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</si>
  <si>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</si>
  <si>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</si>
  <si>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</si>
  <si>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</si>
  <si>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</si>
  <si>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</si>
  <si>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</si>
  <si>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</si>
  <si>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</si>
  <si>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</si>
  <si>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</si>
  <si>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</si>
  <si>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</si>
  <si>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</si>
  <si>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</si>
  <si>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</si>
  <si>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</si>
  <si>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</si>
  <si>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</si>
  <si>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</si>
  <si>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</si>
  <si>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</si>
  <si>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</si>
  <si>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HKD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</si>
  <si>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</si>
  <si>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</si>
  <si>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</si>
  <si>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</si>
  <si>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</si>
  <si>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</si>
  <si>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</si>
  <si>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</si>
  <si>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</si>
  <si>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</si>
  <si>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</si>
  <si>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</si>
  <si>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</si>
  <si>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</si>
  <si>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</si>
  <si>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</si>
  <si>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</si>
  <si>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</si>
  <si>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</si>
  <si>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</si>
  <si>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</si>
  <si>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</si>
  <si>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</si>
  <si>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</si>
  <si>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</si>
  <si>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</si>
  <si>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0345.HK owner-FCF component DCF: bear case (millions, HKD)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</si>
  <si>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</si>
  <si>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</si>
  <si>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</si>
  <si>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</si>
  <si>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</si>
  <si>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</si>
  <si>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</si>
  <si>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</si>
  <si>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</si>
  <si>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</si>
  <si>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</si>
  <si>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</si>
  <si>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</si>
  <si>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</si>
  <si>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</si>
  <si>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</si>
  <si>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</si>
  <si>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</si>
  <si>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</si>
  <si>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</si>
  <si>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</si>
  <si>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</si>
  <si>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</si>
  <si>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</si>
  <si>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</si>
  <si>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</si>
  <si>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</si>
  <si>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</si>
  <si>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</si>
  <si>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</si>
  <si>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0345.HK owner-FCF component DCF: base case (millions, HKD)</t>
  </si>
  <si>
    <t xml:space="preserve">0345.HK owner-FCF component DCF: bull case (millions, HKD)</t>
  </si>
  <si>
    <t xml:space="preserve">0345.HK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</si>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</sst>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6.785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B2" s="0" t="n">
        <v>6464.525</v>
      </c>
      <c r="C2" s="0" t="n">
        <v>3044.767</v>
      </c>
      <c r="D2" s="0" t="n">
        <v>3419.758</v>
      </c>
      <c r="E2" s="0" t="n">
        <v>52.9004</v>
      </c>
      <c r="F2" s="0" t="n">
        <v>822.248</v>
      </c>
      <c r="G2" s="0" t="n">
        <v>12.7194</v>
      </c>
      <c r="H2" s="0" t="n">
        <v>1072.992</v>
      </c>
      <c r="I2" s="0" t="n">
        <v>585.774</v>
      </c>
      <c r="J2" s="0" t="n">
        <v>9.0614</v>
      </c>
      <c r="K2" s="0" t="n">
        <v>0.555</v>
      </c>
      <c r="L2" s="0" t="n">
        <v>1065.54</v>
      </c>
      <c r="O2" s="0" t="n">
        <v>2909.757</v>
      </c>
      <c r="P2" s="0" t="n">
        <v>5182.178</v>
      </c>
      <c r="Q2" s="0" t="n">
        <v>2013.032</v>
      </c>
      <c r="R2" s="0" t="n">
        <v>27.085</v>
      </c>
      <c r="S2" s="0" t="n">
        <v>985.694</v>
      </c>
      <c r="T2" s="0" t="n">
        <v>1064.205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7526.495</v>
      </c>
      <c r="C3" s="0" t="n">
        <v>3484.665</v>
      </c>
      <c r="D3" s="0" t="n">
        <v>4041.83</v>
      </c>
      <c r="E3" s="0" t="n">
        <v>53.7014</v>
      </c>
      <c r="F3" s="0" t="n">
        <v>977.16</v>
      </c>
      <c r="G3" s="0" t="n">
        <v>12.9829</v>
      </c>
      <c r="H3" s="0" t="n">
        <v>1241.804</v>
      </c>
      <c r="I3" s="0" t="n">
        <v>695.907</v>
      </c>
      <c r="J3" s="0" t="n">
        <v>9.2461</v>
      </c>
      <c r="K3" s="0" t="n">
        <v>0.656</v>
      </c>
      <c r="L3" s="0" t="n">
        <v>1273.23</v>
      </c>
      <c r="M3" s="0" t="n">
        <v>910.191</v>
      </c>
      <c r="N3" s="0" t="n">
        <v>363.039</v>
      </c>
      <c r="O3" s="0" t="n">
        <v>3165.412</v>
      </c>
      <c r="P3" s="0" t="n">
        <v>5878.209</v>
      </c>
      <c r="Q3" s="0" t="n">
        <v>2408.649</v>
      </c>
      <c r="R3" s="0" t="n">
        <v>44.508</v>
      </c>
      <c r="S3" s="0" t="n">
        <v>1005.032</v>
      </c>
      <c r="T3" s="0" t="n">
        <v>1071.436</v>
      </c>
      <c r="U3" s="0" t="n">
        <v>13.521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7232.641</v>
      </c>
      <c r="C4" s="0" t="n">
        <v>3381.15</v>
      </c>
      <c r="D4" s="0" t="n">
        <v>3851.491</v>
      </c>
      <c r="E4" s="0" t="n">
        <v>53.2515</v>
      </c>
      <c r="F4" s="0" t="n">
        <v>707.433</v>
      </c>
      <c r="G4" s="0" t="n">
        <v>9.7811</v>
      </c>
      <c r="H4" s="0" t="n">
        <v>1110.02</v>
      </c>
      <c r="I4" s="0" t="n">
        <v>535.878</v>
      </c>
      <c r="J4" s="0" t="n">
        <v>7.4092</v>
      </c>
      <c r="K4" s="0" t="n">
        <v>0.504</v>
      </c>
      <c r="L4" s="0" t="n">
        <v>1259.778</v>
      </c>
      <c r="M4" s="0" t="n">
        <v>1078.39</v>
      </c>
      <c r="N4" s="0" t="n">
        <v>181.388</v>
      </c>
      <c r="O4" s="0" t="n">
        <v>3128.39</v>
      </c>
      <c r="P4" s="0" t="n">
        <v>6410.495</v>
      </c>
      <c r="Q4" s="0" t="n">
        <v>2992.391</v>
      </c>
      <c r="R4" s="0" t="n">
        <v>241.424</v>
      </c>
      <c r="S4" s="0" t="n">
        <v>848.275</v>
      </c>
      <c r="T4" s="0" t="n">
        <v>1074.53</v>
      </c>
      <c r="U4" s="0" t="n">
        <v>12.686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7519.817</v>
      </c>
      <c r="C5" s="0" t="n">
        <v>3565.412</v>
      </c>
      <c r="D5" s="0" t="n">
        <v>3954.405</v>
      </c>
      <c r="E5" s="0" t="n">
        <v>52.5865</v>
      </c>
      <c r="F5" s="0" t="n">
        <v>843.471</v>
      </c>
      <c r="G5" s="0" t="n">
        <v>11.2166</v>
      </c>
      <c r="H5" s="0" t="n">
        <v>1331.319</v>
      </c>
      <c r="I5" s="0" t="n">
        <v>548.346</v>
      </c>
      <c r="J5" s="0" t="n">
        <v>7.292</v>
      </c>
      <c r="K5" s="0" t="n">
        <v>0.515</v>
      </c>
      <c r="L5" s="0" t="n">
        <v>1259.766</v>
      </c>
      <c r="M5" s="0" t="n">
        <v>649.581</v>
      </c>
      <c r="N5" s="0" t="n">
        <v>610.185</v>
      </c>
      <c r="O5" s="0" t="n">
        <v>3616.053</v>
      </c>
      <c r="P5" s="0" t="n">
        <v>7276.41</v>
      </c>
      <c r="Q5" s="0" t="n">
        <v>3319.536</v>
      </c>
      <c r="R5" s="0" t="n">
        <v>130.306</v>
      </c>
      <c r="S5" s="0" t="n">
        <v>970.522</v>
      </c>
      <c r="T5" s="0" t="n">
        <v>1074.231</v>
      </c>
      <c r="U5" s="0" t="n">
        <v>15.455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6501.215</v>
      </c>
      <c r="C6" s="0" t="n">
        <v>3430.534</v>
      </c>
      <c r="D6" s="0" t="n">
        <v>3070.681</v>
      </c>
      <c r="E6" s="0" t="n">
        <v>47.2324</v>
      </c>
      <c r="F6" s="0" t="n">
        <v>-212.851</v>
      </c>
      <c r="G6" s="0" t="n">
        <v>-3.274</v>
      </c>
      <c r="H6" s="0" t="n">
        <v>346.766</v>
      </c>
      <c r="I6" s="0" t="n">
        <v>-158.75</v>
      </c>
      <c r="J6" s="0" t="n">
        <v>-2.4419</v>
      </c>
      <c r="K6" s="0" t="n">
        <v>-0.149</v>
      </c>
      <c r="L6" s="0" t="n">
        <v>124.39</v>
      </c>
      <c r="M6" s="0" t="n">
        <v>409.507</v>
      </c>
      <c r="N6" s="0" t="n">
        <v>-285.117</v>
      </c>
      <c r="O6" s="0" t="n">
        <v>3257.913</v>
      </c>
      <c r="P6" s="0" t="n">
        <v>6807.12</v>
      </c>
      <c r="Q6" s="0" t="n">
        <v>3238.021</v>
      </c>
      <c r="R6" s="0" t="n">
        <v>489.829</v>
      </c>
      <c r="S6" s="0" t="n">
        <v>621.863</v>
      </c>
      <c r="U6" s="0" t="n">
        <v>13.484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6340.559</v>
      </c>
      <c r="C7" s="0" t="n">
        <v>3328.763</v>
      </c>
      <c r="D7" s="0" t="n">
        <v>3011.796</v>
      </c>
      <c r="E7" s="0" t="n">
        <v>47.5005</v>
      </c>
      <c r="F7" s="0" t="n">
        <v>103.593</v>
      </c>
      <c r="G7" s="0" t="n">
        <v>1.6338</v>
      </c>
      <c r="H7" s="0" t="n">
        <v>633.206</v>
      </c>
      <c r="I7" s="0" t="n">
        <v>45.721</v>
      </c>
      <c r="J7" s="0" t="n">
        <v>0.7211</v>
      </c>
      <c r="K7" s="0" t="n">
        <v>0.043</v>
      </c>
      <c r="L7" s="0" t="n">
        <v>502.355</v>
      </c>
      <c r="M7" s="0" t="n">
        <v>187.473</v>
      </c>
      <c r="N7" s="0" t="n">
        <v>314.882</v>
      </c>
      <c r="O7" s="0" t="n">
        <v>2984.715</v>
      </c>
      <c r="P7" s="0" t="n">
        <v>5849.519</v>
      </c>
      <c r="Q7" s="0" t="n">
        <v>2748.929</v>
      </c>
      <c r="R7" s="0" t="n">
        <v>524.686</v>
      </c>
      <c r="S7" s="0" t="n">
        <v>555.292</v>
      </c>
      <c r="U7" s="0" t="n">
        <v>25.549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6217.123</v>
      </c>
      <c r="C8" s="0" t="n">
        <v>3105.686</v>
      </c>
      <c r="D8" s="0" t="n">
        <v>3111.437</v>
      </c>
      <c r="E8" s="0" t="n">
        <v>50.0463</v>
      </c>
      <c r="F8" s="0" t="n">
        <v>185.432</v>
      </c>
      <c r="G8" s="0" t="n">
        <v>2.9826</v>
      </c>
      <c r="H8" s="0" t="n">
        <v>708.406</v>
      </c>
      <c r="I8" s="0" t="n">
        <v>116.367</v>
      </c>
      <c r="J8" s="0" t="n">
        <v>1.8717</v>
      </c>
      <c r="K8" s="0" t="n">
        <v>0.109</v>
      </c>
      <c r="L8" s="0" t="n">
        <v>790.543</v>
      </c>
      <c r="M8" s="0" t="n">
        <v>146.298</v>
      </c>
      <c r="N8" s="0" t="n">
        <v>644.245</v>
      </c>
      <c r="O8" s="0" t="n">
        <v>3004.56</v>
      </c>
      <c r="P8" s="0" t="n">
        <v>5636.695</v>
      </c>
      <c r="Q8" s="0" t="n">
        <v>2524.058</v>
      </c>
      <c r="R8" s="0" t="n">
        <v>255.987</v>
      </c>
      <c r="S8" s="0" t="n">
        <v>794.452</v>
      </c>
      <c r="T8" s="0" t="n">
        <v>1077.472</v>
      </c>
      <c r="U8" s="0" t="n">
        <v>21.865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6273.585</v>
      </c>
      <c r="C9" s="0" t="n">
        <v>3056.039</v>
      </c>
      <c r="D9" s="0" t="n">
        <v>3217.546</v>
      </c>
      <c r="E9" s="0" t="n">
        <v>51.2872</v>
      </c>
      <c r="F9" s="0" t="n">
        <v>363.575</v>
      </c>
      <c r="G9" s="0" t="n">
        <v>5.7953</v>
      </c>
      <c r="H9" s="0" t="n">
        <v>873.768</v>
      </c>
      <c r="I9" s="0" t="n">
        <v>234.674</v>
      </c>
      <c r="J9" s="0" t="n">
        <v>3.7407</v>
      </c>
      <c r="K9" s="0" t="n">
        <v>0.219</v>
      </c>
      <c r="L9" s="0" t="n">
        <v>859.017</v>
      </c>
      <c r="M9" s="0" t="n">
        <v>124.685</v>
      </c>
      <c r="N9" s="0" t="n">
        <v>734.332</v>
      </c>
      <c r="O9" s="0" t="n">
        <v>3083.158</v>
      </c>
      <c r="P9" s="0" t="n">
        <v>5648.7</v>
      </c>
      <c r="Q9" s="0" t="n">
        <v>2466.518</v>
      </c>
      <c r="R9" s="0" t="n">
        <v>265.398</v>
      </c>
      <c r="S9" s="0" t="n">
        <v>1268.475</v>
      </c>
      <c r="T9" s="0" t="n">
        <v>1071.571</v>
      </c>
      <c r="U9" s="0" t="n">
        <v>21.781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6061.155</v>
      </c>
      <c r="C10" s="0" t="n">
        <v>2967.863</v>
      </c>
      <c r="D10" s="0" t="n">
        <v>3093.292</v>
      </c>
      <c r="E10" s="0" t="n">
        <v>51.0347</v>
      </c>
      <c r="F10" s="0" t="n">
        <v>429.936</v>
      </c>
      <c r="G10" s="0" t="n">
        <v>7.0933</v>
      </c>
      <c r="H10" s="0" t="n">
        <v>910.012</v>
      </c>
      <c r="I10" s="0" t="n">
        <v>274.422</v>
      </c>
      <c r="J10" s="0" t="n">
        <v>4.5276</v>
      </c>
      <c r="K10" s="0" t="n">
        <v>0.263</v>
      </c>
      <c r="L10" s="0" t="n">
        <v>712.763</v>
      </c>
      <c r="M10" s="0" t="n">
        <v>152.207</v>
      </c>
      <c r="N10" s="0" t="n">
        <v>560.556</v>
      </c>
      <c r="O10" s="0" t="n">
        <v>2901.203</v>
      </c>
      <c r="P10" s="0" t="n">
        <v>5378.366</v>
      </c>
      <c r="Q10" s="0" t="n">
        <v>2368.854</v>
      </c>
      <c r="R10" s="0" t="n">
        <v>257.521</v>
      </c>
      <c r="S10" s="0" t="n">
        <v>1207.194</v>
      </c>
      <c r="T10" s="0" t="n">
        <v>1043.43</v>
      </c>
      <c r="U10" s="0" t="n">
        <v>24.332</v>
      </c>
      <c r="AA10" s="0" t="s">
        <v>17</v>
      </c>
      <c r="AB1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72</v>
      </c>
      <c r="B1" s="2" t="s">
        <v>73</v>
      </c>
    </row>
    <row r="2" customFormat="false" ht="15" hidden="false" customHeight="false" outlineLevel="0" collapsed="false">
      <c r="A2" s="0" t="s">
        <v>74</v>
      </c>
      <c r="B2" s="3" t="n">
        <v>6.785</v>
      </c>
    </row>
    <row r="3" customFormat="false" ht="15" hidden="false" customHeight="false" outlineLevel="0" collapsed="false">
      <c r="A3" s="0" t="s">
        <v>75</v>
      </c>
      <c r="B3" s="3" t="n">
        <v>1018.6</v>
      </c>
    </row>
    <row r="4" customFormat="false" ht="15" hidden="false" customHeight="false" outlineLevel="0" collapsed="false">
      <c r="A4" s="0" t="s">
        <v>76</v>
      </c>
      <c r="B4" s="3" t="n">
        <v>-949.673</v>
      </c>
    </row>
    <row r="5" customFormat="false" ht="15" hidden="false" customHeight="false" outlineLevel="0" collapsed="false">
      <c r="A5" s="0" t="s">
        <v>77</v>
      </c>
      <c r="B5" s="3" t="n">
        <v>-108.309</v>
      </c>
    </row>
    <row r="6" customFormat="false" ht="15" hidden="false" customHeight="false" outlineLevel="0" collapsed="false">
      <c r="A6" s="0" t="s">
        <v>78</v>
      </c>
      <c r="B6" s="3" t="n">
        <v>15</v>
      </c>
    </row>
    <row r="7" customFormat="false" ht="15" hidden="false" customHeight="false" outlineLevel="0" collapsed="false">
      <c r="A7" s="0" t="s">
        <v>79</v>
      </c>
      <c r="B7" s="3" t="n">
        <v>6061.155</v>
      </c>
    </row>
    <row r="8" customFormat="false" ht="15" hidden="false" customHeight="false" outlineLevel="0" collapsed="false">
      <c r="A8" s="0" t="s">
        <v>80</v>
      </c>
      <c r="B8" s="3" t="s">
        <v>71</v>
      </c>
    </row>
    <row r="9" customFormat="false" ht="15" hidden="false" customHeight="false" outlineLevel="0" collapsed="false">
      <c r="A9" s="0" t="s">
        <v>81</v>
      </c>
      <c r="B9" s="3" t="s">
        <v>82</v>
      </c>
    </row>
    <row r="10" customFormat="false" ht="15" hidden="false" customHeight="false" outlineLevel="0" collapsed="false">
      <c r="A10" s="0" t="s">
        <v>83</v>
      </c>
      <c r="B10" s="3" t="n">
        <v>1</v>
      </c>
    </row>
    <row r="12" customFormat="false" ht="15" hidden="false" customHeight="false" outlineLevel="0" collapsed="false">
      <c r="A12" s="2" t="s">
        <v>84</v>
      </c>
      <c r="C12" s="2" t="s">
        <v>85</v>
      </c>
      <c r="D12" s="2" t="s">
        <v>86</v>
      </c>
      <c r="E12" s="2" t="s">
        <v>87</v>
      </c>
      <c r="F12" s="2" t="s">
        <v>88</v>
      </c>
      <c r="G12" s="2" t="s">
        <v>89</v>
      </c>
      <c r="H12" s="2" t="s">
        <v>90</v>
      </c>
      <c r="I12" s="2" t="s">
        <v>91</v>
      </c>
      <c r="J12" s="2" t="s">
        <v>92</v>
      </c>
      <c r="K12" s="2" t="s">
        <v>93</v>
      </c>
      <c r="L12" s="2" t="s">
        <v>94</v>
      </c>
    </row>
    <row r="13" customFormat="false" ht="15" hidden="false" customHeight="false" outlineLevel="0" collapsed="false">
      <c r="A13" s="0" t="s">
        <v>95</v>
      </c>
      <c r="C13" s="3" t="n">
        <v>-3</v>
      </c>
      <c r="D13" s="3" t="n">
        <v>-1</v>
      </c>
      <c r="E13" s="3" t="n">
        <v>0.5</v>
      </c>
      <c r="F13" s="3" t="n">
        <v>1</v>
      </c>
      <c r="G13" s="3" t="n">
        <v>1.5</v>
      </c>
      <c r="H13" s="3" t="n">
        <v>1.5</v>
      </c>
      <c r="I13" s="3" t="n">
        <v>1.5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96</v>
      </c>
      <c r="C14" s="3" t="n">
        <v>13.8</v>
      </c>
      <c r="D14" s="3" t="n">
        <v>13.4</v>
      </c>
      <c r="E14" s="3" t="n">
        <v>13.2</v>
      </c>
      <c r="F14" s="3" t="n">
        <v>13</v>
      </c>
      <c r="G14" s="3" t="n">
        <v>13</v>
      </c>
      <c r="H14" s="3" t="n">
        <v>13</v>
      </c>
      <c r="I14" s="3" t="n">
        <v>13</v>
      </c>
      <c r="J14" s="3" t="n">
        <v>13</v>
      </c>
      <c r="K14" s="3" t="n">
        <v>13</v>
      </c>
      <c r="L14" s="3" t="n">
        <v>13</v>
      </c>
    </row>
    <row r="15" customFormat="false" ht="15" hidden="false" customHeight="false" outlineLevel="0" collapsed="false">
      <c r="A15" s="0" t="s">
        <v>97</v>
      </c>
      <c r="C15" s="3" t="n">
        <v>0.4</v>
      </c>
      <c r="D15" s="3" t="n">
        <v>0.4</v>
      </c>
      <c r="E15" s="3" t="n">
        <v>0.4</v>
      </c>
      <c r="F15" s="3" t="n">
        <v>0.4</v>
      </c>
      <c r="G15" s="3" t="n">
        <v>0.4</v>
      </c>
      <c r="H15" s="3" t="n">
        <v>0.4</v>
      </c>
      <c r="I15" s="3" t="n">
        <v>0.4</v>
      </c>
      <c r="J15" s="3" t="n">
        <v>0.4</v>
      </c>
      <c r="K15" s="3" t="n">
        <v>0.4</v>
      </c>
      <c r="L15" s="3" t="n">
        <v>0.4</v>
      </c>
    </row>
    <row r="16" customFormat="false" ht="15" hidden="false" customHeight="false" outlineLevel="0" collapsed="false">
      <c r="A16" s="0" t="s">
        <v>98</v>
      </c>
      <c r="C16" s="3" t="n">
        <v>2</v>
      </c>
      <c r="D16" s="3" t="n">
        <v>2</v>
      </c>
      <c r="E16" s="3" t="n">
        <v>2</v>
      </c>
      <c r="F16" s="3" t="n">
        <v>2</v>
      </c>
      <c r="G16" s="3" t="n">
        <v>2</v>
      </c>
      <c r="H16" s="3" t="n">
        <v>2</v>
      </c>
      <c r="I16" s="3" t="n">
        <v>2</v>
      </c>
      <c r="J16" s="3" t="n">
        <v>2</v>
      </c>
      <c r="K16" s="3" t="n">
        <v>2</v>
      </c>
      <c r="L16" s="3" t="n">
        <v>2</v>
      </c>
    </row>
    <row r="17" customFormat="false" ht="15" hidden="false" customHeight="false" outlineLevel="0" collapsed="false">
      <c r="A17" s="0" t="s">
        <v>99</v>
      </c>
      <c r="C17" s="3" t="n">
        <v>6</v>
      </c>
      <c r="D17" s="3" t="n">
        <v>5.8</v>
      </c>
      <c r="E17" s="3" t="n">
        <v>5.5</v>
      </c>
      <c r="F17" s="3" t="n">
        <v>5.2</v>
      </c>
      <c r="G17" s="3" t="n">
        <v>5</v>
      </c>
      <c r="H17" s="3" t="n">
        <v>4.7</v>
      </c>
      <c r="I17" s="3" t="n">
        <v>4.5</v>
      </c>
      <c r="J17" s="3" t="n">
        <v>4.3</v>
      </c>
      <c r="K17" s="3" t="n">
        <v>4.1</v>
      </c>
      <c r="L17" s="3" t="n">
        <v>4</v>
      </c>
    </row>
    <row r="18" customFormat="false" ht="15" hidden="false" customHeight="false" outlineLevel="0" collapsed="false">
      <c r="A18" s="0" t="s">
        <v>100</v>
      </c>
      <c r="C18" s="3" t="n">
        <v>3</v>
      </c>
      <c r="D18" s="3" t="n">
        <v>3.2</v>
      </c>
      <c r="E18" s="3" t="n">
        <v>3.4</v>
      </c>
      <c r="F18" s="3" t="n">
        <v>3.6</v>
      </c>
      <c r="G18" s="3" t="n">
        <v>3.8</v>
      </c>
      <c r="H18" s="3" t="n">
        <v>4</v>
      </c>
      <c r="I18" s="3" t="n">
        <v>4</v>
      </c>
      <c r="J18" s="3" t="n">
        <v>4</v>
      </c>
      <c r="K18" s="3" t="n">
        <v>4</v>
      </c>
      <c r="L18" s="3" t="n">
        <v>4</v>
      </c>
    </row>
    <row r="19" customFormat="false" ht="15" hidden="false" customHeight="false" outlineLevel="0" collapsed="false">
      <c r="A19" s="0" t="s">
        <v>101</v>
      </c>
      <c r="C19" s="3" t="n">
        <v>20</v>
      </c>
      <c r="D19" s="3" t="n">
        <v>23</v>
      </c>
      <c r="E19" s="3" t="n">
        <v>25</v>
      </c>
      <c r="F19" s="3" t="n">
        <v>26</v>
      </c>
      <c r="G19" s="3" t="n">
        <v>26</v>
      </c>
      <c r="H19" s="3" t="n">
        <v>26</v>
      </c>
      <c r="I19" s="3" t="n">
        <v>26</v>
      </c>
      <c r="J19" s="3" t="n">
        <v>26</v>
      </c>
      <c r="K19" s="3" t="n">
        <v>26</v>
      </c>
      <c r="L19" s="3" t="n">
        <v>26</v>
      </c>
    </row>
    <row r="20" customFormat="false" ht="15" hidden="false" customHeight="false" outlineLevel="0" collapsed="false">
      <c r="A20" s="0" t="s">
        <v>102</v>
      </c>
      <c r="B20" s="3" t="n">
        <v>8.5</v>
      </c>
    </row>
    <row r="21" customFormat="false" ht="15" hidden="false" customHeight="false" outlineLevel="0" collapsed="false">
      <c r="A21" s="0" t="s">
        <v>103</v>
      </c>
      <c r="B21" s="3" t="n">
        <v>1.5</v>
      </c>
    </row>
    <row r="22" customFormat="false" ht="15" hidden="false" customHeight="false" outlineLevel="0" collapsed="false">
      <c r="A22" s="0" t="s">
        <v>104</v>
      </c>
      <c r="B22" s="3" t="n">
        <v>15</v>
      </c>
    </row>
    <row r="23" customFormat="false" ht="15" hidden="false" customHeight="false" outlineLevel="0" collapsed="false">
      <c r="A23" s="0" t="s">
        <v>105</v>
      </c>
      <c r="B23" s="3" t="n">
        <v>-10</v>
      </c>
    </row>
    <row r="24" customFormat="false" ht="15" hidden="false" customHeight="false" outlineLevel="0" collapsed="false">
      <c r="A24" s="0" t="s">
        <v>106</v>
      </c>
      <c r="B24" s="3" t="n">
        <v>0.25</v>
      </c>
    </row>
    <row r="26" customFormat="false" ht="15" hidden="false" customHeight="false" outlineLevel="0" collapsed="false">
      <c r="A26" s="2" t="s">
        <v>107</v>
      </c>
      <c r="C26" s="2" t="s">
        <v>85</v>
      </c>
      <c r="D26" s="2" t="s">
        <v>86</v>
      </c>
      <c r="E26" s="2" t="s">
        <v>87</v>
      </c>
      <c r="F26" s="2" t="s">
        <v>88</v>
      </c>
      <c r="G26" s="2" t="s">
        <v>89</v>
      </c>
      <c r="H26" s="2" t="s">
        <v>90</v>
      </c>
      <c r="I26" s="2" t="s">
        <v>91</v>
      </c>
      <c r="J26" s="2" t="s">
        <v>92</v>
      </c>
      <c r="K26" s="2" t="s">
        <v>93</v>
      </c>
      <c r="L26" s="2" t="s">
        <v>94</v>
      </c>
    </row>
    <row r="27" customFormat="false" ht="15" hidden="false" customHeight="false" outlineLevel="0" collapsed="false">
      <c r="A27" s="0" t="s">
        <v>95</v>
      </c>
      <c r="C27" s="3" t="n">
        <v>1.5</v>
      </c>
      <c r="D27" s="3" t="n">
        <v>2.5</v>
      </c>
      <c r="E27" s="3" t="n">
        <v>3</v>
      </c>
      <c r="F27" s="3" t="n">
        <v>3</v>
      </c>
      <c r="G27" s="3" t="n">
        <v>3</v>
      </c>
      <c r="H27" s="3" t="n">
        <v>3</v>
      </c>
      <c r="I27" s="3" t="n">
        <v>2.5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96</v>
      </c>
      <c r="C28" s="3" t="n">
        <v>14.6</v>
      </c>
      <c r="D28" s="3" t="n">
        <v>14.9</v>
      </c>
      <c r="E28" s="3" t="n">
        <v>15.2</v>
      </c>
      <c r="F28" s="3" t="n">
        <v>15.5</v>
      </c>
      <c r="G28" s="3" t="n">
        <v>15.7</v>
      </c>
      <c r="H28" s="3" t="n">
        <v>15.8</v>
      </c>
      <c r="I28" s="3" t="n">
        <v>15.8</v>
      </c>
      <c r="J28" s="3" t="n">
        <v>15.8</v>
      </c>
      <c r="K28" s="3" t="n">
        <v>15.8</v>
      </c>
      <c r="L28" s="3" t="n">
        <v>15.8</v>
      </c>
    </row>
    <row r="29" customFormat="false" ht="15" hidden="false" customHeight="false" outlineLevel="0" collapsed="false">
      <c r="A29" s="0" t="s">
        <v>97</v>
      </c>
      <c r="C29" s="3" t="n">
        <v>0.4</v>
      </c>
      <c r="D29" s="3" t="n">
        <v>0.4</v>
      </c>
      <c r="E29" s="3" t="n">
        <v>0.4</v>
      </c>
      <c r="F29" s="3" t="n">
        <v>0.4</v>
      </c>
      <c r="G29" s="3" t="n">
        <v>0.4</v>
      </c>
      <c r="H29" s="3" t="n">
        <v>0.4</v>
      </c>
      <c r="I29" s="3" t="n">
        <v>0.4</v>
      </c>
      <c r="J29" s="3" t="n">
        <v>0.4</v>
      </c>
      <c r="K29" s="3" t="n">
        <v>0.4</v>
      </c>
      <c r="L29" s="3" t="n">
        <v>0.4</v>
      </c>
    </row>
    <row r="30" customFormat="false" ht="15" hidden="false" customHeight="false" outlineLevel="0" collapsed="false">
      <c r="A30" s="0" t="s">
        <v>98</v>
      </c>
      <c r="C30" s="3" t="n">
        <v>2</v>
      </c>
      <c r="D30" s="3" t="n">
        <v>2</v>
      </c>
      <c r="E30" s="3" t="n">
        <v>2</v>
      </c>
      <c r="F30" s="3" t="n">
        <v>2</v>
      </c>
      <c r="G30" s="3" t="n">
        <v>2</v>
      </c>
      <c r="H30" s="3" t="n">
        <v>2</v>
      </c>
      <c r="I30" s="3" t="n">
        <v>2</v>
      </c>
      <c r="J30" s="3" t="n">
        <v>2</v>
      </c>
      <c r="K30" s="3" t="n">
        <v>2</v>
      </c>
      <c r="L30" s="3" t="n">
        <v>2</v>
      </c>
    </row>
    <row r="31" customFormat="false" ht="15" hidden="false" customHeight="false" outlineLevel="0" collapsed="false">
      <c r="A31" s="0" t="s">
        <v>99</v>
      </c>
      <c r="C31" s="3" t="n">
        <v>6</v>
      </c>
      <c r="D31" s="3" t="n">
        <v>5.8</v>
      </c>
      <c r="E31" s="3" t="n">
        <v>5.5</v>
      </c>
      <c r="F31" s="3" t="n">
        <v>5.2</v>
      </c>
      <c r="G31" s="3" t="n">
        <v>5</v>
      </c>
      <c r="H31" s="3" t="n">
        <v>4.7</v>
      </c>
      <c r="I31" s="3" t="n">
        <v>4.5</v>
      </c>
      <c r="J31" s="3" t="n">
        <v>4.3</v>
      </c>
      <c r="K31" s="3" t="n">
        <v>4.1</v>
      </c>
      <c r="L31" s="3" t="n">
        <v>4</v>
      </c>
    </row>
    <row r="32" customFormat="false" ht="15" hidden="false" customHeight="false" outlineLevel="0" collapsed="false">
      <c r="A32" s="0" t="s">
        <v>100</v>
      </c>
      <c r="C32" s="3" t="n">
        <v>3</v>
      </c>
      <c r="D32" s="3" t="n">
        <v>3.2</v>
      </c>
      <c r="E32" s="3" t="n">
        <v>3.4</v>
      </c>
      <c r="F32" s="3" t="n">
        <v>3.6</v>
      </c>
      <c r="G32" s="3" t="n">
        <v>3.8</v>
      </c>
      <c r="H32" s="3" t="n">
        <v>4</v>
      </c>
      <c r="I32" s="3" t="n">
        <v>4</v>
      </c>
      <c r="J32" s="3" t="n">
        <v>4</v>
      </c>
      <c r="K32" s="3" t="n">
        <v>4</v>
      </c>
      <c r="L32" s="3" t="n">
        <v>4</v>
      </c>
    </row>
    <row r="33" customFormat="false" ht="15" hidden="false" customHeight="false" outlineLevel="0" collapsed="false">
      <c r="A33" s="0" t="s">
        <v>101</v>
      </c>
      <c r="C33" s="3" t="n">
        <v>20</v>
      </c>
      <c r="D33" s="3" t="n">
        <v>22</v>
      </c>
      <c r="E33" s="3" t="n">
        <v>24</v>
      </c>
      <c r="F33" s="3" t="n">
        <v>25</v>
      </c>
      <c r="G33" s="3" t="n">
        <v>25</v>
      </c>
      <c r="H33" s="3" t="n">
        <v>25</v>
      </c>
      <c r="I33" s="3" t="n">
        <v>25</v>
      </c>
      <c r="J33" s="3" t="n">
        <v>25</v>
      </c>
      <c r="K33" s="3" t="n">
        <v>25</v>
      </c>
      <c r="L33" s="3" t="n">
        <v>25</v>
      </c>
    </row>
    <row r="34" customFormat="false" ht="15" hidden="false" customHeight="false" outlineLevel="0" collapsed="false">
      <c r="A34" s="0" t="s">
        <v>102</v>
      </c>
      <c r="B34" s="3" t="n">
        <v>8.5</v>
      </c>
    </row>
    <row r="35" customFormat="false" ht="15" hidden="false" customHeight="false" outlineLevel="0" collapsed="false">
      <c r="A35" s="0" t="s">
        <v>103</v>
      </c>
      <c r="B35" s="3" t="n">
        <v>2.5</v>
      </c>
    </row>
    <row r="36" customFormat="false" ht="15" hidden="false" customHeight="false" outlineLevel="0" collapsed="false">
      <c r="A36" s="0" t="s">
        <v>104</v>
      </c>
      <c r="B36" s="3" t="n">
        <v>15</v>
      </c>
    </row>
    <row r="37" customFormat="false" ht="15" hidden="false" customHeight="false" outlineLevel="0" collapsed="false">
      <c r="A37" s="0" t="s">
        <v>105</v>
      </c>
      <c r="B37" s="3" t="n">
        <v>-10</v>
      </c>
    </row>
    <row r="38" customFormat="false" ht="15" hidden="false" customHeight="false" outlineLevel="0" collapsed="false">
      <c r="A38" s="0" t="s">
        <v>106</v>
      </c>
      <c r="B38" s="3" t="n">
        <v>0.5</v>
      </c>
    </row>
    <row r="40" customFormat="false" ht="15" hidden="false" customHeight="false" outlineLevel="0" collapsed="false">
      <c r="A40" s="2" t="s">
        <v>108</v>
      </c>
      <c r="C40" s="2" t="s">
        <v>85</v>
      </c>
      <c r="D40" s="2" t="s">
        <v>86</v>
      </c>
      <c r="E40" s="2" t="s">
        <v>87</v>
      </c>
      <c r="F40" s="2" t="s">
        <v>88</v>
      </c>
      <c r="G40" s="2" t="s">
        <v>89</v>
      </c>
      <c r="H40" s="2" t="s">
        <v>90</v>
      </c>
      <c r="I40" s="2" t="s">
        <v>91</v>
      </c>
      <c r="J40" s="2" t="s">
        <v>92</v>
      </c>
      <c r="K40" s="2" t="s">
        <v>93</v>
      </c>
      <c r="L40" s="2" t="s">
        <v>94</v>
      </c>
    </row>
    <row r="41" customFormat="false" ht="15" hidden="false" customHeight="false" outlineLevel="0" collapsed="false">
      <c r="A41" s="0" t="s">
        <v>95</v>
      </c>
      <c r="C41" s="3" t="n">
        <v>3</v>
      </c>
      <c r="D41" s="3" t="n">
        <v>4.5</v>
      </c>
      <c r="E41" s="3" t="n">
        <v>5</v>
      </c>
      <c r="F41" s="3" t="n">
        <v>5</v>
      </c>
      <c r="G41" s="3" t="n">
        <v>5</v>
      </c>
      <c r="H41" s="3" t="n">
        <v>4.5</v>
      </c>
      <c r="I41" s="3" t="n">
        <v>4</v>
      </c>
      <c r="J41" s="3" t="n">
        <v>3.5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96</v>
      </c>
      <c r="C42" s="3" t="n">
        <v>15</v>
      </c>
      <c r="D42" s="3" t="n">
        <v>15.6</v>
      </c>
      <c r="E42" s="3" t="n">
        <v>16.2</v>
      </c>
      <c r="F42" s="3" t="n">
        <v>16.7</v>
      </c>
      <c r="G42" s="3" t="n">
        <v>17.1</v>
      </c>
      <c r="H42" s="3" t="n">
        <v>17.4</v>
      </c>
      <c r="I42" s="3" t="n">
        <v>17.5</v>
      </c>
      <c r="J42" s="3" t="n">
        <v>17.5</v>
      </c>
      <c r="K42" s="3" t="n">
        <v>17.5</v>
      </c>
      <c r="L42" s="3" t="n">
        <v>17.5</v>
      </c>
    </row>
    <row r="43" customFormat="false" ht="15" hidden="false" customHeight="false" outlineLevel="0" collapsed="false">
      <c r="A43" s="0" t="s">
        <v>97</v>
      </c>
      <c r="C43" s="3" t="n">
        <v>0.4</v>
      </c>
      <c r="D43" s="3" t="n">
        <v>0.4</v>
      </c>
      <c r="E43" s="3" t="n">
        <v>0.4</v>
      </c>
      <c r="F43" s="3" t="n">
        <v>0.4</v>
      </c>
      <c r="G43" s="3" t="n">
        <v>0.4</v>
      </c>
      <c r="H43" s="3" t="n">
        <v>0.4</v>
      </c>
      <c r="I43" s="3" t="n">
        <v>0.4</v>
      </c>
      <c r="J43" s="3" t="n">
        <v>0.4</v>
      </c>
      <c r="K43" s="3" t="n">
        <v>0.4</v>
      </c>
      <c r="L43" s="3" t="n">
        <v>0.4</v>
      </c>
    </row>
    <row r="44" customFormat="false" ht="15" hidden="false" customHeight="false" outlineLevel="0" collapsed="false">
      <c r="A44" s="0" t="s">
        <v>98</v>
      </c>
      <c r="C44" s="3" t="n">
        <v>2</v>
      </c>
      <c r="D44" s="3" t="n">
        <v>2</v>
      </c>
      <c r="E44" s="3" t="n">
        <v>2</v>
      </c>
      <c r="F44" s="3" t="n">
        <v>2</v>
      </c>
      <c r="G44" s="3" t="n">
        <v>2</v>
      </c>
      <c r="H44" s="3" t="n">
        <v>2</v>
      </c>
      <c r="I44" s="3" t="n">
        <v>2</v>
      </c>
      <c r="J44" s="3" t="n">
        <v>2</v>
      </c>
      <c r="K44" s="3" t="n">
        <v>2</v>
      </c>
      <c r="L44" s="3" t="n">
        <v>2</v>
      </c>
    </row>
    <row r="45" customFormat="false" ht="15" hidden="false" customHeight="false" outlineLevel="0" collapsed="false">
      <c r="A45" s="0" t="s">
        <v>99</v>
      </c>
      <c r="C45" s="3" t="n">
        <v>6</v>
      </c>
      <c r="D45" s="3" t="n">
        <v>5.8</v>
      </c>
      <c r="E45" s="3" t="n">
        <v>5.5</v>
      </c>
      <c r="F45" s="3" t="n">
        <v>5.2</v>
      </c>
      <c r="G45" s="3" t="n">
        <v>5</v>
      </c>
      <c r="H45" s="3" t="n">
        <v>4.8</v>
      </c>
      <c r="I45" s="3" t="n">
        <v>4.6</v>
      </c>
      <c r="J45" s="3" t="n">
        <v>4.4</v>
      </c>
      <c r="K45" s="3" t="n">
        <v>4.3</v>
      </c>
      <c r="L45" s="3" t="n">
        <v>4.2</v>
      </c>
    </row>
    <row r="46" customFormat="false" ht="15" hidden="false" customHeight="false" outlineLevel="0" collapsed="false">
      <c r="A46" s="0" t="s">
        <v>100</v>
      </c>
      <c r="C46" s="3" t="n">
        <v>3.2</v>
      </c>
      <c r="D46" s="3" t="n">
        <v>3.5</v>
      </c>
      <c r="E46" s="3" t="n">
        <v>3.8</v>
      </c>
      <c r="F46" s="3" t="n">
        <v>4</v>
      </c>
      <c r="G46" s="3" t="n">
        <v>4.2</v>
      </c>
      <c r="H46" s="3" t="n">
        <v>4.2</v>
      </c>
      <c r="I46" s="3" t="n">
        <v>4.2</v>
      </c>
      <c r="J46" s="3" t="n">
        <v>4.2</v>
      </c>
      <c r="K46" s="3" t="n">
        <v>4.2</v>
      </c>
      <c r="L46" s="3" t="n">
        <v>4.2</v>
      </c>
    </row>
    <row r="47" customFormat="false" ht="15" hidden="false" customHeight="false" outlineLevel="0" collapsed="false">
      <c r="A47" s="0" t="s">
        <v>101</v>
      </c>
      <c r="C47" s="3" t="n">
        <v>20</v>
      </c>
      <c r="D47" s="3" t="n">
        <v>22</v>
      </c>
      <c r="E47" s="3" t="n">
        <v>24</v>
      </c>
      <c r="F47" s="3" t="n">
        <v>25</v>
      </c>
      <c r="G47" s="3" t="n">
        <v>25</v>
      </c>
      <c r="H47" s="3" t="n">
        <v>25</v>
      </c>
      <c r="I47" s="3" t="n">
        <v>25</v>
      </c>
      <c r="J47" s="3" t="n">
        <v>25</v>
      </c>
      <c r="K47" s="3" t="n">
        <v>25</v>
      </c>
      <c r="L47" s="3" t="n">
        <v>25</v>
      </c>
    </row>
    <row r="48" customFormat="false" ht="15" hidden="false" customHeight="false" outlineLevel="0" collapsed="false">
      <c r="A48" s="0" t="s">
        <v>102</v>
      </c>
      <c r="B48" s="3" t="n">
        <v>8.5</v>
      </c>
    </row>
    <row r="49" customFormat="false" ht="15" hidden="false" customHeight="false" outlineLevel="0" collapsed="false">
      <c r="A49" s="0" t="s">
        <v>103</v>
      </c>
      <c r="B49" s="3" t="n">
        <v>3</v>
      </c>
    </row>
    <row r="50" customFormat="false" ht="15" hidden="false" customHeight="false" outlineLevel="0" collapsed="false">
      <c r="A50" s="0" t="s">
        <v>104</v>
      </c>
      <c r="B50" s="3" t="n">
        <v>15</v>
      </c>
    </row>
    <row r="51" customFormat="false" ht="15" hidden="false" customHeight="false" outlineLevel="0" collapsed="false">
      <c r="A51" s="0" t="s">
        <v>105</v>
      </c>
      <c r="B51" s="3" t="n">
        <v>-10</v>
      </c>
    </row>
    <row r="52" customFormat="false" ht="15" hidden="false" customHeight="false" outlineLevel="0" collapsed="false">
      <c r="A52" s="0" t="s">
        <v>106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109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Assumptions!C13</f>
        <v>-3</v>
      </c>
      <c r="D5" s="4" t="n">
        <f aca="false">Assumptions!D13</f>
        <v>-1</v>
      </c>
      <c r="E5" s="4" t="n">
        <f aca="false">Assumptions!E13</f>
        <v>0.5</v>
      </c>
      <c r="F5" s="4" t="n">
        <f aca="false">Assumptions!F13</f>
        <v>1</v>
      </c>
      <c r="G5" s="4" t="n">
        <f aca="false">Assumptions!G13</f>
        <v>1.5</v>
      </c>
      <c r="H5" s="4" t="n">
        <f aca="false">Assumptions!H13</f>
        <v>1.5</v>
      </c>
      <c r="I5" s="4" t="n">
        <f aca="false">Assumptions!I13</f>
        <v>1.5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37</v>
      </c>
      <c r="B6" s="3" t="n">
        <v>6061.155</v>
      </c>
      <c r="C6" s="0" t="n">
        <f aca="false">B6*(1+C5/100)</f>
        <v>5879.32035</v>
      </c>
      <c r="D6" s="0" t="n">
        <f aca="false">C6*(1+D5/100)</f>
        <v>5820.5271465</v>
      </c>
      <c r="E6" s="0" t="n">
        <f aca="false">D6*(1+E5/100)</f>
        <v>5849.6297822325</v>
      </c>
      <c r="F6" s="0" t="n">
        <f aca="false">E6*(1+F5/100)</f>
        <v>5908.12608005482</v>
      </c>
      <c r="G6" s="0" t="n">
        <f aca="false">F6*(1+G5/100)</f>
        <v>5996.74797125565</v>
      </c>
      <c r="H6" s="0" t="n">
        <f aca="false">G6*(1+H5/100)</f>
        <v>6086.69919082448</v>
      </c>
      <c r="I6" s="0" t="n">
        <f aca="false">H6*(1+I5/100)</f>
        <v>6177.99967868685</v>
      </c>
      <c r="J6" s="0" t="n">
        <f aca="false">I6*(1+J5/100)</f>
        <v>6270.66967386715</v>
      </c>
      <c r="K6" s="0" t="n">
        <f aca="false">J6*(1+K5/100)</f>
        <v>6364.72971897515</v>
      </c>
      <c r="L6" s="0" t="n">
        <f aca="false">K6*(1+L5/100)</f>
        <v>6460.20066475978</v>
      </c>
    </row>
    <row r="7" customFormat="false" ht="15" hidden="false" customHeight="false" outlineLevel="0" collapsed="false">
      <c r="A7" s="0" t="s">
        <v>96</v>
      </c>
      <c r="C7" s="4" t="n">
        <f aca="false">Assumptions!C14</f>
        <v>13.8</v>
      </c>
      <c r="D7" s="4" t="n">
        <f aca="false">Assumptions!D14</f>
        <v>13.4</v>
      </c>
      <c r="E7" s="4" t="n">
        <f aca="false">Assumptions!E14</f>
        <v>13.2</v>
      </c>
      <c r="F7" s="4" t="n">
        <f aca="false">Assumptions!F14</f>
        <v>13</v>
      </c>
      <c r="G7" s="4" t="n">
        <f aca="false">Assumptions!G14</f>
        <v>13</v>
      </c>
      <c r="H7" s="4" t="n">
        <f aca="false">Assumptions!H14</f>
        <v>13</v>
      </c>
      <c r="I7" s="4" t="n">
        <f aca="false">Assumptions!I14</f>
        <v>13</v>
      </c>
      <c r="J7" s="4" t="n">
        <f aca="false">Assumptions!J14</f>
        <v>13</v>
      </c>
      <c r="K7" s="4" t="n">
        <f aca="false">Assumptions!K14</f>
        <v>13</v>
      </c>
      <c r="L7" s="4" t="n">
        <f aca="false">Assumptions!L14</f>
        <v>13</v>
      </c>
    </row>
    <row r="8" customFormat="false" ht="15" hidden="false" customHeight="false" outlineLevel="0" collapsed="false">
      <c r="A8" s="0" t="s">
        <v>43</v>
      </c>
      <c r="C8" s="0" t="n">
        <f aca="false">C6*C7/100</f>
        <v>811.3462083</v>
      </c>
      <c r="D8" s="0" t="n">
        <f aca="false">D6*D7/100</f>
        <v>779.950637631</v>
      </c>
      <c r="E8" s="0" t="n">
        <f aca="false">E6*E7/100</f>
        <v>772.15113125469</v>
      </c>
      <c r="F8" s="0" t="n">
        <f aca="false">F6*F7/100</f>
        <v>768.056390407127</v>
      </c>
      <c r="G8" s="0" t="n">
        <f aca="false">G6*G7/100</f>
        <v>779.577236263234</v>
      </c>
      <c r="H8" s="0" t="n">
        <f aca="false">H6*H7/100</f>
        <v>791.270894807182</v>
      </c>
      <c r="I8" s="0" t="n">
        <f aca="false">I6*I7/100</f>
        <v>803.13995822929</v>
      </c>
      <c r="J8" s="0" t="n">
        <f aca="false">J6*J7/100</f>
        <v>815.187057602729</v>
      </c>
      <c r="K8" s="0" t="n">
        <f aca="false">K6*K7/100</f>
        <v>827.41486346677</v>
      </c>
      <c r="L8" s="0" t="n">
        <f aca="false">L6*L7/100</f>
        <v>839.826086418772</v>
      </c>
    </row>
    <row r="9" customFormat="false" ht="15" hidden="false" customHeight="false" outlineLevel="0" collapsed="false">
      <c r="A9" s="0" t="s">
        <v>97</v>
      </c>
      <c r="C9" s="4" t="n">
        <f aca="false">Assumptions!C15</f>
        <v>0.4</v>
      </c>
      <c r="D9" s="4" t="n">
        <f aca="false">Assumptions!D15</f>
        <v>0.4</v>
      </c>
      <c r="E9" s="4" t="n">
        <f aca="false">Assumptions!E15</f>
        <v>0.4</v>
      </c>
      <c r="F9" s="4" t="n">
        <f aca="false">Assumptions!F15</f>
        <v>0.4</v>
      </c>
      <c r="G9" s="4" t="n">
        <f aca="false">Assumptions!G15</f>
        <v>0.4</v>
      </c>
      <c r="H9" s="4" t="n">
        <f aca="false">Assumptions!H15</f>
        <v>0.4</v>
      </c>
      <c r="I9" s="4" t="n">
        <f aca="false">Assumptions!I15</f>
        <v>0.4</v>
      </c>
      <c r="J9" s="4" t="n">
        <f aca="false">Assumptions!J15</f>
        <v>0.4</v>
      </c>
      <c r="K9" s="4" t="n">
        <f aca="false">Assumptions!K15</f>
        <v>0.4</v>
      </c>
      <c r="L9" s="4" t="n">
        <f aca="false">Assumptions!L15</f>
        <v>0.4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-23.5172814</v>
      </c>
      <c r="D10" s="0" t="n">
        <f aca="false">-D6*D9/100</f>
        <v>-23.282108586</v>
      </c>
      <c r="E10" s="0" t="n">
        <f aca="false">-E6*E9/100</f>
        <v>-23.39851912893</v>
      </c>
      <c r="F10" s="0" t="n">
        <f aca="false">-F6*F9/100</f>
        <v>-23.6325043202193</v>
      </c>
      <c r="G10" s="0" t="n">
        <f aca="false">-G6*G9/100</f>
        <v>-23.9869918850226</v>
      </c>
      <c r="H10" s="0" t="n">
        <f aca="false">-H6*H9/100</f>
        <v>-24.3467967632979</v>
      </c>
      <c r="I10" s="0" t="n">
        <f aca="false">-I6*I9/100</f>
        <v>-24.7119987147474</v>
      </c>
      <c r="J10" s="0" t="n">
        <f aca="false">-J6*J9/100</f>
        <v>-25.0826786954686</v>
      </c>
      <c r="K10" s="0" t="n">
        <f aca="false">-K6*K9/100</f>
        <v>-25.4589188759006</v>
      </c>
      <c r="L10" s="0" t="n">
        <f aca="false">-L6*L9/100</f>
        <v>-25.8408026590391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670.2425199</v>
      </c>
      <c r="D11" s="0" t="n">
        <f aca="false">D8+D10+D24</f>
        <v>640.257986115</v>
      </c>
      <c r="E11" s="0" t="n">
        <f aca="false">E8+E10+E24</f>
        <v>631.76001648111</v>
      </c>
      <c r="F11" s="0" t="n">
        <f aca="false">F8+F10+F24</f>
        <v>626.261364485811</v>
      </c>
      <c r="G11" s="0" t="n">
        <f aca="false">G8+G10+G24</f>
        <v>635.655284953098</v>
      </c>
      <c r="H11" s="0" t="n">
        <f aca="false">H8+H10+H24</f>
        <v>645.190114227395</v>
      </c>
      <c r="I11" s="0" t="n">
        <f aca="false">I8+I10+I24</f>
        <v>654.867965940806</v>
      </c>
      <c r="J11" s="0" t="n">
        <f aca="false">J8+J10+J24</f>
        <v>664.690985429918</v>
      </c>
      <c r="K11" s="0" t="n">
        <f aca="false">K8+K10+K24</f>
        <v>674.661350211366</v>
      </c>
      <c r="L11" s="0" t="n">
        <f aca="false">L8+L10+L24</f>
        <v>684.781270464537</v>
      </c>
    </row>
    <row r="12" customFormat="false" ht="15" hidden="false" customHeight="false" outlineLevel="0" collapsed="false">
      <c r="A12" s="0" t="s">
        <v>114</v>
      </c>
      <c r="C12" s="4" t="n">
        <f aca="false">-C6*Assumptions!C17/100</f>
        <v>-352.759221</v>
      </c>
      <c r="D12" s="4" t="n">
        <f aca="false">-D6*Assumptions!D17/100</f>
        <v>-337.590574497</v>
      </c>
      <c r="E12" s="4" t="n">
        <f aca="false">-E6*Assumptions!E17/100</f>
        <v>-321.729638022787</v>
      </c>
      <c r="F12" s="4" t="n">
        <f aca="false">-F6*Assumptions!F17/100</f>
        <v>-307.222556162851</v>
      </c>
      <c r="G12" s="4" t="n">
        <f aca="false">-G6*Assumptions!G17/100</f>
        <v>-299.837398562782</v>
      </c>
      <c r="H12" s="4" t="n">
        <f aca="false">-H6*Assumptions!H17/100</f>
        <v>-286.074861968751</v>
      </c>
      <c r="I12" s="4" t="n">
        <f aca="false">-I6*Assumptions!I17/100</f>
        <v>-278.009985540908</v>
      </c>
      <c r="J12" s="4" t="n">
        <f aca="false">-J6*Assumptions!J17/100</f>
        <v>-269.638795976287</v>
      </c>
      <c r="K12" s="4" t="n">
        <f aca="false">-K6*Assumptions!K17/100</f>
        <v>-260.953918477981</v>
      </c>
      <c r="L12" s="4" t="n">
        <f aca="false">-L6*Assumptions!L17/100</f>
        <v>-258.408026590391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317.4832989</v>
      </c>
      <c r="D13" s="0" t="n">
        <f aca="false">D11+D12</f>
        <v>302.667411618</v>
      </c>
      <c r="E13" s="0" t="n">
        <f aca="false">E11+E12</f>
        <v>310.030378458322</v>
      </c>
      <c r="F13" s="0" t="n">
        <f aca="false">F11+F12</f>
        <v>319.038808322961</v>
      </c>
      <c r="G13" s="0" t="n">
        <f aca="false">G11+G12</f>
        <v>335.817886390316</v>
      </c>
      <c r="H13" s="0" t="n">
        <f aca="false">H11+H12</f>
        <v>359.115252258644</v>
      </c>
      <c r="I13" s="0" t="n">
        <f aca="false">I11+I12</f>
        <v>376.857980399898</v>
      </c>
      <c r="J13" s="0" t="n">
        <f aca="false">J11+J12</f>
        <v>395.05218945363</v>
      </c>
      <c r="K13" s="0" t="n">
        <f aca="false">K11+K12</f>
        <v>413.707431733385</v>
      </c>
      <c r="L13" s="0" t="n">
        <f aca="false">L11+L12</f>
        <v>426.373243874146</v>
      </c>
    </row>
    <row r="14" customFormat="false" ht="15" hidden="false" customHeight="false" outlineLevel="0" collapsed="false">
      <c r="A14" s="0" t="s">
        <v>101</v>
      </c>
      <c r="C14" s="4" t="n">
        <f aca="false">Assumptions!C19</f>
        <v>20</v>
      </c>
      <c r="D14" s="4" t="n">
        <f aca="false">Assumptions!D19</f>
        <v>23</v>
      </c>
      <c r="E14" s="4" t="n">
        <f aca="false">Assumptions!E19</f>
        <v>25</v>
      </c>
      <c r="F14" s="4" t="n">
        <f aca="false">Assumptions!F19</f>
        <v>26</v>
      </c>
      <c r="G14" s="4" t="n">
        <f aca="false">Assumptions!G19</f>
        <v>26</v>
      </c>
      <c r="H14" s="4" t="n">
        <f aca="false">Assumptions!H19</f>
        <v>26</v>
      </c>
      <c r="I14" s="4" t="n">
        <f aca="false">Assumptions!I19</f>
        <v>26</v>
      </c>
      <c r="J14" s="4" t="n">
        <f aca="false">Assumptions!J19</f>
        <v>26</v>
      </c>
      <c r="K14" s="4" t="n">
        <f aca="false">Assumptions!K19</f>
        <v>26</v>
      </c>
      <c r="L14" s="4" t="n">
        <f aca="false">Assumptions!L19</f>
        <v>26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253.98663912</v>
      </c>
      <c r="D15" s="0" t="n">
        <f aca="false">D13-MAX(0,D13)*D14/100</f>
        <v>233.05390694586</v>
      </c>
      <c r="E15" s="0" t="n">
        <f aca="false">E13-MAX(0,E13)*E14/100</f>
        <v>232.522783843742</v>
      </c>
      <c r="F15" s="0" t="n">
        <f aca="false">F13-MAX(0,F13)*F14/100</f>
        <v>236.088718158991</v>
      </c>
      <c r="G15" s="0" t="n">
        <f aca="false">G13-MAX(0,G13)*G14/100</f>
        <v>248.505235928834</v>
      </c>
      <c r="H15" s="0" t="n">
        <f aca="false">H13-MAX(0,H13)*H14/100</f>
        <v>265.745286671397</v>
      </c>
      <c r="I15" s="0" t="n">
        <f aca="false">I13-MAX(0,I13)*I14/100</f>
        <v>278.874905495924</v>
      </c>
      <c r="J15" s="0" t="n">
        <f aca="false">J13-MAX(0,J13)*J14/100</f>
        <v>292.338620195686</v>
      </c>
      <c r="K15" s="0" t="n">
        <f aca="false">K13-MAX(0,K13)*K14/100</f>
        <v>306.143499482705</v>
      </c>
      <c r="L15" s="0" t="n">
        <f aca="false">L13-MAX(0,L13)*L14/100</f>
        <v>315.516200466868</v>
      </c>
    </row>
    <row r="16" customFormat="false" ht="15" hidden="false" customHeight="false" outlineLevel="0" collapsed="false">
      <c r="A16" s="0" t="s">
        <v>117</v>
      </c>
      <c r="C16" s="0" t="n">
        <f aca="false">-C12</f>
        <v>352.759221</v>
      </c>
      <c r="D16" s="0" t="n">
        <f aca="false">-D12</f>
        <v>337.590574497</v>
      </c>
      <c r="E16" s="0" t="n">
        <f aca="false">-E12</f>
        <v>321.729638022787</v>
      </c>
      <c r="F16" s="0" t="n">
        <f aca="false">-F12</f>
        <v>307.222556162851</v>
      </c>
      <c r="G16" s="0" t="n">
        <f aca="false">-G12</f>
        <v>299.837398562782</v>
      </c>
      <c r="H16" s="0" t="n">
        <f aca="false">-H12</f>
        <v>286.074861968751</v>
      </c>
      <c r="I16" s="0" t="n">
        <f aca="false">-I12</f>
        <v>278.009985540908</v>
      </c>
      <c r="J16" s="0" t="n">
        <f aca="false">-J12</f>
        <v>269.638795976287</v>
      </c>
      <c r="K16" s="0" t="n">
        <f aca="false">-K12</f>
        <v>260.953918477981</v>
      </c>
      <c r="L16" s="0" t="n">
        <f aca="false">-L12</f>
        <v>258.408026590391</v>
      </c>
    </row>
    <row r="17" customFormat="false" ht="15" hidden="false" customHeight="false" outlineLevel="0" collapsed="false">
      <c r="A17" s="0" t="s">
        <v>118</v>
      </c>
      <c r="C17" s="4" t="n">
        <f aca="false">-C6*Assumptions!C18/100</f>
        <v>-176.3796105</v>
      </c>
      <c r="D17" s="4" t="n">
        <f aca="false">-D6*Assumptions!D18/100</f>
        <v>-186.256868688</v>
      </c>
      <c r="E17" s="4" t="n">
        <f aca="false">-E6*Assumptions!E18/100</f>
        <v>-198.887412595905</v>
      </c>
      <c r="F17" s="4" t="n">
        <f aca="false">-F6*Assumptions!F18/100</f>
        <v>-212.692538881974</v>
      </c>
      <c r="G17" s="4" t="n">
        <f aca="false">-G6*Assumptions!G18/100</f>
        <v>-227.876422907715</v>
      </c>
      <c r="H17" s="4" t="n">
        <f aca="false">-H6*Assumptions!H18/100</f>
        <v>-243.467967632979</v>
      </c>
      <c r="I17" s="4" t="n">
        <f aca="false">-I6*Assumptions!I18/100</f>
        <v>-247.119987147474</v>
      </c>
      <c r="J17" s="4" t="n">
        <f aca="false">-J6*Assumptions!J18/100</f>
        <v>-250.826786954686</v>
      </c>
      <c r="K17" s="4" t="n">
        <f aca="false">-K6*Assumptions!K18/100</f>
        <v>-254.589188759006</v>
      </c>
      <c r="L17" s="4" t="n">
        <f aca="false">-L6*Assumptions!L18/100</f>
        <v>-258.408026590391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(C6-B6)*Assumptions!$B$23/100</f>
        <v>18.183465</v>
      </c>
      <c r="D18" s="4" t="n">
        <f aca="false">(D6-C6)*Assumptions!$B$23/100</f>
        <v>5.87932035000003</v>
      </c>
      <c r="E18" s="4" t="n">
        <f aca="false">(E6-D6)*Assumptions!$B$23/100</f>
        <v>-2.9102635732499</v>
      </c>
      <c r="F18" s="4" t="n">
        <f aca="false">(F6-E6)*Assumptions!$B$23/100</f>
        <v>-5.84962978223248</v>
      </c>
      <c r="G18" s="4" t="n">
        <f aca="false">(G6-F6)*Assumptions!$B$23/100</f>
        <v>-8.86218912008217</v>
      </c>
      <c r="H18" s="4" t="n">
        <f aca="false">(H6-G6)*Assumptions!$B$23/100</f>
        <v>-8.9951219568834</v>
      </c>
      <c r="I18" s="4" t="n">
        <f aca="false">(I6-H6)*Assumptions!$B$23/100</f>
        <v>-9.13004878623669</v>
      </c>
      <c r="J18" s="4" t="n">
        <f aca="false">(J6-I6)*Assumptions!$B$23/100</f>
        <v>-9.26699951803021</v>
      </c>
      <c r="K18" s="4" t="n">
        <f aca="false">(K6-J6)*Assumptions!$B$23/100</f>
        <v>-9.40600451080063</v>
      </c>
      <c r="L18" s="4" t="n">
        <f aca="false">(L6-K6)*Assumptions!$B$23/100</f>
        <v>-9.54709457846266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448.54971462</v>
      </c>
      <c r="D19" s="0" t="n">
        <f aca="false">D15+D16+D17+D18</f>
        <v>390.26693310486</v>
      </c>
      <c r="E19" s="0" t="n">
        <f aca="false">E15+E16+E17+E18</f>
        <v>352.454745697374</v>
      </c>
      <c r="F19" s="0" t="n">
        <f aca="false">F15+F16+F17+F18</f>
        <v>324.769105657636</v>
      </c>
      <c r="G19" s="0" t="n">
        <f aca="false">G15+G16+G17+G18</f>
        <v>311.60402246382</v>
      </c>
      <c r="H19" s="0" t="n">
        <f aca="false">H15+H16+H17+H18</f>
        <v>299.357059050285</v>
      </c>
      <c r="I19" s="0" t="n">
        <f aca="false">I15+I16+I17+I18</f>
        <v>300.634855103122</v>
      </c>
      <c r="J19" s="0" t="n">
        <f aca="false">J15+J16+J17+J18</f>
        <v>301.883629699258</v>
      </c>
      <c r="K19" s="0" t="n">
        <f aca="false">K15+K16+K17+K18</f>
        <v>303.102224690879</v>
      </c>
      <c r="L19" s="0" t="n">
        <f aca="false">L15+L16+L17+L18</f>
        <v>305.969105888405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413.409875225806</v>
      </c>
      <c r="D21" s="0" t="n">
        <f aca="false">D19*D20</f>
        <v>331.514309588108</v>
      </c>
      <c r="E21" s="0" t="n">
        <f aca="false">E19*E20</f>
        <v>275.939674736818</v>
      </c>
      <c r="F21" s="0" t="n">
        <f aca="false">F19*F20</f>
        <v>234.345034967252</v>
      </c>
      <c r="G21" s="0" t="n">
        <f aca="false">G19*G20</f>
        <v>207.23082901783</v>
      </c>
      <c r="H21" s="0" t="n">
        <f aca="false">H19*H20</f>
        <v>183.48943967786</v>
      </c>
      <c r="I21" s="0" t="n">
        <f aca="false">I19*I20</f>
        <v>169.836551608497</v>
      </c>
      <c r="J21" s="0" t="n">
        <f aca="false">J19*J20</f>
        <v>157.181582750258</v>
      </c>
      <c r="K21" s="0" t="n">
        <f aca="false">K19*K20</f>
        <v>145.452597171923</v>
      </c>
      <c r="L21" s="0" t="n">
        <f aca="false">L19*L20</f>
        <v>135.325672986321</v>
      </c>
    </row>
    <row r="23" customFormat="false" ht="15" hidden="false" customHeight="false" outlineLevel="0" collapsed="false">
      <c r="A23" s="0" t="s">
        <v>98</v>
      </c>
      <c r="C23" s="4" t="n">
        <f aca="false">Assumptions!C16</f>
        <v>2</v>
      </c>
      <c r="D23" s="4" t="n">
        <f aca="false">Assumptions!D16</f>
        <v>2</v>
      </c>
      <c r="E23" s="4" t="n">
        <f aca="false">Assumptions!E16</f>
        <v>2</v>
      </c>
      <c r="F23" s="4" t="n">
        <f aca="false">Assumptions!F16</f>
        <v>2</v>
      </c>
      <c r="G23" s="4" t="n">
        <f aca="false">Assumptions!G16</f>
        <v>2</v>
      </c>
      <c r="H23" s="4" t="n">
        <f aca="false">Assumptions!H16</f>
        <v>2</v>
      </c>
      <c r="I23" s="4" t="n">
        <f aca="false">Assumptions!I16</f>
        <v>2</v>
      </c>
      <c r="J23" s="4" t="n">
        <f aca="false">Assumptions!J16</f>
        <v>2</v>
      </c>
      <c r="K23" s="4" t="n">
        <f aca="false">Assumptions!K16</f>
        <v>2</v>
      </c>
      <c r="L23" s="4" t="n">
        <f aca="false">Assumptions!L16</f>
        <v>2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-117.586407</v>
      </c>
      <c r="D24" s="0" t="n">
        <f aca="false">-D6*D23/100</f>
        <v>-116.41054293</v>
      </c>
      <c r="E24" s="0" t="n">
        <f aca="false">-E6*E23/100</f>
        <v>-116.99259564465</v>
      </c>
      <c r="F24" s="0" t="n">
        <f aca="false">-F6*F23/100</f>
        <v>-118.162521601096</v>
      </c>
      <c r="G24" s="0" t="n">
        <f aca="false">-G6*G23/100</f>
        <v>-119.934959425113</v>
      </c>
      <c r="H24" s="0" t="n">
        <f aca="false">-H6*H23/100</f>
        <v>-121.73398381649</v>
      </c>
      <c r="I24" s="0" t="n">
        <f aca="false">-I6*I23/100</f>
        <v>-123.559993573737</v>
      </c>
      <c r="J24" s="0" t="n">
        <f aca="false">-J6*J23/100</f>
        <v>-125.413393477343</v>
      </c>
      <c r="K24" s="0" t="n">
        <f aca="false">-K6*K23/100</f>
        <v>-127.294594379503</v>
      </c>
      <c r="L24" s="0" t="n">
        <f aca="false">-L6*L23/100</f>
        <v>-129.204013295196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103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104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2253.72556773067</v>
      </c>
    </row>
    <row r="31" customFormat="false" ht="15" hidden="false" customHeight="false" outlineLevel="0" collapsed="false">
      <c r="A31" s="0" t="s">
        <v>126</v>
      </c>
      <c r="B31" s="0" t="n">
        <f aca="false">L19</f>
        <v>305.969105888405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4436.55203538187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4589.53658832608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4436.55203538187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1962.22225830166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4215.94782603233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5057.31182603233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4.96496350484226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-0.268244140774906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158.365681756571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165.720646869625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5.28313190129445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2300.43438871653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3.11251709994576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Assumptions!C27</f>
        <v>1.5</v>
      </c>
      <c r="D5" s="4" t="n">
        <f aca="false">Assumptions!D27</f>
        <v>2.5</v>
      </c>
      <c r="E5" s="4" t="n">
        <f aca="false">Assumptions!E27</f>
        <v>3</v>
      </c>
      <c r="F5" s="4" t="n">
        <f aca="false">Assumptions!F27</f>
        <v>3</v>
      </c>
      <c r="G5" s="4" t="n">
        <f aca="false">Assumptions!G27</f>
        <v>3</v>
      </c>
      <c r="H5" s="4" t="n">
        <f aca="false">Assumptions!H27</f>
        <v>3</v>
      </c>
      <c r="I5" s="4" t="n">
        <f aca="false">Assumptions!I27</f>
        <v>2.5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6061.155</v>
      </c>
      <c r="C6" s="0" t="n">
        <f aca="false">B6*(1+C5/100)</f>
        <v>6152.072325</v>
      </c>
      <c r="D6" s="0" t="n">
        <f aca="false">C6*(1+D5/100)</f>
        <v>6305.874133125</v>
      </c>
      <c r="E6" s="0" t="n">
        <f aca="false">D6*(1+E5/100)</f>
        <v>6495.05035711875</v>
      </c>
      <c r="F6" s="0" t="n">
        <f aca="false">E6*(1+F5/100)</f>
        <v>6689.90186783231</v>
      </c>
      <c r="G6" s="0" t="n">
        <f aca="false">F6*(1+G5/100)</f>
        <v>6890.59892386728</v>
      </c>
      <c r="H6" s="0" t="n">
        <f aca="false">G6*(1+H5/100)</f>
        <v>7097.3168915833</v>
      </c>
      <c r="I6" s="0" t="n">
        <f aca="false">H6*(1+I5/100)</f>
        <v>7274.74981387288</v>
      </c>
      <c r="J6" s="0" t="n">
        <f aca="false">I6*(1+J5/100)</f>
        <v>7456.6185592197</v>
      </c>
      <c r="K6" s="0" t="n">
        <f aca="false">J6*(1+K5/100)</f>
        <v>7643.03402320019</v>
      </c>
      <c r="L6" s="0" t="n">
        <f aca="false">K6*(1+L5/100)</f>
        <v>7834.1098737802</v>
      </c>
    </row>
    <row r="7" customFormat="false" ht="15" hidden="false" customHeight="false" outlineLevel="0" collapsed="false">
      <c r="A7" s="0" t="s">
        <v>96</v>
      </c>
      <c r="C7" s="4" t="n">
        <f aca="false">Assumptions!C28</f>
        <v>14.6</v>
      </c>
      <c r="D7" s="4" t="n">
        <f aca="false">Assumptions!D28</f>
        <v>14.9</v>
      </c>
      <c r="E7" s="4" t="n">
        <f aca="false">Assumptions!E28</f>
        <v>15.2</v>
      </c>
      <c r="F7" s="4" t="n">
        <f aca="false">Assumptions!F28</f>
        <v>15.5</v>
      </c>
      <c r="G7" s="4" t="n">
        <f aca="false">Assumptions!G28</f>
        <v>15.7</v>
      </c>
      <c r="H7" s="4" t="n">
        <f aca="false">Assumptions!H28</f>
        <v>15.8</v>
      </c>
      <c r="I7" s="4" t="n">
        <f aca="false">Assumptions!I28</f>
        <v>15.8</v>
      </c>
      <c r="J7" s="4" t="n">
        <f aca="false">Assumptions!J28</f>
        <v>15.8</v>
      </c>
      <c r="K7" s="4" t="n">
        <f aca="false">Assumptions!K28</f>
        <v>15.8</v>
      </c>
      <c r="L7" s="4" t="n">
        <f aca="false">Assumptions!L28</f>
        <v>15.8</v>
      </c>
    </row>
    <row r="8" customFormat="false" ht="15" hidden="false" customHeight="false" outlineLevel="0" collapsed="false">
      <c r="A8" s="0" t="s">
        <v>43</v>
      </c>
      <c r="C8" s="0" t="n">
        <f aca="false">C6*C7/100</f>
        <v>898.20255945</v>
      </c>
      <c r="D8" s="0" t="n">
        <f aca="false">D6*D7/100</f>
        <v>939.575245835625</v>
      </c>
      <c r="E8" s="0" t="n">
        <f aca="false">E6*E7/100</f>
        <v>987.24765428205</v>
      </c>
      <c r="F8" s="0" t="n">
        <f aca="false">F6*F7/100</f>
        <v>1036.93478951401</v>
      </c>
      <c r="G8" s="0" t="n">
        <f aca="false">G6*G7/100</f>
        <v>1081.82403104716</v>
      </c>
      <c r="H8" s="0" t="n">
        <f aca="false">H6*H7/100</f>
        <v>1121.37606887016</v>
      </c>
      <c r="I8" s="0" t="n">
        <f aca="false">I6*I7/100</f>
        <v>1149.41047059192</v>
      </c>
      <c r="J8" s="0" t="n">
        <f aca="false">J6*J7/100</f>
        <v>1178.14573235671</v>
      </c>
      <c r="K8" s="0" t="n">
        <f aca="false">K6*K7/100</f>
        <v>1207.59937566563</v>
      </c>
      <c r="L8" s="0" t="n">
        <f aca="false">L6*L7/100</f>
        <v>1237.78936005727</v>
      </c>
    </row>
    <row r="9" customFormat="false" ht="15" hidden="false" customHeight="false" outlineLevel="0" collapsed="false">
      <c r="A9" s="0" t="s">
        <v>97</v>
      </c>
      <c r="C9" s="4" t="n">
        <f aca="false">Assumptions!C29</f>
        <v>0.4</v>
      </c>
      <c r="D9" s="4" t="n">
        <f aca="false">Assumptions!D29</f>
        <v>0.4</v>
      </c>
      <c r="E9" s="4" t="n">
        <f aca="false">Assumptions!E29</f>
        <v>0.4</v>
      </c>
      <c r="F9" s="4" t="n">
        <f aca="false">Assumptions!F29</f>
        <v>0.4</v>
      </c>
      <c r="G9" s="4" t="n">
        <f aca="false">Assumptions!G29</f>
        <v>0.4</v>
      </c>
      <c r="H9" s="4" t="n">
        <f aca="false">Assumptions!H29</f>
        <v>0.4</v>
      </c>
      <c r="I9" s="4" t="n">
        <f aca="false">Assumptions!I29</f>
        <v>0.4</v>
      </c>
      <c r="J9" s="4" t="n">
        <f aca="false">Assumptions!J29</f>
        <v>0.4</v>
      </c>
      <c r="K9" s="4" t="n">
        <f aca="false">Assumptions!K29</f>
        <v>0.4</v>
      </c>
      <c r="L9" s="4" t="n">
        <f aca="false">Assumptions!L29</f>
        <v>0.4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-24.6082893</v>
      </c>
      <c r="D10" s="0" t="n">
        <f aca="false">-D6*D9/100</f>
        <v>-25.2234965325</v>
      </c>
      <c r="E10" s="0" t="n">
        <f aca="false">-E6*E9/100</f>
        <v>-25.980201428475</v>
      </c>
      <c r="F10" s="0" t="n">
        <f aca="false">-F6*F9/100</f>
        <v>-26.7596074713292</v>
      </c>
      <c r="G10" s="0" t="n">
        <f aca="false">-G6*G9/100</f>
        <v>-27.5623956954691</v>
      </c>
      <c r="H10" s="0" t="n">
        <f aca="false">-H6*H9/100</f>
        <v>-28.3892675663332</v>
      </c>
      <c r="I10" s="0" t="n">
        <f aca="false">-I6*I9/100</f>
        <v>-29.0989992554915</v>
      </c>
      <c r="J10" s="0" t="n">
        <f aca="false">-J6*J9/100</f>
        <v>-29.8264742368788</v>
      </c>
      <c r="K10" s="0" t="n">
        <f aca="false">-K6*K9/100</f>
        <v>-30.5721360928008</v>
      </c>
      <c r="L10" s="0" t="n">
        <f aca="false">-L6*L9/100</f>
        <v>-31.3364394951208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750.55282365</v>
      </c>
      <c r="D11" s="0" t="n">
        <f aca="false">D8+D10+D24</f>
        <v>788.234266640625</v>
      </c>
      <c r="E11" s="0" t="n">
        <f aca="false">E8+E10+E24</f>
        <v>831.3664457112</v>
      </c>
      <c r="F11" s="0" t="n">
        <f aca="false">F8+F10+F24</f>
        <v>876.377144686033</v>
      </c>
      <c r="G11" s="0" t="n">
        <f aca="false">G8+G10+G24</f>
        <v>916.449656874348</v>
      </c>
      <c r="H11" s="0" t="n">
        <f aca="false">H8+H10+H24</f>
        <v>951.040463472162</v>
      </c>
      <c r="I11" s="0" t="n">
        <f aca="false">I8+I10+I24</f>
        <v>974.816475058966</v>
      </c>
      <c r="J11" s="0" t="n">
        <f aca="false">J8+J10+J24</f>
        <v>999.18688693544</v>
      </c>
      <c r="K11" s="0" t="n">
        <f aca="false">K8+K10+K24</f>
        <v>1024.16655910883</v>
      </c>
      <c r="L11" s="0" t="n">
        <f aca="false">L8+L10+L24</f>
        <v>1049.77072308655</v>
      </c>
    </row>
    <row r="12" customFormat="false" ht="15" hidden="false" customHeight="false" outlineLevel="0" collapsed="false">
      <c r="A12" s="0" t="s">
        <v>114</v>
      </c>
      <c r="C12" s="4" t="n">
        <f aca="false">-C6*Assumptions!C31/100</f>
        <v>-369.1243395</v>
      </c>
      <c r="D12" s="4" t="n">
        <f aca="false">-D6*Assumptions!D31/100</f>
        <v>-365.74069972125</v>
      </c>
      <c r="E12" s="4" t="n">
        <f aca="false">-E6*Assumptions!E31/100</f>
        <v>-357.227769641531</v>
      </c>
      <c r="F12" s="4" t="n">
        <f aca="false">-F6*Assumptions!F31/100</f>
        <v>-347.87489712728</v>
      </c>
      <c r="G12" s="4" t="n">
        <f aca="false">-G6*Assumptions!G31/100</f>
        <v>-344.529946193364</v>
      </c>
      <c r="H12" s="4" t="n">
        <f aca="false">-H6*Assumptions!H31/100</f>
        <v>-333.573893904415</v>
      </c>
      <c r="I12" s="4" t="n">
        <f aca="false">-I6*Assumptions!I31/100</f>
        <v>-327.36374162428</v>
      </c>
      <c r="J12" s="4" t="n">
        <f aca="false">-J6*Assumptions!J31/100</f>
        <v>-320.634598046447</v>
      </c>
      <c r="K12" s="4" t="n">
        <f aca="false">-K6*Assumptions!K31/100</f>
        <v>-313.364394951208</v>
      </c>
      <c r="L12" s="4" t="n">
        <f aca="false">-L6*Assumptions!L31/100</f>
        <v>-313.364394951208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381.42848415</v>
      </c>
      <c r="D13" s="0" t="n">
        <f aca="false">D11+D12</f>
        <v>422.493566919375</v>
      </c>
      <c r="E13" s="0" t="n">
        <f aca="false">E11+E12</f>
        <v>474.138676069669</v>
      </c>
      <c r="F13" s="0" t="n">
        <f aca="false">F11+F12</f>
        <v>528.502247558753</v>
      </c>
      <c r="G13" s="0" t="n">
        <f aca="false">G11+G12</f>
        <v>571.919710680984</v>
      </c>
      <c r="H13" s="0" t="n">
        <f aca="false">H11+H12</f>
        <v>617.466569567747</v>
      </c>
      <c r="I13" s="0" t="n">
        <f aca="false">I11+I12</f>
        <v>647.452733434687</v>
      </c>
      <c r="J13" s="0" t="n">
        <f aca="false">J11+J12</f>
        <v>678.552288888993</v>
      </c>
      <c r="K13" s="0" t="n">
        <f aca="false">K11+K12</f>
        <v>710.802164157618</v>
      </c>
      <c r="L13" s="0" t="n">
        <f aca="false">L11+L12</f>
        <v>736.406328135339</v>
      </c>
    </row>
    <row r="14" customFormat="false" ht="15" hidden="false" customHeight="false" outlineLevel="0" collapsed="false">
      <c r="A14" s="0" t="s">
        <v>101</v>
      </c>
      <c r="C14" s="4" t="n">
        <f aca="false">Assumptions!C33</f>
        <v>20</v>
      </c>
      <c r="D14" s="4" t="n">
        <f aca="false">Assumptions!D33</f>
        <v>22</v>
      </c>
      <c r="E14" s="4" t="n">
        <f aca="false">Assumptions!E33</f>
        <v>24</v>
      </c>
      <c r="F14" s="4" t="n">
        <f aca="false">Assumptions!F33</f>
        <v>25</v>
      </c>
      <c r="G14" s="4" t="n">
        <f aca="false">Assumptions!G33</f>
        <v>25</v>
      </c>
      <c r="H14" s="4" t="n">
        <f aca="false">Assumptions!H33</f>
        <v>25</v>
      </c>
      <c r="I14" s="4" t="n">
        <f aca="false">Assumptions!I33</f>
        <v>25</v>
      </c>
      <c r="J14" s="4" t="n">
        <f aca="false">Assumptions!J33</f>
        <v>25</v>
      </c>
      <c r="K14" s="4" t="n">
        <f aca="false">Assumptions!K33</f>
        <v>25</v>
      </c>
      <c r="L14" s="4" t="n">
        <f aca="false">Assumptions!L33</f>
        <v>25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305.14278732</v>
      </c>
      <c r="D15" s="0" t="n">
        <f aca="false">D13-MAX(0,D13)*D14/100</f>
        <v>329.544982197113</v>
      </c>
      <c r="E15" s="0" t="n">
        <f aca="false">E13-MAX(0,E13)*E14/100</f>
        <v>360.345393812948</v>
      </c>
      <c r="F15" s="0" t="n">
        <f aca="false">F13-MAX(0,F13)*F14/100</f>
        <v>396.376685669064</v>
      </c>
      <c r="G15" s="0" t="n">
        <f aca="false">G13-MAX(0,G13)*G14/100</f>
        <v>428.939783010738</v>
      </c>
      <c r="H15" s="0" t="n">
        <f aca="false">H13-MAX(0,H13)*H14/100</f>
        <v>463.09992717581</v>
      </c>
      <c r="I15" s="0" t="n">
        <f aca="false">I13-MAX(0,I13)*I14/100</f>
        <v>485.589550076015</v>
      </c>
      <c r="J15" s="0" t="n">
        <f aca="false">J13-MAX(0,J13)*J14/100</f>
        <v>508.914216666745</v>
      </c>
      <c r="K15" s="0" t="n">
        <f aca="false">K13-MAX(0,K13)*K14/100</f>
        <v>533.101623118214</v>
      </c>
      <c r="L15" s="0" t="n">
        <f aca="false">L13-MAX(0,L13)*L14/100</f>
        <v>552.304746101504</v>
      </c>
    </row>
    <row r="16" customFormat="false" ht="15" hidden="false" customHeight="false" outlineLevel="0" collapsed="false">
      <c r="A16" s="0" t="s">
        <v>117</v>
      </c>
      <c r="C16" s="0" t="n">
        <f aca="false">-C12</f>
        <v>369.1243395</v>
      </c>
      <c r="D16" s="0" t="n">
        <f aca="false">-D12</f>
        <v>365.74069972125</v>
      </c>
      <c r="E16" s="0" t="n">
        <f aca="false">-E12</f>
        <v>357.227769641531</v>
      </c>
      <c r="F16" s="0" t="n">
        <f aca="false">-F12</f>
        <v>347.87489712728</v>
      </c>
      <c r="G16" s="0" t="n">
        <f aca="false">-G12</f>
        <v>344.529946193364</v>
      </c>
      <c r="H16" s="0" t="n">
        <f aca="false">-H12</f>
        <v>333.573893904415</v>
      </c>
      <c r="I16" s="0" t="n">
        <f aca="false">-I12</f>
        <v>327.36374162428</v>
      </c>
      <c r="J16" s="0" t="n">
        <f aca="false">-J12</f>
        <v>320.634598046447</v>
      </c>
      <c r="K16" s="0" t="n">
        <f aca="false">-K12</f>
        <v>313.364394951208</v>
      </c>
      <c r="L16" s="0" t="n">
        <f aca="false">-L12</f>
        <v>313.364394951208</v>
      </c>
    </row>
    <row r="17" customFormat="false" ht="15" hidden="false" customHeight="false" outlineLevel="0" collapsed="false">
      <c r="A17" s="0" t="s">
        <v>118</v>
      </c>
      <c r="C17" s="4" t="n">
        <f aca="false">-C6*Assumptions!C32/100</f>
        <v>-184.56216975</v>
      </c>
      <c r="D17" s="4" t="n">
        <f aca="false">-D6*Assumptions!D32/100</f>
        <v>-201.78797226</v>
      </c>
      <c r="E17" s="4" t="n">
        <f aca="false">-E6*Assumptions!E32/100</f>
        <v>-220.831712142037</v>
      </c>
      <c r="F17" s="4" t="n">
        <f aca="false">-F6*Assumptions!F32/100</f>
        <v>-240.836467241963</v>
      </c>
      <c r="G17" s="4" t="n">
        <f aca="false">-G6*Assumptions!G32/100</f>
        <v>-261.842759106957</v>
      </c>
      <c r="H17" s="4" t="n">
        <f aca="false">-H6*Assumptions!H32/100</f>
        <v>-283.892675663332</v>
      </c>
      <c r="I17" s="4" t="n">
        <f aca="false">-I6*Assumptions!I32/100</f>
        <v>-290.989992554915</v>
      </c>
      <c r="J17" s="4" t="n">
        <f aca="false">-J6*Assumptions!J32/100</f>
        <v>-298.264742368788</v>
      </c>
      <c r="K17" s="4" t="n">
        <f aca="false">-K6*Assumptions!K32/100</f>
        <v>-305.721360928008</v>
      </c>
      <c r="L17" s="4" t="n">
        <f aca="false">-L6*Assumptions!L32/100</f>
        <v>-313.364394951208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(C6-B6)*Assumptions!$B$37/100</f>
        <v>-9.09173249999994</v>
      </c>
      <c r="D18" s="4" t="n">
        <f aca="false">(D6-C6)*Assumptions!$B$37/100</f>
        <v>-15.3801808124999</v>
      </c>
      <c r="E18" s="4" t="n">
        <f aca="false">(E6-D6)*Assumptions!$B$37/100</f>
        <v>-18.917622399375</v>
      </c>
      <c r="F18" s="4" t="n">
        <f aca="false">(F6-E6)*Assumptions!$B$37/100</f>
        <v>-19.4851510713563</v>
      </c>
      <c r="G18" s="4" t="n">
        <f aca="false">(G6-F6)*Assumptions!$B$37/100</f>
        <v>-20.0697056034969</v>
      </c>
      <c r="H18" s="4" t="n">
        <f aca="false">(H6-G6)*Assumptions!$B$37/100</f>
        <v>-20.6717967716018</v>
      </c>
      <c r="I18" s="4" t="n">
        <f aca="false">(I6-H6)*Assumptions!$B$37/100</f>
        <v>-17.7432922289582</v>
      </c>
      <c r="J18" s="4" t="n">
        <f aca="false">(J6-I6)*Assumptions!$B$37/100</f>
        <v>-18.1868745346821</v>
      </c>
      <c r="K18" s="4" t="n">
        <f aca="false">(K6-J6)*Assumptions!$B$37/100</f>
        <v>-18.6415463980492</v>
      </c>
      <c r="L18" s="4" t="n">
        <f aca="false">(L6-K6)*Assumptions!$B$37/100</f>
        <v>-19.1075850580004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480.61322457</v>
      </c>
      <c r="D19" s="0" t="n">
        <f aca="false">D15+D16+D17+D18</f>
        <v>478.117528845863</v>
      </c>
      <c r="E19" s="0" t="n">
        <f aca="false">E15+E16+E17+E18</f>
        <v>477.823828913067</v>
      </c>
      <c r="F19" s="0" t="n">
        <f aca="false">F15+F16+F17+F18</f>
        <v>483.929964483025</v>
      </c>
      <c r="G19" s="0" t="n">
        <f aca="false">G15+G16+G17+G18</f>
        <v>491.557264493649</v>
      </c>
      <c r="H19" s="0" t="n">
        <f aca="false">H15+H16+H17+H18</f>
        <v>492.109348645292</v>
      </c>
      <c r="I19" s="0" t="n">
        <f aca="false">I15+I16+I17+I18</f>
        <v>504.220006916421</v>
      </c>
      <c r="J19" s="0" t="n">
        <f aca="false">J15+J16+J17+J18</f>
        <v>513.097197809722</v>
      </c>
      <c r="K19" s="0" t="n">
        <f aca="false">K15+K16+K17+K18</f>
        <v>522.103110743365</v>
      </c>
      <c r="L19" s="0" t="n">
        <f aca="false">L15+L16+L17+L18</f>
        <v>533.197161043504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442.961497299539</v>
      </c>
      <c r="D21" s="0" t="n">
        <f aca="false">D19*D20</f>
        <v>406.139462588598</v>
      </c>
      <c r="E21" s="0" t="n">
        <f aca="false">E19*E20</f>
        <v>374.092145279219</v>
      </c>
      <c r="F21" s="0" t="n">
        <f aca="false">F19*F20</f>
        <v>349.191417757655</v>
      </c>
      <c r="G21" s="0" t="n">
        <f aca="false">G19*G20</f>
        <v>326.907909035684</v>
      </c>
      <c r="H21" s="0" t="n">
        <f aca="false">H19*H20</f>
        <v>301.636009284797</v>
      </c>
      <c r="I21" s="0" t="n">
        <f aca="false">I19*I20</f>
        <v>284.847168493898</v>
      </c>
      <c r="J21" s="0" t="n">
        <f aca="false">J19*J20</f>
        <v>267.15403460863</v>
      </c>
      <c r="K21" s="0" t="n">
        <f aca="false">K19*K20</f>
        <v>250.546671264494</v>
      </c>
      <c r="L21" s="0" t="n">
        <f aca="false">L19*L20</f>
        <v>235.82532766862</v>
      </c>
    </row>
    <row r="23" customFormat="false" ht="15" hidden="false" customHeight="false" outlineLevel="0" collapsed="false">
      <c r="A23" s="0" t="s">
        <v>98</v>
      </c>
      <c r="C23" s="4" t="n">
        <f aca="false">Assumptions!C30</f>
        <v>2</v>
      </c>
      <c r="D23" s="4" t="n">
        <f aca="false">Assumptions!D30</f>
        <v>2</v>
      </c>
      <c r="E23" s="4" t="n">
        <f aca="false">Assumptions!E30</f>
        <v>2</v>
      </c>
      <c r="F23" s="4" t="n">
        <f aca="false">Assumptions!F30</f>
        <v>2</v>
      </c>
      <c r="G23" s="4" t="n">
        <f aca="false">Assumptions!G30</f>
        <v>2</v>
      </c>
      <c r="H23" s="4" t="n">
        <f aca="false">Assumptions!H30</f>
        <v>2</v>
      </c>
      <c r="I23" s="4" t="n">
        <f aca="false">Assumptions!I30</f>
        <v>2</v>
      </c>
      <c r="J23" s="4" t="n">
        <f aca="false">Assumptions!J30</f>
        <v>2</v>
      </c>
      <c r="K23" s="4" t="n">
        <f aca="false">Assumptions!K30</f>
        <v>2</v>
      </c>
      <c r="L23" s="4" t="n">
        <f aca="false">Assumptions!L30</f>
        <v>2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-123.0414465</v>
      </c>
      <c r="D24" s="0" t="n">
        <f aca="false">-D6*D23/100</f>
        <v>-126.1174826625</v>
      </c>
      <c r="E24" s="0" t="n">
        <f aca="false">-E6*E23/100</f>
        <v>-129.901007142375</v>
      </c>
      <c r="F24" s="0" t="n">
        <f aca="false">-F6*F23/100</f>
        <v>-133.798037356646</v>
      </c>
      <c r="G24" s="0" t="n">
        <f aca="false">-G6*G23/100</f>
        <v>-137.811978477346</v>
      </c>
      <c r="H24" s="0" t="n">
        <f aca="false">-H6*H23/100</f>
        <v>-141.946337831666</v>
      </c>
      <c r="I24" s="0" t="n">
        <f aca="false">-I6*I23/100</f>
        <v>-145.494996277458</v>
      </c>
      <c r="J24" s="0" t="n">
        <f aca="false">-J6*J23/100</f>
        <v>-149.132371184394</v>
      </c>
      <c r="K24" s="0" t="n">
        <f aca="false">-K6*K23/100</f>
        <v>-152.860680464004</v>
      </c>
      <c r="L24" s="0" t="n">
        <f aca="false">-L6*L23/100</f>
        <v>-156.682197475604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103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104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3239.30164328114</v>
      </c>
    </row>
    <row r="31" customFormat="false" ht="15" hidden="false" customHeight="false" outlineLevel="0" collapsed="false">
      <c r="A31" s="0" t="s">
        <v>126</v>
      </c>
      <c r="B31" s="0" t="n">
        <f aca="false">L19</f>
        <v>533.197161043504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9108.78483449319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7997.95741565255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7997.95741565255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3537.37991502931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6776.68155831044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7618.04555831044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7.47893732408251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0.102275213571482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179.986267665318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236.769023359584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7.88808251456444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4372.21672055673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4.30695833817201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Assumptions!C41</f>
        <v>3</v>
      </c>
      <c r="D5" s="4" t="n">
        <f aca="false">Assumptions!D41</f>
        <v>4.5</v>
      </c>
      <c r="E5" s="4" t="n">
        <f aca="false">Assumptions!E41</f>
        <v>5</v>
      </c>
      <c r="F5" s="4" t="n">
        <f aca="false">Assumptions!F41</f>
        <v>5</v>
      </c>
      <c r="G5" s="4" t="n">
        <f aca="false">Assumptions!G41</f>
        <v>5</v>
      </c>
      <c r="H5" s="4" t="n">
        <f aca="false">Assumptions!H41</f>
        <v>4.5</v>
      </c>
      <c r="I5" s="4" t="n">
        <f aca="false">Assumptions!I41</f>
        <v>4</v>
      </c>
      <c r="J5" s="4" t="n">
        <f aca="false">Assumptions!J41</f>
        <v>3.5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6061.155</v>
      </c>
      <c r="C6" s="0" t="n">
        <f aca="false">B6*(1+C5/100)</f>
        <v>6242.98965</v>
      </c>
      <c r="D6" s="0" t="n">
        <f aca="false">C6*(1+D5/100)</f>
        <v>6523.92418425</v>
      </c>
      <c r="E6" s="0" t="n">
        <f aca="false">D6*(1+E5/100)</f>
        <v>6850.1203934625</v>
      </c>
      <c r="F6" s="0" t="n">
        <f aca="false">E6*(1+F5/100)</f>
        <v>7192.62641313563</v>
      </c>
      <c r="G6" s="0" t="n">
        <f aca="false">F6*(1+G5/100)</f>
        <v>7552.25773379241</v>
      </c>
      <c r="H6" s="0" t="n">
        <f aca="false">G6*(1+H5/100)</f>
        <v>7892.10933181306</v>
      </c>
      <c r="I6" s="0" t="n">
        <f aca="false">H6*(1+I5/100)</f>
        <v>8207.79370508559</v>
      </c>
      <c r="J6" s="0" t="n">
        <f aca="false">I6*(1+J5/100)</f>
        <v>8495.06648476358</v>
      </c>
      <c r="K6" s="0" t="n">
        <f aca="false">J6*(1+K5/100)</f>
        <v>8749.91847930649</v>
      </c>
      <c r="L6" s="0" t="n">
        <f aca="false">K6*(1+L5/100)</f>
        <v>9012.41603368568</v>
      </c>
    </row>
    <row r="7" customFormat="false" ht="15" hidden="false" customHeight="false" outlineLevel="0" collapsed="false">
      <c r="A7" s="0" t="s">
        <v>96</v>
      </c>
      <c r="C7" s="4" t="n">
        <f aca="false">Assumptions!C42</f>
        <v>15</v>
      </c>
      <c r="D7" s="4" t="n">
        <f aca="false">Assumptions!D42</f>
        <v>15.6</v>
      </c>
      <c r="E7" s="4" t="n">
        <f aca="false">Assumptions!E42</f>
        <v>16.2</v>
      </c>
      <c r="F7" s="4" t="n">
        <f aca="false">Assumptions!F42</f>
        <v>16.7</v>
      </c>
      <c r="G7" s="4" t="n">
        <f aca="false">Assumptions!G42</f>
        <v>17.1</v>
      </c>
      <c r="H7" s="4" t="n">
        <f aca="false">Assumptions!H42</f>
        <v>17.4</v>
      </c>
      <c r="I7" s="4" t="n">
        <f aca="false">Assumptions!I42</f>
        <v>17.5</v>
      </c>
      <c r="J7" s="4" t="n">
        <f aca="false">Assumptions!J42</f>
        <v>17.5</v>
      </c>
      <c r="K7" s="4" t="n">
        <f aca="false">Assumptions!K42</f>
        <v>17.5</v>
      </c>
      <c r="L7" s="4" t="n">
        <f aca="false">Assumptions!L42</f>
        <v>17.5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936.4484475</v>
      </c>
      <c r="D8" s="0" t="n">
        <f aca="false">D6*D7/100</f>
        <v>1017.732172743</v>
      </c>
      <c r="E8" s="0" t="n">
        <f aca="false">E6*E7/100</f>
        <v>1109.71950374093</v>
      </c>
      <c r="F8" s="0" t="n">
        <f aca="false">F6*F7/100</f>
        <v>1201.16861099365</v>
      </c>
      <c r="G8" s="0" t="n">
        <f aca="false">G6*G7/100</f>
        <v>1291.4360724785</v>
      </c>
      <c r="H8" s="0" t="n">
        <f aca="false">H6*H7/100</f>
        <v>1373.22702373547</v>
      </c>
      <c r="I8" s="0" t="n">
        <f aca="false">I6*I7/100</f>
        <v>1436.36389838998</v>
      </c>
      <c r="J8" s="0" t="n">
        <f aca="false">J6*J7/100</f>
        <v>1486.63663483363</v>
      </c>
      <c r="K8" s="0" t="n">
        <f aca="false">K6*K7/100</f>
        <v>1531.23573387864</v>
      </c>
      <c r="L8" s="0" t="n">
        <f aca="false">L6*L7/100</f>
        <v>1577.17280589499</v>
      </c>
    </row>
    <row r="9" customFormat="false" ht="15" hidden="false" customHeight="false" outlineLevel="0" collapsed="false">
      <c r="A9" s="0" t="s">
        <v>97</v>
      </c>
      <c r="C9" s="4" t="n">
        <f aca="false">Assumptions!C43</f>
        <v>0.4</v>
      </c>
      <c r="D9" s="4" t="n">
        <f aca="false">Assumptions!D43</f>
        <v>0.4</v>
      </c>
      <c r="E9" s="4" t="n">
        <f aca="false">Assumptions!E43</f>
        <v>0.4</v>
      </c>
      <c r="F9" s="4" t="n">
        <f aca="false">Assumptions!F43</f>
        <v>0.4</v>
      </c>
      <c r="G9" s="4" t="n">
        <f aca="false">Assumptions!G43</f>
        <v>0.4</v>
      </c>
      <c r="H9" s="4" t="n">
        <f aca="false">Assumptions!H43</f>
        <v>0.4</v>
      </c>
      <c r="I9" s="4" t="n">
        <f aca="false">Assumptions!I43</f>
        <v>0.4</v>
      </c>
      <c r="J9" s="4" t="n">
        <f aca="false">Assumptions!J43</f>
        <v>0.4</v>
      </c>
      <c r="K9" s="4" t="n">
        <f aca="false">Assumptions!K43</f>
        <v>0.4</v>
      </c>
      <c r="L9" s="4" t="n">
        <f aca="false">Assumptions!L43</f>
        <v>0.4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-24.9719586</v>
      </c>
      <c r="D10" s="0" t="n">
        <f aca="false">-D6*D9/100</f>
        <v>-26.095696737</v>
      </c>
      <c r="E10" s="0" t="n">
        <f aca="false">-E6*E9/100</f>
        <v>-27.40048157385</v>
      </c>
      <c r="F10" s="0" t="n">
        <f aca="false">-F6*F9/100</f>
        <v>-28.7705056525425</v>
      </c>
      <c r="G10" s="0" t="n">
        <f aca="false">-G6*G9/100</f>
        <v>-30.2090309351696</v>
      </c>
      <c r="H10" s="0" t="n">
        <f aca="false">-H6*H9/100</f>
        <v>-31.5684373272523</v>
      </c>
      <c r="I10" s="0" t="n">
        <f aca="false">-I6*I9/100</f>
        <v>-32.8311748203424</v>
      </c>
      <c r="J10" s="0" t="n">
        <f aca="false">-J6*J9/100</f>
        <v>-33.9802659390543</v>
      </c>
      <c r="K10" s="0" t="n">
        <f aca="false">-K6*K9/100</f>
        <v>-34.999673917226</v>
      </c>
      <c r="L10" s="0" t="n">
        <f aca="false">-L6*L9/100</f>
        <v>-36.0496641347427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786.6166959</v>
      </c>
      <c r="D11" s="0" t="n">
        <f aca="false">D8+D10+D24</f>
        <v>861.157992321</v>
      </c>
      <c r="E11" s="0" t="n">
        <f aca="false">E8+E10+E24</f>
        <v>945.316614297825</v>
      </c>
      <c r="F11" s="0" t="n">
        <f aca="false">F8+F10+F24</f>
        <v>1028.54557707839</v>
      </c>
      <c r="G11" s="0" t="n">
        <f aca="false">G8+G10+G24</f>
        <v>1110.18188686748</v>
      </c>
      <c r="H11" s="0" t="n">
        <f aca="false">H8+H10+H24</f>
        <v>1183.81639977196</v>
      </c>
      <c r="I11" s="0" t="n">
        <f aca="false">I8+I10+I24</f>
        <v>1239.37684946792</v>
      </c>
      <c r="J11" s="0" t="n">
        <f aca="false">J8+J10+J24</f>
        <v>1282.7550391993</v>
      </c>
      <c r="K11" s="0" t="n">
        <f aca="false">K8+K10+K24</f>
        <v>1321.23769037528</v>
      </c>
      <c r="L11" s="0" t="n">
        <f aca="false">L8+L10+L24</f>
        <v>1360.87482108654</v>
      </c>
    </row>
    <row r="12" customFormat="false" ht="15" hidden="false" customHeight="false" outlineLevel="0" collapsed="false">
      <c r="A12" s="0" t="s">
        <v>114</v>
      </c>
      <c r="C12" s="4" t="n">
        <f aca="false">-C6*Assumptions!C45/100</f>
        <v>-374.579379</v>
      </c>
      <c r="D12" s="4" t="n">
        <f aca="false">-D6*Assumptions!D45/100</f>
        <v>-378.3876026865</v>
      </c>
      <c r="E12" s="4" t="n">
        <f aca="false">-E6*Assumptions!E45/100</f>
        <v>-376.756621640437</v>
      </c>
      <c r="F12" s="4" t="n">
        <f aca="false">-F6*Assumptions!F45/100</f>
        <v>-374.016573483052</v>
      </c>
      <c r="G12" s="4" t="n">
        <f aca="false">-G6*Assumptions!G45/100</f>
        <v>-377.61288668962</v>
      </c>
      <c r="H12" s="4" t="n">
        <f aca="false">-H6*Assumptions!H45/100</f>
        <v>-378.821247927027</v>
      </c>
      <c r="I12" s="4" t="n">
        <f aca="false">-I6*Assumptions!I45/100</f>
        <v>-377.558510433937</v>
      </c>
      <c r="J12" s="4" t="n">
        <f aca="false">-J6*Assumptions!J45/100</f>
        <v>-373.782925329598</v>
      </c>
      <c r="K12" s="4" t="n">
        <f aca="false">-K6*Assumptions!K45/100</f>
        <v>-376.246494610179</v>
      </c>
      <c r="L12" s="4" t="n">
        <f aca="false">-L6*Assumptions!L45/100</f>
        <v>-378.521473414799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412.0373169</v>
      </c>
      <c r="D13" s="0" t="n">
        <f aca="false">D11+D12</f>
        <v>482.7703896345</v>
      </c>
      <c r="E13" s="0" t="n">
        <f aca="false">E11+E12</f>
        <v>568.559992657388</v>
      </c>
      <c r="F13" s="0" t="n">
        <f aca="false">F11+F12</f>
        <v>654.529003595342</v>
      </c>
      <c r="G13" s="0" t="n">
        <f aca="false">G11+G12</f>
        <v>732.569000177863</v>
      </c>
      <c r="H13" s="0" t="n">
        <f aca="false">H11+H12</f>
        <v>804.995151844933</v>
      </c>
      <c r="I13" s="0" t="n">
        <f aca="false">I11+I12</f>
        <v>861.818339033987</v>
      </c>
      <c r="J13" s="0" t="n">
        <f aca="false">J11+J12</f>
        <v>908.972113869703</v>
      </c>
      <c r="K13" s="0" t="n">
        <f aca="false">K11+K12</f>
        <v>944.991195765101</v>
      </c>
      <c r="L13" s="0" t="n">
        <f aca="false">L11+L12</f>
        <v>982.35334767174</v>
      </c>
    </row>
    <row r="14" customFormat="false" ht="15" hidden="false" customHeight="false" outlineLevel="0" collapsed="false">
      <c r="A14" s="0" t="s">
        <v>101</v>
      </c>
      <c r="C14" s="4" t="n">
        <f aca="false">Assumptions!C47</f>
        <v>20</v>
      </c>
      <c r="D14" s="4" t="n">
        <f aca="false">Assumptions!D47</f>
        <v>22</v>
      </c>
      <c r="E14" s="4" t="n">
        <f aca="false">Assumptions!E47</f>
        <v>24</v>
      </c>
      <c r="F14" s="4" t="n">
        <f aca="false">Assumptions!F47</f>
        <v>25</v>
      </c>
      <c r="G14" s="4" t="n">
        <f aca="false">Assumptions!G47</f>
        <v>25</v>
      </c>
      <c r="H14" s="4" t="n">
        <f aca="false">Assumptions!H47</f>
        <v>25</v>
      </c>
      <c r="I14" s="4" t="n">
        <f aca="false">Assumptions!I47</f>
        <v>25</v>
      </c>
      <c r="J14" s="4" t="n">
        <f aca="false">Assumptions!J47</f>
        <v>25</v>
      </c>
      <c r="K14" s="4" t="n">
        <f aca="false">Assumptions!K47</f>
        <v>25</v>
      </c>
      <c r="L14" s="4" t="n">
        <f aca="false">Assumptions!L47</f>
        <v>25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329.62985352</v>
      </c>
      <c r="D15" s="0" t="n">
        <f aca="false">D13-MAX(0,D13)*D14/100</f>
        <v>376.56090391491</v>
      </c>
      <c r="E15" s="0" t="n">
        <f aca="false">E13-MAX(0,E13)*E14/100</f>
        <v>432.105594419615</v>
      </c>
      <c r="F15" s="0" t="n">
        <f aca="false">F13-MAX(0,F13)*F14/100</f>
        <v>490.896752696506</v>
      </c>
      <c r="G15" s="0" t="n">
        <f aca="false">G13-MAX(0,G13)*G14/100</f>
        <v>549.426750133398</v>
      </c>
      <c r="H15" s="0" t="n">
        <f aca="false">H13-MAX(0,H13)*H14/100</f>
        <v>603.746363883699</v>
      </c>
      <c r="I15" s="0" t="n">
        <f aca="false">I13-MAX(0,I13)*I14/100</f>
        <v>646.36375427549</v>
      </c>
      <c r="J15" s="0" t="n">
        <f aca="false">J13-MAX(0,J13)*J14/100</f>
        <v>681.729085402277</v>
      </c>
      <c r="K15" s="0" t="n">
        <f aca="false">K13-MAX(0,K13)*K14/100</f>
        <v>708.743396823826</v>
      </c>
      <c r="L15" s="0" t="n">
        <f aca="false">L13-MAX(0,L13)*L14/100</f>
        <v>736.765010753805</v>
      </c>
    </row>
    <row r="16" customFormat="false" ht="15" hidden="false" customHeight="false" outlineLevel="0" collapsed="false">
      <c r="A16" s="0" t="s">
        <v>117</v>
      </c>
      <c r="C16" s="0" t="n">
        <f aca="false">-C12</f>
        <v>374.579379</v>
      </c>
      <c r="D16" s="0" t="n">
        <f aca="false">-D12</f>
        <v>378.3876026865</v>
      </c>
      <c r="E16" s="0" t="n">
        <f aca="false">-E12</f>
        <v>376.756621640437</v>
      </c>
      <c r="F16" s="0" t="n">
        <f aca="false">-F12</f>
        <v>374.016573483052</v>
      </c>
      <c r="G16" s="0" t="n">
        <f aca="false">-G12</f>
        <v>377.61288668962</v>
      </c>
      <c r="H16" s="0" t="n">
        <f aca="false">-H12</f>
        <v>378.821247927027</v>
      </c>
      <c r="I16" s="0" t="n">
        <f aca="false">-I12</f>
        <v>377.558510433937</v>
      </c>
      <c r="J16" s="0" t="n">
        <f aca="false">-J12</f>
        <v>373.782925329598</v>
      </c>
      <c r="K16" s="0" t="n">
        <f aca="false">-K12</f>
        <v>376.246494610179</v>
      </c>
      <c r="L16" s="0" t="n">
        <f aca="false">-L12</f>
        <v>378.521473414799</v>
      </c>
    </row>
    <row r="17" customFormat="false" ht="15" hidden="false" customHeight="false" outlineLevel="0" collapsed="false">
      <c r="A17" s="0" t="s">
        <v>118</v>
      </c>
      <c r="C17" s="4" t="n">
        <f aca="false">-C6*Assumptions!C46/100</f>
        <v>-199.7756688</v>
      </c>
      <c r="D17" s="4" t="n">
        <f aca="false">-D6*Assumptions!D46/100</f>
        <v>-228.33734644875</v>
      </c>
      <c r="E17" s="4" t="n">
        <f aca="false">-E6*Assumptions!E46/100</f>
        <v>-260.304574951575</v>
      </c>
      <c r="F17" s="4" t="n">
        <f aca="false">-F6*Assumptions!F46/100</f>
        <v>-287.705056525425</v>
      </c>
      <c r="G17" s="4" t="n">
        <f aca="false">-G6*Assumptions!G46/100</f>
        <v>-317.194824819281</v>
      </c>
      <c r="H17" s="4" t="n">
        <f aca="false">-H6*Assumptions!H46/100</f>
        <v>-331.468591936149</v>
      </c>
      <c r="I17" s="4" t="n">
        <f aca="false">-I6*Assumptions!I46/100</f>
        <v>-344.727335613595</v>
      </c>
      <c r="J17" s="4" t="n">
        <f aca="false">-J6*Assumptions!J46/100</f>
        <v>-356.79279236007</v>
      </c>
      <c r="K17" s="4" t="n">
        <f aca="false">-K6*Assumptions!K46/100</f>
        <v>-367.496576130873</v>
      </c>
      <c r="L17" s="4" t="n">
        <f aca="false">-L6*Assumptions!L46/100</f>
        <v>-378.521473414799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(C6-B6)*Assumptions!$B$51/100</f>
        <v>-18.183465</v>
      </c>
      <c r="D18" s="4" t="n">
        <f aca="false">(D6-C6)*Assumptions!$B$51/100</f>
        <v>-28.0934534249999</v>
      </c>
      <c r="E18" s="4" t="n">
        <f aca="false">(E6-D6)*Assumptions!$B$51/100</f>
        <v>-32.61962092125</v>
      </c>
      <c r="F18" s="4" t="n">
        <f aca="false">(F6-E6)*Assumptions!$B$51/100</f>
        <v>-34.2506019673126</v>
      </c>
      <c r="G18" s="4" t="n">
        <f aca="false">(G6-F6)*Assumptions!$B$51/100</f>
        <v>-35.9631320656782</v>
      </c>
      <c r="H18" s="4" t="n">
        <f aca="false">(H6-G6)*Assumptions!$B$51/100</f>
        <v>-33.9851598020658</v>
      </c>
      <c r="I18" s="4" t="n">
        <f aca="false">(I6-H6)*Assumptions!$B$51/100</f>
        <v>-31.5684373272523</v>
      </c>
      <c r="J18" s="4" t="n">
        <f aca="false">(J6-I6)*Assumptions!$B$51/100</f>
        <v>-28.7272779677995</v>
      </c>
      <c r="K18" s="4" t="n">
        <f aca="false">(K6-J6)*Assumptions!$B$51/100</f>
        <v>-25.4851994542907</v>
      </c>
      <c r="L18" s="4" t="n">
        <f aca="false">(L6-K6)*Assumptions!$B$51/100</f>
        <v>-26.2497554379195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486.25009872</v>
      </c>
      <c r="D19" s="0" t="n">
        <f aca="false">D15+D16+D17+D18</f>
        <v>498.51770672766</v>
      </c>
      <c r="E19" s="0" t="n">
        <f aca="false">E15+E16+E17+E18</f>
        <v>515.938020187227</v>
      </c>
      <c r="F19" s="0" t="n">
        <f aca="false">F15+F16+F17+F18</f>
        <v>542.957667686821</v>
      </c>
      <c r="G19" s="0" t="n">
        <f aca="false">G15+G16+G17+G18</f>
        <v>573.881679938059</v>
      </c>
      <c r="H19" s="0" t="n">
        <f aca="false">H15+H16+H17+H18</f>
        <v>617.113860072512</v>
      </c>
      <c r="I19" s="0" t="n">
        <f aca="false">I15+I16+I17+I18</f>
        <v>647.62649176858</v>
      </c>
      <c r="J19" s="0" t="n">
        <f aca="false">J15+J16+J17+J18</f>
        <v>669.991940404005</v>
      </c>
      <c r="K19" s="0" t="n">
        <f aca="false">K15+K16+K17+K18</f>
        <v>692.008115848841</v>
      </c>
      <c r="L19" s="0" t="n">
        <f aca="false">L15+L16+L17+L18</f>
        <v>710.515255315885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448.156773013825</v>
      </c>
      <c r="D21" s="0" t="n">
        <f aca="false">D19*D20</f>
        <v>423.468501541897</v>
      </c>
      <c r="E21" s="0" t="n">
        <f aca="false">E19*E20</f>
        <v>403.932054292897</v>
      </c>
      <c r="F21" s="0" t="n">
        <f aca="false">F19*F20</f>
        <v>391.784290448915</v>
      </c>
      <c r="G21" s="0" t="n">
        <f aca="false">G19*G20</f>
        <v>381.657384751885</v>
      </c>
      <c r="H21" s="0" t="n">
        <f aca="false">H19*H20</f>
        <v>378.256910865516</v>
      </c>
      <c r="I21" s="0" t="n">
        <f aca="false">I19*I20</f>
        <v>365.861270658574</v>
      </c>
      <c r="J21" s="0" t="n">
        <f aca="false">J19*J20</f>
        <v>348.844333584867</v>
      </c>
      <c r="K21" s="0" t="n">
        <f aca="false">K19*K20</f>
        <v>332.080629948909</v>
      </c>
      <c r="L21" s="0" t="n">
        <f aca="false">L19*L20</f>
        <v>314.250534587432</v>
      </c>
    </row>
    <row r="23" customFormat="false" ht="15" hidden="false" customHeight="false" outlineLevel="0" collapsed="false">
      <c r="A23" s="0" t="s">
        <v>98</v>
      </c>
      <c r="C23" s="4" t="n">
        <f aca="false">Assumptions!C44</f>
        <v>2</v>
      </c>
      <c r="D23" s="4" t="n">
        <f aca="false">Assumptions!D44</f>
        <v>2</v>
      </c>
      <c r="E23" s="4" t="n">
        <f aca="false">Assumptions!E44</f>
        <v>2</v>
      </c>
      <c r="F23" s="4" t="n">
        <f aca="false">Assumptions!F44</f>
        <v>2</v>
      </c>
      <c r="G23" s="4" t="n">
        <f aca="false">Assumptions!G44</f>
        <v>2</v>
      </c>
      <c r="H23" s="4" t="n">
        <f aca="false">Assumptions!H44</f>
        <v>2</v>
      </c>
      <c r="I23" s="4" t="n">
        <f aca="false">Assumptions!I44</f>
        <v>2</v>
      </c>
      <c r="J23" s="4" t="n">
        <f aca="false">Assumptions!J44</f>
        <v>2</v>
      </c>
      <c r="K23" s="4" t="n">
        <f aca="false">Assumptions!K44</f>
        <v>2</v>
      </c>
      <c r="L23" s="4" t="n">
        <f aca="false">Assumptions!L44</f>
        <v>2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-124.859793</v>
      </c>
      <c r="D24" s="0" t="n">
        <f aca="false">-D6*D23/100</f>
        <v>-130.478483685</v>
      </c>
      <c r="E24" s="0" t="n">
        <f aca="false">-E6*E23/100</f>
        <v>-137.00240786925</v>
      </c>
      <c r="F24" s="0" t="n">
        <f aca="false">-F6*F23/100</f>
        <v>-143.852528262713</v>
      </c>
      <c r="G24" s="0" t="n">
        <f aca="false">-G6*G23/100</f>
        <v>-151.045154675848</v>
      </c>
      <c r="H24" s="0" t="n">
        <f aca="false">-H6*H23/100</f>
        <v>-157.842186636261</v>
      </c>
      <c r="I24" s="0" t="n">
        <f aca="false">-I6*I23/100</f>
        <v>-164.155874101712</v>
      </c>
      <c r="J24" s="0" t="n">
        <f aca="false">-J6*J23/100</f>
        <v>-169.901329695272</v>
      </c>
      <c r="K24" s="0" t="n">
        <f aca="false">-K6*K23/100</f>
        <v>-174.99836958613</v>
      </c>
      <c r="L24" s="0" t="n">
        <f aca="false">-L6*L23/100</f>
        <v>-180.248320673714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103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104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3788.29268369472</v>
      </c>
    </row>
    <row r="31" customFormat="false" ht="15" hidden="false" customHeight="false" outlineLevel="0" collapsed="false">
      <c r="A31" s="0" t="s">
        <v>126</v>
      </c>
      <c r="B31" s="0" t="n">
        <f aca="false">L19</f>
        <v>710.515255315885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13306.0129631884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10657.7288297383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10657.7288297383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4713.75801881148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8502.0507025062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9343.4147025062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9.17280061113901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0.351923450425794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195.814524895919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298.592143339793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9.65817923693492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6098.58927479468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5.0905549987923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2" t="s">
        <v>143</v>
      </c>
      <c r="B3" s="2" t="s">
        <v>144</v>
      </c>
      <c r="C3" s="2" t="s">
        <v>134</v>
      </c>
      <c r="D3" s="2" t="s">
        <v>145</v>
      </c>
      <c r="E3" s="2" t="s">
        <v>137</v>
      </c>
      <c r="F3" s="2" t="s">
        <v>146</v>
      </c>
    </row>
    <row r="4" customFormat="false" ht="15" hidden="false" customHeight="false" outlineLevel="0" collapsed="false">
      <c r="A4" s="0" t="s">
        <v>147</v>
      </c>
      <c r="B4" s="4" t="n">
        <f aca="false">DCF_Bear!$B$38</f>
        <v>4.96496350484226</v>
      </c>
      <c r="C4" s="0" t="n">
        <f aca="false">B4/Assumptions!$B$2-1</f>
        <v>-0.268244140774906</v>
      </c>
      <c r="D4" s="4" t="n">
        <f aca="false">Assumptions!$B$24</f>
        <v>0.25</v>
      </c>
      <c r="E4" s="4" t="n">
        <f aca="false">DCF_Bear!$B$43</f>
        <v>5.28313190129445</v>
      </c>
      <c r="F4" s="4" t="n">
        <f aca="false">DCF_Bear!$B$47</f>
        <v>3.11251709994576</v>
      </c>
    </row>
    <row r="5" customFormat="false" ht="15" hidden="false" customHeight="false" outlineLevel="0" collapsed="false">
      <c r="A5" s="0" t="s">
        <v>148</v>
      </c>
      <c r="B5" s="4" t="n">
        <f aca="false">DCF_Base!$B$38</f>
        <v>7.47893732408251</v>
      </c>
      <c r="C5" s="0" t="n">
        <f aca="false">B5/Assumptions!$B$2-1</f>
        <v>0.102275213571482</v>
      </c>
      <c r="D5" s="4" t="n">
        <f aca="false">Assumptions!$B$38</f>
        <v>0.5</v>
      </c>
      <c r="E5" s="4" t="n">
        <f aca="false">DCF_Base!$B$43</f>
        <v>7.88808251456444</v>
      </c>
      <c r="F5" s="4" t="n">
        <f aca="false">DCF_Base!$B$47</f>
        <v>4.30695833817201</v>
      </c>
    </row>
    <row r="6" customFormat="false" ht="15" hidden="false" customHeight="false" outlineLevel="0" collapsed="false">
      <c r="A6" s="0" t="s">
        <v>149</v>
      </c>
      <c r="B6" s="4" t="n">
        <f aca="false">DCF_Bull!$B$38</f>
        <v>9.17280061113901</v>
      </c>
      <c r="C6" s="0" t="n">
        <f aca="false">B6/Assumptions!$B$2-1</f>
        <v>0.351923450425794</v>
      </c>
      <c r="D6" s="4" t="n">
        <f aca="false">Assumptions!$B$52</f>
        <v>0.25</v>
      </c>
      <c r="E6" s="4" t="n">
        <f aca="false">DCF_Bull!$B$43</f>
        <v>9.65817923693492</v>
      </c>
      <c r="F6" s="4" t="n">
        <f aca="false">DCF_Bull!$B$47</f>
        <v>5.0905549987923</v>
      </c>
    </row>
    <row r="8" customFormat="false" ht="15" hidden="false" customHeight="false" outlineLevel="0" collapsed="false">
      <c r="A8" s="0" t="s">
        <v>150</v>
      </c>
      <c r="B8" s="0" t="n">
        <f aca="false">SUMPRODUCT(B4:B6,D4:D6)</f>
        <v>7.27390969103657</v>
      </c>
    </row>
    <row r="9" customFormat="false" ht="15" hidden="false" customHeight="false" outlineLevel="0" collapsed="false">
      <c r="A9" s="0" t="s">
        <v>151</v>
      </c>
      <c r="B9" s="0" t="n">
        <f aca="false">SUMPRODUCT(E4:E6,D4:D6)</f>
        <v>7.67936904183956</v>
      </c>
    </row>
    <row r="10" customFormat="false" ht="15" hidden="false" customHeight="false" outlineLevel="0" collapsed="false">
      <c r="A10" s="0" t="s">
        <v>152</v>
      </c>
      <c r="B10" s="0" t="n">
        <f aca="false">1-Assumptions!$B$2/B8</f>
        <v>0.0672141546710485</v>
      </c>
    </row>
    <row r="11" customFormat="false" ht="15" hidden="false" customHeight="false" outlineLevel="0" collapsed="false">
      <c r="A11" s="0" t="s">
        <v>153</v>
      </c>
      <c r="B11" s="0" t="n">
        <f aca="false">IF(ABS(B9-B8)&gt;0.01*ABS(B8),(Assumptions!$B$2-B8)/(B9-B8)*100,"n/a")</f>
        <v>-120.581678550096</v>
      </c>
    </row>
    <row r="12" customFormat="false" ht="15" hidden="false" customHeight="false" outlineLevel="0" collapsed="false">
      <c r="A12" s="0" t="s">
        <v>154</v>
      </c>
      <c r="B12" s="0" t="n">
        <f aca="false">SUMPRODUCT(F4:F6,D4:D6)</f>
        <v>4.20424719377052</v>
      </c>
    </row>
    <row r="14" customFormat="false" ht="15" hidden="false" customHeight="false" outlineLevel="0" collapsed="false">
      <c r="A14" s="2" t="s">
        <v>155</v>
      </c>
      <c r="C14" s="0" t="s">
        <v>156</v>
      </c>
    </row>
    <row r="15" customFormat="false" ht="15" hidden="false" customHeight="false" outlineLevel="0" collapsed="false">
      <c r="A15" s="0" t="s">
        <v>157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7.47893732408251</v>
      </c>
      <c r="C15" s="3" t="n">
        <v>8.5</v>
      </c>
    </row>
    <row r="16" customFormat="false" ht="15" hidden="false" customHeight="false" outlineLevel="0" collapsed="false">
      <c r="A16" s="0" t="s">
        <v>158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7.25190757287786</v>
      </c>
      <c r="C16" s="3" t="n">
        <v>9</v>
      </c>
    </row>
    <row r="17" customFormat="false" ht="15" hidden="false" customHeight="false" outlineLevel="0" collapsed="false">
      <c r="A17" s="0" t="s">
        <v>159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6.55852918799527</v>
      </c>
      <c r="C17" s="3" t="n">
        <v>10</v>
      </c>
    </row>
    <row r="18" customFormat="false" ht="15" hidden="false" customHeight="false" outlineLevel="0" collapsed="false">
      <c r="A18" s="0" t="s">
        <v>160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5.89752949280389</v>
      </c>
      <c r="C18" s="3" t="n">
        <v>11</v>
      </c>
    </row>
    <row r="19" customFormat="false" ht="15" hidden="false" customHeight="false" outlineLevel="0" collapsed="false">
      <c r="A19" s="0" t="s">
        <v>161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5.37510186146863</v>
      </c>
      <c r="C19" s="3" t="n">
        <v>12</v>
      </c>
    </row>
    <row r="20" customFormat="false" ht="15" hidden="false" customHeight="false" outlineLevel="0" collapsed="false">
      <c r="A20" s="0" t="s">
        <v>162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4.30695833817201</v>
      </c>
      <c r="C20" s="3" t="n">
        <v>15</v>
      </c>
    </row>
    <row r="22" customFormat="false" ht="15" hidden="false" customHeight="false" outlineLevel="0" collapsed="false">
      <c r="A22" s="2" t="s">
        <v>163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8.49934947174457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8.49934947174457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8.49934947174457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8.49934947174457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8.49934947174457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7.96548210510114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7.96548210510114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7.96548210510114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7.96548210510114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7.96548210510114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7.36317778762628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7.47893732408251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7.47893732408251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7.47893732408251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7.47893732408251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6.54651677005253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6.73925853783611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6.95953484387449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7.03497193498352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7.03497193498352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5.91146342052717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6.0507573607649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6.20746304353234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6.38506281733545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6.58803398739614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2026-10-10T22:22:59Z</dcterms:created>
  <dc:creator>openpyxl</dc:creator>
  <dc:description/>
  <dc:language>en-NZ</dc:language>
  <cp:lastModifiedBy/>
  <dcterms:modified xsi:type="dcterms:W3CDTF">2026-10-10T22:22:59Z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