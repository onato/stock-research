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<sst xmlns="http://schemas.openxmlformats.org/spreadsheetml/2006/main" count="361" uniqueCount="170">
  <si>
    <t xml:space="preserve">Ticker</t>
  </si>
  <si>
    <t xml:space="preserve">3939.HK</t>
  </si>
  <si>
    <t xml:space="preserve">Company</t>
  </si>
  <si>
    <t xml:space="preserve">Wanguo Gold Group Limited</t>
  </si>
  <si>
    <t xml:space="preserve">Valuation date</t>
  </si>
  <si>
    <t xml:space="preserve">2026-10-23</t>
  </si>
  <si>
    <t xml:space="preserve">Current price</t>
  </si>
  <si>
    <t xml:space="preserve">Price as of</t>
  </si>
  <si>
    <t xml:space="preserve">2026-10-23T08:08:08Z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</si>
  <si>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</si>
  <si>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</si>
  <si>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</si>
  <si>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</si>
  <si>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</si>
  <si>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</si>
  <si>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</si>
  <si>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</si>
  <si>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</si>
  <si>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</si>
  <si>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</si>
  <si>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</si>
  <si>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</si>
  <si>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2026-10-23T08:40:40Z</t>
  </si>
  <si>
    <t xml:space="preserve">Drivers file</t>
  </si>
  <si>
    <t xml:space="preserve">3939.HK_Drivers.json</t>
  </si>
  <si>
    <t xml:space="preserve">Convention</t>
  </si>
  <si>
    <t xml:space="preserve">Percents stored as percents; formulas divide by 100. Blue = input, green = link, black = formula.</t>
  </si>
  <si>
    <t xml:space="preserve">Methodology</t>
  </si>
  <si>
    <t xml:space="preserve">summary: Value the mine on mid-cycle gold, not spot; charge the expansion capex explicitly before crediting the volume it buys; charge the 11.8% Gold Ridge minority and the 35% Solomon Islands tax through the flows; add the cash and structured-product pile once with its income stripped; and cap the terminal value for a finite (if long) reserve life. The house number is in CNY converted to HKD at a dated rate so it is comparable with the HKEX quote.
key_risks_to_valuation: Gold price: every US$500/oz on ~255koz is ~RMB820m of revenue and ~RMB500m of attributable FCF, roughly HK$1.3/share of value at the base multiple; Expansion execution and timing of the 10Mtpa plant (commissioning slips push RMB2bn+/yr of FCF out a year each); Gold Ridge security, landowner and informal-mining conflict; the July 2026 landslide disclosure gap is a governance flag; Solomon Islands fiscal/regulatory tightening (35% CIT, royalties, export duty) and sovereign/geopolitical sensitivity of a Chinese-owned strategic asset; Cash-tax normalisation: FY2025 cash taxes were 9.6% of PBT; the model assumes the shelter is gone by Y4; Capital allocation: buybacks and dividends alongside RMB1.5bn/yr capex; RMB1.68bn sits in structured products whose principal protection is not disclosed; FX: value is CNY-built against an HKD quote and USD gold; the 1.1749 rate is dated 2026-10-23 and is not refreshed by price updates</t>
  </si>
  <si>
    <t xml:space="preserve">Data sources</t>
  </si>
  <si>
    <t xml:space="preserve">price: Yahoo Finance chart API at inputs.price_as_of; 52-week range 6.96-18.69 HKD; CNY-&gt;HKD from Yahoo CNYHKD=X same date
financials: 3939.HK_Metrics.csv (core_metrics, CNY millions) for FY2017-FY2025 and H1 FY2024-H1 FY2026; 3939.HK_Annual_FY2025.txt and 3939.HK_HalfYear_H1-2026.txt for segment revenue, production/sales volumes, balance-sheet composition, share count, options, tax rates and capital commitments
qualitative: 3939.HK_Analysis.json (2026-10-23): single-asset concentration, Gold Ridge expansion plan, incident history, management's gold outlook</t>
  </si>
  <si>
    <t xml:space="preserve">Scenario narrative: bear</t>
  </si>
  <si>
    <t xml:space="preserve">The 2026 incidents at Gold Ridge (January arson of &gt;10 machines, the July fatal landslide involving informal miners that the interim called 'no injuries') escalate into a sustained security and landowner conflict and a tougher Solomon Islands fiscal/regulatory stance, delaying commissioning and capping throughput near 5.5Mtpa; gold simultaneously retraces to US$2,800 as real yields rise. Committed capex is still spent, so FY2027-28 owner FCF is close to zero and the business settles at ~RMB1.2bn/yr of FCF on 54-58% margins. No solvency issue - net cash covers the remaining build - but the equity is worth a third of today's price.</t>
  </si>
  <si>
    <t xml:space="preserve">Scenario narrative: base</t>
  </si>
  <si>
    <t xml:space="preserve">Wanguo is now a single-asset gold story: Gold Ridge (88.2% owned, Solomon Islands) is ~75% of revenue at an 80% gross margin, Xinzhuang copper-zinc-sulfur the rest. The base case takes gold back to a US$3,500/oz mid-cycle (13% below the 2026-10 spot and ~10% below the H1 FY2026 realised price), so Y1 revenue falls 8% before the 10Mtpa expansion (ball mill 80% / SAG mill 50% installed at June 2026, RMB1.46bn still committed) lifts contained gold sold from ~100koz to ~255koz by FY2030 - a 70% execution haircut to the plan. Capex absorbs most of the cash through Y3 (40%/20%/11% of revenue), after which the mine throws off ~RMB2.5bn/yr of attributable owner FCF at 68% EBITDA margins and a 37% tax+minority leakage. Terminal value is capped at 11x FCF with 1% growth to respect a ~30-year reserve life. RMB2.19bn of net cash (incl. RMB1.68bn of structured products) is added once, with its income stripped from the flows.</t>
  </si>
  <si>
    <t xml:space="preserve">Scenario narrative: bull</t>
  </si>
  <si>
    <t xml:space="preserve">Gold holds US$4,200 (management's framing: dollar weakness, central-bank and PBoC buying, Fed cuts) and the Zijin-affiliated technical team delivers the full 10Mtpa plant in 2027, reaching ~330koz/yr by FY2029-30; 72% EBITDA margins, Walege lead and the Xinzhuang 1.0Mtpa step-up add growth in the back half, and the resource base (12.97Moz) converts to extend mine life beyond the 11x terminal cap. Even so, the bull value sits below the current price - the market is pricing spot gold in perpetuity plus a flawless ramp, or a discount rate well under 9.5%.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</si>
  <si>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</si>
  <si>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</si>
  <si>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</si>
  <si>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</si>
  <si>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</si>
  <si>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</si>
  <si>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</si>
  <si>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</si>
  <si>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</si>
  <si>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</si>
  <si>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</si>
  <si>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</si>
  <si>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</si>
  <si>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</si>
  <si>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</si>
  <si>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</si>
  <si>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</si>
  <si>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</si>
  <si>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</si>
  <si>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</si>
  <si>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</si>
  <si>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</si>
  <si>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</si>
  <si>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</si>
  <si>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</si>
  <si>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</si>
  <si>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</si>
  <si>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NetIncomeInclNCI</t>
  </si>
  <si>
    <t xml:space="preserve">NonControllingInterests</t>
  </si>
  <si>
    <t xml:space="preserve">ShortTermInvestments</t>
  </si>
  <si>
    <t xml:space="preserve">TermDeposits</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</si>
  <si>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</si>
  <si>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</si>
  <si>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</si>
  <si>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</si>
  <si>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</si>
  <si>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</si>
  <si>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</si>
  <si>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</si>
  <si>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</si>
  <si>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</si>
  <si>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</si>
  <si>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</si>
  <si>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</si>
  <si>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</si>
  <si>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</si>
  <si>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</si>
  <si>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</si>
  <si>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</si>
  <si>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30 June 2026 (FY2025 + H1 FY2026 - H1 FY2025)</t>
  </si>
  <si>
    <t xml:space="preserve">Currency / units</t>
  </si>
  <si>
    <t xml:space="preserve">CNY millions</t>
  </si>
  <si>
    <t xml:space="preserve">FX rate (model -&gt; quote)</t>
  </si>
  <si>
    <t xml:space="preserve">BEAR</t>
  </si>
  <si>
    <t xml:space="preserve">TTM to 30 June 2027</t>
  </si>
  <si>
    <t xml:space="preserve">TTM to 30 June 2028</t>
  </si>
  <si>
    <t xml:space="preserve">TTM to 30 June 2029</t>
  </si>
  <si>
    <t xml:space="preserve">TTM to 30 June 2030</t>
  </si>
  <si>
    <t xml:space="preserve">TTM to 30 June 2031</t>
  </si>
  <si>
    <t xml:space="preserve">TTM to 30 June 2032</t>
  </si>
  <si>
    <t xml:space="preserve">TTM to 30 June 2033</t>
  </si>
  <si>
    <t xml:space="preserve">TTM to 30 June 2034</t>
  </si>
  <si>
    <t xml:space="preserve">TTM to 30 June 2035</t>
  </si>
  <si>
    <t xml:space="preserve">TTM to 30 June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</si>
  <si>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</si>
  <si>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</si>
  <si>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</si>
  <si>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</si>
  <si>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</si>
  <si>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</si>
  <si>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</si>
  <si>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</si>
  <si>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</si>
  <si>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</si>
  <si>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</si>
  <si>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</si>
  <si>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</si>
  <si>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</si>
  <si>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3939.HK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</si>
  <si>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</si>
  <si>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</si>
  <si>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</si>
  <si>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</si>
  <si>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</si>
  <si>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</si>
  <si>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</si>
  <si>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</si>
  <si>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</si>
  <si>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</si>
  <si>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</si>
  <si>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</si>
  <si>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</si>
  <si>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</si>
  <si>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</si>
  <si>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</si>
  <si>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</si>
  <si>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</si>
  <si>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</si>
  <si>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</si>
  <si>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</si>
  <si>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</si>
  <si>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</si>
  <si>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</si>
  <si>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</si>
  <si>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</si>
  <si>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</si>
  <si>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</si>
  <si>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</si>
  <si>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</si>
  <si>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3939.HK owner-FCF component DCF: base case (millions, CNY)</t>
  </si>
  <si>
    <t xml:space="preserve">3939.HK owner-FCF component DCF: bull case (millions, CNY)</t>
  </si>
  <si>
    <t xml:space="preserve">3939.HK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</si>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</sst>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11.9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row>
    <row r="2" customFormat="false" ht="15" hidden="false" customHeight="false" outlineLevel="0" collapsed="false">
      <c r="A2" s="0" t="s">
        <v>68</v>
      </c>
      <c r="B2" s="0" t="n">
        <v>348.494</v>
      </c>
      <c r="C2" s="0" t="n">
        <v>191.063</v>
      </c>
      <c r="D2" s="0" t="n">
        <v>157.431</v>
      </c>
      <c r="E2" s="0" t="n">
        <v>45.2</v>
      </c>
      <c r="I2" s="0" t="n">
        <v>70.864</v>
      </c>
      <c r="J2" s="0" t="n">
        <v>20.3</v>
      </c>
      <c r="K2" s="0" t="n">
        <v>0.02925</v>
      </c>
      <c r="L2" s="0" t="n">
        <v>141.534</v>
      </c>
      <c r="O2" s="0" t="n">
        <v>458.157</v>
      </c>
      <c r="S2" s="0" t="n">
        <v>108.639</v>
      </c>
      <c r="T2" s="0" t="n">
        <v>2422.7</v>
      </c>
      <c r="U2" s="0" t="n">
        <v>0</v>
      </c>
      <c r="AA2" s="0" t="s">
        <v>18</v>
      </c>
      <c r="AB2" s="0" t="s">
        <v>14</v>
      </c>
      <c r="AC2" s="0" t="n">
        <v>70.285</v>
      </c>
    </row>
    <row r="3" customFormat="false" ht="15" hidden="false" customHeight="false" outlineLevel="0" collapsed="false">
      <c r="A3" s="0" t="s">
        <v>69</v>
      </c>
      <c r="B3" s="0" t="n">
        <v>320.669</v>
      </c>
      <c r="C3" s="0" t="n">
        <v>185.039</v>
      </c>
      <c r="D3" s="0" t="n">
        <v>135.63</v>
      </c>
      <c r="E3" s="0" t="n">
        <v>42.3</v>
      </c>
      <c r="F3" s="0" t="n">
        <v>95.14</v>
      </c>
      <c r="G3" s="0" t="n">
        <v>29.7</v>
      </c>
      <c r="H3" s="0" t="n">
        <v>123.792</v>
      </c>
      <c r="I3" s="0" t="n">
        <v>72.145</v>
      </c>
      <c r="J3" s="0" t="n">
        <v>22.5</v>
      </c>
      <c r="K3" s="0" t="n">
        <v>0.02525</v>
      </c>
      <c r="L3" s="0" t="n">
        <v>147.23</v>
      </c>
      <c r="M3" s="0" t="n">
        <v>37.801</v>
      </c>
      <c r="N3" s="0" t="n">
        <v>109.429</v>
      </c>
      <c r="O3" s="0" t="n">
        <v>584.725</v>
      </c>
      <c r="P3" s="0" t="n">
        <v>1237.603</v>
      </c>
      <c r="Q3" s="0" t="n">
        <v>442.302</v>
      </c>
      <c r="R3" s="0" t="n">
        <v>130.488</v>
      </c>
      <c r="S3" s="0" t="n">
        <v>21.989</v>
      </c>
      <c r="T3" s="0" t="n">
        <v>2857.2</v>
      </c>
      <c r="U3" s="0" t="n">
        <v>0</v>
      </c>
      <c r="AA3" s="0" t="s">
        <v>18</v>
      </c>
      <c r="AB3" s="0" t="s">
        <v>14</v>
      </c>
      <c r="AC3" s="0" t="n">
        <v>71.858</v>
      </c>
      <c r="AD3" s="0" t="n">
        <v>210.576</v>
      </c>
    </row>
    <row r="4" customFormat="false" ht="15" hidden="false" customHeight="false" outlineLevel="0" collapsed="false">
      <c r="A4" s="0" t="s">
        <v>70</v>
      </c>
      <c r="B4" s="0" t="n">
        <v>311.155</v>
      </c>
      <c r="C4" s="0" t="n">
        <v>202.855</v>
      </c>
      <c r="D4" s="0" t="n">
        <v>108.3</v>
      </c>
      <c r="E4" s="0" t="n">
        <v>34.8</v>
      </c>
      <c r="F4" s="0" t="n">
        <v>72.991</v>
      </c>
      <c r="G4" s="0" t="n">
        <v>23.5</v>
      </c>
      <c r="H4" s="0" t="n">
        <v>107.607</v>
      </c>
      <c r="I4" s="0" t="n">
        <v>55.539</v>
      </c>
      <c r="J4" s="0" t="n">
        <v>17.8</v>
      </c>
      <c r="K4" s="0" t="n">
        <v>0.01925</v>
      </c>
      <c r="L4" s="0" t="n">
        <v>137.597</v>
      </c>
      <c r="M4" s="0" t="n">
        <v>57.496</v>
      </c>
      <c r="N4" s="0" t="n">
        <v>80.101</v>
      </c>
      <c r="O4" s="0" t="n">
        <v>620.064</v>
      </c>
      <c r="P4" s="0" t="n">
        <v>1263.484</v>
      </c>
      <c r="Q4" s="0" t="n">
        <v>432.977</v>
      </c>
      <c r="R4" s="0" t="n">
        <v>50.424</v>
      </c>
      <c r="S4" s="0" t="n">
        <v>4.662</v>
      </c>
      <c r="T4" s="0" t="n">
        <v>2885.1</v>
      </c>
      <c r="U4" s="0" t="n">
        <v>0</v>
      </c>
      <c r="AA4" s="0" t="s">
        <v>18</v>
      </c>
      <c r="AB4" s="0" t="s">
        <v>14</v>
      </c>
      <c r="AC4" s="0" t="n">
        <v>55.406</v>
      </c>
      <c r="AD4" s="0" t="n">
        <v>210.443</v>
      </c>
    </row>
    <row r="5" customFormat="false" ht="15" hidden="false" customHeight="false" outlineLevel="0" collapsed="false">
      <c r="A5" s="0" t="s">
        <v>71</v>
      </c>
      <c r="B5" s="0" t="n">
        <v>1394.144</v>
      </c>
      <c r="C5" s="0" t="n">
        <v>1236.735</v>
      </c>
      <c r="D5" s="0" t="n">
        <v>157.409</v>
      </c>
      <c r="E5" s="0" t="n">
        <v>11.3</v>
      </c>
      <c r="F5" s="0" t="n">
        <v>110.578</v>
      </c>
      <c r="G5" s="0" t="n">
        <v>7.9</v>
      </c>
      <c r="H5" s="0" t="n">
        <v>147.96</v>
      </c>
      <c r="I5" s="0" t="n">
        <v>86.711</v>
      </c>
      <c r="J5" s="0" t="n">
        <v>6.2</v>
      </c>
      <c r="K5" s="0" t="n">
        <v>0.03</v>
      </c>
      <c r="L5" s="0" t="n">
        <v>85.203</v>
      </c>
      <c r="M5" s="0" t="n">
        <v>51.257</v>
      </c>
      <c r="N5" s="0" t="n">
        <v>33.946</v>
      </c>
      <c r="O5" s="0" t="n">
        <v>712.589</v>
      </c>
      <c r="P5" s="0" t="n">
        <v>1454.238</v>
      </c>
      <c r="Q5" s="0" t="n">
        <v>454.854</v>
      </c>
      <c r="R5" s="0" t="n">
        <v>107.912</v>
      </c>
      <c r="S5" s="0" t="n">
        <v>36.662</v>
      </c>
      <c r="T5" s="0" t="n">
        <v>2890.4</v>
      </c>
      <c r="U5" s="0" t="n">
        <v>0</v>
      </c>
      <c r="AA5" s="0" t="s">
        <v>18</v>
      </c>
      <c r="AB5" s="0" t="s">
        <v>14</v>
      </c>
      <c r="AC5" s="0" t="n">
        <v>84.887</v>
      </c>
      <c r="AD5" s="0" t="n">
        <v>286.795</v>
      </c>
    </row>
    <row r="6" customFormat="false" ht="15" hidden="false" customHeight="false" outlineLevel="0" collapsed="false">
      <c r="A6" s="0" t="s">
        <v>72</v>
      </c>
      <c r="B6" s="0" t="n">
        <v>2014.395</v>
      </c>
      <c r="C6" s="0" t="n">
        <v>1698.188</v>
      </c>
      <c r="D6" s="0" t="n">
        <v>316.207</v>
      </c>
      <c r="E6" s="0" t="n">
        <v>15.7</v>
      </c>
      <c r="F6" s="0" t="n">
        <v>228.551</v>
      </c>
      <c r="G6" s="0" t="n">
        <v>11.3</v>
      </c>
      <c r="H6" s="0" t="n">
        <v>269.925</v>
      </c>
      <c r="I6" s="0" t="n">
        <v>193.432</v>
      </c>
      <c r="J6" s="0" t="n">
        <v>9.6</v>
      </c>
      <c r="K6" s="0" t="n">
        <v>0.05975</v>
      </c>
      <c r="L6" s="0" t="n">
        <v>145.924</v>
      </c>
      <c r="M6" s="0" t="n">
        <v>231.935</v>
      </c>
      <c r="N6" s="0" t="n">
        <v>-86.011</v>
      </c>
      <c r="O6" s="0" t="n">
        <v>1039.947</v>
      </c>
      <c r="P6" s="0" t="n">
        <v>1798.76</v>
      </c>
      <c r="Q6" s="0" t="n">
        <v>471.349</v>
      </c>
      <c r="R6" s="0" t="n">
        <v>128.453</v>
      </c>
      <c r="S6" s="0" t="n">
        <v>116.294</v>
      </c>
      <c r="T6" s="0" t="n">
        <v>3237.4</v>
      </c>
      <c r="U6" s="0" t="n">
        <v>0</v>
      </c>
      <c r="AA6" s="0" t="s">
        <v>18</v>
      </c>
      <c r="AB6" s="0" t="s">
        <v>14</v>
      </c>
      <c r="AC6" s="0" t="n">
        <v>181.64</v>
      </c>
      <c r="AD6" s="0" t="n">
        <v>287.464</v>
      </c>
    </row>
    <row r="7" customFormat="false" ht="15" hidden="false" customHeight="false" outlineLevel="0" collapsed="false">
      <c r="A7" s="0" t="s">
        <v>73</v>
      </c>
      <c r="B7" s="0" t="n">
        <v>681.418</v>
      </c>
      <c r="C7" s="0" t="n">
        <v>365.734</v>
      </c>
      <c r="D7" s="0" t="n">
        <v>315.684</v>
      </c>
      <c r="E7" s="0" t="n">
        <v>46.3</v>
      </c>
      <c r="F7" s="0" t="n">
        <v>223.711</v>
      </c>
      <c r="G7" s="0" t="n">
        <v>32.8</v>
      </c>
      <c r="H7" s="0" t="n">
        <v>273.553</v>
      </c>
      <c r="I7" s="0" t="n">
        <v>180.54</v>
      </c>
      <c r="J7" s="0" t="n">
        <v>26.5</v>
      </c>
      <c r="K7" s="0" t="n">
        <v>0.0545</v>
      </c>
      <c r="L7" s="0" t="n">
        <v>166.97</v>
      </c>
      <c r="M7" s="0" t="n">
        <v>182.879</v>
      </c>
      <c r="N7" s="0" t="n">
        <v>-15.909</v>
      </c>
      <c r="O7" s="0" t="n">
        <v>1148.465</v>
      </c>
      <c r="P7" s="0" t="n">
        <v>2037.963</v>
      </c>
      <c r="Q7" s="0" t="n">
        <v>588.364</v>
      </c>
      <c r="R7" s="0" t="n">
        <v>189.659</v>
      </c>
      <c r="S7" s="0" t="n">
        <v>67.941</v>
      </c>
      <c r="T7" s="0" t="n">
        <v>3312.7</v>
      </c>
      <c r="U7" s="0" t="n">
        <v>0</v>
      </c>
      <c r="AA7" s="0" t="s">
        <v>18</v>
      </c>
      <c r="AB7" s="0" t="s">
        <v>14</v>
      </c>
      <c r="AC7" s="0" t="n">
        <v>169.718</v>
      </c>
      <c r="AD7" s="0" t="n">
        <v>301.134</v>
      </c>
    </row>
    <row r="8" customFormat="false" ht="15" hidden="false" customHeight="false" outlineLevel="0" collapsed="false">
      <c r="A8" s="0" t="s">
        <v>74</v>
      </c>
      <c r="B8" s="0" t="n">
        <v>1315.217</v>
      </c>
      <c r="C8" s="0" t="n">
        <v>695.98</v>
      </c>
      <c r="D8" s="0" t="n">
        <v>619.237</v>
      </c>
      <c r="E8" s="0" t="n">
        <v>47.1</v>
      </c>
      <c r="F8" s="0" t="n">
        <v>434.294</v>
      </c>
      <c r="G8" s="0" t="n">
        <v>33</v>
      </c>
      <c r="H8" s="0" t="n">
        <v>531.304</v>
      </c>
      <c r="I8" s="0" t="n">
        <v>335.387</v>
      </c>
      <c r="J8" s="0" t="n">
        <v>25.5</v>
      </c>
      <c r="K8" s="0" t="n">
        <v>0.10125</v>
      </c>
      <c r="L8" s="0" t="n">
        <v>349.998</v>
      </c>
      <c r="M8" s="0" t="n">
        <v>157.739</v>
      </c>
      <c r="N8" s="0" t="n">
        <v>192.259</v>
      </c>
      <c r="O8" s="0" t="n">
        <v>1405.615</v>
      </c>
      <c r="P8" s="0" t="n">
        <v>2361.603</v>
      </c>
      <c r="Q8" s="0" t="n">
        <v>601.137</v>
      </c>
      <c r="R8" s="0" t="n">
        <v>205.048</v>
      </c>
      <c r="S8" s="0" t="n">
        <v>171.612</v>
      </c>
      <c r="T8" s="0" t="n">
        <v>3312.5</v>
      </c>
      <c r="U8" s="0" t="n">
        <v>0</v>
      </c>
      <c r="AA8" s="0" t="s">
        <v>18</v>
      </c>
      <c r="AB8" s="0" t="s">
        <v>14</v>
      </c>
      <c r="AC8" s="0" t="n">
        <v>390.939</v>
      </c>
      <c r="AD8" s="0" t="n">
        <v>354.851</v>
      </c>
    </row>
    <row r="9" customFormat="false" ht="15" hidden="false" customHeight="false" outlineLevel="0" collapsed="false">
      <c r="A9" s="0" t="s">
        <v>75</v>
      </c>
      <c r="B9" s="0" t="n">
        <v>1875.561</v>
      </c>
      <c r="C9" s="0" t="n">
        <v>878.568</v>
      </c>
      <c r="D9" s="0" t="n">
        <v>996.993</v>
      </c>
      <c r="E9" s="0" t="n">
        <v>53.2</v>
      </c>
      <c r="F9" s="0" t="n">
        <v>818.008</v>
      </c>
      <c r="G9" s="0" t="n">
        <v>43.6</v>
      </c>
      <c r="H9" s="0" t="n">
        <v>915.518</v>
      </c>
      <c r="I9" s="0" t="n">
        <v>575.375</v>
      </c>
      <c r="J9" s="0" t="n">
        <v>30.7</v>
      </c>
      <c r="K9" s="0" t="n">
        <v>0.1641</v>
      </c>
      <c r="L9" s="0" t="n">
        <v>843.284</v>
      </c>
      <c r="M9" s="0" t="n">
        <v>199.058</v>
      </c>
      <c r="N9" s="0" t="n">
        <v>644.226</v>
      </c>
      <c r="O9" s="0" t="n">
        <v>3134.578</v>
      </c>
      <c r="P9" s="0" t="n">
        <v>4135.203</v>
      </c>
      <c r="Q9" s="0" t="n">
        <v>681.882</v>
      </c>
      <c r="R9" s="0" t="n">
        <v>263.706</v>
      </c>
      <c r="S9" s="0" t="n">
        <v>513.728</v>
      </c>
      <c r="T9" s="0" t="n">
        <v>3506.2</v>
      </c>
      <c r="U9" s="0" t="n">
        <v>0</v>
      </c>
      <c r="AA9" s="0" t="s">
        <v>18</v>
      </c>
      <c r="AB9" s="0" t="s">
        <v>14</v>
      </c>
      <c r="AC9" s="0" t="n">
        <v>691.18</v>
      </c>
      <c r="AD9" s="0" t="n">
        <v>318.743</v>
      </c>
      <c r="AE9" s="0" t="n">
        <v>1335.157</v>
      </c>
    </row>
    <row r="10" customFormat="false" ht="15" hidden="false" customHeight="false" outlineLevel="0" collapsed="false">
      <c r="A10" s="0" t="s">
        <v>76</v>
      </c>
      <c r="B10" s="0" t="n">
        <v>3161.2</v>
      </c>
      <c r="C10" s="0" t="n">
        <v>813.067</v>
      </c>
      <c r="D10" s="0" t="n">
        <v>2348.133</v>
      </c>
      <c r="E10" s="0" t="n">
        <v>74.3</v>
      </c>
      <c r="F10" s="0" t="n">
        <v>2104.21</v>
      </c>
      <c r="G10" s="0" t="n">
        <v>66.6</v>
      </c>
      <c r="H10" s="0" t="n">
        <v>2212.11</v>
      </c>
      <c r="I10" s="0" t="n">
        <v>1354.964</v>
      </c>
      <c r="J10" s="0" t="n">
        <v>42.9</v>
      </c>
      <c r="K10" s="0" t="n">
        <v>0.3104</v>
      </c>
      <c r="L10" s="0" t="n">
        <v>1624.128</v>
      </c>
      <c r="M10" s="0" t="n">
        <v>804.393</v>
      </c>
      <c r="N10" s="0" t="n">
        <v>819.735</v>
      </c>
      <c r="O10" s="0" t="n">
        <v>4715.78</v>
      </c>
      <c r="P10" s="0" t="n">
        <v>6241.034</v>
      </c>
      <c r="Q10" s="0" t="n">
        <v>1063.404</v>
      </c>
      <c r="R10" s="0" t="n">
        <v>131.669</v>
      </c>
      <c r="S10" s="0" t="n">
        <v>1025.348</v>
      </c>
      <c r="T10" s="0" t="n">
        <v>4365.2</v>
      </c>
      <c r="U10" s="0" t="n">
        <v>19.989</v>
      </c>
      <c r="AA10" s="0" t="s">
        <v>18</v>
      </c>
      <c r="AB10" s="0" t="s">
        <v>14</v>
      </c>
      <c r="AC10" s="0" t="n">
        <v>1496.602</v>
      </c>
      <c r="AD10" s="0" t="n">
        <v>461.85</v>
      </c>
      <c r="AE10" s="0" t="n">
        <v>1537.494</v>
      </c>
      <c r="AF10" s="0" t="n">
        <v>175.72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11.9</v>
      </c>
    </row>
    <row r="3" customFormat="false" ht="15" hidden="false" customHeight="false" outlineLevel="0" collapsed="false">
      <c r="A3" s="0" t="s">
        <v>80</v>
      </c>
      <c r="B3" s="3" t="n">
        <v>4435</v>
      </c>
    </row>
    <row r="4" customFormat="false" ht="15" hidden="false" customHeight="false" outlineLevel="0" collapsed="false">
      <c r="A4" s="0" t="s">
        <v>81</v>
      </c>
      <c r="B4" s="3" t="n">
        <v>-2188.2</v>
      </c>
    </row>
    <row r="5" customFormat="false" ht="15" hidden="false" customHeight="false" outlineLevel="0" collapsed="false">
      <c r="A5" s="0" t="s">
        <v>82</v>
      </c>
      <c r="B5" s="3" t="n">
        <v>0</v>
      </c>
    </row>
    <row r="6" customFormat="false" ht="15" hidden="false" customHeight="false" outlineLevel="0" collapsed="false">
      <c r="A6" s="0" t="s">
        <v>83</v>
      </c>
      <c r="B6" s="3" t="n">
        <v>15</v>
      </c>
    </row>
    <row r="7" customFormat="false" ht="15" hidden="false" customHeight="false" outlineLevel="0" collapsed="false">
      <c r="A7" s="0" t="s">
        <v>84</v>
      </c>
      <c r="B7" s="3" t="n">
        <v>3784.2</v>
      </c>
    </row>
    <row r="8" customFormat="false" ht="15" hidden="false" customHeight="false" outlineLevel="0" collapsed="false">
      <c r="A8" s="0" t="s">
        <v>85</v>
      </c>
      <c r="B8" s="3" t="s">
        <v>86</v>
      </c>
    </row>
    <row r="9" customFormat="false" ht="15" hidden="false" customHeight="false" outlineLevel="0" collapsed="false">
      <c r="A9" s="0" t="s">
        <v>87</v>
      </c>
      <c r="B9" s="3" t="s">
        <v>88</v>
      </c>
    </row>
    <row r="10" customFormat="false" ht="15" hidden="false" customHeight="false" outlineLevel="0" collapsed="false">
      <c r="A10" s="0" t="s">
        <v>89</v>
      </c>
      <c r="B10" s="3" t="n">
        <v>1.1749</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-15</v>
      </c>
      <c r="D13" s="3" t="n">
        <v>-8</v>
      </c>
      <c r="E13" s="3" t="n">
        <v>18</v>
      </c>
      <c r="F13" s="3" t="n">
        <v>12</v>
      </c>
      <c r="G13" s="3" t="n">
        <v>3</v>
      </c>
      <c r="H13" s="3" t="n">
        <v>1</v>
      </c>
      <c r="I13" s="3" t="n">
        <v>1</v>
      </c>
      <c r="J13" s="3" t="n">
        <v>0</v>
      </c>
      <c r="K13" s="3" t="n">
        <v>0</v>
      </c>
      <c r="L13" s="3" t="n">
        <v>0</v>
      </c>
    </row>
    <row r="14" customFormat="false" ht="15" hidden="false" customHeight="false" outlineLevel="0" collapsed="false">
      <c r="A14" s="0" t="s">
        <v>102</v>
      </c>
      <c r="C14" s="3" t="n">
        <v>63</v>
      </c>
      <c r="D14" s="3" t="n">
        <v>56</v>
      </c>
      <c r="E14" s="3" t="n">
        <v>57</v>
      </c>
      <c r="F14" s="3" t="n">
        <v>58</v>
      </c>
      <c r="G14" s="3" t="n">
        <v>58</v>
      </c>
      <c r="H14" s="3" t="n">
        <v>57</v>
      </c>
      <c r="I14" s="3" t="n">
        <v>56</v>
      </c>
      <c r="J14" s="3" t="n">
        <v>55</v>
      </c>
      <c r="K14" s="3" t="n">
        <v>54</v>
      </c>
      <c r="L14" s="3" t="n">
        <v>54</v>
      </c>
    </row>
    <row r="15" customFormat="false" ht="15" hidden="false" customHeight="false" outlineLevel="0" collapsed="false">
      <c r="A15" s="0" t="s">
        <v>103</v>
      </c>
      <c r="C15" s="3" t="n">
        <v>0.7</v>
      </c>
      <c r="D15" s="3" t="n">
        <v>0.7</v>
      </c>
      <c r="E15" s="3" t="n">
        <v>0.65</v>
      </c>
      <c r="F15" s="3" t="n">
        <v>0.6</v>
      </c>
      <c r="G15" s="3" t="n">
        <v>0.6</v>
      </c>
      <c r="H15" s="3" t="n">
        <v>0.55</v>
      </c>
      <c r="I15" s="3" t="n">
        <v>0.5</v>
      </c>
      <c r="J15" s="3" t="n">
        <v>0.5</v>
      </c>
      <c r="K15" s="3" t="n">
        <v>0.5</v>
      </c>
      <c r="L15" s="3" t="n">
        <v>0.5</v>
      </c>
    </row>
    <row r="16" customFormat="false" ht="15" hidden="false" customHeight="false" outlineLevel="0" collapsed="false">
      <c r="A16" s="0" t="s">
        <v>104</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105</v>
      </c>
      <c r="C17" s="3" t="n">
        <v>3.8</v>
      </c>
      <c r="D17" s="3" t="n">
        <v>5</v>
      </c>
      <c r="E17" s="3" t="n">
        <v>6.5</v>
      </c>
      <c r="F17" s="3" t="n">
        <v>7</v>
      </c>
      <c r="G17" s="3" t="n">
        <v>7</v>
      </c>
      <c r="H17" s="3" t="n">
        <v>7</v>
      </c>
      <c r="I17" s="3" t="n">
        <v>7</v>
      </c>
      <c r="J17" s="3" t="n">
        <v>7</v>
      </c>
      <c r="K17" s="3" t="n">
        <v>7</v>
      </c>
      <c r="L17" s="3" t="n">
        <v>7</v>
      </c>
    </row>
    <row r="18" customFormat="false" ht="15" hidden="false" customHeight="false" outlineLevel="0" collapsed="false">
      <c r="A18" s="0" t="s">
        <v>106</v>
      </c>
      <c r="C18" s="3" t="n">
        <v>44</v>
      </c>
      <c r="D18" s="3" t="n">
        <v>26</v>
      </c>
      <c r="E18" s="3" t="n">
        <v>13</v>
      </c>
      <c r="F18" s="3" t="n">
        <v>9</v>
      </c>
      <c r="G18" s="3" t="n">
        <v>8</v>
      </c>
      <c r="H18" s="3" t="n">
        <v>8</v>
      </c>
      <c r="I18" s="3" t="n">
        <v>8</v>
      </c>
      <c r="J18" s="3" t="n">
        <v>8</v>
      </c>
      <c r="K18" s="3" t="n">
        <v>8</v>
      </c>
      <c r="L18" s="3" t="n">
        <v>8</v>
      </c>
    </row>
    <row r="19" customFormat="false" ht="15" hidden="false" customHeight="false" outlineLevel="0" collapsed="false">
      <c r="A19" s="0" t="s">
        <v>107</v>
      </c>
      <c r="C19" s="3" t="n">
        <v>27</v>
      </c>
      <c r="D19" s="3" t="n">
        <v>29</v>
      </c>
      <c r="E19" s="3" t="n">
        <v>32</v>
      </c>
      <c r="F19" s="3" t="n">
        <v>35</v>
      </c>
      <c r="G19" s="3" t="n">
        <v>36</v>
      </c>
      <c r="H19" s="3" t="n">
        <v>36</v>
      </c>
      <c r="I19" s="3" t="n">
        <v>36</v>
      </c>
      <c r="J19" s="3" t="n">
        <v>36</v>
      </c>
      <c r="K19" s="3" t="n">
        <v>36</v>
      </c>
      <c r="L19" s="3" t="n">
        <v>36</v>
      </c>
    </row>
    <row r="20" customFormat="false" ht="15" hidden="false" customHeight="false" outlineLevel="0" collapsed="false">
      <c r="A20" s="0" t="s">
        <v>108</v>
      </c>
      <c r="B20" s="3" t="n">
        <v>9.5</v>
      </c>
    </row>
    <row r="21" customFormat="false" ht="15" hidden="false" customHeight="false" outlineLevel="0" collapsed="false">
      <c r="A21" s="0" t="s">
        <v>109</v>
      </c>
      <c r="B21" s="3" t="n">
        <v>0.5</v>
      </c>
    </row>
    <row r="22" customFormat="false" ht="15" hidden="false" customHeight="false" outlineLevel="0" collapsed="false">
      <c r="A22" s="0" t="s">
        <v>110</v>
      </c>
      <c r="B22" s="3" t="n">
        <v>11</v>
      </c>
    </row>
    <row r="23" customFormat="false" ht="15" hidden="false" customHeight="false" outlineLevel="0" collapsed="false">
      <c r="A23" s="0" t="s">
        <v>111</v>
      </c>
      <c r="B23" s="3" t="n">
        <v>-5</v>
      </c>
    </row>
    <row r="24" customFormat="false" ht="15" hidden="false" customHeight="false" outlineLevel="0" collapsed="false">
      <c r="A24" s="0" t="s">
        <v>112</v>
      </c>
      <c r="B24" s="3" t="n">
        <v>0.3</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-8</v>
      </c>
      <c r="D27" s="3" t="n">
        <v>30</v>
      </c>
      <c r="E27" s="3" t="n">
        <v>28</v>
      </c>
      <c r="F27" s="3" t="n">
        <v>12</v>
      </c>
      <c r="G27" s="3" t="n">
        <v>4</v>
      </c>
      <c r="H27" s="3" t="n">
        <v>2</v>
      </c>
      <c r="I27" s="3" t="n">
        <v>2</v>
      </c>
      <c r="J27" s="3" t="n">
        <v>1.5</v>
      </c>
      <c r="K27" s="3" t="n">
        <v>1</v>
      </c>
      <c r="L27" s="3" t="n">
        <v>1</v>
      </c>
    </row>
    <row r="28" customFormat="false" ht="15" hidden="false" customHeight="false" outlineLevel="0" collapsed="false">
      <c r="A28" s="0" t="s">
        <v>102</v>
      </c>
      <c r="C28" s="3" t="n">
        <v>68</v>
      </c>
      <c r="D28" s="3" t="n">
        <v>67</v>
      </c>
      <c r="E28" s="3" t="n">
        <v>68</v>
      </c>
      <c r="F28" s="3" t="n">
        <v>68</v>
      </c>
      <c r="G28" s="3" t="n">
        <v>68</v>
      </c>
      <c r="H28" s="3" t="n">
        <v>67</v>
      </c>
      <c r="I28" s="3" t="n">
        <v>66</v>
      </c>
      <c r="J28" s="3" t="n">
        <v>65</v>
      </c>
      <c r="K28" s="3" t="n">
        <v>64</v>
      </c>
      <c r="L28" s="3" t="n">
        <v>64</v>
      </c>
    </row>
    <row r="29" customFormat="false" ht="15" hidden="false" customHeight="false" outlineLevel="0" collapsed="false">
      <c r="A29" s="0" t="s">
        <v>103</v>
      </c>
      <c r="C29" s="3" t="n">
        <v>0.7</v>
      </c>
      <c r="D29" s="3" t="n">
        <v>0.7</v>
      </c>
      <c r="E29" s="3" t="n">
        <v>0.65</v>
      </c>
      <c r="F29" s="3" t="n">
        <v>0.6</v>
      </c>
      <c r="G29" s="3" t="n">
        <v>0.6</v>
      </c>
      <c r="H29" s="3" t="n">
        <v>0.55</v>
      </c>
      <c r="I29" s="3" t="n">
        <v>0.5</v>
      </c>
      <c r="J29" s="3" t="n">
        <v>0.5</v>
      </c>
      <c r="K29" s="3" t="n">
        <v>0.5</v>
      </c>
      <c r="L29" s="3" t="n">
        <v>0.5</v>
      </c>
    </row>
    <row r="30" customFormat="false" ht="15" hidden="false" customHeight="false" outlineLevel="0" collapsed="false">
      <c r="A30" s="0" t="s">
        <v>104</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105</v>
      </c>
      <c r="C31" s="3" t="n">
        <v>3.5</v>
      </c>
      <c r="D31" s="3" t="n">
        <v>4.5</v>
      </c>
      <c r="E31" s="3" t="n">
        <v>5.5</v>
      </c>
      <c r="F31" s="3" t="n">
        <v>6</v>
      </c>
      <c r="G31" s="3" t="n">
        <v>6</v>
      </c>
      <c r="H31" s="3" t="n">
        <v>6</v>
      </c>
      <c r="I31" s="3" t="n">
        <v>6</v>
      </c>
      <c r="J31" s="3" t="n">
        <v>6</v>
      </c>
      <c r="K31" s="3" t="n">
        <v>6</v>
      </c>
      <c r="L31" s="3" t="n">
        <v>6</v>
      </c>
    </row>
    <row r="32" customFormat="false" ht="15" hidden="false" customHeight="false" outlineLevel="0" collapsed="false">
      <c r="A32" s="0" t="s">
        <v>106</v>
      </c>
      <c r="C32" s="3" t="n">
        <v>40</v>
      </c>
      <c r="D32" s="3" t="n">
        <v>20</v>
      </c>
      <c r="E32" s="3" t="n">
        <v>11</v>
      </c>
      <c r="F32" s="3" t="n">
        <v>8</v>
      </c>
      <c r="G32" s="3" t="n">
        <v>7</v>
      </c>
      <c r="H32" s="3" t="n">
        <v>7</v>
      </c>
      <c r="I32" s="3" t="n">
        <v>7</v>
      </c>
      <c r="J32" s="3" t="n">
        <v>7</v>
      </c>
      <c r="K32" s="3" t="n">
        <v>7</v>
      </c>
      <c r="L32" s="3" t="n">
        <v>7</v>
      </c>
    </row>
    <row r="33" customFormat="false" ht="15" hidden="false" customHeight="false" outlineLevel="0" collapsed="false">
      <c r="A33" s="0" t="s">
        <v>107</v>
      </c>
      <c r="C33" s="3" t="n">
        <v>28</v>
      </c>
      <c r="D33" s="3" t="n">
        <v>31</v>
      </c>
      <c r="E33" s="3" t="n">
        <v>34</v>
      </c>
      <c r="F33" s="3" t="n">
        <v>37</v>
      </c>
      <c r="G33" s="3" t="n">
        <v>37</v>
      </c>
      <c r="H33" s="3" t="n">
        <v>37</v>
      </c>
      <c r="I33" s="3" t="n">
        <v>37</v>
      </c>
      <c r="J33" s="3" t="n">
        <v>37</v>
      </c>
      <c r="K33" s="3" t="n">
        <v>37</v>
      </c>
      <c r="L33" s="3" t="n">
        <v>37</v>
      </c>
    </row>
    <row r="34" customFormat="false" ht="15" hidden="false" customHeight="false" outlineLevel="0" collapsed="false">
      <c r="A34" s="0" t="s">
        <v>108</v>
      </c>
      <c r="B34" s="3" t="n">
        <v>9.5</v>
      </c>
    </row>
    <row r="35" customFormat="false" ht="15" hidden="false" customHeight="false" outlineLevel="0" collapsed="false">
      <c r="A35" s="0" t="s">
        <v>109</v>
      </c>
      <c r="B35" s="3" t="n">
        <v>1</v>
      </c>
    </row>
    <row r="36" customFormat="false" ht="15" hidden="false" customHeight="false" outlineLevel="0" collapsed="false">
      <c r="A36" s="0" t="s">
        <v>110</v>
      </c>
      <c r="B36" s="3" t="n">
        <v>11</v>
      </c>
    </row>
    <row r="37" customFormat="false" ht="15" hidden="false" customHeight="false" outlineLevel="0" collapsed="false">
      <c r="A37" s="0" t="s">
        <v>111</v>
      </c>
      <c r="B37" s="3" t="n">
        <v>-5</v>
      </c>
    </row>
    <row r="38" customFormat="false" ht="15" hidden="false" customHeight="false" outlineLevel="0" collapsed="false">
      <c r="A38" s="0" t="s">
        <v>112</v>
      </c>
      <c r="B38" s="3" t="n">
        <v>0.5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3</v>
      </c>
      <c r="D41" s="3" t="n">
        <v>38</v>
      </c>
      <c r="E41" s="3" t="n">
        <v>34</v>
      </c>
      <c r="F41" s="3" t="n">
        <v>18</v>
      </c>
      <c r="G41" s="3" t="n">
        <v>8</v>
      </c>
      <c r="H41" s="3" t="n">
        <v>4</v>
      </c>
      <c r="I41" s="3" t="n">
        <v>3</v>
      </c>
      <c r="J41" s="3" t="n">
        <v>2</v>
      </c>
      <c r="K41" s="3" t="n">
        <v>2</v>
      </c>
      <c r="L41" s="3" t="n">
        <v>2</v>
      </c>
    </row>
    <row r="42" customFormat="false" ht="15" hidden="false" customHeight="false" outlineLevel="0" collapsed="false">
      <c r="A42" s="0" t="s">
        <v>102</v>
      </c>
      <c r="C42" s="3" t="n">
        <v>71</v>
      </c>
      <c r="D42" s="3" t="n">
        <v>71</v>
      </c>
      <c r="E42" s="3" t="n">
        <v>72</v>
      </c>
      <c r="F42" s="3" t="n">
        <v>72</v>
      </c>
      <c r="G42" s="3" t="n">
        <v>72</v>
      </c>
      <c r="H42" s="3" t="n">
        <v>71</v>
      </c>
      <c r="I42" s="3" t="n">
        <v>70</v>
      </c>
      <c r="J42" s="3" t="n">
        <v>69</v>
      </c>
      <c r="K42" s="3" t="n">
        <v>68</v>
      </c>
      <c r="L42" s="3" t="n">
        <v>68</v>
      </c>
    </row>
    <row r="43" customFormat="false" ht="15" hidden="false" customHeight="false" outlineLevel="0" collapsed="false">
      <c r="A43" s="0" t="s">
        <v>103</v>
      </c>
      <c r="C43" s="3" t="n">
        <v>0.7</v>
      </c>
      <c r="D43" s="3" t="n">
        <v>0.7</v>
      </c>
      <c r="E43" s="3" t="n">
        <v>0.65</v>
      </c>
      <c r="F43" s="3" t="n">
        <v>0.6</v>
      </c>
      <c r="G43" s="3" t="n">
        <v>0.6</v>
      </c>
      <c r="H43" s="3" t="n">
        <v>0.55</v>
      </c>
      <c r="I43" s="3" t="n">
        <v>0.5</v>
      </c>
      <c r="J43" s="3" t="n">
        <v>0.5</v>
      </c>
      <c r="K43" s="3" t="n">
        <v>0.5</v>
      </c>
      <c r="L43" s="3" t="n">
        <v>0.5</v>
      </c>
    </row>
    <row r="44" customFormat="false" ht="15" hidden="false" customHeight="false" outlineLevel="0" collapsed="false">
      <c r="A44" s="0" t="s">
        <v>104</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105</v>
      </c>
      <c r="C45" s="3" t="n">
        <v>3.5</v>
      </c>
      <c r="D45" s="3" t="n">
        <v>4.2</v>
      </c>
      <c r="E45" s="3" t="n">
        <v>5</v>
      </c>
      <c r="F45" s="3" t="n">
        <v>5.5</v>
      </c>
      <c r="G45" s="3" t="n">
        <v>5.5</v>
      </c>
      <c r="H45" s="3" t="n">
        <v>5.5</v>
      </c>
      <c r="I45" s="3" t="n">
        <v>5.5</v>
      </c>
      <c r="J45" s="3" t="n">
        <v>5.5</v>
      </c>
      <c r="K45" s="3" t="n">
        <v>5.5</v>
      </c>
      <c r="L45" s="3" t="n">
        <v>5.5</v>
      </c>
    </row>
    <row r="46" customFormat="false" ht="15" hidden="false" customHeight="false" outlineLevel="0" collapsed="false">
      <c r="A46" s="0" t="s">
        <v>106</v>
      </c>
      <c r="C46" s="3" t="n">
        <v>38</v>
      </c>
      <c r="D46" s="3" t="n">
        <v>19</v>
      </c>
      <c r="E46" s="3" t="n">
        <v>10</v>
      </c>
      <c r="F46" s="3" t="n">
        <v>7</v>
      </c>
      <c r="G46" s="3" t="n">
        <v>7</v>
      </c>
      <c r="H46" s="3" t="n">
        <v>7</v>
      </c>
      <c r="I46" s="3" t="n">
        <v>7</v>
      </c>
      <c r="J46" s="3" t="n">
        <v>7</v>
      </c>
      <c r="K46" s="3" t="n">
        <v>7</v>
      </c>
      <c r="L46" s="3" t="n">
        <v>7</v>
      </c>
    </row>
    <row r="47" customFormat="false" ht="15" hidden="false" customHeight="false" outlineLevel="0" collapsed="false">
      <c r="A47" s="0" t="s">
        <v>107</v>
      </c>
      <c r="C47" s="3" t="n">
        <v>28</v>
      </c>
      <c r="D47" s="3" t="n">
        <v>31</v>
      </c>
      <c r="E47" s="3" t="n">
        <v>34</v>
      </c>
      <c r="F47" s="3" t="n">
        <v>37</v>
      </c>
      <c r="G47" s="3" t="n">
        <v>37</v>
      </c>
      <c r="H47" s="3" t="n">
        <v>37</v>
      </c>
      <c r="I47" s="3" t="n">
        <v>37</v>
      </c>
      <c r="J47" s="3" t="n">
        <v>37</v>
      </c>
      <c r="K47" s="3" t="n">
        <v>37</v>
      </c>
      <c r="L47" s="3" t="n">
        <v>37</v>
      </c>
    </row>
    <row r="48" customFormat="false" ht="15" hidden="false" customHeight="false" outlineLevel="0" collapsed="false">
      <c r="A48" s="0" t="s">
        <v>108</v>
      </c>
      <c r="B48" s="3" t="n">
        <v>9.5</v>
      </c>
    </row>
    <row r="49" customFormat="false" ht="15" hidden="false" customHeight="false" outlineLevel="0" collapsed="false">
      <c r="A49" s="0" t="s">
        <v>109</v>
      </c>
      <c r="B49" s="3" t="n">
        <v>1.5</v>
      </c>
    </row>
    <row r="50" customFormat="false" ht="15" hidden="false" customHeight="false" outlineLevel="0" collapsed="false">
      <c r="A50" s="0" t="s">
        <v>110</v>
      </c>
      <c r="B50" s="3" t="n">
        <v>11</v>
      </c>
    </row>
    <row r="51" customFormat="false" ht="15" hidden="false" customHeight="false" outlineLevel="0" collapsed="false">
      <c r="A51" s="0" t="s">
        <v>111</v>
      </c>
      <c r="B51" s="3" t="n">
        <v>-5</v>
      </c>
    </row>
    <row r="52" customFormat="false" ht="15" hidden="false" customHeight="false" outlineLevel="0" collapsed="false">
      <c r="A52" s="0" t="s">
        <v>112</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86</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-15</v>
      </c>
      <c r="D5" s="4" t="n">
        <f aca="false">Assumptions!D13</f>
        <v>-8</v>
      </c>
      <c r="E5" s="4" t="n">
        <f aca="false">Assumptions!E13</f>
        <v>18</v>
      </c>
      <c r="F5" s="4" t="n">
        <f aca="false">Assumptions!F13</f>
        <v>12</v>
      </c>
      <c r="G5" s="4" t="n">
        <f aca="false">Assumptions!G13</f>
        <v>3</v>
      </c>
      <c r="H5" s="4" t="n">
        <f aca="false">Assumptions!H13</f>
        <v>1</v>
      </c>
      <c r="I5" s="4" t="n">
        <f aca="false">Assumptions!I13</f>
        <v>1</v>
      </c>
      <c r="J5" s="4" t="n">
        <f aca="false">Assumptions!J13</f>
        <v>0</v>
      </c>
      <c r="K5" s="4" t="n">
        <f aca="false">Assumptions!K13</f>
        <v>0</v>
      </c>
      <c r="L5" s="4" t="n">
        <f aca="false">Assumptions!L13</f>
        <v>0</v>
      </c>
    </row>
    <row r="6" customFormat="false" ht="15" hidden="false" customHeight="false" outlineLevel="0" collapsed="false">
      <c r="A6" s="0" t="s">
        <v>38</v>
      </c>
      <c r="B6" s="3" t="n">
        <v>3784.2</v>
      </c>
      <c r="C6" s="0" t="n">
        <f aca="false">B6*(1+C5/100)</f>
        <v>3216.57</v>
      </c>
      <c r="D6" s="0" t="n">
        <f aca="false">C6*(1+D5/100)</f>
        <v>2959.2444</v>
      </c>
      <c r="E6" s="0" t="n">
        <f aca="false">D6*(1+E5/100)</f>
        <v>3491.908392</v>
      </c>
      <c r="F6" s="0" t="n">
        <f aca="false">E6*(1+F5/100)</f>
        <v>3910.93739904</v>
      </c>
      <c r="G6" s="0" t="n">
        <f aca="false">F6*(1+G5/100)</f>
        <v>4028.2655210112</v>
      </c>
      <c r="H6" s="0" t="n">
        <f aca="false">G6*(1+H5/100)</f>
        <v>4068.54817622131</v>
      </c>
      <c r="I6" s="0" t="n">
        <f aca="false">H6*(1+I5/100)</f>
        <v>4109.23365798353</v>
      </c>
      <c r="J6" s="0" t="n">
        <f aca="false">I6*(1+J5/100)</f>
        <v>4109.23365798353</v>
      </c>
      <c r="K6" s="0" t="n">
        <f aca="false">J6*(1+K5/100)</f>
        <v>4109.23365798353</v>
      </c>
      <c r="L6" s="0" t="n">
        <f aca="false">K6*(1+L5/100)</f>
        <v>4109.23365798353</v>
      </c>
    </row>
    <row r="7" customFormat="false" ht="15" hidden="false" customHeight="false" outlineLevel="0" collapsed="false">
      <c r="A7" s="0" t="s">
        <v>102</v>
      </c>
      <c r="C7" s="4" t="n">
        <f aca="false">Assumptions!C14</f>
        <v>63</v>
      </c>
      <c r="D7" s="4" t="n">
        <f aca="false">Assumptions!D14</f>
        <v>56</v>
      </c>
      <c r="E7" s="4" t="n">
        <f aca="false">Assumptions!E14</f>
        <v>57</v>
      </c>
      <c r="F7" s="4" t="n">
        <f aca="false">Assumptions!F14</f>
        <v>58</v>
      </c>
      <c r="G7" s="4" t="n">
        <f aca="false">Assumptions!G14</f>
        <v>58</v>
      </c>
      <c r="H7" s="4" t="n">
        <f aca="false">Assumptions!H14</f>
        <v>57</v>
      </c>
      <c r="I7" s="4" t="n">
        <f aca="false">Assumptions!I14</f>
        <v>56</v>
      </c>
      <c r="J7" s="4" t="n">
        <f aca="false">Assumptions!J14</f>
        <v>55</v>
      </c>
      <c r="K7" s="4" t="n">
        <f aca="false">Assumptions!K14</f>
        <v>54</v>
      </c>
      <c r="L7" s="4" t="n">
        <f aca="false">Assumptions!L14</f>
        <v>54</v>
      </c>
    </row>
    <row r="8" customFormat="false" ht="15" hidden="false" customHeight="false" outlineLevel="0" collapsed="false">
      <c r="A8" s="0" t="s">
        <v>44</v>
      </c>
      <c r="C8" s="0" t="n">
        <f aca="false">C6*C7/100</f>
        <v>2026.4391</v>
      </c>
      <c r="D8" s="0" t="n">
        <f aca="false">D6*D7/100</f>
        <v>1657.176864</v>
      </c>
      <c r="E8" s="0" t="n">
        <f aca="false">E6*E7/100</f>
        <v>1990.38778344</v>
      </c>
      <c r="F8" s="0" t="n">
        <f aca="false">F6*F7/100</f>
        <v>2268.3436914432</v>
      </c>
      <c r="G8" s="0" t="n">
        <f aca="false">G6*G7/100</f>
        <v>2336.3940021865</v>
      </c>
      <c r="H8" s="0" t="n">
        <f aca="false">H6*H7/100</f>
        <v>2319.07246044615</v>
      </c>
      <c r="I8" s="0" t="n">
        <f aca="false">I6*I7/100</f>
        <v>2301.17084847077</v>
      </c>
      <c r="J8" s="0" t="n">
        <f aca="false">J6*J7/100</f>
        <v>2260.07851189094</v>
      </c>
      <c r="K8" s="0" t="n">
        <f aca="false">K6*K7/100</f>
        <v>2218.9861753111</v>
      </c>
      <c r="L8" s="0" t="n">
        <f aca="false">L6*L7/100</f>
        <v>2218.9861753111</v>
      </c>
    </row>
    <row r="9" customFormat="false" ht="15" hidden="false" customHeight="false" outlineLevel="0" collapsed="false">
      <c r="A9" s="0" t="s">
        <v>103</v>
      </c>
      <c r="C9" s="4" t="n">
        <f aca="false">Assumptions!C15</f>
        <v>0.7</v>
      </c>
      <c r="D9" s="4" t="n">
        <f aca="false">Assumptions!D15</f>
        <v>0.7</v>
      </c>
      <c r="E9" s="4" t="n">
        <f aca="false">Assumptions!E15</f>
        <v>0.65</v>
      </c>
      <c r="F9" s="4" t="n">
        <f aca="false">Assumptions!F15</f>
        <v>0.6</v>
      </c>
      <c r="G9" s="4" t="n">
        <f aca="false">Assumptions!G15</f>
        <v>0.6</v>
      </c>
      <c r="H9" s="4" t="n">
        <f aca="false">Assumptions!H15</f>
        <v>0.55</v>
      </c>
      <c r="I9" s="4" t="n">
        <f aca="false">Assumptions!I15</f>
        <v>0.5</v>
      </c>
      <c r="J9" s="4" t="n">
        <f aca="false">Assumptions!J15</f>
        <v>0.5</v>
      </c>
      <c r="K9" s="4" t="n">
        <f aca="false">Assumptions!K15</f>
        <v>0.5</v>
      </c>
      <c r="L9" s="4" t="n">
        <f aca="false">Assumptions!L15</f>
        <v>0.5</v>
      </c>
    </row>
    <row r="10" customFormat="false" ht="15" hidden="false" customHeight="false" outlineLevel="0" collapsed="false">
      <c r="A10" s="0" t="s">
        <v>118</v>
      </c>
      <c r="C10" s="0" t="n">
        <f aca="false">-C6*C9/100</f>
        <v>-22.51599</v>
      </c>
      <c r="D10" s="0" t="n">
        <f aca="false">-D6*D9/100</f>
        <v>-20.7147108</v>
      </c>
      <c r="E10" s="0" t="n">
        <f aca="false">-E6*E9/100</f>
        <v>-22.697404548</v>
      </c>
      <c r="F10" s="0" t="n">
        <f aca="false">-F6*F9/100</f>
        <v>-23.46562439424</v>
      </c>
      <c r="G10" s="0" t="n">
        <f aca="false">-G6*G9/100</f>
        <v>-24.1695931260672</v>
      </c>
      <c r="H10" s="0" t="n">
        <f aca="false">-H6*H9/100</f>
        <v>-22.3770149692172</v>
      </c>
      <c r="I10" s="0" t="n">
        <f aca="false">-I6*I9/100</f>
        <v>-20.5461682899176</v>
      </c>
      <c r="J10" s="0" t="n">
        <f aca="false">-J6*J9/100</f>
        <v>-20.5461682899176</v>
      </c>
      <c r="K10" s="0" t="n">
        <f aca="false">-K6*K9/100</f>
        <v>-20.5461682899176</v>
      </c>
      <c r="L10" s="0" t="n">
        <f aca="false">-L6*L9/100</f>
        <v>-20.5461682899176</v>
      </c>
    </row>
    <row r="11" customFormat="false" ht="15" hidden="false" customHeight="false" outlineLevel="0" collapsed="false">
      <c r="A11" s="0" t="s">
        <v>119</v>
      </c>
      <c r="C11" s="0" t="n">
        <f aca="false">C8+C10+C24</f>
        <v>2003.92311</v>
      </c>
      <c r="D11" s="0" t="n">
        <f aca="false">D8+D10+D24</f>
        <v>1636.4621532</v>
      </c>
      <c r="E11" s="0" t="n">
        <f aca="false">E8+E10+E24</f>
        <v>1967.690378892</v>
      </c>
      <c r="F11" s="0" t="n">
        <f aca="false">F8+F10+F24</f>
        <v>2244.87806704896</v>
      </c>
      <c r="G11" s="0" t="n">
        <f aca="false">G8+G10+G24</f>
        <v>2312.22440906043</v>
      </c>
      <c r="H11" s="0" t="n">
        <f aca="false">H8+H10+H24</f>
        <v>2296.69544547693</v>
      </c>
      <c r="I11" s="0" t="n">
        <f aca="false">I8+I10+I24</f>
        <v>2280.62468018086</v>
      </c>
      <c r="J11" s="0" t="n">
        <f aca="false">J8+J10+J24</f>
        <v>2239.53234360102</v>
      </c>
      <c r="K11" s="0" t="n">
        <f aca="false">K8+K10+K24</f>
        <v>2198.44000702119</v>
      </c>
      <c r="L11" s="0" t="n">
        <f aca="false">L8+L10+L24</f>
        <v>2198.44000702119</v>
      </c>
    </row>
    <row r="12" customFormat="false" ht="15" hidden="false" customHeight="false" outlineLevel="0" collapsed="false">
      <c r="A12" s="0" t="s">
        <v>120</v>
      </c>
      <c r="C12" s="4" t="n">
        <f aca="false">-C6*Assumptions!C17/100</f>
        <v>-122.22966</v>
      </c>
      <c r="D12" s="4" t="n">
        <f aca="false">-D6*Assumptions!D17/100</f>
        <v>-147.96222</v>
      </c>
      <c r="E12" s="4" t="n">
        <f aca="false">-E6*Assumptions!E17/100</f>
        <v>-226.97404548</v>
      </c>
      <c r="F12" s="4" t="n">
        <f aca="false">-F6*Assumptions!F17/100</f>
        <v>-273.7656179328</v>
      </c>
      <c r="G12" s="4" t="n">
        <f aca="false">-G6*Assumptions!G17/100</f>
        <v>-281.978586470784</v>
      </c>
      <c r="H12" s="4" t="n">
        <f aca="false">-H6*Assumptions!H17/100</f>
        <v>-284.798372335492</v>
      </c>
      <c r="I12" s="4" t="n">
        <f aca="false">-I6*Assumptions!I17/100</f>
        <v>-287.646356058847</v>
      </c>
      <c r="J12" s="4" t="n">
        <f aca="false">-J6*Assumptions!J17/100</f>
        <v>-287.646356058847</v>
      </c>
      <c r="K12" s="4" t="n">
        <f aca="false">-K6*Assumptions!K17/100</f>
        <v>-287.646356058847</v>
      </c>
      <c r="L12" s="4" t="n">
        <f aca="false">-L6*Assumptions!L17/100</f>
        <v>-287.646356058847</v>
      </c>
    </row>
    <row r="13" customFormat="false" ht="15" hidden="false" customHeight="false" outlineLevel="0" collapsed="false">
      <c r="A13" s="0" t="s">
        <v>121</v>
      </c>
      <c r="C13" s="0" t="n">
        <f aca="false">C11+C12</f>
        <v>1881.69345</v>
      </c>
      <c r="D13" s="0" t="n">
        <f aca="false">D11+D12</f>
        <v>1488.4999332</v>
      </c>
      <c r="E13" s="0" t="n">
        <f aca="false">E11+E12</f>
        <v>1740.716333412</v>
      </c>
      <c r="F13" s="0" t="n">
        <f aca="false">F11+F12</f>
        <v>1971.11244911616</v>
      </c>
      <c r="G13" s="0" t="n">
        <f aca="false">G11+G12</f>
        <v>2030.24582258965</v>
      </c>
      <c r="H13" s="0" t="n">
        <f aca="false">H11+H12</f>
        <v>2011.89707314144</v>
      </c>
      <c r="I13" s="0" t="n">
        <f aca="false">I11+I12</f>
        <v>1992.97832412201</v>
      </c>
      <c r="J13" s="0" t="n">
        <f aca="false">J11+J12</f>
        <v>1951.88598754217</v>
      </c>
      <c r="K13" s="0" t="n">
        <f aca="false">K11+K12</f>
        <v>1910.79365096234</v>
      </c>
      <c r="L13" s="0" t="n">
        <f aca="false">L11+L12</f>
        <v>1910.79365096234</v>
      </c>
    </row>
    <row r="14" customFormat="false" ht="15" hidden="false" customHeight="false" outlineLevel="0" collapsed="false">
      <c r="A14" s="0" t="s">
        <v>107</v>
      </c>
      <c r="C14" s="4" t="n">
        <f aca="false">Assumptions!C19</f>
        <v>27</v>
      </c>
      <c r="D14" s="4" t="n">
        <f aca="false">Assumptions!D19</f>
        <v>29</v>
      </c>
      <c r="E14" s="4" t="n">
        <f aca="false">Assumptions!E19</f>
        <v>32</v>
      </c>
      <c r="F14" s="4" t="n">
        <f aca="false">Assumptions!F19</f>
        <v>35</v>
      </c>
      <c r="G14" s="4" t="n">
        <f aca="false">Assumptions!G19</f>
        <v>36</v>
      </c>
      <c r="H14" s="4" t="n">
        <f aca="false">Assumptions!H19</f>
        <v>36</v>
      </c>
      <c r="I14" s="4" t="n">
        <f aca="false">Assumptions!I19</f>
        <v>36</v>
      </c>
      <c r="J14" s="4" t="n">
        <f aca="false">Assumptions!J19</f>
        <v>36</v>
      </c>
      <c r="K14" s="4" t="n">
        <f aca="false">Assumptions!K19</f>
        <v>36</v>
      </c>
      <c r="L14" s="4" t="n">
        <f aca="false">Assumptions!L19</f>
        <v>36</v>
      </c>
    </row>
    <row r="15" customFormat="false" ht="15" hidden="false" customHeight="false" outlineLevel="0" collapsed="false">
      <c r="A15" s="0" t="s">
        <v>122</v>
      </c>
      <c r="C15" s="0" t="n">
        <f aca="false">C13-MAX(0,C13)*C14/100</f>
        <v>1373.6362185</v>
      </c>
      <c r="D15" s="0" t="n">
        <f aca="false">D13-MAX(0,D13)*D14/100</f>
        <v>1056.834952572</v>
      </c>
      <c r="E15" s="0" t="n">
        <f aca="false">E13-MAX(0,E13)*E14/100</f>
        <v>1183.68710672016</v>
      </c>
      <c r="F15" s="0" t="n">
        <f aca="false">F13-MAX(0,F13)*F14/100</f>
        <v>1281.2230919255</v>
      </c>
      <c r="G15" s="0" t="n">
        <f aca="false">G13-MAX(0,G13)*G14/100</f>
        <v>1299.35732645737</v>
      </c>
      <c r="H15" s="0" t="n">
        <f aca="false">H13-MAX(0,H13)*H14/100</f>
        <v>1287.61412681052</v>
      </c>
      <c r="I15" s="0" t="n">
        <f aca="false">I13-MAX(0,I13)*I14/100</f>
        <v>1275.50612743809</v>
      </c>
      <c r="J15" s="0" t="n">
        <f aca="false">J13-MAX(0,J13)*J14/100</f>
        <v>1249.20703202699</v>
      </c>
      <c r="K15" s="0" t="n">
        <f aca="false">K13-MAX(0,K13)*K14/100</f>
        <v>1222.9079366159</v>
      </c>
      <c r="L15" s="0" t="n">
        <f aca="false">L13-MAX(0,L13)*L14/100</f>
        <v>1222.9079366159</v>
      </c>
    </row>
    <row r="16" customFormat="false" ht="15" hidden="false" customHeight="false" outlineLevel="0" collapsed="false">
      <c r="A16" s="0" t="s">
        <v>123</v>
      </c>
      <c r="C16" s="0" t="n">
        <f aca="false">-C12</f>
        <v>122.22966</v>
      </c>
      <c r="D16" s="0" t="n">
        <f aca="false">-D12</f>
        <v>147.96222</v>
      </c>
      <c r="E16" s="0" t="n">
        <f aca="false">-E12</f>
        <v>226.97404548</v>
      </c>
      <c r="F16" s="0" t="n">
        <f aca="false">-F12</f>
        <v>273.7656179328</v>
      </c>
      <c r="G16" s="0" t="n">
        <f aca="false">-G12</f>
        <v>281.978586470784</v>
      </c>
      <c r="H16" s="0" t="n">
        <f aca="false">-H12</f>
        <v>284.798372335492</v>
      </c>
      <c r="I16" s="0" t="n">
        <f aca="false">-I12</f>
        <v>287.646356058847</v>
      </c>
      <c r="J16" s="0" t="n">
        <f aca="false">-J12</f>
        <v>287.646356058847</v>
      </c>
      <c r="K16" s="0" t="n">
        <f aca="false">-K12</f>
        <v>287.646356058847</v>
      </c>
      <c r="L16" s="0" t="n">
        <f aca="false">-L12</f>
        <v>287.646356058847</v>
      </c>
    </row>
    <row r="17" customFormat="false" ht="15" hidden="false" customHeight="false" outlineLevel="0" collapsed="false">
      <c r="A17" s="0" t="s">
        <v>124</v>
      </c>
      <c r="C17" s="4" t="n">
        <f aca="false">-C6*Assumptions!C18/100</f>
        <v>-1415.2908</v>
      </c>
      <c r="D17" s="4" t="n">
        <f aca="false">-D6*Assumptions!D18/100</f>
        <v>-769.403544</v>
      </c>
      <c r="E17" s="4" t="n">
        <f aca="false">-E6*Assumptions!E18/100</f>
        <v>-453.94809096</v>
      </c>
      <c r="F17" s="4" t="n">
        <f aca="false">-F6*Assumptions!F18/100</f>
        <v>-351.9843659136</v>
      </c>
      <c r="G17" s="4" t="n">
        <f aca="false">-G6*Assumptions!G18/100</f>
        <v>-322.261241680896</v>
      </c>
      <c r="H17" s="4" t="n">
        <f aca="false">-H6*Assumptions!H18/100</f>
        <v>-325.483854097705</v>
      </c>
      <c r="I17" s="4" t="n">
        <f aca="false">-I6*Assumptions!I18/100</f>
        <v>-328.738692638682</v>
      </c>
      <c r="J17" s="4" t="n">
        <f aca="false">-J6*Assumptions!J18/100</f>
        <v>-328.738692638682</v>
      </c>
      <c r="K17" s="4" t="n">
        <f aca="false">-K6*Assumptions!K18/100</f>
        <v>-328.738692638682</v>
      </c>
      <c r="L17" s="4" t="n">
        <f aca="false">-L6*Assumptions!L18/100</f>
        <v>-328.738692638682</v>
      </c>
    </row>
    <row r="18" customFormat="false" ht="15" hidden="false" customHeight="false" outlineLevel="0" collapsed="false">
      <c r="A18" s="0" t="s">
        <v>125</v>
      </c>
      <c r="C18" s="4" t="n">
        <f aca="false">(C6-B6)*Assumptions!$B$23/100</f>
        <v>28.3815</v>
      </c>
      <c r="D18" s="4" t="n">
        <f aca="false">(D6-C6)*Assumptions!$B$23/100</f>
        <v>12.86628</v>
      </c>
      <c r="E18" s="4" t="n">
        <f aca="false">(E6-D6)*Assumptions!$B$23/100</f>
        <v>-26.6331996</v>
      </c>
      <c r="F18" s="4" t="n">
        <f aca="false">(F6-E6)*Assumptions!$B$23/100</f>
        <v>-20.951450352</v>
      </c>
      <c r="G18" s="4" t="n">
        <f aca="false">(G6-F6)*Assumptions!$B$23/100</f>
        <v>-5.86640609856002</v>
      </c>
      <c r="H18" s="4" t="n">
        <f aca="false">(H6-G6)*Assumptions!$B$23/100</f>
        <v>-2.0141327605056</v>
      </c>
      <c r="I18" s="4" t="n">
        <f aca="false">(I6-H6)*Assumptions!$B$23/100</f>
        <v>-2.03427408811067</v>
      </c>
      <c r="J18" s="4" t="n">
        <f aca="false">(J6-I6)*Assumptions!$B$23/100</f>
        <v>-0</v>
      </c>
      <c r="K18" s="4" t="n">
        <f aca="false">(K6-J6)*Assumptions!$B$23/100</f>
        <v>-0</v>
      </c>
      <c r="L18" s="4" t="n">
        <f aca="false">(L6-K6)*Assumptions!$B$23/100</f>
        <v>-0</v>
      </c>
    </row>
    <row r="19" customFormat="false" ht="15" hidden="false" customHeight="false" outlineLevel="0" collapsed="false">
      <c r="A19" s="0" t="s">
        <v>126</v>
      </c>
      <c r="C19" s="0" t="n">
        <f aca="false">C15+C16+C17+C18</f>
        <v>108.9565785</v>
      </c>
      <c r="D19" s="0" t="n">
        <f aca="false">D15+D16+D17+D18</f>
        <v>448.259908572</v>
      </c>
      <c r="E19" s="0" t="n">
        <f aca="false">E15+E16+E17+E18</f>
        <v>930.07986164016</v>
      </c>
      <c r="F19" s="0" t="n">
        <f aca="false">F15+F16+F17+F18</f>
        <v>1182.0528935927</v>
      </c>
      <c r="G19" s="0" t="n">
        <f aca="false">G15+G16+G17+G18</f>
        <v>1253.2082651487</v>
      </c>
      <c r="H19" s="0" t="n">
        <f aca="false">H15+H16+H17+H18</f>
        <v>1244.9145122878</v>
      </c>
      <c r="I19" s="0" t="n">
        <f aca="false">I15+I16+I17+I18</f>
        <v>1232.37951677014</v>
      </c>
      <c r="J19" s="0" t="n">
        <f aca="false">J15+J16+J17+J18</f>
        <v>1208.11469544716</v>
      </c>
      <c r="K19" s="0" t="n">
        <f aca="false">K15+K16+K17+K18</f>
        <v>1181.81560003606</v>
      </c>
      <c r="L19" s="0" t="n">
        <f aca="false">L15+L16+L17+L18</f>
        <v>1181.81560003606</v>
      </c>
    </row>
    <row r="20" customFormat="false" ht="15" hidden="false" customHeight="false" outlineLevel="0" collapsed="false">
      <c r="A20" s="0" t="s">
        <v>127</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128</v>
      </c>
      <c r="C21" s="0" t="n">
        <f aca="false">C19*C20</f>
        <v>99.5037246575343</v>
      </c>
      <c r="D21" s="0" t="n">
        <f aca="false">D19*D20</f>
        <v>373.853679924939</v>
      </c>
      <c r="E21" s="0" t="n">
        <f aca="false">E19*E20</f>
        <v>708.398908694867</v>
      </c>
      <c r="F21" s="0" t="n">
        <f aca="false">F19*F20</f>
        <v>822.205606321036</v>
      </c>
      <c r="G21" s="0" t="n">
        <f aca="false">G19*G20</f>
        <v>796.072560382341</v>
      </c>
      <c r="H21" s="0" t="n">
        <f aca="false">H19*H20</f>
        <v>722.19556083661</v>
      </c>
      <c r="I21" s="0" t="n">
        <f aca="false">I19*I20</f>
        <v>652.898449305965</v>
      </c>
      <c r="J21" s="0" t="n">
        <f aca="false">J19*J20</f>
        <v>584.514398452247</v>
      </c>
      <c r="K21" s="0" t="n">
        <f aca="false">K19*K20</f>
        <v>522.182899993372</v>
      </c>
      <c r="L21" s="0" t="n">
        <f aca="false">L19*L20</f>
        <v>476.87936072454</v>
      </c>
    </row>
    <row r="23" customFormat="false" ht="15" hidden="false" customHeight="false" outlineLevel="0" collapsed="false">
      <c r="A23" s="0" t="s">
        <v>104</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Assumptions!$B$20</f>
        <v>9.5</v>
      </c>
    </row>
    <row r="28" customFormat="false" ht="15" hidden="false" customHeight="false" outlineLevel="0" collapsed="false">
      <c r="A28" s="0" t="s">
        <v>109</v>
      </c>
      <c r="B28" s="4" t="n">
        <f aca="false">Assumptions!$B$21</f>
        <v>0.5</v>
      </c>
    </row>
    <row r="29" customFormat="false" ht="15" hidden="false" customHeight="false" outlineLevel="0" collapsed="false">
      <c r="A29" s="0" t="s">
        <v>110</v>
      </c>
      <c r="B29" s="4" t="n">
        <f aca="false">Assumptions!$B$22</f>
        <v>11</v>
      </c>
    </row>
    <row r="30" customFormat="false" ht="15" hidden="false" customHeight="false" outlineLevel="0" collapsed="false">
      <c r="A30" s="0" t="s">
        <v>131</v>
      </c>
      <c r="B30" s="0" t="n">
        <f aca="false">SUM(C21:L21)</f>
        <v>5758.70514929345</v>
      </c>
    </row>
    <row r="31" customFormat="false" ht="15" hidden="false" customHeight="false" outlineLevel="0" collapsed="false">
      <c r="A31" s="0" t="s">
        <v>132</v>
      </c>
      <c r="B31" s="0" t="n">
        <f aca="false">L19</f>
        <v>1181.81560003606</v>
      </c>
    </row>
    <row r="32" customFormat="false" ht="15" hidden="false" customHeight="false" outlineLevel="0" collapsed="false">
      <c r="A32" s="0" t="s">
        <v>133</v>
      </c>
      <c r="B32" s="0" t="n">
        <f aca="false">IF(B27&gt;B28,B31*(1+B28/100)/((B27-B28)/100),B31*B29)</f>
        <v>13196.9408670694</v>
      </c>
    </row>
    <row r="33" customFormat="false" ht="15" hidden="false" customHeight="false" outlineLevel="0" collapsed="false">
      <c r="A33" s="0" t="s">
        <v>134</v>
      </c>
      <c r="B33" s="0" t="n">
        <f aca="false">B31*B29</f>
        <v>12999.9716003967</v>
      </c>
    </row>
    <row r="34" customFormat="false" ht="15" hidden="false" customHeight="false" outlineLevel="0" collapsed="false">
      <c r="A34" s="0" t="s">
        <v>135</v>
      </c>
      <c r="B34" s="0" t="n">
        <f aca="false">MAX(0,MIN(B32,B33))</f>
        <v>12999.9716003967</v>
      </c>
    </row>
    <row r="35" customFormat="false" ht="15" hidden="false" customHeight="false" outlineLevel="0" collapsed="false">
      <c r="A35" s="0" t="s">
        <v>136</v>
      </c>
      <c r="B35" s="0" t="n">
        <f aca="false">B34/(1+B27/100)^L4</f>
        <v>5245.67296796994</v>
      </c>
    </row>
    <row r="36" customFormat="false" ht="15" hidden="false" customHeight="false" outlineLevel="0" collapsed="false">
      <c r="A36" s="0" t="s">
        <v>137</v>
      </c>
      <c r="B36" s="0" t="n">
        <f aca="false">B30+B35</f>
        <v>11004.3781172634</v>
      </c>
    </row>
    <row r="37" customFormat="false" ht="15" hidden="false" customHeight="false" outlineLevel="0" collapsed="false">
      <c r="A37" s="0" t="s">
        <v>138</v>
      </c>
      <c r="B37" s="0" t="n">
        <f aca="false">B36+Assumptions!$B$5-Assumptions!$B$4</f>
        <v>13192.5781172634</v>
      </c>
    </row>
    <row r="38" customFormat="false" ht="15" hidden="false" customHeight="false" outlineLevel="0" collapsed="false">
      <c r="A38" s="0" t="s">
        <v>139</v>
      </c>
      <c r="B38" s="0" t="n">
        <f aca="false">B37/Assumptions!$B$3*Assumptions!$B$10</f>
        <v>3.49491770687097</v>
      </c>
    </row>
    <row r="39" customFormat="false" ht="15" hidden="false" customHeight="false" outlineLevel="0" collapsed="false">
      <c r="A39" s="0" t="s">
        <v>140</v>
      </c>
      <c r="B39" s="4" t="n">
        <f aca="false">B38/Assumptions!$B$2-1</f>
        <v>-0.706309436397397</v>
      </c>
    </row>
    <row r="41" customFormat="false" ht="15" hidden="false" customHeight="false" outlineLevel="0" collapsed="false">
      <c r="A41" s="0" t="s">
        <v>141</v>
      </c>
      <c r="B41" s="0" t="n">
        <f aca="false">SUMPRODUCT(-C10:L10/(1+$B$27/100)^C4:L4)</f>
        <v>137.97773153798</v>
      </c>
    </row>
    <row r="42" customFormat="false" ht="15" hidden="false" customHeight="false" outlineLevel="0" collapsed="false">
      <c r="A42" s="0" t="s">
        <v>142</v>
      </c>
      <c r="B42" s="0" t="n">
        <f aca="false">IF(B27&gt;B28,-L10*(1+B28/100)/((B27-B28)/100),-L10*20)/(1+B27/100)^L4</f>
        <v>92.5791526673163</v>
      </c>
    </row>
    <row r="43" customFormat="false" ht="15" hidden="false" customHeight="false" outlineLevel="0" collapsed="false">
      <c r="A43" s="0" t="s">
        <v>143</v>
      </c>
      <c r="B43" s="0" t="n">
        <f aca="false">(B37+B41+B42)/Assumptions!$B$3*Assumptions!$B$10</f>
        <v>3.55599578652211</v>
      </c>
    </row>
    <row r="45" customFormat="false" ht="15" hidden="false" customHeight="false" outlineLevel="0" collapsed="false">
      <c r="A45" s="0" t="s">
        <v>83</v>
      </c>
      <c r="B45" s="4" t="n">
        <f aca="false">Assumptions!$B$6</f>
        <v>15</v>
      </c>
    </row>
    <row r="46" customFormat="false" ht="15" hidden="false" customHeight="false" outlineLevel="0" collapsed="false">
      <c r="A46" s="0" t="s">
        <v>144</v>
      </c>
      <c r="B46" s="0" t="n">
        <f aca="false">MAX(0,MIN(IF(B45&gt;B28,B31*(1+B28/100)/((B45-B28)/100),B31*B29),B31*B29))</f>
        <v>8191.20467611202</v>
      </c>
    </row>
    <row r="47" customFormat="false" ht="15" hidden="false" customHeight="false" outlineLevel="0" collapsed="false">
      <c r="A47" s="0" t="s">
        <v>145</v>
      </c>
      <c r="B47" s="0" t="n">
        <f aca="false">(SUMPRODUCT(C19:L19/(1+B45/100)^C4:L4)+B46/(1+B45/100)^L4+Assumptions!$B$5-Assumptions!$B$4)/Assumptions!$B$3*Assumptions!$B$10</f>
        <v>2.27339859195514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86</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-8</v>
      </c>
      <c r="D5" s="4" t="n">
        <f aca="false">Assumptions!D27</f>
        <v>30</v>
      </c>
      <c r="E5" s="4" t="n">
        <f aca="false">Assumptions!E27</f>
        <v>28</v>
      </c>
      <c r="F5" s="4" t="n">
        <f aca="false">Assumptions!F27</f>
        <v>12</v>
      </c>
      <c r="G5" s="4" t="n">
        <f aca="false">Assumptions!G27</f>
        <v>4</v>
      </c>
      <c r="H5" s="4" t="n">
        <f aca="false">Assumptions!H27</f>
        <v>2</v>
      </c>
      <c r="I5" s="4" t="n">
        <f aca="false">Assumptions!I27</f>
        <v>2</v>
      </c>
      <c r="J5" s="4" t="n">
        <f aca="false">Assumptions!J27</f>
        <v>1.5</v>
      </c>
      <c r="K5" s="4" t="n">
        <f aca="false">Assumptions!K27</f>
        <v>1</v>
      </c>
      <c r="L5" s="4" t="n">
        <f aca="false">Assumptions!L27</f>
        <v>1</v>
      </c>
    </row>
    <row r="6" customFormat="false" ht="15" hidden="false" customHeight="false" outlineLevel="0" collapsed="false">
      <c r="A6" s="0" t="s">
        <v>38</v>
      </c>
      <c r="B6" s="3" t="n">
        <v>3784.2</v>
      </c>
      <c r="C6" s="0" t="n">
        <f aca="false">B6*(1+C5/100)</f>
        <v>3481.464</v>
      </c>
      <c r="D6" s="0" t="n">
        <f aca="false">C6*(1+D5/100)</f>
        <v>4525.9032</v>
      </c>
      <c r="E6" s="0" t="n">
        <f aca="false">D6*(1+E5/100)</f>
        <v>5793.156096</v>
      </c>
      <c r="F6" s="0" t="n">
        <f aca="false">E6*(1+F5/100)</f>
        <v>6488.33482752</v>
      </c>
      <c r="G6" s="0" t="n">
        <f aca="false">F6*(1+G5/100)</f>
        <v>6747.8682206208</v>
      </c>
      <c r="H6" s="0" t="n">
        <f aca="false">G6*(1+H5/100)</f>
        <v>6882.82558503322</v>
      </c>
      <c r="I6" s="0" t="n">
        <f aca="false">H6*(1+I5/100)</f>
        <v>7020.48209673388</v>
      </c>
      <c r="J6" s="0" t="n">
        <f aca="false">I6*(1+J5/100)</f>
        <v>7125.78932818489</v>
      </c>
      <c r="K6" s="0" t="n">
        <f aca="false">J6*(1+K5/100)</f>
        <v>7197.04722146674</v>
      </c>
      <c r="L6" s="0" t="n">
        <f aca="false">K6*(1+L5/100)</f>
        <v>7269.0176936814</v>
      </c>
    </row>
    <row r="7" customFormat="false" ht="15" hidden="false" customHeight="false" outlineLevel="0" collapsed="false">
      <c r="A7" s="0" t="s">
        <v>102</v>
      </c>
      <c r="C7" s="4" t="n">
        <f aca="false">Assumptions!C28</f>
        <v>68</v>
      </c>
      <c r="D7" s="4" t="n">
        <f aca="false">Assumptions!D28</f>
        <v>67</v>
      </c>
      <c r="E7" s="4" t="n">
        <f aca="false">Assumptions!E28</f>
        <v>68</v>
      </c>
      <c r="F7" s="4" t="n">
        <f aca="false">Assumptions!F28</f>
        <v>68</v>
      </c>
      <c r="G7" s="4" t="n">
        <f aca="false">Assumptions!G28</f>
        <v>68</v>
      </c>
      <c r="H7" s="4" t="n">
        <f aca="false">Assumptions!H28</f>
        <v>67</v>
      </c>
      <c r="I7" s="4" t="n">
        <f aca="false">Assumptions!I28</f>
        <v>66</v>
      </c>
      <c r="J7" s="4" t="n">
        <f aca="false">Assumptions!J28</f>
        <v>65</v>
      </c>
      <c r="K7" s="4" t="n">
        <f aca="false">Assumptions!K28</f>
        <v>64</v>
      </c>
      <c r="L7" s="4" t="n">
        <f aca="false">Assumptions!L28</f>
        <v>64</v>
      </c>
    </row>
    <row r="8" customFormat="false" ht="15" hidden="false" customHeight="false" outlineLevel="0" collapsed="false">
      <c r="A8" s="0" t="s">
        <v>44</v>
      </c>
      <c r="C8" s="0" t="n">
        <f aca="false">C6*C7/100</f>
        <v>2367.39552</v>
      </c>
      <c r="D8" s="0" t="n">
        <f aca="false">D6*D7/100</f>
        <v>3032.355144</v>
      </c>
      <c r="E8" s="0" t="n">
        <f aca="false">E6*E7/100</f>
        <v>3939.34614528</v>
      </c>
      <c r="F8" s="0" t="n">
        <f aca="false">F6*F7/100</f>
        <v>4412.0676827136</v>
      </c>
      <c r="G8" s="0" t="n">
        <f aca="false">G6*G7/100</f>
        <v>4588.55039002215</v>
      </c>
      <c r="H8" s="0" t="n">
        <f aca="false">H6*H7/100</f>
        <v>4611.49314197226</v>
      </c>
      <c r="I8" s="0" t="n">
        <f aca="false">I6*I7/100</f>
        <v>4633.51818384436</v>
      </c>
      <c r="J8" s="0" t="n">
        <f aca="false">J6*J7/100</f>
        <v>4631.76306332018</v>
      </c>
      <c r="K8" s="0" t="n">
        <f aca="false">K6*K7/100</f>
        <v>4606.11022173871</v>
      </c>
      <c r="L8" s="0" t="n">
        <f aca="false">L6*L7/100</f>
        <v>4652.1713239561</v>
      </c>
    </row>
    <row r="9" customFormat="false" ht="15" hidden="false" customHeight="false" outlineLevel="0" collapsed="false">
      <c r="A9" s="0" t="s">
        <v>103</v>
      </c>
      <c r="C9" s="4" t="n">
        <f aca="false">Assumptions!C29</f>
        <v>0.7</v>
      </c>
      <c r="D9" s="4" t="n">
        <f aca="false">Assumptions!D29</f>
        <v>0.7</v>
      </c>
      <c r="E9" s="4" t="n">
        <f aca="false">Assumptions!E29</f>
        <v>0.65</v>
      </c>
      <c r="F9" s="4" t="n">
        <f aca="false">Assumptions!F29</f>
        <v>0.6</v>
      </c>
      <c r="G9" s="4" t="n">
        <f aca="false">Assumptions!G29</f>
        <v>0.6</v>
      </c>
      <c r="H9" s="4" t="n">
        <f aca="false">Assumptions!H29</f>
        <v>0.55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118</v>
      </c>
      <c r="C10" s="0" t="n">
        <f aca="false">-C6*C9/100</f>
        <v>-24.370248</v>
      </c>
      <c r="D10" s="0" t="n">
        <f aca="false">-D6*D9/100</f>
        <v>-31.6813224</v>
      </c>
      <c r="E10" s="0" t="n">
        <f aca="false">-E6*E9/100</f>
        <v>-37.655514624</v>
      </c>
      <c r="F10" s="0" t="n">
        <f aca="false">-F6*F9/100</f>
        <v>-38.93000896512</v>
      </c>
      <c r="G10" s="0" t="n">
        <f aca="false">-G6*G9/100</f>
        <v>-40.4872093237248</v>
      </c>
      <c r="H10" s="0" t="n">
        <f aca="false">-H6*H9/100</f>
        <v>-37.8555407176827</v>
      </c>
      <c r="I10" s="0" t="n">
        <f aca="false">-I6*I9/100</f>
        <v>-35.1024104836694</v>
      </c>
      <c r="J10" s="0" t="n">
        <f aca="false">-J6*J9/100</f>
        <v>-35.6289466409244</v>
      </c>
      <c r="K10" s="0" t="n">
        <f aca="false">-K6*K9/100</f>
        <v>-35.9852361073337</v>
      </c>
      <c r="L10" s="0" t="n">
        <f aca="false">-L6*L9/100</f>
        <v>-36.345088468407</v>
      </c>
    </row>
    <row r="11" customFormat="false" ht="15" hidden="false" customHeight="false" outlineLevel="0" collapsed="false">
      <c r="A11" s="0" t="s">
        <v>119</v>
      </c>
      <c r="C11" s="0" t="n">
        <f aca="false">C8+C10+C24</f>
        <v>2343.025272</v>
      </c>
      <c r="D11" s="0" t="n">
        <f aca="false">D8+D10+D24</f>
        <v>3000.6738216</v>
      </c>
      <c r="E11" s="0" t="n">
        <f aca="false">E8+E10+E24</f>
        <v>3901.690630656</v>
      </c>
      <c r="F11" s="0" t="n">
        <f aca="false">F8+F10+F24</f>
        <v>4373.13767374848</v>
      </c>
      <c r="G11" s="0" t="n">
        <f aca="false">G8+G10+G24</f>
        <v>4548.06318069842</v>
      </c>
      <c r="H11" s="0" t="n">
        <f aca="false">H8+H10+H24</f>
        <v>4573.63760125457</v>
      </c>
      <c r="I11" s="0" t="n">
        <f aca="false">I8+I10+I24</f>
        <v>4598.41577336069</v>
      </c>
      <c r="J11" s="0" t="n">
        <f aca="false">J8+J10+J24</f>
        <v>4596.13411667925</v>
      </c>
      <c r="K11" s="0" t="n">
        <f aca="false">K8+K10+K24</f>
        <v>4570.12498563138</v>
      </c>
      <c r="L11" s="0" t="n">
        <f aca="false">L8+L10+L24</f>
        <v>4615.82623548769</v>
      </c>
    </row>
    <row r="12" customFormat="false" ht="15" hidden="false" customHeight="false" outlineLevel="0" collapsed="false">
      <c r="A12" s="0" t="s">
        <v>120</v>
      </c>
      <c r="C12" s="4" t="n">
        <f aca="false">-C6*Assumptions!C31/100</f>
        <v>-121.85124</v>
      </c>
      <c r="D12" s="4" t="n">
        <f aca="false">-D6*Assumptions!D31/100</f>
        <v>-203.665644</v>
      </c>
      <c r="E12" s="4" t="n">
        <f aca="false">-E6*Assumptions!E31/100</f>
        <v>-318.62358528</v>
      </c>
      <c r="F12" s="4" t="n">
        <f aca="false">-F6*Assumptions!F31/100</f>
        <v>-389.3000896512</v>
      </c>
      <c r="G12" s="4" t="n">
        <f aca="false">-G6*Assumptions!G31/100</f>
        <v>-404.872093237248</v>
      </c>
      <c r="H12" s="4" t="n">
        <f aca="false">-H6*Assumptions!H31/100</f>
        <v>-412.969535101993</v>
      </c>
      <c r="I12" s="4" t="n">
        <f aca="false">-I6*Assumptions!I31/100</f>
        <v>-421.228925804033</v>
      </c>
      <c r="J12" s="4" t="n">
        <f aca="false">-J6*Assumptions!J31/100</f>
        <v>-427.547359691093</v>
      </c>
      <c r="K12" s="4" t="n">
        <f aca="false">-K6*Assumptions!K31/100</f>
        <v>-431.822833288004</v>
      </c>
      <c r="L12" s="4" t="n">
        <f aca="false">-L6*Assumptions!L31/100</f>
        <v>-436.141061620884</v>
      </c>
    </row>
    <row r="13" customFormat="false" ht="15" hidden="false" customHeight="false" outlineLevel="0" collapsed="false">
      <c r="A13" s="0" t="s">
        <v>121</v>
      </c>
      <c r="C13" s="0" t="n">
        <f aca="false">C11+C12</f>
        <v>2221.174032</v>
      </c>
      <c r="D13" s="0" t="n">
        <f aca="false">D11+D12</f>
        <v>2797.0081776</v>
      </c>
      <c r="E13" s="0" t="n">
        <f aca="false">E11+E12</f>
        <v>3583.067045376</v>
      </c>
      <c r="F13" s="0" t="n">
        <f aca="false">F11+F12</f>
        <v>3983.83758409728</v>
      </c>
      <c r="G13" s="0" t="n">
        <f aca="false">G11+G12</f>
        <v>4143.19108746117</v>
      </c>
      <c r="H13" s="0" t="n">
        <f aca="false">H11+H12</f>
        <v>4160.66806615258</v>
      </c>
      <c r="I13" s="0" t="n">
        <f aca="false">I11+I12</f>
        <v>4177.18684755666</v>
      </c>
      <c r="J13" s="0" t="n">
        <f aca="false">J11+J12</f>
        <v>4168.58675698816</v>
      </c>
      <c r="K13" s="0" t="n">
        <f aca="false">K11+K12</f>
        <v>4138.30215234337</v>
      </c>
      <c r="L13" s="0" t="n">
        <f aca="false">L11+L12</f>
        <v>4179.68517386681</v>
      </c>
    </row>
    <row r="14" customFormat="false" ht="15" hidden="false" customHeight="false" outlineLevel="0" collapsed="false">
      <c r="A14" s="0" t="s">
        <v>107</v>
      </c>
      <c r="C14" s="4" t="n">
        <f aca="false">Assumptions!C33</f>
        <v>28</v>
      </c>
      <c r="D14" s="4" t="n">
        <f aca="false">Assumptions!D33</f>
        <v>31</v>
      </c>
      <c r="E14" s="4" t="n">
        <f aca="false">Assumptions!E33</f>
        <v>34</v>
      </c>
      <c r="F14" s="4" t="n">
        <f aca="false">Assumptions!F33</f>
        <v>37</v>
      </c>
      <c r="G14" s="4" t="n">
        <f aca="false">Assumptions!G33</f>
        <v>37</v>
      </c>
      <c r="H14" s="4" t="n">
        <f aca="false">Assumptions!H33</f>
        <v>37</v>
      </c>
      <c r="I14" s="4" t="n">
        <f aca="false">Assumptions!I33</f>
        <v>37</v>
      </c>
      <c r="J14" s="4" t="n">
        <f aca="false">Assumptions!J33</f>
        <v>37</v>
      </c>
      <c r="K14" s="4" t="n">
        <f aca="false">Assumptions!K33</f>
        <v>37</v>
      </c>
      <c r="L14" s="4" t="n">
        <f aca="false">Assumptions!L33</f>
        <v>37</v>
      </c>
    </row>
    <row r="15" customFormat="false" ht="15" hidden="false" customHeight="false" outlineLevel="0" collapsed="false">
      <c r="A15" s="0" t="s">
        <v>122</v>
      </c>
      <c r="C15" s="0" t="n">
        <f aca="false">C13-MAX(0,C13)*C14/100</f>
        <v>1599.24530304</v>
      </c>
      <c r="D15" s="0" t="n">
        <f aca="false">D13-MAX(0,D13)*D14/100</f>
        <v>1929.935642544</v>
      </c>
      <c r="E15" s="0" t="n">
        <f aca="false">E13-MAX(0,E13)*E14/100</f>
        <v>2364.82424994816</v>
      </c>
      <c r="F15" s="0" t="n">
        <f aca="false">F13-MAX(0,F13)*F14/100</f>
        <v>2509.81767798129</v>
      </c>
      <c r="G15" s="0" t="n">
        <f aca="false">G13-MAX(0,G13)*G14/100</f>
        <v>2610.21038510054</v>
      </c>
      <c r="H15" s="0" t="n">
        <f aca="false">H13-MAX(0,H13)*H14/100</f>
        <v>2621.22088167613</v>
      </c>
      <c r="I15" s="0" t="n">
        <f aca="false">I13-MAX(0,I13)*I14/100</f>
        <v>2631.6277139607</v>
      </c>
      <c r="J15" s="0" t="n">
        <f aca="false">J13-MAX(0,J13)*J14/100</f>
        <v>2626.20965690254</v>
      </c>
      <c r="K15" s="0" t="n">
        <f aca="false">K13-MAX(0,K13)*K14/100</f>
        <v>2607.13035597633</v>
      </c>
      <c r="L15" s="0" t="n">
        <f aca="false">L13-MAX(0,L13)*L14/100</f>
        <v>2633.20165953609</v>
      </c>
    </row>
    <row r="16" customFormat="false" ht="15" hidden="false" customHeight="false" outlineLevel="0" collapsed="false">
      <c r="A16" s="0" t="s">
        <v>123</v>
      </c>
      <c r="C16" s="0" t="n">
        <f aca="false">-C12</f>
        <v>121.85124</v>
      </c>
      <c r="D16" s="0" t="n">
        <f aca="false">-D12</f>
        <v>203.665644</v>
      </c>
      <c r="E16" s="0" t="n">
        <f aca="false">-E12</f>
        <v>318.62358528</v>
      </c>
      <c r="F16" s="0" t="n">
        <f aca="false">-F12</f>
        <v>389.3000896512</v>
      </c>
      <c r="G16" s="0" t="n">
        <f aca="false">-G12</f>
        <v>404.872093237248</v>
      </c>
      <c r="H16" s="0" t="n">
        <f aca="false">-H12</f>
        <v>412.969535101993</v>
      </c>
      <c r="I16" s="0" t="n">
        <f aca="false">-I12</f>
        <v>421.228925804033</v>
      </c>
      <c r="J16" s="0" t="n">
        <f aca="false">-J12</f>
        <v>427.547359691093</v>
      </c>
      <c r="K16" s="0" t="n">
        <f aca="false">-K12</f>
        <v>431.822833288004</v>
      </c>
      <c r="L16" s="0" t="n">
        <f aca="false">-L12</f>
        <v>436.141061620884</v>
      </c>
    </row>
    <row r="17" customFormat="false" ht="15" hidden="false" customHeight="false" outlineLevel="0" collapsed="false">
      <c r="A17" s="0" t="s">
        <v>124</v>
      </c>
      <c r="C17" s="4" t="n">
        <f aca="false">-C6*Assumptions!C32/100</f>
        <v>-1392.5856</v>
      </c>
      <c r="D17" s="4" t="n">
        <f aca="false">-D6*Assumptions!D32/100</f>
        <v>-905.18064</v>
      </c>
      <c r="E17" s="4" t="n">
        <f aca="false">-E6*Assumptions!E32/100</f>
        <v>-637.24717056</v>
      </c>
      <c r="F17" s="4" t="n">
        <f aca="false">-F6*Assumptions!F32/100</f>
        <v>-519.0667862016</v>
      </c>
      <c r="G17" s="4" t="n">
        <f aca="false">-G6*Assumptions!G32/100</f>
        <v>-472.350775443456</v>
      </c>
      <c r="H17" s="4" t="n">
        <f aca="false">-H6*Assumptions!H32/100</f>
        <v>-481.797790952325</v>
      </c>
      <c r="I17" s="4" t="n">
        <f aca="false">-I6*Assumptions!I32/100</f>
        <v>-491.433746771372</v>
      </c>
      <c r="J17" s="4" t="n">
        <f aca="false">-J6*Assumptions!J32/100</f>
        <v>-498.805252972942</v>
      </c>
      <c r="K17" s="4" t="n">
        <f aca="false">-K6*Assumptions!K32/100</f>
        <v>-503.793305502672</v>
      </c>
      <c r="L17" s="4" t="n">
        <f aca="false">-L6*Assumptions!L32/100</f>
        <v>-508.831238557698</v>
      </c>
    </row>
    <row r="18" customFormat="false" ht="15" hidden="false" customHeight="false" outlineLevel="0" collapsed="false">
      <c r="A18" s="0" t="s">
        <v>125</v>
      </c>
      <c r="C18" s="4" t="n">
        <f aca="false">(C6-B6)*Assumptions!$B$37/100</f>
        <v>15.1368</v>
      </c>
      <c r="D18" s="4" t="n">
        <f aca="false">(D6-C6)*Assumptions!$B$37/100</f>
        <v>-52.22196</v>
      </c>
      <c r="E18" s="4" t="n">
        <f aca="false">(E6-D6)*Assumptions!$B$37/100</f>
        <v>-63.3626448</v>
      </c>
      <c r="F18" s="4" t="n">
        <f aca="false">(F6-E6)*Assumptions!$B$37/100</f>
        <v>-34.758936576</v>
      </c>
      <c r="G18" s="4" t="n">
        <f aca="false">(G6-F6)*Assumptions!$B$37/100</f>
        <v>-12.97666965504</v>
      </c>
      <c r="H18" s="4" t="n">
        <f aca="false">(H6-G6)*Assumptions!$B$37/100</f>
        <v>-6.74786822062079</v>
      </c>
      <c r="I18" s="4" t="n">
        <f aca="false">(I6-H6)*Assumptions!$B$37/100</f>
        <v>-6.88282558503324</v>
      </c>
      <c r="J18" s="4" t="n">
        <f aca="false">(J6-I6)*Assumptions!$B$37/100</f>
        <v>-5.26536157255036</v>
      </c>
      <c r="K18" s="4" t="n">
        <f aca="false">(K6-J6)*Assumptions!$B$37/100</f>
        <v>-3.56289466409244</v>
      </c>
      <c r="L18" s="4" t="n">
        <f aca="false">(L6-K6)*Assumptions!$B$37/100</f>
        <v>-3.59852361073335</v>
      </c>
    </row>
    <row r="19" customFormat="false" ht="15" hidden="false" customHeight="false" outlineLevel="0" collapsed="false">
      <c r="A19" s="0" t="s">
        <v>126</v>
      </c>
      <c r="C19" s="0" t="n">
        <f aca="false">C15+C16+C17+C18</f>
        <v>343.64774304</v>
      </c>
      <c r="D19" s="0" t="n">
        <f aca="false">D15+D16+D17+D18</f>
        <v>1176.198686544</v>
      </c>
      <c r="E19" s="0" t="n">
        <f aca="false">E15+E16+E17+E18</f>
        <v>1982.83801986816</v>
      </c>
      <c r="F19" s="0" t="n">
        <f aca="false">F15+F16+F17+F18</f>
        <v>2345.29204485489</v>
      </c>
      <c r="G19" s="0" t="n">
        <f aca="false">G15+G16+G17+G18</f>
        <v>2529.75503323929</v>
      </c>
      <c r="H19" s="0" t="n">
        <f aca="false">H15+H16+H17+H18</f>
        <v>2545.64475760517</v>
      </c>
      <c r="I19" s="0" t="n">
        <f aca="false">I15+I16+I17+I18</f>
        <v>2554.54006740832</v>
      </c>
      <c r="J19" s="0" t="n">
        <f aca="false">J15+J16+J17+J18</f>
        <v>2549.68640204814</v>
      </c>
      <c r="K19" s="0" t="n">
        <f aca="false">K15+K16+K17+K18</f>
        <v>2531.59698909757</v>
      </c>
      <c r="L19" s="0" t="n">
        <f aca="false">L15+L16+L17+L18</f>
        <v>2556.91295898854</v>
      </c>
    </row>
    <row r="20" customFormat="false" ht="15" hidden="false" customHeight="false" outlineLevel="0" collapsed="false">
      <c r="A20" s="0" t="s">
        <v>127</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128</v>
      </c>
      <c r="C21" s="0" t="n">
        <f aca="false">C19*C20</f>
        <v>313.833555287671</v>
      </c>
      <c r="D21" s="0" t="n">
        <f aca="false">D19*D20</f>
        <v>980.962604235942</v>
      </c>
      <c r="E21" s="0" t="n">
        <f aca="false">E19*E20</f>
        <v>1510.23621446471</v>
      </c>
      <c r="F21" s="0" t="n">
        <f aca="false">F19*F20</f>
        <v>1631.32485711274</v>
      </c>
      <c r="G21" s="0" t="n">
        <f aca="false">G19*G20</f>
        <v>1606.97038349963</v>
      </c>
      <c r="H21" s="0" t="n">
        <f aca="false">H19*H20</f>
        <v>1476.77075434753</v>
      </c>
      <c r="I21" s="0" t="n">
        <f aca="false">I19*I20</f>
        <v>1353.36170879569</v>
      </c>
      <c r="J21" s="0" t="n">
        <f aca="false">J19*J20</f>
        <v>1233.5984481866</v>
      </c>
      <c r="K21" s="0" t="n">
        <f aca="false">K19*K20</f>
        <v>1118.58115372747</v>
      </c>
      <c r="L21" s="0" t="n">
        <f aca="false">L19*L20</f>
        <v>1031.75065320981</v>
      </c>
    </row>
    <row r="23" customFormat="false" ht="15" hidden="false" customHeight="false" outlineLevel="0" collapsed="false">
      <c r="A23" s="0" t="s">
        <v>104</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Assumptions!$B$34</f>
        <v>9.5</v>
      </c>
    </row>
    <row r="28" customFormat="false" ht="15" hidden="false" customHeight="false" outlineLevel="0" collapsed="false">
      <c r="A28" s="0" t="s">
        <v>109</v>
      </c>
      <c r="B28" s="4" t="n">
        <f aca="false">Assumptions!$B$35</f>
        <v>1</v>
      </c>
    </row>
    <row r="29" customFormat="false" ht="15" hidden="false" customHeight="false" outlineLevel="0" collapsed="false">
      <c r="A29" s="0" t="s">
        <v>110</v>
      </c>
      <c r="B29" s="4" t="n">
        <f aca="false">Assumptions!$B$36</f>
        <v>11</v>
      </c>
    </row>
    <row r="30" customFormat="false" ht="15" hidden="false" customHeight="false" outlineLevel="0" collapsed="false">
      <c r="A30" s="0" t="s">
        <v>131</v>
      </c>
      <c r="B30" s="0" t="n">
        <f aca="false">SUM(C21:L21)</f>
        <v>12257.3903328678</v>
      </c>
    </row>
    <row r="31" customFormat="false" ht="15" hidden="false" customHeight="false" outlineLevel="0" collapsed="false">
      <c r="A31" s="0" t="s">
        <v>132</v>
      </c>
      <c r="B31" s="0" t="n">
        <f aca="false">L19</f>
        <v>2556.91295898854</v>
      </c>
    </row>
    <row r="32" customFormat="false" ht="15" hidden="false" customHeight="false" outlineLevel="0" collapsed="false">
      <c r="A32" s="0" t="s">
        <v>133</v>
      </c>
      <c r="B32" s="0" t="n">
        <f aca="false">IF(B27&gt;B28,B31*(1+B28/100)/((B27-B28)/100),B31*B29)</f>
        <v>30382.1422185697</v>
      </c>
    </row>
    <row r="33" customFormat="false" ht="15" hidden="false" customHeight="false" outlineLevel="0" collapsed="false">
      <c r="A33" s="0" t="s">
        <v>134</v>
      </c>
      <c r="B33" s="0" t="n">
        <f aca="false">B31*B29</f>
        <v>28126.042548874</v>
      </c>
    </row>
    <row r="34" customFormat="false" ht="15" hidden="false" customHeight="false" outlineLevel="0" collapsed="false">
      <c r="A34" s="0" t="s">
        <v>135</v>
      </c>
      <c r="B34" s="0" t="n">
        <f aca="false">MAX(0,MIN(B32,B33))</f>
        <v>28126.042548874</v>
      </c>
    </row>
    <row r="35" customFormat="false" ht="15" hidden="false" customHeight="false" outlineLevel="0" collapsed="false">
      <c r="A35" s="0" t="s">
        <v>136</v>
      </c>
      <c r="B35" s="0" t="n">
        <f aca="false">B34/(1+B27/100)^L4</f>
        <v>11349.2571853079</v>
      </c>
    </row>
    <row r="36" customFormat="false" ht="15" hidden="false" customHeight="false" outlineLevel="0" collapsed="false">
      <c r="A36" s="0" t="s">
        <v>137</v>
      </c>
      <c r="B36" s="0" t="n">
        <f aca="false">B30+B35</f>
        <v>23606.6475181757</v>
      </c>
    </row>
    <row r="37" customFormat="false" ht="15" hidden="false" customHeight="false" outlineLevel="0" collapsed="false">
      <c r="A37" s="0" t="s">
        <v>138</v>
      </c>
      <c r="B37" s="0" t="n">
        <f aca="false">B36+Assumptions!$B$5-Assumptions!$B$4</f>
        <v>25794.8475181757</v>
      </c>
    </row>
    <row r="38" customFormat="false" ht="15" hidden="false" customHeight="false" outlineLevel="0" collapsed="false">
      <c r="A38" s="0" t="s">
        <v>139</v>
      </c>
      <c r="B38" s="0" t="n">
        <f aca="false">B37/Assumptions!$B$3*Assumptions!$B$10</f>
        <v>6.83345351727274</v>
      </c>
    </row>
    <row r="39" customFormat="false" ht="15" hidden="false" customHeight="false" outlineLevel="0" collapsed="false">
      <c r="A39" s="0" t="s">
        <v>140</v>
      </c>
      <c r="B39" s="4" t="n">
        <f aca="false">B38/Assumptions!$B$2-1</f>
        <v>-0.425760208632543</v>
      </c>
    </row>
    <row r="41" customFormat="false" ht="15" hidden="false" customHeight="false" outlineLevel="0" collapsed="false">
      <c r="A41" s="0" t="s">
        <v>141</v>
      </c>
      <c r="B41" s="0" t="n">
        <f aca="false">SUMPRODUCT(-C10:L10/(1+$B$27/100)^C4:L4)</f>
        <v>218.517593342473</v>
      </c>
    </row>
    <row r="42" customFormat="false" ht="15" hidden="false" customHeight="false" outlineLevel="0" collapsed="false">
      <c r="A42" s="0" t="s">
        <v>142</v>
      </c>
      <c r="B42" s="0" t="n">
        <f aca="false">IF(B27&gt;B28,-L10*(1+B28/100)/((B27-B28)/100),-L10*20)/(1+B27/100)^L4</f>
        <v>174.263722393594</v>
      </c>
    </row>
    <row r="43" customFormat="false" ht="15" hidden="false" customHeight="false" outlineLevel="0" collapsed="false">
      <c r="A43" s="0" t="s">
        <v>143</v>
      </c>
      <c r="B43" s="0" t="n">
        <f aca="false">(B37+B41+B42)/Assumptions!$B$3*Assumptions!$B$10</f>
        <v>6.93750735444485</v>
      </c>
    </row>
    <row r="45" customFormat="false" ht="15" hidden="false" customHeight="false" outlineLevel="0" collapsed="false">
      <c r="A45" s="0" t="s">
        <v>83</v>
      </c>
      <c r="B45" s="4" t="n">
        <f aca="false">Assumptions!$B$6</f>
        <v>15</v>
      </c>
    </row>
    <row r="46" customFormat="false" ht="15" hidden="false" customHeight="false" outlineLevel="0" collapsed="false">
      <c r="A46" s="0" t="s">
        <v>144</v>
      </c>
      <c r="B46" s="0" t="n">
        <f aca="false">MAX(0,MIN(IF(B45&gt;B28,B31*(1+B28/100)/((B45-B28)/100),B31*B29),B31*B29))</f>
        <v>18446.300632703</v>
      </c>
    </row>
    <row r="47" customFormat="false" ht="15" hidden="false" customHeight="false" outlineLevel="0" collapsed="false">
      <c r="A47" s="0" t="s">
        <v>145</v>
      </c>
      <c r="B47" s="0" t="n">
        <f aca="false">(SUMPRODUCT(C19:L19/(1+B45/100)^C4:L4)+B46/(1+B45/100)^L4+Assumptions!$B$5-Assumptions!$B$4)/Assumptions!$B$3*Assumptions!$B$10</f>
        <v>4.26103723465009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86</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3</v>
      </c>
      <c r="D5" s="4" t="n">
        <f aca="false">Assumptions!D41</f>
        <v>38</v>
      </c>
      <c r="E5" s="4" t="n">
        <f aca="false">Assumptions!E41</f>
        <v>34</v>
      </c>
      <c r="F5" s="4" t="n">
        <f aca="false">Assumptions!F41</f>
        <v>18</v>
      </c>
      <c r="G5" s="4" t="n">
        <f aca="false">Assumptions!G41</f>
        <v>8</v>
      </c>
      <c r="H5" s="4" t="n">
        <f aca="false">Assumptions!H41</f>
        <v>4</v>
      </c>
      <c r="I5" s="4" t="n">
        <f aca="false">Assumptions!I41</f>
        <v>3</v>
      </c>
      <c r="J5" s="4" t="n">
        <f aca="false">Assumptions!J41</f>
        <v>2</v>
      </c>
      <c r="K5" s="4" t="n">
        <f aca="false">Assumptions!K41</f>
        <v>2</v>
      </c>
      <c r="L5" s="4" t="n">
        <f aca="false">Assumptions!L41</f>
        <v>2</v>
      </c>
    </row>
    <row r="6" customFormat="false" ht="15" hidden="false" customHeight="false" outlineLevel="0" collapsed="false">
      <c r="A6" s="0" t="s">
        <v>38</v>
      </c>
      <c r="B6" s="3" t="n">
        <v>3784.2</v>
      </c>
      <c r="C6" s="0" t="n">
        <f aca="false">B6*(1+C5/100)</f>
        <v>3897.726</v>
      </c>
      <c r="D6" s="0" t="n">
        <f aca="false">C6*(1+D5/100)</f>
        <v>5378.86188</v>
      </c>
      <c r="E6" s="0" t="n">
        <f aca="false">D6*(1+E5/100)</f>
        <v>7207.6749192</v>
      </c>
      <c r="F6" s="0" t="n">
        <f aca="false">E6*(1+F5/100)</f>
        <v>8505.056404656</v>
      </c>
      <c r="G6" s="0" t="n">
        <f aca="false">F6*(1+G5/100)</f>
        <v>9185.46091702848</v>
      </c>
      <c r="H6" s="0" t="n">
        <f aca="false">G6*(1+H5/100)</f>
        <v>9552.87935370962</v>
      </c>
      <c r="I6" s="0" t="n">
        <f aca="false">H6*(1+I5/100)</f>
        <v>9839.46573432091</v>
      </c>
      <c r="J6" s="0" t="n">
        <f aca="false">I6*(1+J5/100)</f>
        <v>10036.2550490073</v>
      </c>
      <c r="K6" s="0" t="n">
        <f aca="false">J6*(1+K5/100)</f>
        <v>10236.9801499875</v>
      </c>
      <c r="L6" s="0" t="n">
        <f aca="false">K6*(1+L5/100)</f>
        <v>10441.7197529872</v>
      </c>
    </row>
    <row r="7" customFormat="false" ht="15" hidden="false" customHeight="false" outlineLevel="0" collapsed="false">
      <c r="A7" s="0" t="s">
        <v>102</v>
      </c>
      <c r="C7" s="4" t="n">
        <f aca="false">Assumptions!C42</f>
        <v>71</v>
      </c>
      <c r="D7" s="4" t="n">
        <f aca="false">Assumptions!D42</f>
        <v>71</v>
      </c>
      <c r="E7" s="4" t="n">
        <f aca="false">Assumptions!E42</f>
        <v>72</v>
      </c>
      <c r="F7" s="4" t="n">
        <f aca="false">Assumptions!F42</f>
        <v>72</v>
      </c>
      <c r="G7" s="4" t="n">
        <f aca="false">Assumptions!G42</f>
        <v>72</v>
      </c>
      <c r="H7" s="4" t="n">
        <f aca="false">Assumptions!H42</f>
        <v>71</v>
      </c>
      <c r="I7" s="4" t="n">
        <f aca="false">Assumptions!I42</f>
        <v>70</v>
      </c>
      <c r="J7" s="4" t="n">
        <f aca="false">Assumptions!J42</f>
        <v>69</v>
      </c>
      <c r="K7" s="4" t="n">
        <f aca="false">Assumptions!K42</f>
        <v>68</v>
      </c>
      <c r="L7" s="4" t="n">
        <f aca="false">Assumptions!L42</f>
        <v>68</v>
      </c>
    </row>
    <row r="8" customFormat="false" ht="15" hidden="false" customHeight="false" outlineLevel="0" collapsed="false">
      <c r="A8" s="0" t="s">
        <v>44</v>
      </c>
      <c r="C8" s="0" t="n">
        <f aca="false">C6*C7/100</f>
        <v>2767.38546</v>
      </c>
      <c r="D8" s="0" t="n">
        <f aca="false">D6*D7/100</f>
        <v>3818.9919348</v>
      </c>
      <c r="E8" s="0" t="n">
        <f aca="false">E6*E7/100</f>
        <v>5189.525941824</v>
      </c>
      <c r="F8" s="0" t="n">
        <f aca="false">F6*F7/100</f>
        <v>6123.64061135232</v>
      </c>
      <c r="G8" s="0" t="n">
        <f aca="false">G6*G7/100</f>
        <v>6613.53186026051</v>
      </c>
      <c r="H8" s="0" t="n">
        <f aca="false">H6*H7/100</f>
        <v>6782.54434113383</v>
      </c>
      <c r="I8" s="0" t="n">
        <f aca="false">I6*I7/100</f>
        <v>6887.62601402464</v>
      </c>
      <c r="J8" s="0" t="n">
        <f aca="false">J6*J7/100</f>
        <v>6925.01598381506</v>
      </c>
      <c r="K8" s="0" t="n">
        <f aca="false">K6*K7/100</f>
        <v>6961.14650199148</v>
      </c>
      <c r="L8" s="0" t="n">
        <f aca="false">L6*L7/100</f>
        <v>7100.36943203131</v>
      </c>
    </row>
    <row r="9" customFormat="false" ht="15" hidden="false" customHeight="false" outlineLevel="0" collapsed="false">
      <c r="A9" s="0" t="s">
        <v>103</v>
      </c>
      <c r="C9" s="4" t="n">
        <f aca="false">Assumptions!C43</f>
        <v>0.7</v>
      </c>
      <c r="D9" s="4" t="n">
        <f aca="false">Assumptions!D43</f>
        <v>0.7</v>
      </c>
      <c r="E9" s="4" t="n">
        <f aca="false">Assumptions!E43</f>
        <v>0.65</v>
      </c>
      <c r="F9" s="4" t="n">
        <f aca="false">Assumptions!F43</f>
        <v>0.6</v>
      </c>
      <c r="G9" s="4" t="n">
        <f aca="false">Assumptions!G43</f>
        <v>0.6</v>
      </c>
      <c r="H9" s="4" t="n">
        <f aca="false">Assumptions!H43</f>
        <v>0.55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118</v>
      </c>
      <c r="C10" s="0" t="n">
        <f aca="false">-C6*C9/100</f>
        <v>-27.284082</v>
      </c>
      <c r="D10" s="0" t="n">
        <f aca="false">-D6*D9/100</f>
        <v>-37.65203316</v>
      </c>
      <c r="E10" s="0" t="n">
        <f aca="false">-E6*E9/100</f>
        <v>-46.8498869748</v>
      </c>
      <c r="F10" s="0" t="n">
        <f aca="false">-F6*F9/100</f>
        <v>-51.030338427936</v>
      </c>
      <c r="G10" s="0" t="n">
        <f aca="false">-G6*G9/100</f>
        <v>-55.1127655021709</v>
      </c>
      <c r="H10" s="0" t="n">
        <f aca="false">-H6*H9/100</f>
        <v>-52.5408364454029</v>
      </c>
      <c r="I10" s="0" t="n">
        <f aca="false">-I6*I9/100</f>
        <v>-49.1973286716045</v>
      </c>
      <c r="J10" s="0" t="n">
        <f aca="false">-J6*J9/100</f>
        <v>-50.1812752450366</v>
      </c>
      <c r="K10" s="0" t="n">
        <f aca="false">-K6*K9/100</f>
        <v>-51.1849007499374</v>
      </c>
      <c r="L10" s="0" t="n">
        <f aca="false">-L6*L9/100</f>
        <v>-52.2085987649361</v>
      </c>
    </row>
    <row r="11" customFormat="false" ht="15" hidden="false" customHeight="false" outlineLevel="0" collapsed="false">
      <c r="A11" s="0" t="s">
        <v>119</v>
      </c>
      <c r="C11" s="0" t="n">
        <f aca="false">C8+C10+C24</f>
        <v>2740.101378</v>
      </c>
      <c r="D11" s="0" t="n">
        <f aca="false">D8+D10+D24</f>
        <v>3781.33990164</v>
      </c>
      <c r="E11" s="0" t="n">
        <f aca="false">E8+E10+E24</f>
        <v>5142.6760548492</v>
      </c>
      <c r="F11" s="0" t="n">
        <f aca="false">F8+F10+F24</f>
        <v>6072.61027292438</v>
      </c>
      <c r="G11" s="0" t="n">
        <f aca="false">G8+G10+G24</f>
        <v>6558.41909475834</v>
      </c>
      <c r="H11" s="0" t="n">
        <f aca="false">H8+H10+H24</f>
        <v>6730.00350468843</v>
      </c>
      <c r="I11" s="0" t="n">
        <f aca="false">I8+I10+I24</f>
        <v>6838.42868535303</v>
      </c>
      <c r="J11" s="0" t="n">
        <f aca="false">J8+J10+J24</f>
        <v>6874.83470857002</v>
      </c>
      <c r="K11" s="0" t="n">
        <f aca="false">K8+K10+K24</f>
        <v>6909.96160124154</v>
      </c>
      <c r="L11" s="0" t="n">
        <f aca="false">L8+L10+L24</f>
        <v>7048.16083326638</v>
      </c>
    </row>
    <row r="12" customFormat="false" ht="15" hidden="false" customHeight="false" outlineLevel="0" collapsed="false">
      <c r="A12" s="0" t="s">
        <v>120</v>
      </c>
      <c r="C12" s="4" t="n">
        <f aca="false">-C6*Assumptions!C45/100</f>
        <v>-136.42041</v>
      </c>
      <c r="D12" s="4" t="n">
        <f aca="false">-D6*Assumptions!D45/100</f>
        <v>-225.91219896</v>
      </c>
      <c r="E12" s="4" t="n">
        <f aca="false">-E6*Assumptions!E45/100</f>
        <v>-360.38374596</v>
      </c>
      <c r="F12" s="4" t="n">
        <f aca="false">-F6*Assumptions!F45/100</f>
        <v>-467.77810225608</v>
      </c>
      <c r="G12" s="4" t="n">
        <f aca="false">-G6*Assumptions!G45/100</f>
        <v>-505.200350436566</v>
      </c>
      <c r="H12" s="4" t="n">
        <f aca="false">-H6*Assumptions!H45/100</f>
        <v>-525.408364454029</v>
      </c>
      <c r="I12" s="4" t="n">
        <f aca="false">-I6*Assumptions!I45/100</f>
        <v>-541.17061538765</v>
      </c>
      <c r="J12" s="4" t="n">
        <f aca="false">-J6*Assumptions!J45/100</f>
        <v>-551.994027695403</v>
      </c>
      <c r="K12" s="4" t="n">
        <f aca="false">-K6*Assumptions!K45/100</f>
        <v>-563.033908249311</v>
      </c>
      <c r="L12" s="4" t="n">
        <f aca="false">-L6*Assumptions!L45/100</f>
        <v>-574.294586414297</v>
      </c>
    </row>
    <row r="13" customFormat="false" ht="15" hidden="false" customHeight="false" outlineLevel="0" collapsed="false">
      <c r="A13" s="0" t="s">
        <v>121</v>
      </c>
      <c r="C13" s="0" t="n">
        <f aca="false">C11+C12</f>
        <v>2603.680968</v>
      </c>
      <c r="D13" s="0" t="n">
        <f aca="false">D11+D12</f>
        <v>3555.42770268</v>
      </c>
      <c r="E13" s="0" t="n">
        <f aca="false">E11+E12</f>
        <v>4782.2923088892</v>
      </c>
      <c r="F13" s="0" t="n">
        <f aca="false">F11+F12</f>
        <v>5604.8321706683</v>
      </c>
      <c r="G13" s="0" t="n">
        <f aca="false">G11+G12</f>
        <v>6053.21874432177</v>
      </c>
      <c r="H13" s="0" t="n">
        <f aca="false">H11+H12</f>
        <v>6204.5951402344</v>
      </c>
      <c r="I13" s="0" t="n">
        <f aca="false">I11+I12</f>
        <v>6297.25806996538</v>
      </c>
      <c r="J13" s="0" t="n">
        <f aca="false">J11+J12</f>
        <v>6322.84068087462</v>
      </c>
      <c r="K13" s="0" t="n">
        <f aca="false">K11+K12</f>
        <v>6346.92769299223</v>
      </c>
      <c r="L13" s="0" t="n">
        <f aca="false">L11+L12</f>
        <v>6473.86624685208</v>
      </c>
    </row>
    <row r="14" customFormat="false" ht="15" hidden="false" customHeight="false" outlineLevel="0" collapsed="false">
      <c r="A14" s="0" t="s">
        <v>107</v>
      </c>
      <c r="C14" s="4" t="n">
        <f aca="false">Assumptions!C47</f>
        <v>28</v>
      </c>
      <c r="D14" s="4" t="n">
        <f aca="false">Assumptions!D47</f>
        <v>31</v>
      </c>
      <c r="E14" s="4" t="n">
        <f aca="false">Assumptions!E47</f>
        <v>34</v>
      </c>
      <c r="F14" s="4" t="n">
        <f aca="false">Assumptions!F47</f>
        <v>37</v>
      </c>
      <c r="G14" s="4" t="n">
        <f aca="false">Assumptions!G47</f>
        <v>37</v>
      </c>
      <c r="H14" s="4" t="n">
        <f aca="false">Assumptions!H47</f>
        <v>37</v>
      </c>
      <c r="I14" s="4" t="n">
        <f aca="false">Assumptions!I47</f>
        <v>37</v>
      </c>
      <c r="J14" s="4" t="n">
        <f aca="false">Assumptions!J47</f>
        <v>37</v>
      </c>
      <c r="K14" s="4" t="n">
        <f aca="false">Assumptions!K47</f>
        <v>37</v>
      </c>
      <c r="L14" s="4" t="n">
        <f aca="false">Assumptions!L47</f>
        <v>37</v>
      </c>
    </row>
    <row r="15" customFormat="false" ht="15" hidden="false" customHeight="false" outlineLevel="0" collapsed="false">
      <c r="A15" s="0" t="s">
        <v>122</v>
      </c>
      <c r="C15" s="0" t="n">
        <f aca="false">C13-MAX(0,C13)*C14/100</f>
        <v>1874.65029696</v>
      </c>
      <c r="D15" s="0" t="n">
        <f aca="false">D13-MAX(0,D13)*D14/100</f>
        <v>2453.2451148492</v>
      </c>
      <c r="E15" s="0" t="n">
        <f aca="false">E13-MAX(0,E13)*E14/100</f>
        <v>3156.31292386687</v>
      </c>
      <c r="F15" s="0" t="n">
        <f aca="false">F13-MAX(0,F13)*F14/100</f>
        <v>3531.04426752103</v>
      </c>
      <c r="G15" s="0" t="n">
        <f aca="false">G13-MAX(0,G13)*G14/100</f>
        <v>3813.52780892271</v>
      </c>
      <c r="H15" s="0" t="n">
        <f aca="false">H13-MAX(0,H13)*H14/100</f>
        <v>3908.89493834767</v>
      </c>
      <c r="I15" s="0" t="n">
        <f aca="false">I13-MAX(0,I13)*I14/100</f>
        <v>3967.27258407819</v>
      </c>
      <c r="J15" s="0" t="n">
        <f aca="false">J13-MAX(0,J13)*J14/100</f>
        <v>3983.38962895101</v>
      </c>
      <c r="K15" s="0" t="n">
        <f aca="false">K13-MAX(0,K13)*K14/100</f>
        <v>3998.56444658511</v>
      </c>
      <c r="L15" s="0" t="n">
        <f aca="false">L13-MAX(0,L13)*L14/100</f>
        <v>4078.53573551681</v>
      </c>
    </row>
    <row r="16" customFormat="false" ht="15" hidden="false" customHeight="false" outlineLevel="0" collapsed="false">
      <c r="A16" s="0" t="s">
        <v>123</v>
      </c>
      <c r="C16" s="0" t="n">
        <f aca="false">-C12</f>
        <v>136.42041</v>
      </c>
      <c r="D16" s="0" t="n">
        <f aca="false">-D12</f>
        <v>225.91219896</v>
      </c>
      <c r="E16" s="0" t="n">
        <f aca="false">-E12</f>
        <v>360.38374596</v>
      </c>
      <c r="F16" s="0" t="n">
        <f aca="false">-F12</f>
        <v>467.77810225608</v>
      </c>
      <c r="G16" s="0" t="n">
        <f aca="false">-G12</f>
        <v>505.200350436566</v>
      </c>
      <c r="H16" s="0" t="n">
        <f aca="false">-H12</f>
        <v>525.408364454029</v>
      </c>
      <c r="I16" s="0" t="n">
        <f aca="false">-I12</f>
        <v>541.17061538765</v>
      </c>
      <c r="J16" s="0" t="n">
        <f aca="false">-J12</f>
        <v>551.994027695403</v>
      </c>
      <c r="K16" s="0" t="n">
        <f aca="false">-K12</f>
        <v>563.033908249311</v>
      </c>
      <c r="L16" s="0" t="n">
        <f aca="false">-L12</f>
        <v>574.294586414297</v>
      </c>
    </row>
    <row r="17" customFormat="false" ht="15" hidden="false" customHeight="false" outlineLevel="0" collapsed="false">
      <c r="A17" s="0" t="s">
        <v>124</v>
      </c>
      <c r="C17" s="4" t="n">
        <f aca="false">-C6*Assumptions!C46/100</f>
        <v>-1481.13588</v>
      </c>
      <c r="D17" s="4" t="n">
        <f aca="false">-D6*Assumptions!D46/100</f>
        <v>-1021.9837572</v>
      </c>
      <c r="E17" s="4" t="n">
        <f aca="false">-E6*Assumptions!E46/100</f>
        <v>-720.76749192</v>
      </c>
      <c r="F17" s="4" t="n">
        <f aca="false">-F6*Assumptions!F46/100</f>
        <v>-595.35394832592</v>
      </c>
      <c r="G17" s="4" t="n">
        <f aca="false">-G6*Assumptions!G46/100</f>
        <v>-642.982264191994</v>
      </c>
      <c r="H17" s="4" t="n">
        <f aca="false">-H6*Assumptions!H46/100</f>
        <v>-668.701554759673</v>
      </c>
      <c r="I17" s="4" t="n">
        <f aca="false">-I6*Assumptions!I46/100</f>
        <v>-688.762601402464</v>
      </c>
      <c r="J17" s="4" t="n">
        <f aca="false">-J6*Assumptions!J46/100</f>
        <v>-702.537853430513</v>
      </c>
      <c r="K17" s="4" t="n">
        <f aca="false">-K6*Assumptions!K46/100</f>
        <v>-716.588610499123</v>
      </c>
      <c r="L17" s="4" t="n">
        <f aca="false">-L6*Assumptions!L46/100</f>
        <v>-730.920382709106</v>
      </c>
    </row>
    <row r="18" customFormat="false" ht="15" hidden="false" customHeight="false" outlineLevel="0" collapsed="false">
      <c r="A18" s="0" t="s">
        <v>125</v>
      </c>
      <c r="C18" s="4" t="n">
        <f aca="false">(C6-B6)*Assumptions!$B$51/100</f>
        <v>-5.67630000000002</v>
      </c>
      <c r="D18" s="4" t="n">
        <f aca="false">(D6-C6)*Assumptions!$B$51/100</f>
        <v>-74.056794</v>
      </c>
      <c r="E18" s="4" t="n">
        <f aca="false">(E6-D6)*Assumptions!$B$51/100</f>
        <v>-91.44065196</v>
      </c>
      <c r="F18" s="4" t="n">
        <f aca="false">(F6-E6)*Assumptions!$B$51/100</f>
        <v>-64.8690742728</v>
      </c>
      <c r="G18" s="4" t="n">
        <f aca="false">(G6-F6)*Assumptions!$B$51/100</f>
        <v>-34.020225618624</v>
      </c>
      <c r="H18" s="4" t="n">
        <f aca="false">(H6-G6)*Assumptions!$B$51/100</f>
        <v>-18.3709218340569</v>
      </c>
      <c r="I18" s="4" t="n">
        <f aca="false">(I6-H6)*Assumptions!$B$51/100</f>
        <v>-14.3293190305644</v>
      </c>
      <c r="J18" s="4" t="n">
        <f aca="false">(J6-I6)*Assumptions!$B$51/100</f>
        <v>-9.83946573432095</v>
      </c>
      <c r="K18" s="4" t="n">
        <f aca="false">(K6-J6)*Assumptions!$B$51/100</f>
        <v>-10.0362550490074</v>
      </c>
      <c r="L18" s="4" t="n">
        <f aca="false">(L6-K6)*Assumptions!$B$51/100</f>
        <v>-10.2369801499874</v>
      </c>
    </row>
    <row r="19" customFormat="false" ht="15" hidden="false" customHeight="false" outlineLevel="0" collapsed="false">
      <c r="A19" s="0" t="s">
        <v>126</v>
      </c>
      <c r="C19" s="0" t="n">
        <f aca="false">C15+C16+C17+C18</f>
        <v>524.25852696</v>
      </c>
      <c r="D19" s="0" t="n">
        <f aca="false">D15+D16+D17+D18</f>
        <v>1583.1167626092</v>
      </c>
      <c r="E19" s="0" t="n">
        <f aca="false">E15+E16+E17+E18</f>
        <v>2704.48852594687</v>
      </c>
      <c r="F19" s="0" t="n">
        <f aca="false">F15+F16+F17+F18</f>
        <v>3338.59934717839</v>
      </c>
      <c r="G19" s="0" t="n">
        <f aca="false">G15+G16+G17+G18</f>
        <v>3641.72566954866</v>
      </c>
      <c r="H19" s="0" t="n">
        <f aca="false">H15+H16+H17+H18</f>
        <v>3747.23082620797</v>
      </c>
      <c r="I19" s="0" t="n">
        <f aca="false">I15+I16+I17+I18</f>
        <v>3805.35127903281</v>
      </c>
      <c r="J19" s="0" t="n">
        <f aca="false">J15+J16+J17+J18</f>
        <v>3823.00633748158</v>
      </c>
      <c r="K19" s="0" t="n">
        <f aca="false">K15+K16+K17+K18</f>
        <v>3834.97348928629</v>
      </c>
      <c r="L19" s="0" t="n">
        <f aca="false">L15+L16+L17+L18</f>
        <v>3911.67295907201</v>
      </c>
    </row>
    <row r="20" customFormat="false" ht="15" hidden="false" customHeight="false" outlineLevel="0" collapsed="false">
      <c r="A20" s="0" t="s">
        <v>127</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128</v>
      </c>
      <c r="C21" s="0" t="n">
        <f aca="false">C19*C20</f>
        <v>478.774910465753</v>
      </c>
      <c r="D21" s="0" t="n">
        <f aca="false">D19*D20</f>
        <v>1320.33674244424</v>
      </c>
      <c r="E21" s="0" t="n">
        <f aca="false">E19*E20</f>
        <v>2059.88410175876</v>
      </c>
      <c r="F21" s="0" t="n">
        <f aca="false">F19*F20</f>
        <v>2322.24388213855</v>
      </c>
      <c r="G21" s="0" t="n">
        <f aca="false">G19*G20</f>
        <v>2313.32489466442</v>
      </c>
      <c r="H21" s="0" t="n">
        <f aca="false">H19*H20</f>
        <v>2173.83076621398</v>
      </c>
      <c r="I21" s="0" t="n">
        <f aca="false">I19*I20</f>
        <v>2016.02502746595</v>
      </c>
      <c r="J21" s="0" t="n">
        <f aca="false">J19*J20</f>
        <v>1849.66068044151</v>
      </c>
      <c r="K21" s="0" t="n">
        <f aca="false">K19*K20</f>
        <v>1694.47549852287</v>
      </c>
      <c r="L21" s="0" t="n">
        <f aca="false">L19*L20</f>
        <v>1578.41553287062</v>
      </c>
    </row>
    <row r="23" customFormat="false" ht="15" hidden="false" customHeight="false" outlineLevel="0" collapsed="false">
      <c r="A23" s="0" t="s">
        <v>104</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Assumptions!$B$48</f>
        <v>9.5</v>
      </c>
    </row>
    <row r="28" customFormat="false" ht="15" hidden="false" customHeight="false" outlineLevel="0" collapsed="false">
      <c r="A28" s="0" t="s">
        <v>109</v>
      </c>
      <c r="B28" s="4" t="n">
        <f aca="false">Assumptions!$B$49</f>
        <v>1.5</v>
      </c>
    </row>
    <row r="29" customFormat="false" ht="15" hidden="false" customHeight="false" outlineLevel="0" collapsed="false">
      <c r="A29" s="0" t="s">
        <v>110</v>
      </c>
      <c r="B29" s="4" t="n">
        <f aca="false">Assumptions!$B$50</f>
        <v>11</v>
      </c>
    </row>
    <row r="30" customFormat="false" ht="15" hidden="false" customHeight="false" outlineLevel="0" collapsed="false">
      <c r="A30" s="0" t="s">
        <v>131</v>
      </c>
      <c r="B30" s="0" t="n">
        <f aca="false">SUM(C21:L21)</f>
        <v>17806.9720369866</v>
      </c>
    </row>
    <row r="31" customFormat="false" ht="15" hidden="false" customHeight="false" outlineLevel="0" collapsed="false">
      <c r="A31" s="0" t="s">
        <v>132</v>
      </c>
      <c r="B31" s="0" t="n">
        <f aca="false">L19</f>
        <v>3911.67295907201</v>
      </c>
    </row>
    <row r="32" customFormat="false" ht="15" hidden="false" customHeight="false" outlineLevel="0" collapsed="false">
      <c r="A32" s="0" t="s">
        <v>133</v>
      </c>
      <c r="B32" s="0" t="n">
        <f aca="false">IF(B27&gt;B28,B31*(1+B28/100)/((B27-B28)/100),B31*B29)</f>
        <v>49629.3506682262</v>
      </c>
    </row>
    <row r="33" customFormat="false" ht="15" hidden="false" customHeight="false" outlineLevel="0" collapsed="false">
      <c r="A33" s="0" t="s">
        <v>134</v>
      </c>
      <c r="B33" s="0" t="n">
        <f aca="false">B31*B29</f>
        <v>43028.4025497922</v>
      </c>
    </row>
    <row r="34" customFormat="false" ht="15" hidden="false" customHeight="false" outlineLevel="0" collapsed="false">
      <c r="A34" s="0" t="s">
        <v>135</v>
      </c>
      <c r="B34" s="0" t="n">
        <f aca="false">MAX(0,MIN(B32,B33))</f>
        <v>43028.4025497922</v>
      </c>
    </row>
    <row r="35" customFormat="false" ht="15" hidden="false" customHeight="false" outlineLevel="0" collapsed="false">
      <c r="A35" s="0" t="s">
        <v>136</v>
      </c>
      <c r="B35" s="0" t="n">
        <f aca="false">B34/(1+B27/100)^L4</f>
        <v>17362.5708615768</v>
      </c>
    </row>
    <row r="36" customFormat="false" ht="15" hidden="false" customHeight="false" outlineLevel="0" collapsed="false">
      <c r="A36" s="0" t="s">
        <v>137</v>
      </c>
      <c r="B36" s="0" t="n">
        <f aca="false">B30+B35</f>
        <v>35169.5428985635</v>
      </c>
    </row>
    <row r="37" customFormat="false" ht="15" hidden="false" customHeight="false" outlineLevel="0" collapsed="false">
      <c r="A37" s="0" t="s">
        <v>138</v>
      </c>
      <c r="B37" s="0" t="n">
        <f aca="false">B36+Assumptions!$B$5-Assumptions!$B$4</f>
        <v>37357.7428985635</v>
      </c>
    </row>
    <row r="38" customFormat="false" ht="15" hidden="false" customHeight="false" outlineLevel="0" collapsed="false">
      <c r="A38" s="0" t="s">
        <v>139</v>
      </c>
      <c r="B38" s="0" t="n">
        <f aca="false">B37/Assumptions!$B$3*Assumptions!$B$10</f>
        <v>9.89664309617186</v>
      </c>
    </row>
    <row r="39" customFormat="false" ht="15" hidden="false" customHeight="false" outlineLevel="0" collapsed="false">
      <c r="A39" s="0" t="s">
        <v>140</v>
      </c>
      <c r="B39" s="4" t="n">
        <f aca="false">B38/Assumptions!$B$2-1</f>
        <v>-0.168349319649423</v>
      </c>
    </row>
    <row r="41" customFormat="false" ht="15" hidden="false" customHeight="false" outlineLevel="0" collapsed="false">
      <c r="A41" s="0" t="s">
        <v>141</v>
      </c>
      <c r="B41" s="0" t="n">
        <f aca="false">SUMPRODUCT(-C10:L10/(1+$B$27/100)^C4:L4)</f>
        <v>287.012771563536</v>
      </c>
    </row>
    <row r="42" customFormat="false" ht="15" hidden="false" customHeight="false" outlineLevel="0" collapsed="false">
      <c r="A42" s="0" t="s">
        <v>142</v>
      </c>
      <c r="B42" s="0" t="n">
        <f aca="false">IF(B27&gt;B28,-L10*(1+B28/100)/((B27-B28)/100),-L10*20)/(1+B27/100)^L4</f>
        <v>267.286424068884</v>
      </c>
    </row>
    <row r="43" customFormat="false" ht="15" hidden="false" customHeight="false" outlineLevel="0" collapsed="false">
      <c r="A43" s="0" t="s">
        <v>143</v>
      </c>
      <c r="B43" s="0" t="n">
        <f aca="false">(B37+B41+B42)/Assumptions!$B$3*Assumptions!$B$10</f>
        <v>10.0434855144241</v>
      </c>
    </row>
    <row r="45" customFormat="false" ht="15" hidden="false" customHeight="false" outlineLevel="0" collapsed="false">
      <c r="A45" s="0" t="s">
        <v>83</v>
      </c>
      <c r="B45" s="4" t="n">
        <f aca="false">Assumptions!$B$6</f>
        <v>15</v>
      </c>
    </row>
    <row r="46" customFormat="false" ht="15" hidden="false" customHeight="false" outlineLevel="0" collapsed="false">
      <c r="A46" s="0" t="s">
        <v>144</v>
      </c>
      <c r="B46" s="0" t="n">
        <f aca="false">MAX(0,MIN(IF(B45&gt;B28,B31*(1+B28/100)/((B45-B28)/100),B31*B29),B31*B29))</f>
        <v>29409.9855811711</v>
      </c>
    </row>
    <row r="47" customFormat="false" ht="15" hidden="false" customHeight="false" outlineLevel="0" collapsed="false">
      <c r="A47" s="0" t="s">
        <v>145</v>
      </c>
      <c r="B47" s="0" t="n">
        <f aca="false">(SUMPRODUCT(C19:L19/(1+B45/100)^C4:L4)+B46/(1+B45/100)^L4+Assumptions!$B$5-Assumptions!$B$4)/Assumptions!$B$3*Assumptions!$B$10</f>
        <v>6.08402602959932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3.49491770687097</v>
      </c>
      <c r="C4" s="0" t="n">
        <f aca="false">B4/Assumptions!$B$2-1</f>
        <v>-0.706309436397397</v>
      </c>
      <c r="D4" s="4" t="n">
        <f aca="false">Assumptions!$B$24</f>
        <v>0.3</v>
      </c>
      <c r="E4" s="4" t="n">
        <f aca="false">DCF_Bear!$B$43</f>
        <v>3.55599578652211</v>
      </c>
      <c r="F4" s="4" t="n">
        <f aca="false">DCF_Bear!$B$47</f>
        <v>2.27339859195514</v>
      </c>
    </row>
    <row r="5" customFormat="false" ht="15" hidden="false" customHeight="false" outlineLevel="0" collapsed="false">
      <c r="A5" s="0" t="s">
        <v>154</v>
      </c>
      <c r="B5" s="4" t="n">
        <f aca="false">DCF_Base!$B$38</f>
        <v>6.83345351727274</v>
      </c>
      <c r="C5" s="0" t="n">
        <f aca="false">B5/Assumptions!$B$2-1</f>
        <v>-0.425760208632543</v>
      </c>
      <c r="D5" s="4" t="n">
        <f aca="false">Assumptions!$B$38</f>
        <v>0.5</v>
      </c>
      <c r="E5" s="4" t="n">
        <f aca="false">DCF_Base!$B$43</f>
        <v>6.93750735444485</v>
      </c>
      <c r="F5" s="4" t="n">
        <f aca="false">DCF_Base!$B$47</f>
        <v>4.26103723465009</v>
      </c>
    </row>
    <row r="6" customFormat="false" ht="15" hidden="false" customHeight="false" outlineLevel="0" collapsed="false">
      <c r="A6" s="0" t="s">
        <v>155</v>
      </c>
      <c r="B6" s="4" t="n">
        <f aca="false">DCF_Bull!$B$38</f>
        <v>9.89664309617186</v>
      </c>
      <c r="C6" s="0" t="n">
        <f aca="false">B6/Assumptions!$B$2-1</f>
        <v>-0.168349319649423</v>
      </c>
      <c r="D6" s="4" t="n">
        <f aca="false">Assumptions!$B$52</f>
        <v>0.2</v>
      </c>
      <c r="E6" s="4" t="n">
        <f aca="false">DCF_Bull!$B$43</f>
        <v>10.0434855144241</v>
      </c>
      <c r="F6" s="4" t="n">
        <f aca="false">DCF_Bull!$B$47</f>
        <v>6.08402602959932</v>
      </c>
    </row>
    <row r="8" customFormat="false" ht="15" hidden="false" customHeight="false" outlineLevel="0" collapsed="false">
      <c r="A8" s="0" t="s">
        <v>156</v>
      </c>
      <c r="B8" s="0" t="n">
        <f aca="false">SUMPRODUCT(B4:B6,D4:D6)</f>
        <v>6.44453068993203</v>
      </c>
    </row>
    <row r="9" customFormat="false" ht="15" hidden="false" customHeight="false" outlineLevel="0" collapsed="false">
      <c r="A9" s="0" t="s">
        <v>157</v>
      </c>
      <c r="B9" s="0" t="n">
        <f aca="false">SUMPRODUCT(E4:E6,D4:D6)</f>
        <v>6.54424951606387</v>
      </c>
    </row>
    <row r="10" customFormat="false" ht="15" hidden="false" customHeight="false" outlineLevel="0" collapsed="false">
      <c r="A10" s="0" t="s">
        <v>158</v>
      </c>
      <c r="B10" s="0" t="n">
        <f aca="false">1-Assumptions!$B$2/B8</f>
        <v>-0.846527012213747</v>
      </c>
    </row>
    <row r="11" customFormat="false" ht="15" hidden="false" customHeight="false" outlineLevel="0" collapsed="false">
      <c r="A11" s="0" t="s">
        <v>159</v>
      </c>
      <c r="B11" s="0" t="n">
        <f aca="false">IF(ABS(B9-B8)&gt;0.01*ABS(B8),(Assumptions!$B$2-B8)/(B9-B8)*100,"n/a")</f>
        <v>5470.85191602167</v>
      </c>
    </row>
    <row r="12" customFormat="false" ht="15" hidden="false" customHeight="false" outlineLevel="0" collapsed="false">
      <c r="A12" s="0" t="s">
        <v>160</v>
      </c>
      <c r="B12" s="0" t="n">
        <f aca="false">SUMPRODUCT(F4:F6,D4:D6)</f>
        <v>4.02934340083145</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7.06040430315986</v>
      </c>
      <c r="C15" s="3" t="n">
        <v>9</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6.83345351727274</v>
      </c>
      <c r="C16" s="3" t="n">
        <v>9.5</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6.61641820530363</v>
      </c>
      <c r="C17" s="3" t="n">
        <v>10</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5.99544100653274</v>
      </c>
      <c r="C18" s="3" t="n">
        <v>11</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5.4414052597013</v>
      </c>
      <c r="C19" s="3" t="n">
        <v>12</v>
      </c>
    </row>
    <row r="20" customFormat="false" ht="15" hidden="false" customHeight="false" outlineLevel="0" collapsed="false">
      <c r="A20" s="0" t="s">
        <v>168</v>
      </c>
      <c r="B20" s="0" t="n">
        <f aca="false">(SUMPRODUCT(DCF_Base!$C$19:$L$19/(1+$C$20/100)^DCF_Base!$C$4:$L$4)+MAX(0,MIN(IF($C$20&gt;DCF_Base!$B$28,DCF_Base!$L$19*(1+DCF_Base!$B$28/100)/(($C$20-DCF_Base!$B$28)/100),DCF_Base!$L$19*DCF_Base!$B$29),DCF_Base!$L$19*DCF_Base!$B$29))/(1+$C$20/100)^DCF_Base!$L$4+Assumptions!$B$5-Assumptions!$B$4)/Assumptions!$B$3*Assumptions!$B$10</f>
        <v>4.26103723465009</v>
      </c>
      <c r="C20" s="3" t="n">
        <v>15</v>
      </c>
    </row>
    <row r="22" customFormat="false" ht="15" hidden="false" customHeight="false" outlineLevel="0" collapsed="false">
      <c r="A22" s="2" t="s">
        <v>169</v>
      </c>
    </row>
    <row r="23" customFormat="false" ht="15" hidden="false" customHeight="false" outlineLevel="0" collapsed="false">
      <c r="B23" s="3" t="n">
        <v>0</v>
      </c>
      <c r="C23" s="3" t="n">
        <v>0.5</v>
      </c>
      <c r="D23" s="3" t="n">
        <v>1</v>
      </c>
      <c r="E23" s="3" t="n">
        <v>1.5</v>
      </c>
      <c r="F23" s="3" t="n">
        <v>2</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7.80614145141306</v>
      </c>
      <c r="C24" s="0" t="n">
        <f aca="false">(SUMPRODUCT(DCF_Base!$C$19:$L$19/(1+$A$24/100)^DCF_Base!$C$4:$L$4)+MAX(0,MIN(IF($A$24&gt;$C$23,DCF_Base!$L$19*(1+$C$23/100)/(($A$24-$C$23)/100),DCF_Base!$L$19*DCF_Base!$B$29),DCF_Base!$L$19*DCF_Base!$B$29))/(1+$A$24/100)^DCF_Base!$L$4+Assumptions!$B$5-Assumptions!$B$4)/Assumptions!$B$3*Assumptions!$B$10</f>
        <v>7.80614145141306</v>
      </c>
      <c r="D24" s="0" t="n">
        <f aca="false">(SUMPRODUCT(DCF_Base!$C$19:$L$19/(1+$A$24/100)^DCF_Base!$C$4:$L$4)+MAX(0,MIN(IF($A$24&gt;$D$23,DCF_Base!$L$19*(1+$D$23/100)/(($A$24-$D$23)/100),DCF_Base!$L$19*DCF_Base!$B$29),DCF_Base!$L$19*DCF_Base!$B$29))/(1+$A$24/100)^DCF_Base!$L$4+Assumptions!$B$5-Assumptions!$B$4)/Assumptions!$B$3*Assumptions!$B$10</f>
        <v>7.80614145141306</v>
      </c>
      <c r="E24" s="0" t="n">
        <f aca="false">(SUMPRODUCT(DCF_Base!$C$19:$L$19/(1+$A$24/100)^DCF_Base!$C$4:$L$4)+MAX(0,MIN(IF($A$24&gt;$E$23,DCF_Base!$L$19*(1+$E$23/100)/(($A$24-$E$23)/100),DCF_Base!$L$19*DCF_Base!$B$29),DCF_Base!$L$19*DCF_Base!$B$29))/(1+$A$24/100)^DCF_Base!$L$4+Assumptions!$B$5-Assumptions!$B$4)/Assumptions!$B$3*Assumptions!$B$10</f>
        <v>7.80614145141306</v>
      </c>
      <c r="F24" s="0" t="n">
        <f aca="false">(SUMPRODUCT(DCF_Base!$C$19:$L$19/(1+$A$24/100)^DCF_Base!$C$4:$L$4)+MAX(0,MIN(IF($A$24&gt;$F$23,DCF_Base!$L$19*(1+$F$23/100)/(($A$24-$F$23)/100),DCF_Base!$L$19*DCF_Base!$B$29),DCF_Base!$L$19*DCF_Base!$B$29))/(1+$A$24/100)^DCF_Base!$L$4+Assumptions!$B$5-Assumptions!$B$4)/Assumptions!$B$3*Assumptions!$B$10</f>
        <v>7.80614145141306</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7.29779413141185</v>
      </c>
      <c r="C25" s="0" t="n">
        <f aca="false">(SUMPRODUCT(DCF_Base!$C$19:$L$19/(1+$A$25/100)^DCF_Base!$C$4:$L$4)+MAX(0,MIN(IF($A$25&gt;$C$23,DCF_Base!$L$19*(1+$C$23/100)/(($A$25-$C$23)/100),DCF_Base!$L$19*DCF_Base!$B$29),DCF_Base!$L$19*DCF_Base!$B$29))/(1+$A$25/100)^DCF_Base!$L$4+Assumptions!$B$5-Assumptions!$B$4)/Assumptions!$B$3*Assumptions!$B$10</f>
        <v>7.29779413141185</v>
      </c>
      <c r="D25" s="0" t="n">
        <f aca="false">(SUMPRODUCT(DCF_Base!$C$19:$L$19/(1+$A$25/100)^DCF_Base!$C$4:$L$4)+MAX(0,MIN(IF($A$25&gt;$D$23,DCF_Base!$L$19*(1+$D$23/100)/(($A$25-$D$23)/100),DCF_Base!$L$19*DCF_Base!$B$29),DCF_Base!$L$19*DCF_Base!$B$29))/(1+$A$25/100)^DCF_Base!$L$4+Assumptions!$B$5-Assumptions!$B$4)/Assumptions!$B$3*Assumptions!$B$10</f>
        <v>7.29779413141185</v>
      </c>
      <c r="E25" s="0" t="n">
        <f aca="false">(SUMPRODUCT(DCF_Base!$C$19:$L$19/(1+$A$25/100)^DCF_Base!$C$4:$L$4)+MAX(0,MIN(IF($A$25&gt;$E$23,DCF_Base!$L$19*(1+$E$23/100)/(($A$25-$E$23)/100),DCF_Base!$L$19*DCF_Base!$B$29),DCF_Base!$L$19*DCF_Base!$B$29))/(1+$A$25/100)^DCF_Base!$L$4+Assumptions!$B$5-Assumptions!$B$4)/Assumptions!$B$3*Assumptions!$B$10</f>
        <v>7.29779413141185</v>
      </c>
      <c r="F25" s="0" t="n">
        <f aca="false">(SUMPRODUCT(DCF_Base!$C$19:$L$19/(1+$A$25/100)^DCF_Base!$C$4:$L$4)+MAX(0,MIN(IF($A$25&gt;$F$23,DCF_Base!$L$19*(1+$F$23/100)/(($A$25-$F$23)/100),DCF_Base!$L$19*DCF_Base!$B$29),DCF_Base!$L$19*DCF_Base!$B$29))/(1+$A$25/100)^DCF_Base!$L$4+Assumptions!$B$5-Assumptions!$B$4)/Assumptions!$B$3*Assumptions!$B$10</f>
        <v>7.29779413141185</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6.70398298286218</v>
      </c>
      <c r="C26" s="0" t="n">
        <f aca="false">(SUMPRODUCT(DCF_Base!$C$19:$L$19/(1+$A$26/100)^DCF_Base!$C$4:$L$4)+MAX(0,MIN(IF($A$26&gt;$C$23,DCF_Base!$L$19*(1+$C$23/100)/(($A$26-$C$23)/100),DCF_Base!$L$19*DCF_Base!$B$29),DCF_Base!$L$19*DCF_Base!$B$29))/(1+$A$26/100)^DCF_Base!$L$4+Assumptions!$B$5-Assumptions!$B$4)/Assumptions!$B$3*Assumptions!$B$10</f>
        <v>6.83345351727274</v>
      </c>
      <c r="D26" s="0" t="n">
        <f aca="false">(SUMPRODUCT(DCF_Base!$C$19:$L$19/(1+$A$26/100)^DCF_Base!$C$4:$L$4)+MAX(0,MIN(IF($A$26&gt;$D$23,DCF_Base!$L$19*(1+$D$23/100)/(($A$26-$D$23)/100),DCF_Base!$L$19*DCF_Base!$B$29),DCF_Base!$L$19*DCF_Base!$B$29))/(1+$A$26/100)^DCF_Base!$L$4+Assumptions!$B$5-Assumptions!$B$4)/Assumptions!$B$3*Assumptions!$B$10</f>
        <v>6.83345351727274</v>
      </c>
      <c r="E26" s="0" t="n">
        <f aca="false">(SUMPRODUCT(DCF_Base!$C$19:$L$19/(1+$A$26/100)^DCF_Base!$C$4:$L$4)+MAX(0,MIN(IF($A$26&gt;$E$23,DCF_Base!$L$19*(1+$E$23/100)/(($A$26-$E$23)/100),DCF_Base!$L$19*DCF_Base!$B$29),DCF_Base!$L$19*DCF_Base!$B$29))/(1+$A$26/100)^DCF_Base!$L$4+Assumptions!$B$5-Assumptions!$B$4)/Assumptions!$B$3*Assumptions!$B$10</f>
        <v>6.83345351727274</v>
      </c>
      <c r="F26" s="0" t="n">
        <f aca="false">(SUMPRODUCT(DCF_Base!$C$19:$L$19/(1+$A$26/100)^DCF_Base!$C$4:$L$4)+MAX(0,MIN(IF($A$26&gt;$F$23,DCF_Base!$L$19*(1+$F$23/100)/(($A$26-$F$23)/100),DCF_Base!$L$19*DCF_Base!$B$29),DCF_Base!$L$19*DCF_Base!$B$29))/(1+$A$26/100)^DCF_Base!$L$4+Assumptions!$B$5-Assumptions!$B$4)/Assumptions!$B$3*Assumptions!$B$10</f>
        <v>6.83345351727274</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6.04038409006231</v>
      </c>
      <c r="C27" s="0" t="n">
        <f aca="false">(SUMPRODUCT(DCF_Base!$C$19:$L$19/(1+$A$27/100)^DCF_Base!$C$4:$L$4)+MAX(0,MIN(IF($A$27&gt;$C$23,DCF_Base!$L$19*(1+$C$23/100)/(($A$27-$C$23)/100),DCF_Base!$L$19*DCF_Base!$B$29),DCF_Base!$L$19*DCF_Base!$B$29))/(1+$A$27/100)^DCF_Base!$L$4+Assumptions!$B$5-Assumptions!$B$4)/Assumptions!$B$3*Assumptions!$B$10</f>
        <v>6.17170788581216</v>
      </c>
      <c r="D27" s="0" t="n">
        <f aca="false">(SUMPRODUCT(DCF_Base!$C$19:$L$19/(1+$A$27/100)^DCF_Base!$C$4:$L$4)+MAX(0,MIN(IF($A$27&gt;$D$23,DCF_Base!$L$19*(1+$D$23/100)/(($A$27-$D$23)/100),DCF_Base!$L$19*DCF_Base!$B$29),DCF_Base!$L$19*DCF_Base!$B$29))/(1+$A$27/100)^DCF_Base!$L$4+Assumptions!$B$5-Assumptions!$B$4)/Assumptions!$B$3*Assumptions!$B$10</f>
        <v>6.31685523900937</v>
      </c>
      <c r="E27" s="0" t="n">
        <f aca="false">(SUMPRODUCT(DCF_Base!$C$19:$L$19/(1+$A$27/100)^DCF_Base!$C$4:$L$4)+MAX(0,MIN(IF($A$27&gt;$E$23,DCF_Base!$L$19*(1+$E$23/100)/(($A$27-$E$23)/100),DCF_Base!$L$19*DCF_Base!$B$29),DCF_Base!$L$19*DCF_Base!$B$29))/(1+$A$27/100)^DCF_Base!$L$4+Assumptions!$B$5-Assumptions!$B$4)/Assumptions!$B$3*Assumptions!$B$10</f>
        <v>6.40880378854606</v>
      </c>
      <c r="F27" s="0" t="n">
        <f aca="false">(SUMPRODUCT(DCF_Base!$C$19:$L$19/(1+$A$27/100)^DCF_Base!$C$4:$L$4)+MAX(0,MIN(IF($A$27&gt;$F$23,DCF_Base!$L$19*(1+$F$23/100)/(($A$27-$F$23)/100),DCF_Base!$L$19*DCF_Base!$B$29),DCF_Base!$L$19*DCF_Base!$B$29))/(1+$A$27/100)^DCF_Base!$L$4+Assumptions!$B$5-Assumptions!$B$4)/Assumptions!$B$3*Assumptions!$B$10</f>
        <v>6.40880378854606</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5.49443359098657</v>
      </c>
      <c r="C28" s="0" t="n">
        <f aca="false">(SUMPRODUCT(DCF_Base!$C$19:$L$19/(1+$A$28/100)^DCF_Base!$C$4:$L$4)+MAX(0,MIN(IF($A$28&gt;$C$23,DCF_Base!$L$19*(1+$C$23/100)/(($A$28-$C$23)/100),DCF_Base!$L$19*DCF_Base!$B$29),DCF_Base!$L$19*DCF_Base!$B$29))/(1+$A$28/100)^DCF_Base!$L$4+Assumptions!$B$5-Assumptions!$B$4)/Assumptions!$B$3*Assumptions!$B$10</f>
        <v>5.59494813256023</v>
      </c>
      <c r="D28" s="0" t="n">
        <f aca="false">(SUMPRODUCT(DCF_Base!$C$19:$L$19/(1+$A$28/100)^DCF_Base!$C$4:$L$4)+MAX(0,MIN(IF($A$28&gt;$D$23,DCF_Base!$L$19*(1+$D$23/100)/(($A$28-$D$23)/100),DCF_Base!$L$19*DCF_Base!$B$29),DCF_Base!$L$19*DCF_Base!$B$29))/(1+$A$28/100)^DCF_Base!$L$4+Assumptions!$B$5-Assumptions!$B$4)/Assumptions!$B$3*Assumptions!$B$10</f>
        <v>5.7050354876171</v>
      </c>
      <c r="E28" s="0" t="n">
        <f aca="false">(SUMPRODUCT(DCF_Base!$C$19:$L$19/(1+$A$28/100)^DCF_Base!$C$4:$L$4)+MAX(0,MIN(IF($A$28&gt;$E$23,DCF_Base!$L$19*(1+$E$23/100)/(($A$28-$E$23)/100),DCF_Base!$L$19*DCF_Base!$B$29),DCF_Base!$L$19*DCF_Base!$B$29))/(1+$A$28/100)^DCF_Base!$L$4+Assumptions!$B$5-Assumptions!$B$4)/Assumptions!$B$3*Assumptions!$B$10</f>
        <v>5.82613157817965</v>
      </c>
      <c r="F28" s="0" t="n">
        <f aca="false">(SUMPRODUCT(DCF_Base!$C$19:$L$19/(1+$A$28/100)^DCF_Base!$C$4:$L$4)+MAX(0,MIN(IF($A$28&gt;$F$23,DCF_Base!$L$19*(1+$F$23/100)/(($A$28-$F$23)/100),DCF_Base!$L$19*DCF_Base!$B$29),DCF_Base!$L$19*DCF_Base!$B$29))/(1+$A$28/100)^DCF_Base!$L$4+Assumptions!$B$5-Assumptions!$B$4)/Assumptions!$B$3*Assumptions!$B$10</f>
        <v>5.95997462564352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2026-10-23T08:40:40Z</dcterms:created>
  <dc:creator>openpyxl</dc:creator>
  <dc:description/>
  <dc:language>en-NZ</dc:language>
  <cp:lastModifiedBy/>
  <dcterms:modified xsi:type="dcterms:W3CDTF">2026-10-23T08:40:40Z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