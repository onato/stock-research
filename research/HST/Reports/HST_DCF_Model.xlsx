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<sst xmlns="http://schemas.openxmlformats.org/spreadsheetml/2006/main" count="389" uniqueCount="174">
  <si>
    <t xml:space="preserve">Ticker</t>
  </si>
  <si>
    <t xml:space="preserve">HST</t>
  </si>
  <si>
    <t xml:space="preserve">Company</t>
  </si>
  <si>
    <t xml:space="preserve">Host Hotels &amp; Resorts, Inc.</t>
  </si>
  <si>
    <t xml:space="preserve">Valuation date</t>
  </si>
  <si>
    <t xml:space="preserve">2026-09-29</t>
  </si>
  <si>
    <t xml:space="preserve">Current price</t>
  </si>
  <si>
    <t xml:space="preserve">Price as of</t>
  </si>
  <si>
    <t xml:space="preserve">2026-09-28T20:00:01Z regular close (Yahoo Finance chart API)</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</si>
  <si>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</si>
  <si>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</si>
  <si>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</si>
  <si>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</si>
  <si>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</si>
  <si>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</si>
  <si>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</si>
  <si>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</si>
  <si>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</si>
  <si>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</si>
  <si>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</si>
  <si>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</si>
  <si>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2026-09-28T21:32:53Z</t>
  </si>
  <si>
    <t xml:space="preserve">Drivers file</t>
  </si>
  <si>
    <t xml:space="preserve">HST_Drivers.json</t>
  </si>
  <si>
    <t xml:space="preserve">Convention</t>
  </si>
  <si>
    <t xml:space="preserve">Percents stored as percents; formulas divide by 100. Blue = input, green = link, black = formula.</t>
  </si>
  <si>
    <t xml:space="preserve">Methodology</t>
  </si>
  <si>
    <t xml:space="preserve">summary: Host is valued as what it is: an owner of ~75 luxury and upper-upscale hotels whose cash flow is hotel EBITDA less the heavy, non-optional renovation capex those flags demand. The DCF is unlevered at a 9% USD WACC with every dollar of capex charged and REIT-level (near-zero) cash tax held permanently; net debt is pro forma for the July 2026 special dividend, JV stakes are added at book and OP units deducted. AFFO capitalisation was considered and rejected because Host's Adjusted FFO is pre-capex; a FAD-at-cost-of-equity cross-check lands within a dollar of the base case. The value is dominated by the terminal multiple, so the honest readings are the implied EV/EBITDA and the required-return table rather than the point estimate.
key_risks_to_valuation: Cyclicality: the bear case models a 2027-28 downturn at half the FY2007-09 severity; a full repeat (revenue -21%, margin 18%) is outside the bear path; Capex assumption: charging ROI capex with only ~3% revenue growth may understate the return on the Hyatt/Marriott programs (upside) or, if brand standards escalate, overstate free cash (downside); Terminal multiple: the base case implies ~10x EV/EBITDA versus 12-16x paid in private transactions - the model does not credit a re-rating; Concentrated resort-market event risk (Maui wildfire 2023, Florida hurricanes 2024, Hawaii Kona Low 2026) and rising coastal insurance costs; Capital deployment of the ~$1.3B pro-forma cash is treated as value-neutral; acquisitions at 13x EBITDA versus buybacks at ~11.7x would change that; Third-party operator (Marriott, Hyatt) execution on labour cost is outside Host's control</t>
  </si>
  <si>
    <t xml:space="preserve">Data sources</t>
  </si>
  <si>
    <t xml:space="preserve">price: Yahoo Finance chart API at inputs.price_as_of; 52-week range 15.61-25.71
financials: SEC XBRL companyfacts (CIK 0001070750) for FY2018-Q2 2026 debt, capex, D&amp;A, interest, dividends, SBC, buybacks, NCI and share counts; Q2-2026 earnings release and FY2026 forecast schedules (8-K exhibit 99.1, 5-Aug-2026, accession 0001070750-26-000122) for the balance sheet, capex table and guidance; HST_Metrics.csv (core_metrics) for revenue, EBITDA, net income and OCF history
qualitative: HST_Analysis.json (2026-09-29): bull/bear axes, guidance commentary, recent developments</t>
  </si>
  <si>
    <t xml:space="preserve">Scenario narrative: bear</t>
  </si>
  <si>
    <t xml:space="preserve">The expansion ends in 2027. A consumer or corporate-travel slowdown hits the most cyclical REIT subsector: revenue falls 8% then 4%, and because Host bears the full hotel P&amp;L (no fixed leases) the EBITDA margin compresses to 22% - about half the FY2007-09 damage. Brand standards keep capex from being cut far. Recovery from 2029 returns margins to 26%, 100bps below today, as labour, property-tax and coastal insurance costs reset higher; climate event risk in Maui and Florida remains live. Net debt of $3.8B at 4.7-year maturity means no solvency risk, but distributions and buybacks pause.</t>
  </si>
  <si>
    <t xml:space="preserve">Scenario narrative: base</t>
  </si>
  <si>
    <t xml:space="preserve">Host stays a rate-led, no-acquisition luxury/upper-upscale portfolio. FY2026 lands at the raised guidance ($6.14B revenue, 27.3% EBITDA margin) but that margin includes World Cup, Maui base-effect and condo/BI one-offs, so FY2027 gives back ~20bps and margins then hold at ~27%, where Host has sat in every normal year since FY2016. Revenue grows ~3% on RevPAR plus renovation ramp, fading to 2.5%. All capex (R&amp;R plus the brand-mandated Hyatt/Marriott ROI programs, ~10% of revenue) is charged; cash taxes stay at the TRS level because REIT status is permanent. Unlevered owner FCF runs ~$1.0B (62% of EBITDA), discounted at a 9% USD WACC with 2.5% terminal growth. The ~$1.3B of pro-forma cash from the Four Seasons sale is netted against debt; how management deploys it (buybacks, acquisitions, another special) is value-neutral here.</t>
  </si>
  <si>
    <t xml:space="preserve">Scenario narrative: bull</t>
  </si>
  <si>
    <t xml:space="preserve">The luxury travel cycle extends. Affluent leisure and group demand keep rate growing 4-5% against a luxury pipeline that is effectively closed, the renovated Hyatt and Marriott assets earn their RevPAR premiums, Maui completes its recovery, and margins expand ~120bps to 28.5% as rate outruns wage inflation. Capex normalises toward 9% of revenue once the transformational programs finish. The stock re-rates toward the ~12-13x EV/EBITDA that private buyers paid Host for its own dispositions.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</si>
  <si>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</si>
  <si>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</si>
  <si>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</si>
  <si>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</si>
  <si>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</si>
  <si>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</si>
  <si>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</si>
  <si>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</si>
  <si>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</si>
  <si>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</si>
  <si>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</si>
  <si>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</si>
  <si>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</si>
  <si>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</si>
  <si>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</si>
  <si>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</si>
  <si>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</si>
  <si>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</si>
  <si>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</si>
  <si>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</si>
  <si>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</si>
  <si>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</si>
  <si>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</si>
  <si>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</si>
  <si>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</si>
  <si>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</si>
  <si>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</si>
  <si>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</si>
  <si>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</si>
  <si>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</si>
  <si>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</si>
  <si>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</si>
  <si>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</si>
  <si>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</si>
  <si>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</si>
  <si>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</si>
  <si>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</si>
  <si>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</si>
  <si>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</si>
  <si>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</si>
  <si>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</si>
  <si>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</si>
  <si>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</si>
  <si>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</si>
  <si>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</si>
  <si>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</si>
  <si>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</si>
  <si>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</si>
  <si>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</si>
  <si>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</si>
  <si>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</si>
  <si>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</si>
  <si>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</si>
  <si>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</si>
  <si>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</si>
  <si>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</si>
  <si>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</si>
  <si>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</si>
  <si>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</si>
  <si>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</si>
  <si>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</si>
  <si>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</si>
  <si>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</si>
  <si>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</si>
  <si>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</si>
  <si>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</si>
  <si>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</si>
  <si>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</si>
  <si>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</si>
  <si>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</si>
  <si>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</si>
  <si>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</si>
  <si>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</si>
  <si>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</si>
  <si>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</si>
  <si>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</si>
  <si>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</si>
  <si>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</si>
  <si>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</si>
  <si>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</si>
  <si>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</si>
  <si>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</si>
  <si>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</si>
  <si>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</si>
  <si>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HST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</si>
  <si>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</si>
  <si>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</si>
  <si>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</si>
  <si>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</si>
  <si>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</si>
  <si>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</si>
  <si>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</si>
  <si>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</si>
  <si>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</si>
  <si>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</si>
  <si>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</si>
  <si>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</si>
  <si>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</si>
  <si>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</si>
  <si>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</si>
  <si>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</si>
  <si>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</si>
  <si>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</si>
  <si>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</si>
  <si>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</si>
  <si>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</si>
  <si>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</si>
  <si>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</si>
  <si>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</si>
  <si>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</si>
  <si>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</si>
  <si>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</si>
  <si>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</si>
  <si>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</si>
  <si>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</si>
  <si>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HST owner-FCF component DCF: base case (millions, USD)</t>
  </si>
  <si>
    <t xml:space="preserve">HST owner-FCF component DCF: bull case (millions, USD)</t>
  </si>
  <si>
    <t xml:space="preserve">HST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</si>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</sst>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22.66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S2" s="0" t="n">
        <v>364</v>
      </c>
      <c r="AA2" s="0" t="s">
        <v>17</v>
      </c>
      <c r="AB2" s="0" t="s">
        <v>14</v>
      </c>
    </row>
    <row r="3" customFormat="false" ht="15" hidden="false" customHeight="false" outlineLevel="0" collapsed="false">
      <c r="A3" s="0" t="s">
        <v>64</v>
      </c>
      <c r="B3" s="0" t="n">
        <v>5249</v>
      </c>
      <c r="F3" s="0" t="n">
        <v>925</v>
      </c>
      <c r="G3" s="0" t="n">
        <v>17.6224042674795</v>
      </c>
      <c r="H3" s="0" t="n">
        <v>1424</v>
      </c>
      <c r="I3" s="0" t="n">
        <v>734</v>
      </c>
      <c r="J3" s="0" t="n">
        <v>13.9836159268432</v>
      </c>
      <c r="K3" s="0" t="n">
        <v>1.33</v>
      </c>
      <c r="L3" s="0" t="n">
        <v>1001</v>
      </c>
      <c r="M3" s="0" t="n">
        <v>267</v>
      </c>
      <c r="N3" s="0" t="n">
        <v>734</v>
      </c>
      <c r="S3" s="0" t="n">
        <v>488</v>
      </c>
      <c r="AA3" s="0" t="s">
        <v>17</v>
      </c>
      <c r="AB3" s="0" t="s">
        <v>14</v>
      </c>
    </row>
    <row r="4" customFormat="false" ht="15" hidden="false" customHeight="false" outlineLevel="0" collapsed="false">
      <c r="A4" s="0" t="s">
        <v>65</v>
      </c>
      <c r="B4" s="0" t="n">
        <v>5119</v>
      </c>
      <c r="F4" s="0" t="n">
        <v>739</v>
      </c>
      <c r="G4" s="0" t="n">
        <v>14.4364133619848</v>
      </c>
      <c r="H4" s="0" t="n">
        <v>1296</v>
      </c>
      <c r="I4" s="0" t="n">
        <v>414</v>
      </c>
      <c r="J4" s="0" t="n">
        <v>8.08751709318226</v>
      </c>
      <c r="K4" s="0" t="n">
        <v>0.74</v>
      </c>
      <c r="L4" s="0" t="n">
        <v>1020</v>
      </c>
      <c r="M4" s="0" t="n">
        <v>374</v>
      </c>
      <c r="N4" s="0" t="n">
        <v>646</v>
      </c>
      <c r="O4" s="0" t="n">
        <v>5614</v>
      </c>
      <c r="P4" s="0" t="n">
        <v>11950</v>
      </c>
      <c r="Q4" s="0" t="n">
        <v>6178</v>
      </c>
      <c r="S4" s="0" t="n">
        <v>508</v>
      </c>
      <c r="T4" s="0" t="n">
        <v>525.3</v>
      </c>
      <c r="U4" s="0" t="n">
        <v>2.8</v>
      </c>
      <c r="V4" s="0" t="n">
        <v>0.65</v>
      </c>
      <c r="AA4" s="0" t="s">
        <v>17</v>
      </c>
      <c r="AB4" s="0" t="s">
        <v>14</v>
      </c>
    </row>
    <row r="5" customFormat="false" ht="15" hidden="false" customHeight="false" outlineLevel="0" collapsed="false">
      <c r="A5" s="0" t="s">
        <v>66</v>
      </c>
      <c r="B5" s="0" t="n">
        <v>4135</v>
      </c>
      <c r="F5" s="0" t="n">
        <v>98</v>
      </c>
      <c r="G5" s="0" t="n">
        <v>2.37001209189843</v>
      </c>
      <c r="H5" s="0" t="n">
        <v>760</v>
      </c>
      <c r="I5" s="0" t="n">
        <v>-258</v>
      </c>
      <c r="J5" s="0" t="n">
        <v>-6.23941958887545</v>
      </c>
      <c r="K5" s="0" t="n">
        <v>-0.45</v>
      </c>
      <c r="L5" s="0" t="n">
        <v>552</v>
      </c>
      <c r="M5" s="0" t="n">
        <v>164</v>
      </c>
      <c r="N5" s="0" t="n">
        <v>388</v>
      </c>
      <c r="O5" s="0" t="n">
        <v>6211</v>
      </c>
      <c r="P5" s="0" t="n">
        <v>12555</v>
      </c>
      <c r="Q5" s="0" t="n">
        <v>6205</v>
      </c>
      <c r="S5" s="0" t="n">
        <v>1642</v>
      </c>
      <c r="T5" s="0" t="n">
        <v>646.3</v>
      </c>
      <c r="U5" s="0" t="n">
        <v>21</v>
      </c>
      <c r="V5" s="0" t="n">
        <v>0.25</v>
      </c>
      <c r="AA5" s="0" t="s">
        <v>17</v>
      </c>
      <c r="AB5" s="0" t="s">
        <v>14</v>
      </c>
    </row>
    <row r="6" customFormat="false" ht="15" hidden="false" customHeight="false" outlineLevel="0" collapsed="false">
      <c r="A6" s="0" t="s">
        <v>67</v>
      </c>
      <c r="B6" s="0" t="n">
        <v>4361</v>
      </c>
      <c r="S6" s="0" t="n">
        <v>1113</v>
      </c>
      <c r="T6" s="0" t="n">
        <v>675.6</v>
      </c>
      <c r="U6" s="0" t="n">
        <v>40</v>
      </c>
      <c r="V6" s="0" t="n">
        <v>0.04</v>
      </c>
      <c r="AA6" s="0" t="s">
        <v>17</v>
      </c>
      <c r="AB6" s="0" t="s">
        <v>14</v>
      </c>
    </row>
    <row r="7" customFormat="false" ht="15" hidden="false" customHeight="false" outlineLevel="0" collapsed="false">
      <c r="A7" s="0" t="s">
        <v>68</v>
      </c>
      <c r="B7" s="0" t="n">
        <v>4714</v>
      </c>
      <c r="F7" s="0" t="n">
        <v>309</v>
      </c>
      <c r="G7" s="0" t="n">
        <v>6.55494272380144</v>
      </c>
      <c r="H7" s="0" t="n">
        <v>918</v>
      </c>
      <c r="I7" s="0" t="n">
        <v>-16</v>
      </c>
      <c r="J7" s="0" t="n">
        <v>-0.339414509970301</v>
      </c>
      <c r="K7" s="0" t="n">
        <v>-0.02</v>
      </c>
      <c r="L7" s="0" t="n">
        <v>662</v>
      </c>
      <c r="M7" s="0" t="n">
        <v>327</v>
      </c>
      <c r="N7" s="0" t="n">
        <v>335</v>
      </c>
      <c r="R7" s="0" t="n">
        <v>328</v>
      </c>
      <c r="S7" s="0" t="n">
        <v>826</v>
      </c>
      <c r="T7" s="0" t="n">
        <v>693</v>
      </c>
      <c r="U7" s="0" t="n">
        <v>19</v>
      </c>
      <c r="V7" s="0" t="n">
        <v>0.14</v>
      </c>
      <c r="AA7" s="0" t="s">
        <v>17</v>
      </c>
      <c r="AB7" s="0" t="s">
        <v>14</v>
      </c>
    </row>
    <row r="8" customFormat="false" ht="15" hidden="false" customHeight="false" outlineLevel="0" collapsed="false">
      <c r="A8" s="0" t="s">
        <v>69</v>
      </c>
      <c r="B8" s="0" t="n">
        <v>5059</v>
      </c>
      <c r="F8" s="0" t="n">
        <v>362</v>
      </c>
      <c r="G8" s="0" t="n">
        <v>7.15556434077881</v>
      </c>
      <c r="H8" s="0" t="n">
        <v>1084</v>
      </c>
      <c r="I8" s="0" t="n">
        <v>63</v>
      </c>
      <c r="J8" s="0" t="n">
        <v>1.24530539632338</v>
      </c>
      <c r="K8" s="0" t="n">
        <v>0.08</v>
      </c>
      <c r="L8" s="0" t="n">
        <v>781</v>
      </c>
      <c r="M8" s="0" t="n">
        <v>366</v>
      </c>
      <c r="N8" s="0" t="n">
        <v>415</v>
      </c>
      <c r="O8" s="0" t="n">
        <v>6859</v>
      </c>
      <c r="P8" s="0" t="n">
        <v>12994</v>
      </c>
      <c r="Q8" s="0" t="n">
        <v>5977</v>
      </c>
      <c r="R8" s="0" t="n">
        <v>461</v>
      </c>
      <c r="S8" s="0" t="n">
        <v>417</v>
      </c>
      <c r="T8" s="0" t="n">
        <v>724.6</v>
      </c>
      <c r="U8" s="0" t="n">
        <v>16</v>
      </c>
      <c r="V8" s="0" t="n">
        <v>0.3</v>
      </c>
      <c r="AA8" s="0" t="s">
        <v>17</v>
      </c>
      <c r="AB8" s="0" t="s">
        <v>14</v>
      </c>
    </row>
    <row r="9" customFormat="false" ht="15" hidden="false" customHeight="false" outlineLevel="0" collapsed="false">
      <c r="A9" s="0" t="s">
        <v>70</v>
      </c>
      <c r="B9" s="0" t="n">
        <v>5166</v>
      </c>
      <c r="F9" s="0" t="n">
        <v>512</v>
      </c>
      <c r="G9" s="0" t="n">
        <v>9.91095625241967</v>
      </c>
      <c r="H9" s="0" t="n">
        <v>1209</v>
      </c>
      <c r="I9" s="0" t="n">
        <v>325</v>
      </c>
      <c r="J9" s="0" t="n">
        <v>6.29113433991483</v>
      </c>
      <c r="K9" s="0" t="n">
        <v>0.43</v>
      </c>
      <c r="L9" s="0" t="n">
        <v>1019</v>
      </c>
      <c r="M9" s="0" t="n">
        <v>303</v>
      </c>
      <c r="N9" s="0" t="n">
        <v>716</v>
      </c>
      <c r="O9" s="0" t="n">
        <v>7262</v>
      </c>
      <c r="P9" s="0" t="n">
        <v>12814</v>
      </c>
      <c r="Q9" s="0" t="n">
        <v>5362</v>
      </c>
      <c r="R9" s="0" t="n">
        <v>1476</v>
      </c>
      <c r="S9" s="0" t="n">
        <v>839</v>
      </c>
      <c r="T9" s="0" t="n">
        <v>754.8</v>
      </c>
      <c r="U9" s="0" t="n">
        <v>18</v>
      </c>
      <c r="V9" s="0" t="n">
        <v>0.46</v>
      </c>
      <c r="AA9" s="0" t="s">
        <v>17</v>
      </c>
      <c r="AB9" s="0" t="s">
        <v>14</v>
      </c>
    </row>
    <row r="10" customFormat="false" ht="15" hidden="false" customHeight="false" outlineLevel="0" collapsed="false">
      <c r="A10" s="0" t="s">
        <v>71</v>
      </c>
      <c r="B10" s="0" t="n">
        <v>5321</v>
      </c>
      <c r="F10" s="0" t="n">
        <v>694</v>
      </c>
      <c r="G10" s="0" t="n">
        <v>13.0426611539184</v>
      </c>
      <c r="H10" s="0" t="n">
        <v>1387</v>
      </c>
      <c r="I10" s="0" t="n">
        <v>741</v>
      </c>
      <c r="J10" s="0" t="n">
        <v>13.9259537680887</v>
      </c>
      <c r="K10" s="0" t="n">
        <v>0.97</v>
      </c>
      <c r="L10" s="0" t="n">
        <v>1140</v>
      </c>
      <c r="M10" s="0" t="n">
        <v>316</v>
      </c>
      <c r="N10" s="0" t="n">
        <v>824</v>
      </c>
      <c r="O10" s="0" t="n">
        <v>7368</v>
      </c>
      <c r="P10" s="0" t="n">
        <v>12172</v>
      </c>
      <c r="Q10" s="0" t="n">
        <v>4579</v>
      </c>
      <c r="R10" s="0" t="n">
        <v>1577</v>
      </c>
      <c r="S10" s="0" t="n">
        <v>666</v>
      </c>
      <c r="T10" s="0" t="n">
        <v>786.8</v>
      </c>
      <c r="U10" s="0" t="n">
        <v>22</v>
      </c>
      <c r="V10" s="0" t="n">
        <v>0.75</v>
      </c>
      <c r="AA10" s="0" t="s">
        <v>17</v>
      </c>
      <c r="AB10" s="0" t="s">
        <v>14</v>
      </c>
    </row>
    <row r="11" customFormat="false" ht="15" hidden="false" customHeight="false" outlineLevel="0" collapsed="false">
      <c r="A11" s="0" t="s">
        <v>72</v>
      </c>
      <c r="B11" s="0" t="n">
        <v>5350</v>
      </c>
      <c r="F11" s="0" t="n">
        <v>631</v>
      </c>
      <c r="G11" s="0" t="n">
        <v>11.7943925233645</v>
      </c>
      <c r="H11" s="0" t="n">
        <v>1339</v>
      </c>
      <c r="I11" s="0" t="n">
        <v>565</v>
      </c>
      <c r="J11" s="0" t="n">
        <v>10.5607476635514</v>
      </c>
      <c r="K11" s="0" t="n">
        <v>0.74</v>
      </c>
      <c r="L11" s="0" t="n">
        <v>1160</v>
      </c>
      <c r="M11" s="0" t="n">
        <v>383</v>
      </c>
      <c r="N11" s="0" t="n">
        <v>777</v>
      </c>
      <c r="O11" s="0" t="n">
        <v>7104</v>
      </c>
      <c r="P11" s="0" t="n">
        <v>11656</v>
      </c>
      <c r="Q11" s="0" t="n">
        <v>4409</v>
      </c>
      <c r="R11" s="0" t="n">
        <v>1269</v>
      </c>
      <c r="S11" s="0" t="n">
        <v>221</v>
      </c>
      <c r="T11" s="0" t="n">
        <v>752.9</v>
      </c>
      <c r="U11" s="0" t="n">
        <v>11</v>
      </c>
      <c r="V11" s="0" t="n">
        <v>0.8</v>
      </c>
      <c r="AA11" s="0" t="s">
        <v>17</v>
      </c>
      <c r="AB11" s="0" t="s">
        <v>14</v>
      </c>
    </row>
    <row r="12" customFormat="false" ht="15" hidden="false" customHeight="false" outlineLevel="0" collapsed="false">
      <c r="A12" s="0" t="s">
        <v>73</v>
      </c>
      <c r="B12" s="0" t="n">
        <v>5430</v>
      </c>
      <c r="F12" s="0" t="n">
        <v>684</v>
      </c>
      <c r="G12" s="0" t="n">
        <v>12.5966850828729</v>
      </c>
      <c r="H12" s="0" t="n">
        <v>1408</v>
      </c>
      <c r="I12" s="0" t="n">
        <v>771</v>
      </c>
      <c r="J12" s="0" t="n">
        <v>14.1988950276243</v>
      </c>
      <c r="K12" s="0" t="n">
        <v>1.03</v>
      </c>
      <c r="L12" s="0" t="n">
        <v>1302</v>
      </c>
      <c r="M12" s="0" t="n">
        <v>293</v>
      </c>
      <c r="N12" s="0" t="n">
        <v>1009</v>
      </c>
      <c r="O12" s="0" t="n">
        <v>7033</v>
      </c>
      <c r="P12" s="0" t="n">
        <v>11408</v>
      </c>
      <c r="Q12" s="0" t="n">
        <v>4210</v>
      </c>
      <c r="R12" s="0" t="n">
        <v>1215</v>
      </c>
      <c r="S12" s="0" t="n">
        <v>372</v>
      </c>
      <c r="T12" s="0" t="n">
        <v>743.7</v>
      </c>
      <c r="U12" s="0" t="n">
        <v>12</v>
      </c>
      <c r="V12" s="0" t="n">
        <v>0.85</v>
      </c>
      <c r="AA12" s="0" t="s">
        <v>17</v>
      </c>
      <c r="AB12" s="0" t="s">
        <v>14</v>
      </c>
    </row>
    <row r="13" customFormat="false" ht="15" hidden="false" customHeight="false" outlineLevel="0" collapsed="false">
      <c r="A13" s="0" t="s">
        <v>74</v>
      </c>
      <c r="B13" s="0" t="n">
        <v>5387</v>
      </c>
      <c r="F13" s="0" t="n">
        <v>676</v>
      </c>
      <c r="G13" s="0" t="n">
        <v>12.548728420271</v>
      </c>
      <c r="H13" s="0" t="n">
        <v>1427</v>
      </c>
      <c r="I13" s="0" t="n">
        <v>571</v>
      </c>
      <c r="J13" s="0" t="n">
        <v>10.5995916094301</v>
      </c>
      <c r="K13" s="0" t="n">
        <v>0.76</v>
      </c>
      <c r="L13" s="0" t="n">
        <v>1230</v>
      </c>
      <c r="M13" s="0" t="n">
        <v>205</v>
      </c>
      <c r="N13" s="0" t="n">
        <v>1025</v>
      </c>
      <c r="O13" s="0" t="n">
        <v>7002</v>
      </c>
      <c r="P13" s="0" t="n">
        <v>11693</v>
      </c>
      <c r="Q13" s="0" t="n">
        <v>4524</v>
      </c>
      <c r="R13" s="0" t="n">
        <v>1496</v>
      </c>
      <c r="S13" s="0" t="n">
        <v>913</v>
      </c>
      <c r="T13" s="0" t="n">
        <v>739.1</v>
      </c>
      <c r="U13" s="0" t="n">
        <v>11</v>
      </c>
      <c r="V13" s="0" t="n">
        <v>0.85</v>
      </c>
      <c r="AA13" s="0" t="s">
        <v>17</v>
      </c>
      <c r="AB13" s="0" t="s">
        <v>14</v>
      </c>
    </row>
    <row r="14" customFormat="false" ht="15" hidden="false" customHeight="false" outlineLevel="0" collapsed="false">
      <c r="A14" s="0" t="s">
        <v>75</v>
      </c>
      <c r="B14" s="0" t="n">
        <v>5524</v>
      </c>
      <c r="F14" s="0" t="n">
        <v>530</v>
      </c>
      <c r="G14" s="0" t="n">
        <v>9.59449674149167</v>
      </c>
      <c r="H14" s="0" t="n">
        <v>1474</v>
      </c>
      <c r="I14" s="0" t="n">
        <v>1151</v>
      </c>
      <c r="J14" s="0" t="n">
        <v>20.8363504706734</v>
      </c>
      <c r="K14" s="0" t="n">
        <v>1.47</v>
      </c>
      <c r="L14" s="0" t="n">
        <v>1300</v>
      </c>
      <c r="M14" s="0" t="n">
        <v>274</v>
      </c>
      <c r="N14" s="0" t="n">
        <v>1026</v>
      </c>
      <c r="O14" s="0" t="n">
        <v>7566</v>
      </c>
      <c r="P14" s="0" t="n">
        <v>12090</v>
      </c>
      <c r="Q14" s="0" t="n">
        <v>4396</v>
      </c>
      <c r="R14" s="0" t="n">
        <v>455</v>
      </c>
      <c r="S14" s="0" t="n">
        <v>1542</v>
      </c>
      <c r="T14" s="0" t="n">
        <v>740.4</v>
      </c>
      <c r="U14" s="0" t="n">
        <v>14</v>
      </c>
      <c r="V14" s="0" t="n">
        <v>0.85</v>
      </c>
      <c r="AA14" s="0" t="s">
        <v>17</v>
      </c>
      <c r="AB14" s="0" t="s">
        <v>14</v>
      </c>
    </row>
    <row r="15" customFormat="false" ht="15" hidden="false" customHeight="false" outlineLevel="0" collapsed="false">
      <c r="A15" s="0" t="s">
        <v>76</v>
      </c>
      <c r="B15" s="0" t="n">
        <v>5469</v>
      </c>
      <c r="F15" s="0" t="n">
        <v>799</v>
      </c>
      <c r="G15" s="0" t="n">
        <v>14.6096178460413</v>
      </c>
      <c r="H15" s="0" t="n">
        <v>1475</v>
      </c>
      <c r="I15" s="0" t="n">
        <v>932</v>
      </c>
      <c r="J15" s="0" t="n">
        <v>17.0415066739806</v>
      </c>
      <c r="K15" s="0" t="n">
        <v>1.26</v>
      </c>
      <c r="L15" s="0" t="n">
        <v>1250</v>
      </c>
      <c r="O15" s="0" t="n">
        <v>7325</v>
      </c>
      <c r="P15" s="0" t="n">
        <v>12305</v>
      </c>
      <c r="Q15" s="0" t="n">
        <v>4838</v>
      </c>
      <c r="R15" s="0" t="n">
        <v>445</v>
      </c>
      <c r="S15" s="0" t="n">
        <v>1573</v>
      </c>
      <c r="T15" s="0" t="n">
        <v>713.4</v>
      </c>
      <c r="U15" s="0" t="n">
        <v>15</v>
      </c>
      <c r="V15" s="0" t="n">
        <v>0.85</v>
      </c>
      <c r="AA15" s="0" t="s">
        <v>17</v>
      </c>
      <c r="AB15" s="0" t="s">
        <v>14</v>
      </c>
    </row>
    <row r="16" customFormat="false" ht="15" hidden="false" customHeight="false" outlineLevel="0" collapsed="false">
      <c r="A16" s="0" t="s">
        <v>77</v>
      </c>
      <c r="B16" s="0" t="n">
        <v>1620</v>
      </c>
      <c r="F16" s="0" t="n">
        <v>-953</v>
      </c>
      <c r="G16" s="0" t="n">
        <v>-58.8271604938272</v>
      </c>
      <c r="H16" s="0" t="n">
        <v>-288</v>
      </c>
      <c r="I16" s="0" t="n">
        <v>-741</v>
      </c>
      <c r="J16" s="0" t="n">
        <v>-45.7407407407407</v>
      </c>
      <c r="K16" s="0" t="n">
        <v>-1.04</v>
      </c>
      <c r="L16" s="0" t="n">
        <v>-307</v>
      </c>
      <c r="O16" s="0" t="n">
        <v>6326</v>
      </c>
      <c r="P16" s="0" t="n">
        <v>12890</v>
      </c>
      <c r="Q16" s="0" t="n">
        <v>6456</v>
      </c>
      <c r="R16" s="0" t="n">
        <v>442</v>
      </c>
      <c r="S16" s="0" t="n">
        <v>2335</v>
      </c>
      <c r="T16" s="0" t="n">
        <v>705.4</v>
      </c>
      <c r="U16" s="0" t="n">
        <v>17</v>
      </c>
      <c r="V16" s="0" t="n">
        <v>0.2</v>
      </c>
      <c r="AA16" s="0" t="s">
        <v>17</v>
      </c>
      <c r="AB16" s="0" t="s">
        <v>14</v>
      </c>
    </row>
    <row r="17" customFormat="false" ht="15" hidden="false" customHeight="false" outlineLevel="0" collapsed="false">
      <c r="A17" s="0" t="s">
        <v>78</v>
      </c>
      <c r="B17" s="0" t="n">
        <v>2890</v>
      </c>
      <c r="F17" s="0" t="n">
        <v>-250</v>
      </c>
      <c r="G17" s="0" t="n">
        <v>-8.65051903114187</v>
      </c>
      <c r="H17" s="0" t="n">
        <v>512</v>
      </c>
      <c r="I17" s="0" t="n">
        <v>-11</v>
      </c>
      <c r="J17" s="0" t="n">
        <v>-0.380622837370242</v>
      </c>
      <c r="K17" s="0" t="n">
        <v>-0.02</v>
      </c>
      <c r="L17" s="0" t="n">
        <v>292</v>
      </c>
      <c r="O17" s="0" t="n">
        <v>6446</v>
      </c>
      <c r="P17" s="0" t="n">
        <v>12352</v>
      </c>
      <c r="Q17" s="0" t="n">
        <v>5780</v>
      </c>
      <c r="R17" s="0" t="n">
        <v>436</v>
      </c>
      <c r="S17" s="0" t="n">
        <v>807</v>
      </c>
      <c r="T17" s="0" t="n">
        <v>710.3</v>
      </c>
      <c r="U17" s="0" t="n">
        <v>18</v>
      </c>
      <c r="V17" s="0" t="n">
        <v>0</v>
      </c>
      <c r="AA17" s="0" t="s">
        <v>17</v>
      </c>
      <c r="AB17" s="0" t="s">
        <v>14</v>
      </c>
    </row>
    <row r="18" customFormat="false" ht="15" hidden="false" customHeight="false" outlineLevel="0" collapsed="false">
      <c r="A18" s="0" t="s">
        <v>79</v>
      </c>
      <c r="B18" s="0" t="n">
        <v>4907</v>
      </c>
      <c r="F18" s="0" t="n">
        <v>775</v>
      </c>
      <c r="G18" s="0" t="n">
        <v>15.7937640105971</v>
      </c>
      <c r="H18" s="0" t="n">
        <v>1439</v>
      </c>
      <c r="I18" s="0" t="n">
        <v>643</v>
      </c>
      <c r="J18" s="0" t="n">
        <v>13.1037293662115</v>
      </c>
      <c r="K18" s="0" t="n">
        <v>0.89</v>
      </c>
      <c r="L18" s="0" t="n">
        <v>1416</v>
      </c>
      <c r="O18" s="0" t="n">
        <v>6715</v>
      </c>
      <c r="P18" s="0" t="n">
        <v>12269</v>
      </c>
      <c r="Q18" s="0" t="n">
        <v>5390</v>
      </c>
      <c r="R18" s="0" t="n">
        <v>758</v>
      </c>
      <c r="S18" s="0" t="n">
        <v>667</v>
      </c>
      <c r="T18" s="0" t="n">
        <v>717.5</v>
      </c>
      <c r="U18" s="0" t="n">
        <v>26</v>
      </c>
      <c r="V18" s="0" t="n">
        <v>0.53</v>
      </c>
      <c r="AA18" s="0" t="s">
        <v>17</v>
      </c>
      <c r="AB18" s="0" t="s">
        <v>14</v>
      </c>
    </row>
    <row r="19" customFormat="false" ht="15" hidden="false" customHeight="false" outlineLevel="0" collapsed="false">
      <c r="A19" s="0" t="s">
        <v>80</v>
      </c>
      <c r="B19" s="0" t="n">
        <v>5311</v>
      </c>
      <c r="F19" s="0" t="n">
        <v>827</v>
      </c>
      <c r="G19" s="0" t="n">
        <v>15.5714554697797</v>
      </c>
      <c r="H19" s="0" t="n">
        <v>1524</v>
      </c>
      <c r="I19" s="0" t="n">
        <v>752</v>
      </c>
      <c r="J19" s="0" t="n">
        <v>14.1592920353982</v>
      </c>
      <c r="K19" s="0" t="n">
        <v>1.04</v>
      </c>
      <c r="L19" s="0" t="n">
        <v>1441</v>
      </c>
      <c r="O19" s="0" t="n">
        <v>6637</v>
      </c>
      <c r="P19" s="0" t="n">
        <v>12243</v>
      </c>
      <c r="Q19" s="0" t="n">
        <v>5417</v>
      </c>
      <c r="R19" s="0" t="n">
        <v>746</v>
      </c>
      <c r="S19" s="0" t="n">
        <v>1144</v>
      </c>
      <c r="T19" s="0" t="n">
        <v>712.8</v>
      </c>
      <c r="U19" s="0" t="n">
        <v>30</v>
      </c>
      <c r="V19" s="0" t="n">
        <v>0.9</v>
      </c>
      <c r="AA19" s="0" t="s">
        <v>17</v>
      </c>
      <c r="AB19" s="0" t="s">
        <v>14</v>
      </c>
    </row>
    <row r="20" customFormat="false" ht="15" hidden="false" customHeight="false" outlineLevel="0" collapsed="false">
      <c r="A20" s="0" t="s">
        <v>81</v>
      </c>
      <c r="B20" s="0" t="n">
        <v>5684</v>
      </c>
      <c r="F20" s="0" t="n">
        <v>875</v>
      </c>
      <c r="G20" s="0" t="n">
        <v>15.3940886699507</v>
      </c>
      <c r="H20" s="0" t="n">
        <v>1637</v>
      </c>
      <c r="I20" s="0" t="n">
        <v>707</v>
      </c>
      <c r="J20" s="0" t="n">
        <v>12.4384236453202</v>
      </c>
      <c r="K20" s="0" t="n">
        <v>0.99</v>
      </c>
      <c r="L20" s="0" t="n">
        <v>1498</v>
      </c>
      <c r="O20" s="0" t="n">
        <v>6612</v>
      </c>
      <c r="P20" s="0" t="n">
        <v>13048</v>
      </c>
      <c r="Q20" s="0" t="n">
        <v>6271</v>
      </c>
      <c r="R20" s="0" t="n">
        <v>896</v>
      </c>
      <c r="S20" s="0" t="n">
        <v>554</v>
      </c>
      <c r="T20" s="0" t="n">
        <v>704</v>
      </c>
      <c r="U20" s="0" t="n">
        <v>24</v>
      </c>
      <c r="V20" s="0" t="n">
        <v>0.9</v>
      </c>
      <c r="AA20" s="0" t="s">
        <v>17</v>
      </c>
      <c r="AB20" s="0" t="s">
        <v>14</v>
      </c>
    </row>
    <row r="21" customFormat="false" ht="15" hidden="false" customHeight="false" outlineLevel="0" collapsed="false">
      <c r="A21" s="0" t="s">
        <v>82</v>
      </c>
      <c r="B21" s="0" t="n">
        <v>6114</v>
      </c>
      <c r="F21" s="0" t="n">
        <v>855</v>
      </c>
      <c r="G21" s="0" t="n">
        <v>13.9842983316977</v>
      </c>
      <c r="H21" s="0" t="n">
        <v>1650</v>
      </c>
      <c r="I21" s="0" t="n">
        <v>776</v>
      </c>
      <c r="J21" s="0" t="n">
        <v>12.6921818776578</v>
      </c>
      <c r="K21" s="0" t="n">
        <v>1.11</v>
      </c>
      <c r="L21" s="0" t="n">
        <v>1510</v>
      </c>
      <c r="O21" s="0" t="n">
        <v>6561</v>
      </c>
      <c r="P21" s="0" t="n">
        <v>13049</v>
      </c>
      <c r="Q21" s="0" t="n">
        <v>6317</v>
      </c>
      <c r="R21" s="0" t="n">
        <v>1274</v>
      </c>
      <c r="S21" s="0" t="n">
        <v>768</v>
      </c>
      <c r="T21" s="0" t="n">
        <v>694.1</v>
      </c>
      <c r="U21" s="0" t="n">
        <v>26</v>
      </c>
      <c r="V21" s="0" t="n">
        <v>0.95</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22.66</v>
      </c>
    </row>
    <row r="3" customFormat="false" ht="15" hidden="false" customHeight="false" outlineLevel="0" collapsed="false">
      <c r="A3" s="0" t="s">
        <v>86</v>
      </c>
      <c r="B3" s="3" t="n">
        <v>688.6</v>
      </c>
    </row>
    <row r="4" customFormat="false" ht="15" hidden="false" customHeight="false" outlineLevel="0" collapsed="false">
      <c r="A4" s="0" t="s">
        <v>87</v>
      </c>
      <c r="B4" s="3" t="n">
        <v>3759</v>
      </c>
    </row>
    <row r="5" customFormat="false" ht="15" hidden="false" customHeight="false" outlineLevel="0" collapsed="false">
      <c r="A5" s="0" t="s">
        <v>88</v>
      </c>
      <c r="B5" s="3" t="n">
        <v>69</v>
      </c>
    </row>
    <row r="6" customFormat="false" ht="15" hidden="false" customHeight="false" outlineLevel="0" collapsed="false">
      <c r="A6" s="0" t="s">
        <v>89</v>
      </c>
      <c r="B6" s="3" t="n">
        <v>15</v>
      </c>
    </row>
    <row r="7" customFormat="false" ht="15" hidden="false" customHeight="false" outlineLevel="0" collapsed="false">
      <c r="A7" s="0" t="s">
        <v>90</v>
      </c>
      <c r="B7" s="3" t="n">
        <v>6114</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0.2</v>
      </c>
      <c r="D13" s="3" t="n">
        <v>-8</v>
      </c>
      <c r="E13" s="3" t="n">
        <v>-4</v>
      </c>
      <c r="F13" s="3" t="n">
        <v>4</v>
      </c>
      <c r="G13" s="3" t="n">
        <v>5</v>
      </c>
      <c r="H13" s="3" t="n">
        <v>4</v>
      </c>
      <c r="I13" s="3" t="n">
        <v>3</v>
      </c>
      <c r="J13" s="3" t="n">
        <v>2.5</v>
      </c>
      <c r="K13" s="3" t="n">
        <v>2.5</v>
      </c>
      <c r="L13" s="3" t="n">
        <v>2</v>
      </c>
    </row>
    <row r="14" customFormat="false" ht="15" hidden="false" customHeight="false" outlineLevel="0" collapsed="false">
      <c r="A14" s="0" t="s">
        <v>107</v>
      </c>
      <c r="C14" s="3" t="n">
        <v>27</v>
      </c>
      <c r="D14" s="3" t="n">
        <v>23.5</v>
      </c>
      <c r="E14" s="3" t="n">
        <v>22</v>
      </c>
      <c r="F14" s="3" t="n">
        <v>24</v>
      </c>
      <c r="G14" s="3" t="n">
        <v>25.5</v>
      </c>
      <c r="H14" s="3" t="n">
        <v>26</v>
      </c>
      <c r="I14" s="3" t="n">
        <v>26</v>
      </c>
      <c r="J14" s="3" t="n">
        <v>26</v>
      </c>
      <c r="K14" s="3" t="n">
        <v>26</v>
      </c>
      <c r="L14" s="3" t="n">
        <v>26</v>
      </c>
    </row>
    <row r="15" customFormat="false" ht="15" hidden="false" customHeight="false" outlineLevel="0" collapsed="false">
      <c r="A15" s="0" t="s">
        <v>108</v>
      </c>
      <c r="C15" s="3" t="n">
        <v>0.42</v>
      </c>
      <c r="D15" s="3" t="n">
        <v>0.45</v>
      </c>
      <c r="E15" s="3" t="n">
        <v>0.45</v>
      </c>
      <c r="F15" s="3" t="n">
        <v>0.42</v>
      </c>
      <c r="G15" s="3" t="n">
        <v>0.42</v>
      </c>
      <c r="H15" s="3" t="n">
        <v>0.42</v>
      </c>
      <c r="I15" s="3" t="n">
        <v>0.42</v>
      </c>
      <c r="J15" s="3" t="n">
        <v>0.42</v>
      </c>
      <c r="K15" s="3" t="n">
        <v>0.42</v>
      </c>
      <c r="L15" s="3" t="n">
        <v>0.42</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12.3</v>
      </c>
      <c r="D17" s="3" t="n">
        <v>13</v>
      </c>
      <c r="E17" s="3" t="n">
        <v>13.5</v>
      </c>
      <c r="F17" s="3" t="n">
        <v>13</v>
      </c>
      <c r="G17" s="3" t="n">
        <v>12.5</v>
      </c>
      <c r="H17" s="3" t="n">
        <v>12</v>
      </c>
      <c r="I17" s="3" t="n">
        <v>11.5</v>
      </c>
      <c r="J17" s="3" t="n">
        <v>11.5</v>
      </c>
      <c r="K17" s="3" t="n">
        <v>11.5</v>
      </c>
      <c r="L17" s="3" t="n">
        <v>11.5</v>
      </c>
    </row>
    <row r="18" customFormat="false" ht="15" hidden="false" customHeight="false" outlineLevel="0" collapsed="false">
      <c r="A18" s="0" t="s">
        <v>111</v>
      </c>
      <c r="C18" s="3" t="n">
        <v>9.6</v>
      </c>
      <c r="D18" s="3" t="n">
        <v>9</v>
      </c>
      <c r="E18" s="3" t="n">
        <v>8</v>
      </c>
      <c r="F18" s="3" t="n">
        <v>9</v>
      </c>
      <c r="G18" s="3" t="n">
        <v>9.5</v>
      </c>
      <c r="H18" s="3" t="n">
        <v>9.5</v>
      </c>
      <c r="I18" s="3" t="n">
        <v>9.5</v>
      </c>
      <c r="J18" s="3" t="n">
        <v>9.5</v>
      </c>
      <c r="K18" s="3" t="n">
        <v>9.5</v>
      </c>
      <c r="L18" s="3" t="n">
        <v>9.5</v>
      </c>
    </row>
    <row r="19" customFormat="false" ht="15" hidden="false" customHeight="false" outlineLevel="0" collapsed="false">
      <c r="A19" s="0" t="s">
        <v>112</v>
      </c>
      <c r="C19" s="3" t="n">
        <v>2.5</v>
      </c>
      <c r="D19" s="3" t="n">
        <v>1</v>
      </c>
      <c r="E19" s="3" t="n">
        <v>1</v>
      </c>
      <c r="F19" s="3" t="n">
        <v>2</v>
      </c>
      <c r="G19" s="3" t="n">
        <v>3</v>
      </c>
      <c r="H19" s="3" t="n">
        <v>4</v>
      </c>
      <c r="I19" s="3" t="n">
        <v>5</v>
      </c>
      <c r="J19" s="3" t="n">
        <v>5</v>
      </c>
      <c r="K19" s="3" t="n">
        <v>5</v>
      </c>
      <c r="L19" s="3" t="n">
        <v>5</v>
      </c>
    </row>
    <row r="20" customFormat="false" ht="15" hidden="false" customHeight="false" outlineLevel="0" collapsed="false">
      <c r="A20" s="0" t="s">
        <v>113</v>
      </c>
      <c r="B20" s="3" t="n">
        <v>9</v>
      </c>
    </row>
    <row r="21" customFormat="false" ht="15" hidden="false" customHeight="false" outlineLevel="0" collapsed="false">
      <c r="A21" s="0" t="s">
        <v>114</v>
      </c>
      <c r="B21" s="3" t="n">
        <v>2</v>
      </c>
    </row>
    <row r="22" customFormat="false" ht="15" hidden="false" customHeight="false" outlineLevel="0" collapsed="false">
      <c r="A22" s="0" t="s">
        <v>115</v>
      </c>
      <c r="B22" s="3" t="n">
        <v>18</v>
      </c>
    </row>
    <row r="23" customFormat="false" ht="15" hidden="false" customHeight="false" outlineLevel="0" collapsed="false">
      <c r="A23" s="0" t="s">
        <v>116</v>
      </c>
      <c r="B23" s="3" t="n">
        <v>0</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0.4</v>
      </c>
      <c r="D27" s="3" t="n">
        <v>3</v>
      </c>
      <c r="E27" s="3" t="n">
        <v>3</v>
      </c>
      <c r="F27" s="3" t="n">
        <v>3</v>
      </c>
      <c r="G27" s="3" t="n">
        <v>3</v>
      </c>
      <c r="H27" s="3" t="n">
        <v>2.75</v>
      </c>
      <c r="I27" s="3" t="n">
        <v>2.5</v>
      </c>
      <c r="J27" s="3" t="n">
        <v>2.5</v>
      </c>
      <c r="K27" s="3" t="n">
        <v>2.5</v>
      </c>
      <c r="L27" s="3" t="n">
        <v>2.5</v>
      </c>
    </row>
    <row r="28" customFormat="false" ht="15" hidden="false" customHeight="false" outlineLevel="0" collapsed="false">
      <c r="A28" s="0" t="s">
        <v>107</v>
      </c>
      <c r="C28" s="3" t="n">
        <v>27.3</v>
      </c>
      <c r="D28" s="3" t="n">
        <v>27.1</v>
      </c>
      <c r="E28" s="3" t="n">
        <v>27.1</v>
      </c>
      <c r="F28" s="3" t="n">
        <v>27.1</v>
      </c>
      <c r="G28" s="3" t="n">
        <v>27</v>
      </c>
      <c r="H28" s="3" t="n">
        <v>27</v>
      </c>
      <c r="I28" s="3" t="n">
        <v>27</v>
      </c>
      <c r="J28" s="3" t="n">
        <v>27</v>
      </c>
      <c r="K28" s="3" t="n">
        <v>27</v>
      </c>
      <c r="L28" s="3" t="n">
        <v>27</v>
      </c>
    </row>
    <row r="29" customFormat="false" ht="15" hidden="false" customHeight="false" outlineLevel="0" collapsed="false">
      <c r="A29" s="0" t="s">
        <v>108</v>
      </c>
      <c r="C29" s="3" t="n">
        <v>0.42</v>
      </c>
      <c r="D29" s="3" t="n">
        <v>0.42</v>
      </c>
      <c r="E29" s="3" t="n">
        <v>0.42</v>
      </c>
      <c r="F29" s="3" t="n">
        <v>0.42</v>
      </c>
      <c r="G29" s="3" t="n">
        <v>0.42</v>
      </c>
      <c r="H29" s="3" t="n">
        <v>0.42</v>
      </c>
      <c r="I29" s="3" t="n">
        <v>0.42</v>
      </c>
      <c r="J29" s="3" t="n">
        <v>0.42</v>
      </c>
      <c r="K29" s="3" t="n">
        <v>0.42</v>
      </c>
      <c r="L29" s="3" t="n">
        <v>0.42</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12.3</v>
      </c>
      <c r="D31" s="3" t="n">
        <v>12</v>
      </c>
      <c r="E31" s="3" t="n">
        <v>11.8</v>
      </c>
      <c r="F31" s="3" t="n">
        <v>11.6</v>
      </c>
      <c r="G31" s="3" t="n">
        <v>11.4</v>
      </c>
      <c r="H31" s="3" t="n">
        <v>11.2</v>
      </c>
      <c r="I31" s="3" t="n">
        <v>11</v>
      </c>
      <c r="J31" s="3" t="n">
        <v>11</v>
      </c>
      <c r="K31" s="3" t="n">
        <v>11</v>
      </c>
      <c r="L31" s="3" t="n">
        <v>11</v>
      </c>
    </row>
    <row r="32" customFormat="false" ht="15" hidden="false" customHeight="false" outlineLevel="0" collapsed="false">
      <c r="A32" s="0" t="s">
        <v>111</v>
      </c>
      <c r="C32" s="3" t="n">
        <v>9.6</v>
      </c>
      <c r="D32" s="3" t="n">
        <v>10</v>
      </c>
      <c r="E32" s="3" t="n">
        <v>10</v>
      </c>
      <c r="F32" s="3" t="n">
        <v>10</v>
      </c>
      <c r="G32" s="3" t="n">
        <v>9.5</v>
      </c>
      <c r="H32" s="3" t="n">
        <v>9.5</v>
      </c>
      <c r="I32" s="3" t="n">
        <v>9.5</v>
      </c>
      <c r="J32" s="3" t="n">
        <v>9.5</v>
      </c>
      <c r="K32" s="3" t="n">
        <v>9.5</v>
      </c>
      <c r="L32" s="3" t="n">
        <v>9.5</v>
      </c>
    </row>
    <row r="33" customFormat="false" ht="15" hidden="false" customHeight="false" outlineLevel="0" collapsed="false">
      <c r="A33" s="0" t="s">
        <v>112</v>
      </c>
      <c r="C33" s="3" t="n">
        <v>2.5</v>
      </c>
      <c r="D33" s="3" t="n">
        <v>3</v>
      </c>
      <c r="E33" s="3" t="n">
        <v>3.5</v>
      </c>
      <c r="F33" s="3" t="n">
        <v>4</v>
      </c>
      <c r="G33" s="3" t="n">
        <v>4.5</v>
      </c>
      <c r="H33" s="3" t="n">
        <v>5</v>
      </c>
      <c r="I33" s="3" t="n">
        <v>5</v>
      </c>
      <c r="J33" s="3" t="n">
        <v>5</v>
      </c>
      <c r="K33" s="3" t="n">
        <v>5</v>
      </c>
      <c r="L33" s="3" t="n">
        <v>5</v>
      </c>
    </row>
    <row r="34" customFormat="false" ht="15" hidden="false" customHeight="false" outlineLevel="0" collapsed="false">
      <c r="A34" s="0" t="s">
        <v>113</v>
      </c>
      <c r="B34" s="3" t="n">
        <v>9</v>
      </c>
    </row>
    <row r="35" customFormat="false" ht="15" hidden="false" customHeight="false" outlineLevel="0" collapsed="false">
      <c r="A35" s="0" t="s">
        <v>114</v>
      </c>
      <c r="B35" s="3" t="n">
        <v>2.5</v>
      </c>
    </row>
    <row r="36" customFormat="false" ht="15" hidden="false" customHeight="false" outlineLevel="0" collapsed="false">
      <c r="A36" s="0" t="s">
        <v>115</v>
      </c>
      <c r="B36" s="3" t="n">
        <v>18</v>
      </c>
    </row>
    <row r="37" customFormat="false" ht="15" hidden="false" customHeight="false" outlineLevel="0" collapsed="false">
      <c r="A37" s="0" t="s">
        <v>116</v>
      </c>
      <c r="B37" s="3" t="n">
        <v>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0.6</v>
      </c>
      <c r="D41" s="3" t="n">
        <v>5</v>
      </c>
      <c r="E41" s="3" t="n">
        <v>4.5</v>
      </c>
      <c r="F41" s="3" t="n">
        <v>4</v>
      </c>
      <c r="G41" s="3" t="n">
        <v>3.5</v>
      </c>
      <c r="H41" s="3" t="n">
        <v>3</v>
      </c>
      <c r="I41" s="3" t="n">
        <v>3</v>
      </c>
      <c r="J41" s="3" t="n">
        <v>3</v>
      </c>
      <c r="K41" s="3" t="n">
        <v>3</v>
      </c>
      <c r="L41" s="3" t="n">
        <v>3</v>
      </c>
    </row>
    <row r="42" customFormat="false" ht="15" hidden="false" customHeight="false" outlineLevel="0" collapsed="false">
      <c r="A42" s="0" t="s">
        <v>107</v>
      </c>
      <c r="C42" s="3" t="n">
        <v>27.4</v>
      </c>
      <c r="D42" s="3" t="n">
        <v>27.6</v>
      </c>
      <c r="E42" s="3" t="n">
        <v>27.9</v>
      </c>
      <c r="F42" s="3" t="n">
        <v>28.2</v>
      </c>
      <c r="G42" s="3" t="n">
        <v>28.4</v>
      </c>
      <c r="H42" s="3" t="n">
        <v>28.5</v>
      </c>
      <c r="I42" s="3" t="n">
        <v>28.5</v>
      </c>
      <c r="J42" s="3" t="n">
        <v>28.5</v>
      </c>
      <c r="K42" s="3" t="n">
        <v>28.5</v>
      </c>
      <c r="L42" s="3" t="n">
        <v>28.5</v>
      </c>
    </row>
    <row r="43" customFormat="false" ht="15" hidden="false" customHeight="false" outlineLevel="0" collapsed="false">
      <c r="A43" s="0" t="s">
        <v>108</v>
      </c>
      <c r="C43" s="3" t="n">
        <v>0.42</v>
      </c>
      <c r="D43" s="3" t="n">
        <v>0.42</v>
      </c>
      <c r="E43" s="3" t="n">
        <v>0.42</v>
      </c>
      <c r="F43" s="3" t="n">
        <v>0.42</v>
      </c>
      <c r="G43" s="3" t="n">
        <v>0.42</v>
      </c>
      <c r="H43" s="3" t="n">
        <v>0.42</v>
      </c>
      <c r="I43" s="3" t="n">
        <v>0.42</v>
      </c>
      <c r="J43" s="3" t="n">
        <v>0.42</v>
      </c>
      <c r="K43" s="3" t="n">
        <v>0.42</v>
      </c>
      <c r="L43" s="3" t="n">
        <v>0.42</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12.3</v>
      </c>
      <c r="D45" s="3" t="n">
        <v>12</v>
      </c>
      <c r="E45" s="3" t="n">
        <v>11.7</v>
      </c>
      <c r="F45" s="3" t="n">
        <v>11.4</v>
      </c>
      <c r="G45" s="3" t="n">
        <v>11.2</v>
      </c>
      <c r="H45" s="3" t="n">
        <v>11</v>
      </c>
      <c r="I45" s="3" t="n">
        <v>11</v>
      </c>
      <c r="J45" s="3" t="n">
        <v>11</v>
      </c>
      <c r="K45" s="3" t="n">
        <v>11</v>
      </c>
      <c r="L45" s="3" t="n">
        <v>11</v>
      </c>
    </row>
    <row r="46" customFormat="false" ht="15" hidden="false" customHeight="false" outlineLevel="0" collapsed="false">
      <c r="A46" s="0" t="s">
        <v>111</v>
      </c>
      <c r="C46" s="3" t="n">
        <v>9.6</v>
      </c>
      <c r="D46" s="3" t="n">
        <v>10</v>
      </c>
      <c r="E46" s="3" t="n">
        <v>9.5</v>
      </c>
      <c r="F46" s="3" t="n">
        <v>9.5</v>
      </c>
      <c r="G46" s="3" t="n">
        <v>9</v>
      </c>
      <c r="H46" s="3" t="n">
        <v>9</v>
      </c>
      <c r="I46" s="3" t="n">
        <v>9</v>
      </c>
      <c r="J46" s="3" t="n">
        <v>9</v>
      </c>
      <c r="K46" s="3" t="n">
        <v>9</v>
      </c>
      <c r="L46" s="3" t="n">
        <v>9</v>
      </c>
    </row>
    <row r="47" customFormat="false" ht="15" hidden="false" customHeight="false" outlineLevel="0" collapsed="false">
      <c r="A47" s="0" t="s">
        <v>112</v>
      </c>
      <c r="C47" s="3" t="n">
        <v>2.5</v>
      </c>
      <c r="D47" s="3" t="n">
        <v>3</v>
      </c>
      <c r="E47" s="3" t="n">
        <v>3.5</v>
      </c>
      <c r="F47" s="3" t="n">
        <v>4</v>
      </c>
      <c r="G47" s="3" t="n">
        <v>4.5</v>
      </c>
      <c r="H47" s="3" t="n">
        <v>5</v>
      </c>
      <c r="I47" s="3" t="n">
        <v>5</v>
      </c>
      <c r="J47" s="3" t="n">
        <v>5</v>
      </c>
      <c r="K47" s="3" t="n">
        <v>5</v>
      </c>
      <c r="L47" s="3" t="n">
        <v>5</v>
      </c>
    </row>
    <row r="48" customFormat="false" ht="15" hidden="false" customHeight="false" outlineLevel="0" collapsed="false">
      <c r="A48" s="0" t="s">
        <v>113</v>
      </c>
      <c r="B48" s="3" t="n">
        <v>9</v>
      </c>
    </row>
    <row r="49" customFormat="false" ht="15" hidden="false" customHeight="false" outlineLevel="0" collapsed="false">
      <c r="A49" s="0" t="s">
        <v>114</v>
      </c>
      <c r="B49" s="3" t="n">
        <v>3</v>
      </c>
    </row>
    <row r="50" customFormat="false" ht="15" hidden="false" customHeight="false" outlineLevel="0" collapsed="false">
      <c r="A50" s="0" t="s">
        <v>115</v>
      </c>
      <c r="B50" s="3" t="n">
        <v>18</v>
      </c>
    </row>
    <row r="51" customFormat="false" ht="15" hidden="false" customHeight="false" outlineLevel="0" collapsed="false">
      <c r="A51" s="0" t="s">
        <v>116</v>
      </c>
      <c r="B51" s="3" t="n">
        <v>0</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0.2</v>
      </c>
      <c r="D5" s="4" t="n">
        <f aca="false">Assumptions!D13</f>
        <v>-8</v>
      </c>
      <c r="E5" s="4" t="n">
        <f aca="false">Assumptions!E13</f>
        <v>-4</v>
      </c>
      <c r="F5" s="4" t="n">
        <f aca="false">Assumptions!F13</f>
        <v>4</v>
      </c>
      <c r="G5" s="4" t="n">
        <f aca="false">Assumptions!G13</f>
        <v>5</v>
      </c>
      <c r="H5" s="4" t="n">
        <f aca="false">Assumptions!H13</f>
        <v>4</v>
      </c>
      <c r="I5" s="4" t="n">
        <f aca="false">Assumptions!I13</f>
        <v>3</v>
      </c>
      <c r="J5" s="4" t="n">
        <f aca="false">Assumptions!J13</f>
        <v>2.5</v>
      </c>
      <c r="K5" s="4" t="n">
        <f aca="false">Assumptions!K13</f>
        <v>2.5</v>
      </c>
      <c r="L5" s="4" t="n">
        <f aca="false">Assumptions!L13</f>
        <v>2</v>
      </c>
    </row>
    <row r="6" customFormat="false" ht="15" hidden="false" customHeight="false" outlineLevel="0" collapsed="false">
      <c r="A6" s="0" t="s">
        <v>37</v>
      </c>
      <c r="B6" s="3" t="n">
        <v>6114</v>
      </c>
      <c r="C6" s="0" t="n">
        <f aca="false">B6*(1+C5/100)</f>
        <v>6126.228</v>
      </c>
      <c r="D6" s="0" t="n">
        <f aca="false">C6*(1+D5/100)</f>
        <v>5636.12976</v>
      </c>
      <c r="E6" s="0" t="n">
        <f aca="false">D6*(1+E5/100)</f>
        <v>5410.6845696</v>
      </c>
      <c r="F6" s="0" t="n">
        <f aca="false">E6*(1+F5/100)</f>
        <v>5627.111952384</v>
      </c>
      <c r="G6" s="0" t="n">
        <f aca="false">F6*(1+G5/100)</f>
        <v>5908.4675500032</v>
      </c>
      <c r="H6" s="0" t="n">
        <f aca="false">G6*(1+H5/100)</f>
        <v>6144.80625200333</v>
      </c>
      <c r="I6" s="0" t="n">
        <f aca="false">H6*(1+I5/100)</f>
        <v>6329.15043956343</v>
      </c>
      <c r="J6" s="0" t="n">
        <f aca="false">I6*(1+J5/100)</f>
        <v>6487.37920055251</v>
      </c>
      <c r="K6" s="0" t="n">
        <f aca="false">J6*(1+K5/100)</f>
        <v>6649.56368056633</v>
      </c>
      <c r="L6" s="0" t="n">
        <f aca="false">K6*(1+L5/100)</f>
        <v>6782.55495417765</v>
      </c>
    </row>
    <row r="7" customFormat="false" ht="15" hidden="false" customHeight="false" outlineLevel="0" collapsed="false">
      <c r="A7" s="0" t="s">
        <v>107</v>
      </c>
      <c r="C7" s="4" t="n">
        <f aca="false">Assumptions!C14</f>
        <v>27</v>
      </c>
      <c r="D7" s="4" t="n">
        <f aca="false">Assumptions!D14</f>
        <v>23.5</v>
      </c>
      <c r="E7" s="4" t="n">
        <f aca="false">Assumptions!E14</f>
        <v>22</v>
      </c>
      <c r="F7" s="4" t="n">
        <f aca="false">Assumptions!F14</f>
        <v>24</v>
      </c>
      <c r="G7" s="4" t="n">
        <f aca="false">Assumptions!G14</f>
        <v>25.5</v>
      </c>
      <c r="H7" s="4" t="n">
        <f aca="false">Assumptions!H14</f>
        <v>26</v>
      </c>
      <c r="I7" s="4" t="n">
        <f aca="false">Assumptions!I14</f>
        <v>26</v>
      </c>
      <c r="J7" s="4" t="n">
        <f aca="false">Assumptions!J14</f>
        <v>26</v>
      </c>
      <c r="K7" s="4" t="n">
        <f aca="false">Assumptions!K14</f>
        <v>26</v>
      </c>
      <c r="L7" s="4" t="n">
        <f aca="false">Assumptions!L14</f>
        <v>26</v>
      </c>
    </row>
    <row r="8" customFormat="false" ht="15" hidden="false" customHeight="false" outlineLevel="0" collapsed="false">
      <c r="A8" s="0" t="s">
        <v>43</v>
      </c>
      <c r="C8" s="0" t="n">
        <f aca="false">C6*C7/100</f>
        <v>1654.08156</v>
      </c>
      <c r="D8" s="0" t="n">
        <f aca="false">D6*D7/100</f>
        <v>1324.4904936</v>
      </c>
      <c r="E8" s="0" t="n">
        <f aca="false">E6*E7/100</f>
        <v>1190.350605312</v>
      </c>
      <c r="F8" s="0" t="n">
        <f aca="false">F6*F7/100</f>
        <v>1350.50686857216</v>
      </c>
      <c r="G8" s="0" t="n">
        <f aca="false">G6*G7/100</f>
        <v>1506.65922525082</v>
      </c>
      <c r="H8" s="0" t="n">
        <f aca="false">H6*H7/100</f>
        <v>1597.64962552087</v>
      </c>
      <c r="I8" s="0" t="n">
        <f aca="false">I6*I7/100</f>
        <v>1645.57911428649</v>
      </c>
      <c r="J8" s="0" t="n">
        <f aca="false">J6*J7/100</f>
        <v>1686.71859214365</v>
      </c>
      <c r="K8" s="0" t="n">
        <f aca="false">K6*K7/100</f>
        <v>1728.88655694724</v>
      </c>
      <c r="L8" s="0" t="n">
        <f aca="false">L6*L7/100</f>
        <v>1763.46428808619</v>
      </c>
    </row>
    <row r="9" customFormat="false" ht="15" hidden="false" customHeight="false" outlineLevel="0" collapsed="false">
      <c r="A9" s="0" t="s">
        <v>108</v>
      </c>
      <c r="C9" s="4" t="n">
        <f aca="false">Assumptions!C15</f>
        <v>0.42</v>
      </c>
      <c r="D9" s="4" t="n">
        <f aca="false">Assumptions!D15</f>
        <v>0.45</v>
      </c>
      <c r="E9" s="4" t="n">
        <f aca="false">Assumptions!E15</f>
        <v>0.45</v>
      </c>
      <c r="F9" s="4" t="n">
        <f aca="false">Assumptions!F15</f>
        <v>0.42</v>
      </c>
      <c r="G9" s="4" t="n">
        <f aca="false">Assumptions!G15</f>
        <v>0.42</v>
      </c>
      <c r="H9" s="4" t="n">
        <f aca="false">Assumptions!H15</f>
        <v>0.42</v>
      </c>
      <c r="I9" s="4" t="n">
        <f aca="false">Assumptions!I15</f>
        <v>0.42</v>
      </c>
      <c r="J9" s="4" t="n">
        <f aca="false">Assumptions!J15</f>
        <v>0.42</v>
      </c>
      <c r="K9" s="4" t="n">
        <f aca="false">Assumptions!K15</f>
        <v>0.42</v>
      </c>
      <c r="L9" s="4" t="n">
        <f aca="false">Assumptions!L15</f>
        <v>0.42</v>
      </c>
    </row>
    <row r="10" customFormat="false" ht="15" hidden="false" customHeight="false" outlineLevel="0" collapsed="false">
      <c r="A10" s="0" t="s">
        <v>123</v>
      </c>
      <c r="C10" s="0" t="n">
        <f aca="false">-C6*C9/100</f>
        <v>-25.7301576</v>
      </c>
      <c r="D10" s="0" t="n">
        <f aca="false">-D6*D9/100</f>
        <v>-25.36258392</v>
      </c>
      <c r="E10" s="0" t="n">
        <f aca="false">-E6*E9/100</f>
        <v>-24.3480805632</v>
      </c>
      <c r="F10" s="0" t="n">
        <f aca="false">-F6*F9/100</f>
        <v>-23.6338702000128</v>
      </c>
      <c r="G10" s="0" t="n">
        <f aca="false">-G6*G9/100</f>
        <v>-24.8155637100134</v>
      </c>
      <c r="H10" s="0" t="n">
        <f aca="false">-H6*H9/100</f>
        <v>-25.808186258414</v>
      </c>
      <c r="I10" s="0" t="n">
        <f aca="false">-I6*I9/100</f>
        <v>-26.5824318461664</v>
      </c>
      <c r="J10" s="0" t="n">
        <f aca="false">-J6*J9/100</f>
        <v>-27.2469926423206</v>
      </c>
      <c r="K10" s="0" t="n">
        <f aca="false">-K6*K9/100</f>
        <v>-27.9281674583786</v>
      </c>
      <c r="L10" s="0" t="n">
        <f aca="false">-L6*L9/100</f>
        <v>-28.4867308075461</v>
      </c>
    </row>
    <row r="11" customFormat="false" ht="15" hidden="false" customHeight="false" outlineLevel="0" collapsed="false">
      <c r="A11" s="0" t="s">
        <v>124</v>
      </c>
      <c r="C11" s="0" t="n">
        <f aca="false">C8+C10+C24</f>
        <v>1628.3514024</v>
      </c>
      <c r="D11" s="0" t="n">
        <f aca="false">D8+D10+D24</f>
        <v>1299.12790968</v>
      </c>
      <c r="E11" s="0" t="n">
        <f aca="false">E8+E10+E24</f>
        <v>1166.0025247488</v>
      </c>
      <c r="F11" s="0" t="n">
        <f aca="false">F8+F10+F24</f>
        <v>1326.87299837215</v>
      </c>
      <c r="G11" s="0" t="n">
        <f aca="false">G8+G10+G24</f>
        <v>1481.8436615408</v>
      </c>
      <c r="H11" s="0" t="n">
        <f aca="false">H8+H10+H24</f>
        <v>1571.84143926245</v>
      </c>
      <c r="I11" s="0" t="n">
        <f aca="false">I8+I10+I24</f>
        <v>1618.99668244032</v>
      </c>
      <c r="J11" s="0" t="n">
        <f aca="false">J8+J10+J24</f>
        <v>1659.47159950133</v>
      </c>
      <c r="K11" s="0" t="n">
        <f aca="false">K8+K10+K24</f>
        <v>1700.95838948887</v>
      </c>
      <c r="L11" s="0" t="n">
        <f aca="false">L8+L10+L24</f>
        <v>1734.97755727864</v>
      </c>
    </row>
    <row r="12" customFormat="false" ht="15" hidden="false" customHeight="false" outlineLevel="0" collapsed="false">
      <c r="A12" s="0" t="s">
        <v>125</v>
      </c>
      <c r="C12" s="4" t="n">
        <f aca="false">-C6*Assumptions!C17/100</f>
        <v>-753.526044</v>
      </c>
      <c r="D12" s="4" t="n">
        <f aca="false">-D6*Assumptions!D17/100</f>
        <v>-732.6968688</v>
      </c>
      <c r="E12" s="4" t="n">
        <f aca="false">-E6*Assumptions!E17/100</f>
        <v>-730.442416896</v>
      </c>
      <c r="F12" s="4" t="n">
        <f aca="false">-F6*Assumptions!F17/100</f>
        <v>-731.52455380992</v>
      </c>
      <c r="G12" s="4" t="n">
        <f aca="false">-G6*Assumptions!G17/100</f>
        <v>-738.5584437504</v>
      </c>
      <c r="H12" s="4" t="n">
        <f aca="false">-H6*Assumptions!H17/100</f>
        <v>-737.376750240399</v>
      </c>
      <c r="I12" s="4" t="n">
        <f aca="false">-I6*Assumptions!I17/100</f>
        <v>-727.852300549794</v>
      </c>
      <c r="J12" s="4" t="n">
        <f aca="false">-J6*Assumptions!J17/100</f>
        <v>-746.048608063539</v>
      </c>
      <c r="K12" s="4" t="n">
        <f aca="false">-K6*Assumptions!K17/100</f>
        <v>-764.699823265128</v>
      </c>
      <c r="L12" s="4" t="n">
        <f aca="false">-L6*Assumptions!L17/100</f>
        <v>-779.99381973043</v>
      </c>
    </row>
    <row r="13" customFormat="false" ht="15" hidden="false" customHeight="false" outlineLevel="0" collapsed="false">
      <c r="A13" s="0" t="s">
        <v>126</v>
      </c>
      <c r="C13" s="0" t="n">
        <f aca="false">C11+C12</f>
        <v>874.8253584</v>
      </c>
      <c r="D13" s="0" t="n">
        <f aca="false">D11+D12</f>
        <v>566.43104088</v>
      </c>
      <c r="E13" s="0" t="n">
        <f aca="false">E11+E12</f>
        <v>435.5601078528</v>
      </c>
      <c r="F13" s="0" t="n">
        <f aca="false">F11+F12</f>
        <v>595.348444562227</v>
      </c>
      <c r="G13" s="0" t="n">
        <f aca="false">G11+G12</f>
        <v>743.285217790403</v>
      </c>
      <c r="H13" s="0" t="n">
        <f aca="false">H11+H12</f>
        <v>834.464689022052</v>
      </c>
      <c r="I13" s="0" t="n">
        <f aca="false">I11+I12</f>
        <v>891.14438189053</v>
      </c>
      <c r="J13" s="0" t="n">
        <f aca="false">J11+J12</f>
        <v>913.422991437794</v>
      </c>
      <c r="K13" s="0" t="n">
        <f aca="false">K11+K12</f>
        <v>936.258566223739</v>
      </c>
      <c r="L13" s="0" t="n">
        <f aca="false">L11+L12</f>
        <v>954.983737548214</v>
      </c>
    </row>
    <row r="14" customFormat="false" ht="15" hidden="false" customHeight="false" outlineLevel="0" collapsed="false">
      <c r="A14" s="0" t="s">
        <v>112</v>
      </c>
      <c r="C14" s="4" t="n">
        <f aca="false">Assumptions!C19</f>
        <v>2.5</v>
      </c>
      <c r="D14" s="4" t="n">
        <f aca="false">Assumptions!D19</f>
        <v>1</v>
      </c>
      <c r="E14" s="4" t="n">
        <f aca="false">Assumptions!E19</f>
        <v>1</v>
      </c>
      <c r="F14" s="4" t="n">
        <f aca="false">Assumptions!F19</f>
        <v>2</v>
      </c>
      <c r="G14" s="4" t="n">
        <f aca="false">Assumptions!G19</f>
        <v>3</v>
      </c>
      <c r="H14" s="4" t="n">
        <f aca="false">Assumptions!H19</f>
        <v>4</v>
      </c>
      <c r="I14" s="4" t="n">
        <f aca="false">Assumptions!I19</f>
        <v>5</v>
      </c>
      <c r="J14" s="4" t="n">
        <f aca="false">Assumptions!J19</f>
        <v>5</v>
      </c>
      <c r="K14" s="4" t="n">
        <f aca="false">Assumptions!K19</f>
        <v>5</v>
      </c>
      <c r="L14" s="4" t="n">
        <f aca="false">Assumptions!L19</f>
        <v>5</v>
      </c>
    </row>
    <row r="15" customFormat="false" ht="15" hidden="false" customHeight="false" outlineLevel="0" collapsed="false">
      <c r="A15" s="0" t="s">
        <v>127</v>
      </c>
      <c r="C15" s="0" t="n">
        <f aca="false">C13-MAX(0,C13)*C14/100</f>
        <v>852.95472444</v>
      </c>
      <c r="D15" s="0" t="n">
        <f aca="false">D13-MAX(0,D13)*D14/100</f>
        <v>560.7667304712</v>
      </c>
      <c r="E15" s="0" t="n">
        <f aca="false">E13-MAX(0,E13)*E14/100</f>
        <v>431.204506774272</v>
      </c>
      <c r="F15" s="0" t="n">
        <f aca="false">F13-MAX(0,F13)*F14/100</f>
        <v>583.441475670983</v>
      </c>
      <c r="G15" s="0" t="n">
        <f aca="false">G13-MAX(0,G13)*G14/100</f>
        <v>720.986661256691</v>
      </c>
      <c r="H15" s="0" t="n">
        <f aca="false">H13-MAX(0,H13)*H14/100</f>
        <v>801.08610146117</v>
      </c>
      <c r="I15" s="0" t="n">
        <f aca="false">I13-MAX(0,I13)*I14/100</f>
        <v>846.587162796004</v>
      </c>
      <c r="J15" s="0" t="n">
        <f aca="false">J13-MAX(0,J13)*J14/100</f>
        <v>867.751841865904</v>
      </c>
      <c r="K15" s="0" t="n">
        <f aca="false">K13-MAX(0,K13)*K14/100</f>
        <v>889.445637912552</v>
      </c>
      <c r="L15" s="0" t="n">
        <f aca="false">L13-MAX(0,L13)*L14/100</f>
        <v>907.234550670803</v>
      </c>
    </row>
    <row r="16" customFormat="false" ht="15" hidden="false" customHeight="false" outlineLevel="0" collapsed="false">
      <c r="A16" s="0" t="s">
        <v>128</v>
      </c>
      <c r="C16" s="0" t="n">
        <f aca="false">-C12</f>
        <v>753.526044</v>
      </c>
      <c r="D16" s="0" t="n">
        <f aca="false">-D12</f>
        <v>732.6968688</v>
      </c>
      <c r="E16" s="0" t="n">
        <f aca="false">-E12</f>
        <v>730.442416896</v>
      </c>
      <c r="F16" s="0" t="n">
        <f aca="false">-F12</f>
        <v>731.52455380992</v>
      </c>
      <c r="G16" s="0" t="n">
        <f aca="false">-G12</f>
        <v>738.5584437504</v>
      </c>
      <c r="H16" s="0" t="n">
        <f aca="false">-H12</f>
        <v>737.376750240399</v>
      </c>
      <c r="I16" s="0" t="n">
        <f aca="false">-I12</f>
        <v>727.852300549794</v>
      </c>
      <c r="J16" s="0" t="n">
        <f aca="false">-J12</f>
        <v>746.048608063539</v>
      </c>
      <c r="K16" s="0" t="n">
        <f aca="false">-K12</f>
        <v>764.699823265128</v>
      </c>
      <c r="L16" s="0" t="n">
        <f aca="false">-L12</f>
        <v>779.99381973043</v>
      </c>
    </row>
    <row r="17" customFormat="false" ht="15" hidden="false" customHeight="false" outlineLevel="0" collapsed="false">
      <c r="A17" s="0" t="s">
        <v>129</v>
      </c>
      <c r="C17" s="4" t="n">
        <f aca="false">-C6*Assumptions!C18/100</f>
        <v>-588.117888</v>
      </c>
      <c r="D17" s="4" t="n">
        <f aca="false">-D6*Assumptions!D18/100</f>
        <v>-507.2516784</v>
      </c>
      <c r="E17" s="4" t="n">
        <f aca="false">-E6*Assumptions!E18/100</f>
        <v>-432.854765568</v>
      </c>
      <c r="F17" s="4" t="n">
        <f aca="false">-F6*Assumptions!F18/100</f>
        <v>-506.44007571456</v>
      </c>
      <c r="G17" s="4" t="n">
        <f aca="false">-G6*Assumptions!G18/100</f>
        <v>-561.304417250304</v>
      </c>
      <c r="H17" s="4" t="n">
        <f aca="false">-H6*Assumptions!H18/100</f>
        <v>-583.756593940316</v>
      </c>
      <c r="I17" s="4" t="n">
        <f aca="false">-I6*Assumptions!I18/100</f>
        <v>-601.269291758526</v>
      </c>
      <c r="J17" s="4" t="n">
        <f aca="false">-J6*Assumptions!J18/100</f>
        <v>-616.301024052489</v>
      </c>
      <c r="K17" s="4" t="n">
        <f aca="false">-K6*Assumptions!K18/100</f>
        <v>-631.708549653801</v>
      </c>
      <c r="L17" s="4" t="n">
        <f aca="false">-L6*Assumptions!L18/100</f>
        <v>-644.342720646877</v>
      </c>
    </row>
    <row r="18" customFormat="false" ht="15" hidden="false" customHeight="false" outlineLevel="0" collapsed="false">
      <c r="A18" s="0" t="s">
        <v>130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131</v>
      </c>
      <c r="C19" s="0" t="n">
        <f aca="false">C15+C16+C17+C18</f>
        <v>1018.36288044</v>
      </c>
      <c r="D19" s="0" t="n">
        <f aca="false">D15+D16+D17+D18</f>
        <v>786.2119208712</v>
      </c>
      <c r="E19" s="0" t="n">
        <f aca="false">E15+E16+E17+E18</f>
        <v>728.792158102272</v>
      </c>
      <c r="F19" s="0" t="n">
        <f aca="false">F15+F16+F17+F18</f>
        <v>808.525953766343</v>
      </c>
      <c r="G19" s="0" t="n">
        <f aca="false">G15+G16+G17+G18</f>
        <v>898.240687756787</v>
      </c>
      <c r="H19" s="0" t="n">
        <f aca="false">H15+H16+H17+H18</f>
        <v>954.706257761253</v>
      </c>
      <c r="I19" s="0" t="n">
        <f aca="false">I15+I16+I17+I18</f>
        <v>973.170171587273</v>
      </c>
      <c r="J19" s="0" t="n">
        <f aca="false">J15+J16+J17+J18</f>
        <v>997.499425876955</v>
      </c>
      <c r="K19" s="0" t="n">
        <f aca="false">K15+K16+K17+K18</f>
        <v>1022.43691152388</v>
      </c>
      <c r="L19" s="0" t="n">
        <f aca="false">L15+L16+L17+L18</f>
        <v>1042.88564975436</v>
      </c>
    </row>
    <row r="20" customFormat="false" ht="15" hidden="false" customHeight="false" outlineLevel="0" collapsed="false">
      <c r="A20" s="0" t="s">
        <v>132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133</v>
      </c>
      <c r="C21" s="0" t="n">
        <f aca="false">C19*C20</f>
        <v>934.277871963303</v>
      </c>
      <c r="D21" s="0" t="n">
        <f aca="false">D19*D20</f>
        <v>661.738844264961</v>
      </c>
      <c r="E21" s="0" t="n">
        <f aca="false">E19*E20</f>
        <v>562.761264884626</v>
      </c>
      <c r="F21" s="0" t="n">
        <f aca="false">F19*F20</f>
        <v>572.780169448611</v>
      </c>
      <c r="G21" s="0" t="n">
        <f aca="false">G19*G20</f>
        <v>583.794815423347</v>
      </c>
      <c r="H21" s="0" t="n">
        <f aca="false">H19*H20</f>
        <v>569.260148270162</v>
      </c>
      <c r="I21" s="0" t="n">
        <f aca="false">I19*I20</f>
        <v>532.357409918285</v>
      </c>
      <c r="J21" s="0" t="n">
        <f aca="false">J19*J20</f>
        <v>500.611325840589</v>
      </c>
      <c r="K21" s="0" t="n">
        <f aca="false">K19*K20</f>
        <v>470.758356868444</v>
      </c>
      <c r="L21" s="0" t="n">
        <f aca="false">L19*L20</f>
        <v>440.526168812672</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9</v>
      </c>
    </row>
    <row r="28" customFormat="false" ht="15" hidden="false" customHeight="false" outlineLevel="0" collapsed="false">
      <c r="A28" s="0" t="s">
        <v>114</v>
      </c>
      <c r="B28" s="4" t="n">
        <f aca="false">Assumptions!$B$21</f>
        <v>2</v>
      </c>
    </row>
    <row r="29" customFormat="false" ht="15" hidden="false" customHeight="false" outlineLevel="0" collapsed="false">
      <c r="A29" s="0" t="s">
        <v>115</v>
      </c>
      <c r="B29" s="4" t="n">
        <f aca="false">Assumptions!$B$22</f>
        <v>18</v>
      </c>
    </row>
    <row r="30" customFormat="false" ht="15" hidden="false" customHeight="false" outlineLevel="0" collapsed="false">
      <c r="A30" s="0" t="s">
        <v>136</v>
      </c>
      <c r="B30" s="0" t="n">
        <f aca="false">SUM(C21:L21)</f>
        <v>5828.866375695</v>
      </c>
    </row>
    <row r="31" customFormat="false" ht="15" hidden="false" customHeight="false" outlineLevel="0" collapsed="false">
      <c r="A31" s="0" t="s">
        <v>137</v>
      </c>
      <c r="B31" s="0" t="n">
        <f aca="false">L19</f>
        <v>1042.88564975436</v>
      </c>
    </row>
    <row r="32" customFormat="false" ht="15" hidden="false" customHeight="false" outlineLevel="0" collapsed="false">
      <c r="A32" s="0" t="s">
        <v>138</v>
      </c>
      <c r="B32" s="0" t="n">
        <f aca="false">IF(B27&gt;B28,B31*(1+B28/100)/((B27-B28)/100),B31*B29)</f>
        <v>15196.3337535635</v>
      </c>
    </row>
    <row r="33" customFormat="false" ht="15" hidden="false" customHeight="false" outlineLevel="0" collapsed="false">
      <c r="A33" s="0" t="s">
        <v>139</v>
      </c>
      <c r="B33" s="0" t="n">
        <f aca="false">B31*B29</f>
        <v>18771.9416955784</v>
      </c>
    </row>
    <row r="34" customFormat="false" ht="15" hidden="false" customHeight="false" outlineLevel="0" collapsed="false">
      <c r="A34" s="0" t="s">
        <v>140</v>
      </c>
      <c r="B34" s="0" t="n">
        <f aca="false">MAX(0,MIN(B32,B33))</f>
        <v>15196.3337535635</v>
      </c>
    </row>
    <row r="35" customFormat="false" ht="15" hidden="false" customHeight="false" outlineLevel="0" collapsed="false">
      <c r="A35" s="0" t="s">
        <v>141</v>
      </c>
      <c r="B35" s="0" t="n">
        <f aca="false">B34/(1+B27/100)^L4</f>
        <v>6419.09560269894</v>
      </c>
    </row>
    <row r="36" customFormat="false" ht="15" hidden="false" customHeight="false" outlineLevel="0" collapsed="false">
      <c r="A36" s="0" t="s">
        <v>142</v>
      </c>
      <c r="B36" s="0" t="n">
        <f aca="false">B30+B35</f>
        <v>12247.9619783939</v>
      </c>
    </row>
    <row r="37" customFormat="false" ht="15" hidden="false" customHeight="false" outlineLevel="0" collapsed="false">
      <c r="A37" s="0" t="s">
        <v>143</v>
      </c>
      <c r="B37" s="0" t="n">
        <f aca="false">B36+Assumptions!$B$5-Assumptions!$B$4</f>
        <v>8557.96197839394</v>
      </c>
    </row>
    <row r="38" customFormat="false" ht="15" hidden="false" customHeight="false" outlineLevel="0" collapsed="false">
      <c r="A38" s="0" t="s">
        <v>144</v>
      </c>
      <c r="B38" s="0" t="n">
        <f aca="false">B37/Assumptions!$B$3*Assumptions!$B$10</f>
        <v>12.4280598001655</v>
      </c>
    </row>
    <row r="39" customFormat="false" ht="15" hidden="false" customHeight="false" outlineLevel="0" collapsed="false">
      <c r="A39" s="0" t="s">
        <v>145</v>
      </c>
      <c r="B39" s="4" t="n">
        <f aca="false">B38/Assumptions!$B$2-1</f>
        <v>-0.451541932914146</v>
      </c>
    </row>
    <row r="41" customFormat="false" ht="15" hidden="false" customHeight="false" outlineLevel="0" collapsed="false">
      <c r="A41" s="0" t="s">
        <v>146</v>
      </c>
      <c r="B41" s="0" t="n">
        <f aca="false">SUMPRODUCT(-C10:L10/(1+$B$27/100)^C4:L4)</f>
        <v>165.121690095676</v>
      </c>
    </row>
    <row r="42" customFormat="false" ht="15" hidden="false" customHeight="false" outlineLevel="0" collapsed="false">
      <c r="A42" s="0" t="s">
        <v>147</v>
      </c>
      <c r="B42" s="0" t="n">
        <f aca="false">IF(B27&gt;B28,-L10*(1+B28/100)/((B27-B28)/100),-L10*20)/(1+B27/100)^L4</f>
        <v>175.339500073722</v>
      </c>
    </row>
    <row r="43" customFormat="false" ht="15" hidden="false" customHeight="false" outlineLevel="0" collapsed="false">
      <c r="A43" s="0" t="s">
        <v>148</v>
      </c>
      <c r="B43" s="0" t="n">
        <f aca="false">(B37+B41+B42)/Assumptions!$B$3*Assumptions!$B$10</f>
        <v>12.9224849964614</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8182.64125191879</v>
      </c>
    </row>
    <row r="47" customFormat="false" ht="15" hidden="false" customHeight="false" outlineLevel="0" collapsed="false">
      <c r="A47" s="0" t="s">
        <v>150</v>
      </c>
      <c r="B47" s="0" t="n">
        <f aca="false">(SUMPRODUCT(C19:L19/(1+B45/100)^C4:L4)+B46/(1+B45/100)^L4+Assumptions!$B$5-Assumptions!$B$4)/Assumptions!$B$3*Assumptions!$B$10</f>
        <v>4.14436092761105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0.4</v>
      </c>
      <c r="D5" s="4" t="n">
        <f aca="false">Assumptions!D27</f>
        <v>3</v>
      </c>
      <c r="E5" s="4" t="n">
        <f aca="false">Assumptions!E27</f>
        <v>3</v>
      </c>
      <c r="F5" s="4" t="n">
        <f aca="false">Assumptions!F27</f>
        <v>3</v>
      </c>
      <c r="G5" s="4" t="n">
        <f aca="false">Assumptions!G27</f>
        <v>3</v>
      </c>
      <c r="H5" s="4" t="n">
        <f aca="false">Assumptions!H27</f>
        <v>2.75</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37</v>
      </c>
      <c r="B6" s="3" t="n">
        <v>6114</v>
      </c>
      <c r="C6" s="0" t="n">
        <f aca="false">B6*(1+C5/100)</f>
        <v>6138.456</v>
      </c>
      <c r="D6" s="0" t="n">
        <f aca="false">C6*(1+D5/100)</f>
        <v>6322.60968</v>
      </c>
      <c r="E6" s="0" t="n">
        <f aca="false">D6*(1+E5/100)</f>
        <v>6512.2879704</v>
      </c>
      <c r="F6" s="0" t="n">
        <f aca="false">E6*(1+F5/100)</f>
        <v>6707.656609512</v>
      </c>
      <c r="G6" s="0" t="n">
        <f aca="false">F6*(1+G5/100)</f>
        <v>6908.88630779736</v>
      </c>
      <c r="H6" s="0" t="n">
        <f aca="false">G6*(1+H5/100)</f>
        <v>7098.88068126179</v>
      </c>
      <c r="I6" s="0" t="n">
        <f aca="false">H6*(1+I5/100)</f>
        <v>7276.35269829333</v>
      </c>
      <c r="J6" s="0" t="n">
        <f aca="false">I6*(1+J5/100)</f>
        <v>7458.26151575067</v>
      </c>
      <c r="K6" s="0" t="n">
        <f aca="false">J6*(1+K5/100)</f>
        <v>7644.71805364443</v>
      </c>
      <c r="L6" s="0" t="n">
        <f aca="false">K6*(1+L5/100)</f>
        <v>7835.83600498554</v>
      </c>
    </row>
    <row r="7" customFormat="false" ht="15" hidden="false" customHeight="false" outlineLevel="0" collapsed="false">
      <c r="A7" s="0" t="s">
        <v>107</v>
      </c>
      <c r="C7" s="4" t="n">
        <f aca="false">Assumptions!C28</f>
        <v>27.3</v>
      </c>
      <c r="D7" s="4" t="n">
        <f aca="false">Assumptions!D28</f>
        <v>27.1</v>
      </c>
      <c r="E7" s="4" t="n">
        <f aca="false">Assumptions!E28</f>
        <v>27.1</v>
      </c>
      <c r="F7" s="4" t="n">
        <f aca="false">Assumptions!F28</f>
        <v>27.1</v>
      </c>
      <c r="G7" s="4" t="n">
        <f aca="false">Assumptions!G28</f>
        <v>27</v>
      </c>
      <c r="H7" s="4" t="n">
        <f aca="false">Assumptions!H28</f>
        <v>27</v>
      </c>
      <c r="I7" s="4" t="n">
        <f aca="false">Assumptions!I28</f>
        <v>27</v>
      </c>
      <c r="J7" s="4" t="n">
        <f aca="false">Assumptions!J28</f>
        <v>27</v>
      </c>
      <c r="K7" s="4" t="n">
        <f aca="false">Assumptions!K28</f>
        <v>27</v>
      </c>
      <c r="L7" s="4" t="n">
        <f aca="false">Assumptions!L28</f>
        <v>27</v>
      </c>
    </row>
    <row r="8" customFormat="false" ht="15" hidden="false" customHeight="false" outlineLevel="0" collapsed="false">
      <c r="A8" s="0" t="s">
        <v>43</v>
      </c>
      <c r="C8" s="0" t="n">
        <f aca="false">C6*C7/100</f>
        <v>1675.798488</v>
      </c>
      <c r="D8" s="0" t="n">
        <f aca="false">D6*D7/100</f>
        <v>1713.42722328</v>
      </c>
      <c r="E8" s="0" t="n">
        <f aca="false">E6*E7/100</f>
        <v>1764.8300399784</v>
      </c>
      <c r="F8" s="0" t="n">
        <f aca="false">F6*F7/100</f>
        <v>1817.77494117775</v>
      </c>
      <c r="G8" s="0" t="n">
        <f aca="false">G6*G7/100</f>
        <v>1865.39930310529</v>
      </c>
      <c r="H8" s="0" t="n">
        <f aca="false">H6*H7/100</f>
        <v>1916.69778394068</v>
      </c>
      <c r="I8" s="0" t="n">
        <f aca="false">I6*I7/100</f>
        <v>1964.6152285392</v>
      </c>
      <c r="J8" s="0" t="n">
        <f aca="false">J6*J7/100</f>
        <v>2013.73060925268</v>
      </c>
      <c r="K8" s="0" t="n">
        <f aca="false">K6*K7/100</f>
        <v>2064.073874484</v>
      </c>
      <c r="L8" s="0" t="n">
        <f aca="false">L6*L7/100</f>
        <v>2115.6757213461</v>
      </c>
    </row>
    <row r="9" customFormat="false" ht="15" hidden="false" customHeight="false" outlineLevel="0" collapsed="false">
      <c r="A9" s="0" t="s">
        <v>108</v>
      </c>
      <c r="C9" s="4" t="n">
        <f aca="false">Assumptions!C29</f>
        <v>0.42</v>
      </c>
      <c r="D9" s="4" t="n">
        <f aca="false">Assumptions!D29</f>
        <v>0.42</v>
      </c>
      <c r="E9" s="4" t="n">
        <f aca="false">Assumptions!E29</f>
        <v>0.42</v>
      </c>
      <c r="F9" s="4" t="n">
        <f aca="false">Assumptions!F29</f>
        <v>0.42</v>
      </c>
      <c r="G9" s="4" t="n">
        <f aca="false">Assumptions!G29</f>
        <v>0.42</v>
      </c>
      <c r="H9" s="4" t="n">
        <f aca="false">Assumptions!H29</f>
        <v>0.42</v>
      </c>
      <c r="I9" s="4" t="n">
        <f aca="false">Assumptions!I29</f>
        <v>0.42</v>
      </c>
      <c r="J9" s="4" t="n">
        <f aca="false">Assumptions!J29</f>
        <v>0.42</v>
      </c>
      <c r="K9" s="4" t="n">
        <f aca="false">Assumptions!K29</f>
        <v>0.42</v>
      </c>
      <c r="L9" s="4" t="n">
        <f aca="false">Assumptions!L29</f>
        <v>0.42</v>
      </c>
    </row>
    <row r="10" customFormat="false" ht="15" hidden="false" customHeight="false" outlineLevel="0" collapsed="false">
      <c r="A10" s="0" t="s">
        <v>123</v>
      </c>
      <c r="C10" s="0" t="n">
        <f aca="false">-C6*C9/100</f>
        <v>-25.7815152</v>
      </c>
      <c r="D10" s="0" t="n">
        <f aca="false">-D6*D9/100</f>
        <v>-26.554960656</v>
      </c>
      <c r="E10" s="0" t="n">
        <f aca="false">-E6*E9/100</f>
        <v>-27.35160947568</v>
      </c>
      <c r="F10" s="0" t="n">
        <f aca="false">-F6*F9/100</f>
        <v>-28.1721577599504</v>
      </c>
      <c r="G10" s="0" t="n">
        <f aca="false">-G6*G9/100</f>
        <v>-29.0173224927489</v>
      </c>
      <c r="H10" s="0" t="n">
        <f aca="false">-H6*H9/100</f>
        <v>-29.8152988612995</v>
      </c>
      <c r="I10" s="0" t="n">
        <f aca="false">-I6*I9/100</f>
        <v>-30.560681332832</v>
      </c>
      <c r="J10" s="0" t="n">
        <f aca="false">-J6*J9/100</f>
        <v>-31.3246983661528</v>
      </c>
      <c r="K10" s="0" t="n">
        <f aca="false">-K6*K9/100</f>
        <v>-32.1078158253066</v>
      </c>
      <c r="L10" s="0" t="n">
        <f aca="false">-L6*L9/100</f>
        <v>-32.9105112209393</v>
      </c>
    </row>
    <row r="11" customFormat="false" ht="15" hidden="false" customHeight="false" outlineLevel="0" collapsed="false">
      <c r="A11" s="0" t="s">
        <v>124</v>
      </c>
      <c r="C11" s="0" t="n">
        <f aca="false">C8+C10+C24</f>
        <v>1650.0169728</v>
      </c>
      <c r="D11" s="0" t="n">
        <f aca="false">D8+D10+D24</f>
        <v>1686.872262624</v>
      </c>
      <c r="E11" s="0" t="n">
        <f aca="false">E8+E10+E24</f>
        <v>1737.47843050272</v>
      </c>
      <c r="F11" s="0" t="n">
        <f aca="false">F8+F10+F24</f>
        <v>1789.6027834178</v>
      </c>
      <c r="G11" s="0" t="n">
        <f aca="false">G8+G10+G24</f>
        <v>1836.38198061254</v>
      </c>
      <c r="H11" s="0" t="n">
        <f aca="false">H8+H10+H24</f>
        <v>1886.88248507938</v>
      </c>
      <c r="I11" s="0" t="n">
        <f aca="false">I8+I10+I24</f>
        <v>1934.05454720637</v>
      </c>
      <c r="J11" s="0" t="n">
        <f aca="false">J8+J10+J24</f>
        <v>1982.40591088653</v>
      </c>
      <c r="K11" s="0" t="n">
        <f aca="false">K8+K10+K24</f>
        <v>2031.96605865869</v>
      </c>
      <c r="L11" s="0" t="n">
        <f aca="false">L8+L10+L24</f>
        <v>2082.76521012516</v>
      </c>
    </row>
    <row r="12" customFormat="false" ht="15" hidden="false" customHeight="false" outlineLevel="0" collapsed="false">
      <c r="A12" s="0" t="s">
        <v>125</v>
      </c>
      <c r="C12" s="4" t="n">
        <f aca="false">-C6*Assumptions!C31/100</f>
        <v>-755.030088</v>
      </c>
      <c r="D12" s="4" t="n">
        <f aca="false">-D6*Assumptions!D31/100</f>
        <v>-758.7131616</v>
      </c>
      <c r="E12" s="4" t="n">
        <f aca="false">-E6*Assumptions!E31/100</f>
        <v>-768.4499805072</v>
      </c>
      <c r="F12" s="4" t="n">
        <f aca="false">-F6*Assumptions!F31/100</f>
        <v>-778.088166703392</v>
      </c>
      <c r="G12" s="4" t="n">
        <f aca="false">-G6*Assumptions!G31/100</f>
        <v>-787.613039088899</v>
      </c>
      <c r="H12" s="4" t="n">
        <f aca="false">-H6*Assumptions!H31/100</f>
        <v>-795.07463630132</v>
      </c>
      <c r="I12" s="4" t="n">
        <f aca="false">-I6*Assumptions!I31/100</f>
        <v>-800.398796812267</v>
      </c>
      <c r="J12" s="4" t="n">
        <f aca="false">-J6*Assumptions!J31/100</f>
        <v>-820.408766732573</v>
      </c>
      <c r="K12" s="4" t="n">
        <f aca="false">-K6*Assumptions!K31/100</f>
        <v>-840.918985900888</v>
      </c>
      <c r="L12" s="4" t="n">
        <f aca="false">-L6*Assumptions!L31/100</f>
        <v>-861.94196054841</v>
      </c>
    </row>
    <row r="13" customFormat="false" ht="15" hidden="false" customHeight="false" outlineLevel="0" collapsed="false">
      <c r="A13" s="0" t="s">
        <v>126</v>
      </c>
      <c r="C13" s="0" t="n">
        <f aca="false">C11+C12</f>
        <v>894.9868848</v>
      </c>
      <c r="D13" s="0" t="n">
        <f aca="false">D11+D12</f>
        <v>928.159101024</v>
      </c>
      <c r="E13" s="0" t="n">
        <f aca="false">E11+E12</f>
        <v>969.02844999552</v>
      </c>
      <c r="F13" s="0" t="n">
        <f aca="false">F11+F12</f>
        <v>1011.51461671441</v>
      </c>
      <c r="G13" s="0" t="n">
        <f aca="false">G11+G12</f>
        <v>1048.76894152364</v>
      </c>
      <c r="H13" s="0" t="n">
        <f aca="false">H11+H12</f>
        <v>1091.80784877806</v>
      </c>
      <c r="I13" s="0" t="n">
        <f aca="false">I11+I12</f>
        <v>1133.6557503941</v>
      </c>
      <c r="J13" s="0" t="n">
        <f aca="false">J11+J12</f>
        <v>1161.99714415395</v>
      </c>
      <c r="K13" s="0" t="n">
        <f aca="false">K11+K12</f>
        <v>1191.0470727578</v>
      </c>
      <c r="L13" s="0" t="n">
        <f aca="false">L11+L12</f>
        <v>1220.82324957675</v>
      </c>
    </row>
    <row r="14" customFormat="false" ht="15" hidden="false" customHeight="false" outlineLevel="0" collapsed="false">
      <c r="A14" s="0" t="s">
        <v>112</v>
      </c>
      <c r="C14" s="4" t="n">
        <f aca="false">Assumptions!C33</f>
        <v>2.5</v>
      </c>
      <c r="D14" s="4" t="n">
        <f aca="false">Assumptions!D33</f>
        <v>3</v>
      </c>
      <c r="E14" s="4" t="n">
        <f aca="false">Assumptions!E33</f>
        <v>3.5</v>
      </c>
      <c r="F14" s="4" t="n">
        <f aca="false">Assumptions!F33</f>
        <v>4</v>
      </c>
      <c r="G14" s="4" t="n">
        <f aca="false">Assumptions!G33</f>
        <v>4.5</v>
      </c>
      <c r="H14" s="4" t="n">
        <f aca="false">Assumptions!H33</f>
        <v>5</v>
      </c>
      <c r="I14" s="4" t="n">
        <f aca="false">Assumptions!I33</f>
        <v>5</v>
      </c>
      <c r="J14" s="4" t="n">
        <f aca="false">Assumptions!J33</f>
        <v>5</v>
      </c>
      <c r="K14" s="4" t="n">
        <f aca="false">Assumptions!K33</f>
        <v>5</v>
      </c>
      <c r="L14" s="4" t="n">
        <f aca="false">Assumptions!L33</f>
        <v>5</v>
      </c>
    </row>
    <row r="15" customFormat="false" ht="15" hidden="false" customHeight="false" outlineLevel="0" collapsed="false">
      <c r="A15" s="0" t="s">
        <v>127</v>
      </c>
      <c r="C15" s="0" t="n">
        <f aca="false">C13-MAX(0,C13)*C14/100</f>
        <v>872.61221268</v>
      </c>
      <c r="D15" s="0" t="n">
        <f aca="false">D13-MAX(0,D13)*D14/100</f>
        <v>900.31432799328</v>
      </c>
      <c r="E15" s="0" t="n">
        <f aca="false">E13-MAX(0,E13)*E14/100</f>
        <v>935.112454245677</v>
      </c>
      <c r="F15" s="0" t="n">
        <f aca="false">F13-MAX(0,F13)*F14/100</f>
        <v>971.054032045833</v>
      </c>
      <c r="G15" s="0" t="n">
        <f aca="false">G13-MAX(0,G13)*G14/100</f>
        <v>1001.57433915508</v>
      </c>
      <c r="H15" s="0" t="n">
        <f aca="false">H13-MAX(0,H13)*H14/100</f>
        <v>1037.21745633916</v>
      </c>
      <c r="I15" s="0" t="n">
        <f aca="false">I13-MAX(0,I13)*I14/100</f>
        <v>1076.9729628744</v>
      </c>
      <c r="J15" s="0" t="n">
        <f aca="false">J13-MAX(0,J13)*J14/100</f>
        <v>1103.89728694626</v>
      </c>
      <c r="K15" s="0" t="n">
        <f aca="false">K13-MAX(0,K13)*K14/100</f>
        <v>1131.49471911991</v>
      </c>
      <c r="L15" s="0" t="n">
        <f aca="false">L13-MAX(0,L13)*L14/100</f>
        <v>1159.78208709791</v>
      </c>
    </row>
    <row r="16" customFormat="false" ht="15" hidden="false" customHeight="false" outlineLevel="0" collapsed="false">
      <c r="A16" s="0" t="s">
        <v>128</v>
      </c>
      <c r="C16" s="0" t="n">
        <f aca="false">-C12</f>
        <v>755.030088</v>
      </c>
      <c r="D16" s="0" t="n">
        <f aca="false">-D12</f>
        <v>758.7131616</v>
      </c>
      <c r="E16" s="0" t="n">
        <f aca="false">-E12</f>
        <v>768.4499805072</v>
      </c>
      <c r="F16" s="0" t="n">
        <f aca="false">-F12</f>
        <v>778.088166703392</v>
      </c>
      <c r="G16" s="0" t="n">
        <f aca="false">-G12</f>
        <v>787.613039088899</v>
      </c>
      <c r="H16" s="0" t="n">
        <f aca="false">-H12</f>
        <v>795.07463630132</v>
      </c>
      <c r="I16" s="0" t="n">
        <f aca="false">-I12</f>
        <v>800.398796812267</v>
      </c>
      <c r="J16" s="0" t="n">
        <f aca="false">-J12</f>
        <v>820.408766732573</v>
      </c>
      <c r="K16" s="0" t="n">
        <f aca="false">-K12</f>
        <v>840.918985900888</v>
      </c>
      <c r="L16" s="0" t="n">
        <f aca="false">-L12</f>
        <v>861.94196054841</v>
      </c>
    </row>
    <row r="17" customFormat="false" ht="15" hidden="false" customHeight="false" outlineLevel="0" collapsed="false">
      <c r="A17" s="0" t="s">
        <v>129</v>
      </c>
      <c r="C17" s="4" t="n">
        <f aca="false">-C6*Assumptions!C32/100</f>
        <v>-589.291776</v>
      </c>
      <c r="D17" s="4" t="n">
        <f aca="false">-D6*Assumptions!D32/100</f>
        <v>-632.260968</v>
      </c>
      <c r="E17" s="4" t="n">
        <f aca="false">-E6*Assumptions!E32/100</f>
        <v>-651.22879704</v>
      </c>
      <c r="F17" s="4" t="n">
        <f aca="false">-F6*Assumptions!F32/100</f>
        <v>-670.7656609512</v>
      </c>
      <c r="G17" s="4" t="n">
        <f aca="false">-G6*Assumptions!G32/100</f>
        <v>-656.344199240749</v>
      </c>
      <c r="H17" s="4" t="n">
        <f aca="false">-H6*Assumptions!H32/100</f>
        <v>-674.39366471987</v>
      </c>
      <c r="I17" s="4" t="n">
        <f aca="false">-I6*Assumptions!I32/100</f>
        <v>-691.253506337867</v>
      </c>
      <c r="J17" s="4" t="n">
        <f aca="false">-J6*Assumptions!J32/100</f>
        <v>-708.534843996313</v>
      </c>
      <c r="K17" s="4" t="n">
        <f aca="false">-K6*Assumptions!K32/100</f>
        <v>-726.248215096221</v>
      </c>
      <c r="L17" s="4" t="n">
        <f aca="false">-L6*Assumptions!L32/100</f>
        <v>-744.404420473626</v>
      </c>
    </row>
    <row r="18" customFormat="false" ht="15" hidden="false" customHeight="false" outlineLevel="0" collapsed="false">
      <c r="A18" s="0" t="s">
        <v>130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131</v>
      </c>
      <c r="C19" s="0" t="n">
        <f aca="false">C15+C16+C17+C18</f>
        <v>1038.35052468</v>
      </c>
      <c r="D19" s="0" t="n">
        <f aca="false">D15+D16+D17+D18</f>
        <v>1026.76652159328</v>
      </c>
      <c r="E19" s="0" t="n">
        <f aca="false">E15+E16+E17+E18</f>
        <v>1052.33363771288</v>
      </c>
      <c r="F19" s="0" t="n">
        <f aca="false">F15+F16+F17+F18</f>
        <v>1078.37653779803</v>
      </c>
      <c r="G19" s="0" t="n">
        <f aca="false">G15+G16+G17+G18</f>
        <v>1132.84317900323</v>
      </c>
      <c r="H19" s="0" t="n">
        <f aca="false">H15+H16+H17+H18</f>
        <v>1157.89842792061</v>
      </c>
      <c r="I19" s="0" t="n">
        <f aca="false">I15+I16+I17+I18</f>
        <v>1186.1182533488</v>
      </c>
      <c r="J19" s="0" t="n">
        <f aca="false">J15+J16+J17+J18</f>
        <v>1215.77120968252</v>
      </c>
      <c r="K19" s="0" t="n">
        <f aca="false">K15+K16+K17+K18</f>
        <v>1246.16548992458</v>
      </c>
      <c r="L19" s="0" t="n">
        <f aca="false">L15+L16+L17+L18</f>
        <v>1277.31962717269</v>
      </c>
    </row>
    <row r="20" customFormat="false" ht="15" hidden="false" customHeight="false" outlineLevel="0" collapsed="false">
      <c r="A20" s="0" t="s">
        <v>132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133</v>
      </c>
      <c r="C21" s="0" t="n">
        <f aca="false">C19*C20</f>
        <v>952.615160256881</v>
      </c>
      <c r="D21" s="0" t="n">
        <f aca="false">D19*D20</f>
        <v>864.208838980961</v>
      </c>
      <c r="E21" s="0" t="n">
        <f aca="false">E19*E20</f>
        <v>812.594650554448</v>
      </c>
      <c r="F21" s="0" t="n">
        <f aca="false">F19*F20</f>
        <v>763.949126397322</v>
      </c>
      <c r="G21" s="0" t="n">
        <f aca="false">G19*G20</f>
        <v>736.270337788191</v>
      </c>
      <c r="H21" s="0" t="n">
        <f aca="false">H19*H20</f>
        <v>690.417000413869</v>
      </c>
      <c r="I21" s="0" t="n">
        <f aca="false">I19*I20</f>
        <v>648.847303015533</v>
      </c>
      <c r="J21" s="0" t="n">
        <f aca="false">J19*J20</f>
        <v>610.154573936625</v>
      </c>
      <c r="K21" s="0" t="n">
        <f aca="false">K19*K20</f>
        <v>573.769209435817</v>
      </c>
      <c r="L21" s="0" t="n">
        <f aca="false">L19*L20</f>
        <v>539.553614377718</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9</v>
      </c>
    </row>
    <row r="28" customFormat="false" ht="15" hidden="false" customHeight="false" outlineLevel="0" collapsed="false">
      <c r="A28" s="0" t="s">
        <v>114</v>
      </c>
      <c r="B28" s="4" t="n">
        <f aca="false">Assumptions!$B$35</f>
        <v>2.5</v>
      </c>
    </row>
    <row r="29" customFormat="false" ht="15" hidden="false" customHeight="false" outlineLevel="0" collapsed="false">
      <c r="A29" s="0" t="s">
        <v>115</v>
      </c>
      <c r="B29" s="4" t="n">
        <f aca="false">Assumptions!$B$36</f>
        <v>18</v>
      </c>
    </row>
    <row r="30" customFormat="false" ht="15" hidden="false" customHeight="false" outlineLevel="0" collapsed="false">
      <c r="A30" s="0" t="s">
        <v>136</v>
      </c>
      <c r="B30" s="0" t="n">
        <f aca="false">SUM(C21:L21)</f>
        <v>7192.37981515737</v>
      </c>
    </row>
    <row r="31" customFormat="false" ht="15" hidden="false" customHeight="false" outlineLevel="0" collapsed="false">
      <c r="A31" s="0" t="s">
        <v>137</v>
      </c>
      <c r="B31" s="0" t="n">
        <f aca="false">L19</f>
        <v>1277.31962717269</v>
      </c>
    </row>
    <row r="32" customFormat="false" ht="15" hidden="false" customHeight="false" outlineLevel="0" collapsed="false">
      <c r="A32" s="0" t="s">
        <v>138</v>
      </c>
      <c r="B32" s="0" t="n">
        <f aca="false">IF(B27&gt;B28,B31*(1+B28/100)/((B27-B28)/100),B31*B29)</f>
        <v>20142.347966954</v>
      </c>
    </row>
    <row r="33" customFormat="false" ht="15" hidden="false" customHeight="false" outlineLevel="0" collapsed="false">
      <c r="A33" s="0" t="s">
        <v>139</v>
      </c>
      <c r="B33" s="0" t="n">
        <f aca="false">B31*B29</f>
        <v>22991.7532891085</v>
      </c>
    </row>
    <row r="34" customFormat="false" ht="15" hidden="false" customHeight="false" outlineLevel="0" collapsed="false">
      <c r="A34" s="0" t="s">
        <v>140</v>
      </c>
      <c r="B34" s="0" t="n">
        <f aca="false">MAX(0,MIN(B32,B33))</f>
        <v>20142.347966954</v>
      </c>
    </row>
    <row r="35" customFormat="false" ht="15" hidden="false" customHeight="false" outlineLevel="0" collapsed="false">
      <c r="A35" s="0" t="s">
        <v>141</v>
      </c>
      <c r="B35" s="0" t="n">
        <f aca="false">B34/(1+B27/100)^L4</f>
        <v>8508.34545749478</v>
      </c>
    </row>
    <row r="36" customFormat="false" ht="15" hidden="false" customHeight="false" outlineLevel="0" collapsed="false">
      <c r="A36" s="0" t="s">
        <v>142</v>
      </c>
      <c r="B36" s="0" t="n">
        <f aca="false">B30+B35</f>
        <v>15700.7252726521</v>
      </c>
    </row>
    <row r="37" customFormat="false" ht="15" hidden="false" customHeight="false" outlineLevel="0" collapsed="false">
      <c r="A37" s="0" t="s">
        <v>143</v>
      </c>
      <c r="B37" s="0" t="n">
        <f aca="false">B36+Assumptions!$B$5-Assumptions!$B$4</f>
        <v>12010.7252726521</v>
      </c>
    </row>
    <row r="38" customFormat="false" ht="15" hidden="false" customHeight="false" outlineLevel="0" collapsed="false">
      <c r="A38" s="0" t="s">
        <v>144</v>
      </c>
      <c r="B38" s="0" t="n">
        <f aca="false">B37/Assumptions!$B$3*Assumptions!$B$10</f>
        <v>17.4422382698986</v>
      </c>
    </row>
    <row r="39" customFormat="false" ht="15" hidden="false" customHeight="false" outlineLevel="0" collapsed="false">
      <c r="A39" s="0" t="s">
        <v>145</v>
      </c>
      <c r="B39" s="4" t="n">
        <f aca="false">B38/Assumptions!$B$2-1</f>
        <v>-0.230263094885324</v>
      </c>
    </row>
    <row r="41" customFormat="false" ht="15" hidden="false" customHeight="false" outlineLevel="0" collapsed="false">
      <c r="A41" s="0" t="s">
        <v>146</v>
      </c>
      <c r="B41" s="0" t="n">
        <f aca="false">SUMPRODUCT(-C10:L10/(1+$B$27/100)^C4:L4)</f>
        <v>184.842665340082</v>
      </c>
    </row>
    <row r="42" customFormat="false" ht="15" hidden="false" customHeight="false" outlineLevel="0" collapsed="false">
      <c r="A42" s="0" t="s">
        <v>147</v>
      </c>
      <c r="B42" s="0" t="n">
        <f aca="false">IF(B27&gt;B28,-L10*(1+B28/100)/((B27-B28)/100),-L10*20)/(1+B27/100)^L4</f>
        <v>219.219992156788</v>
      </c>
    </row>
    <row r="43" customFormat="false" ht="15" hidden="false" customHeight="false" outlineLevel="0" collapsed="false">
      <c r="A43" s="0" t="s">
        <v>148</v>
      </c>
      <c r="B43" s="0" t="n">
        <f aca="false">(B37+B41+B42)/Assumptions!$B$3*Assumptions!$B$10</f>
        <v>18.0290269098882</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10474.0209428161</v>
      </c>
    </row>
    <row r="47" customFormat="false" ht="15" hidden="false" customHeight="false" outlineLevel="0" collapsed="false">
      <c r="A47" s="0" t="s">
        <v>150</v>
      </c>
      <c r="B47" s="0" t="n">
        <f aca="false">(SUMPRODUCT(C19:L19/(1+B45/100)^C4:L4)+B46/(1+B45/100)^L4+Assumptions!$B$5-Assumptions!$B$4)/Assumptions!$B$3*Assumptions!$B$10</f>
        <v>6.48262587495776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0.6</v>
      </c>
      <c r="D5" s="4" t="n">
        <f aca="false">Assumptions!D41</f>
        <v>5</v>
      </c>
      <c r="E5" s="4" t="n">
        <f aca="false">Assumptions!E41</f>
        <v>4.5</v>
      </c>
      <c r="F5" s="4" t="n">
        <f aca="false">Assumptions!F41</f>
        <v>4</v>
      </c>
      <c r="G5" s="4" t="n">
        <f aca="false">Assumptions!G41</f>
        <v>3.5</v>
      </c>
      <c r="H5" s="4" t="n">
        <f aca="false">Assumptions!H41</f>
        <v>3</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37</v>
      </c>
      <c r="B6" s="3" t="n">
        <v>6114</v>
      </c>
      <c r="C6" s="0" t="n">
        <f aca="false">B6*(1+C5/100)</f>
        <v>6150.684</v>
      </c>
      <c r="D6" s="0" t="n">
        <f aca="false">C6*(1+D5/100)</f>
        <v>6458.2182</v>
      </c>
      <c r="E6" s="0" t="n">
        <f aca="false">D6*(1+E5/100)</f>
        <v>6748.838019</v>
      </c>
      <c r="F6" s="0" t="n">
        <f aca="false">E6*(1+F5/100)</f>
        <v>7018.79153976</v>
      </c>
      <c r="G6" s="0" t="n">
        <f aca="false">F6*(1+G5/100)</f>
        <v>7264.4492436516</v>
      </c>
      <c r="H6" s="0" t="n">
        <f aca="false">G6*(1+H5/100)</f>
        <v>7482.38272096115</v>
      </c>
      <c r="I6" s="0" t="n">
        <f aca="false">H6*(1+I5/100)</f>
        <v>7706.85420258998</v>
      </c>
      <c r="J6" s="0" t="n">
        <f aca="false">I6*(1+J5/100)</f>
        <v>7938.05982866768</v>
      </c>
      <c r="K6" s="0" t="n">
        <f aca="false">J6*(1+K5/100)</f>
        <v>8176.20162352771</v>
      </c>
      <c r="L6" s="0" t="n">
        <f aca="false">K6*(1+L5/100)</f>
        <v>8421.48767223355</v>
      </c>
    </row>
    <row r="7" customFormat="false" ht="15" hidden="false" customHeight="false" outlineLevel="0" collapsed="false">
      <c r="A7" s="0" t="s">
        <v>107</v>
      </c>
      <c r="C7" s="4" t="n">
        <f aca="false">Assumptions!C42</f>
        <v>27.4</v>
      </c>
      <c r="D7" s="4" t="n">
        <f aca="false">Assumptions!D42</f>
        <v>27.6</v>
      </c>
      <c r="E7" s="4" t="n">
        <f aca="false">Assumptions!E42</f>
        <v>27.9</v>
      </c>
      <c r="F7" s="4" t="n">
        <f aca="false">Assumptions!F42</f>
        <v>28.2</v>
      </c>
      <c r="G7" s="4" t="n">
        <f aca="false">Assumptions!G42</f>
        <v>28.4</v>
      </c>
      <c r="H7" s="4" t="n">
        <f aca="false">Assumptions!H42</f>
        <v>28.5</v>
      </c>
      <c r="I7" s="4" t="n">
        <f aca="false">Assumptions!I42</f>
        <v>28.5</v>
      </c>
      <c r="J7" s="4" t="n">
        <f aca="false">Assumptions!J42</f>
        <v>28.5</v>
      </c>
      <c r="K7" s="4" t="n">
        <f aca="false">Assumptions!K42</f>
        <v>28.5</v>
      </c>
      <c r="L7" s="4" t="n">
        <f aca="false">Assumptions!L42</f>
        <v>28.5</v>
      </c>
    </row>
    <row r="8" customFormat="false" ht="15" hidden="false" customHeight="false" outlineLevel="0" collapsed="false">
      <c r="A8" s="0" t="s">
        <v>43</v>
      </c>
      <c r="C8" s="0" t="n">
        <f aca="false">C6*C7/100</f>
        <v>1685.287416</v>
      </c>
      <c r="D8" s="0" t="n">
        <f aca="false">D6*D7/100</f>
        <v>1782.4682232</v>
      </c>
      <c r="E8" s="0" t="n">
        <f aca="false">E6*E7/100</f>
        <v>1882.925807301</v>
      </c>
      <c r="F8" s="0" t="n">
        <f aca="false">F6*F7/100</f>
        <v>1979.29921421232</v>
      </c>
      <c r="G8" s="0" t="n">
        <f aca="false">G6*G7/100</f>
        <v>2063.10358519705</v>
      </c>
      <c r="H8" s="0" t="n">
        <f aca="false">H6*H7/100</f>
        <v>2132.47907547393</v>
      </c>
      <c r="I8" s="0" t="n">
        <f aca="false">I6*I7/100</f>
        <v>2196.45344773814</v>
      </c>
      <c r="J8" s="0" t="n">
        <f aca="false">J6*J7/100</f>
        <v>2262.34705117029</v>
      </c>
      <c r="K8" s="0" t="n">
        <f aca="false">K6*K7/100</f>
        <v>2330.2174627054</v>
      </c>
      <c r="L8" s="0" t="n">
        <f aca="false">L6*L7/100</f>
        <v>2400.12398658656</v>
      </c>
    </row>
    <row r="9" customFormat="false" ht="15" hidden="false" customHeight="false" outlineLevel="0" collapsed="false">
      <c r="A9" s="0" t="s">
        <v>108</v>
      </c>
      <c r="C9" s="4" t="n">
        <f aca="false">Assumptions!C43</f>
        <v>0.42</v>
      </c>
      <c r="D9" s="4" t="n">
        <f aca="false">Assumptions!D43</f>
        <v>0.42</v>
      </c>
      <c r="E9" s="4" t="n">
        <f aca="false">Assumptions!E43</f>
        <v>0.42</v>
      </c>
      <c r="F9" s="4" t="n">
        <f aca="false">Assumptions!F43</f>
        <v>0.42</v>
      </c>
      <c r="G9" s="4" t="n">
        <f aca="false">Assumptions!G43</f>
        <v>0.42</v>
      </c>
      <c r="H9" s="4" t="n">
        <f aca="false">Assumptions!H43</f>
        <v>0.42</v>
      </c>
      <c r="I9" s="4" t="n">
        <f aca="false">Assumptions!I43</f>
        <v>0.42</v>
      </c>
      <c r="J9" s="4" t="n">
        <f aca="false">Assumptions!J43</f>
        <v>0.42</v>
      </c>
      <c r="K9" s="4" t="n">
        <f aca="false">Assumptions!K43</f>
        <v>0.42</v>
      </c>
      <c r="L9" s="4" t="n">
        <f aca="false">Assumptions!L43</f>
        <v>0.42</v>
      </c>
    </row>
    <row r="10" customFormat="false" ht="15" hidden="false" customHeight="false" outlineLevel="0" collapsed="false">
      <c r="A10" s="0" t="s">
        <v>123</v>
      </c>
      <c r="C10" s="0" t="n">
        <f aca="false">-C6*C9/100</f>
        <v>-25.8328728</v>
      </c>
      <c r="D10" s="0" t="n">
        <f aca="false">-D6*D9/100</f>
        <v>-27.12451644</v>
      </c>
      <c r="E10" s="0" t="n">
        <f aca="false">-E6*E9/100</f>
        <v>-28.3451196798</v>
      </c>
      <c r="F10" s="0" t="n">
        <f aca="false">-F6*F9/100</f>
        <v>-29.478924466992</v>
      </c>
      <c r="G10" s="0" t="n">
        <f aca="false">-G6*G9/100</f>
        <v>-30.5106868233367</v>
      </c>
      <c r="H10" s="0" t="n">
        <f aca="false">-H6*H9/100</f>
        <v>-31.4260074280368</v>
      </c>
      <c r="I10" s="0" t="n">
        <f aca="false">-I6*I9/100</f>
        <v>-32.3687876508779</v>
      </c>
      <c r="J10" s="0" t="n">
        <f aca="false">-J6*J9/100</f>
        <v>-33.3398512804043</v>
      </c>
      <c r="K10" s="0" t="n">
        <f aca="false">-K6*K9/100</f>
        <v>-34.3400468188164</v>
      </c>
      <c r="L10" s="0" t="n">
        <f aca="false">-L6*L9/100</f>
        <v>-35.3702482233809</v>
      </c>
    </row>
    <row r="11" customFormat="false" ht="15" hidden="false" customHeight="false" outlineLevel="0" collapsed="false">
      <c r="A11" s="0" t="s">
        <v>124</v>
      </c>
      <c r="C11" s="0" t="n">
        <f aca="false">C8+C10+C24</f>
        <v>1659.4545432</v>
      </c>
      <c r="D11" s="0" t="n">
        <f aca="false">D8+D10+D24</f>
        <v>1755.34370676</v>
      </c>
      <c r="E11" s="0" t="n">
        <f aca="false">E8+E10+E24</f>
        <v>1854.5806876212</v>
      </c>
      <c r="F11" s="0" t="n">
        <f aca="false">F8+F10+F24</f>
        <v>1949.82028974533</v>
      </c>
      <c r="G11" s="0" t="n">
        <f aca="false">G8+G10+G24</f>
        <v>2032.59289837372</v>
      </c>
      <c r="H11" s="0" t="n">
        <f aca="false">H8+H10+H24</f>
        <v>2101.05306804589</v>
      </c>
      <c r="I11" s="0" t="n">
        <f aca="false">I8+I10+I24</f>
        <v>2164.08466008727</v>
      </c>
      <c r="J11" s="0" t="n">
        <f aca="false">J8+J10+J24</f>
        <v>2229.00719988988</v>
      </c>
      <c r="K11" s="0" t="n">
        <f aca="false">K8+K10+K24</f>
        <v>2295.87741588658</v>
      </c>
      <c r="L11" s="0" t="n">
        <f aca="false">L8+L10+L24</f>
        <v>2364.75373836318</v>
      </c>
    </row>
    <row r="12" customFormat="false" ht="15" hidden="false" customHeight="false" outlineLevel="0" collapsed="false">
      <c r="A12" s="0" t="s">
        <v>125</v>
      </c>
      <c r="C12" s="4" t="n">
        <f aca="false">-C6*Assumptions!C45/100</f>
        <v>-756.534132</v>
      </c>
      <c r="D12" s="4" t="n">
        <f aca="false">-D6*Assumptions!D45/100</f>
        <v>-774.986184</v>
      </c>
      <c r="E12" s="4" t="n">
        <f aca="false">-E6*Assumptions!E45/100</f>
        <v>-789.614048223</v>
      </c>
      <c r="F12" s="4" t="n">
        <f aca="false">-F6*Assumptions!F45/100</f>
        <v>-800.14223553264</v>
      </c>
      <c r="G12" s="4" t="n">
        <f aca="false">-G6*Assumptions!G45/100</f>
        <v>-813.618315288979</v>
      </c>
      <c r="H12" s="4" t="n">
        <f aca="false">-H6*Assumptions!H45/100</f>
        <v>-823.062099305726</v>
      </c>
      <c r="I12" s="4" t="n">
        <f aca="false">-I6*Assumptions!I45/100</f>
        <v>-847.753962284898</v>
      </c>
      <c r="J12" s="4" t="n">
        <f aca="false">-J6*Assumptions!J45/100</f>
        <v>-873.186581153445</v>
      </c>
      <c r="K12" s="4" t="n">
        <f aca="false">-K6*Assumptions!K45/100</f>
        <v>-899.382178588048</v>
      </c>
      <c r="L12" s="4" t="n">
        <f aca="false">-L6*Assumptions!L45/100</f>
        <v>-926.36364394569</v>
      </c>
    </row>
    <row r="13" customFormat="false" ht="15" hidden="false" customHeight="false" outlineLevel="0" collapsed="false">
      <c r="A13" s="0" t="s">
        <v>126</v>
      </c>
      <c r="C13" s="0" t="n">
        <f aca="false">C11+C12</f>
        <v>902.9204112</v>
      </c>
      <c r="D13" s="0" t="n">
        <f aca="false">D11+D12</f>
        <v>980.35752276</v>
      </c>
      <c r="E13" s="0" t="n">
        <f aca="false">E11+E12</f>
        <v>1064.9666393982</v>
      </c>
      <c r="F13" s="0" t="n">
        <f aca="false">F11+F12</f>
        <v>1149.67805421269</v>
      </c>
      <c r="G13" s="0" t="n">
        <f aca="false">G11+G12</f>
        <v>1218.97458308474</v>
      </c>
      <c r="H13" s="0" t="n">
        <f aca="false">H11+H12</f>
        <v>1277.99096874016</v>
      </c>
      <c r="I13" s="0" t="n">
        <f aca="false">I11+I12</f>
        <v>1316.33069780237</v>
      </c>
      <c r="J13" s="0" t="n">
        <f aca="false">J11+J12</f>
        <v>1355.82061873644</v>
      </c>
      <c r="K13" s="0" t="n">
        <f aca="false">K11+K12</f>
        <v>1396.49523729853</v>
      </c>
      <c r="L13" s="0" t="n">
        <f aca="false">L11+L12</f>
        <v>1438.39009441749</v>
      </c>
    </row>
    <row r="14" customFormat="false" ht="15" hidden="false" customHeight="false" outlineLevel="0" collapsed="false">
      <c r="A14" s="0" t="s">
        <v>112</v>
      </c>
      <c r="C14" s="4" t="n">
        <f aca="false">Assumptions!C47</f>
        <v>2.5</v>
      </c>
      <c r="D14" s="4" t="n">
        <f aca="false">Assumptions!D47</f>
        <v>3</v>
      </c>
      <c r="E14" s="4" t="n">
        <f aca="false">Assumptions!E47</f>
        <v>3.5</v>
      </c>
      <c r="F14" s="4" t="n">
        <f aca="false">Assumptions!F47</f>
        <v>4</v>
      </c>
      <c r="G14" s="4" t="n">
        <f aca="false">Assumptions!G47</f>
        <v>4.5</v>
      </c>
      <c r="H14" s="4" t="n">
        <f aca="false">Assumptions!H47</f>
        <v>5</v>
      </c>
      <c r="I14" s="4" t="n">
        <f aca="false">Assumptions!I47</f>
        <v>5</v>
      </c>
      <c r="J14" s="4" t="n">
        <f aca="false">Assumptions!J47</f>
        <v>5</v>
      </c>
      <c r="K14" s="4" t="n">
        <f aca="false">Assumptions!K47</f>
        <v>5</v>
      </c>
      <c r="L14" s="4" t="n">
        <f aca="false">Assumptions!L47</f>
        <v>5</v>
      </c>
    </row>
    <row r="15" customFormat="false" ht="15" hidden="false" customHeight="false" outlineLevel="0" collapsed="false">
      <c r="A15" s="0" t="s">
        <v>127</v>
      </c>
      <c r="C15" s="0" t="n">
        <f aca="false">C13-MAX(0,C13)*C14/100</f>
        <v>880.34740092</v>
      </c>
      <c r="D15" s="0" t="n">
        <f aca="false">D13-MAX(0,D13)*D14/100</f>
        <v>950.9467970772</v>
      </c>
      <c r="E15" s="0" t="n">
        <f aca="false">E13-MAX(0,E13)*E14/100</f>
        <v>1027.69280701926</v>
      </c>
      <c r="F15" s="0" t="n">
        <f aca="false">F13-MAX(0,F13)*F14/100</f>
        <v>1103.69093204418</v>
      </c>
      <c r="G15" s="0" t="n">
        <f aca="false">G13-MAX(0,G13)*G14/100</f>
        <v>1164.12072684593</v>
      </c>
      <c r="H15" s="0" t="n">
        <f aca="false">H13-MAX(0,H13)*H14/100</f>
        <v>1214.09142030316</v>
      </c>
      <c r="I15" s="0" t="n">
        <f aca="false">I13-MAX(0,I13)*I14/100</f>
        <v>1250.51416291225</v>
      </c>
      <c r="J15" s="0" t="n">
        <f aca="false">J13-MAX(0,J13)*J14/100</f>
        <v>1288.02958779962</v>
      </c>
      <c r="K15" s="0" t="n">
        <f aca="false">K13-MAX(0,K13)*K14/100</f>
        <v>1326.67047543361</v>
      </c>
      <c r="L15" s="0" t="n">
        <f aca="false">L13-MAX(0,L13)*L14/100</f>
        <v>1366.47058969661</v>
      </c>
    </row>
    <row r="16" customFormat="false" ht="15" hidden="false" customHeight="false" outlineLevel="0" collapsed="false">
      <c r="A16" s="0" t="s">
        <v>128</v>
      </c>
      <c r="C16" s="0" t="n">
        <f aca="false">-C12</f>
        <v>756.534132</v>
      </c>
      <c r="D16" s="0" t="n">
        <f aca="false">-D12</f>
        <v>774.986184</v>
      </c>
      <c r="E16" s="0" t="n">
        <f aca="false">-E12</f>
        <v>789.614048223</v>
      </c>
      <c r="F16" s="0" t="n">
        <f aca="false">-F12</f>
        <v>800.14223553264</v>
      </c>
      <c r="G16" s="0" t="n">
        <f aca="false">-G12</f>
        <v>813.618315288979</v>
      </c>
      <c r="H16" s="0" t="n">
        <f aca="false">-H12</f>
        <v>823.062099305726</v>
      </c>
      <c r="I16" s="0" t="n">
        <f aca="false">-I12</f>
        <v>847.753962284898</v>
      </c>
      <c r="J16" s="0" t="n">
        <f aca="false">-J12</f>
        <v>873.186581153445</v>
      </c>
      <c r="K16" s="0" t="n">
        <f aca="false">-K12</f>
        <v>899.382178588048</v>
      </c>
      <c r="L16" s="0" t="n">
        <f aca="false">-L12</f>
        <v>926.36364394569</v>
      </c>
    </row>
    <row r="17" customFormat="false" ht="15" hidden="false" customHeight="false" outlineLevel="0" collapsed="false">
      <c r="A17" s="0" t="s">
        <v>129</v>
      </c>
      <c r="C17" s="4" t="n">
        <f aca="false">-C6*Assumptions!C46/100</f>
        <v>-590.465664</v>
      </c>
      <c r="D17" s="4" t="n">
        <f aca="false">-D6*Assumptions!D46/100</f>
        <v>-645.82182</v>
      </c>
      <c r="E17" s="4" t="n">
        <f aca="false">-E6*Assumptions!E46/100</f>
        <v>-641.139611805</v>
      </c>
      <c r="F17" s="4" t="n">
        <f aca="false">-F6*Assumptions!F46/100</f>
        <v>-666.7851962772</v>
      </c>
      <c r="G17" s="4" t="n">
        <f aca="false">-G6*Assumptions!G46/100</f>
        <v>-653.800431928644</v>
      </c>
      <c r="H17" s="4" t="n">
        <f aca="false">-H6*Assumptions!H46/100</f>
        <v>-673.414444886503</v>
      </c>
      <c r="I17" s="4" t="n">
        <f aca="false">-I6*Assumptions!I46/100</f>
        <v>-693.616878233098</v>
      </c>
      <c r="J17" s="4" t="n">
        <f aca="false">-J6*Assumptions!J46/100</f>
        <v>-714.425384580091</v>
      </c>
      <c r="K17" s="4" t="n">
        <f aca="false">-K6*Assumptions!K46/100</f>
        <v>-735.858146117494</v>
      </c>
      <c r="L17" s="4" t="n">
        <f aca="false">-L6*Assumptions!L46/100</f>
        <v>-757.933890501019</v>
      </c>
    </row>
    <row r="18" customFormat="false" ht="15" hidden="false" customHeight="false" outlineLevel="0" collapsed="false">
      <c r="A18" s="0" t="s">
        <v>130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131</v>
      </c>
      <c r="C19" s="0" t="n">
        <f aca="false">C15+C16+C17+C18</f>
        <v>1046.41586892</v>
      </c>
      <c r="D19" s="0" t="n">
        <f aca="false">D15+D16+D17+D18</f>
        <v>1080.1111610772</v>
      </c>
      <c r="E19" s="0" t="n">
        <f aca="false">E15+E16+E17+E18</f>
        <v>1176.16724343726</v>
      </c>
      <c r="F19" s="0" t="n">
        <f aca="false">F15+F16+F17+F18</f>
        <v>1237.04797129962</v>
      </c>
      <c r="G19" s="0" t="n">
        <f aca="false">G15+G16+G17+G18</f>
        <v>1323.93861020626</v>
      </c>
      <c r="H19" s="0" t="n">
        <f aca="false">H15+H16+H17+H18</f>
        <v>1363.73907472238</v>
      </c>
      <c r="I19" s="0" t="n">
        <f aca="false">I15+I16+I17+I18</f>
        <v>1404.65124696405</v>
      </c>
      <c r="J19" s="0" t="n">
        <f aca="false">J15+J16+J17+J18</f>
        <v>1446.79078437297</v>
      </c>
      <c r="K19" s="0" t="n">
        <f aca="false">K15+K16+K17+K18</f>
        <v>1490.19450790416</v>
      </c>
      <c r="L19" s="0" t="n">
        <f aca="false">L15+L16+L17+L18</f>
        <v>1534.90034314129</v>
      </c>
    </row>
    <row r="20" customFormat="false" ht="15" hidden="false" customHeight="false" outlineLevel="0" collapsed="false">
      <c r="A20" s="0" t="s">
        <v>132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133</v>
      </c>
      <c r="C21" s="0" t="n">
        <f aca="false">C19*C20</f>
        <v>960.014558642202</v>
      </c>
      <c r="D21" s="0" t="n">
        <f aca="false">D19*D20</f>
        <v>909.107954782594</v>
      </c>
      <c r="E21" s="0" t="n">
        <f aca="false">E19*E20</f>
        <v>908.216915171215</v>
      </c>
      <c r="F21" s="0" t="n">
        <f aca="false">F19*F20</f>
        <v>876.355970165706</v>
      </c>
      <c r="G21" s="0" t="n">
        <f aca="false">G19*G20</f>
        <v>860.469256305259</v>
      </c>
      <c r="H21" s="0" t="n">
        <f aca="false">H19*H20</f>
        <v>813.153052645448</v>
      </c>
      <c r="I21" s="0" t="n">
        <f aca="false">I19*I20</f>
        <v>768.392334151203</v>
      </c>
      <c r="J21" s="0" t="n">
        <f aca="false">J19*J20</f>
        <v>726.095508418109</v>
      </c>
      <c r="K21" s="0" t="n">
        <f aca="false">K19*K20</f>
        <v>686.126948321699</v>
      </c>
      <c r="L21" s="0" t="n">
        <f aca="false">L19*L20</f>
        <v>648.35849245078</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9</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18</v>
      </c>
    </row>
    <row r="30" customFormat="false" ht="15" hidden="false" customHeight="false" outlineLevel="0" collapsed="false">
      <c r="A30" s="0" t="s">
        <v>136</v>
      </c>
      <c r="B30" s="0" t="n">
        <f aca="false">SUM(C21:L21)</f>
        <v>8156.29099105422</v>
      </c>
    </row>
    <row r="31" customFormat="false" ht="15" hidden="false" customHeight="false" outlineLevel="0" collapsed="false">
      <c r="A31" s="0" t="s">
        <v>137</v>
      </c>
      <c r="B31" s="0" t="n">
        <f aca="false">L19</f>
        <v>1534.90034314129</v>
      </c>
    </row>
    <row r="32" customFormat="false" ht="15" hidden="false" customHeight="false" outlineLevel="0" collapsed="false">
      <c r="A32" s="0" t="s">
        <v>138</v>
      </c>
      <c r="B32" s="0" t="n">
        <f aca="false">IF(B27&gt;B28,B31*(1+B28/100)/((B27-B28)/100),B31*B29)</f>
        <v>26349.1225572587</v>
      </c>
    </row>
    <row r="33" customFormat="false" ht="15" hidden="false" customHeight="false" outlineLevel="0" collapsed="false">
      <c r="A33" s="0" t="s">
        <v>139</v>
      </c>
      <c r="B33" s="0" t="n">
        <f aca="false">B31*B29</f>
        <v>27628.2061765431</v>
      </c>
    </row>
    <row r="34" customFormat="false" ht="15" hidden="false" customHeight="false" outlineLevel="0" collapsed="false">
      <c r="A34" s="0" t="s">
        <v>140</v>
      </c>
      <c r="B34" s="0" t="n">
        <f aca="false">MAX(0,MIN(B32,B33))</f>
        <v>26349.1225572587</v>
      </c>
    </row>
    <row r="35" customFormat="false" ht="15" hidden="false" customHeight="false" outlineLevel="0" collapsed="false">
      <c r="A35" s="0" t="s">
        <v>141</v>
      </c>
      <c r="B35" s="0" t="n">
        <f aca="false">B34/(1+B27/100)^L4</f>
        <v>11130.1541204051</v>
      </c>
    </row>
    <row r="36" customFormat="false" ht="15" hidden="false" customHeight="false" outlineLevel="0" collapsed="false">
      <c r="A36" s="0" t="s">
        <v>142</v>
      </c>
      <c r="B36" s="0" t="n">
        <f aca="false">B30+B35</f>
        <v>19286.4451114593</v>
      </c>
    </row>
    <row r="37" customFormat="false" ht="15" hidden="false" customHeight="false" outlineLevel="0" collapsed="false">
      <c r="A37" s="0" t="s">
        <v>143</v>
      </c>
      <c r="B37" s="0" t="n">
        <f aca="false">B36+Assumptions!$B$5-Assumptions!$B$4</f>
        <v>15596.4451114593</v>
      </c>
    </row>
    <row r="38" customFormat="false" ht="15" hidden="false" customHeight="false" outlineLevel="0" collapsed="false">
      <c r="A38" s="0" t="s">
        <v>144</v>
      </c>
      <c r="B38" s="0" t="n">
        <f aca="false">B37/Assumptions!$B$3*Assumptions!$B$10</f>
        <v>22.6494991453083</v>
      </c>
    </row>
    <row r="39" customFormat="false" ht="15" hidden="false" customHeight="false" outlineLevel="0" collapsed="false">
      <c r="A39" s="0" t="s">
        <v>145</v>
      </c>
      <c r="B39" s="4" t="n">
        <f aca="false">B38/Assumptions!$B$2-1</f>
        <v>-0.000463409297957962</v>
      </c>
    </row>
    <row r="41" customFormat="false" ht="15" hidden="false" customHeight="false" outlineLevel="0" collapsed="false">
      <c r="A41" s="0" t="s">
        <v>146</v>
      </c>
      <c r="B41" s="0" t="n">
        <f aca="false">SUMPRODUCT(-C10:L10/(1+$B$27/100)^C4:L4)</f>
        <v>193.060316022981</v>
      </c>
    </row>
    <row r="42" customFormat="false" ht="15" hidden="false" customHeight="false" outlineLevel="0" collapsed="false">
      <c r="A42" s="0" t="s">
        <v>147</v>
      </c>
      <c r="B42" s="0" t="n">
        <f aca="false">IF(B27&gt;B28,-L10*(1+B28/100)/((B27-B28)/100),-L10*20)/(1+B27/100)^L4</f>
        <v>256.483305748388</v>
      </c>
    </row>
    <row r="43" customFormat="false" ht="15" hidden="false" customHeight="false" outlineLevel="0" collapsed="false">
      <c r="A43" s="0" t="s">
        <v>148</v>
      </c>
      <c r="B43" s="0" t="n">
        <f aca="false">(B37+B41+B42)/Assumptions!$B$3*Assumptions!$B$10</f>
        <v>23.302336237628</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13174.5612786294</v>
      </c>
    </row>
    <row r="47" customFormat="false" ht="15" hidden="false" customHeight="false" outlineLevel="0" collapsed="false">
      <c r="A47" s="0" t="s">
        <v>150</v>
      </c>
      <c r="B47" s="0" t="n">
        <f aca="false">(SUMPRODUCT(C19:L19/(1+B45/100)^C4:L4)+B46/(1+B45/100)^L4+Assumptions!$B$5-Assumptions!$B$4)/Assumptions!$B$3*Assumptions!$B$10</f>
        <v>8.46017129657966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12.4280598001655</v>
      </c>
      <c r="C4" s="0" t="n">
        <f aca="false">B4/Assumptions!$B$2-1</f>
        <v>-0.451541932914146</v>
      </c>
      <c r="D4" s="4" t="n">
        <f aca="false">Assumptions!$B$24</f>
        <v>0.25</v>
      </c>
      <c r="E4" s="4" t="n">
        <f aca="false">DCF_Bear!$B$43</f>
        <v>12.9224849964614</v>
      </c>
      <c r="F4" s="4" t="n">
        <f aca="false">DCF_Bear!$B$47</f>
        <v>4.14436092761105</v>
      </c>
    </row>
    <row r="5" customFormat="false" ht="15" hidden="false" customHeight="false" outlineLevel="0" collapsed="false">
      <c r="A5" s="0" t="s">
        <v>159</v>
      </c>
      <c r="B5" s="4" t="n">
        <f aca="false">DCF_Base!$B$38</f>
        <v>17.4422382698986</v>
      </c>
      <c r="C5" s="0" t="n">
        <f aca="false">B5/Assumptions!$B$2-1</f>
        <v>-0.230263094885324</v>
      </c>
      <c r="D5" s="4" t="n">
        <f aca="false">Assumptions!$B$38</f>
        <v>0.5</v>
      </c>
      <c r="E5" s="4" t="n">
        <f aca="false">DCF_Base!$B$43</f>
        <v>18.0290269098882</v>
      </c>
      <c r="F5" s="4" t="n">
        <f aca="false">DCF_Base!$B$47</f>
        <v>6.48262587495776</v>
      </c>
    </row>
    <row r="6" customFormat="false" ht="15" hidden="false" customHeight="false" outlineLevel="0" collapsed="false">
      <c r="A6" s="0" t="s">
        <v>160</v>
      </c>
      <c r="B6" s="4" t="n">
        <f aca="false">DCF_Bull!$B$38</f>
        <v>22.6494991453083</v>
      </c>
      <c r="C6" s="0" t="n">
        <f aca="false">B6/Assumptions!$B$2-1</f>
        <v>-0.000463409297957962</v>
      </c>
      <c r="D6" s="4" t="n">
        <f aca="false">Assumptions!$B$52</f>
        <v>0.25</v>
      </c>
      <c r="E6" s="4" t="n">
        <f aca="false">DCF_Bull!$B$43</f>
        <v>23.302336237628</v>
      </c>
      <c r="F6" s="4" t="n">
        <f aca="false">DCF_Bull!$B$47</f>
        <v>8.46017129657966</v>
      </c>
    </row>
    <row r="8" customFormat="false" ht="15" hidden="false" customHeight="false" outlineLevel="0" collapsed="false">
      <c r="A8" s="0" t="s">
        <v>161</v>
      </c>
      <c r="B8" s="0" t="n">
        <f aca="false">SUMPRODUCT(B4:B6,D4:D6)</f>
        <v>17.4905088713177</v>
      </c>
    </row>
    <row r="9" customFormat="false" ht="15" hidden="false" customHeight="false" outlineLevel="0" collapsed="false">
      <c r="A9" s="0" t="s">
        <v>162</v>
      </c>
      <c r="B9" s="0" t="n">
        <f aca="false">SUMPRODUCT(E4:E6,D4:D6)</f>
        <v>18.0707187634665</v>
      </c>
    </row>
    <row r="10" customFormat="false" ht="15" hidden="false" customHeight="false" outlineLevel="0" collapsed="false">
      <c r="A10" s="0" t="s">
        <v>163</v>
      </c>
      <c r="B10" s="0" t="n">
        <f aca="false">1-Assumptions!$B$2/B8</f>
        <v>-0.295559789981847</v>
      </c>
    </row>
    <row r="11" customFormat="false" ht="15" hidden="false" customHeight="false" outlineLevel="0" collapsed="false">
      <c r="A11" s="0" t="s">
        <v>164</v>
      </c>
      <c r="B11" s="0" t="n">
        <f aca="false">IF(ABS(B9-B8)&gt;0.01*ABS(B8),(Assumptions!$B$2-B8)/(B9-B8)*100,"n/a")</f>
        <v>890.969147309366</v>
      </c>
    </row>
    <row r="12" customFormat="false" ht="15" hidden="false" customHeight="false" outlineLevel="0" collapsed="false">
      <c r="A12" s="0" t="s">
        <v>165</v>
      </c>
      <c r="B12" s="0" t="n">
        <f aca="false">SUMPRODUCT(F4:F6,D4:D6)</f>
        <v>6.39244599352655</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17.4422382698986</v>
      </c>
      <c r="C15" s="3" t="n">
        <v>9</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14.3970611479928</v>
      </c>
      <c r="C16" s="3" t="n">
        <v>10</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12.0687162200458</v>
      </c>
      <c r="C17" s="3" t="n">
        <v>11</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10.2308190357876</v>
      </c>
      <c r="C18" s="3" t="n">
        <v>12</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6.48262587495776</v>
      </c>
      <c r="C19" s="3" t="n">
        <v>15</v>
      </c>
    </row>
    <row r="21" customFormat="false" ht="15" hidden="false" customHeight="false" outlineLevel="0" collapsed="false">
      <c r="A21" s="2" t="s">
        <v>173</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23.0895223599058</v>
      </c>
      <c r="C23" s="0" t="n">
        <f aca="false">(SUMPRODUCT(DCF_Base!$C$19:$L$19/(1+$A$23/100)^DCF_Base!$C$4:$L$4)+MAX(0,MIN(IF($A$23&gt;$C$22,DCF_Base!$L$19*(1+$C$22/100)/(($A$23-$C$22)/100),DCF_Base!$L$19*DCF_Base!$B$29),DCF_Base!$L$19*DCF_Base!$B$29))/(1+$A$23/100)^DCF_Base!$L$4+Assumptions!$B$5-Assumptions!$B$4)/Assumptions!$B$3*Assumptions!$B$10</f>
        <v>23.0895223599058</v>
      </c>
      <c r="D23" s="0" t="n">
        <f aca="false">(SUMPRODUCT(DCF_Base!$C$19:$L$19/(1+$A$23/100)^DCF_Base!$C$4:$L$4)+MAX(0,MIN(IF($A$23&gt;$D$22,DCF_Base!$L$19*(1+$D$22/100)/(($A$23-$D$22)/100),DCF_Base!$L$19*DCF_Base!$B$29),DCF_Base!$L$19*DCF_Base!$B$29))/(1+$A$23/100)^DCF_Base!$L$4+Assumptions!$B$5-Assumptions!$B$4)/Assumptions!$B$3*Assumptions!$B$10</f>
        <v>23.0895223599058</v>
      </c>
      <c r="E23" s="0" t="n">
        <f aca="false">(SUMPRODUCT(DCF_Base!$C$19:$L$19/(1+$A$23/100)^DCF_Base!$C$4:$L$4)+MAX(0,MIN(IF($A$23&gt;$E$22,DCF_Base!$L$19*(1+$E$22/100)/(($A$23-$E$22)/100),DCF_Base!$L$19*DCF_Base!$B$29),DCF_Base!$L$19*DCF_Base!$B$29))/(1+$A$23/100)^DCF_Base!$L$4+Assumptions!$B$5-Assumptions!$B$4)/Assumptions!$B$3*Assumptions!$B$10</f>
        <v>23.0895223599058</v>
      </c>
      <c r="F23" s="0" t="n">
        <f aca="false">(SUMPRODUCT(DCF_Base!$C$19:$L$19/(1+$A$23/100)^DCF_Base!$C$4:$L$4)+MAX(0,MIN(IF($A$23&gt;$F$22,DCF_Base!$L$19*(1+$F$22/100)/(($A$23-$F$22)/100),DCF_Base!$L$19*DCF_Base!$B$29),DCF_Base!$L$19*DCF_Base!$B$29))/(1+$A$23/100)^DCF_Base!$L$4+Assumptions!$B$5-Assumptions!$B$4)/Assumptions!$B$3*Assumptions!$B$10</f>
        <v>23.0895223599058</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18.999647498279</v>
      </c>
      <c r="C24" s="0" t="n">
        <f aca="false">(SUMPRODUCT(DCF_Base!$C$19:$L$19/(1+$A$24/100)^DCF_Base!$C$4:$L$4)+MAX(0,MIN(IF($A$24&gt;$C$22,DCF_Base!$L$19*(1+$C$22/100)/(($A$24-$C$22)/100),DCF_Base!$L$19*DCF_Base!$B$29),DCF_Base!$L$19*DCF_Base!$B$29))/(1+$A$24/100)^DCF_Base!$L$4+Assumptions!$B$5-Assumptions!$B$4)/Assumptions!$B$3*Assumptions!$B$10</f>
        <v>20.1893110746731</v>
      </c>
      <c r="D24" s="0" t="n">
        <f aca="false">(SUMPRODUCT(DCF_Base!$C$19:$L$19/(1+$A$24/100)^DCF_Base!$C$4:$L$4)+MAX(0,MIN(IF($A$24&gt;$D$22,DCF_Base!$L$19*(1+$D$22/100)/(($A$24-$D$22)/100),DCF_Base!$L$19*DCF_Base!$B$29),DCF_Base!$L$19*DCF_Base!$B$29))/(1+$A$24/100)^DCF_Base!$L$4+Assumptions!$B$5-Assumptions!$B$4)/Assumptions!$B$3*Assumptions!$B$10</f>
        <v>21.0485125465133</v>
      </c>
      <c r="E24" s="0" t="n">
        <f aca="false">(SUMPRODUCT(DCF_Base!$C$19:$L$19/(1+$A$24/100)^DCF_Base!$C$4:$L$4)+MAX(0,MIN(IF($A$24&gt;$E$22,DCF_Base!$L$19*(1+$E$22/100)/(($A$24-$E$22)/100),DCF_Base!$L$19*DCF_Base!$B$29),DCF_Base!$L$19*DCF_Base!$B$29))/(1+$A$24/100)^DCF_Base!$L$4+Assumptions!$B$5-Assumptions!$B$4)/Assumptions!$B$3*Assumptions!$B$10</f>
        <v>21.0485125465133</v>
      </c>
      <c r="F24" s="0" t="n">
        <f aca="false">(SUMPRODUCT(DCF_Base!$C$19:$L$19/(1+$A$24/100)^DCF_Base!$C$4:$L$4)+MAX(0,MIN(IF($A$24&gt;$F$22,DCF_Base!$L$19*(1+$F$22/100)/(($A$24-$F$22)/100),DCF_Base!$L$19*DCF_Base!$B$29),DCF_Base!$L$19*DCF_Base!$B$29))/(1+$A$24/100)^DCF_Base!$L$4+Assumptions!$B$5-Assumptions!$B$4)/Assumptions!$B$3*Assumptions!$B$10</f>
        <v>21.0485125465133</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15.6902973130058</v>
      </c>
      <c r="C25" s="0" t="n">
        <f aca="false">(SUMPRODUCT(DCF_Base!$C$19:$L$19/(1+$A$25/100)^DCF_Base!$C$4:$L$4)+MAX(0,MIN(IF($A$25&gt;$C$22,DCF_Base!$L$19*(1+$C$22/100)/(($A$25-$C$22)/100),DCF_Base!$L$19*DCF_Base!$B$29),DCF_Base!$L$19*DCF_Base!$B$29))/(1+$A$25/100)^DCF_Base!$L$4+Assumptions!$B$5-Assumptions!$B$4)/Assumptions!$B$3*Assumptions!$B$10</f>
        <v>16.5036984715632</v>
      </c>
      <c r="D25" s="0" t="n">
        <f aca="false">(SUMPRODUCT(DCF_Base!$C$19:$L$19/(1+$A$25/100)^DCF_Base!$C$4:$L$4)+MAX(0,MIN(IF($A$25&gt;$D$22,DCF_Base!$L$19*(1+$D$22/100)/(($A$25-$D$22)/100),DCF_Base!$L$19*DCF_Base!$B$29),DCF_Base!$L$19*DCF_Base!$B$29))/(1+$A$25/100)^DCF_Base!$L$4+Assumptions!$B$5-Assumptions!$B$4)/Assumptions!$B$3*Assumptions!$B$10</f>
        <v>17.4422382698986</v>
      </c>
      <c r="E25" s="0" t="n">
        <f aca="false">(SUMPRODUCT(DCF_Base!$C$19:$L$19/(1+$A$25/100)^DCF_Base!$C$4:$L$4)+MAX(0,MIN(IF($A$25&gt;$E$22,DCF_Base!$L$19*(1+$E$22/100)/(($A$25-$E$22)/100),DCF_Base!$L$19*DCF_Base!$B$29),DCF_Base!$L$19*DCF_Base!$B$29))/(1+$A$25/100)^DCF_Base!$L$4+Assumptions!$B$5-Assumptions!$B$4)/Assumptions!$B$3*Assumptions!$B$10</f>
        <v>18.5372013679565</v>
      </c>
      <c r="F25" s="0" t="n">
        <f aca="false">(SUMPRODUCT(DCF_Base!$C$19:$L$19/(1+$A$25/100)^DCF_Base!$C$4:$L$4)+MAX(0,MIN(IF($A$25&gt;$F$22,DCF_Base!$L$19*(1+$F$22/100)/(($A$25-$F$22)/100),DCF_Base!$L$19*DCF_Base!$B$29),DCF_Base!$L$19*DCF_Base!$B$29))/(1+$A$25/100)^DCF_Base!$L$4+Assumptions!$B$5-Assumptions!$B$4)/Assumptions!$B$3*Assumptions!$B$10</f>
        <v>19.1901610135874</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13.1630524761565</v>
      </c>
      <c r="C26" s="0" t="n">
        <f aca="false">(SUMPRODUCT(DCF_Base!$C$19:$L$19/(1+$A$26/100)^DCF_Base!$C$4:$L$4)+MAX(0,MIN(IF($A$26&gt;$C$22,DCF_Base!$L$19*(1+$C$22/100)/(($A$26-$C$22)/100),DCF_Base!$L$19*DCF_Base!$B$29),DCF_Base!$L$19*DCF_Base!$B$29))/(1+$A$26/100)^DCF_Base!$L$4+Assumptions!$B$5-Assumptions!$B$4)/Assumptions!$B$3*Assumptions!$B$10</f>
        <v>13.7414940410798</v>
      </c>
      <c r="D26" s="0" t="n">
        <f aca="false">(SUMPRODUCT(DCF_Base!$C$19:$L$19/(1+$A$26/100)^DCF_Base!$C$4:$L$4)+MAX(0,MIN(IF($A$26&gt;$D$22,DCF_Base!$L$19*(1+$D$22/100)/(($A$26-$D$22)/100),DCF_Base!$L$19*DCF_Base!$B$29),DCF_Base!$L$19*DCF_Base!$B$29))/(1+$A$26/100)^DCF_Base!$L$4+Assumptions!$B$5-Assumptions!$B$4)/Assumptions!$B$3*Assumptions!$B$10</f>
        <v>14.3970611479928</v>
      </c>
      <c r="E26" s="0" t="n">
        <f aca="false">(SUMPRODUCT(DCF_Base!$C$19:$L$19/(1+$A$26/100)^DCF_Base!$C$4:$L$4)+MAX(0,MIN(IF($A$26&gt;$E$22,DCF_Base!$L$19*(1+$E$22/100)/(($A$26-$E$22)/100),DCF_Base!$L$19*DCF_Base!$B$29),DCF_Base!$L$19*DCF_Base!$B$29))/(1+$A$26/100)^DCF_Base!$L$4+Assumptions!$B$5-Assumptions!$B$4)/Assumptions!$B$3*Assumptions!$B$10</f>
        <v>15.1462806987505</v>
      </c>
      <c r="F26" s="0" t="n">
        <f aca="false">(SUMPRODUCT(DCF_Base!$C$19:$L$19/(1+$A$26/100)^DCF_Base!$C$4:$L$4)+MAX(0,MIN(IF($A$26&gt;$F$22,DCF_Base!$L$19*(1+$F$22/100)/(($A$26-$F$22)/100),DCF_Base!$L$19*DCF_Base!$B$29),DCF_Base!$L$19*DCF_Base!$B$29))/(1+$A$26/100)^DCF_Base!$L$4+Assumptions!$B$5-Assumptions!$B$4)/Assumptions!$B$3*Assumptions!$B$10</f>
        <v>16.0107647957787</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11.170701972431</v>
      </c>
      <c r="C27" s="0" t="n">
        <f aca="false">(SUMPRODUCT(DCF_Base!$C$19:$L$19/(1+$A$27/100)^DCF_Base!$C$4:$L$4)+MAX(0,MIN(IF($A$27&gt;$C$22,DCF_Base!$L$19*(1+$C$22/100)/(($A$27-$C$22)/100),DCF_Base!$L$19*DCF_Base!$B$29),DCF_Base!$L$19*DCF_Base!$B$29))/(1+$A$27/100)^DCF_Base!$L$4+Assumptions!$B$5-Assumptions!$B$4)/Assumptions!$B$3*Assumptions!$B$10</f>
        <v>11.5947642560269</v>
      </c>
      <c r="D27" s="0" t="n">
        <f aca="false">(SUMPRODUCT(DCF_Base!$C$19:$L$19/(1+$A$27/100)^DCF_Base!$C$4:$L$4)+MAX(0,MIN(IF($A$27&gt;$D$22,DCF_Base!$L$19*(1+$D$22/100)/(($A$27-$D$22)/100),DCF_Base!$L$19*DCF_Base!$B$29),DCF_Base!$L$19*DCF_Base!$B$29))/(1+$A$27/100)^DCF_Base!$L$4+Assumptions!$B$5-Assumptions!$B$4)/Assumptions!$B$3*Assumptions!$B$10</f>
        <v>12.0687162200458</v>
      </c>
      <c r="E27" s="0" t="n">
        <f aca="false">(SUMPRODUCT(DCF_Base!$C$19:$L$19/(1+$A$27/100)^DCF_Base!$C$4:$L$4)+MAX(0,MIN(IF($A$27&gt;$E$22,DCF_Base!$L$19*(1+$E$22/100)/(($A$27-$E$22)/100),DCF_Base!$L$19*DCF_Base!$B$29),DCF_Base!$L$19*DCF_Base!$B$29))/(1+$A$27/100)^DCF_Base!$L$4+Assumptions!$B$5-Assumptions!$B$4)/Assumptions!$B$3*Assumptions!$B$10</f>
        <v>12.6019121795672</v>
      </c>
      <c r="F27" s="0" t="n">
        <f aca="false">(SUMPRODUCT(DCF_Base!$C$19:$L$19/(1+$A$27/100)^DCF_Base!$C$4:$L$4)+MAX(0,MIN(IF($A$27&gt;$F$22,DCF_Base!$L$19*(1+$F$22/100)/(($A$27-$F$22)/100),DCF_Base!$L$19*DCF_Base!$B$29),DCF_Base!$L$19*DCF_Base!$B$29))/(1+$A$27/100)^DCF_Base!$L$4+Assumptions!$B$5-Assumptions!$B$4)/Assumptions!$B$3*Assumptions!$B$10</f>
        <v>13.2062009336913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2026-09-28T21:32:53Z</dcterms:created>
  <dc:creator>openpyxl</dc:creator>
  <dc:description/>
  <dc:language>en-NZ</dc:language>
  <cp:lastModifiedBy/>
  <dcterms:modified xsi:type="dcterms:W3CDTF">2026-09-28T21:32:53Z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