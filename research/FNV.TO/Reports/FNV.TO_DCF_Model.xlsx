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<sst xmlns="http://schemas.openxmlformats.org/spreadsheetml/2006/main" count="366" uniqueCount="170">
  <si>
    <t xml:space="preserve">Ticker</t>
  </si>
  <si>
    <t xml:space="preserve">FNV.TO</t>
  </si>
  <si>
    <t xml:space="preserve">Company</t>
  </si>
  <si>
    <t xml:space="preserve">Franco-Nevada Corporation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</si>
  <si>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</si>
  <si>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</si>
  <si>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</si>
  <si>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</si>
  <si>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TSX close (not after-hours)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</si>
  <si>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</si>
  <si>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</si>
  <si>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</si>
  <si>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</si>
  <si>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</si>
  <si>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</si>
  <si>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</si>
  <si>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CAD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</si>
  <si>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</si>
  <si>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</si>
  <si>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</si>
  <si>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</si>
  <si>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</si>
  <si>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2026-10-10T08:31:23Z</t>
  </si>
  <si>
    <t xml:space="preserve">Drivers file</t>
  </si>
  <si>
    <t xml:space="preserve">FNV.TO_Drivers.json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</si>
  <si>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</si>
  <si>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</si>
  <si>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</si>
  <si>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Franco-Nevada is valued as the going-concern owner of a depleting royalty portfolio: the existing assets are projected to management's own five-year volume outlook at a flat spot gold price, a sustaining-reinvestment charge replaces depleted ounces so the terminal value capitalises earnings rather than pre-depletion operating cash flow, and the company's cash, listed investments, bullion and loans are added at fair value. Growth acquisitions beyond the outlook are assumed value-neutral and are neither projected nor charged. Gold-price risk and the Cobre Panama binary are carried in the scenarios, not in the discount rate, which is a USD cost of equity for an unlevered 90%-margin royalty business. The house DCF therefore says what the portfolio is worth without the premium-to-NAV the market has historically paid royalty companies; the gap between the weighted IV and the price is a measure of how much gold upside and deal-accretion credit the current quote embeds.
key_risks_to_valuation: Gold price: every $500/oz is roughly +/-12% of revenue with ~no offsetting cost change; the base case holds gold flat at spot, so a sustained move either way dominates every other assumption; Cobre Panama: a full restart is worth 150-175k GEOs/yr (~25-30% of guided volumes) and is in the bull case only; the bear and base cases carry nothing beyond the 2026-27 stockpile ounces; Sustaining-reinvestment charge: valuing a depleting portfolio requires a replacement-capital assumption (16% of revenue in base); at 14% or 20% the base IV moves by roughly +/-10%, and the choice is a judgment, not a disclosed number; Cash tax convergence: the cash rate is ramped from ~16% to 21.5%; if deferred-tax timing differences on streams persist longer, or Canadian transfer-pricing rules bite harder, the terminal NOPAT moves several percent; Candelaria/Antapaccay step-downs (H2 2027, H2 2028) and the timing of Cascabel, Eskay Creek and Stibnite first production: the 2027-2029 volume path depends entirely on third-party operators FNV cannot control; Market premium: royalty companies have traded at 1.5-2.5x P/NAV; the DCF does not model that premium, so the stock can trade far above the house IV for years while the premium persists, and fall toward it if gold enters a prolonged bear market</t>
  </si>
  <si>
    <t xml:space="preserve">Data sources</t>
  </si>
  <si>
    <t xml:space="preserve">price: Yahoo Finance chart API for FNV.TO at inputs.price_as_of (regular TSX close); 52-week range C$254.13-388.22. FX: Yahoo USDCAD=X at the time stated in inputs.fx_note; parity checked against the NYSE FNV close. Gold: Yahoo GC=F, $4,216 close 2026-10-09.
financials: FNV.TO_Metrics.csv / metrics_normalized (FY2015-FY2025 annual, quarters through Q2 2026, millions USD); kpis table (AdjustedEBITDA, GEOsSold, CashTaxesPaid, Depreciation, InterestIncome, acquisitions, AverageGoldPrice); FY2025 Annual Report/MD&amp;A (2026 guidance, five-year outlook, tax guidance); Q2 2026 MD&amp;A and interim statements (balance sheet at 2026-06-30, diluted share table at 2026-08-11, Notes 5-7 and 18).
qualitative: FNV.TO_Analysis.json (2026-10-10): business model, Cobre Panama status, guidance tracking, acquisition pipeline, bull/bear cases.</t>
  </si>
  <si>
    <t xml:space="preserve">Scenario narrative: bear</t>
  </si>
  <si>
    <t xml:space="preserve">Gold mean-reverts to ~$3,300 by 2027 (a further ~20% fall after its worst quarter since 2013), Cobre Panama stays shut and stockpile deliveries slip, and the Candelaria and Antapaccay step-downs land without offset so volumes track the bottom of the outlook range. Fixed-dollar stream costs compress the margin to ~87%, the competitive deal market forces 20% of revenue into replacement acquisitions, and the premium the market pays royalty names over NAV compresses. There is no solvency dimension: FNV has no debt, $1.0B cash and $1.2B of listed investments.</t>
  </si>
  <si>
    <t xml:space="preserve">Scenario narrative: base</t>
  </si>
  <si>
    <t xml:space="preserve">Gold holds at today's ~$4,200/oz in nominal terms (below the company's $4,500 planning deck) and the existing portfolio delivers the midpoint of management's 2030 outlook (585k GEOs) through the Eskay Creek, Cascabel, Stibnite, Stillwater West and Detour ramp-ups, net of the Candelaria (H2 2027) and Antapaccay (H2 2028) stream step-downs. Cobre Panama contributes only the 2026-27 stockpile ounces. Margins stay ~90.5% pre-SBC, the cash tax rate ramps to the guided 20-23%, and 16% of revenue is reinvested each year just to replace depleting ounces. The result capitalises roughly NOPAT at 8%/2.5%, which is what the existing portfolio is worth as a going concern without crediting FNV for future accretive deals.</t>
  </si>
  <si>
    <t xml:space="preserve">Scenario narrative: bull</t>
  </si>
  <si>
    <t xml:space="preserve">Gold retests its January 2026 highs ($5,000 from 2027) as real rates fall and central-bank buying persists, and Panama's ministerial commission negotiates a Cobre Panama restart that ramps from 2028 to the 150-175k GEOs/yr the stream can deliver at full capacity. Margins widen to ~91-92% because stream costs are fixed in dollars, deals are priced more cheaply (14% sustaining reinvestment) and terminal growth of 3% reflects nominal gold drift plus the 300+ exploration-stage interests not in guidance.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</si>
  <si>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</si>
  <si>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</si>
  <si>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</si>
  <si>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</si>
  <si>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</si>
  <si>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</si>
  <si>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</si>
  <si>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</si>
  <si>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</si>
  <si>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</si>
  <si>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</si>
  <si>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</si>
  <si>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</si>
  <si>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</si>
  <si>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</si>
  <si>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</si>
  <si>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</si>
  <si>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</si>
  <si>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</si>
  <si>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</si>
  <si>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</si>
  <si>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</si>
  <si>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</si>
  <si>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</si>
  <si>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</si>
  <si>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</si>
  <si>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</si>
  <si>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Acquisitions</t>
  </si>
  <si>
    <t xml:space="preserve">AdjustedEBITDA</t>
  </si>
  <si>
    <t xml:space="preserve">AdjustedNetIncome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</si>
  <si>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</si>
  <si>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</si>
  <si>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</si>
  <si>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</si>
  <si>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</si>
  <si>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</si>
  <si>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</si>
  <si>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</si>
  <si>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</si>
  <si>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</si>
  <si>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</si>
  <si>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</si>
  <si>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</si>
  <si>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</si>
  <si>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</si>
  <si>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</si>
  <si>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</si>
  <si>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</si>
  <si>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</si>
  <si>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</si>
  <si>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</si>
  <si>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</si>
  <si>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</si>
  <si>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</si>
  <si>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</si>
  <si>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</si>
  <si>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</si>
  <si>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</si>
  <si>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</si>
  <si>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</si>
  <si>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</si>
  <si>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</si>
  <si>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</si>
  <si>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</si>
  <si>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</si>
  <si>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</si>
  <si>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</si>
  <si>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</si>
  <si>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</si>
  <si>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</si>
  <si>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</si>
  <si>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</si>
  <si>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</si>
  <si>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</si>
  <si>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</si>
  <si>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</si>
  <si>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</si>
  <si>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</si>
  <si>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FNV.TO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</si>
  <si>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</si>
  <si>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</si>
  <si>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</si>
  <si>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</si>
  <si>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</si>
  <si>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</si>
  <si>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</si>
  <si>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</si>
  <si>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</si>
  <si>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</si>
  <si>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</si>
  <si>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</si>
  <si>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</si>
  <si>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</si>
  <si>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</si>
  <si>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</si>
  <si>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</si>
  <si>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</si>
  <si>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</si>
  <si>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</si>
  <si>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</si>
  <si>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</si>
  <si>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</si>
  <si>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</si>
  <si>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</si>
  <si>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</si>
  <si>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</si>
  <si>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</si>
  <si>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</si>
  <si>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</si>
  <si>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FNV.TO owner-FCF component DCF: base case (millions, USD)</t>
  </si>
  <si>
    <t xml:space="preserve">FNV.TO owner-FCF component DCF: bull case (millions, USD)</t>
  </si>
  <si>
    <t xml:space="preserve">FNV.TO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</si>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</sst>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349.61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</row>
    <row r="2" customFormat="false" ht="15" hidden="false" customHeight="false" outlineLevel="0" collapsed="false">
      <c r="A2" s="0" t="s">
        <v>67</v>
      </c>
      <c r="B2" s="0" t="n">
        <v>443.6</v>
      </c>
      <c r="C2" s="0" t="n">
        <v>309.4</v>
      </c>
      <c r="D2" s="0" t="n">
        <v>134.2</v>
      </c>
      <c r="E2" s="0" t="n">
        <v>30.3</v>
      </c>
      <c r="F2" s="0" t="n">
        <v>51.3</v>
      </c>
      <c r="G2" s="0" t="n">
        <v>11.6</v>
      </c>
      <c r="H2" s="0" t="n">
        <v>267.6</v>
      </c>
      <c r="I2" s="0" t="n">
        <v>24.6</v>
      </c>
      <c r="J2" s="0" t="n">
        <v>5.5</v>
      </c>
      <c r="K2" s="0" t="n">
        <v>0.16</v>
      </c>
      <c r="L2" s="0" t="n">
        <v>314.3</v>
      </c>
      <c r="M2" s="0" t="n">
        <v>0</v>
      </c>
      <c r="N2" s="0" t="n">
        <v>314.3</v>
      </c>
      <c r="O2" s="0" t="n">
        <v>3163</v>
      </c>
      <c r="P2" s="0" t="n">
        <v>3674.3</v>
      </c>
      <c r="Q2" s="0" t="n">
        <v>511.3</v>
      </c>
      <c r="R2" s="0" t="n">
        <v>457.3</v>
      </c>
      <c r="S2" s="0" t="n">
        <v>168</v>
      </c>
      <c r="T2" s="0" t="n">
        <v>156.9</v>
      </c>
      <c r="U2" s="0" t="n">
        <v>4.5</v>
      </c>
      <c r="V2" s="0" t="n">
        <v>0.83</v>
      </c>
      <c r="AA2" s="0" t="s">
        <v>18</v>
      </c>
      <c r="AB2" s="0" t="s">
        <v>14</v>
      </c>
      <c r="AC2" s="0" t="n">
        <v>1016.8</v>
      </c>
      <c r="AD2" s="0" t="n">
        <v>337.1</v>
      </c>
      <c r="AE2" s="0" t="n">
        <v>88.9</v>
      </c>
    </row>
    <row r="3" customFormat="false" ht="15" hidden="false" customHeight="false" outlineLevel="0" collapsed="false">
      <c r="A3" s="0" t="s">
        <v>68</v>
      </c>
      <c r="B3" s="0" t="n">
        <v>610.2</v>
      </c>
      <c r="C3" s="0" t="n">
        <v>379.6</v>
      </c>
      <c r="D3" s="0" t="n">
        <v>230.6</v>
      </c>
      <c r="E3" s="0" t="n">
        <v>37.8</v>
      </c>
      <c r="F3" s="0" t="n">
        <v>155.4</v>
      </c>
      <c r="G3" s="0" t="n">
        <v>25.5</v>
      </c>
      <c r="H3" s="0" t="n">
        <v>429.2</v>
      </c>
      <c r="I3" s="0" t="n">
        <v>122.2</v>
      </c>
      <c r="J3" s="0" t="n">
        <v>20</v>
      </c>
      <c r="K3" s="0" t="n">
        <v>0.69</v>
      </c>
      <c r="L3" s="0" t="n">
        <v>471</v>
      </c>
      <c r="M3" s="0" t="n">
        <v>0.2</v>
      </c>
      <c r="N3" s="0" t="n">
        <v>470.8</v>
      </c>
      <c r="O3" s="0" t="n">
        <v>4146.5</v>
      </c>
      <c r="P3" s="0" t="n">
        <v>4221.6</v>
      </c>
      <c r="Q3" s="0" t="n">
        <v>75.1</v>
      </c>
      <c r="R3" s="0" t="n">
        <v>0</v>
      </c>
      <c r="S3" s="0" t="n">
        <v>253</v>
      </c>
      <c r="T3" s="0" t="n">
        <v>175.2</v>
      </c>
      <c r="U3" s="0" t="n">
        <v>5</v>
      </c>
      <c r="V3" s="0" t="n">
        <v>0.87</v>
      </c>
      <c r="AA3" s="0" t="s">
        <v>18</v>
      </c>
      <c r="AB3" s="0" t="s">
        <v>14</v>
      </c>
      <c r="AC3" s="0" t="n">
        <v>744.8</v>
      </c>
      <c r="AD3" s="0" t="n">
        <v>489.1</v>
      </c>
      <c r="AE3" s="0" t="n">
        <v>164.4</v>
      </c>
    </row>
    <row r="4" customFormat="false" ht="15" hidden="false" customHeight="false" outlineLevel="0" collapsed="false">
      <c r="A4" s="0" t="s">
        <v>69</v>
      </c>
      <c r="B4" s="0" t="n">
        <v>675</v>
      </c>
      <c r="C4" s="0" t="n">
        <v>415</v>
      </c>
      <c r="D4" s="0" t="n">
        <v>260</v>
      </c>
      <c r="E4" s="0" t="n">
        <v>38.5</v>
      </c>
      <c r="F4" s="0" t="n">
        <v>235.4</v>
      </c>
      <c r="G4" s="0" t="n">
        <v>34.9</v>
      </c>
      <c r="H4" s="0" t="n">
        <v>508.4</v>
      </c>
      <c r="I4" s="0" t="n">
        <v>194.7</v>
      </c>
      <c r="J4" s="0" t="n">
        <v>28.8</v>
      </c>
      <c r="K4" s="0" t="n">
        <v>1.06</v>
      </c>
      <c r="L4" s="0" t="n">
        <v>488.6</v>
      </c>
      <c r="M4" s="0" t="n">
        <v>0</v>
      </c>
      <c r="N4" s="0" t="n">
        <v>488.6</v>
      </c>
      <c r="O4" s="0" t="n">
        <v>4705.5</v>
      </c>
      <c r="P4" s="0" t="n">
        <v>4788.4</v>
      </c>
      <c r="Q4" s="0" t="n">
        <v>82.9</v>
      </c>
      <c r="R4" s="0" t="n">
        <v>0</v>
      </c>
      <c r="S4" s="0" t="n">
        <v>511.1</v>
      </c>
      <c r="T4" s="0" t="n">
        <v>182.9</v>
      </c>
      <c r="U4" s="0" t="n">
        <v>4.6</v>
      </c>
      <c r="V4" s="0" t="n">
        <v>0.91</v>
      </c>
      <c r="AA4" s="0" t="s">
        <v>18</v>
      </c>
      <c r="AB4" s="0" t="s">
        <v>14</v>
      </c>
      <c r="AC4" s="0" t="n">
        <v>499.5</v>
      </c>
      <c r="AD4" s="0" t="n">
        <v>516.1</v>
      </c>
      <c r="AE4" s="0" t="n">
        <v>198.3</v>
      </c>
    </row>
    <row r="5" customFormat="false" ht="15" hidden="false" customHeight="false" outlineLevel="0" collapsed="false">
      <c r="A5" s="0" t="s">
        <v>70</v>
      </c>
      <c r="B5" s="0" t="n">
        <v>653.2</v>
      </c>
      <c r="C5" s="0" t="n">
        <v>365.9</v>
      </c>
      <c r="D5" s="0" t="n">
        <v>287.3</v>
      </c>
      <c r="E5" s="0" t="n">
        <v>44</v>
      </c>
      <c r="F5" s="0" t="n">
        <v>188.8</v>
      </c>
      <c r="G5" s="0" t="n">
        <v>28.9</v>
      </c>
      <c r="H5" s="0" t="n">
        <v>436.5</v>
      </c>
      <c r="I5" s="0" t="n">
        <v>139</v>
      </c>
      <c r="J5" s="0" t="n">
        <v>21.3</v>
      </c>
      <c r="K5" s="0" t="n">
        <v>0.75</v>
      </c>
      <c r="L5" s="0" t="n">
        <v>474.8</v>
      </c>
      <c r="M5" s="0" t="n">
        <v>1.6</v>
      </c>
      <c r="N5" s="0" t="n">
        <v>473.2</v>
      </c>
      <c r="O5" s="0" t="n">
        <v>4631.9</v>
      </c>
      <c r="P5" s="0" t="n">
        <v>4931.8</v>
      </c>
      <c r="Q5" s="0" t="n">
        <v>299.9</v>
      </c>
      <c r="R5" s="0" t="n">
        <v>207.6</v>
      </c>
      <c r="S5" s="0" t="n">
        <v>69.7</v>
      </c>
      <c r="T5" s="0" t="n">
        <v>186.1</v>
      </c>
      <c r="U5" s="0" t="n">
        <v>5.2</v>
      </c>
      <c r="V5" s="0" t="n">
        <v>0.95</v>
      </c>
      <c r="AA5" s="0" t="s">
        <v>18</v>
      </c>
      <c r="AB5" s="0" t="s">
        <v>14</v>
      </c>
      <c r="AC5" s="0" t="n">
        <v>988</v>
      </c>
      <c r="AD5" s="0" t="n">
        <v>519.6</v>
      </c>
      <c r="AE5" s="0" t="n">
        <v>217</v>
      </c>
    </row>
    <row r="6" customFormat="false" ht="15" hidden="false" customHeight="false" outlineLevel="0" collapsed="false">
      <c r="A6" s="0" t="s">
        <v>71</v>
      </c>
      <c r="B6" s="0" t="n">
        <v>844.1</v>
      </c>
      <c r="C6" s="0" t="n">
        <v>408</v>
      </c>
      <c r="D6" s="0" t="n">
        <v>436.1</v>
      </c>
      <c r="E6" s="0" t="n">
        <v>51.7</v>
      </c>
      <c r="F6" s="0" t="n">
        <v>410.2</v>
      </c>
      <c r="G6" s="0" t="n">
        <v>48.6</v>
      </c>
      <c r="H6" s="0" t="n">
        <v>673.4</v>
      </c>
      <c r="I6" s="0" t="n">
        <v>344.1</v>
      </c>
      <c r="J6" s="0" t="n">
        <v>40.8</v>
      </c>
      <c r="K6" s="0" t="n">
        <v>1.83</v>
      </c>
      <c r="L6" s="0" t="n">
        <v>617.7</v>
      </c>
      <c r="M6" s="0" t="n">
        <v>1.3</v>
      </c>
      <c r="N6" s="0" t="n">
        <v>616.4</v>
      </c>
      <c r="O6" s="0" t="n">
        <v>5062.2</v>
      </c>
      <c r="P6" s="0" t="n">
        <v>5280.6</v>
      </c>
      <c r="Q6" s="0" t="n">
        <v>218.4</v>
      </c>
      <c r="R6" s="0" t="n">
        <v>80</v>
      </c>
      <c r="S6" s="0" t="n">
        <v>132.1</v>
      </c>
      <c r="T6" s="0" t="n">
        <v>188</v>
      </c>
      <c r="U6" s="0" t="n">
        <v>4.9</v>
      </c>
      <c r="V6" s="0" t="n">
        <v>0.99</v>
      </c>
      <c r="AA6" s="0" t="s">
        <v>18</v>
      </c>
      <c r="AB6" s="0" t="s">
        <v>14</v>
      </c>
      <c r="AC6" s="0" t="n">
        <v>443.9</v>
      </c>
      <c r="AD6" s="0" t="n">
        <v>673.4</v>
      </c>
      <c r="AE6" s="0" t="n">
        <v>341.5</v>
      </c>
    </row>
    <row r="7" customFormat="false" ht="15" hidden="false" customHeight="false" outlineLevel="0" collapsed="false">
      <c r="A7" s="0" t="s">
        <v>72</v>
      </c>
      <c r="B7" s="0" t="n">
        <v>1020.2</v>
      </c>
      <c r="C7" s="0" t="n">
        <v>399.8</v>
      </c>
      <c r="D7" s="0" t="n">
        <v>620.4</v>
      </c>
      <c r="E7" s="0" t="n">
        <v>60.8</v>
      </c>
      <c r="F7" s="0" t="n">
        <v>336.5</v>
      </c>
      <c r="G7" s="0" t="n">
        <v>33</v>
      </c>
      <c r="H7" s="0" t="n">
        <v>577.5</v>
      </c>
      <c r="I7" s="0" t="n">
        <v>326.2</v>
      </c>
      <c r="J7" s="0" t="n">
        <v>32</v>
      </c>
      <c r="K7" s="0" t="n">
        <v>1.71</v>
      </c>
      <c r="L7" s="0" t="n">
        <v>803.9</v>
      </c>
      <c r="M7" s="0" t="n">
        <v>1.5</v>
      </c>
      <c r="N7" s="0" t="n">
        <v>802.4</v>
      </c>
      <c r="O7" s="0" t="n">
        <v>5443.8</v>
      </c>
      <c r="P7" s="0" t="n">
        <v>5592.9</v>
      </c>
      <c r="Q7" s="0" t="n">
        <v>149.1</v>
      </c>
      <c r="R7" s="0" t="n">
        <v>0</v>
      </c>
      <c r="S7" s="0" t="n">
        <v>534.2</v>
      </c>
      <c r="T7" s="0" t="n">
        <v>190.7</v>
      </c>
      <c r="U7" s="0" t="n">
        <v>5.6</v>
      </c>
      <c r="V7" s="0" t="n">
        <v>1.03</v>
      </c>
      <c r="AA7" s="0" t="s">
        <v>18</v>
      </c>
      <c r="AB7" s="0" t="s">
        <v>14</v>
      </c>
      <c r="AC7" s="0" t="n">
        <v>311.1</v>
      </c>
      <c r="AD7" s="0" t="n">
        <v>839.6</v>
      </c>
      <c r="AE7" s="0" t="n">
        <v>516.3</v>
      </c>
    </row>
    <row r="8" customFormat="false" ht="15" hidden="false" customHeight="false" outlineLevel="0" collapsed="false">
      <c r="A8" s="0" t="s">
        <v>73</v>
      </c>
      <c r="B8" s="0" t="n">
        <v>1300</v>
      </c>
      <c r="C8" s="0" t="n">
        <v>477.9</v>
      </c>
      <c r="D8" s="0" t="n">
        <v>822.1</v>
      </c>
      <c r="E8" s="0" t="n">
        <v>63.2</v>
      </c>
      <c r="F8" s="0" t="n">
        <v>860.7</v>
      </c>
      <c r="G8" s="0" t="n">
        <v>66.2</v>
      </c>
      <c r="H8" s="0" t="n">
        <v>1160.3</v>
      </c>
      <c r="I8" s="0" t="n">
        <v>733.7</v>
      </c>
      <c r="J8" s="0" t="n">
        <v>56.4</v>
      </c>
      <c r="K8" s="0" t="n">
        <v>3.83</v>
      </c>
      <c r="L8" s="0" t="n">
        <v>955.4</v>
      </c>
      <c r="M8" s="0" t="n">
        <v>1.8</v>
      </c>
      <c r="N8" s="0" t="n">
        <v>953.6</v>
      </c>
      <c r="O8" s="0" t="n">
        <v>6025.2</v>
      </c>
      <c r="P8" s="0" t="n">
        <v>6209.9</v>
      </c>
      <c r="Q8" s="0" t="n">
        <v>184.7</v>
      </c>
      <c r="R8" s="0" t="n">
        <v>0</v>
      </c>
      <c r="S8" s="0" t="n">
        <v>539.3</v>
      </c>
      <c r="T8" s="0" t="n">
        <v>191.5</v>
      </c>
      <c r="U8" s="0" t="n">
        <v>8</v>
      </c>
      <c r="V8" s="0" t="n">
        <v>1.16</v>
      </c>
      <c r="AA8" s="0" t="s">
        <v>18</v>
      </c>
      <c r="AB8" s="0" t="s">
        <v>14</v>
      </c>
      <c r="AC8" s="0" t="n">
        <v>758.7</v>
      </c>
      <c r="AD8" s="0" t="n">
        <v>1092.3</v>
      </c>
      <c r="AE8" s="0" t="n">
        <v>673.6</v>
      </c>
    </row>
    <row r="9" customFormat="false" ht="15" hidden="false" customHeight="false" outlineLevel="0" collapsed="false">
      <c r="A9" s="0" t="s">
        <v>74</v>
      </c>
      <c r="B9" s="0" t="n">
        <v>1315.7</v>
      </c>
      <c r="C9" s="0" t="n">
        <v>463.1</v>
      </c>
      <c r="D9" s="0" t="n">
        <v>852.6</v>
      </c>
      <c r="E9" s="0" t="n">
        <v>64.8</v>
      </c>
      <c r="F9" s="0" t="n">
        <v>820.7</v>
      </c>
      <c r="G9" s="0" t="n">
        <v>62.4</v>
      </c>
      <c r="H9" s="0" t="n">
        <v>1106.9</v>
      </c>
      <c r="I9" s="0" t="n">
        <v>700.6</v>
      </c>
      <c r="J9" s="0" t="n">
        <v>53.2</v>
      </c>
      <c r="K9" s="0" t="n">
        <v>3.65</v>
      </c>
      <c r="L9" s="0" t="n">
        <v>999.5</v>
      </c>
      <c r="M9" s="0" t="n">
        <v>1.9</v>
      </c>
      <c r="N9" s="0" t="n">
        <v>997.6</v>
      </c>
      <c r="O9" s="0" t="n">
        <v>6417.6</v>
      </c>
      <c r="P9" s="0" t="n">
        <v>6626.8</v>
      </c>
      <c r="Q9" s="0" t="n">
        <v>209.2</v>
      </c>
      <c r="R9" s="0" t="n">
        <v>0</v>
      </c>
      <c r="S9" s="0" t="n">
        <v>1196.5</v>
      </c>
      <c r="T9" s="0" t="n">
        <v>191.9</v>
      </c>
      <c r="U9" s="0" t="n">
        <v>8.2</v>
      </c>
      <c r="V9" s="0" t="n">
        <v>1.28</v>
      </c>
      <c r="AA9" s="0" t="s">
        <v>18</v>
      </c>
      <c r="AB9" s="0" t="s">
        <v>14</v>
      </c>
      <c r="AC9" s="0" t="n">
        <v>139.6</v>
      </c>
      <c r="AD9" s="0" t="n">
        <v>1106.9</v>
      </c>
      <c r="AE9" s="0" t="n">
        <v>697.6</v>
      </c>
    </row>
    <row r="10" customFormat="false" ht="15" hidden="false" customHeight="false" outlineLevel="0" collapsed="false">
      <c r="A10" s="0" t="s">
        <v>75</v>
      </c>
      <c r="B10" s="0" t="n">
        <v>1219</v>
      </c>
      <c r="C10" s="0" t="n">
        <v>452.4</v>
      </c>
      <c r="D10" s="0" t="n">
        <v>766.6</v>
      </c>
      <c r="E10" s="0" t="n">
        <v>62.9</v>
      </c>
      <c r="F10" s="0" t="n">
        <v>-428</v>
      </c>
      <c r="G10" s="0" t="n">
        <v>-35.1</v>
      </c>
      <c r="H10" s="0" t="n">
        <v>-154.9</v>
      </c>
      <c r="I10" s="0" t="n">
        <v>-466.4</v>
      </c>
      <c r="J10" s="0" t="n">
        <v>-38.3</v>
      </c>
      <c r="K10" s="0" t="n">
        <v>-2.43</v>
      </c>
      <c r="L10" s="0" t="n">
        <v>991.2</v>
      </c>
      <c r="M10" s="0" t="n">
        <v>1.6</v>
      </c>
      <c r="N10" s="0" t="n">
        <v>989.6</v>
      </c>
      <c r="O10" s="0" t="n">
        <v>5769.1</v>
      </c>
      <c r="P10" s="0" t="n">
        <v>5994.1</v>
      </c>
      <c r="Q10" s="0" t="n">
        <v>225</v>
      </c>
      <c r="R10" s="0" t="n">
        <v>0</v>
      </c>
      <c r="S10" s="0" t="n">
        <v>1421.9</v>
      </c>
      <c r="T10" s="0" t="n">
        <v>192.3</v>
      </c>
      <c r="U10" s="0" t="n">
        <v>5.5</v>
      </c>
      <c r="V10" s="0" t="n">
        <v>1.36</v>
      </c>
      <c r="AA10" s="0" t="s">
        <v>18</v>
      </c>
      <c r="AB10" s="0" t="s">
        <v>14</v>
      </c>
      <c r="AC10" s="0" t="n">
        <v>520</v>
      </c>
      <c r="AD10" s="0" t="n">
        <v>1014.7</v>
      </c>
      <c r="AE10" s="0" t="n">
        <v>683.1</v>
      </c>
    </row>
    <row r="11" customFormat="false" ht="15" hidden="false" customHeight="false" outlineLevel="0" collapsed="false">
      <c r="A11" s="0" t="s">
        <v>76</v>
      </c>
      <c r="B11" s="0" t="n">
        <v>1113.6</v>
      </c>
      <c r="C11" s="0" t="n">
        <v>354.3</v>
      </c>
      <c r="D11" s="0" t="n">
        <v>759.3</v>
      </c>
      <c r="E11" s="0" t="n">
        <v>68.2</v>
      </c>
      <c r="F11" s="0" t="n">
        <v>726.6</v>
      </c>
      <c r="G11" s="0" t="n">
        <v>65.2</v>
      </c>
      <c r="H11" s="0" t="n">
        <v>951.9</v>
      </c>
      <c r="I11" s="0" t="n">
        <v>552.1</v>
      </c>
      <c r="J11" s="0" t="n">
        <v>49.6</v>
      </c>
      <c r="K11" s="0" t="n">
        <v>2.87</v>
      </c>
      <c r="L11" s="0" t="n">
        <v>829.5</v>
      </c>
      <c r="M11" s="0" t="n">
        <v>2</v>
      </c>
      <c r="N11" s="0" t="n">
        <v>827.5</v>
      </c>
      <c r="O11" s="0" t="n">
        <v>5996.6</v>
      </c>
      <c r="P11" s="0" t="n">
        <v>6330.4</v>
      </c>
      <c r="Q11" s="0" t="n">
        <v>333.8</v>
      </c>
      <c r="R11" s="0" t="n">
        <v>0</v>
      </c>
      <c r="S11" s="0" t="n">
        <v>1451.3</v>
      </c>
      <c r="T11" s="0" t="n">
        <v>192.6</v>
      </c>
      <c r="U11" s="0" t="n">
        <v>5.4</v>
      </c>
      <c r="V11" s="0" t="n">
        <v>1.44</v>
      </c>
      <c r="AA11" s="0" t="s">
        <v>18</v>
      </c>
      <c r="AB11" s="0" t="s">
        <v>14</v>
      </c>
      <c r="AC11" s="0" t="n">
        <v>406</v>
      </c>
      <c r="AD11" s="0" t="n">
        <v>951.6</v>
      </c>
      <c r="AE11" s="0" t="n">
        <v>618.1</v>
      </c>
    </row>
    <row r="12" customFormat="false" ht="15" hidden="false" customHeight="false" outlineLevel="0" collapsed="false">
      <c r="A12" s="0" t="s">
        <v>77</v>
      </c>
      <c r="B12" s="0" t="n">
        <v>1822.8</v>
      </c>
      <c r="C12" s="0" t="n">
        <v>475.5</v>
      </c>
      <c r="D12" s="0" t="n">
        <v>1347.3</v>
      </c>
      <c r="E12" s="0" t="n">
        <v>73.9</v>
      </c>
      <c r="F12" s="0" t="n">
        <v>1354.2</v>
      </c>
      <c r="G12" s="0" t="n">
        <v>74.3</v>
      </c>
      <c r="H12" s="0" t="n">
        <v>1660.9</v>
      </c>
      <c r="I12" s="0" t="n">
        <v>1112.1</v>
      </c>
      <c r="J12" s="0" t="n">
        <v>61</v>
      </c>
      <c r="K12" s="0" t="n">
        <v>5.76</v>
      </c>
      <c r="L12" s="0" t="n">
        <v>1493.7</v>
      </c>
      <c r="M12" s="0" t="n">
        <v>5.1</v>
      </c>
      <c r="N12" s="0" t="n">
        <v>1488.6</v>
      </c>
      <c r="O12" s="0" t="n">
        <v>7635.3</v>
      </c>
      <c r="P12" s="0" t="n">
        <v>8241.4</v>
      </c>
      <c r="Q12" s="0" t="n">
        <v>606.1</v>
      </c>
      <c r="R12" s="0" t="n">
        <v>0</v>
      </c>
      <c r="S12" s="0" t="n">
        <v>670.9</v>
      </c>
      <c r="T12" s="0" t="n">
        <v>193</v>
      </c>
      <c r="U12" s="0" t="n">
        <v>6.3</v>
      </c>
      <c r="V12" s="0" t="n">
        <v>1.52</v>
      </c>
      <c r="AA12" s="0" t="s">
        <v>18</v>
      </c>
      <c r="AB12" s="0" t="s">
        <v>14</v>
      </c>
      <c r="AC12" s="0" t="n">
        <v>2191.6</v>
      </c>
      <c r="AD12" s="0" t="n">
        <v>1656.1</v>
      </c>
      <c r="AE12" s="0" t="n">
        <v>1075.2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349.61</v>
      </c>
    </row>
    <row r="3" customFormat="false" ht="15" hidden="false" customHeight="false" outlineLevel="0" collapsed="false">
      <c r="A3" s="0" t="s">
        <v>81</v>
      </c>
      <c r="B3" s="3" t="n">
        <v>193.504</v>
      </c>
    </row>
    <row r="4" customFormat="false" ht="15" hidden="false" customHeight="false" outlineLevel="0" collapsed="false">
      <c r="A4" s="0" t="s">
        <v>82</v>
      </c>
      <c r="B4" s="3" t="n">
        <v>-1014.2</v>
      </c>
    </row>
    <row r="5" customFormat="false" ht="15" hidden="false" customHeight="false" outlineLevel="0" collapsed="false">
      <c r="A5" s="0" t="s">
        <v>83</v>
      </c>
      <c r="B5" s="3" t="n">
        <v>1344.8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1822.8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1.4254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26.2</v>
      </c>
      <c r="D13" s="3" t="n">
        <v>-24</v>
      </c>
      <c r="E13" s="3" t="n">
        <v>0</v>
      </c>
      <c r="F13" s="3" t="n">
        <v>1.9</v>
      </c>
      <c r="G13" s="3" t="n">
        <v>2.8</v>
      </c>
      <c r="H13" s="3" t="n">
        <v>2</v>
      </c>
      <c r="I13" s="3" t="n">
        <v>2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102</v>
      </c>
      <c r="C14" s="3" t="n">
        <v>90.6</v>
      </c>
      <c r="D14" s="3" t="n">
        <v>87</v>
      </c>
      <c r="E14" s="3" t="n">
        <v>87</v>
      </c>
      <c r="F14" s="3" t="n">
        <v>87</v>
      </c>
      <c r="G14" s="3" t="n">
        <v>87.2</v>
      </c>
      <c r="H14" s="3" t="n">
        <v>87.2</v>
      </c>
      <c r="I14" s="3" t="n">
        <v>87.2</v>
      </c>
      <c r="J14" s="3" t="n">
        <v>87.2</v>
      </c>
      <c r="K14" s="3" t="n">
        <v>87.2</v>
      </c>
      <c r="L14" s="3" t="n">
        <v>87.2</v>
      </c>
    </row>
    <row r="15" customFormat="false" ht="15" hidden="false" customHeight="false" outlineLevel="0" collapsed="false">
      <c r="A15" s="0" t="s">
        <v>103</v>
      </c>
      <c r="C15" s="3" t="n">
        <v>0.35</v>
      </c>
      <c r="D15" s="3" t="n">
        <v>0.35</v>
      </c>
      <c r="E15" s="3" t="n">
        <v>0.35</v>
      </c>
      <c r="F15" s="3" t="n">
        <v>0.35</v>
      </c>
      <c r="G15" s="3" t="n">
        <v>0.35</v>
      </c>
      <c r="H15" s="3" t="n">
        <v>0.35</v>
      </c>
      <c r="I15" s="3" t="n">
        <v>0.35</v>
      </c>
      <c r="J15" s="3" t="n">
        <v>0.35</v>
      </c>
      <c r="K15" s="3" t="n">
        <v>0.35</v>
      </c>
      <c r="L15" s="3" t="n">
        <v>0.35</v>
      </c>
    </row>
    <row r="16" customFormat="false" ht="15" hidden="false" customHeight="false" outlineLevel="0" collapsed="false">
      <c r="A16" s="0" t="s">
        <v>104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105</v>
      </c>
      <c r="C17" s="3" t="n">
        <v>14.1</v>
      </c>
      <c r="D17" s="3" t="n">
        <v>18.5</v>
      </c>
      <c r="E17" s="3" t="n">
        <v>18.5</v>
      </c>
      <c r="F17" s="3" t="n">
        <v>18</v>
      </c>
      <c r="G17" s="3" t="n">
        <v>17.5</v>
      </c>
      <c r="H17" s="3" t="n">
        <v>17</v>
      </c>
      <c r="I17" s="3" t="n">
        <v>17</v>
      </c>
      <c r="J17" s="3" t="n">
        <v>17</v>
      </c>
      <c r="K17" s="3" t="n">
        <v>17</v>
      </c>
      <c r="L17" s="3" t="n">
        <v>17</v>
      </c>
    </row>
    <row r="18" customFormat="false" ht="15" hidden="false" customHeight="false" outlineLevel="0" collapsed="false">
      <c r="A18" s="0" t="s">
        <v>106</v>
      </c>
      <c r="C18" s="3" t="n">
        <v>20</v>
      </c>
      <c r="D18" s="3" t="n">
        <v>20</v>
      </c>
      <c r="E18" s="3" t="n">
        <v>20</v>
      </c>
      <c r="F18" s="3" t="n">
        <v>20</v>
      </c>
      <c r="G18" s="3" t="n">
        <v>20</v>
      </c>
      <c r="H18" s="3" t="n">
        <v>20</v>
      </c>
      <c r="I18" s="3" t="n">
        <v>20</v>
      </c>
      <c r="J18" s="3" t="n">
        <v>20</v>
      </c>
      <c r="K18" s="3" t="n">
        <v>20</v>
      </c>
      <c r="L18" s="3" t="n">
        <v>20</v>
      </c>
    </row>
    <row r="19" customFormat="false" ht="15" hidden="false" customHeight="false" outlineLevel="0" collapsed="false">
      <c r="A19" s="0" t="s">
        <v>107</v>
      </c>
      <c r="C19" s="3" t="n">
        <v>16</v>
      </c>
      <c r="D19" s="3" t="n">
        <v>17.5</v>
      </c>
      <c r="E19" s="3" t="n">
        <v>19</v>
      </c>
      <c r="F19" s="3" t="n">
        <v>20</v>
      </c>
      <c r="G19" s="3" t="n">
        <v>21</v>
      </c>
      <c r="H19" s="3" t="n">
        <v>21.5</v>
      </c>
      <c r="I19" s="3" t="n">
        <v>21.5</v>
      </c>
      <c r="J19" s="3" t="n">
        <v>21.5</v>
      </c>
      <c r="K19" s="3" t="n">
        <v>21.5</v>
      </c>
      <c r="L19" s="3" t="n">
        <v>21.5</v>
      </c>
    </row>
    <row r="20" customFormat="false" ht="15" hidden="false" customHeight="false" outlineLevel="0" collapsed="false">
      <c r="A20" s="0" t="s">
        <v>108</v>
      </c>
      <c r="B20" s="3" t="n">
        <v>8</v>
      </c>
    </row>
    <row r="21" customFormat="false" ht="15" hidden="false" customHeight="false" outlineLevel="0" collapsed="false">
      <c r="A21" s="0" t="s">
        <v>109</v>
      </c>
      <c r="B21" s="3" t="n">
        <v>2</v>
      </c>
    </row>
    <row r="22" customFormat="false" ht="15" hidden="false" customHeight="false" outlineLevel="0" collapsed="false">
      <c r="A22" s="0" t="s">
        <v>110</v>
      </c>
      <c r="B22" s="3" t="n">
        <v>20</v>
      </c>
    </row>
    <row r="23" customFormat="false" ht="15" hidden="false" customHeight="false" outlineLevel="0" collapsed="false">
      <c r="A23" s="0" t="s">
        <v>111</v>
      </c>
      <c r="B23" s="3" t="n">
        <v>0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31.1</v>
      </c>
      <c r="D27" s="3" t="n">
        <v>-4.2</v>
      </c>
      <c r="E27" s="3" t="n">
        <v>1.8</v>
      </c>
      <c r="F27" s="3" t="n">
        <v>2.7</v>
      </c>
      <c r="G27" s="3" t="n">
        <v>2.6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102</v>
      </c>
      <c r="C28" s="3" t="n">
        <v>91</v>
      </c>
      <c r="D28" s="3" t="n">
        <v>90.5</v>
      </c>
      <c r="E28" s="3" t="n">
        <v>90.5</v>
      </c>
      <c r="F28" s="3" t="n">
        <v>90.5</v>
      </c>
      <c r="G28" s="3" t="n">
        <v>90.5</v>
      </c>
      <c r="H28" s="3" t="n">
        <v>90.5</v>
      </c>
      <c r="I28" s="3" t="n">
        <v>90.5</v>
      </c>
      <c r="J28" s="3" t="n">
        <v>90.5</v>
      </c>
      <c r="K28" s="3" t="n">
        <v>90.5</v>
      </c>
      <c r="L28" s="3" t="n">
        <v>90.5</v>
      </c>
    </row>
    <row r="29" customFormat="false" ht="15" hidden="false" customHeight="false" outlineLevel="0" collapsed="false">
      <c r="A29" s="0" t="s">
        <v>103</v>
      </c>
      <c r="C29" s="3" t="n">
        <v>0.35</v>
      </c>
      <c r="D29" s="3" t="n">
        <v>0.35</v>
      </c>
      <c r="E29" s="3" t="n">
        <v>0.35</v>
      </c>
      <c r="F29" s="3" t="n">
        <v>0.35</v>
      </c>
      <c r="G29" s="3" t="n">
        <v>0.35</v>
      </c>
      <c r="H29" s="3" t="n">
        <v>0.35</v>
      </c>
      <c r="I29" s="3" t="n">
        <v>0.35</v>
      </c>
      <c r="J29" s="3" t="n">
        <v>0.35</v>
      </c>
      <c r="K29" s="3" t="n">
        <v>0.35</v>
      </c>
      <c r="L29" s="3" t="n">
        <v>0.35</v>
      </c>
    </row>
    <row r="30" customFormat="false" ht="15" hidden="false" customHeight="false" outlineLevel="0" collapsed="false">
      <c r="A30" s="0" t="s">
        <v>104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105</v>
      </c>
      <c r="C31" s="3" t="n">
        <v>13.6</v>
      </c>
      <c r="D31" s="3" t="n">
        <v>14.2</v>
      </c>
      <c r="E31" s="3" t="n">
        <v>14</v>
      </c>
      <c r="F31" s="3" t="n">
        <v>14</v>
      </c>
      <c r="G31" s="3" t="n">
        <v>14</v>
      </c>
      <c r="H31" s="3" t="n">
        <v>14</v>
      </c>
      <c r="I31" s="3" t="n">
        <v>14</v>
      </c>
      <c r="J31" s="3" t="n">
        <v>14</v>
      </c>
      <c r="K31" s="3" t="n">
        <v>14</v>
      </c>
      <c r="L31" s="3" t="n">
        <v>14</v>
      </c>
    </row>
    <row r="32" customFormat="false" ht="15" hidden="false" customHeight="false" outlineLevel="0" collapsed="false">
      <c r="A32" s="0" t="s">
        <v>106</v>
      </c>
      <c r="C32" s="3" t="n">
        <v>16</v>
      </c>
      <c r="D32" s="3" t="n">
        <v>16</v>
      </c>
      <c r="E32" s="3" t="n">
        <v>16</v>
      </c>
      <c r="F32" s="3" t="n">
        <v>16</v>
      </c>
      <c r="G32" s="3" t="n">
        <v>16</v>
      </c>
      <c r="H32" s="3" t="n">
        <v>16</v>
      </c>
      <c r="I32" s="3" t="n">
        <v>16</v>
      </c>
      <c r="J32" s="3" t="n">
        <v>16</v>
      </c>
      <c r="K32" s="3" t="n">
        <v>16</v>
      </c>
      <c r="L32" s="3" t="n">
        <v>16</v>
      </c>
    </row>
    <row r="33" customFormat="false" ht="15" hidden="false" customHeight="false" outlineLevel="0" collapsed="false">
      <c r="A33" s="0" t="s">
        <v>107</v>
      </c>
      <c r="C33" s="3" t="n">
        <v>16</v>
      </c>
      <c r="D33" s="3" t="n">
        <v>17.5</v>
      </c>
      <c r="E33" s="3" t="n">
        <v>19</v>
      </c>
      <c r="F33" s="3" t="n">
        <v>20</v>
      </c>
      <c r="G33" s="3" t="n">
        <v>21</v>
      </c>
      <c r="H33" s="3" t="n">
        <v>21.5</v>
      </c>
      <c r="I33" s="3" t="n">
        <v>21.5</v>
      </c>
      <c r="J33" s="3" t="n">
        <v>21.5</v>
      </c>
      <c r="K33" s="3" t="n">
        <v>21.5</v>
      </c>
      <c r="L33" s="3" t="n">
        <v>21.5</v>
      </c>
    </row>
    <row r="34" customFormat="false" ht="15" hidden="false" customHeight="false" outlineLevel="0" collapsed="false">
      <c r="A34" s="0" t="s">
        <v>108</v>
      </c>
      <c r="B34" s="3" t="n">
        <v>8</v>
      </c>
    </row>
    <row r="35" customFormat="false" ht="15" hidden="false" customHeight="false" outlineLevel="0" collapsed="false">
      <c r="A35" s="0" t="s">
        <v>109</v>
      </c>
      <c r="B35" s="3" t="n">
        <v>2.5</v>
      </c>
    </row>
    <row r="36" customFormat="false" ht="15" hidden="false" customHeight="false" outlineLevel="0" collapsed="false">
      <c r="A36" s="0" t="s">
        <v>110</v>
      </c>
      <c r="B36" s="3" t="n">
        <v>20</v>
      </c>
    </row>
    <row r="37" customFormat="false" ht="15" hidden="false" customHeight="false" outlineLevel="0" collapsed="false">
      <c r="A37" s="0" t="s">
        <v>111</v>
      </c>
      <c r="B37" s="3" t="n">
        <v>0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35</v>
      </c>
      <c r="D41" s="3" t="n">
        <v>11.7</v>
      </c>
      <c r="E41" s="3" t="n">
        <v>16.4</v>
      </c>
      <c r="F41" s="3" t="n">
        <v>14.1</v>
      </c>
      <c r="G41" s="3" t="n">
        <v>6.8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102</v>
      </c>
      <c r="C42" s="3" t="n">
        <v>91.2</v>
      </c>
      <c r="D42" s="3" t="n">
        <v>91.8</v>
      </c>
      <c r="E42" s="3" t="n">
        <v>91.5</v>
      </c>
      <c r="F42" s="3" t="n">
        <v>91</v>
      </c>
      <c r="G42" s="3" t="n">
        <v>91</v>
      </c>
      <c r="H42" s="3" t="n">
        <v>91</v>
      </c>
      <c r="I42" s="3" t="n">
        <v>91</v>
      </c>
      <c r="J42" s="3" t="n">
        <v>91</v>
      </c>
      <c r="K42" s="3" t="n">
        <v>91</v>
      </c>
      <c r="L42" s="3" t="n">
        <v>91</v>
      </c>
    </row>
    <row r="43" customFormat="false" ht="15" hidden="false" customHeight="false" outlineLevel="0" collapsed="false">
      <c r="A43" s="0" t="s">
        <v>103</v>
      </c>
      <c r="C43" s="3" t="n">
        <v>0.35</v>
      </c>
      <c r="D43" s="3" t="n">
        <v>0.35</v>
      </c>
      <c r="E43" s="3" t="n">
        <v>0.35</v>
      </c>
      <c r="F43" s="3" t="n">
        <v>0.35</v>
      </c>
      <c r="G43" s="3" t="n">
        <v>0.35</v>
      </c>
      <c r="H43" s="3" t="n">
        <v>0.35</v>
      </c>
      <c r="I43" s="3" t="n">
        <v>0.35</v>
      </c>
      <c r="J43" s="3" t="n">
        <v>0.35</v>
      </c>
      <c r="K43" s="3" t="n">
        <v>0.35</v>
      </c>
      <c r="L43" s="3" t="n">
        <v>0.35</v>
      </c>
    </row>
    <row r="44" customFormat="false" ht="15" hidden="false" customHeight="false" outlineLevel="0" collapsed="false">
      <c r="A44" s="0" t="s">
        <v>104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105</v>
      </c>
      <c r="C45" s="3" t="n">
        <v>13.4</v>
      </c>
      <c r="D45" s="3" t="n">
        <v>11.8</v>
      </c>
      <c r="E45" s="3" t="n">
        <v>12</v>
      </c>
      <c r="F45" s="3" t="n">
        <v>12</v>
      </c>
      <c r="G45" s="3" t="n">
        <v>12</v>
      </c>
      <c r="H45" s="3" t="n">
        <v>12</v>
      </c>
      <c r="I45" s="3" t="n">
        <v>12</v>
      </c>
      <c r="J45" s="3" t="n">
        <v>12</v>
      </c>
      <c r="K45" s="3" t="n">
        <v>12</v>
      </c>
      <c r="L45" s="3" t="n">
        <v>12</v>
      </c>
    </row>
    <row r="46" customFormat="false" ht="15" hidden="false" customHeight="false" outlineLevel="0" collapsed="false">
      <c r="A46" s="0" t="s">
        <v>106</v>
      </c>
      <c r="C46" s="3" t="n">
        <v>14</v>
      </c>
      <c r="D46" s="3" t="n">
        <v>14</v>
      </c>
      <c r="E46" s="3" t="n">
        <v>14</v>
      </c>
      <c r="F46" s="3" t="n">
        <v>14</v>
      </c>
      <c r="G46" s="3" t="n">
        <v>14</v>
      </c>
      <c r="H46" s="3" t="n">
        <v>14</v>
      </c>
      <c r="I46" s="3" t="n">
        <v>14</v>
      </c>
      <c r="J46" s="3" t="n">
        <v>14</v>
      </c>
      <c r="K46" s="3" t="n">
        <v>14</v>
      </c>
      <c r="L46" s="3" t="n">
        <v>14</v>
      </c>
    </row>
    <row r="47" customFormat="false" ht="15" hidden="false" customHeight="false" outlineLevel="0" collapsed="false">
      <c r="A47" s="0" t="s">
        <v>107</v>
      </c>
      <c r="C47" s="3" t="n">
        <v>16</v>
      </c>
      <c r="D47" s="3" t="n">
        <v>17.5</v>
      </c>
      <c r="E47" s="3" t="n">
        <v>19</v>
      </c>
      <c r="F47" s="3" t="n">
        <v>20</v>
      </c>
      <c r="G47" s="3" t="n">
        <v>21</v>
      </c>
      <c r="H47" s="3" t="n">
        <v>21.5</v>
      </c>
      <c r="I47" s="3" t="n">
        <v>21.5</v>
      </c>
      <c r="J47" s="3" t="n">
        <v>21.5</v>
      </c>
      <c r="K47" s="3" t="n">
        <v>21.5</v>
      </c>
      <c r="L47" s="3" t="n">
        <v>21.5</v>
      </c>
    </row>
    <row r="48" customFormat="false" ht="15" hidden="false" customHeight="false" outlineLevel="0" collapsed="false">
      <c r="A48" s="0" t="s">
        <v>108</v>
      </c>
      <c r="B48" s="3" t="n">
        <v>8</v>
      </c>
    </row>
    <row r="49" customFormat="false" ht="15" hidden="false" customHeight="false" outlineLevel="0" collapsed="false">
      <c r="A49" s="0" t="s">
        <v>109</v>
      </c>
      <c r="B49" s="3" t="n">
        <v>3</v>
      </c>
    </row>
    <row r="50" customFormat="false" ht="15" hidden="false" customHeight="false" outlineLevel="0" collapsed="false">
      <c r="A50" s="0" t="s">
        <v>110</v>
      </c>
      <c r="B50" s="3" t="n">
        <v>20</v>
      </c>
    </row>
    <row r="51" customFormat="false" ht="15" hidden="false" customHeight="false" outlineLevel="0" collapsed="false">
      <c r="A51" s="0" t="s">
        <v>111</v>
      </c>
      <c r="B51" s="3" t="n">
        <v>0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26.2</v>
      </c>
      <c r="D5" s="4" t="n">
        <f aca="false">Assumptions!D13</f>
        <v>-24</v>
      </c>
      <c r="E5" s="4" t="n">
        <f aca="false">Assumptions!E13</f>
        <v>0</v>
      </c>
      <c r="F5" s="4" t="n">
        <f aca="false">Assumptions!F13</f>
        <v>1.9</v>
      </c>
      <c r="G5" s="4" t="n">
        <f aca="false">Assumptions!G13</f>
        <v>2.8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1822.8</v>
      </c>
      <c r="C6" s="0" t="n">
        <f aca="false">B6*(1+C5/100)</f>
        <v>2300.3736</v>
      </c>
      <c r="D6" s="0" t="n">
        <f aca="false">C6*(1+D5/100)</f>
        <v>1748.283936</v>
      </c>
      <c r="E6" s="0" t="n">
        <f aca="false">D6*(1+E5/100)</f>
        <v>1748.283936</v>
      </c>
      <c r="F6" s="0" t="n">
        <f aca="false">E6*(1+F5/100)</f>
        <v>1781.501330784</v>
      </c>
      <c r="G6" s="0" t="n">
        <f aca="false">F6*(1+G5/100)</f>
        <v>1831.38336804595</v>
      </c>
      <c r="H6" s="0" t="n">
        <f aca="false">G6*(1+H5/100)</f>
        <v>1868.01103540687</v>
      </c>
      <c r="I6" s="0" t="n">
        <f aca="false">H6*(1+I5/100)</f>
        <v>1905.37125611501</v>
      </c>
      <c r="J6" s="0" t="n">
        <f aca="false">I6*(1+J5/100)</f>
        <v>1933.95182495673</v>
      </c>
      <c r="K6" s="0" t="n">
        <f aca="false">J6*(1+K5/100)</f>
        <v>1962.96110233108</v>
      </c>
      <c r="L6" s="0" t="n">
        <f aca="false">K6*(1+L5/100)</f>
        <v>1992.40551886605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90.6</v>
      </c>
      <c r="D7" s="4" t="n">
        <f aca="false">Assumptions!D14</f>
        <v>87</v>
      </c>
      <c r="E7" s="4" t="n">
        <f aca="false">Assumptions!E14</f>
        <v>87</v>
      </c>
      <c r="F7" s="4" t="n">
        <f aca="false">Assumptions!F14</f>
        <v>87</v>
      </c>
      <c r="G7" s="4" t="n">
        <f aca="false">Assumptions!G14</f>
        <v>87.2</v>
      </c>
      <c r="H7" s="4" t="n">
        <f aca="false">Assumptions!H14</f>
        <v>87.2</v>
      </c>
      <c r="I7" s="4" t="n">
        <f aca="false">Assumptions!I14</f>
        <v>87.2</v>
      </c>
      <c r="J7" s="4" t="n">
        <f aca="false">Assumptions!J14</f>
        <v>87.2</v>
      </c>
      <c r="K7" s="4" t="n">
        <f aca="false">Assumptions!K14</f>
        <v>87.2</v>
      </c>
      <c r="L7" s="4" t="n">
        <f aca="false">Assumptions!L14</f>
        <v>87.2</v>
      </c>
    </row>
    <row r="8" customFormat="false" ht="15" hidden="false" customHeight="false" outlineLevel="0" collapsed="false">
      <c r="A8" s="0" t="s">
        <v>44</v>
      </c>
      <c r="C8" s="0" t="n">
        <f aca="false">C6*C7/100</f>
        <v>2084.1384816</v>
      </c>
      <c r="D8" s="0" t="n">
        <f aca="false">D6*D7/100</f>
        <v>1521.00702432</v>
      </c>
      <c r="E8" s="0" t="n">
        <f aca="false">E6*E7/100</f>
        <v>1521.00702432</v>
      </c>
      <c r="F8" s="0" t="n">
        <f aca="false">F6*F7/100</f>
        <v>1549.90615778208</v>
      </c>
      <c r="G8" s="0" t="n">
        <f aca="false">G6*G7/100</f>
        <v>1596.96629693607</v>
      </c>
      <c r="H8" s="0" t="n">
        <f aca="false">H6*H7/100</f>
        <v>1628.90562287479</v>
      </c>
      <c r="I8" s="0" t="n">
        <f aca="false">I6*I7/100</f>
        <v>1661.48373533229</v>
      </c>
      <c r="J8" s="0" t="n">
        <f aca="false">J6*J7/100</f>
        <v>1686.40599136227</v>
      </c>
      <c r="K8" s="0" t="n">
        <f aca="false">K6*K7/100</f>
        <v>1711.70208123271</v>
      </c>
      <c r="L8" s="0" t="n">
        <f aca="false">L6*L7/100</f>
        <v>1737.3776124512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0.35</v>
      </c>
      <c r="D9" s="4" t="n">
        <f aca="false">Assumptions!D15</f>
        <v>0.35</v>
      </c>
      <c r="E9" s="4" t="n">
        <f aca="false">Assumptions!E15</f>
        <v>0.35</v>
      </c>
      <c r="F9" s="4" t="n">
        <f aca="false">Assumptions!F15</f>
        <v>0.35</v>
      </c>
      <c r="G9" s="4" t="n">
        <f aca="false">Assumptions!G15</f>
        <v>0.35</v>
      </c>
      <c r="H9" s="4" t="n">
        <f aca="false">Assumptions!H15</f>
        <v>0.35</v>
      </c>
      <c r="I9" s="4" t="n">
        <f aca="false">Assumptions!I15</f>
        <v>0.35</v>
      </c>
      <c r="J9" s="4" t="n">
        <f aca="false">Assumptions!J15</f>
        <v>0.35</v>
      </c>
      <c r="K9" s="4" t="n">
        <f aca="false">Assumptions!K15</f>
        <v>0.35</v>
      </c>
      <c r="L9" s="4" t="n">
        <f aca="false">Assumptions!L15</f>
        <v>0.35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-8.0513076</v>
      </c>
      <c r="D10" s="0" t="n">
        <f aca="false">-D6*D9/100</f>
        <v>-6.118993776</v>
      </c>
      <c r="E10" s="0" t="n">
        <f aca="false">-E6*E9/100</f>
        <v>-6.118993776</v>
      </c>
      <c r="F10" s="0" t="n">
        <f aca="false">-F6*F9/100</f>
        <v>-6.235254657744</v>
      </c>
      <c r="G10" s="0" t="n">
        <f aca="false">-G6*G9/100</f>
        <v>-6.40984178816083</v>
      </c>
      <c r="H10" s="0" t="n">
        <f aca="false">-H6*H9/100</f>
        <v>-6.53803862392405</v>
      </c>
      <c r="I10" s="0" t="n">
        <f aca="false">-I6*I9/100</f>
        <v>-6.66879939640253</v>
      </c>
      <c r="J10" s="0" t="n">
        <f aca="false">-J6*J9/100</f>
        <v>-6.76883138734857</v>
      </c>
      <c r="K10" s="0" t="n">
        <f aca="false">-K6*K9/100</f>
        <v>-6.8703638581588</v>
      </c>
      <c r="L10" s="0" t="n">
        <f aca="false">-L6*L9/100</f>
        <v>-6.97341931603118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2076.087174</v>
      </c>
      <c r="D11" s="0" t="n">
        <f aca="false">D8+D10+D24</f>
        <v>1514.888030544</v>
      </c>
      <c r="E11" s="0" t="n">
        <f aca="false">E8+E10+E24</f>
        <v>1514.888030544</v>
      </c>
      <c r="F11" s="0" t="n">
        <f aca="false">F8+F10+F24</f>
        <v>1543.67090312434</v>
      </c>
      <c r="G11" s="0" t="n">
        <f aca="false">G8+G10+G24</f>
        <v>1590.55645514791</v>
      </c>
      <c r="H11" s="0" t="n">
        <f aca="false">H8+H10+H24</f>
        <v>1622.36758425087</v>
      </c>
      <c r="I11" s="0" t="n">
        <f aca="false">I8+I10+I24</f>
        <v>1654.81493593588</v>
      </c>
      <c r="J11" s="0" t="n">
        <f aca="false">J8+J10+J24</f>
        <v>1679.63715997492</v>
      </c>
      <c r="K11" s="0" t="n">
        <f aca="false">K8+K10+K24</f>
        <v>1704.83171737455</v>
      </c>
      <c r="L11" s="0" t="n">
        <f aca="false">L8+L10+L24</f>
        <v>1730.40419313516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-324.3526776</v>
      </c>
      <c r="D12" s="4" t="n">
        <f aca="false">-D6*Assumptions!D17/100</f>
        <v>-323.43252816</v>
      </c>
      <c r="E12" s="4" t="n">
        <f aca="false">-E6*Assumptions!E17/100</f>
        <v>-323.43252816</v>
      </c>
      <c r="F12" s="4" t="n">
        <f aca="false">-F6*Assumptions!F17/100</f>
        <v>-320.67023954112</v>
      </c>
      <c r="G12" s="4" t="n">
        <f aca="false">-G6*Assumptions!G17/100</f>
        <v>-320.492089408042</v>
      </c>
      <c r="H12" s="4" t="n">
        <f aca="false">-H6*Assumptions!H17/100</f>
        <v>-317.561876019168</v>
      </c>
      <c r="I12" s="4" t="n">
        <f aca="false">-I6*Assumptions!I17/100</f>
        <v>-323.913113539551</v>
      </c>
      <c r="J12" s="4" t="n">
        <f aca="false">-J6*Assumptions!J17/100</f>
        <v>-328.771810242645</v>
      </c>
      <c r="K12" s="4" t="n">
        <f aca="false">-K6*Assumptions!K17/100</f>
        <v>-333.703387396284</v>
      </c>
      <c r="L12" s="4" t="n">
        <f aca="false">-L6*Assumptions!L17/100</f>
        <v>-338.708938207229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1751.7344964</v>
      </c>
      <c r="D13" s="0" t="n">
        <f aca="false">D11+D12</f>
        <v>1191.455502384</v>
      </c>
      <c r="E13" s="0" t="n">
        <f aca="false">E11+E12</f>
        <v>1191.455502384</v>
      </c>
      <c r="F13" s="0" t="n">
        <f aca="false">F11+F12</f>
        <v>1223.00066358322</v>
      </c>
      <c r="G13" s="0" t="n">
        <f aca="false">G11+G12</f>
        <v>1270.06436573987</v>
      </c>
      <c r="H13" s="0" t="n">
        <f aca="false">H11+H12</f>
        <v>1304.8057082317</v>
      </c>
      <c r="I13" s="0" t="n">
        <f aca="false">I11+I12</f>
        <v>1330.90182239633</v>
      </c>
      <c r="J13" s="0" t="n">
        <f aca="false">J11+J12</f>
        <v>1350.86534973228</v>
      </c>
      <c r="K13" s="0" t="n">
        <f aca="false">K11+K12</f>
        <v>1371.12832997826</v>
      </c>
      <c r="L13" s="0" t="n">
        <f aca="false">L11+L12</f>
        <v>1391.69525492794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16</v>
      </c>
      <c r="D14" s="4" t="n">
        <f aca="false">Assumptions!D19</f>
        <v>17.5</v>
      </c>
      <c r="E14" s="4" t="n">
        <f aca="false">Assumptions!E19</f>
        <v>19</v>
      </c>
      <c r="F14" s="4" t="n">
        <f aca="false">Assumptions!F19</f>
        <v>20</v>
      </c>
      <c r="G14" s="4" t="n">
        <f aca="false">Assumptions!G19</f>
        <v>21</v>
      </c>
      <c r="H14" s="4" t="n">
        <f aca="false">Assumptions!H19</f>
        <v>21.5</v>
      </c>
      <c r="I14" s="4" t="n">
        <f aca="false">Assumptions!I19</f>
        <v>21.5</v>
      </c>
      <c r="J14" s="4" t="n">
        <f aca="false">Assumptions!J19</f>
        <v>21.5</v>
      </c>
      <c r="K14" s="4" t="n">
        <f aca="false">Assumptions!K19</f>
        <v>21.5</v>
      </c>
      <c r="L14" s="4" t="n">
        <f aca="false">Assumptions!L19</f>
        <v>21.5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1471.456976976</v>
      </c>
      <c r="D15" s="0" t="n">
        <f aca="false">D13-MAX(0,D13)*D14/100</f>
        <v>982.9507894668</v>
      </c>
      <c r="E15" s="0" t="n">
        <f aca="false">E13-MAX(0,E13)*E14/100</f>
        <v>965.07895693104</v>
      </c>
      <c r="F15" s="0" t="n">
        <f aca="false">F13-MAX(0,F13)*F14/100</f>
        <v>978.400530866573</v>
      </c>
      <c r="G15" s="0" t="n">
        <f aca="false">G13-MAX(0,G13)*G14/100</f>
        <v>1003.3508489345</v>
      </c>
      <c r="H15" s="0" t="n">
        <f aca="false">H13-MAX(0,H13)*H14/100</f>
        <v>1024.27248096188</v>
      </c>
      <c r="I15" s="0" t="n">
        <f aca="false">I13-MAX(0,I13)*I14/100</f>
        <v>1044.75793058112</v>
      </c>
      <c r="J15" s="0" t="n">
        <f aca="false">J13-MAX(0,J13)*J14/100</f>
        <v>1060.42929953984</v>
      </c>
      <c r="K15" s="0" t="n">
        <f aca="false">K13-MAX(0,K13)*K14/100</f>
        <v>1076.33573903294</v>
      </c>
      <c r="L15" s="0" t="n">
        <f aca="false">L13-MAX(0,L13)*L14/100</f>
        <v>1092.48077511843</v>
      </c>
    </row>
    <row r="16" customFormat="false" ht="15" hidden="false" customHeight="false" outlineLevel="0" collapsed="false">
      <c r="A16" s="0" t="s">
        <v>123</v>
      </c>
      <c r="C16" s="0" t="n">
        <f aca="false">-C12</f>
        <v>324.3526776</v>
      </c>
      <c r="D16" s="0" t="n">
        <f aca="false">-D12</f>
        <v>323.43252816</v>
      </c>
      <c r="E16" s="0" t="n">
        <f aca="false">-E12</f>
        <v>323.43252816</v>
      </c>
      <c r="F16" s="0" t="n">
        <f aca="false">-F12</f>
        <v>320.67023954112</v>
      </c>
      <c r="G16" s="0" t="n">
        <f aca="false">-G12</f>
        <v>320.492089408042</v>
      </c>
      <c r="H16" s="0" t="n">
        <f aca="false">-H12</f>
        <v>317.561876019168</v>
      </c>
      <c r="I16" s="0" t="n">
        <f aca="false">-I12</f>
        <v>323.913113539551</v>
      </c>
      <c r="J16" s="0" t="n">
        <f aca="false">-J12</f>
        <v>328.771810242645</v>
      </c>
      <c r="K16" s="0" t="n">
        <f aca="false">-K12</f>
        <v>333.703387396284</v>
      </c>
      <c r="L16" s="0" t="n">
        <f aca="false">-L12</f>
        <v>338.708938207229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-460.07472</v>
      </c>
      <c r="D17" s="4" t="n">
        <f aca="false">-D6*Assumptions!D18/100</f>
        <v>-349.6567872</v>
      </c>
      <c r="E17" s="4" t="n">
        <f aca="false">-E6*Assumptions!E18/100</f>
        <v>-349.6567872</v>
      </c>
      <c r="F17" s="4" t="n">
        <f aca="false">-F6*Assumptions!F18/100</f>
        <v>-356.3002661568</v>
      </c>
      <c r="G17" s="4" t="n">
        <f aca="false">-G6*Assumptions!G18/100</f>
        <v>-366.27667360919</v>
      </c>
      <c r="H17" s="4" t="n">
        <f aca="false">-H6*Assumptions!H18/100</f>
        <v>-373.602207081374</v>
      </c>
      <c r="I17" s="4" t="n">
        <f aca="false">-I6*Assumptions!I18/100</f>
        <v>-381.074251223002</v>
      </c>
      <c r="J17" s="4" t="n">
        <f aca="false">-J6*Assumptions!J18/100</f>
        <v>-386.790364991347</v>
      </c>
      <c r="K17" s="4" t="n">
        <f aca="false">-K6*Assumptions!K18/100</f>
        <v>-392.592220466217</v>
      </c>
      <c r="L17" s="4" t="n">
        <f aca="false">-L6*Assumptions!L18/100</f>
        <v>-398.48110377321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1335.734934576</v>
      </c>
      <c r="D19" s="0" t="n">
        <f aca="false">D15+D16+D17+D18</f>
        <v>956.7265304268</v>
      </c>
      <c r="E19" s="0" t="n">
        <f aca="false">E15+E16+E17+E18</f>
        <v>938.85469789104</v>
      </c>
      <c r="F19" s="0" t="n">
        <f aca="false">F15+F16+F17+F18</f>
        <v>942.770504250893</v>
      </c>
      <c r="G19" s="0" t="n">
        <f aca="false">G15+G16+G17+G18</f>
        <v>957.566264733347</v>
      </c>
      <c r="H19" s="0" t="n">
        <f aca="false">H15+H16+H17+H18</f>
        <v>968.232149899678</v>
      </c>
      <c r="I19" s="0" t="n">
        <f aca="false">I15+I16+I17+I18</f>
        <v>987.596792897671</v>
      </c>
      <c r="J19" s="0" t="n">
        <f aca="false">J15+J16+J17+J18</f>
        <v>1002.41074479114</v>
      </c>
      <c r="K19" s="0" t="n">
        <f aca="false">K15+K16+K17+K18</f>
        <v>1017.446905963</v>
      </c>
      <c r="L19" s="0" t="n">
        <f aca="false">L15+L16+L17+L18</f>
        <v>1032.70860955245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1236.79160608889</v>
      </c>
      <c r="D21" s="0" t="n">
        <f aca="false">D19*D20</f>
        <v>820.238794947531</v>
      </c>
      <c r="E21" s="0" t="n">
        <f aca="false">E19*E20</f>
        <v>745.293128819158</v>
      </c>
      <c r="F21" s="0" t="n">
        <f aca="false">F19*F20</f>
        <v>692.964464960372</v>
      </c>
      <c r="G21" s="0" t="n">
        <f aca="false">G19*G20</f>
        <v>651.70350982389</v>
      </c>
      <c r="H21" s="0" t="n">
        <f aca="false">H19*H20</f>
        <v>610.150492638506</v>
      </c>
      <c r="I21" s="0" t="n">
        <f aca="false">I19*I20</f>
        <v>576.253243047478</v>
      </c>
      <c r="J21" s="0" t="n">
        <f aca="false">J19*J20</f>
        <v>541.571334901102</v>
      </c>
      <c r="K21" s="0" t="n">
        <f aca="false">K19*K20</f>
        <v>508.976763819091</v>
      </c>
      <c r="L21" s="0" t="n">
        <f aca="false">L19*L20</f>
        <v>478.343903033683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6862.2872420797</v>
      </c>
    </row>
    <row r="31" customFormat="false" ht="15" hidden="false" customHeight="false" outlineLevel="0" collapsed="false">
      <c r="A31" s="0" t="s">
        <v>132</v>
      </c>
      <c r="B31" s="0" t="n">
        <f aca="false">L19</f>
        <v>1032.70860955245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17556.0463623916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20654.172191049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17556.0463623916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8131.84635157261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14994.1335936523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17353.1335936523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127.827624361212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-0.634370800717336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44.8391264013537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54.9107210867831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128.562407273243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8102.79062879613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70.2835880787819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31.1</v>
      </c>
      <c r="D5" s="4" t="n">
        <f aca="false">Assumptions!D27</f>
        <v>-4.2</v>
      </c>
      <c r="E5" s="4" t="n">
        <f aca="false">Assumptions!E27</f>
        <v>1.8</v>
      </c>
      <c r="F5" s="4" t="n">
        <f aca="false">Assumptions!F27</f>
        <v>2.7</v>
      </c>
      <c r="G5" s="4" t="n">
        <f aca="false">Assumptions!G27</f>
        <v>2.6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1822.8</v>
      </c>
      <c r="C6" s="0" t="n">
        <f aca="false">B6*(1+C5/100)</f>
        <v>2389.6908</v>
      </c>
      <c r="D6" s="0" t="n">
        <f aca="false">C6*(1+D5/100)</f>
        <v>2289.3237864</v>
      </c>
      <c r="E6" s="0" t="n">
        <f aca="false">D6*(1+E5/100)</f>
        <v>2330.5316145552</v>
      </c>
      <c r="F6" s="0" t="n">
        <f aca="false">E6*(1+F5/100)</f>
        <v>2393.45596814819</v>
      </c>
      <c r="G6" s="0" t="n">
        <f aca="false">F6*(1+G5/100)</f>
        <v>2455.68582332004</v>
      </c>
      <c r="H6" s="0" t="n">
        <f aca="false">G6*(1+H5/100)</f>
        <v>2529.35639801964</v>
      </c>
      <c r="I6" s="0" t="n">
        <f aca="false">H6*(1+I5/100)</f>
        <v>2605.23708996023</v>
      </c>
      <c r="J6" s="0" t="n">
        <f aca="false">I6*(1+J5/100)</f>
        <v>2670.36801720924</v>
      </c>
      <c r="K6" s="0" t="n">
        <f aca="false">J6*(1+K5/100)</f>
        <v>2737.12721763947</v>
      </c>
      <c r="L6" s="0" t="n">
        <f aca="false">K6*(1+L5/100)</f>
        <v>2805.55539808046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91</v>
      </c>
      <c r="D7" s="4" t="n">
        <f aca="false">Assumptions!D28</f>
        <v>90.5</v>
      </c>
      <c r="E7" s="4" t="n">
        <f aca="false">Assumptions!E28</f>
        <v>90.5</v>
      </c>
      <c r="F7" s="4" t="n">
        <f aca="false">Assumptions!F28</f>
        <v>90.5</v>
      </c>
      <c r="G7" s="4" t="n">
        <f aca="false">Assumptions!G28</f>
        <v>90.5</v>
      </c>
      <c r="H7" s="4" t="n">
        <f aca="false">Assumptions!H28</f>
        <v>90.5</v>
      </c>
      <c r="I7" s="4" t="n">
        <f aca="false">Assumptions!I28</f>
        <v>90.5</v>
      </c>
      <c r="J7" s="4" t="n">
        <f aca="false">Assumptions!J28</f>
        <v>90.5</v>
      </c>
      <c r="K7" s="4" t="n">
        <f aca="false">Assumptions!K28</f>
        <v>90.5</v>
      </c>
      <c r="L7" s="4" t="n">
        <f aca="false">Assumptions!L28</f>
        <v>90.5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2174.618628</v>
      </c>
      <c r="D8" s="0" t="n">
        <f aca="false">D6*D7/100</f>
        <v>2071.838026692</v>
      </c>
      <c r="E8" s="0" t="n">
        <f aca="false">E6*E7/100</f>
        <v>2109.13111117246</v>
      </c>
      <c r="F8" s="0" t="n">
        <f aca="false">F6*F7/100</f>
        <v>2166.07765117411</v>
      </c>
      <c r="G8" s="0" t="n">
        <f aca="false">G6*G7/100</f>
        <v>2222.39567010464</v>
      </c>
      <c r="H8" s="0" t="n">
        <f aca="false">H6*H7/100</f>
        <v>2289.06754020778</v>
      </c>
      <c r="I8" s="0" t="n">
        <f aca="false">I6*I7/100</f>
        <v>2357.73956641401</v>
      </c>
      <c r="J8" s="0" t="n">
        <f aca="false">J6*J7/100</f>
        <v>2416.68305557436</v>
      </c>
      <c r="K8" s="0" t="n">
        <f aca="false">K6*K7/100</f>
        <v>2477.10013196372</v>
      </c>
      <c r="L8" s="0" t="n">
        <f aca="false">L6*L7/100</f>
        <v>2539.02763526281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0.35</v>
      </c>
      <c r="D9" s="4" t="n">
        <f aca="false">Assumptions!D29</f>
        <v>0.35</v>
      </c>
      <c r="E9" s="4" t="n">
        <f aca="false">Assumptions!E29</f>
        <v>0.35</v>
      </c>
      <c r="F9" s="4" t="n">
        <f aca="false">Assumptions!F29</f>
        <v>0.35</v>
      </c>
      <c r="G9" s="4" t="n">
        <f aca="false">Assumptions!G29</f>
        <v>0.35</v>
      </c>
      <c r="H9" s="4" t="n">
        <f aca="false">Assumptions!H29</f>
        <v>0.35</v>
      </c>
      <c r="I9" s="4" t="n">
        <f aca="false">Assumptions!I29</f>
        <v>0.35</v>
      </c>
      <c r="J9" s="4" t="n">
        <f aca="false">Assumptions!J29</f>
        <v>0.35</v>
      </c>
      <c r="K9" s="4" t="n">
        <f aca="false">Assumptions!K29</f>
        <v>0.35</v>
      </c>
      <c r="L9" s="4" t="n">
        <f aca="false">Assumptions!L29</f>
        <v>0.35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-8.3639178</v>
      </c>
      <c r="D10" s="0" t="n">
        <f aca="false">-D6*D9/100</f>
        <v>-8.0126332524</v>
      </c>
      <c r="E10" s="0" t="n">
        <f aca="false">-E6*E9/100</f>
        <v>-8.1568606509432</v>
      </c>
      <c r="F10" s="0" t="n">
        <f aca="false">-F6*F9/100</f>
        <v>-8.37709588851866</v>
      </c>
      <c r="G10" s="0" t="n">
        <f aca="false">-G6*G9/100</f>
        <v>-8.59490038162015</v>
      </c>
      <c r="H10" s="0" t="n">
        <f aca="false">-H6*H9/100</f>
        <v>-8.85274739306875</v>
      </c>
      <c r="I10" s="0" t="n">
        <f aca="false">-I6*I9/100</f>
        <v>-9.11832981486082</v>
      </c>
      <c r="J10" s="0" t="n">
        <f aca="false">-J6*J9/100</f>
        <v>-9.34628806023234</v>
      </c>
      <c r="K10" s="0" t="n">
        <f aca="false">-K6*K9/100</f>
        <v>-9.57994526173814</v>
      </c>
      <c r="L10" s="0" t="n">
        <f aca="false">-L6*L9/100</f>
        <v>-9.8194438932816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2166.2547102</v>
      </c>
      <c r="D11" s="0" t="n">
        <f aca="false">D8+D10+D24</f>
        <v>2063.8253934396</v>
      </c>
      <c r="E11" s="0" t="n">
        <f aca="false">E8+E10+E24</f>
        <v>2100.97425052151</v>
      </c>
      <c r="F11" s="0" t="n">
        <f aca="false">F8+F10+F24</f>
        <v>2157.70055528559</v>
      </c>
      <c r="G11" s="0" t="n">
        <f aca="false">G8+G10+G24</f>
        <v>2213.80076972302</v>
      </c>
      <c r="H11" s="0" t="n">
        <f aca="false">H8+H10+H24</f>
        <v>2280.21479281471</v>
      </c>
      <c r="I11" s="0" t="n">
        <f aca="false">I8+I10+I24</f>
        <v>2348.62123659915</v>
      </c>
      <c r="J11" s="0" t="n">
        <f aca="false">J8+J10+J24</f>
        <v>2407.33676751413</v>
      </c>
      <c r="K11" s="0" t="n">
        <f aca="false">K8+K10+K24</f>
        <v>2467.52018670198</v>
      </c>
      <c r="L11" s="0" t="n">
        <f aca="false">L8+L10+L24</f>
        <v>2529.20819136953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-324.9979488</v>
      </c>
      <c r="D12" s="4" t="n">
        <f aca="false">-D6*Assumptions!D31/100</f>
        <v>-325.0839776688</v>
      </c>
      <c r="E12" s="4" t="n">
        <f aca="false">-E6*Assumptions!E31/100</f>
        <v>-326.274426037728</v>
      </c>
      <c r="F12" s="4" t="n">
        <f aca="false">-F6*Assumptions!F31/100</f>
        <v>-335.083835540747</v>
      </c>
      <c r="G12" s="4" t="n">
        <f aca="false">-G6*Assumptions!G31/100</f>
        <v>-343.796015264806</v>
      </c>
      <c r="H12" s="4" t="n">
        <f aca="false">-H6*Assumptions!H31/100</f>
        <v>-354.10989572275</v>
      </c>
      <c r="I12" s="4" t="n">
        <f aca="false">-I6*Assumptions!I31/100</f>
        <v>-364.733192594433</v>
      </c>
      <c r="J12" s="4" t="n">
        <f aca="false">-J6*Assumptions!J31/100</f>
        <v>-373.851522409293</v>
      </c>
      <c r="K12" s="4" t="n">
        <f aca="false">-K6*Assumptions!K31/100</f>
        <v>-383.197810469526</v>
      </c>
      <c r="L12" s="4" t="n">
        <f aca="false">-L6*Assumptions!L31/100</f>
        <v>-392.777755731264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1841.2567614</v>
      </c>
      <c r="D13" s="0" t="n">
        <f aca="false">D11+D12</f>
        <v>1738.7414157708</v>
      </c>
      <c r="E13" s="0" t="n">
        <f aca="false">E11+E12</f>
        <v>1774.69982448378</v>
      </c>
      <c r="F13" s="0" t="n">
        <f aca="false">F11+F12</f>
        <v>1822.61671974485</v>
      </c>
      <c r="G13" s="0" t="n">
        <f aca="false">G11+G12</f>
        <v>1870.00475445821</v>
      </c>
      <c r="H13" s="0" t="n">
        <f aca="false">H11+H12</f>
        <v>1926.10489709196</v>
      </c>
      <c r="I13" s="0" t="n">
        <f aca="false">I11+I12</f>
        <v>1983.88804400472</v>
      </c>
      <c r="J13" s="0" t="n">
        <f aca="false">J11+J12</f>
        <v>2033.48524510484</v>
      </c>
      <c r="K13" s="0" t="n">
        <f aca="false">K11+K12</f>
        <v>2084.32237623246</v>
      </c>
      <c r="L13" s="0" t="n">
        <f aca="false">L11+L12</f>
        <v>2136.43043563827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16</v>
      </c>
      <c r="D14" s="4" t="n">
        <f aca="false">Assumptions!D33</f>
        <v>17.5</v>
      </c>
      <c r="E14" s="4" t="n">
        <f aca="false">Assumptions!E33</f>
        <v>19</v>
      </c>
      <c r="F14" s="4" t="n">
        <f aca="false">Assumptions!F33</f>
        <v>20</v>
      </c>
      <c r="G14" s="4" t="n">
        <f aca="false">Assumptions!G33</f>
        <v>21</v>
      </c>
      <c r="H14" s="4" t="n">
        <f aca="false">Assumptions!H33</f>
        <v>21.5</v>
      </c>
      <c r="I14" s="4" t="n">
        <f aca="false">Assumptions!I33</f>
        <v>21.5</v>
      </c>
      <c r="J14" s="4" t="n">
        <f aca="false">Assumptions!J33</f>
        <v>21.5</v>
      </c>
      <c r="K14" s="4" t="n">
        <f aca="false">Assumptions!K33</f>
        <v>21.5</v>
      </c>
      <c r="L14" s="4" t="n">
        <f aca="false">Assumptions!L33</f>
        <v>21.5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1546.655679576</v>
      </c>
      <c r="D15" s="0" t="n">
        <f aca="false">D13-MAX(0,D13)*D14/100</f>
        <v>1434.46166801091</v>
      </c>
      <c r="E15" s="0" t="n">
        <f aca="false">E13-MAX(0,E13)*E14/100</f>
        <v>1437.50685783187</v>
      </c>
      <c r="F15" s="0" t="n">
        <f aca="false">F13-MAX(0,F13)*F14/100</f>
        <v>1458.09337579588</v>
      </c>
      <c r="G15" s="0" t="n">
        <f aca="false">G13-MAX(0,G13)*G14/100</f>
        <v>1477.30375602199</v>
      </c>
      <c r="H15" s="0" t="n">
        <f aca="false">H13-MAX(0,H13)*H14/100</f>
        <v>1511.99234421719</v>
      </c>
      <c r="I15" s="0" t="n">
        <f aca="false">I13-MAX(0,I13)*I14/100</f>
        <v>1557.3521145437</v>
      </c>
      <c r="J15" s="0" t="n">
        <f aca="false">J13-MAX(0,J13)*J14/100</f>
        <v>1596.2859174073</v>
      </c>
      <c r="K15" s="0" t="n">
        <f aca="false">K13-MAX(0,K13)*K14/100</f>
        <v>1636.19306534248</v>
      </c>
      <c r="L15" s="0" t="n">
        <f aca="false">L13-MAX(0,L13)*L14/100</f>
        <v>1677.09789197604</v>
      </c>
    </row>
    <row r="16" customFormat="false" ht="15" hidden="false" customHeight="false" outlineLevel="0" collapsed="false">
      <c r="A16" s="0" t="s">
        <v>123</v>
      </c>
      <c r="C16" s="0" t="n">
        <f aca="false">-C12</f>
        <v>324.9979488</v>
      </c>
      <c r="D16" s="0" t="n">
        <f aca="false">-D12</f>
        <v>325.0839776688</v>
      </c>
      <c r="E16" s="0" t="n">
        <f aca="false">-E12</f>
        <v>326.274426037728</v>
      </c>
      <c r="F16" s="0" t="n">
        <f aca="false">-F12</f>
        <v>335.083835540747</v>
      </c>
      <c r="G16" s="0" t="n">
        <f aca="false">-G12</f>
        <v>343.796015264806</v>
      </c>
      <c r="H16" s="0" t="n">
        <f aca="false">-H12</f>
        <v>354.10989572275</v>
      </c>
      <c r="I16" s="0" t="n">
        <f aca="false">-I12</f>
        <v>364.733192594433</v>
      </c>
      <c r="J16" s="0" t="n">
        <f aca="false">-J12</f>
        <v>373.851522409293</v>
      </c>
      <c r="K16" s="0" t="n">
        <f aca="false">-K12</f>
        <v>383.197810469526</v>
      </c>
      <c r="L16" s="0" t="n">
        <f aca="false">-L12</f>
        <v>392.777755731264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-382.350528</v>
      </c>
      <c r="D17" s="4" t="n">
        <f aca="false">-D6*Assumptions!D32/100</f>
        <v>-366.291805824</v>
      </c>
      <c r="E17" s="4" t="n">
        <f aca="false">-E6*Assumptions!E32/100</f>
        <v>-372.885058328832</v>
      </c>
      <c r="F17" s="4" t="n">
        <f aca="false">-F6*Assumptions!F32/100</f>
        <v>-382.95295490371</v>
      </c>
      <c r="G17" s="4" t="n">
        <f aca="false">-G6*Assumptions!G32/100</f>
        <v>-392.909731731207</v>
      </c>
      <c r="H17" s="4" t="n">
        <f aca="false">-H6*Assumptions!H32/100</f>
        <v>-404.697023683143</v>
      </c>
      <c r="I17" s="4" t="n">
        <f aca="false">-I6*Assumptions!I32/100</f>
        <v>-416.837934393637</v>
      </c>
      <c r="J17" s="4" t="n">
        <f aca="false">-J6*Assumptions!J32/100</f>
        <v>-427.258882753478</v>
      </c>
      <c r="K17" s="4" t="n">
        <f aca="false">-K6*Assumptions!K32/100</f>
        <v>-437.940354822315</v>
      </c>
      <c r="L17" s="4" t="n">
        <f aca="false">-L6*Assumptions!L32/100</f>
        <v>-448.888863692873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0</v>
      </c>
      <c r="D18" s="4" t="n">
        <f aca="false">(D6-C6)*Assumptions!$B$37/100</f>
        <v>-0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1489.303100376</v>
      </c>
      <c r="D19" s="0" t="n">
        <f aca="false">D15+D16+D17+D18</f>
        <v>1393.25383985571</v>
      </c>
      <c r="E19" s="0" t="n">
        <f aca="false">E15+E16+E17+E18</f>
        <v>1390.89622554076</v>
      </c>
      <c r="F19" s="0" t="n">
        <f aca="false">F15+F16+F17+F18</f>
        <v>1410.22425643291</v>
      </c>
      <c r="G19" s="0" t="n">
        <f aca="false">G15+G16+G17+G18</f>
        <v>1428.19003955559</v>
      </c>
      <c r="H19" s="0" t="n">
        <f aca="false">H15+H16+H17+H18</f>
        <v>1461.40521625679</v>
      </c>
      <c r="I19" s="0" t="n">
        <f aca="false">I15+I16+I17+I18</f>
        <v>1505.2473727445</v>
      </c>
      <c r="J19" s="0" t="n">
        <f aca="false">J15+J16+J17+J18</f>
        <v>1542.87855706311</v>
      </c>
      <c r="K19" s="0" t="n">
        <f aca="false">K15+K16+K17+K18</f>
        <v>1581.45052098969</v>
      </c>
      <c r="L19" s="0" t="n">
        <f aca="false">L15+L16+L17+L18</f>
        <v>1620.98678401443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1378.9843522</v>
      </c>
      <c r="D21" s="0" t="n">
        <f aca="false">D19*D20</f>
        <v>1194.49060344282</v>
      </c>
      <c r="E21" s="0" t="n">
        <f aca="false">E19*E20</f>
        <v>1104.13826774752</v>
      </c>
      <c r="F21" s="0" t="n">
        <f aca="false">F19*F20</f>
        <v>1036.55692761587</v>
      </c>
      <c r="G21" s="0" t="n">
        <f aca="false">G19*G20</f>
        <v>972.002143092504</v>
      </c>
      <c r="H21" s="0" t="n">
        <f aca="false">H19*H20</f>
        <v>920.933179853567</v>
      </c>
      <c r="I21" s="0" t="n">
        <f aca="false">I19*I20</f>
        <v>878.297384489976</v>
      </c>
      <c r="J21" s="0" t="n">
        <f aca="false">J19*J20</f>
        <v>833.569276946505</v>
      </c>
      <c r="K21" s="0" t="n">
        <f aca="false">K19*K20</f>
        <v>791.118989694599</v>
      </c>
      <c r="L21" s="0" t="n">
        <f aca="false">L19*L20</f>
        <v>750.830522626819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9860.92164771018</v>
      </c>
    </row>
    <row r="31" customFormat="false" ht="15" hidden="false" customHeight="false" outlineLevel="0" collapsed="false">
      <c r="A31" s="0" t="s">
        <v>132</v>
      </c>
      <c r="B31" s="0" t="n">
        <f aca="false">L19</f>
        <v>1620.98678401443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30209.2991566326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32419.7356802886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30209.2991566326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13992.7506489543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23853.6722966645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26212.6722966645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193.089254442625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-0.447700996989146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58.385408385655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84.7638187214632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194.14372829494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13292.0916289183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95.5869824419578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35</v>
      </c>
      <c r="D5" s="4" t="n">
        <f aca="false">Assumptions!D41</f>
        <v>11.7</v>
      </c>
      <c r="E5" s="4" t="n">
        <f aca="false">Assumptions!E41</f>
        <v>16.4</v>
      </c>
      <c r="F5" s="4" t="n">
        <f aca="false">Assumptions!F41</f>
        <v>14.1</v>
      </c>
      <c r="G5" s="4" t="n">
        <f aca="false">Assumptions!G41</f>
        <v>6.8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1822.8</v>
      </c>
      <c r="C6" s="0" t="n">
        <f aca="false">B6*(1+C5/100)</f>
        <v>2460.78</v>
      </c>
      <c r="D6" s="0" t="n">
        <f aca="false">C6*(1+D5/100)</f>
        <v>2748.69126</v>
      </c>
      <c r="E6" s="0" t="n">
        <f aca="false">D6*(1+E5/100)</f>
        <v>3199.47662664</v>
      </c>
      <c r="F6" s="0" t="n">
        <f aca="false">E6*(1+F5/100)</f>
        <v>3650.60283099624</v>
      </c>
      <c r="G6" s="0" t="n">
        <f aca="false">F6*(1+G5/100)</f>
        <v>3898.84382350398</v>
      </c>
      <c r="H6" s="0" t="n">
        <f aca="false">G6*(1+H5/100)</f>
        <v>4054.79757644414</v>
      </c>
      <c r="I6" s="0" t="n">
        <f aca="false">H6*(1+I5/100)</f>
        <v>4196.71549161969</v>
      </c>
      <c r="J6" s="0" t="n">
        <f aca="false">I6*(1+J5/100)</f>
        <v>4322.61695636828</v>
      </c>
      <c r="K6" s="0" t="n">
        <f aca="false">J6*(1+K5/100)</f>
        <v>4452.29546505933</v>
      </c>
      <c r="L6" s="0" t="n">
        <f aca="false">K6*(1+L5/100)</f>
        <v>4585.86432901111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91.2</v>
      </c>
      <c r="D7" s="4" t="n">
        <f aca="false">Assumptions!D42</f>
        <v>91.8</v>
      </c>
      <c r="E7" s="4" t="n">
        <f aca="false">Assumptions!E42</f>
        <v>91.5</v>
      </c>
      <c r="F7" s="4" t="n">
        <f aca="false">Assumptions!F42</f>
        <v>91</v>
      </c>
      <c r="G7" s="4" t="n">
        <f aca="false">Assumptions!G42</f>
        <v>91</v>
      </c>
      <c r="H7" s="4" t="n">
        <f aca="false">Assumptions!H42</f>
        <v>91</v>
      </c>
      <c r="I7" s="4" t="n">
        <f aca="false">Assumptions!I42</f>
        <v>91</v>
      </c>
      <c r="J7" s="4" t="n">
        <f aca="false">Assumptions!J42</f>
        <v>91</v>
      </c>
      <c r="K7" s="4" t="n">
        <f aca="false">Assumptions!K42</f>
        <v>91</v>
      </c>
      <c r="L7" s="4" t="n">
        <f aca="false">Assumptions!L42</f>
        <v>91</v>
      </c>
    </row>
    <row r="8" customFormat="false" ht="15" hidden="false" customHeight="false" outlineLevel="0" collapsed="false">
      <c r="A8" s="0" t="s">
        <v>44</v>
      </c>
      <c r="C8" s="0" t="n">
        <f aca="false">C6*C7/100</f>
        <v>2244.23136</v>
      </c>
      <c r="D8" s="0" t="n">
        <f aca="false">D6*D7/100</f>
        <v>2523.29857668</v>
      </c>
      <c r="E8" s="0" t="n">
        <f aca="false">E6*E7/100</f>
        <v>2927.5211133756</v>
      </c>
      <c r="F8" s="0" t="n">
        <f aca="false">F6*F7/100</f>
        <v>3322.04857620658</v>
      </c>
      <c r="G8" s="0" t="n">
        <f aca="false">G6*G7/100</f>
        <v>3547.94787938863</v>
      </c>
      <c r="H8" s="0" t="n">
        <f aca="false">H6*H7/100</f>
        <v>3689.86579456417</v>
      </c>
      <c r="I8" s="0" t="n">
        <f aca="false">I6*I7/100</f>
        <v>3819.01109737392</v>
      </c>
      <c r="J8" s="0" t="n">
        <f aca="false">J6*J7/100</f>
        <v>3933.58143029514</v>
      </c>
      <c r="K8" s="0" t="n">
        <f aca="false">K6*K7/100</f>
        <v>4051.58887320399</v>
      </c>
      <c r="L8" s="0" t="n">
        <f aca="false">L6*L7/100</f>
        <v>4173.13653940011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0.35</v>
      </c>
      <c r="D9" s="4" t="n">
        <f aca="false">Assumptions!D43</f>
        <v>0.35</v>
      </c>
      <c r="E9" s="4" t="n">
        <f aca="false">Assumptions!E43</f>
        <v>0.35</v>
      </c>
      <c r="F9" s="4" t="n">
        <f aca="false">Assumptions!F43</f>
        <v>0.35</v>
      </c>
      <c r="G9" s="4" t="n">
        <f aca="false">Assumptions!G43</f>
        <v>0.35</v>
      </c>
      <c r="H9" s="4" t="n">
        <f aca="false">Assumptions!H43</f>
        <v>0.35</v>
      </c>
      <c r="I9" s="4" t="n">
        <f aca="false">Assumptions!I43</f>
        <v>0.35</v>
      </c>
      <c r="J9" s="4" t="n">
        <f aca="false">Assumptions!J43</f>
        <v>0.35</v>
      </c>
      <c r="K9" s="4" t="n">
        <f aca="false">Assumptions!K43</f>
        <v>0.35</v>
      </c>
      <c r="L9" s="4" t="n">
        <f aca="false">Assumptions!L43</f>
        <v>0.35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-8.61273</v>
      </c>
      <c r="D10" s="0" t="n">
        <f aca="false">-D6*D9/100</f>
        <v>-9.62041941</v>
      </c>
      <c r="E10" s="0" t="n">
        <f aca="false">-E6*E9/100</f>
        <v>-11.19816819324</v>
      </c>
      <c r="F10" s="0" t="n">
        <f aca="false">-F6*F9/100</f>
        <v>-12.7771099084868</v>
      </c>
      <c r="G10" s="0" t="n">
        <f aca="false">-G6*G9/100</f>
        <v>-13.6459533822639</v>
      </c>
      <c r="H10" s="0" t="n">
        <f aca="false">-H6*H9/100</f>
        <v>-14.1917915175545</v>
      </c>
      <c r="I10" s="0" t="n">
        <f aca="false">-I6*I9/100</f>
        <v>-14.6885042206689</v>
      </c>
      <c r="J10" s="0" t="n">
        <f aca="false">-J6*J9/100</f>
        <v>-15.129159347289</v>
      </c>
      <c r="K10" s="0" t="n">
        <f aca="false">-K6*K9/100</f>
        <v>-15.5830341277076</v>
      </c>
      <c r="L10" s="0" t="n">
        <f aca="false">-L6*L9/100</f>
        <v>-16.0505251515389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2235.61863</v>
      </c>
      <c r="D11" s="0" t="n">
        <f aca="false">D8+D10+D24</f>
        <v>2513.67815727</v>
      </c>
      <c r="E11" s="0" t="n">
        <f aca="false">E8+E10+E24</f>
        <v>2916.32294518236</v>
      </c>
      <c r="F11" s="0" t="n">
        <f aca="false">F8+F10+F24</f>
        <v>3309.27146629809</v>
      </c>
      <c r="G11" s="0" t="n">
        <f aca="false">G8+G10+G24</f>
        <v>3534.30192600636</v>
      </c>
      <c r="H11" s="0" t="n">
        <f aca="false">H8+H10+H24</f>
        <v>3675.67400304662</v>
      </c>
      <c r="I11" s="0" t="n">
        <f aca="false">I8+I10+I24</f>
        <v>3804.32259315325</v>
      </c>
      <c r="J11" s="0" t="n">
        <f aca="false">J8+J10+J24</f>
        <v>3918.45227094785</v>
      </c>
      <c r="K11" s="0" t="n">
        <f aca="false">K8+K10+K24</f>
        <v>4036.00583907628</v>
      </c>
      <c r="L11" s="0" t="n">
        <f aca="false">L8+L10+L24</f>
        <v>4157.08601424857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-329.74452</v>
      </c>
      <c r="D12" s="4" t="n">
        <f aca="false">-D6*Assumptions!D45/100</f>
        <v>-324.34556868</v>
      </c>
      <c r="E12" s="4" t="n">
        <f aca="false">-E6*Assumptions!E45/100</f>
        <v>-383.9371951968</v>
      </c>
      <c r="F12" s="4" t="n">
        <f aca="false">-F6*Assumptions!F45/100</f>
        <v>-438.072339719549</v>
      </c>
      <c r="G12" s="4" t="n">
        <f aca="false">-G6*Assumptions!G45/100</f>
        <v>-467.861258820478</v>
      </c>
      <c r="H12" s="4" t="n">
        <f aca="false">-H6*Assumptions!H45/100</f>
        <v>-486.575709173297</v>
      </c>
      <c r="I12" s="4" t="n">
        <f aca="false">-I6*Assumptions!I45/100</f>
        <v>-503.605858994363</v>
      </c>
      <c r="J12" s="4" t="n">
        <f aca="false">-J6*Assumptions!J45/100</f>
        <v>-518.714034764194</v>
      </c>
      <c r="K12" s="4" t="n">
        <f aca="false">-K6*Assumptions!K45/100</f>
        <v>-534.275455807119</v>
      </c>
      <c r="L12" s="4" t="n">
        <f aca="false">-L6*Assumptions!L45/100</f>
        <v>-550.303719481333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1905.87411</v>
      </c>
      <c r="D13" s="0" t="n">
        <f aca="false">D11+D12</f>
        <v>2189.33258859</v>
      </c>
      <c r="E13" s="0" t="n">
        <f aca="false">E11+E12</f>
        <v>2532.38574998556</v>
      </c>
      <c r="F13" s="0" t="n">
        <f aca="false">F11+F12</f>
        <v>2871.19912657854</v>
      </c>
      <c r="G13" s="0" t="n">
        <f aca="false">G11+G12</f>
        <v>3066.44066718588</v>
      </c>
      <c r="H13" s="0" t="n">
        <f aca="false">H11+H12</f>
        <v>3189.09829387332</v>
      </c>
      <c r="I13" s="0" t="n">
        <f aca="false">I11+I12</f>
        <v>3300.71673415889</v>
      </c>
      <c r="J13" s="0" t="n">
        <f aca="false">J11+J12</f>
        <v>3399.73823618365</v>
      </c>
      <c r="K13" s="0" t="n">
        <f aca="false">K11+K12</f>
        <v>3501.73038326916</v>
      </c>
      <c r="L13" s="0" t="n">
        <f aca="false">L11+L12</f>
        <v>3606.78229476724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16</v>
      </c>
      <c r="D14" s="4" t="n">
        <f aca="false">Assumptions!D47</f>
        <v>17.5</v>
      </c>
      <c r="E14" s="4" t="n">
        <f aca="false">Assumptions!E47</f>
        <v>19</v>
      </c>
      <c r="F14" s="4" t="n">
        <f aca="false">Assumptions!F47</f>
        <v>20</v>
      </c>
      <c r="G14" s="4" t="n">
        <f aca="false">Assumptions!G47</f>
        <v>21</v>
      </c>
      <c r="H14" s="4" t="n">
        <f aca="false">Assumptions!H47</f>
        <v>21.5</v>
      </c>
      <c r="I14" s="4" t="n">
        <f aca="false">Assumptions!I47</f>
        <v>21.5</v>
      </c>
      <c r="J14" s="4" t="n">
        <f aca="false">Assumptions!J47</f>
        <v>21.5</v>
      </c>
      <c r="K14" s="4" t="n">
        <f aca="false">Assumptions!K47</f>
        <v>21.5</v>
      </c>
      <c r="L14" s="4" t="n">
        <f aca="false">Assumptions!L47</f>
        <v>21.5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1600.9342524</v>
      </c>
      <c r="D15" s="0" t="n">
        <f aca="false">D13-MAX(0,D13)*D14/100</f>
        <v>1806.19938558675</v>
      </c>
      <c r="E15" s="0" t="n">
        <f aca="false">E13-MAX(0,E13)*E14/100</f>
        <v>2051.2324574883</v>
      </c>
      <c r="F15" s="0" t="n">
        <f aca="false">F13-MAX(0,F13)*F14/100</f>
        <v>2296.95930126283</v>
      </c>
      <c r="G15" s="0" t="n">
        <f aca="false">G13-MAX(0,G13)*G14/100</f>
        <v>2422.48812707685</v>
      </c>
      <c r="H15" s="0" t="n">
        <f aca="false">H13-MAX(0,H13)*H14/100</f>
        <v>2503.44216069056</v>
      </c>
      <c r="I15" s="0" t="n">
        <f aca="false">I13-MAX(0,I13)*I14/100</f>
        <v>2591.06263631473</v>
      </c>
      <c r="J15" s="0" t="n">
        <f aca="false">J13-MAX(0,J13)*J14/100</f>
        <v>2668.79451540417</v>
      </c>
      <c r="K15" s="0" t="n">
        <f aca="false">K13-MAX(0,K13)*K14/100</f>
        <v>2748.85835086629</v>
      </c>
      <c r="L15" s="0" t="n">
        <f aca="false">L13-MAX(0,L13)*L14/100</f>
        <v>2831.32410139228</v>
      </c>
    </row>
    <row r="16" customFormat="false" ht="15" hidden="false" customHeight="false" outlineLevel="0" collapsed="false">
      <c r="A16" s="0" t="s">
        <v>123</v>
      </c>
      <c r="C16" s="0" t="n">
        <f aca="false">-C12</f>
        <v>329.74452</v>
      </c>
      <c r="D16" s="0" t="n">
        <f aca="false">-D12</f>
        <v>324.34556868</v>
      </c>
      <c r="E16" s="0" t="n">
        <f aca="false">-E12</f>
        <v>383.9371951968</v>
      </c>
      <c r="F16" s="0" t="n">
        <f aca="false">-F12</f>
        <v>438.072339719549</v>
      </c>
      <c r="G16" s="0" t="n">
        <f aca="false">-G12</f>
        <v>467.861258820478</v>
      </c>
      <c r="H16" s="0" t="n">
        <f aca="false">-H12</f>
        <v>486.575709173297</v>
      </c>
      <c r="I16" s="0" t="n">
        <f aca="false">-I12</f>
        <v>503.605858994363</v>
      </c>
      <c r="J16" s="0" t="n">
        <f aca="false">-J12</f>
        <v>518.714034764194</v>
      </c>
      <c r="K16" s="0" t="n">
        <f aca="false">-K12</f>
        <v>534.275455807119</v>
      </c>
      <c r="L16" s="0" t="n">
        <f aca="false">-L12</f>
        <v>550.303719481333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-344.5092</v>
      </c>
      <c r="D17" s="4" t="n">
        <f aca="false">-D6*Assumptions!D46/100</f>
        <v>-384.8167764</v>
      </c>
      <c r="E17" s="4" t="n">
        <f aca="false">-E6*Assumptions!E46/100</f>
        <v>-447.9267277296</v>
      </c>
      <c r="F17" s="4" t="n">
        <f aca="false">-F6*Assumptions!F46/100</f>
        <v>-511.084396339474</v>
      </c>
      <c r="G17" s="4" t="n">
        <f aca="false">-G6*Assumptions!G46/100</f>
        <v>-545.838135290558</v>
      </c>
      <c r="H17" s="4" t="n">
        <f aca="false">-H6*Assumptions!H46/100</f>
        <v>-567.67166070218</v>
      </c>
      <c r="I17" s="4" t="n">
        <f aca="false">-I6*Assumptions!I46/100</f>
        <v>-587.540168826756</v>
      </c>
      <c r="J17" s="4" t="n">
        <f aca="false">-J6*Assumptions!J46/100</f>
        <v>-605.166373891559</v>
      </c>
      <c r="K17" s="4" t="n">
        <f aca="false">-K6*Assumptions!K46/100</f>
        <v>-623.321365108306</v>
      </c>
      <c r="L17" s="4" t="n">
        <f aca="false">-L6*Assumptions!L46/100</f>
        <v>-642.021006061555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1586.1695724</v>
      </c>
      <c r="D19" s="0" t="n">
        <f aca="false">D15+D16+D17+D18</f>
        <v>1745.72817786675</v>
      </c>
      <c r="E19" s="0" t="n">
        <f aca="false">E15+E16+E17+E18</f>
        <v>1987.2429249555</v>
      </c>
      <c r="F19" s="0" t="n">
        <f aca="false">F15+F16+F17+F18</f>
        <v>2223.94724464291</v>
      </c>
      <c r="G19" s="0" t="n">
        <f aca="false">G15+G16+G17+G18</f>
        <v>2344.51125060677</v>
      </c>
      <c r="H19" s="0" t="n">
        <f aca="false">H15+H16+H17+H18</f>
        <v>2422.34620916167</v>
      </c>
      <c r="I19" s="0" t="n">
        <f aca="false">I15+I16+I17+I18</f>
        <v>2507.12832648233</v>
      </c>
      <c r="J19" s="0" t="n">
        <f aca="false">J15+J16+J17+J18</f>
        <v>2582.3421762768</v>
      </c>
      <c r="K19" s="0" t="n">
        <f aca="false">K15+K16+K17+K18</f>
        <v>2659.81244156511</v>
      </c>
      <c r="L19" s="0" t="n">
        <f aca="false">L15+L16+L17+L18</f>
        <v>2739.60681481206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1468.67553</v>
      </c>
      <c r="D21" s="0" t="n">
        <f aca="false">D19*D20</f>
        <v>1496.68053657986</v>
      </c>
      <c r="E21" s="0" t="n">
        <f aca="false">E19*E20</f>
        <v>1577.5375045689</v>
      </c>
      <c r="F21" s="0" t="n">
        <f aca="false">F19*F20</f>
        <v>1634.66761585696</v>
      </c>
      <c r="G21" s="0" t="n">
        <f aca="false">G19*G20</f>
        <v>1595.63496241956</v>
      </c>
      <c r="H21" s="0" t="n">
        <f aca="false">H19*H20</f>
        <v>1526.48900680911</v>
      </c>
      <c r="I21" s="0" t="n">
        <f aca="false">I19*I20</f>
        <v>1462.88529819207</v>
      </c>
      <c r="J21" s="0" t="n">
        <f aca="false">J19*J20</f>
        <v>1395.15912697947</v>
      </c>
      <c r="K21" s="0" t="n">
        <f aca="false">K19*K20</f>
        <v>1330.56842665635</v>
      </c>
      <c r="L21" s="0" t="n">
        <f aca="false">L19*L20</f>
        <v>1268.96803653337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14757.2660445956</v>
      </c>
    </row>
    <row r="31" customFormat="false" ht="15" hidden="false" customHeight="false" outlineLevel="0" collapsed="false">
      <c r="A31" s="0" t="s">
        <v>132</v>
      </c>
      <c r="B31" s="0" t="n">
        <f aca="false">L19</f>
        <v>2739.60681481206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56435.9003851284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54792.1362962412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54792.1362962412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25379.3607306674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40136.626775263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42495.626775263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313.03366548216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-0.104620389914018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84.7084863752647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153.150673848964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314.785796947058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23514.9584938035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139.088781220857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127.827624361212</v>
      </c>
      <c r="C4" s="0" t="n">
        <f aca="false">B4/Assumptions!$B$2-1</f>
        <v>-0.634370800717336</v>
      </c>
      <c r="D4" s="4" t="n">
        <f aca="false">Assumptions!$B$24</f>
        <v>0.25</v>
      </c>
      <c r="E4" s="4" t="n">
        <f aca="false">DCF_Bear!$B$43</f>
        <v>128.562407273243</v>
      </c>
      <c r="F4" s="4" t="n">
        <f aca="false">DCF_Bear!$B$47</f>
        <v>70.2835880787819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193.089254442625</v>
      </c>
      <c r="C5" s="0" t="n">
        <f aca="false">B5/Assumptions!$B$2-1</f>
        <v>-0.447700996989146</v>
      </c>
      <c r="D5" s="4" t="n">
        <f aca="false">Assumptions!$B$38</f>
        <v>0.5</v>
      </c>
      <c r="E5" s="4" t="n">
        <f aca="false">DCF_Base!$B$43</f>
        <v>194.14372829494</v>
      </c>
      <c r="F5" s="4" t="n">
        <f aca="false">DCF_Base!$B$47</f>
        <v>95.5869824419578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313.03366548216</v>
      </c>
      <c r="C6" s="0" t="n">
        <f aca="false">B6/Assumptions!$B$2-1</f>
        <v>-0.104620389914018</v>
      </c>
      <c r="D6" s="4" t="n">
        <f aca="false">Assumptions!$B$52</f>
        <v>0.25</v>
      </c>
      <c r="E6" s="4" t="n">
        <f aca="false">DCF_Bull!$B$43</f>
        <v>314.785796947058</v>
      </c>
      <c r="F6" s="4" t="n">
        <f aca="false">DCF_Bull!$B$47</f>
        <v>139.088781220857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206.759949682155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207.908915202545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-0.69089807062462</v>
      </c>
    </row>
    <row r="11" customFormat="false" ht="15" hidden="false" customHeight="false" outlineLevel="0" collapsed="false">
      <c r="A11" s="0" t="s">
        <v>159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100.136583545889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193.089254442625</v>
      </c>
      <c r="C15" s="3" t="n">
        <v>8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166.32149641675</v>
      </c>
      <c r="C16" s="3" t="n">
        <v>9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146.686135669638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131.666022637919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119.8038544767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95.5869824419578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230.561034738386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230.561034738386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230.561034738386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230.561034738386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230.561034738386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205.502004104517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214.882909170122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214.882909170122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214.882909170122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214.882909170122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176.380793952067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184.038838343572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193.089254442625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200.631267858501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200.631267858501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155.043987476074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160.279973769959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166.32149641675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173.369939504673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181.699917699491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138.742635191067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142.466151040397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146.686135669638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151.508975245914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157.073790141616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2026-10-10T08:31:23Z</dcterms:created>
  <dc:creator>openpyxl</dc:creator>
  <dc:description/>
  <dc:language>en-NZ</dc:language>
  <cp:lastModifiedBy/>
  <dcterms:modified xsi:type="dcterms:W3CDTF">2026-10-10T08:31:23Z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