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<sst xmlns="http://schemas.openxmlformats.org/spreadsheetml/2006/main" count="370" uniqueCount="171">
  <si>
    <t xml:space="preserve">Ticker</t>
  </si>
  <si>
    <t xml:space="preserve">KGN.AX</t>
  </si>
  <si>
    <t xml:space="preserve">Company</t>
  </si>
  <si>
    <t xml:space="preserve">Kogan.com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</si>
  <si>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</si>
  <si>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</si>
  <si>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</si>
  <si>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</si>
  <si>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2026-09-23T06:10:04Z (ASX regular close, ex the 8.0c final dividend whose record date was 11 Sep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</si>
  <si>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</si>
  <si>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</si>
  <si>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</si>
  <si>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</si>
  <si>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</si>
  <si>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</si>
  <si>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</si>
  <si>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</si>
  <si>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</si>
  <si>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</si>
  <si>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</si>
  <si>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</si>
  <si>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2026-09-23T08:55:26Z</t>
  </si>
  <si>
    <t xml:space="preserve">Drivers file</t>
  </si>
  <si>
    <t xml:space="preserve">KGN.AX_Drivers.json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</si>
  <si>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</si>
  <si>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</si>
  <si>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</si>
  <si>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Kogan is valued as a cash-generative, debt-free, low-capital online retailer whose worth is the owner FCF from its platform businesses - not its book value, which is now nearly meaningless. The FY25 loss and the collapse of equity from $180m (FY21) to $34m (FY26) are two different stories that must not be blended: the FY25 loss was a non-cash $46.3m goodwill write-off on Mighty Ape (EBITDA before impairment was positive $31.7m), and the equity erosion since FY23 is overwhelmingly $59m of buybacks and $32m of dividends returned to shareholders from a net-cash balance sheet - capital returns, not operating losses. Likewise FY24's near-zero net income was a $21.1m deferred-tax-asset write-down on $21m of pretax profit. The model therefore anchors on Adjusted EBITDA (FY24-26: 40.0 / 36.8 / 41.8), builds owner FCF from components with leases charged as an operating cost, SBC expensed at its post-founder-option run-rate (0.8% of revenue, not the FY21-23 $20-31m years), interest income stripped, and cash tax ramped to 30% as the tax-loss shelter runs out. Risk is charged in the flows and the scenario weights (30% bear), not through a stacked WACC premium. The terminal cap of 14x owner FCF (12x in the bear) reflects a structurally pressured local marketplace, not a compounder.
key_risks_to_valuation: Structural share loss to Amazon/Temu/Shein: the bear case (margin to 6%, revenue contracting FY28-29) carries 30% weight and is the main reason weighted IV sits close to the price rather than above it; Mighty Ape: only one positive quarter of Adjusted EBITDA (Q4 FY26, $0.4m) and a restated FY25 balance sheet; a second failed year would push the group toward the bear path; Margin-guidance risk: the base assumes 10.5% mature Adjusted EBITDA margin against 8.2% actual and a 12% target - each 1pp of mature margin is worth roughly $0.45-0.55/share; Thin equity ($34.4m, NTA $0.04/share): no solvency risk while net cash, but a further impairment or provision would likely end the buyback that keeps the share count flat; Cash tax: FY26 paid only 21% of pretax; the model ramps to 30% by FY29 - if losses are recognised or R&amp;D incentives persist the base is conservative, if the DTA is written down again the reverse; Terminal value share: with a 14x cap and 11% WACC, roughly 45-50% of base EV sits in the terminal; a 1pp change in WACC moves base IV by about 10%</t>
  </si>
  <si>
    <t xml:space="preserve">Data sources</t>
  </si>
  <si>
    <t xml:space="preserve">price: Yahoo Finance chart API (query1.finance.yahoo.com v8 chart, regularMarketPrice) at inputs.price_as_of; 52-week range 2.88-4.80; ASX close, ex the FY26 final dividend
financials: research/KGN.AX/Reports/KGN.AX_Metrics.csv (core_metrics, AUD millions, FY2015-FY2026) and KGN.AX_Annual_FY2026.txt for the FY26 balance sheet (line 1712-1749), cash flow statement (lines 1836-1876), segment Adjusted EBITDA (line 2153), diluted shares (line 3757), shares on issue (line 3604), ROU depreciation (line 3052), tax losses (line 2486)
qualitative: research/KGN.AX/Reports/KGN.AX_Analysis.json (2026-09-23) incl. FY26 results presentation guidance: medium-term Adjusted EBITDA margin 8-12% progressing toward 12%, Platform-based Sales margin 50-55%, Mighty Ape full-year Adjusted EBITDA profitability in FY27</t>
  </si>
  <si>
    <t xml:space="preserve">Scenario narrative: bear</t>
  </si>
  <si>
    <t xml:space="preserve">The structural squeeze wins. Amazon, Temu and Shein approach a third of Australian online retail; Kogan's shopper reach keeps falling and the company has to choose between losing volume or discounting into negative Products margin. Revenue is flat in FY27 and contracts through FY29; Mighty Ape does not sustain profitability and needs a second reset; Adjusted EBITDA margin falls to 6%, below the guided band. The business stays cash-positive and debt-free so there is no solvency event, but the thin $34m equity base and NTA of $0.04/share mean any further impairment or restatement (FY25 Mighty Ape accruals were restated in the FY26 report) removes the buyback capacity that currently supports the share price.</t>
  </si>
  <si>
    <t xml:space="preserve">Scenario narrative: base</t>
  </si>
  <si>
    <t xml:space="preserve">Kogan.com keeps compounding Platform-based Sales (Marketplace, Kogan FIRST, Verticals, Advertising - 61% of FY26 gross profit at 50-55% margin) at high single digits while Products grows slowly at a ~21% gross margin; Mighty Ape, reset by 30% in FY26, is flat in FY27 and delivers the guided full-year positive Adjusted EBITDA. Group revenue grows 7% in FY27 decelerating to 2.5% by FY35; Adjusted EBITDA margin rises from 8.2% to 10.5% - inside the guided 8-12% band but short of the 12% ambition, because Temu and Shein continue to take share of Australian value shoppers and marketing intensity (15.7% of revenue in FY26) does not fall. Cash tax normalises to 30% by FY29 as the last $5.4m of tax-loss shelter is consumed. Buybacks continue to fund a flat share count.</t>
  </si>
  <si>
    <t xml:space="preserve">Scenario narrative: bull</t>
  </si>
  <si>
    <t xml:space="preserve">The mix-shift thesis fully plays out: Platform-based Sales pass 70% of gross profit, AI-driven cost-out (customer care automated from March 2026) drops marketing and people cost as a share of revenue, and Mighty Ape recovers to pre-migration scale with PRIMATE and Mighty Mobile scaling off their low base. Group revenue grows 10% in FY27 fading to 3%, and the Adjusted EBITDA margin hits management's 12% target in FY31 and 13% by FY33. Being the last Australian-owned marketplace of scale becomes an asset - local sellers who cannot get onto Amazon consolidate on Kogan - and a takeover by a strategic buyer becomes plausible, though no control premium is modelled.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</si>
  <si>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</si>
  <si>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</si>
  <si>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</si>
  <si>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</si>
  <si>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</si>
  <si>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</si>
  <si>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</si>
  <si>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</si>
  <si>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</si>
  <si>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</si>
  <si>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</si>
  <si>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</si>
  <si>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</si>
  <si>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</si>
  <si>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</si>
  <si>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</si>
  <si>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</si>
  <si>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</si>
  <si>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</si>
  <si>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</si>
  <si>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</si>
  <si>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</si>
  <si>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</si>
  <si>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</si>
  <si>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</si>
  <si>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</si>
  <si>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</si>
  <si>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ActiveCustomers</t>
  </si>
  <si>
    <t xml:space="preserve">ImpairmentExpense</t>
  </si>
  <si>
    <t xml:space="preserve">LeasePrincipalPaid</t>
  </si>
  <si>
    <t xml:space="preserve">MarketingExpense</t>
  </si>
  <si>
    <t xml:space="preserve">SubscriptionRevenue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</si>
  <si>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</si>
  <si>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</si>
  <si>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</si>
  <si>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</si>
  <si>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</si>
  <si>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</si>
  <si>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</si>
  <si>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</si>
  <si>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</si>
  <si>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</si>
  <si>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</si>
  <si>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</si>
  <si>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</si>
  <si>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</si>
  <si>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</si>
  <si>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</si>
  <si>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</si>
  <si>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</si>
  <si>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</si>
  <si>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</si>
  <si>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</si>
  <si>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</si>
  <si>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</si>
  <si>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</si>
  <si>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</si>
  <si>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</si>
  <si>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</si>
  <si>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</si>
  <si>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</si>
  <si>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</si>
  <si>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</si>
  <si>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</si>
  <si>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</si>
  <si>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</si>
  <si>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</si>
  <si>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</si>
  <si>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</si>
  <si>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</si>
  <si>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</si>
  <si>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</si>
  <si>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</si>
  <si>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</si>
  <si>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</si>
  <si>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</si>
  <si>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</si>
  <si>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</si>
  <si>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</si>
  <si>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</si>
  <si>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</si>
  <si>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KGN.AX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</si>
  <si>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</si>
  <si>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</si>
  <si>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</si>
  <si>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</si>
  <si>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</si>
  <si>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</si>
  <si>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</si>
  <si>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</si>
  <si>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</si>
  <si>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</si>
  <si>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</si>
  <si>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</si>
  <si>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</si>
  <si>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</si>
  <si>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</si>
  <si>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</si>
  <si>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</si>
  <si>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</si>
  <si>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</si>
  <si>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</si>
  <si>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</si>
  <si>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</si>
  <si>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</si>
  <si>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</si>
  <si>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</si>
  <si>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</si>
  <si>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</si>
  <si>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</si>
  <si>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</si>
  <si>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</si>
  <si>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KGN.AX owner-FCF component DCF: base case (millions, AUD)</t>
  </si>
  <si>
    <t xml:space="preserve">KGN.AX owner-FCF component DCF: bull case (millions, AUD)</t>
  </si>
  <si>
    <t xml:space="preserve">KGN.AX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</si>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</sst>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200.289</v>
      </c>
      <c r="C2" s="0" t="n">
        <v>171.422</v>
      </c>
      <c r="D2" s="0" t="n">
        <v>28.866</v>
      </c>
      <c r="E2" s="0" t="n">
        <v>14.4</v>
      </c>
      <c r="F2" s="0" t="n">
        <v>1.323</v>
      </c>
      <c r="G2" s="0" t="n">
        <v>0.7</v>
      </c>
      <c r="H2" s="0" t="n">
        <v>2.726</v>
      </c>
      <c r="I2" s="0" t="n">
        <v>-0.07</v>
      </c>
      <c r="J2" s="0" t="n">
        <v>0</v>
      </c>
      <c r="L2" s="0" t="n">
        <v>-6.091</v>
      </c>
      <c r="M2" s="0" t="n">
        <v>3.539</v>
      </c>
      <c r="N2" s="0" t="n">
        <v>-9.63</v>
      </c>
      <c r="O2" s="0" t="n">
        <v>8.722</v>
      </c>
      <c r="P2" s="0" t="n">
        <v>31.777</v>
      </c>
      <c r="Q2" s="0" t="n">
        <v>23.055</v>
      </c>
      <c r="R2" s="0" t="n">
        <v>8.1</v>
      </c>
      <c r="S2" s="0" t="n">
        <v>0.398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211.159</v>
      </c>
      <c r="C3" s="0" t="n">
        <v>178.462</v>
      </c>
      <c r="D3" s="0" t="n">
        <v>32.696</v>
      </c>
      <c r="E3" s="0" t="n">
        <v>15.5</v>
      </c>
      <c r="F3" s="0" t="n">
        <v>1.637</v>
      </c>
      <c r="G3" s="0" t="n">
        <v>0.8</v>
      </c>
      <c r="H3" s="0" t="n">
        <v>4.048</v>
      </c>
      <c r="I3" s="0" t="n">
        <v>0.809</v>
      </c>
      <c r="J3" s="0" t="n">
        <v>0.4</v>
      </c>
      <c r="L3" s="0" t="n">
        <v>11.478</v>
      </c>
      <c r="M3" s="0" t="n">
        <v>4.408</v>
      </c>
      <c r="N3" s="0" t="n">
        <v>7.071</v>
      </c>
      <c r="O3" s="0" t="n">
        <v>7.071</v>
      </c>
      <c r="P3" s="0" t="n">
        <v>32.443</v>
      </c>
      <c r="Q3" s="0" t="n">
        <v>25.373</v>
      </c>
      <c r="R3" s="0" t="n">
        <v>4.9</v>
      </c>
      <c r="S3" s="0" t="n">
        <v>1.808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70</v>
      </c>
      <c r="B4" s="0" t="n">
        <v>289.518</v>
      </c>
      <c r="C4" s="0" t="n">
        <v>237.824</v>
      </c>
      <c r="D4" s="0" t="n">
        <v>51.693</v>
      </c>
      <c r="E4" s="0" t="n">
        <v>17.9</v>
      </c>
      <c r="F4" s="0" t="n">
        <v>6.506</v>
      </c>
      <c r="G4" s="0" t="n">
        <v>2.2</v>
      </c>
      <c r="H4" s="0" t="n">
        <v>10.33</v>
      </c>
      <c r="I4" s="0" t="n">
        <v>3.74</v>
      </c>
      <c r="J4" s="0" t="n">
        <v>1.3</v>
      </c>
      <c r="K4" s="0" t="n">
        <v>0.04</v>
      </c>
      <c r="L4" s="0" t="n">
        <v>10.937</v>
      </c>
      <c r="M4" s="0" t="n">
        <v>3.553</v>
      </c>
      <c r="N4" s="0" t="n">
        <v>7.384</v>
      </c>
      <c r="O4" s="0" t="n">
        <v>42.672</v>
      </c>
      <c r="P4" s="0" t="n">
        <v>80.324</v>
      </c>
      <c r="Q4" s="0" t="n">
        <v>37.652</v>
      </c>
      <c r="R4" s="0" t="n">
        <v>0</v>
      </c>
      <c r="S4" s="0" t="n">
        <v>32.028</v>
      </c>
      <c r="T4" s="0" t="n">
        <v>91.8</v>
      </c>
      <c r="U4" s="0" t="n">
        <v>1.744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71</v>
      </c>
      <c r="B5" s="0" t="n">
        <v>412.312</v>
      </c>
      <c r="C5" s="0" t="n">
        <v>331.719</v>
      </c>
      <c r="D5" s="0" t="n">
        <v>80.593</v>
      </c>
      <c r="E5" s="0" t="n">
        <v>19.5</v>
      </c>
      <c r="F5" s="0" t="n">
        <v>19.981</v>
      </c>
      <c r="G5" s="0" t="n">
        <v>4.8</v>
      </c>
      <c r="H5" s="0" t="n">
        <v>25.32</v>
      </c>
      <c r="I5" s="0" t="n">
        <v>14.111</v>
      </c>
      <c r="J5" s="0" t="n">
        <v>3.4</v>
      </c>
      <c r="K5" s="0" t="n">
        <v>0.15</v>
      </c>
      <c r="L5" s="0" t="n">
        <v>27.829</v>
      </c>
      <c r="M5" s="0" t="n">
        <v>7.238</v>
      </c>
      <c r="N5" s="0" t="n">
        <v>20.591</v>
      </c>
      <c r="O5" s="0" t="n">
        <v>47.881</v>
      </c>
      <c r="P5" s="0" t="n">
        <v>105.985</v>
      </c>
      <c r="Q5" s="0" t="n">
        <v>58.103</v>
      </c>
      <c r="R5" s="0" t="n">
        <v>0</v>
      </c>
      <c r="S5" s="0" t="n">
        <v>42.618</v>
      </c>
      <c r="T5" s="0" t="n">
        <v>93.47</v>
      </c>
      <c r="U5" s="0" t="n">
        <v>1.099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72</v>
      </c>
      <c r="B6" s="0" t="n">
        <v>438.7</v>
      </c>
      <c r="C6" s="0" t="n">
        <v>348.044</v>
      </c>
      <c r="D6" s="0" t="n">
        <v>90.656</v>
      </c>
      <c r="E6" s="0" t="n">
        <v>20.7</v>
      </c>
      <c r="F6" s="0" t="n">
        <v>23.992</v>
      </c>
      <c r="G6" s="0" t="n">
        <v>5.5</v>
      </c>
      <c r="H6" s="0" t="n">
        <v>30.731</v>
      </c>
      <c r="I6" s="0" t="n">
        <v>17.201</v>
      </c>
      <c r="J6" s="0" t="n">
        <v>3.9</v>
      </c>
      <c r="K6" s="0" t="n">
        <v>0.18</v>
      </c>
      <c r="L6" s="0" t="n">
        <v>2.072</v>
      </c>
      <c r="M6" s="0" t="n">
        <v>5.468</v>
      </c>
      <c r="N6" s="0" t="n">
        <v>-3.396</v>
      </c>
      <c r="O6" s="0" t="n">
        <v>50.98</v>
      </c>
      <c r="P6" s="0" t="n">
        <v>118.397</v>
      </c>
      <c r="Q6" s="0" t="n">
        <v>67.417</v>
      </c>
      <c r="R6" s="0" t="n">
        <v>0</v>
      </c>
      <c r="S6" s="0" t="n">
        <v>27.462</v>
      </c>
      <c r="T6" s="0" t="n">
        <v>93.71</v>
      </c>
      <c r="U6" s="0" t="n">
        <v>1.233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73</v>
      </c>
      <c r="B7" s="0" t="n">
        <v>497.904</v>
      </c>
      <c r="C7" s="0" t="n">
        <v>371.374</v>
      </c>
      <c r="D7" s="0" t="n">
        <v>126.53</v>
      </c>
      <c r="E7" s="0" t="n">
        <v>25.4</v>
      </c>
      <c r="F7" s="0" t="n">
        <v>41.04</v>
      </c>
      <c r="G7" s="0" t="n">
        <v>8.2</v>
      </c>
      <c r="H7" s="0" t="n">
        <v>48.459</v>
      </c>
      <c r="I7" s="0" t="n">
        <v>26.82</v>
      </c>
      <c r="J7" s="0" t="n">
        <v>5.4</v>
      </c>
      <c r="K7" s="0" t="n">
        <v>0.29</v>
      </c>
      <c r="L7" s="0" t="n">
        <v>45.633</v>
      </c>
      <c r="M7" s="0" t="n">
        <v>8.154</v>
      </c>
      <c r="N7" s="0" t="n">
        <v>37.479</v>
      </c>
      <c r="O7" s="0" t="n">
        <v>164.025</v>
      </c>
      <c r="P7" s="0" t="n">
        <v>279.667</v>
      </c>
      <c r="Q7" s="0" t="n">
        <v>115.642</v>
      </c>
      <c r="R7" s="0" t="n">
        <v>0</v>
      </c>
      <c r="S7" s="0" t="n">
        <v>146.726</v>
      </c>
      <c r="T7" s="0" t="n">
        <v>94.03</v>
      </c>
      <c r="U7" s="0" t="n">
        <v>1.033</v>
      </c>
      <c r="AA7" s="0" t="s">
        <v>17</v>
      </c>
      <c r="AB7" s="0" t="s">
        <v>14</v>
      </c>
      <c r="AE7" s="0" t="n">
        <v>1.573</v>
      </c>
    </row>
    <row r="8" customFormat="false" ht="15" hidden="false" customHeight="false" outlineLevel="0" collapsed="false">
      <c r="A8" s="0" t="s">
        <v>74</v>
      </c>
      <c r="B8" s="0" t="n">
        <v>780.742</v>
      </c>
      <c r="C8" s="0" t="n">
        <v>577.037</v>
      </c>
      <c r="D8" s="0" t="n">
        <v>203.705</v>
      </c>
      <c r="E8" s="0" t="n">
        <v>26.1</v>
      </c>
      <c r="F8" s="0" t="n">
        <v>10.735</v>
      </c>
      <c r="G8" s="0" t="n">
        <v>1.4</v>
      </c>
      <c r="H8" s="0" t="n">
        <v>21.675</v>
      </c>
      <c r="I8" s="0" t="n">
        <v>3.537</v>
      </c>
      <c r="J8" s="0" t="n">
        <v>0.5</v>
      </c>
      <c r="K8" s="0" t="n">
        <v>0.03</v>
      </c>
      <c r="L8" s="0" t="n">
        <v>-63.032</v>
      </c>
      <c r="M8" s="0" t="n">
        <v>4.729</v>
      </c>
      <c r="N8" s="0" t="n">
        <v>-67.761</v>
      </c>
      <c r="O8" s="0" t="n">
        <v>180.729</v>
      </c>
      <c r="P8" s="0" t="n">
        <v>442.015</v>
      </c>
      <c r="Q8" s="0" t="n">
        <v>261.286</v>
      </c>
      <c r="R8" s="0" t="n">
        <v>78.699</v>
      </c>
      <c r="S8" s="0" t="n">
        <v>91.691</v>
      </c>
      <c r="T8" s="0" t="n">
        <v>105.8</v>
      </c>
      <c r="U8" s="0" t="n">
        <v>20.373</v>
      </c>
      <c r="AA8" s="0" t="s">
        <v>17</v>
      </c>
      <c r="AB8" s="0" t="s">
        <v>14</v>
      </c>
      <c r="AE8" s="0" t="n">
        <v>3.276</v>
      </c>
    </row>
    <row r="9" customFormat="false" ht="15" hidden="false" customHeight="false" outlineLevel="0" collapsed="false">
      <c r="A9" s="0" t="s">
        <v>75</v>
      </c>
      <c r="B9" s="0" t="n">
        <v>718.504</v>
      </c>
      <c r="C9" s="0" t="n">
        <v>534.076</v>
      </c>
      <c r="D9" s="0" t="n">
        <v>184.428</v>
      </c>
      <c r="E9" s="0" t="n">
        <v>25.7</v>
      </c>
      <c r="F9" s="0" t="n">
        <v>-38.119</v>
      </c>
      <c r="G9" s="0" t="n">
        <v>-5.3</v>
      </c>
      <c r="H9" s="0" t="n">
        <v>-18.916</v>
      </c>
      <c r="I9" s="0" t="n">
        <v>-35.457</v>
      </c>
      <c r="J9" s="0" t="n">
        <v>-4.9</v>
      </c>
      <c r="K9" s="0" t="n">
        <v>-0.33</v>
      </c>
      <c r="L9" s="0" t="n">
        <v>61.839</v>
      </c>
      <c r="M9" s="0" t="n">
        <v>5.559</v>
      </c>
      <c r="N9" s="0" t="n">
        <v>56.28</v>
      </c>
      <c r="O9" s="0" t="n">
        <v>172.636</v>
      </c>
      <c r="P9" s="0" t="n">
        <v>360.31</v>
      </c>
      <c r="Q9" s="0" t="n">
        <v>187.674</v>
      </c>
      <c r="R9" s="0" t="n">
        <v>34.869</v>
      </c>
      <c r="S9" s="0" t="n">
        <v>66.23</v>
      </c>
      <c r="T9" s="0" t="n">
        <v>106.85</v>
      </c>
      <c r="U9" s="0" t="n">
        <v>26.611</v>
      </c>
      <c r="AA9" s="0" t="s">
        <v>17</v>
      </c>
      <c r="AB9" s="0" t="s">
        <v>14</v>
      </c>
      <c r="AE9" s="0" t="n">
        <v>10.252</v>
      </c>
    </row>
    <row r="10" customFormat="false" ht="15" hidden="false" customHeight="false" outlineLevel="0" collapsed="false">
      <c r="A10" s="0" t="s">
        <v>76</v>
      </c>
      <c r="B10" s="0" t="n">
        <v>489.494</v>
      </c>
      <c r="C10" s="0" t="n">
        <v>352.931</v>
      </c>
      <c r="D10" s="0" t="n">
        <v>136.563</v>
      </c>
      <c r="E10" s="0" t="n">
        <v>27.9</v>
      </c>
      <c r="F10" s="0" t="n">
        <v>-36.346</v>
      </c>
      <c r="G10" s="0" t="n">
        <v>-7.4</v>
      </c>
      <c r="H10" s="0" t="n">
        <v>-19.762</v>
      </c>
      <c r="I10" s="0" t="n">
        <v>-25.852</v>
      </c>
      <c r="J10" s="0" t="n">
        <v>-5.3</v>
      </c>
      <c r="K10" s="0" t="n">
        <v>-0.24</v>
      </c>
      <c r="L10" s="0" t="n">
        <v>70.857</v>
      </c>
      <c r="M10" s="0" t="n">
        <v>4.16</v>
      </c>
      <c r="N10" s="0" t="n">
        <v>66.697</v>
      </c>
      <c r="O10" s="0" t="n">
        <v>167.718</v>
      </c>
      <c r="P10" s="0" t="n">
        <v>274.058</v>
      </c>
      <c r="Q10" s="0" t="n">
        <v>106.34</v>
      </c>
      <c r="R10" s="0" t="n">
        <v>0</v>
      </c>
      <c r="S10" s="0" t="n">
        <v>65.438</v>
      </c>
      <c r="T10" s="0" t="n">
        <v>107.61</v>
      </c>
      <c r="U10" s="0" t="n">
        <v>31.267</v>
      </c>
      <c r="AA10" s="0" t="s">
        <v>17</v>
      </c>
      <c r="AB10" s="0" t="s">
        <v>14</v>
      </c>
      <c r="AE10" s="0" t="n">
        <v>8.004</v>
      </c>
    </row>
    <row r="11" customFormat="false" ht="15" hidden="false" customHeight="false" outlineLevel="0" collapsed="false">
      <c r="A11" s="0" t="s">
        <v>77</v>
      </c>
      <c r="B11" s="0" t="n">
        <v>459.703</v>
      </c>
      <c r="C11" s="0" t="n">
        <v>291.266</v>
      </c>
      <c r="D11" s="0" t="n">
        <v>168.437</v>
      </c>
      <c r="E11" s="0" t="n">
        <v>36.6</v>
      </c>
      <c r="F11" s="0" t="n">
        <v>20.258</v>
      </c>
      <c r="G11" s="0" t="n">
        <v>4.4</v>
      </c>
      <c r="H11" s="0" t="n">
        <v>35.312</v>
      </c>
      <c r="I11" s="0" t="n">
        <v>0.083</v>
      </c>
      <c r="J11" s="0" t="n">
        <v>0</v>
      </c>
      <c r="K11" s="0" t="n">
        <v>0</v>
      </c>
      <c r="L11" s="0" t="n">
        <v>28.186</v>
      </c>
      <c r="M11" s="0" t="n">
        <v>5.015</v>
      </c>
      <c r="N11" s="0" t="n">
        <v>23.171</v>
      </c>
      <c r="O11" s="0" t="n">
        <v>123.603</v>
      </c>
      <c r="P11" s="0" t="n">
        <v>243.43</v>
      </c>
      <c r="Q11" s="0" t="n">
        <v>119.827</v>
      </c>
      <c r="R11" s="0" t="n">
        <v>0</v>
      </c>
      <c r="S11" s="0" t="n">
        <v>41.183</v>
      </c>
      <c r="T11" s="0" t="n">
        <v>102.52</v>
      </c>
      <c r="U11" s="0" t="n">
        <v>3.939</v>
      </c>
      <c r="AA11" s="0" t="s">
        <v>17</v>
      </c>
      <c r="AB11" s="0" t="s">
        <v>14</v>
      </c>
      <c r="AE11" s="0" t="n">
        <v>6.089</v>
      </c>
    </row>
    <row r="12" customFormat="false" ht="15" hidden="false" customHeight="false" outlineLevel="0" collapsed="false">
      <c r="A12" s="0" t="s">
        <v>78</v>
      </c>
      <c r="B12" s="0" t="n">
        <v>488.107</v>
      </c>
      <c r="C12" s="0" t="n">
        <v>298.195</v>
      </c>
      <c r="D12" s="0" t="n">
        <v>189.912</v>
      </c>
      <c r="E12" s="0" t="n">
        <v>38.9</v>
      </c>
      <c r="F12" s="0" t="n">
        <v>-30.676</v>
      </c>
      <c r="G12" s="0" t="n">
        <v>-6.3</v>
      </c>
      <c r="H12" s="0" t="n">
        <v>-14.629</v>
      </c>
      <c r="I12" s="0" t="n">
        <v>-39.465</v>
      </c>
      <c r="J12" s="0" t="n">
        <v>-8.1</v>
      </c>
      <c r="K12" s="0" t="n">
        <v>-0.39</v>
      </c>
      <c r="L12" s="0" t="n">
        <v>37.293</v>
      </c>
      <c r="M12" s="0" t="n">
        <v>4.849</v>
      </c>
      <c r="N12" s="0" t="n">
        <v>32.444</v>
      </c>
      <c r="O12" s="0" t="n">
        <v>53.895</v>
      </c>
      <c r="P12" s="0" t="n">
        <v>187.925</v>
      </c>
      <c r="Q12" s="0" t="n">
        <v>134.03</v>
      </c>
      <c r="R12" s="0" t="n">
        <v>0</v>
      </c>
      <c r="S12" s="0" t="n">
        <v>42.145</v>
      </c>
      <c r="T12" s="0" t="n">
        <v>101.02</v>
      </c>
      <c r="U12" s="0" t="n">
        <v>2.27</v>
      </c>
      <c r="W12" s="0" t="n">
        <v>31.682</v>
      </c>
      <c r="AA12" s="0" t="s">
        <v>17</v>
      </c>
      <c r="AB12" s="0" t="s">
        <v>14</v>
      </c>
      <c r="AD12" s="0" t="n">
        <v>46.311</v>
      </c>
      <c r="AE12" s="0" t="n">
        <v>8.092</v>
      </c>
    </row>
    <row r="13" customFormat="false" ht="15" hidden="false" customHeight="false" outlineLevel="0" collapsed="false">
      <c r="A13" s="0" t="s">
        <v>79</v>
      </c>
      <c r="B13" s="0" t="n">
        <v>510.732</v>
      </c>
      <c r="C13" s="0" t="n">
        <v>299.807</v>
      </c>
      <c r="D13" s="0" t="n">
        <v>210.925</v>
      </c>
      <c r="E13" s="0" t="n">
        <v>41.3</v>
      </c>
      <c r="F13" s="0" t="n">
        <v>22.079</v>
      </c>
      <c r="G13" s="0" t="n">
        <v>4.3</v>
      </c>
      <c r="H13" s="0" t="n">
        <v>38.159</v>
      </c>
      <c r="I13" s="0" t="n">
        <v>11.166</v>
      </c>
      <c r="J13" s="0" t="n">
        <v>2.2</v>
      </c>
      <c r="K13" s="0" t="n">
        <v>0.11</v>
      </c>
      <c r="L13" s="0" t="n">
        <v>41.946</v>
      </c>
      <c r="M13" s="0" t="n">
        <v>3.597</v>
      </c>
      <c r="N13" s="0" t="n">
        <v>38.349</v>
      </c>
      <c r="O13" s="0" t="n">
        <v>34.429</v>
      </c>
      <c r="P13" s="0" t="n">
        <v>182.941</v>
      </c>
      <c r="Q13" s="0" t="n">
        <v>148.512</v>
      </c>
      <c r="R13" s="0" t="n">
        <v>0</v>
      </c>
      <c r="S13" s="0" t="n">
        <v>36.431</v>
      </c>
      <c r="T13" s="0" t="n">
        <v>98.17</v>
      </c>
      <c r="U13" s="0" t="n">
        <v>4.223</v>
      </c>
      <c r="AA13" s="0" t="s">
        <v>17</v>
      </c>
      <c r="AB13" s="0" t="s">
        <v>14</v>
      </c>
      <c r="AE13" s="0" t="n">
        <v>8.367</v>
      </c>
      <c r="AF13" s="0" t="n">
        <v>79.986</v>
      </c>
      <c r="AG13" s="0" t="n">
        <v>61.4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3.32</v>
      </c>
    </row>
    <row r="3" customFormat="false" ht="15" hidden="false" customHeight="false" outlineLevel="0" collapsed="false">
      <c r="A3" s="0" t="s">
        <v>83</v>
      </c>
      <c r="B3" s="3" t="n">
        <v>96.72</v>
      </c>
    </row>
    <row r="4" customFormat="false" ht="15" hidden="false" customHeight="false" outlineLevel="0" collapsed="false">
      <c r="A4" s="0" t="s">
        <v>84</v>
      </c>
      <c r="B4" s="3" t="n">
        <v>-36.431</v>
      </c>
    </row>
    <row r="5" customFormat="false" ht="15" hidden="false" customHeight="false" outlineLevel="0" collapsed="false">
      <c r="A5" s="0" t="s">
        <v>85</v>
      </c>
      <c r="B5" s="3" t="n">
        <v>-7.6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510.732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2</v>
      </c>
      <c r="D13" s="3" t="n">
        <v>-1</v>
      </c>
      <c r="E13" s="3" t="n">
        <v>-3</v>
      </c>
      <c r="F13" s="3" t="n">
        <v>-2</v>
      </c>
      <c r="G13" s="3" t="n">
        <v>0</v>
      </c>
      <c r="H13" s="3" t="n">
        <v>1</v>
      </c>
      <c r="I13" s="3" t="n">
        <v>1.5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7.5</v>
      </c>
      <c r="D14" s="3" t="n">
        <v>6.8</v>
      </c>
      <c r="E14" s="3" t="n">
        <v>6</v>
      </c>
      <c r="F14" s="3" t="n">
        <v>5.8</v>
      </c>
      <c r="G14" s="3" t="n">
        <v>5.8</v>
      </c>
      <c r="H14" s="3" t="n">
        <v>6</v>
      </c>
      <c r="I14" s="3" t="n">
        <v>6.2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105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106</v>
      </c>
      <c r="C16" s="3" t="n">
        <v>1.75</v>
      </c>
      <c r="D16" s="3" t="n">
        <v>1.8</v>
      </c>
      <c r="E16" s="3" t="n">
        <v>1.9</v>
      </c>
      <c r="F16" s="3" t="n">
        <v>1.9</v>
      </c>
      <c r="G16" s="3" t="n">
        <v>1.9</v>
      </c>
      <c r="H16" s="3" t="n">
        <v>1.85</v>
      </c>
      <c r="I16" s="3" t="n">
        <v>1.8</v>
      </c>
      <c r="J16" s="3" t="n">
        <v>1.8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107</v>
      </c>
      <c r="C17" s="3" t="n">
        <v>1.6</v>
      </c>
      <c r="D17" s="3" t="n">
        <v>1.55</v>
      </c>
      <c r="E17" s="3" t="n">
        <v>1.5</v>
      </c>
      <c r="F17" s="3" t="n">
        <v>1.45</v>
      </c>
      <c r="G17" s="3" t="n">
        <v>1.4</v>
      </c>
      <c r="H17" s="3" t="n">
        <v>1.35</v>
      </c>
      <c r="I17" s="3" t="n">
        <v>1.3</v>
      </c>
      <c r="J17" s="3" t="n">
        <v>1.3</v>
      </c>
      <c r="K17" s="3" t="n">
        <v>1.3</v>
      </c>
      <c r="L17" s="3" t="n">
        <v>1.3</v>
      </c>
    </row>
    <row r="18" customFormat="false" ht="15" hidden="false" customHeight="false" outlineLevel="0" collapsed="false">
      <c r="A18" s="0" t="s">
        <v>108</v>
      </c>
      <c r="C18" s="3" t="n">
        <v>0.8</v>
      </c>
      <c r="D18" s="3" t="n">
        <v>0.9</v>
      </c>
      <c r="E18" s="3" t="n">
        <v>1</v>
      </c>
      <c r="F18" s="3" t="n">
        <v>1</v>
      </c>
      <c r="G18" s="3" t="n">
        <v>1</v>
      </c>
      <c r="H18" s="3" t="n">
        <v>1.1</v>
      </c>
      <c r="I18" s="3" t="n">
        <v>1.1</v>
      </c>
      <c r="J18" s="3" t="n">
        <v>1.1</v>
      </c>
      <c r="K18" s="3" t="n">
        <v>1.1</v>
      </c>
      <c r="L18" s="3" t="n">
        <v>1.1</v>
      </c>
    </row>
    <row r="19" customFormat="false" ht="15" hidden="false" customHeight="false" outlineLevel="0" collapsed="false">
      <c r="A19" s="0" t="s">
        <v>109</v>
      </c>
      <c r="C19" s="3" t="n">
        <v>22</v>
      </c>
      <c r="D19" s="3" t="n">
        <v>28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110</v>
      </c>
      <c r="B20" s="3" t="n">
        <v>11</v>
      </c>
    </row>
    <row r="21" customFormat="false" ht="15" hidden="false" customHeight="false" outlineLevel="0" collapsed="false">
      <c r="A21" s="0" t="s">
        <v>111</v>
      </c>
      <c r="B21" s="3" t="n">
        <v>1.5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3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7</v>
      </c>
      <c r="D27" s="3" t="n">
        <v>6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8.6</v>
      </c>
      <c r="D28" s="3" t="n">
        <v>9</v>
      </c>
      <c r="E28" s="3" t="n">
        <v>9.4</v>
      </c>
      <c r="F28" s="3" t="n">
        <v>9.8</v>
      </c>
      <c r="G28" s="3" t="n">
        <v>10</v>
      </c>
      <c r="H28" s="3" t="n">
        <v>10.2</v>
      </c>
      <c r="I28" s="3" t="n">
        <v>10.4</v>
      </c>
      <c r="J28" s="3" t="n">
        <v>10.5</v>
      </c>
      <c r="K28" s="3" t="n">
        <v>10.5</v>
      </c>
      <c r="L28" s="3" t="n">
        <v>10.5</v>
      </c>
    </row>
    <row r="29" customFormat="false" ht="15" hidden="false" customHeight="false" outlineLevel="0" collapsed="false">
      <c r="A29" s="0" t="s">
        <v>105</v>
      </c>
      <c r="C29" s="3" t="n">
        <v>0.85</v>
      </c>
      <c r="D29" s="3" t="n">
        <v>0.85</v>
      </c>
      <c r="E29" s="3" t="n">
        <v>0.8</v>
      </c>
      <c r="F29" s="3" t="n">
        <v>0.8</v>
      </c>
      <c r="G29" s="3" t="n">
        <v>0.75</v>
      </c>
      <c r="H29" s="3" t="n">
        <v>0.75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106</v>
      </c>
      <c r="C30" s="3" t="n">
        <v>1.7</v>
      </c>
      <c r="D30" s="3" t="n">
        <v>1.65</v>
      </c>
      <c r="E30" s="3" t="n">
        <v>1.6</v>
      </c>
      <c r="F30" s="3" t="n">
        <v>1.6</v>
      </c>
      <c r="G30" s="3" t="n">
        <v>1.55</v>
      </c>
      <c r="H30" s="3" t="n">
        <v>1.55</v>
      </c>
      <c r="I30" s="3" t="n">
        <v>1.5</v>
      </c>
      <c r="J30" s="3" t="n">
        <v>1.5</v>
      </c>
      <c r="K30" s="3" t="n">
        <v>1.5</v>
      </c>
      <c r="L30" s="3" t="n">
        <v>1.5</v>
      </c>
    </row>
    <row r="31" customFormat="false" ht="15" hidden="false" customHeight="false" outlineLevel="0" collapsed="false">
      <c r="A31" s="0" t="s">
        <v>107</v>
      </c>
      <c r="C31" s="3" t="n">
        <v>1.55</v>
      </c>
      <c r="D31" s="3" t="n">
        <v>1.45</v>
      </c>
      <c r="E31" s="3" t="n">
        <v>1.35</v>
      </c>
      <c r="F31" s="3" t="n">
        <v>1.3</v>
      </c>
      <c r="G31" s="3" t="n">
        <v>1.25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108</v>
      </c>
      <c r="C32" s="3" t="n">
        <v>0.8</v>
      </c>
      <c r="D32" s="3" t="n">
        <v>0.9</v>
      </c>
      <c r="E32" s="3" t="n">
        <v>1</v>
      </c>
      <c r="F32" s="3" t="n">
        <v>1.1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109</v>
      </c>
      <c r="C33" s="3" t="n">
        <v>22</v>
      </c>
      <c r="D33" s="3" t="n">
        <v>26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110</v>
      </c>
      <c r="B34" s="3" t="n">
        <v>11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14</v>
      </c>
    </row>
    <row r="37" customFormat="false" ht="15" hidden="false" customHeight="false" outlineLevel="0" collapsed="false">
      <c r="A37" s="0" t="s">
        <v>113</v>
      </c>
      <c r="B37" s="3" t="n">
        <v>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10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9</v>
      </c>
      <c r="D42" s="3" t="n">
        <v>9.8</v>
      </c>
      <c r="E42" s="3" t="n">
        <v>10.6</v>
      </c>
      <c r="F42" s="3" t="n">
        <v>11.4</v>
      </c>
      <c r="G42" s="3" t="n">
        <v>12</v>
      </c>
      <c r="H42" s="3" t="n">
        <v>12.4</v>
      </c>
      <c r="I42" s="3" t="n">
        <v>12.8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105</v>
      </c>
      <c r="C43" s="3" t="n">
        <v>0.85</v>
      </c>
      <c r="D43" s="3" t="n">
        <v>0.85</v>
      </c>
      <c r="E43" s="3" t="n">
        <v>0.8</v>
      </c>
      <c r="F43" s="3" t="n">
        <v>0.8</v>
      </c>
      <c r="G43" s="3" t="n">
        <v>0.75</v>
      </c>
      <c r="H43" s="3" t="n">
        <v>0.75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106</v>
      </c>
      <c r="C44" s="3" t="n">
        <v>1.65</v>
      </c>
      <c r="D44" s="3" t="n">
        <v>1.55</v>
      </c>
      <c r="E44" s="3" t="n">
        <v>1.5</v>
      </c>
      <c r="F44" s="3" t="n">
        <v>1.45</v>
      </c>
      <c r="G44" s="3" t="n">
        <v>1.4</v>
      </c>
      <c r="H44" s="3" t="n">
        <v>1.35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107</v>
      </c>
      <c r="C45" s="3" t="n">
        <v>1.55</v>
      </c>
      <c r="D45" s="3" t="n">
        <v>1.45</v>
      </c>
      <c r="E45" s="3" t="n">
        <v>1.35</v>
      </c>
      <c r="F45" s="3" t="n">
        <v>1.3</v>
      </c>
      <c r="G45" s="3" t="n">
        <v>1.25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108</v>
      </c>
      <c r="C46" s="3" t="n">
        <v>0.8</v>
      </c>
      <c r="D46" s="3" t="n">
        <v>0.9</v>
      </c>
      <c r="E46" s="3" t="n">
        <v>1</v>
      </c>
      <c r="F46" s="3" t="n">
        <v>1.1</v>
      </c>
      <c r="G46" s="3" t="n">
        <v>1.2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109</v>
      </c>
      <c r="C47" s="3" t="n">
        <v>22</v>
      </c>
      <c r="D47" s="3" t="n">
        <v>26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110</v>
      </c>
      <c r="B48" s="3" t="n">
        <v>11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14</v>
      </c>
    </row>
    <row r="51" customFormat="false" ht="15" hidden="false" customHeight="false" outlineLevel="0" collapsed="false">
      <c r="A51" s="0" t="s">
        <v>113</v>
      </c>
      <c r="B51" s="3" t="n">
        <v>6</v>
      </c>
    </row>
    <row r="52" customFormat="false" ht="15" hidden="false" customHeight="false" outlineLevel="0" collapsed="false">
      <c r="A52" s="0" t="s">
        <v>114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510.732</v>
      </c>
      <c r="C6" s="0" t="n">
        <f aca="false">B6*(1+C5/100)</f>
        <v>520.94664</v>
      </c>
      <c r="D6" s="0" t="n">
        <f aca="false">C6*(1+D5/100)</f>
        <v>515.7371736</v>
      </c>
      <c r="E6" s="0" t="n">
        <f aca="false">D6*(1+E5/100)</f>
        <v>500.265058392</v>
      </c>
      <c r="F6" s="0" t="n">
        <f aca="false">E6*(1+F5/100)</f>
        <v>490.25975722416</v>
      </c>
      <c r="G6" s="0" t="n">
        <f aca="false">F6*(1+G5/100)</f>
        <v>490.25975722416</v>
      </c>
      <c r="H6" s="0" t="n">
        <f aca="false">G6*(1+H5/100)</f>
        <v>495.162354796402</v>
      </c>
      <c r="I6" s="0" t="n">
        <f aca="false">H6*(1+I5/100)</f>
        <v>502.589790118348</v>
      </c>
      <c r="J6" s="0" t="n">
        <f aca="false">I6*(1+J5/100)</f>
        <v>512.641585920715</v>
      </c>
      <c r="K6" s="0" t="n">
        <f aca="false">J6*(1+K5/100)</f>
        <v>522.894417639129</v>
      </c>
      <c r="L6" s="0" t="n">
        <f aca="false">K6*(1+L5/100)</f>
        <v>533.352305991911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7.5</v>
      </c>
      <c r="D7" s="4" t="n">
        <f aca="false">Assumptions!D14</f>
        <v>6.8</v>
      </c>
      <c r="E7" s="4" t="n">
        <f aca="false">Assumptions!E14</f>
        <v>6</v>
      </c>
      <c r="F7" s="4" t="n">
        <f aca="false">Assumptions!F14</f>
        <v>5.8</v>
      </c>
      <c r="G7" s="4" t="n">
        <f aca="false">Assumptions!G14</f>
        <v>5.8</v>
      </c>
      <c r="H7" s="4" t="n">
        <f aca="false">Assumptions!H14</f>
        <v>6</v>
      </c>
      <c r="I7" s="4" t="n">
        <f aca="false">Assumptions!I14</f>
        <v>6.2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39.070998</v>
      </c>
      <c r="D8" s="0" t="n">
        <f aca="false">D6*D7/100</f>
        <v>35.0701278048</v>
      </c>
      <c r="E8" s="0" t="n">
        <f aca="false">E6*E7/100</f>
        <v>30.01590350352</v>
      </c>
      <c r="F8" s="0" t="n">
        <f aca="false">F6*F7/100</f>
        <v>28.4350659190013</v>
      </c>
      <c r="G8" s="0" t="n">
        <f aca="false">G6*G7/100</f>
        <v>28.4350659190013</v>
      </c>
      <c r="H8" s="0" t="n">
        <f aca="false">H6*H7/100</f>
        <v>29.7097412877841</v>
      </c>
      <c r="I8" s="0" t="n">
        <f aca="false">I6*I7/100</f>
        <v>31.1605669873376</v>
      </c>
      <c r="J8" s="0" t="n">
        <f aca="false">J6*J7/100</f>
        <v>33.3217030848465</v>
      </c>
      <c r="K8" s="0" t="n">
        <f aca="false">K6*K7/100</f>
        <v>33.9881371465434</v>
      </c>
      <c r="L8" s="0" t="n">
        <f aca="false">L6*L7/100</f>
        <v>34.6678998894742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-4.68851976</v>
      </c>
      <c r="D10" s="0" t="n">
        <f aca="false">-D6*D9/100</f>
        <v>-4.6416345624</v>
      </c>
      <c r="E10" s="0" t="n">
        <f aca="false">-E6*E9/100</f>
        <v>-4.502385525528</v>
      </c>
      <c r="F10" s="0" t="n">
        <f aca="false">-F6*F9/100</f>
        <v>-4.41233781501744</v>
      </c>
      <c r="G10" s="0" t="n">
        <f aca="false">-G6*G9/100</f>
        <v>-4.41233781501744</v>
      </c>
      <c r="H10" s="0" t="n">
        <f aca="false">-H6*H9/100</f>
        <v>-4.45646119316762</v>
      </c>
      <c r="I10" s="0" t="n">
        <f aca="false">-I6*I9/100</f>
        <v>-4.52330811106513</v>
      </c>
      <c r="J10" s="0" t="n">
        <f aca="false">-J6*J9/100</f>
        <v>-4.61377427328643</v>
      </c>
      <c r="K10" s="0" t="n">
        <f aca="false">-K6*K9/100</f>
        <v>-4.70604975875216</v>
      </c>
      <c r="L10" s="0" t="n">
        <f aca="false">-L6*L9/100</f>
        <v>-4.8001707539272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25.26591204</v>
      </c>
      <c r="D11" s="0" t="n">
        <f aca="false">D8+D10+D24</f>
        <v>21.1452241176</v>
      </c>
      <c r="E11" s="0" t="n">
        <f aca="false">E8+E10+E24</f>
        <v>16.008481868544</v>
      </c>
      <c r="F11" s="0" t="n">
        <f aca="false">F8+F10+F24</f>
        <v>14.7077927167248</v>
      </c>
      <c r="G11" s="0" t="n">
        <f aca="false">G8+G10+G24</f>
        <v>14.7077927167248</v>
      </c>
      <c r="H11" s="0" t="n">
        <f aca="false">H8+H10+H24</f>
        <v>16.0927765308831</v>
      </c>
      <c r="I11" s="0" t="n">
        <f aca="false">I8+I10+I24</f>
        <v>17.5906426541422</v>
      </c>
      <c r="J11" s="0" t="n">
        <f aca="false">J8+J10+J24</f>
        <v>19.4803802649872</v>
      </c>
      <c r="K11" s="0" t="n">
        <f aca="false">K8+K10+K24</f>
        <v>19.8699878702869</v>
      </c>
      <c r="L11" s="0" t="n">
        <f aca="false">L8+L10+L24</f>
        <v>20.2673876276926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-8.33514624</v>
      </c>
      <c r="D12" s="4" t="n">
        <f aca="false">-D6*Assumptions!D17/100</f>
        <v>-7.9939261908</v>
      </c>
      <c r="E12" s="4" t="n">
        <f aca="false">-E6*Assumptions!E17/100</f>
        <v>-7.50397587588</v>
      </c>
      <c r="F12" s="4" t="n">
        <f aca="false">-F6*Assumptions!F17/100</f>
        <v>-7.10876647975032</v>
      </c>
      <c r="G12" s="4" t="n">
        <f aca="false">-G6*Assumptions!G17/100</f>
        <v>-6.86363660113824</v>
      </c>
      <c r="H12" s="4" t="n">
        <f aca="false">-H6*Assumptions!H17/100</f>
        <v>-6.68469178975142</v>
      </c>
      <c r="I12" s="4" t="n">
        <f aca="false">-I6*Assumptions!I17/100</f>
        <v>-6.53366727153852</v>
      </c>
      <c r="J12" s="4" t="n">
        <f aca="false">-J6*Assumptions!J17/100</f>
        <v>-6.66434061696929</v>
      </c>
      <c r="K12" s="4" t="n">
        <f aca="false">-K6*Assumptions!K17/100</f>
        <v>-6.79762742930868</v>
      </c>
      <c r="L12" s="4" t="n">
        <f aca="false">-L6*Assumptions!L17/100</f>
        <v>-6.93357997789485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16.9307658</v>
      </c>
      <c r="D13" s="0" t="n">
        <f aca="false">D11+D12</f>
        <v>13.1512979268</v>
      </c>
      <c r="E13" s="0" t="n">
        <f aca="false">E11+E12</f>
        <v>8.504505992664</v>
      </c>
      <c r="F13" s="0" t="n">
        <f aca="false">F11+F12</f>
        <v>7.59902623697448</v>
      </c>
      <c r="G13" s="0" t="n">
        <f aca="false">G11+G12</f>
        <v>7.84415611558656</v>
      </c>
      <c r="H13" s="0" t="n">
        <f aca="false">H11+H12</f>
        <v>9.40808474113163</v>
      </c>
      <c r="I13" s="0" t="n">
        <f aca="false">I11+I12</f>
        <v>11.0569753826037</v>
      </c>
      <c r="J13" s="0" t="n">
        <f aca="false">J11+J12</f>
        <v>12.8160396480179</v>
      </c>
      <c r="K13" s="0" t="n">
        <f aca="false">K11+K12</f>
        <v>13.0723604409782</v>
      </c>
      <c r="L13" s="0" t="n">
        <f aca="false">L11+L12</f>
        <v>13.3338076497978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22</v>
      </c>
      <c r="D14" s="4" t="n">
        <f aca="false">Assumptions!D19</f>
        <v>28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13.205997324</v>
      </c>
      <c r="D15" s="0" t="n">
        <f aca="false">D13-MAX(0,D13)*D14/100</f>
        <v>9.468934507296</v>
      </c>
      <c r="E15" s="0" t="n">
        <f aca="false">E13-MAX(0,E13)*E14/100</f>
        <v>5.9531541948648</v>
      </c>
      <c r="F15" s="0" t="n">
        <f aca="false">F13-MAX(0,F13)*F14/100</f>
        <v>5.31931836588214</v>
      </c>
      <c r="G15" s="0" t="n">
        <f aca="false">G13-MAX(0,G13)*G14/100</f>
        <v>5.49090928091059</v>
      </c>
      <c r="H15" s="0" t="n">
        <f aca="false">H13-MAX(0,H13)*H14/100</f>
        <v>6.58565931879214</v>
      </c>
      <c r="I15" s="0" t="n">
        <f aca="false">I13-MAX(0,I13)*I14/100</f>
        <v>7.73988276782256</v>
      </c>
      <c r="J15" s="0" t="n">
        <f aca="false">J13-MAX(0,J13)*J14/100</f>
        <v>8.97122775361251</v>
      </c>
      <c r="K15" s="0" t="n">
        <f aca="false">K13-MAX(0,K13)*K14/100</f>
        <v>9.15065230868476</v>
      </c>
      <c r="L15" s="0" t="n">
        <f aca="false">L13-MAX(0,L13)*L14/100</f>
        <v>9.33366535485845</v>
      </c>
    </row>
    <row r="16" customFormat="false" ht="15" hidden="false" customHeight="false" outlineLevel="0" collapsed="false">
      <c r="A16" s="0" t="s">
        <v>125</v>
      </c>
      <c r="C16" s="0" t="n">
        <f aca="false">-C12</f>
        <v>8.33514624</v>
      </c>
      <c r="D16" s="0" t="n">
        <f aca="false">-D12</f>
        <v>7.9939261908</v>
      </c>
      <c r="E16" s="0" t="n">
        <f aca="false">-E12</f>
        <v>7.50397587588</v>
      </c>
      <c r="F16" s="0" t="n">
        <f aca="false">-F12</f>
        <v>7.10876647975032</v>
      </c>
      <c r="G16" s="0" t="n">
        <f aca="false">-G12</f>
        <v>6.86363660113824</v>
      </c>
      <c r="H16" s="0" t="n">
        <f aca="false">-H12</f>
        <v>6.68469178975142</v>
      </c>
      <c r="I16" s="0" t="n">
        <f aca="false">-I12</f>
        <v>6.53366727153852</v>
      </c>
      <c r="J16" s="0" t="n">
        <f aca="false">-J12</f>
        <v>6.66434061696929</v>
      </c>
      <c r="K16" s="0" t="n">
        <f aca="false">-K12</f>
        <v>6.79762742930868</v>
      </c>
      <c r="L16" s="0" t="n">
        <f aca="false">-L12</f>
        <v>6.93357997789485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-4.16757312</v>
      </c>
      <c r="D17" s="4" t="n">
        <f aca="false">-D6*Assumptions!D18/100</f>
        <v>-4.6416345624</v>
      </c>
      <c r="E17" s="4" t="n">
        <f aca="false">-E6*Assumptions!E18/100</f>
        <v>-5.00265058392</v>
      </c>
      <c r="F17" s="4" t="n">
        <f aca="false">-F6*Assumptions!F18/100</f>
        <v>-4.9025975722416</v>
      </c>
      <c r="G17" s="4" t="n">
        <f aca="false">-G6*Assumptions!G18/100</f>
        <v>-4.9025975722416</v>
      </c>
      <c r="H17" s="4" t="n">
        <f aca="false">-H6*Assumptions!H18/100</f>
        <v>-5.44678590276042</v>
      </c>
      <c r="I17" s="4" t="n">
        <f aca="false">-I6*Assumptions!I18/100</f>
        <v>-5.52848769130182</v>
      </c>
      <c r="J17" s="4" t="n">
        <f aca="false">-J6*Assumptions!J18/100</f>
        <v>-5.63905744512786</v>
      </c>
      <c r="K17" s="4" t="n">
        <f aca="false">-K6*Assumptions!K18/100</f>
        <v>-5.75183859403042</v>
      </c>
      <c r="L17" s="4" t="n">
        <f aca="false">-L6*Assumptions!L18/100</f>
        <v>-5.86687536591103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0.306439199999999</v>
      </c>
      <c r="D18" s="4" t="n">
        <f aca="false">(D6-C6)*Assumptions!$B$23/100</f>
        <v>-0.156283992</v>
      </c>
      <c r="E18" s="4" t="n">
        <f aca="false">(E6-D6)*Assumptions!$B$23/100</f>
        <v>-0.46416345624</v>
      </c>
      <c r="F18" s="4" t="n">
        <f aca="false">(F6-E6)*Assumptions!$B$23/100</f>
        <v>-0.3001590350352</v>
      </c>
      <c r="G18" s="4" t="n">
        <f aca="false">(G6-F6)*Assumptions!$B$23/100</f>
        <v>0</v>
      </c>
      <c r="H18" s="4" t="n">
        <f aca="false">(H6-G6)*Assumptions!$B$23/100</f>
        <v>0.147077927167249</v>
      </c>
      <c r="I18" s="4" t="n">
        <f aca="false">(I6-H6)*Assumptions!$B$23/100</f>
        <v>0.222823059658379</v>
      </c>
      <c r="J18" s="4" t="n">
        <f aca="false">(J6-I6)*Assumptions!$B$23/100</f>
        <v>0.301553874071008</v>
      </c>
      <c r="K18" s="4" t="n">
        <f aca="false">(K6-J6)*Assumptions!$B$23/100</f>
        <v>0.307584951552429</v>
      </c>
      <c r="L18" s="4" t="n">
        <f aca="false">(L6-K6)*Assumptions!$B$23/100</f>
        <v>0.313736650583477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17.680009644</v>
      </c>
      <c r="D19" s="0" t="n">
        <f aca="false">D15+D16+D17+D18</f>
        <v>12.664942143696</v>
      </c>
      <c r="E19" s="0" t="n">
        <f aca="false">E15+E16+E17+E18</f>
        <v>7.9903160305848</v>
      </c>
      <c r="F19" s="0" t="n">
        <f aca="false">F15+F16+F17+F18</f>
        <v>7.22532823835566</v>
      </c>
      <c r="G19" s="0" t="n">
        <f aca="false">G15+G16+G17+G18</f>
        <v>7.45194830980723</v>
      </c>
      <c r="H19" s="0" t="n">
        <f aca="false">H15+H16+H17+H18</f>
        <v>7.97064313295039</v>
      </c>
      <c r="I19" s="0" t="n">
        <f aca="false">I15+I16+I17+I18</f>
        <v>8.96788540771763</v>
      </c>
      <c r="J19" s="0" t="n">
        <f aca="false">J15+J16+J17+J18</f>
        <v>10.2980647995249</v>
      </c>
      <c r="K19" s="0" t="n">
        <f aca="false">K15+K16+K17+K18</f>
        <v>10.5040260955154</v>
      </c>
      <c r="L19" s="0" t="n">
        <f aca="false">L15+L16+L17+L18</f>
        <v>10.7141066174258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15.9279366162162</v>
      </c>
      <c r="D21" s="0" t="n">
        <f aca="false">D19*D20</f>
        <v>10.2791511595617</v>
      </c>
      <c r="E21" s="0" t="n">
        <f aca="false">E19*E20</f>
        <v>5.84245021543443</v>
      </c>
      <c r="F21" s="0" t="n">
        <f aca="false">F19*F20</f>
        <v>4.7595475089694</v>
      </c>
      <c r="G21" s="0" t="n">
        <f aca="false">G19*G20</f>
        <v>4.42236862107883</v>
      </c>
      <c r="H21" s="0" t="n">
        <f aca="false">H19*H20</f>
        <v>4.26143130876598</v>
      </c>
      <c r="I21" s="0" t="n">
        <f aca="false">I19*I20</f>
        <v>4.31945743453209</v>
      </c>
      <c r="J21" s="0" t="n">
        <f aca="false">J19*J20</f>
        <v>4.46860317710784</v>
      </c>
      <c r="K21" s="0" t="n">
        <f aca="false">K19*K20</f>
        <v>4.10628400058558</v>
      </c>
      <c r="L21" s="0" t="n">
        <f aca="false">L19*L20</f>
        <v>3.77334205459215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1.75</v>
      </c>
      <c r="D23" s="4" t="n">
        <f aca="false">Assumptions!D16</f>
        <v>1.8</v>
      </c>
      <c r="E23" s="4" t="n">
        <f aca="false">Assumptions!E16</f>
        <v>1.9</v>
      </c>
      <c r="F23" s="4" t="n">
        <f aca="false">Assumptions!F16</f>
        <v>1.9</v>
      </c>
      <c r="G23" s="4" t="n">
        <f aca="false">Assumptions!G16</f>
        <v>1.9</v>
      </c>
      <c r="H23" s="4" t="n">
        <f aca="false">Assumptions!H16</f>
        <v>1.85</v>
      </c>
      <c r="I23" s="4" t="n">
        <f aca="false">Assumptions!I16</f>
        <v>1.8</v>
      </c>
      <c r="J23" s="4" t="n">
        <f aca="false">Assumptions!J16</f>
        <v>1.8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-9.1165662</v>
      </c>
      <c r="D24" s="0" t="n">
        <f aca="false">-D6*D23/100</f>
        <v>-9.2832691248</v>
      </c>
      <c r="E24" s="0" t="n">
        <f aca="false">-E6*E23/100</f>
        <v>-9.505036109448</v>
      </c>
      <c r="F24" s="0" t="n">
        <f aca="false">-F6*F23/100</f>
        <v>-9.31493538725904</v>
      </c>
      <c r="G24" s="0" t="n">
        <f aca="false">-G6*G23/100</f>
        <v>-9.31493538725904</v>
      </c>
      <c r="H24" s="0" t="n">
        <f aca="false">-H6*H23/100</f>
        <v>-9.16050356373343</v>
      </c>
      <c r="I24" s="0" t="n">
        <f aca="false">-I6*I23/100</f>
        <v>-9.04661622213026</v>
      </c>
      <c r="J24" s="0" t="n">
        <f aca="false">-J6*J23/100</f>
        <v>-9.22754854657286</v>
      </c>
      <c r="K24" s="0" t="n">
        <f aca="false">-K6*K23/100</f>
        <v>-9.41209951750432</v>
      </c>
      <c r="L24" s="0" t="n">
        <f aca="false">-L6*L23/100</f>
        <v>-9.60034150785441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62.1605720968443</v>
      </c>
    </row>
    <row r="31" customFormat="false" ht="15" hidden="false" customHeight="false" outlineLevel="0" collapsed="false">
      <c r="A31" s="0" t="s">
        <v>134</v>
      </c>
      <c r="B31" s="0" t="n">
        <f aca="false">L19</f>
        <v>10.7141066174258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114.47177070197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128.569279409109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114.47177070197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40.3151808990635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102.475752995908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131.306752995908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1.35759670177738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-0.591085330789947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26.9018947298078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18.0621454686873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1.82248545486355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80.5542090124973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1.06080455358876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510.732</v>
      </c>
      <c r="C6" s="0" t="n">
        <f aca="false">B6*(1+C5/100)</f>
        <v>546.48324</v>
      </c>
      <c r="D6" s="0" t="n">
        <f aca="false">C6*(1+D5/100)</f>
        <v>579.2722344</v>
      </c>
      <c r="E6" s="0" t="n">
        <f aca="false">D6*(1+E5/100)</f>
        <v>608.23584612</v>
      </c>
      <c r="F6" s="0" t="n">
        <f aca="false">E6*(1+F5/100)</f>
        <v>635.6064591954</v>
      </c>
      <c r="G6" s="0" t="n">
        <f aca="false">F6*(1+G5/100)</f>
        <v>661.030717563216</v>
      </c>
      <c r="H6" s="0" t="n">
        <f aca="false">G6*(1+H5/100)</f>
        <v>684.166792677929</v>
      </c>
      <c r="I6" s="0" t="n">
        <f aca="false">H6*(1+I5/100)</f>
        <v>704.691796458267</v>
      </c>
      <c r="J6" s="0" t="n">
        <f aca="false">I6*(1+J5/100)</f>
        <v>725.832550352015</v>
      </c>
      <c r="K6" s="0" t="n">
        <f aca="false">J6*(1+K5/100)</f>
        <v>743.978364110815</v>
      </c>
      <c r="L6" s="0" t="n">
        <f aca="false">K6*(1+L5/100)</f>
        <v>762.577823213585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8.6</v>
      </c>
      <c r="D7" s="4" t="n">
        <f aca="false">Assumptions!D28</f>
        <v>9</v>
      </c>
      <c r="E7" s="4" t="n">
        <f aca="false">Assumptions!E28</f>
        <v>9.4</v>
      </c>
      <c r="F7" s="4" t="n">
        <f aca="false">Assumptions!F28</f>
        <v>9.8</v>
      </c>
      <c r="G7" s="4" t="n">
        <f aca="false">Assumptions!G28</f>
        <v>10</v>
      </c>
      <c r="H7" s="4" t="n">
        <f aca="false">Assumptions!H28</f>
        <v>10.2</v>
      </c>
      <c r="I7" s="4" t="n">
        <f aca="false">Assumptions!I28</f>
        <v>10.4</v>
      </c>
      <c r="J7" s="4" t="n">
        <f aca="false">Assumptions!J28</f>
        <v>10.5</v>
      </c>
      <c r="K7" s="4" t="n">
        <f aca="false">Assumptions!K28</f>
        <v>10.5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46.99755864</v>
      </c>
      <c r="D8" s="0" t="n">
        <f aca="false">D6*D7/100</f>
        <v>52.134501096</v>
      </c>
      <c r="E8" s="0" t="n">
        <f aca="false">E6*E7/100</f>
        <v>57.17416953528</v>
      </c>
      <c r="F8" s="0" t="n">
        <f aca="false">F6*F7/100</f>
        <v>62.2894330011492</v>
      </c>
      <c r="G8" s="0" t="n">
        <f aca="false">G6*G7/100</f>
        <v>66.1030717563216</v>
      </c>
      <c r="H8" s="0" t="n">
        <f aca="false">H6*H7/100</f>
        <v>69.7850128531487</v>
      </c>
      <c r="I8" s="0" t="n">
        <f aca="false">I6*I7/100</f>
        <v>73.2879468316597</v>
      </c>
      <c r="J8" s="0" t="n">
        <f aca="false">J6*J7/100</f>
        <v>76.2124177869615</v>
      </c>
      <c r="K8" s="0" t="n">
        <f aca="false">K6*K7/100</f>
        <v>78.1177282316356</v>
      </c>
      <c r="L8" s="0" t="n">
        <f aca="false">L6*L7/100</f>
        <v>80.0706714374264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-4.64510754</v>
      </c>
      <c r="D10" s="0" t="n">
        <f aca="false">-D6*D9/100</f>
        <v>-4.9238139924</v>
      </c>
      <c r="E10" s="0" t="n">
        <f aca="false">-E6*E9/100</f>
        <v>-4.86588676896</v>
      </c>
      <c r="F10" s="0" t="n">
        <f aca="false">-F6*F9/100</f>
        <v>-5.0848516735632</v>
      </c>
      <c r="G10" s="0" t="n">
        <f aca="false">-G6*G9/100</f>
        <v>-4.95773038172412</v>
      </c>
      <c r="H10" s="0" t="n">
        <f aca="false">-H6*H9/100</f>
        <v>-5.13125094508446</v>
      </c>
      <c r="I10" s="0" t="n">
        <f aca="false">-I6*I9/100</f>
        <v>-4.93284257520787</v>
      </c>
      <c r="J10" s="0" t="n">
        <f aca="false">-J6*J9/100</f>
        <v>-5.0808278524641</v>
      </c>
      <c r="K10" s="0" t="n">
        <f aca="false">-K6*K9/100</f>
        <v>-5.2078485487757</v>
      </c>
      <c r="L10" s="0" t="n">
        <f aca="false">-L6*L9/100</f>
        <v>-5.3380447624951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33.06223602</v>
      </c>
      <c r="D11" s="0" t="n">
        <f aca="false">D8+D10+D24</f>
        <v>37.652695236</v>
      </c>
      <c r="E11" s="0" t="n">
        <f aca="false">E8+E10+E24</f>
        <v>42.5765092284</v>
      </c>
      <c r="F11" s="0" t="n">
        <f aca="false">F8+F10+F24</f>
        <v>47.0348779804596</v>
      </c>
      <c r="G11" s="0" t="n">
        <f aca="false">G8+G10+G24</f>
        <v>50.8993652523676</v>
      </c>
      <c r="H11" s="0" t="n">
        <f aca="false">H8+H10+H24</f>
        <v>54.0491766215564</v>
      </c>
      <c r="I11" s="0" t="n">
        <f aca="false">I8+I10+I24</f>
        <v>57.7847273095779</v>
      </c>
      <c r="J11" s="0" t="n">
        <f aca="false">J8+J10+J24</f>
        <v>60.2441016792172</v>
      </c>
      <c r="K11" s="0" t="n">
        <f aca="false">K8+K10+K24</f>
        <v>61.7502042211976</v>
      </c>
      <c r="L11" s="0" t="n">
        <f aca="false">L8+L10+L24</f>
        <v>63.2939593267276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-8.47049022</v>
      </c>
      <c r="D12" s="4" t="n">
        <f aca="false">-D6*Assumptions!D31/100</f>
        <v>-8.3994473988</v>
      </c>
      <c r="E12" s="4" t="n">
        <f aca="false">-E6*Assumptions!E31/100</f>
        <v>-8.21118392262</v>
      </c>
      <c r="F12" s="4" t="n">
        <f aca="false">-F6*Assumptions!F31/100</f>
        <v>-8.2628839695402</v>
      </c>
      <c r="G12" s="4" t="n">
        <f aca="false">-G6*Assumptions!G31/100</f>
        <v>-8.2628839695402</v>
      </c>
      <c r="H12" s="4" t="n">
        <f aca="false">-H6*Assumptions!H31/100</f>
        <v>-8.21000151213514</v>
      </c>
      <c r="I12" s="4" t="n">
        <f aca="false">-I6*Assumptions!I31/100</f>
        <v>-8.4563015574992</v>
      </c>
      <c r="J12" s="4" t="n">
        <f aca="false">-J6*Assumptions!J31/100</f>
        <v>-8.70999060422417</v>
      </c>
      <c r="K12" s="4" t="n">
        <f aca="false">-K6*Assumptions!K31/100</f>
        <v>-8.92774036932978</v>
      </c>
      <c r="L12" s="4" t="n">
        <f aca="false">-L6*Assumptions!L31/100</f>
        <v>-9.15093387856302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24.5917458</v>
      </c>
      <c r="D13" s="0" t="n">
        <f aca="false">D11+D12</f>
        <v>29.2532478372</v>
      </c>
      <c r="E13" s="0" t="n">
        <f aca="false">E11+E12</f>
        <v>34.36532530578</v>
      </c>
      <c r="F13" s="0" t="n">
        <f aca="false">F11+F12</f>
        <v>38.7719940109194</v>
      </c>
      <c r="G13" s="0" t="n">
        <f aca="false">G11+G12</f>
        <v>42.6364812828275</v>
      </c>
      <c r="H13" s="0" t="n">
        <f aca="false">H11+H12</f>
        <v>45.8391751094212</v>
      </c>
      <c r="I13" s="0" t="n">
        <f aca="false">I11+I12</f>
        <v>49.3284257520787</v>
      </c>
      <c r="J13" s="0" t="n">
        <f aca="false">J11+J12</f>
        <v>51.534111074993</v>
      </c>
      <c r="K13" s="0" t="n">
        <f aca="false">K11+K12</f>
        <v>52.8224638518679</v>
      </c>
      <c r="L13" s="0" t="n">
        <f aca="false">L11+L12</f>
        <v>54.1430254481645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22</v>
      </c>
      <c r="D14" s="4" t="n">
        <f aca="false">Assumptions!D33</f>
        <v>26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19.181561724</v>
      </c>
      <c r="D15" s="0" t="n">
        <f aca="false">D13-MAX(0,D13)*D14/100</f>
        <v>21.647403399528</v>
      </c>
      <c r="E15" s="0" t="n">
        <f aca="false">E13-MAX(0,E13)*E14/100</f>
        <v>24.055727714046</v>
      </c>
      <c r="F15" s="0" t="n">
        <f aca="false">F13-MAX(0,F13)*F14/100</f>
        <v>27.1403958076436</v>
      </c>
      <c r="G15" s="0" t="n">
        <f aca="false">G13-MAX(0,G13)*G14/100</f>
        <v>29.8455368979792</v>
      </c>
      <c r="H15" s="0" t="n">
        <f aca="false">H13-MAX(0,H13)*H14/100</f>
        <v>32.0874225765949</v>
      </c>
      <c r="I15" s="0" t="n">
        <f aca="false">I13-MAX(0,I13)*I14/100</f>
        <v>34.5298980264551</v>
      </c>
      <c r="J15" s="0" t="n">
        <f aca="false">J13-MAX(0,J13)*J14/100</f>
        <v>36.0738777524951</v>
      </c>
      <c r="K15" s="0" t="n">
        <f aca="false">K13-MAX(0,K13)*K14/100</f>
        <v>36.9757246963075</v>
      </c>
      <c r="L15" s="0" t="n">
        <f aca="false">L13-MAX(0,L13)*L14/100</f>
        <v>37.9001178137152</v>
      </c>
    </row>
    <row r="16" customFormat="false" ht="15" hidden="false" customHeight="false" outlineLevel="0" collapsed="false">
      <c r="A16" s="0" t="s">
        <v>125</v>
      </c>
      <c r="C16" s="0" t="n">
        <f aca="false">-C12</f>
        <v>8.47049022</v>
      </c>
      <c r="D16" s="0" t="n">
        <f aca="false">-D12</f>
        <v>8.3994473988</v>
      </c>
      <c r="E16" s="0" t="n">
        <f aca="false">-E12</f>
        <v>8.21118392262</v>
      </c>
      <c r="F16" s="0" t="n">
        <f aca="false">-F12</f>
        <v>8.2628839695402</v>
      </c>
      <c r="G16" s="0" t="n">
        <f aca="false">-G12</f>
        <v>8.2628839695402</v>
      </c>
      <c r="H16" s="0" t="n">
        <f aca="false">-H12</f>
        <v>8.21000151213514</v>
      </c>
      <c r="I16" s="0" t="n">
        <f aca="false">-I12</f>
        <v>8.4563015574992</v>
      </c>
      <c r="J16" s="0" t="n">
        <f aca="false">-J12</f>
        <v>8.70999060422417</v>
      </c>
      <c r="K16" s="0" t="n">
        <f aca="false">-K12</f>
        <v>8.92774036932978</v>
      </c>
      <c r="L16" s="0" t="n">
        <f aca="false">-L12</f>
        <v>9.15093387856302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-4.37186592</v>
      </c>
      <c r="D17" s="4" t="n">
        <f aca="false">-D6*Assumptions!D32/100</f>
        <v>-5.2134501096</v>
      </c>
      <c r="E17" s="4" t="n">
        <f aca="false">-E6*Assumptions!E32/100</f>
        <v>-6.0823584612</v>
      </c>
      <c r="F17" s="4" t="n">
        <f aca="false">-F6*Assumptions!F32/100</f>
        <v>-6.9916710511494</v>
      </c>
      <c r="G17" s="4" t="n">
        <f aca="false">-G6*Assumptions!G32/100</f>
        <v>-7.93236861075859</v>
      </c>
      <c r="H17" s="4" t="n">
        <f aca="false">-H6*Assumptions!H32/100</f>
        <v>-8.21000151213514</v>
      </c>
      <c r="I17" s="4" t="n">
        <f aca="false">-I6*Assumptions!I32/100</f>
        <v>-8.4563015574992</v>
      </c>
      <c r="J17" s="4" t="n">
        <f aca="false">-J6*Assumptions!J32/100</f>
        <v>-8.70999060422417</v>
      </c>
      <c r="K17" s="4" t="n">
        <f aca="false">-K6*Assumptions!K32/100</f>
        <v>-8.92774036932978</v>
      </c>
      <c r="L17" s="4" t="n">
        <f aca="false">-L6*Assumptions!L32/100</f>
        <v>-9.15093387856302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1.787562</v>
      </c>
      <c r="D18" s="4" t="n">
        <f aca="false">(D6-C6)*Assumptions!$B$37/100</f>
        <v>1.63944972</v>
      </c>
      <c r="E18" s="4" t="n">
        <f aca="false">(E6-D6)*Assumptions!$B$37/100</f>
        <v>1.448180586</v>
      </c>
      <c r="F18" s="4" t="n">
        <f aca="false">(F6-E6)*Assumptions!$B$37/100</f>
        <v>1.36853065377</v>
      </c>
      <c r="G18" s="4" t="n">
        <f aca="false">(G6-F6)*Assumptions!$B$37/100</f>
        <v>1.2712129183908</v>
      </c>
      <c r="H18" s="4" t="n">
        <f aca="false">(H6-G6)*Assumptions!$B$37/100</f>
        <v>1.15680375573563</v>
      </c>
      <c r="I18" s="4" t="n">
        <f aca="false">(I6-H6)*Assumptions!$B$37/100</f>
        <v>1.0262501890169</v>
      </c>
      <c r="J18" s="4" t="n">
        <f aca="false">(J6-I6)*Assumptions!$B$37/100</f>
        <v>1.0570376946874</v>
      </c>
      <c r="K18" s="4" t="n">
        <f aca="false">(K6-J6)*Assumptions!$B$37/100</f>
        <v>0.907290687940014</v>
      </c>
      <c r="L18" s="4" t="n">
        <f aca="false">(L6-K6)*Assumptions!$B$37/100</f>
        <v>0.929972955138516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25.067748024</v>
      </c>
      <c r="D19" s="0" t="n">
        <f aca="false">D15+D16+D17+D18</f>
        <v>26.472850408728</v>
      </c>
      <c r="E19" s="0" t="n">
        <f aca="false">E15+E16+E17+E18</f>
        <v>27.632733761466</v>
      </c>
      <c r="F19" s="0" t="n">
        <f aca="false">F15+F16+F17+F18</f>
        <v>29.7801393798044</v>
      </c>
      <c r="G19" s="0" t="n">
        <f aca="false">G15+G16+G17+G18</f>
        <v>31.4472651751516</v>
      </c>
      <c r="H19" s="0" t="n">
        <f aca="false">H15+H16+H17+H18</f>
        <v>33.2442263323305</v>
      </c>
      <c r="I19" s="0" t="n">
        <f aca="false">I15+I16+I17+I18</f>
        <v>35.556148215472</v>
      </c>
      <c r="J19" s="0" t="n">
        <f aca="false">J15+J16+J17+J18</f>
        <v>37.1309154471825</v>
      </c>
      <c r="K19" s="0" t="n">
        <f aca="false">K15+K16+K17+K18</f>
        <v>37.8830153842475</v>
      </c>
      <c r="L19" s="0" t="n">
        <f aca="false">L15+L16+L17+L18</f>
        <v>38.8300907688537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22.5835567783784</v>
      </c>
      <c r="D21" s="0" t="n">
        <f aca="false">D19*D20</f>
        <v>21.4859592636377</v>
      </c>
      <c r="E21" s="0" t="n">
        <f aca="false">E19*E20</f>
        <v>20.2048167681677</v>
      </c>
      <c r="F21" s="0" t="n">
        <f aca="false">F19*F20</f>
        <v>19.6171002238324</v>
      </c>
      <c r="G21" s="0" t="n">
        <f aca="false">G19*G20</f>
        <v>18.6624212820034</v>
      </c>
      <c r="H21" s="0" t="n">
        <f aca="false">H19*H20</f>
        <v>17.7737209614422</v>
      </c>
      <c r="I21" s="0" t="n">
        <f aca="false">I19*I20</f>
        <v>17.1259178468621</v>
      </c>
      <c r="J21" s="0" t="n">
        <f aca="false">J19*J20</f>
        <v>16.112088044334</v>
      </c>
      <c r="K21" s="0" t="n">
        <f aca="false">K19*K20</f>
        <v>14.809409130532</v>
      </c>
      <c r="L21" s="0" t="n">
        <f aca="false">L19*L20</f>
        <v>13.675355278194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1.7</v>
      </c>
      <c r="D23" s="4" t="n">
        <f aca="false">Assumptions!D30</f>
        <v>1.65</v>
      </c>
      <c r="E23" s="4" t="n">
        <f aca="false">Assumptions!E30</f>
        <v>1.6</v>
      </c>
      <c r="F23" s="4" t="n">
        <f aca="false">Assumptions!F30</f>
        <v>1.6</v>
      </c>
      <c r="G23" s="4" t="n">
        <f aca="false">Assumptions!G30</f>
        <v>1.55</v>
      </c>
      <c r="H23" s="4" t="n">
        <f aca="false">Assumptions!H30</f>
        <v>1.55</v>
      </c>
      <c r="I23" s="4" t="n">
        <f aca="false">Assumptions!I30</f>
        <v>1.5</v>
      </c>
      <c r="J23" s="4" t="n">
        <f aca="false">Assumptions!J30</f>
        <v>1.5</v>
      </c>
      <c r="K23" s="4" t="n">
        <f aca="false">Assumptions!K30</f>
        <v>1.5</v>
      </c>
      <c r="L23" s="4" t="n">
        <f aca="false">Assumptions!L30</f>
        <v>1.5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-9.29021508</v>
      </c>
      <c r="D24" s="0" t="n">
        <f aca="false">-D6*D23/100</f>
        <v>-9.5579918676</v>
      </c>
      <c r="E24" s="0" t="n">
        <f aca="false">-E6*E23/100</f>
        <v>-9.73177353792</v>
      </c>
      <c r="F24" s="0" t="n">
        <f aca="false">-F6*F23/100</f>
        <v>-10.1697033471264</v>
      </c>
      <c r="G24" s="0" t="n">
        <f aca="false">-G6*G23/100</f>
        <v>-10.2459761222299</v>
      </c>
      <c r="H24" s="0" t="n">
        <f aca="false">-H6*H23/100</f>
        <v>-10.6045852865079</v>
      </c>
      <c r="I24" s="0" t="n">
        <f aca="false">-I6*I23/100</f>
        <v>-10.570376946874</v>
      </c>
      <c r="J24" s="0" t="n">
        <f aca="false">-J6*J23/100</f>
        <v>-10.8874882552802</v>
      </c>
      <c r="K24" s="0" t="n">
        <f aca="false">-K6*K23/100</f>
        <v>-11.1596754616622</v>
      </c>
      <c r="L24" s="0" t="n">
        <f aca="false">-L6*L23/100</f>
        <v>-11.4386673482038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182.050345577384</v>
      </c>
    </row>
    <row r="31" customFormat="false" ht="15" hidden="false" customHeight="false" outlineLevel="0" collapsed="false">
      <c r="A31" s="0" t="s">
        <v>134</v>
      </c>
      <c r="B31" s="0" t="n">
        <f aca="false">L19</f>
        <v>38.8300907688537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468.245212212647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543.621270763952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468.245212212647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164.908696001751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346.959041579135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375.790041579135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3.88533955313415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0.170282997931972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29.2705556599701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22.6703050019172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4.42236251283108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318.4067443046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2.69258335432763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510.732</v>
      </c>
      <c r="C6" s="0" t="n">
        <f aca="false">B6*(1+C5/100)</f>
        <v>561.8052</v>
      </c>
      <c r="D6" s="0" t="n">
        <f aca="false">C6*(1+D5/100)</f>
        <v>612.367668</v>
      </c>
      <c r="E6" s="0" t="n">
        <f aca="false">D6*(1+E5/100)</f>
        <v>661.35708144</v>
      </c>
      <c r="F6" s="0" t="n">
        <f aca="false">E6*(1+F5/100)</f>
        <v>707.6520771408</v>
      </c>
      <c r="G6" s="0" t="n">
        <f aca="false">F6*(1+G5/100)</f>
        <v>750.111201769248</v>
      </c>
      <c r="H6" s="0" t="n">
        <f aca="false">G6*(1+H5/100)</f>
        <v>787.616761857711</v>
      </c>
      <c r="I6" s="0" t="n">
        <f aca="false">H6*(1+I5/100)</f>
        <v>823.059516141308</v>
      </c>
      <c r="J6" s="0" t="n">
        <f aca="false">I6*(1+J5/100)</f>
        <v>855.98189678696</v>
      </c>
      <c r="K6" s="0" t="n">
        <f aca="false">J6*(1+K5/100)</f>
        <v>885.941263174504</v>
      </c>
      <c r="L6" s="0" t="n">
        <f aca="false">K6*(1+L5/100)</f>
        <v>912.519501069739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9</v>
      </c>
      <c r="D7" s="4" t="n">
        <f aca="false">Assumptions!D42</f>
        <v>9.8</v>
      </c>
      <c r="E7" s="4" t="n">
        <f aca="false">Assumptions!E42</f>
        <v>10.6</v>
      </c>
      <c r="F7" s="4" t="n">
        <f aca="false">Assumptions!F42</f>
        <v>11.4</v>
      </c>
      <c r="G7" s="4" t="n">
        <f aca="false">Assumptions!G42</f>
        <v>12</v>
      </c>
      <c r="H7" s="4" t="n">
        <f aca="false">Assumptions!H42</f>
        <v>12.4</v>
      </c>
      <c r="I7" s="4" t="n">
        <f aca="false">Assumptions!I42</f>
        <v>12.8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50.562468</v>
      </c>
      <c r="D8" s="0" t="n">
        <f aca="false">D6*D7/100</f>
        <v>60.012031464</v>
      </c>
      <c r="E8" s="0" t="n">
        <f aca="false">E6*E7/100</f>
        <v>70.10385063264</v>
      </c>
      <c r="F8" s="0" t="n">
        <f aca="false">F6*F7/100</f>
        <v>80.6723367940512</v>
      </c>
      <c r="G8" s="0" t="n">
        <f aca="false">G6*G7/100</f>
        <v>90.0133442123098</v>
      </c>
      <c r="H8" s="0" t="n">
        <f aca="false">H6*H7/100</f>
        <v>97.6644784703561</v>
      </c>
      <c r="I8" s="0" t="n">
        <f aca="false">I6*I7/100</f>
        <v>105.351618066087</v>
      </c>
      <c r="J8" s="0" t="n">
        <f aca="false">J6*J7/100</f>
        <v>111.277646582305</v>
      </c>
      <c r="K8" s="0" t="n">
        <f aca="false">K6*K7/100</f>
        <v>115.172364212685</v>
      </c>
      <c r="L8" s="0" t="n">
        <f aca="false">L6*L7/100</f>
        <v>118.627535139066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-4.7753442</v>
      </c>
      <c r="D10" s="0" t="n">
        <f aca="false">-D6*D9/100</f>
        <v>-5.205125178</v>
      </c>
      <c r="E10" s="0" t="n">
        <f aca="false">-E6*E9/100</f>
        <v>-5.29085665152</v>
      </c>
      <c r="F10" s="0" t="n">
        <f aca="false">-F6*F9/100</f>
        <v>-5.6612166171264</v>
      </c>
      <c r="G10" s="0" t="n">
        <f aca="false">-G6*G9/100</f>
        <v>-5.62583401326936</v>
      </c>
      <c r="H10" s="0" t="n">
        <f aca="false">-H6*H9/100</f>
        <v>-5.90712571393283</v>
      </c>
      <c r="I10" s="0" t="n">
        <f aca="false">-I6*I9/100</f>
        <v>-5.76141661298915</v>
      </c>
      <c r="J10" s="0" t="n">
        <f aca="false">-J6*J9/100</f>
        <v>-5.99187327750872</v>
      </c>
      <c r="K10" s="0" t="n">
        <f aca="false">-K6*K9/100</f>
        <v>-6.20158884222153</v>
      </c>
      <c r="L10" s="0" t="n">
        <f aca="false">-L6*L9/100</f>
        <v>-6.38763650748817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36.517338</v>
      </c>
      <c r="D11" s="0" t="n">
        <f aca="false">D8+D10+D24</f>
        <v>45.315207432</v>
      </c>
      <c r="E11" s="0" t="n">
        <f aca="false">E8+E10+E24</f>
        <v>54.89263775952</v>
      </c>
      <c r="F11" s="0" t="n">
        <f aca="false">F8+F10+F24</f>
        <v>64.7501650583832</v>
      </c>
      <c r="G11" s="0" t="n">
        <f aca="false">G8+G10+G24</f>
        <v>73.885953374271</v>
      </c>
      <c r="H11" s="0" t="n">
        <f aca="false">H8+H10+H24</f>
        <v>81.1245264713442</v>
      </c>
      <c r="I11" s="0" t="n">
        <f aca="false">I8+I10+I24</f>
        <v>88.8904277432612</v>
      </c>
      <c r="J11" s="0" t="n">
        <f aca="false">J8+J10+J24</f>
        <v>94.1580086465656</v>
      </c>
      <c r="K11" s="0" t="n">
        <f aca="false">K8+K10+K24</f>
        <v>97.4535389491954</v>
      </c>
      <c r="L11" s="0" t="n">
        <f aca="false">L8+L10+L24</f>
        <v>100.377145117671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-8.7079806</v>
      </c>
      <c r="D12" s="4" t="n">
        <f aca="false">-D6*Assumptions!D45/100</f>
        <v>-8.879331186</v>
      </c>
      <c r="E12" s="4" t="n">
        <f aca="false">-E6*Assumptions!E45/100</f>
        <v>-8.92832059944</v>
      </c>
      <c r="F12" s="4" t="n">
        <f aca="false">-F6*Assumptions!F45/100</f>
        <v>-9.1994770028304</v>
      </c>
      <c r="G12" s="4" t="n">
        <f aca="false">-G6*Assumptions!G45/100</f>
        <v>-9.37639002211561</v>
      </c>
      <c r="H12" s="4" t="n">
        <f aca="false">-H6*Assumptions!H45/100</f>
        <v>-9.45140114229253</v>
      </c>
      <c r="I12" s="4" t="n">
        <f aca="false">-I6*Assumptions!I45/100</f>
        <v>-9.87671419369569</v>
      </c>
      <c r="J12" s="4" t="n">
        <f aca="false">-J6*Assumptions!J45/100</f>
        <v>-10.2717827614435</v>
      </c>
      <c r="K12" s="4" t="n">
        <f aca="false">-K6*Assumptions!K45/100</f>
        <v>-10.631295158094</v>
      </c>
      <c r="L12" s="4" t="n">
        <f aca="false">-L6*Assumptions!L45/100</f>
        <v>-10.9502340128369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27.8093574</v>
      </c>
      <c r="D13" s="0" t="n">
        <f aca="false">D11+D12</f>
        <v>36.435876246</v>
      </c>
      <c r="E13" s="0" t="n">
        <f aca="false">E11+E12</f>
        <v>45.96431716008</v>
      </c>
      <c r="F13" s="0" t="n">
        <f aca="false">F11+F12</f>
        <v>55.5506880555528</v>
      </c>
      <c r="G13" s="0" t="n">
        <f aca="false">G11+G12</f>
        <v>64.5095633521554</v>
      </c>
      <c r="H13" s="0" t="n">
        <f aca="false">H11+H12</f>
        <v>71.6731253290517</v>
      </c>
      <c r="I13" s="0" t="n">
        <f aca="false">I11+I12</f>
        <v>79.0137135495656</v>
      </c>
      <c r="J13" s="0" t="n">
        <f aca="false">J11+J12</f>
        <v>83.8862258851221</v>
      </c>
      <c r="K13" s="0" t="n">
        <f aca="false">K11+K12</f>
        <v>86.8222437911014</v>
      </c>
      <c r="L13" s="0" t="n">
        <f aca="false">L11+L12</f>
        <v>89.4269111048344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22</v>
      </c>
      <c r="D14" s="4" t="n">
        <f aca="false">Assumptions!D47</f>
        <v>26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21.691298772</v>
      </c>
      <c r="D15" s="0" t="n">
        <f aca="false">D13-MAX(0,D13)*D14/100</f>
        <v>26.96254842204</v>
      </c>
      <c r="E15" s="0" t="n">
        <f aca="false">E13-MAX(0,E13)*E14/100</f>
        <v>32.175022012056</v>
      </c>
      <c r="F15" s="0" t="n">
        <f aca="false">F13-MAX(0,F13)*F14/100</f>
        <v>38.885481638887</v>
      </c>
      <c r="G15" s="0" t="n">
        <f aca="false">G13-MAX(0,G13)*G14/100</f>
        <v>45.1566943465087</v>
      </c>
      <c r="H15" s="0" t="n">
        <f aca="false">H13-MAX(0,H13)*H14/100</f>
        <v>50.1711877303362</v>
      </c>
      <c r="I15" s="0" t="n">
        <f aca="false">I13-MAX(0,I13)*I14/100</f>
        <v>55.3095994846959</v>
      </c>
      <c r="J15" s="0" t="n">
        <f aca="false">J13-MAX(0,J13)*J14/100</f>
        <v>58.7203581195855</v>
      </c>
      <c r="K15" s="0" t="n">
        <f aca="false">K13-MAX(0,K13)*K14/100</f>
        <v>60.775570653771</v>
      </c>
      <c r="L15" s="0" t="n">
        <f aca="false">L13-MAX(0,L13)*L14/100</f>
        <v>62.5988377733841</v>
      </c>
    </row>
    <row r="16" customFormat="false" ht="15" hidden="false" customHeight="false" outlineLevel="0" collapsed="false">
      <c r="A16" s="0" t="s">
        <v>125</v>
      </c>
      <c r="C16" s="0" t="n">
        <f aca="false">-C12</f>
        <v>8.7079806</v>
      </c>
      <c r="D16" s="0" t="n">
        <f aca="false">-D12</f>
        <v>8.879331186</v>
      </c>
      <c r="E16" s="0" t="n">
        <f aca="false">-E12</f>
        <v>8.92832059944</v>
      </c>
      <c r="F16" s="0" t="n">
        <f aca="false">-F12</f>
        <v>9.1994770028304</v>
      </c>
      <c r="G16" s="0" t="n">
        <f aca="false">-G12</f>
        <v>9.37639002211561</v>
      </c>
      <c r="H16" s="0" t="n">
        <f aca="false">-H12</f>
        <v>9.45140114229253</v>
      </c>
      <c r="I16" s="0" t="n">
        <f aca="false">-I12</f>
        <v>9.87671419369569</v>
      </c>
      <c r="J16" s="0" t="n">
        <f aca="false">-J12</f>
        <v>10.2717827614435</v>
      </c>
      <c r="K16" s="0" t="n">
        <f aca="false">-K12</f>
        <v>10.631295158094</v>
      </c>
      <c r="L16" s="0" t="n">
        <f aca="false">-L12</f>
        <v>10.9502340128369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-4.4944416</v>
      </c>
      <c r="D17" s="4" t="n">
        <f aca="false">-D6*Assumptions!D46/100</f>
        <v>-5.511309012</v>
      </c>
      <c r="E17" s="4" t="n">
        <f aca="false">-E6*Assumptions!E46/100</f>
        <v>-6.6135708144</v>
      </c>
      <c r="F17" s="4" t="n">
        <f aca="false">-F6*Assumptions!F46/100</f>
        <v>-7.7841728485488</v>
      </c>
      <c r="G17" s="4" t="n">
        <f aca="false">-G6*Assumptions!G46/100</f>
        <v>-9.00133442123098</v>
      </c>
      <c r="H17" s="4" t="n">
        <f aca="false">-H6*Assumptions!H46/100</f>
        <v>-9.45140114229253</v>
      </c>
      <c r="I17" s="4" t="n">
        <f aca="false">-I6*Assumptions!I46/100</f>
        <v>-9.87671419369569</v>
      </c>
      <c r="J17" s="4" t="n">
        <f aca="false">-J6*Assumptions!J46/100</f>
        <v>-10.2717827614435</v>
      </c>
      <c r="K17" s="4" t="n">
        <f aca="false">-K6*Assumptions!K46/100</f>
        <v>-10.631295158094</v>
      </c>
      <c r="L17" s="4" t="n">
        <f aca="false">-L6*Assumptions!L46/100</f>
        <v>-10.9502340128369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3.06439200000001</v>
      </c>
      <c r="D18" s="4" t="n">
        <f aca="false">(D6-C6)*Assumptions!$B$51/100</f>
        <v>3.03374808000001</v>
      </c>
      <c r="E18" s="4" t="n">
        <f aca="false">(E6-D6)*Assumptions!$B$51/100</f>
        <v>2.9393648064</v>
      </c>
      <c r="F18" s="4" t="n">
        <f aca="false">(F6-E6)*Assumptions!$B$51/100</f>
        <v>2.77769974204801</v>
      </c>
      <c r="G18" s="4" t="n">
        <f aca="false">(G6-F6)*Assumptions!$B$51/100</f>
        <v>2.54754747770689</v>
      </c>
      <c r="H18" s="4" t="n">
        <f aca="false">(H6-G6)*Assumptions!$B$51/100</f>
        <v>2.25033360530774</v>
      </c>
      <c r="I18" s="4" t="n">
        <f aca="false">(I6-H6)*Assumptions!$B$51/100</f>
        <v>2.12656525701582</v>
      </c>
      <c r="J18" s="4" t="n">
        <f aca="false">(J6-I6)*Assumptions!$B$51/100</f>
        <v>1.97534283873914</v>
      </c>
      <c r="K18" s="4" t="n">
        <f aca="false">(K6-J6)*Assumptions!$B$51/100</f>
        <v>1.79756198325261</v>
      </c>
      <c r="L18" s="4" t="n">
        <f aca="false">(L6-K6)*Assumptions!$B$51/100</f>
        <v>1.59469427371411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28.969229772</v>
      </c>
      <c r="D19" s="0" t="n">
        <f aca="false">D15+D16+D17+D18</f>
        <v>33.36431867604</v>
      </c>
      <c r="E19" s="0" t="n">
        <f aca="false">E15+E16+E17+E18</f>
        <v>37.429136603496</v>
      </c>
      <c r="F19" s="0" t="n">
        <f aca="false">F15+F16+F17+F18</f>
        <v>43.0784855352166</v>
      </c>
      <c r="G19" s="0" t="n">
        <f aca="false">G15+G16+G17+G18</f>
        <v>48.0792974251003</v>
      </c>
      <c r="H19" s="0" t="n">
        <f aca="false">H15+H16+H17+H18</f>
        <v>52.4215213356439</v>
      </c>
      <c r="I19" s="0" t="n">
        <f aca="false">I15+I16+I17+I18</f>
        <v>57.4361647417117</v>
      </c>
      <c r="J19" s="0" t="n">
        <f aca="false">J15+J16+J17+J18</f>
        <v>60.6957009583246</v>
      </c>
      <c r="K19" s="0" t="n">
        <f aca="false">K15+K16+K17+K18</f>
        <v>62.5731326370236</v>
      </c>
      <c r="L19" s="0" t="n">
        <f aca="false">L15+L16+L17+L18</f>
        <v>64.1935320470982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26.0984052</v>
      </c>
      <c r="D21" s="0" t="n">
        <f aca="false">D19*D20</f>
        <v>27.0792295073777</v>
      </c>
      <c r="E21" s="0" t="n">
        <f aca="false">E19*E20</f>
        <v>27.3678620940122</v>
      </c>
      <c r="F21" s="0" t="n">
        <f aca="false">F19*F20</f>
        <v>28.3771327413045</v>
      </c>
      <c r="G21" s="0" t="n">
        <f aca="false">G19*G20</f>
        <v>28.5327229090482</v>
      </c>
      <c r="H21" s="0" t="n">
        <f aca="false">H19*H20</f>
        <v>28.0266859959351</v>
      </c>
      <c r="I21" s="0" t="n">
        <f aca="false">I19*I20</f>
        <v>27.6646118371552</v>
      </c>
      <c r="J21" s="0" t="n">
        <f aca="false">J19*J20</f>
        <v>26.3374728571982</v>
      </c>
      <c r="K21" s="0" t="n">
        <f aca="false">K19*K20</f>
        <v>24.4613875743919</v>
      </c>
      <c r="L21" s="0" t="n">
        <f aca="false">L19*L20</f>
        <v>22.6079656246993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1.65</v>
      </c>
      <c r="D23" s="4" t="n">
        <f aca="false">Assumptions!D44</f>
        <v>1.55</v>
      </c>
      <c r="E23" s="4" t="n">
        <f aca="false">Assumptions!E44</f>
        <v>1.5</v>
      </c>
      <c r="F23" s="4" t="n">
        <f aca="false">Assumptions!F44</f>
        <v>1.45</v>
      </c>
      <c r="G23" s="4" t="n">
        <f aca="false">Assumptions!G44</f>
        <v>1.4</v>
      </c>
      <c r="H23" s="4" t="n">
        <f aca="false">Assumptions!H44</f>
        <v>1.35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-9.2697858</v>
      </c>
      <c r="D24" s="0" t="n">
        <f aca="false">-D6*D23/100</f>
        <v>-9.491698854</v>
      </c>
      <c r="E24" s="0" t="n">
        <f aca="false">-E6*E23/100</f>
        <v>-9.9203562216</v>
      </c>
      <c r="F24" s="0" t="n">
        <f aca="false">-F6*F23/100</f>
        <v>-10.2609551185416</v>
      </c>
      <c r="G24" s="0" t="n">
        <f aca="false">-G6*G23/100</f>
        <v>-10.5015568247695</v>
      </c>
      <c r="H24" s="0" t="n">
        <f aca="false">-H6*H23/100</f>
        <v>-10.6328262850791</v>
      </c>
      <c r="I24" s="0" t="n">
        <f aca="false">-I6*I23/100</f>
        <v>-10.699773709837</v>
      </c>
      <c r="J24" s="0" t="n">
        <f aca="false">-J6*J23/100</f>
        <v>-11.1277646582305</v>
      </c>
      <c r="K24" s="0" t="n">
        <f aca="false">-K6*K23/100</f>
        <v>-11.5172364212686</v>
      </c>
      <c r="L24" s="0" t="n">
        <f aca="false">-L6*L23/100</f>
        <v>-11.8627535139066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266.553476341122</v>
      </c>
    </row>
    <row r="31" customFormat="false" ht="15" hidden="false" customHeight="false" outlineLevel="0" collapsed="false">
      <c r="A31" s="0" t="s">
        <v>134</v>
      </c>
      <c r="B31" s="0" t="n">
        <f aca="false">L19</f>
        <v>64.1935320470982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826.491725106389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898.709448659374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826.491725106389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291.077557418004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557.631033759126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586.462033759126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6.06350324399427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0.826356398793456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32.6704535542883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28.9639403376274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6.70074883841027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550.994483404259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3.9944554650219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1.35759670177738</v>
      </c>
      <c r="C4" s="0" t="n">
        <f aca="false">B4/Assumptions!$B$2-1</f>
        <v>-0.591085330789947</v>
      </c>
      <c r="D4" s="4" t="n">
        <f aca="false">Assumptions!$B$24</f>
        <v>0.3</v>
      </c>
      <c r="E4" s="4" t="n">
        <f aca="false">DCF_Bear!$B$43</f>
        <v>1.82248545486355</v>
      </c>
      <c r="F4" s="4" t="n">
        <f aca="false">DCF_Bear!$B$47</f>
        <v>1.06080455358876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3.88533955313415</v>
      </c>
      <c r="C5" s="0" t="n">
        <f aca="false">B5/Assumptions!$B$2-1</f>
        <v>0.170282997931972</v>
      </c>
      <c r="D5" s="4" t="n">
        <f aca="false">Assumptions!$B$38</f>
        <v>0.5</v>
      </c>
      <c r="E5" s="4" t="n">
        <f aca="false">DCF_Base!$B$43</f>
        <v>4.42236251283108</v>
      </c>
      <c r="F5" s="4" t="n">
        <f aca="false">DCF_Base!$B$47</f>
        <v>2.69258335432763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6.06350324399427</v>
      </c>
      <c r="C6" s="0" t="n">
        <f aca="false">B6/Assumptions!$B$2-1</f>
        <v>0.826356398793456</v>
      </c>
      <c r="D6" s="4" t="n">
        <f aca="false">Assumptions!$B$52</f>
        <v>0.2</v>
      </c>
      <c r="E6" s="4" t="n">
        <f aca="false">DCF_Bull!$B$43</f>
        <v>6.70074883841027</v>
      </c>
      <c r="F6" s="4" t="n">
        <f aca="false">DCF_Bull!$B$47</f>
        <v>3.9944554650219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3.56264943589914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4.09807666055666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0.0681092653838114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-45.3188453490292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2.46342413624482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4.73911789214336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4.38477047812266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3.88533955313415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3.49187384090289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2.69258335432763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4.65997827964368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4.73911789214336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4.73911789214336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4.73911789214336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4.73911789214336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4.11769269521573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4.24288540595335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4.38477047812266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4.43636504982059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4.43636504982059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3.69098139362874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3.78276163561741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3.88533955313415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4.00073971034048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4.13152655517432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3.34673721934285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3.41567711458387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3.49187384090289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3.57653687014624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3.67116025577117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3.06337474174813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3.11619805101876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3.1740521516485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3.23769166234121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3.30803006889631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2026-09-23T08:55:26Z</dcterms:created>
  <dc:creator>openpyxl</dc:creator>
  <dc:description/>
  <dc:language>en-NZ</dc:language>
  <cp:lastModifiedBy/>
  <dcterms:modified xsi:type="dcterms:W3CDTF">2026-09-23T08:55:26Z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