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<sst xmlns="http://schemas.openxmlformats.org/spreadsheetml/2006/main" count="380" uniqueCount="172">
  <si>
    <t xml:space="preserve">Ticker</t>
  </si>
  <si>
    <t xml:space="preserve">PSX</t>
  </si>
  <si>
    <t xml:space="preserve">Company</t>
  </si>
  <si>
    <t xml:space="preserve">Phillips 66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</si>
  <si>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</si>
  <si>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</si>
  <si>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</si>
  <si>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</si>
  <si>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2026-10-01T20:00:03Z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</si>
  <si>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</si>
  <si>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</si>
  <si>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</si>
  <si>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</si>
  <si>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</si>
  <si>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</si>
  <si>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</si>
  <si>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</si>
  <si>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</si>
  <si>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</si>
  <si>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</si>
  <si>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</si>
  <si>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2026-10-02T07:45:47Z</t>
  </si>
  <si>
    <t xml:space="preserve">Drivers file</t>
  </si>
  <si>
    <t xml:space="preserve">PSX_Drivers.json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</si>
  <si>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</si>
  <si>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</si>
  <si>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</si>
  <si>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Phillips 66 on mid-cycle owner FCF, not on the 2026 super-cycle print. The LTM Jun-26 owner FCF ($6.2B) and Q2-26's $5.9B adjusted EBITDA quarter are peak-cycle; the model captures the windfall once in years 1-2 and capitalises a ~$10.4B mid-cycle EBITDA (anchored on the first two post-WRB, post-LA quarters at ~$12/bbl realized margins plus guided Midstream and CPChem growth). The market price implies the super-cycle is close to permanent.
key_risks_to_valuation: Duration of the diesel super-cycle: each extra quarter at Q2-26 margins adds roughly $3B of EBITDA (~$5-6/share after tax); Mid-cycle refining margin: each $1/bbl of realized margin is ~$0.75B of EBITDA per year (~760 MMbbl/yr processed), roughly $15-18/share capitalised; Midstream $4.5B run-rate execution and any Elliott-driven separation (a SOTP crystallisation would argue for a higher blended terminal multiple than 14x); CPChem cash retention for Golden Triangle/Ras Laffan: equity earnings are assumed to equal distributions across the cycle; Renewable Fuels regulatory-credit dependence (SAF/LCFS/RIN)</t>
  </si>
  <si>
    <t xml:space="preserve">Data sources</t>
  </si>
  <si>
    <t xml:space="preserve">price: Yahoo Finance chart API at inputs.price_as_of; 52-week range 126.74-277.12
financials: PSX_Metrics.csv (SEC XBRL); SEC companyfacts API (D&amp;A, cash taxes, interest paid, SBC, buybacks, NCI, equity-affiliate earnings, debt); 10-K FY2025 and FY2023/FY2020 capital-spending tables (capex is a custom psx: tag absent from companyfacts); Q2-2026 10-Q cover (shares) and balance sheet; Q4-2025 and Q2-2026 earnings releases (8-K Ex 99.1) for segment and consolidated EBITDA adjusted for special items and realized refining margins
qualitative: PSX_Analysis.json (2026-10-02)</t>
  </si>
  <si>
    <t xml:space="preserve">Scenario narrative: bear</t>
  </si>
  <si>
    <t xml:space="preserve">Offline Russian and Middle-East barrels plus new Indian/Middle-East/Chinese capacity return in early 2027 and cracks revert to 2024 levels (~$9/bbl realized; refining adjusted EBITDA ~$1.6B), Renewable Fuels slips back to losses as credits oversupply (it lost $380M in 2025), CPChem's new crackers start into a chemicals trough, and California/EU regulation keeps squeezing the legacy footprint. Midstream (~$4.2B) is the floor. Mid-cycle EBITDA ~$7.5B, and the &gt;50%-of-OCF payout commitment collides with a capex programme that cannot be cut quickly.</t>
  </si>
  <si>
    <t xml:space="preserve">Scenario narrative: base</t>
  </si>
  <si>
    <t xml:space="preserve">The diesel super-cycle (~7mm bpd offline in Asia/Middle East plus ~1.4mm bpd Russia) persists through Q4-2026 and fades through H1-2027 as offline capacity returns; realized refining margins settle near the ~$12/bbl seen in Q3/Q4-2025 rather than the $24/bbl of Q2-2026, helped modestly by permanent closures (PSX Los Angeles, Valero Benicia). Midstream reaches the guided $4.5B EBITDA run-rate by YE2027 (Zeus gas plant, Coastal Bend fractionator), CPChem's Golden Triangle and Ras Laffan crackers start in 2027 into a still-soft chemicals cycle, Renewable Fuels hovers near breakeven as credit values normalise, and capex holds at ~$2.5B. Mid-cycle consolidated EBITDA ~$10.4B; the near-term windfall is captured once in years 1-2 and goes to deleveraging and buybacks, not into the terminal value.</t>
  </si>
  <si>
    <t xml:space="preserve">Scenario narrative: bull</t>
  </si>
  <si>
    <t xml:space="preserve">Structural rationalisation is real: global closures plus slow restarts lift the through-cycle realized refining margin to ~$15/bbl, the super-cycle runs to mid-2027, Midstream beats $4.5B with Permian volume growth, CPChem's new capacity lands into a chemicals upcycle, and SAF/LCFS credit values keep Rodeo profitable. Mid-cycle EBITDA ~$13B; this is roughly the sell-side ($300-335 PT) view of 2027 earnings power. Elliott-driven portfolio discipline continues without a value-destroying break-up.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</si>
  <si>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</si>
  <si>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</si>
  <si>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</si>
  <si>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</si>
  <si>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</si>
  <si>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</si>
  <si>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</si>
  <si>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</si>
  <si>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</si>
  <si>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</si>
  <si>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</si>
  <si>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</si>
  <si>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</si>
  <si>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</si>
  <si>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</si>
  <si>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</si>
  <si>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</si>
  <si>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</si>
  <si>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</si>
  <si>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</si>
  <si>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</si>
  <si>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</si>
  <si>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</si>
  <si>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</si>
  <si>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</si>
  <si>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</si>
  <si>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</si>
  <si>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</si>
  <si>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</si>
  <si>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</si>
  <si>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</si>
  <si>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</si>
  <si>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</si>
  <si>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</si>
  <si>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</si>
  <si>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</si>
  <si>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</si>
  <si>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</si>
  <si>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</si>
  <si>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</si>
  <si>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</si>
  <si>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</si>
  <si>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</si>
  <si>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</si>
  <si>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</si>
  <si>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</si>
  <si>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</si>
  <si>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</si>
  <si>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</si>
  <si>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</si>
  <si>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</si>
  <si>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</si>
  <si>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</si>
  <si>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LTM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</si>
  <si>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</si>
  <si>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</si>
  <si>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</si>
  <si>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</si>
  <si>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LTM Jun-2027</t>
  </si>
  <si>
    <t xml:space="preserve">LTM Jun-2028</t>
  </si>
  <si>
    <t xml:space="preserve">LTM Jun-2029</t>
  </si>
  <si>
    <t xml:space="preserve">LTM Jun-2030</t>
  </si>
  <si>
    <t xml:space="preserve">LTM Jun-2031</t>
  </si>
  <si>
    <t xml:space="preserve">LTM Jun-2032</t>
  </si>
  <si>
    <t xml:space="preserve">LTM Jun-2033</t>
  </si>
  <si>
    <t xml:space="preserve">LTM Jun-2034</t>
  </si>
  <si>
    <t xml:space="preserve">LTM Jun-2035</t>
  </si>
  <si>
    <t xml:space="preserve">LTM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</si>
  <si>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</si>
  <si>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</si>
  <si>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</si>
  <si>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</si>
  <si>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</si>
  <si>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</si>
  <si>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</si>
  <si>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</si>
  <si>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</si>
  <si>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</si>
  <si>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</si>
  <si>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</si>
  <si>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</si>
  <si>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</si>
  <si>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PSX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</si>
  <si>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</si>
  <si>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</si>
  <si>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</si>
  <si>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</si>
  <si>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</si>
  <si>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</si>
  <si>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</si>
  <si>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</si>
  <si>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</si>
  <si>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</si>
  <si>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</si>
  <si>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</si>
  <si>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</si>
  <si>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</si>
  <si>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</si>
  <si>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</si>
  <si>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</si>
  <si>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</si>
  <si>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</si>
  <si>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</si>
  <si>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</si>
  <si>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</si>
  <si>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</si>
  <si>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</si>
  <si>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</si>
  <si>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</si>
  <si>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</si>
  <si>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</si>
  <si>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</si>
  <si>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</si>
  <si>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PSX owner-FCF component DCF: base case (millions, USD)</t>
  </si>
  <si>
    <t xml:space="preserve">PSX owner-FCF component DCF: bull case (millions, USD)</t>
  </si>
  <si>
    <t xml:space="preserve">PSX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</si>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</sst>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264.23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26940</v>
      </c>
      <c r="S2" s="0" t="n">
        <v>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146561</v>
      </c>
      <c r="I3" s="0" t="n">
        <v>740</v>
      </c>
      <c r="J3" s="0" t="n">
        <v>0.5049092186871</v>
      </c>
      <c r="K3" s="0" t="n">
        <v>1.17</v>
      </c>
      <c r="L3" s="0" t="n">
        <v>2092</v>
      </c>
      <c r="O3" s="0" t="n">
        <v>26026</v>
      </c>
      <c r="P3" s="0" t="n">
        <v>44955</v>
      </c>
      <c r="S3" s="0" t="n">
        <v>0</v>
      </c>
      <c r="T3" s="0" t="n">
        <v>634.645</v>
      </c>
      <c r="U3" s="0" t="n">
        <v>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195931</v>
      </c>
      <c r="I4" s="0" t="n">
        <v>4780</v>
      </c>
      <c r="J4" s="0" t="n">
        <v>2.43963436107609</v>
      </c>
      <c r="K4" s="0" t="n">
        <v>7.61</v>
      </c>
      <c r="L4" s="0" t="n">
        <v>5006</v>
      </c>
      <c r="O4" s="0" t="n">
        <v>23293</v>
      </c>
      <c r="P4" s="0" t="n">
        <v>43211</v>
      </c>
      <c r="Q4" s="0" t="n">
        <v>19918</v>
      </c>
      <c r="R4" s="0" t="n">
        <v>391</v>
      </c>
      <c r="S4" s="0" t="n">
        <v>0</v>
      </c>
      <c r="T4" s="0" t="n">
        <v>634.645</v>
      </c>
      <c r="U4" s="0" t="n">
        <v>46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179290</v>
      </c>
      <c r="I5" s="0" t="n">
        <v>4131</v>
      </c>
      <c r="J5" s="0" t="n">
        <v>2.30408834848569</v>
      </c>
      <c r="K5" s="0" t="n">
        <v>6.55</v>
      </c>
      <c r="L5" s="0" t="n">
        <v>4296</v>
      </c>
      <c r="O5" s="0" t="n">
        <v>20806</v>
      </c>
      <c r="P5" s="0" t="n">
        <v>48073</v>
      </c>
      <c r="Q5" s="0" t="n">
        <v>27267</v>
      </c>
      <c r="R5" s="0" t="n">
        <v>6974</v>
      </c>
      <c r="S5" s="0" t="n">
        <v>3474</v>
      </c>
      <c r="T5" s="0" t="n">
        <v>636.764</v>
      </c>
      <c r="U5" s="0" t="n">
        <v>94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171596</v>
      </c>
      <c r="I6" s="0" t="n">
        <v>3743</v>
      </c>
      <c r="J6" s="0" t="n">
        <v>2.1812862770694</v>
      </c>
      <c r="K6" s="0" t="n">
        <v>6.07</v>
      </c>
      <c r="L6" s="0" t="n">
        <v>6027</v>
      </c>
      <c r="O6" s="0" t="n">
        <v>22392</v>
      </c>
      <c r="P6" s="0" t="n">
        <v>49769</v>
      </c>
      <c r="Q6" s="0" t="n">
        <v>27406</v>
      </c>
      <c r="R6" s="0" t="n">
        <v>6155</v>
      </c>
      <c r="S6" s="0" t="n">
        <v>5400</v>
      </c>
      <c r="T6" s="0" t="n">
        <v>618.989</v>
      </c>
      <c r="U6" s="0" t="n">
        <v>132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161212</v>
      </c>
      <c r="I7" s="0" t="n">
        <v>4797</v>
      </c>
      <c r="J7" s="0" t="n">
        <v>2.97558494404883</v>
      </c>
      <c r="K7" s="0" t="n">
        <v>8.4</v>
      </c>
      <c r="L7" s="0" t="n">
        <v>3529</v>
      </c>
      <c r="O7" s="0" t="n">
        <v>22037</v>
      </c>
      <c r="P7" s="0" t="n">
        <v>48692</v>
      </c>
      <c r="Q7" s="0" t="n">
        <v>26655</v>
      </c>
      <c r="R7" s="0" t="n">
        <v>8635</v>
      </c>
      <c r="S7" s="0" t="n">
        <v>5207</v>
      </c>
      <c r="T7" s="0" t="n">
        <v>571.504</v>
      </c>
      <c r="U7" s="0" t="n">
        <v>134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98975</v>
      </c>
      <c r="I8" s="0" t="n">
        <v>4280</v>
      </c>
      <c r="J8" s="0" t="n">
        <v>4.32432432432433</v>
      </c>
      <c r="K8" s="0" t="n">
        <v>7.78</v>
      </c>
      <c r="L8" s="0" t="n">
        <v>5713</v>
      </c>
      <c r="O8" s="0" t="n">
        <v>23938</v>
      </c>
      <c r="P8" s="0" t="n">
        <v>48580</v>
      </c>
      <c r="Q8" s="0" t="n">
        <v>24642</v>
      </c>
      <c r="R8" s="0" t="n">
        <v>8887</v>
      </c>
      <c r="S8" s="0" t="n">
        <v>3074</v>
      </c>
      <c r="T8" s="0" t="n">
        <v>546.977</v>
      </c>
      <c r="U8" s="0" t="n">
        <v>144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84279</v>
      </c>
      <c r="C9" s="0" t="n">
        <v>62468</v>
      </c>
      <c r="I9" s="0" t="n">
        <v>1644</v>
      </c>
      <c r="J9" s="0" t="n">
        <v>1.9506638664436</v>
      </c>
      <c r="K9" s="0" t="n">
        <v>2.94</v>
      </c>
      <c r="L9" s="0" t="n">
        <v>2963</v>
      </c>
      <c r="O9" s="0" t="n">
        <v>23725</v>
      </c>
      <c r="P9" s="0" t="n">
        <v>51653</v>
      </c>
      <c r="Q9" s="0" t="n">
        <v>27928</v>
      </c>
      <c r="R9" s="0" t="n">
        <v>10588</v>
      </c>
      <c r="S9" s="0" t="n">
        <v>2711</v>
      </c>
      <c r="T9" s="0" t="n">
        <v>530.066</v>
      </c>
      <c r="U9" s="0" t="n">
        <v>156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102354</v>
      </c>
      <c r="C10" s="0" t="n">
        <v>79409</v>
      </c>
      <c r="I10" s="0" t="n">
        <v>5248</v>
      </c>
      <c r="J10" s="0" t="n">
        <v>5.12730328077066</v>
      </c>
      <c r="K10" s="0" t="n">
        <v>9.9</v>
      </c>
      <c r="L10" s="0" t="n">
        <v>3648</v>
      </c>
      <c r="O10" s="0" t="n">
        <v>27428</v>
      </c>
      <c r="P10" s="0" t="n">
        <v>54371</v>
      </c>
      <c r="Q10" s="0" t="n">
        <v>26943</v>
      </c>
      <c r="R10" s="0" t="n">
        <v>10110</v>
      </c>
      <c r="S10" s="0" t="n">
        <v>3119</v>
      </c>
      <c r="T10" s="0" t="n">
        <v>518.508</v>
      </c>
      <c r="U10" s="0" t="n">
        <v>142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111461</v>
      </c>
      <c r="C11" s="0" t="n">
        <v>97930</v>
      </c>
      <c r="I11" s="0" t="n">
        <v>5873</v>
      </c>
      <c r="J11" s="0" t="n">
        <v>5.26910758022986</v>
      </c>
      <c r="K11" s="0" t="n">
        <v>11.87</v>
      </c>
      <c r="L11" s="0" t="n">
        <v>7573</v>
      </c>
      <c r="O11" s="0" t="n">
        <v>27153</v>
      </c>
      <c r="P11" s="0" t="n">
        <v>54302</v>
      </c>
      <c r="Q11" s="0" t="n">
        <v>27149</v>
      </c>
      <c r="R11" s="0" t="n">
        <v>11160</v>
      </c>
      <c r="S11" s="0" t="n">
        <v>3019</v>
      </c>
      <c r="T11" s="0" t="n">
        <v>474.047</v>
      </c>
      <c r="U11" s="0" t="n">
        <v>100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107293</v>
      </c>
      <c r="C12" s="0" t="n">
        <v>95529</v>
      </c>
      <c r="I12" s="0" t="n">
        <v>3377</v>
      </c>
      <c r="J12" s="0" t="n">
        <v>3.14745603161436</v>
      </c>
      <c r="K12" s="0" t="n">
        <v>6.8</v>
      </c>
      <c r="L12" s="0" t="n">
        <v>4808</v>
      </c>
      <c r="O12" s="0" t="n">
        <v>27169</v>
      </c>
      <c r="P12" s="0" t="n">
        <v>58720</v>
      </c>
      <c r="Q12" s="0" t="n">
        <v>31551</v>
      </c>
      <c r="R12" s="0" t="n">
        <v>11763</v>
      </c>
      <c r="S12" s="0" t="n">
        <v>1614</v>
      </c>
      <c r="T12" s="0" t="n">
        <v>453.888</v>
      </c>
      <c r="U12" s="0" t="n">
        <v>169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64129</v>
      </c>
      <c r="C13" s="0" t="n">
        <v>57707</v>
      </c>
      <c r="I13" s="0" t="n">
        <v>-3975</v>
      </c>
      <c r="J13" s="0" t="n">
        <v>-6.19844376179264</v>
      </c>
      <c r="K13" s="0" t="n">
        <v>-9.06</v>
      </c>
      <c r="L13" s="0" t="n">
        <v>2111</v>
      </c>
      <c r="O13" s="0" t="n">
        <v>21523</v>
      </c>
      <c r="P13" s="0" t="n">
        <v>54721</v>
      </c>
      <c r="Q13" s="0" t="n">
        <v>33198</v>
      </c>
      <c r="R13" s="0" t="n">
        <v>15893</v>
      </c>
      <c r="S13" s="0" t="n">
        <v>2514</v>
      </c>
      <c r="T13" s="0" t="n">
        <v>439.53</v>
      </c>
      <c r="U13" s="0" t="n">
        <v>127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111476</v>
      </c>
      <c r="C14" s="0" t="n">
        <v>102102</v>
      </c>
      <c r="I14" s="0" t="n">
        <v>1594</v>
      </c>
      <c r="J14" s="0" t="n">
        <v>1.42990419462485</v>
      </c>
      <c r="K14" s="0" t="n">
        <v>2.97</v>
      </c>
      <c r="L14" s="0" t="n">
        <v>6017</v>
      </c>
      <c r="O14" s="0" t="n">
        <v>21637</v>
      </c>
      <c r="P14" s="0" t="n">
        <v>55594</v>
      </c>
      <c r="Q14" s="0" t="n">
        <v>33957</v>
      </c>
      <c r="R14" s="0" t="n">
        <v>14448</v>
      </c>
      <c r="S14" s="0" t="n">
        <v>3147</v>
      </c>
      <c r="T14" s="0" t="n">
        <v>440.364</v>
      </c>
      <c r="U14" s="0" t="n">
        <v>144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169990</v>
      </c>
      <c r="C15" s="0" t="n">
        <v>149932</v>
      </c>
      <c r="I15" s="0" t="n">
        <v>11391</v>
      </c>
      <c r="J15" s="0" t="n">
        <v>6.70098241073004</v>
      </c>
      <c r="K15" s="0" t="n">
        <v>23.36</v>
      </c>
      <c r="L15" s="0" t="n">
        <v>10813</v>
      </c>
      <c r="O15" s="0" t="n">
        <v>34106</v>
      </c>
      <c r="P15" s="0" t="n">
        <v>76442</v>
      </c>
      <c r="Q15" s="0" t="n">
        <v>42336</v>
      </c>
      <c r="R15" s="0" t="n">
        <v>17190</v>
      </c>
      <c r="S15" s="0" t="n">
        <v>6133</v>
      </c>
      <c r="T15" s="0" t="n">
        <v>473.731</v>
      </c>
      <c r="U15" s="0" t="n">
        <v>210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147399</v>
      </c>
      <c r="C16" s="0" t="n">
        <v>128086</v>
      </c>
      <c r="I16" s="0" t="n">
        <v>7239</v>
      </c>
      <c r="J16" s="0" t="n">
        <v>4.91115950583111</v>
      </c>
      <c r="K16" s="0" t="n">
        <v>15.56</v>
      </c>
      <c r="L16" s="0" t="n">
        <v>7029</v>
      </c>
      <c r="O16" s="0" t="n">
        <v>31650</v>
      </c>
      <c r="P16" s="0" t="n">
        <v>75501</v>
      </c>
      <c r="Q16" s="0" t="n">
        <v>43851</v>
      </c>
      <c r="R16" s="0" t="n">
        <v>19359</v>
      </c>
      <c r="S16" s="0" t="n">
        <v>3323</v>
      </c>
      <c r="T16" s="0" t="n">
        <v>453.21</v>
      </c>
      <c r="U16" s="0" t="n">
        <v>297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143153</v>
      </c>
      <c r="C17" s="0" t="n">
        <v>129962</v>
      </c>
      <c r="I17" s="0" t="n">
        <v>2175</v>
      </c>
      <c r="J17" s="0" t="n">
        <v>1.51935341906911</v>
      </c>
      <c r="K17" s="0" t="n">
        <v>5.01</v>
      </c>
      <c r="L17" s="0" t="n">
        <v>4191</v>
      </c>
      <c r="O17" s="0" t="n">
        <v>28463</v>
      </c>
      <c r="P17" s="0" t="n">
        <v>72582</v>
      </c>
      <c r="Q17" s="0" t="n">
        <v>44119</v>
      </c>
      <c r="R17" s="0" t="n">
        <v>20062</v>
      </c>
      <c r="S17" s="0" t="n">
        <v>1738</v>
      </c>
      <c r="T17" s="0" t="n">
        <v>421.888</v>
      </c>
      <c r="U17" s="0" t="n">
        <v>210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132376</v>
      </c>
      <c r="C18" s="0" t="n">
        <v>116093</v>
      </c>
      <c r="I18" s="0" t="n">
        <v>4528</v>
      </c>
      <c r="J18" s="0" t="n">
        <v>3.42055961805765</v>
      </c>
      <c r="K18" s="0" t="n">
        <v>10.82</v>
      </c>
      <c r="L18" s="0" t="n">
        <v>4962</v>
      </c>
      <c r="O18" s="0" t="n">
        <v>30241</v>
      </c>
      <c r="P18" s="0" t="n">
        <v>73680</v>
      </c>
      <c r="Q18" s="0" t="n">
        <v>43439</v>
      </c>
      <c r="R18" s="0" t="n">
        <v>19716</v>
      </c>
      <c r="S18" s="0" t="n">
        <v>1116</v>
      </c>
      <c r="T18" s="0" t="n">
        <v>408.053</v>
      </c>
      <c r="U18" s="0" t="n">
        <v>220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264.23</v>
      </c>
    </row>
    <row r="3" customFormat="false" ht="15" hidden="false" customHeight="false" outlineLevel="0" collapsed="false">
      <c r="A3" s="0" t="s">
        <v>83</v>
      </c>
      <c r="B3" s="3" t="n">
        <v>401</v>
      </c>
    </row>
    <row r="4" customFormat="false" ht="15" hidden="false" customHeight="false" outlineLevel="0" collapsed="false">
      <c r="A4" s="0" t="s">
        <v>84</v>
      </c>
      <c r="B4" s="3" t="n">
        <v>16466</v>
      </c>
    </row>
    <row r="5" customFormat="false" ht="15" hidden="false" customHeight="false" outlineLevel="0" collapsed="false">
      <c r="A5" s="0" t="s">
        <v>85</v>
      </c>
      <c r="B5" s="3" t="n">
        <v>-1700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152167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2</v>
      </c>
      <c r="D13" s="3" t="n">
        <v>-16</v>
      </c>
      <c r="E13" s="3" t="n">
        <v>-4</v>
      </c>
      <c r="F13" s="3" t="n">
        <v>1.5</v>
      </c>
      <c r="G13" s="3" t="n">
        <v>1.5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105</v>
      </c>
      <c r="C14" s="3" t="n">
        <v>6.85</v>
      </c>
      <c r="D14" s="3" t="n">
        <v>6</v>
      </c>
      <c r="E14" s="3" t="n">
        <v>6</v>
      </c>
      <c r="F14" s="3" t="n">
        <v>6</v>
      </c>
      <c r="G14" s="3" t="n">
        <v>6</v>
      </c>
      <c r="H14" s="3" t="n">
        <v>6</v>
      </c>
      <c r="I14" s="3" t="n">
        <v>6</v>
      </c>
      <c r="J14" s="3" t="n">
        <v>6</v>
      </c>
      <c r="K14" s="3" t="n">
        <v>6</v>
      </c>
      <c r="L14" s="3" t="n">
        <v>6</v>
      </c>
    </row>
    <row r="15" customFormat="false" ht="15" hidden="false" customHeight="false" outlineLevel="0" collapsed="false">
      <c r="A15" s="0" t="s">
        <v>106</v>
      </c>
      <c r="C15" s="3" t="n">
        <v>0.15</v>
      </c>
      <c r="D15" s="3" t="n">
        <v>0.16</v>
      </c>
      <c r="E15" s="3" t="n">
        <v>0.16</v>
      </c>
      <c r="F15" s="3" t="n">
        <v>0.16</v>
      </c>
      <c r="G15" s="3" t="n">
        <v>0.16</v>
      </c>
      <c r="H15" s="3" t="n">
        <v>0.16</v>
      </c>
      <c r="I15" s="3" t="n">
        <v>0.16</v>
      </c>
      <c r="J15" s="3" t="n">
        <v>0.16</v>
      </c>
      <c r="K15" s="3" t="n">
        <v>0.16</v>
      </c>
      <c r="L15" s="3" t="n">
        <v>0.16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1.5</v>
      </c>
      <c r="D17" s="3" t="n">
        <v>1.8</v>
      </c>
      <c r="E17" s="3" t="n">
        <v>1.85</v>
      </c>
      <c r="F17" s="3" t="n">
        <v>1.85</v>
      </c>
      <c r="G17" s="3" t="n">
        <v>1.85</v>
      </c>
      <c r="H17" s="3" t="n">
        <v>1.85</v>
      </c>
      <c r="I17" s="3" t="n">
        <v>1.85</v>
      </c>
      <c r="J17" s="3" t="n">
        <v>1.85</v>
      </c>
      <c r="K17" s="3" t="n">
        <v>1.85</v>
      </c>
      <c r="L17" s="3" t="n">
        <v>1.85</v>
      </c>
    </row>
    <row r="18" customFormat="false" ht="15" hidden="false" customHeight="false" outlineLevel="0" collapsed="false">
      <c r="A18" s="0" t="s">
        <v>109</v>
      </c>
      <c r="C18" s="3" t="n">
        <v>1.55</v>
      </c>
      <c r="D18" s="3" t="n">
        <v>1.75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110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1.5</v>
      </c>
    </row>
    <row r="22" customFormat="false" ht="15" hidden="false" customHeight="false" outlineLevel="0" collapsed="false">
      <c r="A22" s="0" t="s">
        <v>113</v>
      </c>
      <c r="B22" s="3" t="n">
        <v>14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3.8</v>
      </c>
      <c r="D27" s="3" t="n">
        <v>-11.4</v>
      </c>
      <c r="E27" s="3" t="n">
        <v>-2.9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105</v>
      </c>
      <c r="C28" s="3" t="n">
        <v>8.1</v>
      </c>
      <c r="D28" s="3" t="n">
        <v>7.6</v>
      </c>
      <c r="E28" s="3" t="n">
        <v>7.65</v>
      </c>
      <c r="F28" s="3" t="n">
        <v>7.65</v>
      </c>
      <c r="G28" s="3" t="n">
        <v>7.65</v>
      </c>
      <c r="H28" s="3" t="n">
        <v>7.65</v>
      </c>
      <c r="I28" s="3" t="n">
        <v>7.65</v>
      </c>
      <c r="J28" s="3" t="n">
        <v>7.65</v>
      </c>
      <c r="K28" s="3" t="n">
        <v>7.65</v>
      </c>
      <c r="L28" s="3" t="n">
        <v>7.65</v>
      </c>
    </row>
    <row r="29" customFormat="false" ht="15" hidden="false" customHeight="false" outlineLevel="0" collapsed="false">
      <c r="A29" s="0" t="s">
        <v>106</v>
      </c>
      <c r="C29" s="3" t="n">
        <v>0.15</v>
      </c>
      <c r="D29" s="3" t="n">
        <v>0.16</v>
      </c>
      <c r="E29" s="3" t="n">
        <v>0.16</v>
      </c>
      <c r="F29" s="3" t="n">
        <v>0.16</v>
      </c>
      <c r="G29" s="3" t="n">
        <v>0.16</v>
      </c>
      <c r="H29" s="3" t="n">
        <v>0.16</v>
      </c>
      <c r="I29" s="3" t="n">
        <v>0.16</v>
      </c>
      <c r="J29" s="3" t="n">
        <v>0.16</v>
      </c>
      <c r="K29" s="3" t="n">
        <v>0.16</v>
      </c>
      <c r="L29" s="3" t="n">
        <v>0.16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1.45</v>
      </c>
      <c r="D31" s="3" t="n">
        <v>1.68</v>
      </c>
      <c r="E31" s="3" t="n">
        <v>1.72</v>
      </c>
      <c r="F31" s="3" t="n">
        <v>1.72</v>
      </c>
      <c r="G31" s="3" t="n">
        <v>1.72</v>
      </c>
      <c r="H31" s="3" t="n">
        <v>1.72</v>
      </c>
      <c r="I31" s="3" t="n">
        <v>1.72</v>
      </c>
      <c r="J31" s="3" t="n">
        <v>1.72</v>
      </c>
      <c r="K31" s="3" t="n">
        <v>1.72</v>
      </c>
      <c r="L31" s="3" t="n">
        <v>1.72</v>
      </c>
    </row>
    <row r="32" customFormat="false" ht="15" hidden="false" customHeight="false" outlineLevel="0" collapsed="false">
      <c r="A32" s="0" t="s">
        <v>109</v>
      </c>
      <c r="C32" s="3" t="n">
        <v>1.55</v>
      </c>
      <c r="D32" s="3" t="n">
        <v>1.79</v>
      </c>
      <c r="E32" s="3" t="n">
        <v>1.86</v>
      </c>
      <c r="F32" s="3" t="n">
        <v>1.86</v>
      </c>
      <c r="G32" s="3" t="n">
        <v>1.86</v>
      </c>
      <c r="H32" s="3" t="n">
        <v>1.86</v>
      </c>
      <c r="I32" s="3" t="n">
        <v>1.86</v>
      </c>
      <c r="J32" s="3" t="n">
        <v>1.86</v>
      </c>
      <c r="K32" s="3" t="n">
        <v>1.86</v>
      </c>
      <c r="L32" s="3" t="n">
        <v>1.86</v>
      </c>
    </row>
    <row r="33" customFormat="false" ht="15" hidden="false" customHeight="false" outlineLevel="0" collapsed="false">
      <c r="A33" s="0" t="s">
        <v>110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111</v>
      </c>
      <c r="B34" s="3" t="n">
        <v>9</v>
      </c>
    </row>
    <row r="35" customFormat="false" ht="15" hidden="false" customHeight="false" outlineLevel="0" collapsed="false">
      <c r="A35" s="0" t="s">
        <v>112</v>
      </c>
      <c r="B35" s="3" t="n">
        <v>2</v>
      </c>
    </row>
    <row r="36" customFormat="false" ht="15" hidden="false" customHeight="false" outlineLevel="0" collapsed="false">
      <c r="A36" s="0" t="s">
        <v>113</v>
      </c>
      <c r="B36" s="3" t="n">
        <v>14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6.5</v>
      </c>
      <c r="D41" s="3" t="n">
        <v>-7</v>
      </c>
      <c r="E41" s="3" t="n">
        <v>-1.5</v>
      </c>
      <c r="F41" s="3" t="n">
        <v>3</v>
      </c>
      <c r="G41" s="3" t="n">
        <v>3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105</v>
      </c>
      <c r="C42" s="3" t="n">
        <v>9.3</v>
      </c>
      <c r="D42" s="3" t="n">
        <v>8.8</v>
      </c>
      <c r="E42" s="3" t="n">
        <v>8.9</v>
      </c>
      <c r="F42" s="3" t="n">
        <v>8.9</v>
      </c>
      <c r="G42" s="3" t="n">
        <v>8.9</v>
      </c>
      <c r="H42" s="3" t="n">
        <v>8.9</v>
      </c>
      <c r="I42" s="3" t="n">
        <v>8.9</v>
      </c>
      <c r="J42" s="3" t="n">
        <v>8.9</v>
      </c>
      <c r="K42" s="3" t="n">
        <v>8.9</v>
      </c>
      <c r="L42" s="3" t="n">
        <v>8.9</v>
      </c>
    </row>
    <row r="43" customFormat="false" ht="15" hidden="false" customHeight="false" outlineLevel="0" collapsed="false">
      <c r="A43" s="0" t="s">
        <v>106</v>
      </c>
      <c r="C43" s="3" t="n">
        <v>0.15</v>
      </c>
      <c r="D43" s="3" t="n">
        <v>0.16</v>
      </c>
      <c r="E43" s="3" t="n">
        <v>0.16</v>
      </c>
      <c r="F43" s="3" t="n">
        <v>0.16</v>
      </c>
      <c r="G43" s="3" t="n">
        <v>0.16</v>
      </c>
      <c r="H43" s="3" t="n">
        <v>0.16</v>
      </c>
      <c r="I43" s="3" t="n">
        <v>0.16</v>
      </c>
      <c r="J43" s="3" t="n">
        <v>0.16</v>
      </c>
      <c r="K43" s="3" t="n">
        <v>0.16</v>
      </c>
      <c r="L43" s="3" t="n">
        <v>0.16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1.42</v>
      </c>
      <c r="D45" s="3" t="n">
        <v>1.58</v>
      </c>
      <c r="E45" s="3" t="n">
        <v>1.6</v>
      </c>
      <c r="F45" s="3" t="n">
        <v>1.6</v>
      </c>
      <c r="G45" s="3" t="n">
        <v>1.6</v>
      </c>
      <c r="H45" s="3" t="n">
        <v>1.6</v>
      </c>
      <c r="I45" s="3" t="n">
        <v>1.6</v>
      </c>
      <c r="J45" s="3" t="n">
        <v>1.6</v>
      </c>
      <c r="K45" s="3" t="n">
        <v>1.6</v>
      </c>
      <c r="L45" s="3" t="n">
        <v>1.6</v>
      </c>
    </row>
    <row r="46" customFormat="false" ht="15" hidden="false" customHeight="false" outlineLevel="0" collapsed="false">
      <c r="A46" s="0" t="s">
        <v>109</v>
      </c>
      <c r="C46" s="3" t="n">
        <v>1.6</v>
      </c>
      <c r="D46" s="3" t="n">
        <v>1.85</v>
      </c>
      <c r="E46" s="3" t="n">
        <v>1.9</v>
      </c>
      <c r="F46" s="3" t="n">
        <v>1.9</v>
      </c>
      <c r="G46" s="3" t="n">
        <v>1.9</v>
      </c>
      <c r="H46" s="3" t="n">
        <v>1.9</v>
      </c>
      <c r="I46" s="3" t="n">
        <v>1.9</v>
      </c>
      <c r="J46" s="3" t="n">
        <v>1.9</v>
      </c>
      <c r="K46" s="3" t="n">
        <v>1.9</v>
      </c>
      <c r="L46" s="3" t="n">
        <v>1.9</v>
      </c>
    </row>
    <row r="47" customFormat="false" ht="15" hidden="false" customHeight="false" outlineLevel="0" collapsed="false">
      <c r="A47" s="0" t="s">
        <v>110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111</v>
      </c>
      <c r="B48" s="3" t="n">
        <v>9</v>
      </c>
    </row>
    <row r="49" customFormat="false" ht="15" hidden="false" customHeight="false" outlineLevel="0" collapsed="false">
      <c r="A49" s="0" t="s">
        <v>112</v>
      </c>
      <c r="B49" s="3" t="n">
        <v>2.5</v>
      </c>
    </row>
    <row r="50" customFormat="false" ht="15" hidden="false" customHeight="false" outlineLevel="0" collapsed="false">
      <c r="A50" s="0" t="s">
        <v>113</v>
      </c>
      <c r="B50" s="3" t="n">
        <v>14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2</v>
      </c>
      <c r="D5" s="4" t="n">
        <f aca="false">Assumptions!D13</f>
        <v>-16</v>
      </c>
      <c r="E5" s="4" t="n">
        <f aca="false">Assumptions!E13</f>
        <v>-4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152167</v>
      </c>
      <c r="C6" s="0" t="n">
        <f aca="false">B6*(1+C5/100)</f>
        <v>155210.34</v>
      </c>
      <c r="D6" s="0" t="n">
        <f aca="false">C6*(1+D5/100)</f>
        <v>130376.6856</v>
      </c>
      <c r="E6" s="0" t="n">
        <f aca="false">D6*(1+E5/100)</f>
        <v>125161.618176</v>
      </c>
      <c r="F6" s="0" t="n">
        <f aca="false">E6*(1+F5/100)</f>
        <v>127039.04244864</v>
      </c>
      <c r="G6" s="0" t="n">
        <f aca="false">F6*(1+G5/100)</f>
        <v>128944.62808537</v>
      </c>
      <c r="H6" s="0" t="n">
        <f aca="false">G6*(1+H5/100)</f>
        <v>130234.074366223</v>
      </c>
      <c r="I6" s="0" t="n">
        <f aca="false">H6*(1+I5/100)</f>
        <v>131536.415109885</v>
      </c>
      <c r="J6" s="0" t="n">
        <f aca="false">I6*(1+J5/100)</f>
        <v>132851.779260984</v>
      </c>
      <c r="K6" s="0" t="n">
        <f aca="false">J6*(1+K5/100)</f>
        <v>134180.297053594</v>
      </c>
      <c r="L6" s="0" t="n">
        <f aca="false">K6*(1+L5/100)</f>
        <v>135522.10002413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6.85</v>
      </c>
      <c r="D7" s="4" t="n">
        <f aca="false">Assumptions!D14</f>
        <v>6</v>
      </c>
      <c r="E7" s="4" t="n">
        <f aca="false">Assumptions!E14</f>
        <v>6</v>
      </c>
      <c r="F7" s="4" t="n">
        <f aca="false">Assumptions!F14</f>
        <v>6</v>
      </c>
      <c r="G7" s="4" t="n">
        <f aca="false">Assumptions!G14</f>
        <v>6</v>
      </c>
      <c r="H7" s="4" t="n">
        <f aca="false">Assumptions!H14</f>
        <v>6</v>
      </c>
      <c r="I7" s="4" t="n">
        <f aca="false">Assumptions!I14</f>
        <v>6</v>
      </c>
      <c r="J7" s="4" t="n">
        <f aca="false">Assumptions!J14</f>
        <v>6</v>
      </c>
      <c r="K7" s="4" t="n">
        <f aca="false">Assumptions!K14</f>
        <v>6</v>
      </c>
      <c r="L7" s="4" t="n">
        <f aca="false">Assumptions!L14</f>
        <v>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10631.90829</v>
      </c>
      <c r="D8" s="0" t="n">
        <f aca="false">D6*D7/100</f>
        <v>7822.601136</v>
      </c>
      <c r="E8" s="0" t="n">
        <f aca="false">E6*E7/100</f>
        <v>7509.69709056</v>
      </c>
      <c r="F8" s="0" t="n">
        <f aca="false">F6*F7/100</f>
        <v>7622.3425469184</v>
      </c>
      <c r="G8" s="0" t="n">
        <f aca="false">G6*G7/100</f>
        <v>7736.67768512217</v>
      </c>
      <c r="H8" s="0" t="n">
        <f aca="false">H6*H7/100</f>
        <v>7814.0444619734</v>
      </c>
      <c r="I8" s="0" t="n">
        <f aca="false">I6*I7/100</f>
        <v>7892.18490659313</v>
      </c>
      <c r="J8" s="0" t="n">
        <f aca="false">J6*J7/100</f>
        <v>7971.10675565906</v>
      </c>
      <c r="K8" s="0" t="n">
        <f aca="false">K6*K7/100</f>
        <v>8050.81782321565</v>
      </c>
      <c r="L8" s="0" t="n">
        <f aca="false">L6*L7/100</f>
        <v>8131.32600144781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0.15</v>
      </c>
      <c r="D9" s="4" t="n">
        <f aca="false">Assumptions!D15</f>
        <v>0.16</v>
      </c>
      <c r="E9" s="4" t="n">
        <f aca="false">Assumptions!E15</f>
        <v>0.16</v>
      </c>
      <c r="F9" s="4" t="n">
        <f aca="false">Assumptions!F15</f>
        <v>0.16</v>
      </c>
      <c r="G9" s="4" t="n">
        <f aca="false">Assumptions!G15</f>
        <v>0.16</v>
      </c>
      <c r="H9" s="4" t="n">
        <f aca="false">Assumptions!H15</f>
        <v>0.16</v>
      </c>
      <c r="I9" s="4" t="n">
        <f aca="false">Assumptions!I15</f>
        <v>0.16</v>
      </c>
      <c r="J9" s="4" t="n">
        <f aca="false">Assumptions!J15</f>
        <v>0.16</v>
      </c>
      <c r="K9" s="4" t="n">
        <f aca="false">Assumptions!K15</f>
        <v>0.16</v>
      </c>
      <c r="L9" s="4" t="n">
        <f aca="false">Assumptions!L15</f>
        <v>0.16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-232.81551</v>
      </c>
      <c r="D10" s="0" t="n">
        <f aca="false">-D6*D9/100</f>
        <v>-208.60269696</v>
      </c>
      <c r="E10" s="0" t="n">
        <f aca="false">-E6*E9/100</f>
        <v>-200.2585890816</v>
      </c>
      <c r="F10" s="0" t="n">
        <f aca="false">-F6*F9/100</f>
        <v>-203.262467917824</v>
      </c>
      <c r="G10" s="0" t="n">
        <f aca="false">-G6*G9/100</f>
        <v>-206.311404936591</v>
      </c>
      <c r="H10" s="0" t="n">
        <f aca="false">-H6*H9/100</f>
        <v>-208.374518985957</v>
      </c>
      <c r="I10" s="0" t="n">
        <f aca="false">-I6*I9/100</f>
        <v>-210.458264175817</v>
      </c>
      <c r="J10" s="0" t="n">
        <f aca="false">-J6*J9/100</f>
        <v>-212.562846817575</v>
      </c>
      <c r="K10" s="0" t="n">
        <f aca="false">-K6*K9/100</f>
        <v>-214.688475285751</v>
      </c>
      <c r="L10" s="0" t="n">
        <f aca="false">-L6*L9/100</f>
        <v>-216.835360038608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10399.09278</v>
      </c>
      <c r="D11" s="0" t="n">
        <f aca="false">D8+D10+D24</f>
        <v>7613.99843904</v>
      </c>
      <c r="E11" s="0" t="n">
        <f aca="false">E8+E10+E24</f>
        <v>7309.4385014784</v>
      </c>
      <c r="F11" s="0" t="n">
        <f aca="false">F8+F10+F24</f>
        <v>7419.08007900057</v>
      </c>
      <c r="G11" s="0" t="n">
        <f aca="false">G8+G10+G24</f>
        <v>7530.36628018558</v>
      </c>
      <c r="H11" s="0" t="n">
        <f aca="false">H8+H10+H24</f>
        <v>7605.66994298744</v>
      </c>
      <c r="I11" s="0" t="n">
        <f aca="false">I8+I10+I24</f>
        <v>7681.72664241731</v>
      </c>
      <c r="J11" s="0" t="n">
        <f aca="false">J8+J10+J24</f>
        <v>7758.54390884149</v>
      </c>
      <c r="K11" s="0" t="n">
        <f aca="false">K8+K10+K24</f>
        <v>7836.1293479299</v>
      </c>
      <c r="L11" s="0" t="n">
        <f aca="false">L8+L10+L24</f>
        <v>7914.4906414092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-2328.1551</v>
      </c>
      <c r="D12" s="4" t="n">
        <f aca="false">-D6*Assumptions!D17/100</f>
        <v>-2346.7803408</v>
      </c>
      <c r="E12" s="4" t="n">
        <f aca="false">-E6*Assumptions!E17/100</f>
        <v>-2315.489936256</v>
      </c>
      <c r="F12" s="4" t="n">
        <f aca="false">-F6*Assumptions!F17/100</f>
        <v>-2350.22228529984</v>
      </c>
      <c r="G12" s="4" t="n">
        <f aca="false">-G6*Assumptions!G17/100</f>
        <v>-2385.47561957934</v>
      </c>
      <c r="H12" s="4" t="n">
        <f aca="false">-H6*Assumptions!H17/100</f>
        <v>-2409.33037577513</v>
      </c>
      <c r="I12" s="4" t="n">
        <f aca="false">-I6*Assumptions!I17/100</f>
        <v>-2433.42367953288</v>
      </c>
      <c r="J12" s="4" t="n">
        <f aca="false">-J6*Assumptions!J17/100</f>
        <v>-2457.75791632821</v>
      </c>
      <c r="K12" s="4" t="n">
        <f aca="false">-K6*Assumptions!K17/100</f>
        <v>-2482.33549549149</v>
      </c>
      <c r="L12" s="4" t="n">
        <f aca="false">-L6*Assumptions!L17/100</f>
        <v>-2507.15885044641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8070.93768</v>
      </c>
      <c r="D13" s="0" t="n">
        <f aca="false">D11+D12</f>
        <v>5267.21809824</v>
      </c>
      <c r="E13" s="0" t="n">
        <f aca="false">E11+E12</f>
        <v>4993.9485652224</v>
      </c>
      <c r="F13" s="0" t="n">
        <f aca="false">F11+F12</f>
        <v>5068.85779370073</v>
      </c>
      <c r="G13" s="0" t="n">
        <f aca="false">G11+G12</f>
        <v>5144.89066060625</v>
      </c>
      <c r="H13" s="0" t="n">
        <f aca="false">H11+H12</f>
        <v>5196.33956721231</v>
      </c>
      <c r="I13" s="0" t="n">
        <f aca="false">I11+I12</f>
        <v>5248.30296288443</v>
      </c>
      <c r="J13" s="0" t="n">
        <f aca="false">J11+J12</f>
        <v>5300.78599251327</v>
      </c>
      <c r="K13" s="0" t="n">
        <f aca="false">K11+K12</f>
        <v>5353.79385243841</v>
      </c>
      <c r="L13" s="0" t="n">
        <f aca="false">L11+L12</f>
        <v>5407.33179096279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6214.6220136</v>
      </c>
      <c r="D15" s="0" t="n">
        <f aca="false">D13-MAX(0,D13)*D14/100</f>
        <v>4055.7579356448</v>
      </c>
      <c r="E15" s="0" t="n">
        <f aca="false">E13-MAX(0,E13)*E14/100</f>
        <v>3845.34039522125</v>
      </c>
      <c r="F15" s="0" t="n">
        <f aca="false">F13-MAX(0,F13)*F14/100</f>
        <v>3903.02050114957</v>
      </c>
      <c r="G15" s="0" t="n">
        <f aca="false">G13-MAX(0,G13)*G14/100</f>
        <v>3961.56580866681</v>
      </c>
      <c r="H15" s="0" t="n">
        <f aca="false">H13-MAX(0,H13)*H14/100</f>
        <v>4001.18146675348</v>
      </c>
      <c r="I15" s="0" t="n">
        <f aca="false">I13-MAX(0,I13)*I14/100</f>
        <v>4041.19328142101</v>
      </c>
      <c r="J15" s="0" t="n">
        <f aca="false">J13-MAX(0,J13)*J14/100</f>
        <v>4081.60521423522</v>
      </c>
      <c r="K15" s="0" t="n">
        <f aca="false">K13-MAX(0,K13)*K14/100</f>
        <v>4122.42126637757</v>
      </c>
      <c r="L15" s="0" t="n">
        <f aca="false">L13-MAX(0,L13)*L14/100</f>
        <v>4163.64547904135</v>
      </c>
    </row>
    <row r="16" customFormat="false" ht="15" hidden="false" customHeight="false" outlineLevel="0" collapsed="false">
      <c r="A16" s="0" t="s">
        <v>126</v>
      </c>
      <c r="C16" s="0" t="n">
        <f aca="false">-C12</f>
        <v>2328.1551</v>
      </c>
      <c r="D16" s="0" t="n">
        <f aca="false">-D12</f>
        <v>2346.7803408</v>
      </c>
      <c r="E16" s="0" t="n">
        <f aca="false">-E12</f>
        <v>2315.489936256</v>
      </c>
      <c r="F16" s="0" t="n">
        <f aca="false">-F12</f>
        <v>2350.22228529984</v>
      </c>
      <c r="G16" s="0" t="n">
        <f aca="false">-G12</f>
        <v>2385.47561957934</v>
      </c>
      <c r="H16" s="0" t="n">
        <f aca="false">-H12</f>
        <v>2409.33037577513</v>
      </c>
      <c r="I16" s="0" t="n">
        <f aca="false">-I12</f>
        <v>2433.42367953288</v>
      </c>
      <c r="J16" s="0" t="n">
        <f aca="false">-J12</f>
        <v>2457.75791632821</v>
      </c>
      <c r="K16" s="0" t="n">
        <f aca="false">-K12</f>
        <v>2482.33549549149</v>
      </c>
      <c r="L16" s="0" t="n">
        <f aca="false">-L12</f>
        <v>2507.15885044641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-2405.76027</v>
      </c>
      <c r="D17" s="4" t="n">
        <f aca="false">-D6*Assumptions!D18/100</f>
        <v>-2281.591998</v>
      </c>
      <c r="E17" s="4" t="n">
        <f aca="false">-E6*Assumptions!E18/100</f>
        <v>-2252.909127168</v>
      </c>
      <c r="F17" s="4" t="n">
        <f aca="false">-F6*Assumptions!F18/100</f>
        <v>-2286.70276407552</v>
      </c>
      <c r="G17" s="4" t="n">
        <f aca="false">-G6*Assumptions!G18/100</f>
        <v>-2321.00330553665</v>
      </c>
      <c r="H17" s="4" t="n">
        <f aca="false">-H6*Assumptions!H18/100</f>
        <v>-2344.21333859202</v>
      </c>
      <c r="I17" s="4" t="n">
        <f aca="false">-I6*Assumptions!I18/100</f>
        <v>-2367.65547197794</v>
      </c>
      <c r="J17" s="4" t="n">
        <f aca="false">-J6*Assumptions!J18/100</f>
        <v>-2391.33202669772</v>
      </c>
      <c r="K17" s="4" t="n">
        <f aca="false">-K6*Assumptions!K18/100</f>
        <v>-2415.2453469647</v>
      </c>
      <c r="L17" s="4" t="n">
        <f aca="false">-L6*Assumptions!L18/100</f>
        <v>-2439.39780043434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6137.0168436</v>
      </c>
      <c r="D19" s="0" t="n">
        <f aca="false">D15+D16+D17+D18</f>
        <v>4120.9462784448</v>
      </c>
      <c r="E19" s="0" t="n">
        <f aca="false">E15+E16+E17+E18</f>
        <v>3907.92120430925</v>
      </c>
      <c r="F19" s="0" t="n">
        <f aca="false">F15+F16+F17+F18</f>
        <v>3966.54002237389</v>
      </c>
      <c r="G19" s="0" t="n">
        <f aca="false">G15+G16+G17+G18</f>
        <v>4026.03812270949</v>
      </c>
      <c r="H19" s="0" t="n">
        <f aca="false">H15+H16+H17+H18</f>
        <v>4066.29850393659</v>
      </c>
      <c r="I19" s="0" t="n">
        <f aca="false">I15+I16+I17+I18</f>
        <v>4106.96148897595</v>
      </c>
      <c r="J19" s="0" t="n">
        <f aca="false">J15+J16+J17+J18</f>
        <v>4148.03110386571</v>
      </c>
      <c r="K19" s="0" t="n">
        <f aca="false">K15+K16+K17+K18</f>
        <v>4189.51141490437</v>
      </c>
      <c r="L19" s="0" t="n">
        <f aca="false">L15+L16+L17+L18</f>
        <v>4231.40652905341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5630.29068220183</v>
      </c>
      <c r="D21" s="0" t="n">
        <f aca="false">D19*D20</f>
        <v>3468.51803589328</v>
      </c>
      <c r="E21" s="0" t="n">
        <f aca="false">E19*E20</f>
        <v>3017.63219534794</v>
      </c>
      <c r="F21" s="0" t="n">
        <f aca="false">F19*F20</f>
        <v>2809.99695254877</v>
      </c>
      <c r="G21" s="0" t="n">
        <f aca="false">G19*G20</f>
        <v>2616.64853838257</v>
      </c>
      <c r="H21" s="0" t="n">
        <f aca="false">H19*H20</f>
        <v>2424.60093923522</v>
      </c>
      <c r="I21" s="0" t="n">
        <f aca="false">I19*I20</f>
        <v>2246.64857672255</v>
      </c>
      <c r="J21" s="0" t="n">
        <f aca="false">J19*J20</f>
        <v>2081.75693806401</v>
      </c>
      <c r="K21" s="0" t="n">
        <f aca="false">K19*K20</f>
        <v>1928.96743802262</v>
      </c>
      <c r="L21" s="0" t="n">
        <f aca="false">L19*L20</f>
        <v>1787.39184624114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28012.4521426599</v>
      </c>
    </row>
    <row r="31" customFormat="false" ht="15" hidden="false" customHeight="false" outlineLevel="0" collapsed="false">
      <c r="A31" s="0" t="s">
        <v>135</v>
      </c>
      <c r="B31" s="0" t="n">
        <f aca="false">L19</f>
        <v>4231.40652905341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57265.0350265229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59239.6914067478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57265.0350265229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24189.3696524634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52201.8217951233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34035.8217951233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84.8773610850956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-0.678774699749856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1358.38487349684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1239.56671184516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91.3560433428063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31813.9083480683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29.6367131634167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3.8</v>
      </c>
      <c r="D5" s="4" t="n">
        <f aca="false">Assumptions!D27</f>
        <v>-11.4</v>
      </c>
      <c r="E5" s="4" t="n">
        <f aca="false">Assumptions!E27</f>
        <v>-2.9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152167</v>
      </c>
      <c r="C6" s="0" t="n">
        <f aca="false">B6*(1+C5/100)</f>
        <v>157949.346</v>
      </c>
      <c r="D6" s="0" t="n">
        <f aca="false">C6*(1+D5/100)</f>
        <v>139943.120556</v>
      </c>
      <c r="E6" s="0" t="n">
        <f aca="false">D6*(1+E5/100)</f>
        <v>135884.770059876</v>
      </c>
      <c r="F6" s="0" t="n">
        <f aca="false">E6*(1+F5/100)</f>
        <v>139281.889311373</v>
      </c>
      <c r="G6" s="0" t="n">
        <f aca="false">F6*(1+G5/100)</f>
        <v>142763.936544157</v>
      </c>
      <c r="H6" s="0" t="n">
        <f aca="false">G6*(1+H5/100)</f>
        <v>145619.21527504</v>
      </c>
      <c r="I6" s="0" t="n">
        <f aca="false">H6*(1+I5/100)</f>
        <v>148531.599580541</v>
      </c>
      <c r="J6" s="0" t="n">
        <f aca="false">I6*(1+J5/100)</f>
        <v>151502.231572152</v>
      </c>
      <c r="K6" s="0" t="n">
        <f aca="false">J6*(1+K5/100)</f>
        <v>154532.276203595</v>
      </c>
      <c r="L6" s="0" t="n">
        <f aca="false">K6*(1+L5/100)</f>
        <v>157622.921727667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8.1</v>
      </c>
      <c r="D7" s="4" t="n">
        <f aca="false">Assumptions!D28</f>
        <v>7.6</v>
      </c>
      <c r="E7" s="4" t="n">
        <f aca="false">Assumptions!E28</f>
        <v>7.65</v>
      </c>
      <c r="F7" s="4" t="n">
        <f aca="false">Assumptions!F28</f>
        <v>7.65</v>
      </c>
      <c r="G7" s="4" t="n">
        <f aca="false">Assumptions!G28</f>
        <v>7.65</v>
      </c>
      <c r="H7" s="4" t="n">
        <f aca="false">Assumptions!H28</f>
        <v>7.65</v>
      </c>
      <c r="I7" s="4" t="n">
        <f aca="false">Assumptions!I28</f>
        <v>7.65</v>
      </c>
      <c r="J7" s="4" t="n">
        <f aca="false">Assumptions!J28</f>
        <v>7.65</v>
      </c>
      <c r="K7" s="4" t="n">
        <f aca="false">Assumptions!K28</f>
        <v>7.65</v>
      </c>
      <c r="L7" s="4" t="n">
        <f aca="false">Assumptions!L28</f>
        <v>7.65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12793.897026</v>
      </c>
      <c r="D8" s="0" t="n">
        <f aca="false">D6*D7/100</f>
        <v>10635.677162256</v>
      </c>
      <c r="E8" s="0" t="n">
        <f aca="false">E6*E7/100</f>
        <v>10395.1849095805</v>
      </c>
      <c r="F8" s="0" t="n">
        <f aca="false">F6*F7/100</f>
        <v>10655.06453232</v>
      </c>
      <c r="G8" s="0" t="n">
        <f aca="false">G6*G7/100</f>
        <v>10921.441145628</v>
      </c>
      <c r="H8" s="0" t="n">
        <f aca="false">H6*H7/100</f>
        <v>11139.8699685406</v>
      </c>
      <c r="I8" s="0" t="n">
        <f aca="false">I6*I7/100</f>
        <v>11362.6673679114</v>
      </c>
      <c r="J8" s="0" t="n">
        <f aca="false">J6*J7/100</f>
        <v>11589.9207152696</v>
      </c>
      <c r="K8" s="0" t="n">
        <f aca="false">K6*K7/100</f>
        <v>11821.719129575</v>
      </c>
      <c r="L8" s="0" t="n">
        <f aca="false">L6*L7/100</f>
        <v>12058.1535121665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0.15</v>
      </c>
      <c r="D9" s="4" t="n">
        <f aca="false">Assumptions!D29</f>
        <v>0.16</v>
      </c>
      <c r="E9" s="4" t="n">
        <f aca="false">Assumptions!E29</f>
        <v>0.16</v>
      </c>
      <c r="F9" s="4" t="n">
        <f aca="false">Assumptions!F29</f>
        <v>0.16</v>
      </c>
      <c r="G9" s="4" t="n">
        <f aca="false">Assumptions!G29</f>
        <v>0.16</v>
      </c>
      <c r="H9" s="4" t="n">
        <f aca="false">Assumptions!H29</f>
        <v>0.16</v>
      </c>
      <c r="I9" s="4" t="n">
        <f aca="false">Assumptions!I29</f>
        <v>0.16</v>
      </c>
      <c r="J9" s="4" t="n">
        <f aca="false">Assumptions!J29</f>
        <v>0.16</v>
      </c>
      <c r="K9" s="4" t="n">
        <f aca="false">Assumptions!K29</f>
        <v>0.16</v>
      </c>
      <c r="L9" s="4" t="n">
        <f aca="false">Assumptions!L29</f>
        <v>0.16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-236.924019</v>
      </c>
      <c r="D10" s="0" t="n">
        <f aca="false">-D6*D9/100</f>
        <v>-223.9089928896</v>
      </c>
      <c r="E10" s="0" t="n">
        <f aca="false">-E6*E9/100</f>
        <v>-217.415632095802</v>
      </c>
      <c r="F10" s="0" t="n">
        <f aca="false">-F6*F9/100</f>
        <v>-222.851022898197</v>
      </c>
      <c r="G10" s="0" t="n">
        <f aca="false">-G6*G9/100</f>
        <v>-228.422298470652</v>
      </c>
      <c r="H10" s="0" t="n">
        <f aca="false">-H6*H9/100</f>
        <v>-232.990744440065</v>
      </c>
      <c r="I10" s="0" t="n">
        <f aca="false">-I6*I9/100</f>
        <v>-237.650559328866</v>
      </c>
      <c r="J10" s="0" t="n">
        <f aca="false">-J6*J9/100</f>
        <v>-242.403570515443</v>
      </c>
      <c r="K10" s="0" t="n">
        <f aca="false">-K6*K9/100</f>
        <v>-247.251641925752</v>
      </c>
      <c r="L10" s="0" t="n">
        <f aca="false">-L6*L9/100</f>
        <v>-252.196674764267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12556.973007</v>
      </c>
      <c r="D11" s="0" t="n">
        <f aca="false">D8+D10+D24</f>
        <v>10411.7681693664</v>
      </c>
      <c r="E11" s="0" t="n">
        <f aca="false">E8+E10+E24</f>
        <v>10177.7692774847</v>
      </c>
      <c r="F11" s="0" t="n">
        <f aca="false">F8+F10+F24</f>
        <v>10432.2135094218</v>
      </c>
      <c r="G11" s="0" t="n">
        <f aca="false">G8+G10+G24</f>
        <v>10693.0188471574</v>
      </c>
      <c r="H11" s="0" t="n">
        <f aca="false">H8+H10+H24</f>
        <v>10906.8792241005</v>
      </c>
      <c r="I11" s="0" t="n">
        <f aca="false">I8+I10+I24</f>
        <v>11125.0168085825</v>
      </c>
      <c r="J11" s="0" t="n">
        <f aca="false">J8+J10+J24</f>
        <v>11347.5171447542</v>
      </c>
      <c r="K11" s="0" t="n">
        <f aca="false">K8+K10+K24</f>
        <v>11574.4674876493</v>
      </c>
      <c r="L11" s="0" t="n">
        <f aca="false">L8+L10+L24</f>
        <v>11805.9568374023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-2290.265517</v>
      </c>
      <c r="D12" s="4" t="n">
        <f aca="false">-D6*Assumptions!D31/100</f>
        <v>-2351.0444253408</v>
      </c>
      <c r="E12" s="4" t="n">
        <f aca="false">-E6*Assumptions!E31/100</f>
        <v>-2337.21804502987</v>
      </c>
      <c r="F12" s="4" t="n">
        <f aca="false">-F6*Assumptions!F31/100</f>
        <v>-2395.64849615561</v>
      </c>
      <c r="G12" s="4" t="n">
        <f aca="false">-G6*Assumptions!G31/100</f>
        <v>-2455.5397085595</v>
      </c>
      <c r="H12" s="4" t="n">
        <f aca="false">-H6*Assumptions!H31/100</f>
        <v>-2504.65050273069</v>
      </c>
      <c r="I12" s="4" t="n">
        <f aca="false">-I6*Assumptions!I31/100</f>
        <v>-2554.74351278531</v>
      </c>
      <c r="J12" s="4" t="n">
        <f aca="false">-J6*Assumptions!J31/100</f>
        <v>-2605.83838304101</v>
      </c>
      <c r="K12" s="4" t="n">
        <f aca="false">-K6*Assumptions!K31/100</f>
        <v>-2657.95515070183</v>
      </c>
      <c r="L12" s="4" t="n">
        <f aca="false">-L6*Assumptions!L31/100</f>
        <v>-2711.11425371587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10266.70749</v>
      </c>
      <c r="D13" s="0" t="n">
        <f aca="false">D11+D12</f>
        <v>8060.7237440256</v>
      </c>
      <c r="E13" s="0" t="n">
        <f aca="false">E11+E12</f>
        <v>7840.55123245485</v>
      </c>
      <c r="F13" s="0" t="n">
        <f aca="false">F11+F12</f>
        <v>8036.56501326622</v>
      </c>
      <c r="G13" s="0" t="n">
        <f aca="false">G11+G12</f>
        <v>8237.47913859787</v>
      </c>
      <c r="H13" s="0" t="n">
        <f aca="false">H11+H12</f>
        <v>8402.22872136983</v>
      </c>
      <c r="I13" s="0" t="n">
        <f aca="false">I11+I12</f>
        <v>8570.27329579722</v>
      </c>
      <c r="J13" s="0" t="n">
        <f aca="false">J11+J12</f>
        <v>8741.67876171317</v>
      </c>
      <c r="K13" s="0" t="n">
        <f aca="false">K11+K12</f>
        <v>8916.51233694743</v>
      </c>
      <c r="L13" s="0" t="n">
        <f aca="false">L11+L12</f>
        <v>9094.84258368638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7905.3647673</v>
      </c>
      <c r="D15" s="0" t="n">
        <f aca="false">D13-MAX(0,D13)*D14/100</f>
        <v>6206.75728289971</v>
      </c>
      <c r="E15" s="0" t="n">
        <f aca="false">E13-MAX(0,E13)*E14/100</f>
        <v>6037.22444899023</v>
      </c>
      <c r="F15" s="0" t="n">
        <f aca="false">F13-MAX(0,F13)*F14/100</f>
        <v>6188.15506021499</v>
      </c>
      <c r="G15" s="0" t="n">
        <f aca="false">G13-MAX(0,G13)*G14/100</f>
        <v>6342.85893672036</v>
      </c>
      <c r="H15" s="0" t="n">
        <f aca="false">H13-MAX(0,H13)*H14/100</f>
        <v>6469.71611545477</v>
      </c>
      <c r="I15" s="0" t="n">
        <f aca="false">I13-MAX(0,I13)*I14/100</f>
        <v>6599.11043776386</v>
      </c>
      <c r="J15" s="0" t="n">
        <f aca="false">J13-MAX(0,J13)*J14/100</f>
        <v>6731.09264651914</v>
      </c>
      <c r="K15" s="0" t="n">
        <f aca="false">K13-MAX(0,K13)*K14/100</f>
        <v>6865.71449944952</v>
      </c>
      <c r="L15" s="0" t="n">
        <f aca="false">L13-MAX(0,L13)*L14/100</f>
        <v>7003.02878943852</v>
      </c>
    </row>
    <row r="16" customFormat="false" ht="15" hidden="false" customHeight="false" outlineLevel="0" collapsed="false">
      <c r="A16" s="0" t="s">
        <v>126</v>
      </c>
      <c r="C16" s="0" t="n">
        <f aca="false">-C12</f>
        <v>2290.265517</v>
      </c>
      <c r="D16" s="0" t="n">
        <f aca="false">-D12</f>
        <v>2351.0444253408</v>
      </c>
      <c r="E16" s="0" t="n">
        <f aca="false">-E12</f>
        <v>2337.21804502987</v>
      </c>
      <c r="F16" s="0" t="n">
        <f aca="false">-F12</f>
        <v>2395.64849615561</v>
      </c>
      <c r="G16" s="0" t="n">
        <f aca="false">-G12</f>
        <v>2455.5397085595</v>
      </c>
      <c r="H16" s="0" t="n">
        <f aca="false">-H12</f>
        <v>2504.65050273069</v>
      </c>
      <c r="I16" s="0" t="n">
        <f aca="false">-I12</f>
        <v>2554.74351278531</v>
      </c>
      <c r="J16" s="0" t="n">
        <f aca="false">-J12</f>
        <v>2605.83838304101</v>
      </c>
      <c r="K16" s="0" t="n">
        <f aca="false">-K12</f>
        <v>2657.95515070183</v>
      </c>
      <c r="L16" s="0" t="n">
        <f aca="false">-L12</f>
        <v>2711.11425371587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-2448.214863</v>
      </c>
      <c r="D17" s="4" t="n">
        <f aca="false">-D6*Assumptions!D32/100</f>
        <v>-2504.9818579524</v>
      </c>
      <c r="E17" s="4" t="n">
        <f aca="false">-E6*Assumptions!E32/100</f>
        <v>-2527.45672311369</v>
      </c>
      <c r="F17" s="4" t="n">
        <f aca="false">-F6*Assumptions!F32/100</f>
        <v>-2590.64314119154</v>
      </c>
      <c r="G17" s="4" t="n">
        <f aca="false">-G6*Assumptions!G32/100</f>
        <v>-2655.40921972132</v>
      </c>
      <c r="H17" s="4" t="n">
        <f aca="false">-H6*Assumptions!H32/100</f>
        <v>-2708.51740411575</v>
      </c>
      <c r="I17" s="4" t="n">
        <f aca="false">-I6*Assumptions!I32/100</f>
        <v>-2762.68775219807</v>
      </c>
      <c r="J17" s="4" t="n">
        <f aca="false">-J6*Assumptions!J32/100</f>
        <v>-2817.94150724203</v>
      </c>
      <c r="K17" s="4" t="n">
        <f aca="false">-K6*Assumptions!K32/100</f>
        <v>-2874.30033738687</v>
      </c>
      <c r="L17" s="4" t="n">
        <f aca="false">-L6*Assumptions!L32/100</f>
        <v>-2931.78634413461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7747.4154213</v>
      </c>
      <c r="D19" s="0" t="n">
        <f aca="false">D15+D16+D17+D18</f>
        <v>6052.81985028811</v>
      </c>
      <c r="E19" s="0" t="n">
        <f aca="false">E15+E16+E17+E18</f>
        <v>5846.98577090641</v>
      </c>
      <c r="F19" s="0" t="n">
        <f aca="false">F15+F16+F17+F18</f>
        <v>5993.16041517906</v>
      </c>
      <c r="G19" s="0" t="n">
        <f aca="false">G15+G16+G17+G18</f>
        <v>6142.98942555854</v>
      </c>
      <c r="H19" s="0" t="n">
        <f aca="false">H15+H16+H17+H18</f>
        <v>6265.84921406971</v>
      </c>
      <c r="I19" s="0" t="n">
        <f aca="false">I15+I16+I17+I18</f>
        <v>6391.1661983511</v>
      </c>
      <c r="J19" s="0" t="n">
        <f aca="false">J15+J16+J17+J18</f>
        <v>6518.98952231813</v>
      </c>
      <c r="K19" s="0" t="n">
        <f aca="false">K15+K16+K17+K18</f>
        <v>6649.36931276449</v>
      </c>
      <c r="L19" s="0" t="n">
        <f aca="false">L15+L16+L17+L18</f>
        <v>6782.35669901978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7107.72057</v>
      </c>
      <c r="D21" s="0" t="n">
        <f aca="false">D19*D20</f>
        <v>5094.5373708342</v>
      </c>
      <c r="E21" s="0" t="n">
        <f aca="false">E19*E20</f>
        <v>4514.94582044603</v>
      </c>
      <c r="F21" s="0" t="n">
        <f aca="false">F19*F20</f>
        <v>4245.70593207081</v>
      </c>
      <c r="G21" s="0" t="n">
        <f aca="false">G19*G20</f>
        <v>3992.52163336934</v>
      </c>
      <c r="H21" s="0" t="n">
        <f aca="false">H19*H20</f>
        <v>3736.12116150158</v>
      </c>
      <c r="I21" s="0" t="n">
        <f aca="false">I19*I20</f>
        <v>3496.18677498313</v>
      </c>
      <c r="J21" s="0" t="n">
        <f aca="false">J19*J20</f>
        <v>3271.66101879155</v>
      </c>
      <c r="K21" s="0" t="n">
        <f aca="false">K19*K20</f>
        <v>3061.55434785999</v>
      </c>
      <c r="L21" s="0" t="n">
        <f aca="false">L19*L20</f>
        <v>2864.94076588733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41385.895395744</v>
      </c>
    </row>
    <row r="31" customFormat="false" ht="15" hidden="false" customHeight="false" outlineLevel="0" collapsed="false">
      <c r="A31" s="0" t="s">
        <v>135</v>
      </c>
      <c r="B31" s="0" t="n">
        <f aca="false">L19</f>
        <v>6782.35669901978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98828.6261857168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94952.9937862769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94952.9937862769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40109.1707224226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81495.0661181665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63329.0661181665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157.927845681213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-0.40230917881689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1490.99213450452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1552.3030414465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165.517110459146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53215.4141000014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68.4196377700243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6.5</v>
      </c>
      <c r="D5" s="4" t="n">
        <f aca="false">Assumptions!D41</f>
        <v>-7</v>
      </c>
      <c r="E5" s="4" t="n">
        <f aca="false">Assumptions!E41</f>
        <v>-1.5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152167</v>
      </c>
      <c r="C6" s="0" t="n">
        <f aca="false">B6*(1+C5/100)</f>
        <v>162057.855</v>
      </c>
      <c r="D6" s="0" t="n">
        <f aca="false">C6*(1+D5/100)</f>
        <v>150713.80515</v>
      </c>
      <c r="E6" s="0" t="n">
        <f aca="false">D6*(1+E5/100)</f>
        <v>148453.09807275</v>
      </c>
      <c r="F6" s="0" t="n">
        <f aca="false">E6*(1+F5/100)</f>
        <v>152906.691014932</v>
      </c>
      <c r="G6" s="0" t="n">
        <f aca="false">F6*(1+G5/100)</f>
        <v>157493.89174538</v>
      </c>
      <c r="H6" s="0" t="n">
        <f aca="false">G6*(1+H5/100)</f>
        <v>161431.239039015</v>
      </c>
      <c r="I6" s="0" t="n">
        <f aca="false">H6*(1+I5/100)</f>
        <v>165467.02001499</v>
      </c>
      <c r="J6" s="0" t="n">
        <f aca="false">I6*(1+J5/100)</f>
        <v>169603.695515365</v>
      </c>
      <c r="K6" s="0" t="n">
        <f aca="false">J6*(1+K5/100)</f>
        <v>173843.787903249</v>
      </c>
      <c r="L6" s="0" t="n">
        <f aca="false">K6*(1+L5/100)</f>
        <v>178189.88260083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9.3</v>
      </c>
      <c r="D7" s="4" t="n">
        <f aca="false">Assumptions!D42</f>
        <v>8.8</v>
      </c>
      <c r="E7" s="4" t="n">
        <f aca="false">Assumptions!E42</f>
        <v>8.9</v>
      </c>
      <c r="F7" s="4" t="n">
        <f aca="false">Assumptions!F42</f>
        <v>8.9</v>
      </c>
      <c r="G7" s="4" t="n">
        <f aca="false">Assumptions!G42</f>
        <v>8.9</v>
      </c>
      <c r="H7" s="4" t="n">
        <f aca="false">Assumptions!H42</f>
        <v>8.9</v>
      </c>
      <c r="I7" s="4" t="n">
        <f aca="false">Assumptions!I42</f>
        <v>8.9</v>
      </c>
      <c r="J7" s="4" t="n">
        <f aca="false">Assumptions!J42</f>
        <v>8.9</v>
      </c>
      <c r="K7" s="4" t="n">
        <f aca="false">Assumptions!K42</f>
        <v>8.9</v>
      </c>
      <c r="L7" s="4" t="n">
        <f aca="false">Assumptions!L42</f>
        <v>8.9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15071.380515</v>
      </c>
      <c r="D8" s="0" t="n">
        <f aca="false">D6*D7/100</f>
        <v>13262.8148532</v>
      </c>
      <c r="E8" s="0" t="n">
        <f aca="false">E6*E7/100</f>
        <v>13212.3257284747</v>
      </c>
      <c r="F8" s="0" t="n">
        <f aca="false">F6*F7/100</f>
        <v>13608.695500329</v>
      </c>
      <c r="G8" s="0" t="n">
        <f aca="false">G6*G7/100</f>
        <v>14016.9563653389</v>
      </c>
      <c r="H8" s="0" t="n">
        <f aca="false">H6*H7/100</f>
        <v>14367.3802744723</v>
      </c>
      <c r="I8" s="0" t="n">
        <f aca="false">I6*I7/100</f>
        <v>14726.5647813341</v>
      </c>
      <c r="J8" s="0" t="n">
        <f aca="false">J6*J7/100</f>
        <v>15094.7289008675</v>
      </c>
      <c r="K8" s="0" t="n">
        <f aca="false">K6*K7/100</f>
        <v>15472.0971233892</v>
      </c>
      <c r="L8" s="0" t="n">
        <f aca="false">L6*L7/100</f>
        <v>15858.8995514739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0.15</v>
      </c>
      <c r="D9" s="4" t="n">
        <f aca="false">Assumptions!D43</f>
        <v>0.16</v>
      </c>
      <c r="E9" s="4" t="n">
        <f aca="false">Assumptions!E43</f>
        <v>0.16</v>
      </c>
      <c r="F9" s="4" t="n">
        <f aca="false">Assumptions!F43</f>
        <v>0.16</v>
      </c>
      <c r="G9" s="4" t="n">
        <f aca="false">Assumptions!G43</f>
        <v>0.16</v>
      </c>
      <c r="H9" s="4" t="n">
        <f aca="false">Assumptions!H43</f>
        <v>0.16</v>
      </c>
      <c r="I9" s="4" t="n">
        <f aca="false">Assumptions!I43</f>
        <v>0.16</v>
      </c>
      <c r="J9" s="4" t="n">
        <f aca="false">Assumptions!J43</f>
        <v>0.16</v>
      </c>
      <c r="K9" s="4" t="n">
        <f aca="false">Assumptions!K43</f>
        <v>0.16</v>
      </c>
      <c r="L9" s="4" t="n">
        <f aca="false">Assumptions!L43</f>
        <v>0.16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-243.0867825</v>
      </c>
      <c r="D10" s="0" t="n">
        <f aca="false">-D6*D9/100</f>
        <v>-241.14208824</v>
      </c>
      <c r="E10" s="0" t="n">
        <f aca="false">-E6*E9/100</f>
        <v>-237.5249569164</v>
      </c>
      <c r="F10" s="0" t="n">
        <f aca="false">-F6*F9/100</f>
        <v>-244.650705623892</v>
      </c>
      <c r="G10" s="0" t="n">
        <f aca="false">-G6*G9/100</f>
        <v>-251.990226792609</v>
      </c>
      <c r="H10" s="0" t="n">
        <f aca="false">-H6*H9/100</f>
        <v>-258.289982462424</v>
      </c>
      <c r="I10" s="0" t="n">
        <f aca="false">-I6*I9/100</f>
        <v>-264.747232023984</v>
      </c>
      <c r="J10" s="0" t="n">
        <f aca="false">-J6*J9/100</f>
        <v>-271.365912824584</v>
      </c>
      <c r="K10" s="0" t="n">
        <f aca="false">-K6*K9/100</f>
        <v>-278.150060645199</v>
      </c>
      <c r="L10" s="0" t="n">
        <f aca="false">-L6*L9/100</f>
        <v>-285.103812161329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14828.2937325</v>
      </c>
      <c r="D11" s="0" t="n">
        <f aca="false">D8+D10+D24</f>
        <v>13021.67276496</v>
      </c>
      <c r="E11" s="0" t="n">
        <f aca="false">E8+E10+E24</f>
        <v>12974.8007715583</v>
      </c>
      <c r="F11" s="0" t="n">
        <f aca="false">F8+F10+F24</f>
        <v>13364.0447947051</v>
      </c>
      <c r="G11" s="0" t="n">
        <f aca="false">G8+G10+G24</f>
        <v>13764.9661385463</v>
      </c>
      <c r="H11" s="0" t="n">
        <f aca="false">H8+H10+H24</f>
        <v>14109.0902920099</v>
      </c>
      <c r="I11" s="0" t="n">
        <f aca="false">I8+I10+I24</f>
        <v>14461.8175493102</v>
      </c>
      <c r="J11" s="0" t="n">
        <f aca="false">J8+J10+J24</f>
        <v>14823.3629880429</v>
      </c>
      <c r="K11" s="0" t="n">
        <f aca="false">K8+K10+K24</f>
        <v>15193.947062744</v>
      </c>
      <c r="L11" s="0" t="n">
        <f aca="false">L8+L10+L24</f>
        <v>15573.7957393126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-2301.221541</v>
      </c>
      <c r="D12" s="4" t="n">
        <f aca="false">-D6*Assumptions!D45/100</f>
        <v>-2381.27812137</v>
      </c>
      <c r="E12" s="4" t="n">
        <f aca="false">-E6*Assumptions!E45/100</f>
        <v>-2375.249569164</v>
      </c>
      <c r="F12" s="4" t="n">
        <f aca="false">-F6*Assumptions!F45/100</f>
        <v>-2446.50705623892</v>
      </c>
      <c r="G12" s="4" t="n">
        <f aca="false">-G6*Assumptions!G45/100</f>
        <v>-2519.90226792609</v>
      </c>
      <c r="H12" s="4" t="n">
        <f aca="false">-H6*Assumptions!H45/100</f>
        <v>-2582.89982462424</v>
      </c>
      <c r="I12" s="4" t="n">
        <f aca="false">-I6*Assumptions!I45/100</f>
        <v>-2647.47232023985</v>
      </c>
      <c r="J12" s="4" t="n">
        <f aca="false">-J6*Assumptions!J45/100</f>
        <v>-2713.65912824584</v>
      </c>
      <c r="K12" s="4" t="n">
        <f aca="false">-K6*Assumptions!K45/100</f>
        <v>-2781.50060645199</v>
      </c>
      <c r="L12" s="4" t="n">
        <f aca="false">-L6*Assumptions!L45/100</f>
        <v>-2851.03812161329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12527.0721915</v>
      </c>
      <c r="D13" s="0" t="n">
        <f aca="false">D11+D12</f>
        <v>10640.39464359</v>
      </c>
      <c r="E13" s="0" t="n">
        <f aca="false">E11+E12</f>
        <v>10599.5512023943</v>
      </c>
      <c r="F13" s="0" t="n">
        <f aca="false">F11+F12</f>
        <v>10917.5377384662</v>
      </c>
      <c r="G13" s="0" t="n">
        <f aca="false">G11+G12</f>
        <v>11245.0638706202</v>
      </c>
      <c r="H13" s="0" t="n">
        <f aca="false">H11+H12</f>
        <v>11526.1904673857</v>
      </c>
      <c r="I13" s="0" t="n">
        <f aca="false">I11+I12</f>
        <v>11814.3452290703</v>
      </c>
      <c r="J13" s="0" t="n">
        <f aca="false">J11+J12</f>
        <v>12109.7038597971</v>
      </c>
      <c r="K13" s="0" t="n">
        <f aca="false">K11+K12</f>
        <v>12412.446456292</v>
      </c>
      <c r="L13" s="0" t="n">
        <f aca="false">L11+L12</f>
        <v>12722.7576176993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9645.845587455</v>
      </c>
      <c r="D15" s="0" t="n">
        <f aca="false">D13-MAX(0,D13)*D14/100</f>
        <v>8193.1038755643</v>
      </c>
      <c r="E15" s="0" t="n">
        <f aca="false">E13-MAX(0,E13)*E14/100</f>
        <v>8161.65442584365</v>
      </c>
      <c r="F15" s="0" t="n">
        <f aca="false">F13-MAX(0,F13)*F14/100</f>
        <v>8406.50405861896</v>
      </c>
      <c r="G15" s="0" t="n">
        <f aca="false">G13-MAX(0,G13)*G14/100</f>
        <v>8658.69918037753</v>
      </c>
      <c r="H15" s="0" t="n">
        <f aca="false">H13-MAX(0,H13)*H14/100</f>
        <v>8875.16665988696</v>
      </c>
      <c r="I15" s="0" t="n">
        <f aca="false">I13-MAX(0,I13)*I14/100</f>
        <v>9097.04582638414</v>
      </c>
      <c r="J15" s="0" t="n">
        <f aca="false">J13-MAX(0,J13)*J14/100</f>
        <v>9324.47197204374</v>
      </c>
      <c r="K15" s="0" t="n">
        <f aca="false">K13-MAX(0,K13)*K14/100</f>
        <v>9557.58377134483</v>
      </c>
      <c r="L15" s="0" t="n">
        <f aca="false">L13-MAX(0,L13)*L14/100</f>
        <v>9796.52336562845</v>
      </c>
    </row>
    <row r="16" customFormat="false" ht="15" hidden="false" customHeight="false" outlineLevel="0" collapsed="false">
      <c r="A16" s="0" t="s">
        <v>126</v>
      </c>
      <c r="C16" s="0" t="n">
        <f aca="false">-C12</f>
        <v>2301.221541</v>
      </c>
      <c r="D16" s="0" t="n">
        <f aca="false">-D12</f>
        <v>2381.27812137</v>
      </c>
      <c r="E16" s="0" t="n">
        <f aca="false">-E12</f>
        <v>2375.249569164</v>
      </c>
      <c r="F16" s="0" t="n">
        <f aca="false">-F12</f>
        <v>2446.50705623892</v>
      </c>
      <c r="G16" s="0" t="n">
        <f aca="false">-G12</f>
        <v>2519.90226792609</v>
      </c>
      <c r="H16" s="0" t="n">
        <f aca="false">-H12</f>
        <v>2582.89982462424</v>
      </c>
      <c r="I16" s="0" t="n">
        <f aca="false">-I12</f>
        <v>2647.47232023985</v>
      </c>
      <c r="J16" s="0" t="n">
        <f aca="false">-J12</f>
        <v>2713.65912824584</v>
      </c>
      <c r="K16" s="0" t="n">
        <f aca="false">-K12</f>
        <v>2781.50060645199</v>
      </c>
      <c r="L16" s="0" t="n">
        <f aca="false">-L12</f>
        <v>2851.03812161329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-2592.92568</v>
      </c>
      <c r="D17" s="4" t="n">
        <f aca="false">-D6*Assumptions!D46/100</f>
        <v>-2788.205395275</v>
      </c>
      <c r="E17" s="4" t="n">
        <f aca="false">-E6*Assumptions!E46/100</f>
        <v>-2820.60886338225</v>
      </c>
      <c r="F17" s="4" t="n">
        <f aca="false">-F6*Assumptions!F46/100</f>
        <v>-2905.22712928372</v>
      </c>
      <c r="G17" s="4" t="n">
        <f aca="false">-G6*Assumptions!G46/100</f>
        <v>-2992.38394316223</v>
      </c>
      <c r="H17" s="4" t="n">
        <f aca="false">-H6*Assumptions!H46/100</f>
        <v>-3067.19354174128</v>
      </c>
      <c r="I17" s="4" t="n">
        <f aca="false">-I6*Assumptions!I46/100</f>
        <v>-3143.87338028482</v>
      </c>
      <c r="J17" s="4" t="n">
        <f aca="false">-J6*Assumptions!J46/100</f>
        <v>-3222.47021479194</v>
      </c>
      <c r="K17" s="4" t="n">
        <f aca="false">-K6*Assumptions!K46/100</f>
        <v>-3303.03197016173</v>
      </c>
      <c r="L17" s="4" t="n">
        <f aca="false">-L6*Assumptions!L46/100</f>
        <v>-3385.60776941578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-0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9354.141448455</v>
      </c>
      <c r="D19" s="0" t="n">
        <f aca="false">D15+D16+D17+D18</f>
        <v>7786.1766016593</v>
      </c>
      <c r="E19" s="0" t="n">
        <f aca="false">E15+E16+E17+E18</f>
        <v>7716.2951316254</v>
      </c>
      <c r="F19" s="0" t="n">
        <f aca="false">F15+F16+F17+F18</f>
        <v>7947.78398557416</v>
      </c>
      <c r="G19" s="0" t="n">
        <f aca="false">G15+G16+G17+G18</f>
        <v>8186.21750514139</v>
      </c>
      <c r="H19" s="0" t="n">
        <f aca="false">H15+H16+H17+H18</f>
        <v>8390.87294276992</v>
      </c>
      <c r="I19" s="0" t="n">
        <f aca="false">I15+I16+I17+I18</f>
        <v>8600.64476633917</v>
      </c>
      <c r="J19" s="0" t="n">
        <f aca="false">J15+J16+J17+J18</f>
        <v>8815.66088549765</v>
      </c>
      <c r="K19" s="0" t="n">
        <f aca="false">K15+K16+K17+K18</f>
        <v>9036.05240763508</v>
      </c>
      <c r="L19" s="0" t="n">
        <f aca="false">L15+L16+L17+L18</f>
        <v>9261.95371782596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8581.78114537156</v>
      </c>
      <c r="D21" s="0" t="n">
        <f aca="false">D19*D20</f>
        <v>6553.46906965685</v>
      </c>
      <c r="E21" s="0" t="n">
        <f aca="false">E19*E20</f>
        <v>5958.39562791675</v>
      </c>
      <c r="F21" s="0" t="n">
        <f aca="false">F19*F20</f>
        <v>5630.41054748096</v>
      </c>
      <c r="G21" s="0" t="n">
        <f aca="false">G19*G20</f>
        <v>5320.47969165632</v>
      </c>
      <c r="H21" s="0" t="n">
        <f aca="false">H19*H20</f>
        <v>5003.20337976856</v>
      </c>
      <c r="I21" s="0" t="n">
        <f aca="false">I19*I20</f>
        <v>4704.84721491997</v>
      </c>
      <c r="J21" s="0" t="n">
        <f aca="false">J19*J20</f>
        <v>4424.28293146144</v>
      </c>
      <c r="K21" s="0" t="n">
        <f aca="false">K19*K20</f>
        <v>4160.44954564035</v>
      </c>
      <c r="L21" s="0" t="n">
        <f aca="false">L19*L20</f>
        <v>3912.34934337739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54249.6684972501</v>
      </c>
    </row>
    <row r="31" customFormat="false" ht="15" hidden="false" customHeight="false" outlineLevel="0" collapsed="false">
      <c r="A31" s="0" t="s">
        <v>135</v>
      </c>
      <c r="B31" s="0" t="n">
        <f aca="false">L19</f>
        <v>9261.95371782596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146053.885550333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129667.352049563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129667.352049563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54772.8908072835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109022.559304534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90856.5593045336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226.574960859186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-0.142508568825697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1630.00982781571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1899.10314811856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235.3757413478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75948.0204861729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107.025526647877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84.8773610850956</v>
      </c>
      <c r="C4" s="0" t="n">
        <f aca="false">B4/Assumptions!$B$2-1</f>
        <v>-0.678774699749856</v>
      </c>
      <c r="D4" s="4" t="n">
        <f aca="false">Assumptions!$B$24</f>
        <v>0.25</v>
      </c>
      <c r="E4" s="4" t="n">
        <f aca="false">DCF_Bear!$B$43</f>
        <v>91.3560433428063</v>
      </c>
      <c r="F4" s="4" t="n">
        <f aca="false">DCF_Bear!$B$47</f>
        <v>29.6367131634167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157.927845681213</v>
      </c>
      <c r="C5" s="0" t="n">
        <f aca="false">B5/Assumptions!$B$2-1</f>
        <v>-0.40230917881689</v>
      </c>
      <c r="D5" s="4" t="n">
        <f aca="false">Assumptions!$B$38</f>
        <v>0.5</v>
      </c>
      <c r="E5" s="4" t="n">
        <f aca="false">DCF_Base!$B$43</f>
        <v>165.517110459146</v>
      </c>
      <c r="F5" s="4" t="n">
        <f aca="false">DCF_Base!$B$47</f>
        <v>68.4196377700243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226.574960859186</v>
      </c>
      <c r="C6" s="0" t="n">
        <f aca="false">B6/Assumptions!$B$2-1</f>
        <v>-0.142508568825697</v>
      </c>
      <c r="D6" s="4" t="n">
        <f aca="false">Assumptions!$B$52</f>
        <v>0.25</v>
      </c>
      <c r="E6" s="4" t="n">
        <f aca="false">DCF_Bull!$B$43</f>
        <v>235.3757413478</v>
      </c>
      <c r="F6" s="4" t="n">
        <f aca="false">DCF_Bull!$B$47</f>
        <v>107.025526647877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156.827003326677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164.441501402225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-0.684850149496246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1410.50658372645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68.3753788378355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157.927845681213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136.689718104944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116.985972851555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101.214327305944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68.4196377700243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187.954021060405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187.954021060405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187.954021060405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187.954021060405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187.954021060405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172.253302690803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172.253302690803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172.253302690803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172.253302690803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172.253302690803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148.104170985216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154.593750026814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157.927845681213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157.927845681213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157.927845681213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126.727189277682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131.41543813757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136.689718104944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142.667235401301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144.840878054521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109.639363701135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113.119336456597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116.985972851555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121.30750764592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126.16923428958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2026-10-02T07:45:47Z</dcterms:created>
  <dc:creator>openpyxl</dc:creator>
  <dc:description/>
  <dc:language>en-NZ</dc:language>
  <cp:lastModifiedBy/>
  <dcterms:modified xsi:type="dcterms:W3CDTF">2026-10-02T07:45:47Z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