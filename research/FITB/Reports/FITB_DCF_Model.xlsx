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<sst xmlns="http://schemas.openxmlformats.org/spreadsheetml/2006/main" count="391" uniqueCount="177">
  <si>
    <t xml:space="preserve">Ticker</t>
  </si>
  <si>
    <t xml:space="preserve">FITB</t>
  </si>
  <si>
    <t xml:space="preserve">Company</t>
  </si>
  <si>
    <t xml:space="preserve">Fifth Third Bancorp</t>
  </si>
  <si>
    <t xml:space="preserve">Valuation date</t>
  </si>
  <si>
    <t xml:space="preserve">2026-09-28</t>
  </si>
  <si>
    <t xml:space="preserve">Current price</t>
  </si>
  <si>
    <t xml:space="preserve">Price as of</t>
  </si>
  <si>
    <t xml:space="preserve">2026-09-25T20:00:03Z NYSE regular close</t>
  </si>
  <si>
    <t xml:space="preserve">Balance sheet date</t>
  </si>
  <si>
    <t xml:space="preserve">2026-06-30</t>
  </si>
  <si>
    <t xml:space="preserve">Model</t>
  </si>
  <si>
    <t xml:space="preserve">Bank FCFE capitalisation at cost of equity (engine route; GAAP earnings ex acquisition charges after regulatory capital retention, deposits and borrowings not net debt, preferred stock deducted at par)</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</si>
  <si>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</si>
  <si>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</si>
  <si>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</si>
  <si>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</si>
  <si>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</si>
  <si>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</si>
  <si>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</si>
  <si>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</si>
  <si>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2026-09-28T08:25:42Z</t>
  </si>
  <si>
    <t xml:space="preserve">Drivers file</t>
  </si>
  <si>
    <t xml:space="preserve">FITB_Drivers.json</t>
  </si>
  <si>
    <t xml:space="preserve">Convention</t>
  </si>
  <si>
    <t xml:space="preserve">Percents stored as percents; formulas divide by 100. Blue = input, green = link, black = formula.</t>
  </si>
  <si>
    <t xml:space="preserve">Methodology</t>
  </si>
  <si>
    <t xml:space="preserve">summary: A super-regional bank is valued on what it can distribute after funding its regulatory capital, discounted at a USD cost of equity, never on statutory operating cash flow (which is loan-sale and deposit movement) and never with deposits or FHLB/senior debt treated as net debt. Earnings ex acquisition charges are the flow, the core-deposit-intangible amortisation is added back because it is book-only, capital retention at the CET1 target is the reinvestment, preferred stock is deducted at par, and 10% is the return an owner requires with the 10-year at 5%. The result is the residual-income answer in FCFE form: at a high-teens return on tangible equity and 2.5% growth the franchise is worth ~2x tangible book, which is roughly what the market pays, so the stock is a fair-value hold rather than a bargain, and the 15% hurdle entry price sits far below the quote.
key_risks_to_valuation: Integration: every 10% of the $850m synergy target not delivered is ~$65m after tax (~1.7% of earnings); customer attrition on the Comerica commercial deposit book would hit NII directly; Credit cycle: every 10bp on the provision (on ~$175bn of loans) is ~$175m pre-tax (~4.5% of earnings); FY2020 provisioning was 15% of revenue versus the 5.5-6% modelled; Net interest margin: 5bp on ~$270bn of interest-earning assets is ~$135m of NII (1% of revenue); the FY2026 NII guide is explicitly conditioned on a September 2026 Fed move; Cost of equity: the 10.0% rate embeds a 5.1% 10-year; at 9.0% the base value is ~$7/share higher, at 11.0% ~$6.5 lower (sensitivity grid); Capital: CET1 9.93% is below the 10.0-10.5% band; a heavier Basel III endgame or Category III treatment as assets pass $300bn would raise retention above the modelled g x TCE; Share count: the 911m fully diluted count is the 30 Jun 2026 figure plus 4m dilutive awards; the H2-2026 buyback will lower it but the model gives no credit until it is in a filing</t>
  </si>
  <si>
    <t xml:space="preserve">Data sources</t>
  </si>
  <si>
    <t xml:space="preserve">price: Yahoo Finance chart API at inputs.price_as_of (NYSE regular close); 52-week range 40.05-59.50.
financials: FITB_Metrics.csv (core_metrics, USD millions, FY2007-FY2025 annual plus quarterly and half-year rows to Q2-2026) exported from FITB.duckdb, with kpis NetInterestIncome, NonInterestIncome, buybacks and cash_taxes; SEC XBRL companyfacts for CIK 0000035527 (10-K filed 2026-02-24, 10-Q filed 2026-05-05 and 2026-08-04) for Goodwill, IntangibleAssetsNetExcludingGoodwill, PreferredStockValue, StockholdersEquity, CommonStockSharesOutstanding, IncrementalCommonSharesAttributableToShareBasedPaymentArrangements, ProvisionForLoanLeaseAndOtherLosses, NoninterestExpense, IncomeTaxExpenseBenefit, DividendsPreferredStock, ShareBasedCompensation, PaymentsForRepurchaseOfCommonStock, Deposits, LongTermDebt, ShortTermBorrowings and the FiniteLivedIntangibleAssetsAmortizationExpense schedule. No filing text is extracted for this ticker (US XBRL route).
qualitative: FITB_Analysis.json (2026-09-28): Comerica merger terms and synergy target, FY2026 guidance raised at Q2-2026 (NII, fees, expense, NCO, CET1 target), NYSE listing transfer 12 Jun 2026, September 2026 regional-bank sell-off and analyst target cuts, bull/bear cases.</t>
  </si>
  <si>
    <t xml:space="preserve">Scenario narrative: bear</t>
  </si>
  <si>
    <t xml:space="preserve">The largest deal in Fifth Third's history slips: systems conversion loses Comerica commercial deposits, synergies arrive late and integration charges run into FY2027. At the same time the 5%+ 10-year that hit regional banks in September 2026 proves durable: deposit costs stay sticky, loan demand stalls, and a 2027-28 credit turn in commercial real estate and leveraged middle-market lending lifts the provision to 8-10% of revenue (60-75bp NCO). Buybacks are suspended for two years while CET1 is rebuilt through retained earnings. Growth settles at 2% and the pre-tax margin recovers only to ~37%, leaving the bank worth roughly 1.8x tangible book, a fifth below today's price.</t>
  </si>
  <si>
    <t xml:space="preserve">Scenario narrative: base</t>
  </si>
  <si>
    <t xml:space="preserve">Fifth Third integrates Comerica on plan: the $850m synergy target is largely delivered by FY2027 but reinvested in 50+ Southeast and Texas branches a year and technology, so the efficiency ratio settles around 55% rather than the low 50s. Revenue grows 6% in FY2027 on a twelfth month of Comerica and ~3.5% organic, then fades to 2.5%. Credit normalises to ~40bp of loans on a book that is now ~60% commercial. CET1 is rebuilt to the middle of the 10.0-10.5% band in FY2027 and thereafter ~80-85% of earnings is distributed through the $0.42 quarterly dividend and resumed buybacks. At a 10% cost of equity and a high-teens return on tangible equity (the goodwill from a 20%-premium all-stock deal sits outside TCE) the combined bank is worth roughly 2.2x tangible book, which is where the market has it.</t>
  </si>
  <si>
    <t xml:space="preserve">Scenario narrative: bull</t>
  </si>
  <si>
    <t xml:space="preserve">Comerica's middle-market, specialty commercial and Texas/California footprint compounds faster than the Midwest core, the Southeast de novo programme keeps taking deposit share, and the deposit book reprices down faster than assets so NIM widens. Full synergies plus operating leverage take the efficiency ratio to 52% by FY2029 with credit still benign (~35bp). Earnings reach ~$5.5bn by FY2029 and the bank distributes most of it; a 3% terminal growth rate on a 45% pre-tax margin is worth materially more than today's price.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</si>
  <si>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</si>
  <si>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</si>
  <si>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</si>
  <si>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</si>
  <si>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</si>
  <si>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</si>
  <si>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</si>
  <si>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</si>
  <si>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</si>
  <si>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</si>
  <si>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</si>
  <si>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</si>
  <si>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</si>
  <si>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</si>
  <si>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</si>
  <si>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</si>
  <si>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</si>
  <si>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</si>
  <si>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</si>
  <si>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</si>
  <si>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</si>
  <si>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</si>
  <si>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</si>
  <si>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</si>
  <si>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</si>
  <si>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</si>
  <si>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</si>
  <si>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NetInterestIncome</t>
  </si>
  <si>
    <t xml:space="preserve">NonInterestIncome</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</si>
  <si>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</si>
  <si>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</si>
  <si>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</si>
  <si>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</si>
  <si>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</si>
  <si>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</si>
  <si>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</si>
  <si>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</si>
  <si>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</si>
  <si>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</si>
  <si>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</si>
  <si>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</si>
  <si>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</si>
  <si>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</si>
  <si>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</si>
  <si>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</si>
  <si>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</si>
  <si>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</si>
  <si>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</si>
  <si>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</si>
  <si>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</si>
  <si>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</si>
  <si>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</si>
  <si>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</si>
  <si>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</si>
  <si>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</si>
  <si>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</si>
  <si>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</si>
  <si>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</si>
  <si>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</si>
  <si>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</si>
  <si>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</si>
  <si>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</si>
  <si>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</si>
  <si>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</si>
  <si>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</si>
  <si>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</si>
  <si>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</si>
  <si>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</si>
  <si>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</si>
  <si>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</si>
  <si>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</si>
  <si>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</si>
  <si>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</si>
  <si>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</si>
  <si>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</si>
  <si>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</si>
  <si>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</si>
  <si>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</si>
  <si>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</si>
  <si>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</si>
  <si>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</si>
  <si>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</si>
  <si>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</si>
  <si>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</si>
  <si>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</si>
  <si>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</si>
  <si>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</si>
  <si>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FITB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</si>
  <si>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</si>
  <si>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</si>
  <si>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</si>
  <si>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</si>
  <si>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</si>
  <si>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</si>
  <si>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</si>
  <si>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</si>
  <si>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</si>
  <si>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</si>
  <si>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</si>
  <si>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</si>
  <si>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</si>
  <si>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</si>
  <si>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</si>
  <si>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</si>
  <si>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</si>
  <si>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</si>
  <si>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</si>
  <si>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</si>
  <si>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</si>
  <si>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</si>
  <si>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</si>
  <si>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</si>
  <si>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</si>
  <si>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</si>
  <si>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</si>
  <si>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</si>
  <si>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</si>
  <si>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</si>
  <si>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FITB owner-FCF component DCF: base case (millions, USD)</t>
  </si>
  <si>
    <t xml:space="preserve">FITB owner-FCF component DCF: bull case (millions, USD)</t>
  </si>
  <si>
    <t xml:space="preserve">FITB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</si>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</sst>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O2" s="0" t="n">
        <v>10022</v>
      </c>
      <c r="AA2" s="0" t="s">
        <v>17</v>
      </c>
      <c r="AB2" s="0" t="s">
        <v>14</v>
      </c>
    </row>
    <row r="3" customFormat="false" ht="15" hidden="false" customHeight="false" outlineLevel="0" collapsed="false">
      <c r="A3" s="0" t="s">
        <v>66</v>
      </c>
      <c r="B3" s="0" t="n">
        <v>5476</v>
      </c>
      <c r="I3" s="0" t="n">
        <v>1076</v>
      </c>
      <c r="J3" s="0" t="n">
        <v>19.6493791088386</v>
      </c>
      <c r="K3" s="0" t="n">
        <v>1.99</v>
      </c>
      <c r="L3" s="0" t="n">
        <v>-705</v>
      </c>
      <c r="M3" s="0" t="n">
        <v>459</v>
      </c>
      <c r="N3" s="0" t="n">
        <v>-1164</v>
      </c>
      <c r="O3" s="0" t="n">
        <v>9161</v>
      </c>
      <c r="U3" s="0" t="n">
        <v>61</v>
      </c>
      <c r="V3" s="0" t="n">
        <v>1.7</v>
      </c>
      <c r="AA3" s="0" t="s">
        <v>17</v>
      </c>
      <c r="AB3" s="0" t="s">
        <v>14</v>
      </c>
      <c r="AC3" s="0" t="n">
        <v>3009</v>
      </c>
      <c r="AD3" s="0" t="n">
        <v>2467</v>
      </c>
    </row>
    <row r="4" customFormat="false" ht="15" hidden="false" customHeight="false" outlineLevel="0" collapsed="false">
      <c r="A4" s="0" t="s">
        <v>67</v>
      </c>
      <c r="B4" s="0" t="n">
        <v>6460</v>
      </c>
      <c r="I4" s="0" t="n">
        <v>-2113</v>
      </c>
      <c r="J4" s="0" t="n">
        <v>-32.7089783281734</v>
      </c>
      <c r="K4" s="0" t="n">
        <v>-3.91</v>
      </c>
      <c r="L4" s="0" t="n">
        <v>3093</v>
      </c>
      <c r="M4" s="0" t="n">
        <v>410</v>
      </c>
      <c r="N4" s="0" t="n">
        <v>2683</v>
      </c>
      <c r="O4" s="0" t="n">
        <v>12077</v>
      </c>
      <c r="P4" s="0" t="n">
        <v>119764</v>
      </c>
      <c r="Q4" s="0" t="n">
        <v>107687</v>
      </c>
      <c r="R4" s="0" t="n">
        <v>13585</v>
      </c>
      <c r="T4" s="0" t="n">
        <v>553</v>
      </c>
      <c r="U4" s="0" t="n">
        <v>57</v>
      </c>
      <c r="V4" s="0" t="n">
        <v>0.75</v>
      </c>
      <c r="AA4" s="0" t="s">
        <v>17</v>
      </c>
      <c r="AB4" s="0" t="s">
        <v>14</v>
      </c>
      <c r="AC4" s="0" t="n">
        <v>3514</v>
      </c>
      <c r="AD4" s="0" t="n">
        <v>2946</v>
      </c>
    </row>
    <row r="5" customFormat="false" ht="15" hidden="false" customHeight="false" outlineLevel="0" collapsed="false">
      <c r="A5" s="0" t="s">
        <v>68</v>
      </c>
      <c r="B5" s="0" t="n">
        <v>8136</v>
      </c>
      <c r="I5" s="0" t="n">
        <v>737</v>
      </c>
      <c r="J5" s="0" t="n">
        <v>9.05850540806293</v>
      </c>
      <c r="K5" s="0" t="n">
        <v>0.73</v>
      </c>
      <c r="L5" s="0" t="n">
        <v>3794</v>
      </c>
      <c r="M5" s="0" t="n">
        <v>173</v>
      </c>
      <c r="N5" s="0" t="n">
        <v>3621</v>
      </c>
      <c r="O5" s="0" t="n">
        <v>13497</v>
      </c>
      <c r="P5" s="0" t="n">
        <v>113380</v>
      </c>
      <c r="Q5" s="0" t="n">
        <v>99883</v>
      </c>
      <c r="R5" s="0" t="n">
        <v>10507</v>
      </c>
      <c r="T5" s="0" t="n">
        <v>795.068164</v>
      </c>
      <c r="U5" s="0" t="n">
        <v>51</v>
      </c>
      <c r="V5" s="0" t="n">
        <v>0.04</v>
      </c>
      <c r="AA5" s="0" t="s">
        <v>17</v>
      </c>
      <c r="AB5" s="0" t="s">
        <v>14</v>
      </c>
      <c r="AC5" s="0" t="n">
        <v>3354</v>
      </c>
      <c r="AD5" s="0" t="n">
        <v>4782</v>
      </c>
    </row>
    <row r="6" customFormat="false" ht="15" hidden="false" customHeight="false" outlineLevel="0" collapsed="false">
      <c r="A6" s="0" t="s">
        <v>69</v>
      </c>
      <c r="B6" s="0" t="n">
        <v>6333</v>
      </c>
      <c r="I6" s="0" t="n">
        <v>753</v>
      </c>
      <c r="J6" s="0" t="n">
        <v>11.8900994789199</v>
      </c>
      <c r="K6" s="0" t="n">
        <v>0.63</v>
      </c>
      <c r="L6" s="0" t="n">
        <v>3305</v>
      </c>
      <c r="M6" s="0" t="n">
        <v>224</v>
      </c>
      <c r="N6" s="0" t="n">
        <v>3081</v>
      </c>
      <c r="O6" s="0" t="n">
        <v>14080</v>
      </c>
      <c r="P6" s="0" t="n">
        <v>111007</v>
      </c>
      <c r="Q6" s="0" t="n">
        <v>96927</v>
      </c>
      <c r="R6" s="0" t="n">
        <v>9558</v>
      </c>
      <c r="T6" s="0" t="n">
        <v>799.381153</v>
      </c>
      <c r="U6" s="0" t="n">
        <v>64</v>
      </c>
      <c r="V6" s="0" t="n">
        <v>0.04</v>
      </c>
      <c r="AA6" s="0" t="s">
        <v>17</v>
      </c>
      <c r="AB6" s="0" t="s">
        <v>14</v>
      </c>
      <c r="AC6" s="0" t="n">
        <v>3604</v>
      </c>
      <c r="AD6" s="0" t="n">
        <v>2729</v>
      </c>
    </row>
    <row r="7" customFormat="false" ht="15" hidden="false" customHeight="false" outlineLevel="0" collapsed="false">
      <c r="A7" s="0" t="s">
        <v>70</v>
      </c>
      <c r="B7" s="0" t="n">
        <v>6012</v>
      </c>
      <c r="I7" s="0" t="n">
        <v>1298</v>
      </c>
      <c r="J7" s="0" t="n">
        <v>21.5901530272788</v>
      </c>
      <c r="K7" s="0" t="n">
        <v>1.2</v>
      </c>
      <c r="L7" s="0" t="n">
        <v>2366</v>
      </c>
      <c r="M7" s="0" t="n">
        <v>319</v>
      </c>
      <c r="N7" s="0" t="n">
        <v>2047</v>
      </c>
      <c r="O7" s="0" t="n">
        <v>13251</v>
      </c>
      <c r="P7" s="0" t="n">
        <v>116967</v>
      </c>
      <c r="Q7" s="0" t="n">
        <v>103716</v>
      </c>
      <c r="R7" s="0" t="n">
        <v>9682</v>
      </c>
      <c r="T7" s="0" t="n">
        <v>949.54542</v>
      </c>
      <c r="U7" s="0" t="n">
        <v>59</v>
      </c>
      <c r="V7" s="0" t="n">
        <v>0.28</v>
      </c>
      <c r="AA7" s="0" t="s">
        <v>17</v>
      </c>
      <c r="AB7" s="0" t="s">
        <v>14</v>
      </c>
      <c r="AC7" s="0" t="n">
        <v>3557</v>
      </c>
      <c r="AD7" s="0" t="n">
        <v>2455</v>
      </c>
    </row>
    <row r="8" customFormat="false" ht="15" hidden="false" customHeight="false" outlineLevel="0" collapsed="false">
      <c r="A8" s="0" t="s">
        <v>71</v>
      </c>
      <c r="B8" s="0" t="n">
        <v>6594</v>
      </c>
      <c r="I8" s="0" t="n">
        <v>1576</v>
      </c>
      <c r="J8" s="0" t="n">
        <v>23.9005156202608</v>
      </c>
      <c r="K8" s="0" t="n">
        <v>1.69</v>
      </c>
      <c r="L8" s="0" t="n">
        <v>2557</v>
      </c>
      <c r="M8" s="0" t="n">
        <v>362</v>
      </c>
      <c r="N8" s="0" t="n">
        <v>2195</v>
      </c>
      <c r="O8" s="0" t="n">
        <v>13764</v>
      </c>
      <c r="P8" s="0" t="n">
        <v>121894</v>
      </c>
      <c r="Q8" s="0" t="n">
        <v>108130</v>
      </c>
      <c r="R8" s="0" t="n">
        <v>7085</v>
      </c>
      <c r="T8" s="0" t="n">
        <v>945.554102</v>
      </c>
      <c r="U8" s="0" t="n">
        <v>69</v>
      </c>
      <c r="V8" s="0" t="n">
        <v>0.36</v>
      </c>
      <c r="AA8" s="0" t="s">
        <v>17</v>
      </c>
      <c r="AB8" s="0" t="s">
        <v>14</v>
      </c>
      <c r="AC8" s="0" t="n">
        <v>3595</v>
      </c>
      <c r="AD8" s="0" t="n">
        <v>2999</v>
      </c>
    </row>
    <row r="9" customFormat="false" ht="15" hidden="false" customHeight="false" outlineLevel="0" collapsed="false">
      <c r="A9" s="0" t="s">
        <v>72</v>
      </c>
      <c r="B9" s="0" t="n">
        <v>6788</v>
      </c>
      <c r="I9" s="0" t="n">
        <v>1836</v>
      </c>
      <c r="J9" s="0" t="n">
        <v>27.0477312905127</v>
      </c>
      <c r="K9" s="0" t="n">
        <v>2.05</v>
      </c>
      <c r="M9" s="0" t="n">
        <v>274</v>
      </c>
      <c r="O9" s="0" t="n">
        <v>14626</v>
      </c>
      <c r="P9" s="0" t="n">
        <v>130443</v>
      </c>
      <c r="Q9" s="0" t="n">
        <v>115817</v>
      </c>
      <c r="R9" s="0" t="n">
        <v>9633</v>
      </c>
      <c r="T9" s="0" t="n">
        <v>894.736445</v>
      </c>
      <c r="U9" s="0" t="n">
        <v>78</v>
      </c>
      <c r="V9" s="0" t="n">
        <v>0.47</v>
      </c>
      <c r="AA9" s="0" t="s">
        <v>17</v>
      </c>
      <c r="AB9" s="0" t="s">
        <v>14</v>
      </c>
      <c r="AC9" s="0" t="n">
        <v>3561</v>
      </c>
      <c r="AD9" s="0" t="n">
        <v>3227</v>
      </c>
    </row>
    <row r="10" customFormat="false" ht="15" hidden="false" customHeight="false" outlineLevel="0" collapsed="false">
      <c r="A10" s="0" t="s">
        <v>73</v>
      </c>
      <c r="B10" s="0" t="n">
        <v>6052</v>
      </c>
      <c r="I10" s="0" t="n">
        <v>1483</v>
      </c>
      <c r="J10" s="0" t="n">
        <v>24.5042961004627</v>
      </c>
      <c r="K10" s="0" t="n">
        <v>1.68</v>
      </c>
      <c r="M10" s="0" t="n">
        <v>216</v>
      </c>
      <c r="O10" s="0" t="n">
        <v>15665</v>
      </c>
      <c r="P10" s="0" t="n">
        <v>138670</v>
      </c>
      <c r="Q10" s="0" t="n">
        <v>123041</v>
      </c>
      <c r="R10" s="0" t="n">
        <v>14967</v>
      </c>
      <c r="T10" s="0" t="n">
        <v>842.967356</v>
      </c>
      <c r="U10" s="0" t="n">
        <v>83</v>
      </c>
      <c r="V10" s="0" t="n">
        <v>0.51</v>
      </c>
      <c r="AA10" s="0" t="s">
        <v>17</v>
      </c>
      <c r="AB10" s="0" t="s">
        <v>14</v>
      </c>
      <c r="AC10" s="0" t="n">
        <v>3579</v>
      </c>
      <c r="AD10" s="0" t="n">
        <v>2473</v>
      </c>
    </row>
    <row r="11" customFormat="false" ht="15" hidden="false" customHeight="false" outlineLevel="0" collapsed="false">
      <c r="A11" s="0" t="s">
        <v>74</v>
      </c>
      <c r="B11" s="0" t="n">
        <v>6536</v>
      </c>
      <c r="I11" s="0" t="n">
        <v>1712</v>
      </c>
      <c r="J11" s="0" t="n">
        <v>26.1933904528764</v>
      </c>
      <c r="K11" s="0" t="n">
        <v>2.03</v>
      </c>
      <c r="M11" s="0" t="n">
        <v>164</v>
      </c>
      <c r="O11" s="0" t="n">
        <v>15870</v>
      </c>
      <c r="P11" s="0" t="n">
        <v>141048</v>
      </c>
      <c r="Q11" s="0" t="n">
        <v>125178</v>
      </c>
      <c r="R11" s="0" t="n">
        <v>15810</v>
      </c>
      <c r="T11" s="0" t="n">
        <v>807.658669</v>
      </c>
      <c r="U11" s="0" t="n">
        <v>100</v>
      </c>
      <c r="V11" s="0" t="n">
        <v>0.52</v>
      </c>
      <c r="AA11" s="0" t="s">
        <v>17</v>
      </c>
      <c r="AB11" s="0" t="s">
        <v>14</v>
      </c>
      <c r="AC11" s="0" t="n">
        <v>3533</v>
      </c>
      <c r="AD11" s="0" t="n">
        <v>3003</v>
      </c>
    </row>
    <row r="12" customFormat="false" ht="15" hidden="false" customHeight="false" outlineLevel="0" collapsed="false">
      <c r="A12" s="0" t="s">
        <v>75</v>
      </c>
      <c r="B12" s="0" t="n">
        <v>6311</v>
      </c>
      <c r="I12" s="0" t="n">
        <v>1547</v>
      </c>
      <c r="J12" s="0" t="n">
        <v>24.5127555062589</v>
      </c>
      <c r="K12" s="0" t="n">
        <v>1.92</v>
      </c>
      <c r="M12" s="0" t="n">
        <v>186</v>
      </c>
      <c r="O12" s="0" t="n">
        <v>16081</v>
      </c>
      <c r="P12" s="0" t="n">
        <v>142080</v>
      </c>
      <c r="Q12" s="0" t="n">
        <v>125945</v>
      </c>
      <c r="R12" s="0" t="n">
        <v>14388</v>
      </c>
      <c r="T12" s="0" t="n">
        <v>764.495353</v>
      </c>
      <c r="U12" s="0" t="n">
        <v>111</v>
      </c>
      <c r="V12" s="0" t="n">
        <v>0.53</v>
      </c>
      <c r="AA12" s="0" t="s">
        <v>17</v>
      </c>
      <c r="AB12" s="0" t="s">
        <v>14</v>
      </c>
      <c r="AC12" s="0" t="n">
        <v>3615</v>
      </c>
      <c r="AD12" s="0" t="n">
        <v>2696</v>
      </c>
    </row>
    <row r="13" customFormat="false" ht="15" hidden="false" customHeight="false" outlineLevel="0" collapsed="false">
      <c r="A13" s="0" t="s">
        <v>76</v>
      </c>
      <c r="B13" s="0" t="n">
        <v>7022</v>
      </c>
      <c r="I13" s="0" t="n">
        <v>2180</v>
      </c>
      <c r="J13" s="0" t="n">
        <v>31.0452862432356</v>
      </c>
      <c r="K13" s="0" t="n">
        <v>2.86</v>
      </c>
      <c r="L13" s="0" t="n">
        <v>1480</v>
      </c>
      <c r="M13" s="0" t="n">
        <v>200</v>
      </c>
      <c r="N13" s="0" t="n">
        <v>1280</v>
      </c>
      <c r="O13" s="0" t="n">
        <v>16220</v>
      </c>
      <c r="P13" s="0" t="n">
        <v>142081</v>
      </c>
      <c r="Q13" s="0" t="n">
        <v>125861</v>
      </c>
      <c r="R13" s="0" t="n">
        <v>14904</v>
      </c>
      <c r="T13" s="0" t="n">
        <v>740.691433</v>
      </c>
      <c r="U13" s="0" t="n">
        <v>118</v>
      </c>
      <c r="V13" s="0" t="n">
        <v>0.6</v>
      </c>
      <c r="AA13" s="0" t="s">
        <v>17</v>
      </c>
      <c r="AB13" s="0" t="s">
        <v>14</v>
      </c>
      <c r="AC13" s="0" t="n">
        <v>3798</v>
      </c>
      <c r="AD13" s="0" t="n">
        <v>3224</v>
      </c>
    </row>
    <row r="14" customFormat="false" ht="15" hidden="false" customHeight="false" outlineLevel="0" collapsed="false">
      <c r="A14" s="0" t="s">
        <v>77</v>
      </c>
      <c r="B14" s="0" t="n">
        <v>6930</v>
      </c>
      <c r="I14" s="0" t="n">
        <v>2193</v>
      </c>
      <c r="J14" s="0" t="n">
        <v>31.6450216450216</v>
      </c>
      <c r="K14" s="0" t="n">
        <v>3.11</v>
      </c>
      <c r="L14" s="0" t="n">
        <v>2856</v>
      </c>
      <c r="M14" s="0" t="n">
        <v>192</v>
      </c>
      <c r="N14" s="0" t="n">
        <v>2664</v>
      </c>
      <c r="O14" s="0" t="n">
        <v>16250</v>
      </c>
      <c r="P14" s="0" t="n">
        <v>146069</v>
      </c>
      <c r="Q14" s="0" t="n">
        <v>129819</v>
      </c>
      <c r="R14" s="0" t="n">
        <v>14426</v>
      </c>
      <c r="T14" s="0" t="n">
        <v>685.488498</v>
      </c>
      <c r="U14" s="0" t="n">
        <v>127</v>
      </c>
      <c r="V14" s="0" t="n">
        <v>0.74</v>
      </c>
      <c r="AA14" s="0" t="s">
        <v>17</v>
      </c>
      <c r="AB14" s="0" t="s">
        <v>14</v>
      </c>
      <c r="AC14" s="0" t="n">
        <v>4140</v>
      </c>
      <c r="AD14" s="0" t="n">
        <v>2790</v>
      </c>
    </row>
    <row r="15" customFormat="false" ht="15" hidden="false" customHeight="false" outlineLevel="0" collapsed="false">
      <c r="A15" s="0" t="s">
        <v>78</v>
      </c>
      <c r="B15" s="0" t="n">
        <v>8333</v>
      </c>
      <c r="I15" s="0" t="n">
        <v>2512</v>
      </c>
      <c r="J15" s="0" t="n">
        <v>30.1452058082323</v>
      </c>
      <c r="K15" s="0" t="n">
        <v>3.38</v>
      </c>
      <c r="L15" s="0" t="n">
        <v>1824</v>
      </c>
      <c r="M15" s="0" t="n">
        <v>243</v>
      </c>
      <c r="N15" s="0" t="n">
        <v>1581</v>
      </c>
      <c r="O15" s="0" t="n">
        <v>21203</v>
      </c>
      <c r="P15" s="0" t="n">
        <v>169369</v>
      </c>
      <c r="Q15" s="0" t="n">
        <v>148166</v>
      </c>
      <c r="R15" s="0" t="n">
        <v>14970</v>
      </c>
      <c r="T15" s="0" t="n">
        <v>720.065498</v>
      </c>
      <c r="U15" s="0" t="n">
        <v>132</v>
      </c>
      <c r="V15" s="0" t="n">
        <v>0.94</v>
      </c>
      <c r="AA15" s="0" t="s">
        <v>17</v>
      </c>
      <c r="AB15" s="0" t="s">
        <v>14</v>
      </c>
      <c r="AC15" s="0" t="n">
        <v>4797</v>
      </c>
      <c r="AD15" s="0" t="n">
        <v>3536</v>
      </c>
    </row>
    <row r="16" customFormat="false" ht="15" hidden="false" customHeight="false" outlineLevel="0" collapsed="false">
      <c r="A16" s="0" t="s">
        <v>79</v>
      </c>
      <c r="B16" s="0" t="n">
        <v>7612</v>
      </c>
      <c r="I16" s="0" t="n">
        <v>1427</v>
      </c>
      <c r="J16" s="0" t="n">
        <v>18.7467157120336</v>
      </c>
      <c r="K16" s="0" t="n">
        <v>1.84</v>
      </c>
      <c r="L16" s="0" t="n">
        <v>371</v>
      </c>
      <c r="M16" s="0" t="n">
        <v>305</v>
      </c>
      <c r="N16" s="0" t="n">
        <v>66</v>
      </c>
      <c r="O16" s="0" t="n">
        <v>23111</v>
      </c>
      <c r="P16" s="0" t="n">
        <v>204680</v>
      </c>
      <c r="Q16" s="0" t="n">
        <v>181569</v>
      </c>
      <c r="R16" s="0" t="n">
        <v>14973</v>
      </c>
      <c r="T16" s="0" t="n">
        <v>719.735415</v>
      </c>
      <c r="U16" s="0" t="n">
        <v>123</v>
      </c>
      <c r="V16" s="0" t="n">
        <v>1.08</v>
      </c>
      <c r="AA16" s="0" t="s">
        <v>17</v>
      </c>
      <c r="AB16" s="0" t="s">
        <v>14</v>
      </c>
      <c r="AC16" s="0" t="n">
        <v>4782</v>
      </c>
      <c r="AD16" s="0" t="n">
        <v>2830</v>
      </c>
    </row>
    <row r="17" customFormat="false" ht="15" hidden="false" customHeight="false" outlineLevel="0" collapsed="false">
      <c r="A17" s="0" t="s">
        <v>80</v>
      </c>
      <c r="B17" s="0" t="n">
        <v>7888</v>
      </c>
      <c r="I17" s="0" t="n">
        <v>2770</v>
      </c>
      <c r="J17" s="0" t="n">
        <v>35.1166328600406</v>
      </c>
      <c r="K17" s="0" t="n">
        <v>3.78</v>
      </c>
      <c r="L17" s="0" t="n">
        <v>2704</v>
      </c>
      <c r="M17" s="0" t="n">
        <v>309</v>
      </c>
      <c r="N17" s="0" t="n">
        <v>2395</v>
      </c>
      <c r="O17" s="0" t="n">
        <v>22210</v>
      </c>
      <c r="P17" s="0" t="n">
        <v>211116</v>
      </c>
      <c r="Q17" s="0" t="n">
        <v>188906</v>
      </c>
      <c r="R17" s="0" t="n">
        <v>11821</v>
      </c>
      <c r="T17" s="0" t="n">
        <v>711.197805</v>
      </c>
      <c r="U17" s="0" t="n">
        <v>120</v>
      </c>
      <c r="V17" s="0" t="n">
        <v>1.14</v>
      </c>
      <c r="AA17" s="0" t="s">
        <v>17</v>
      </c>
      <c r="AB17" s="0" t="s">
        <v>14</v>
      </c>
      <c r="AC17" s="0" t="n">
        <v>4770</v>
      </c>
      <c r="AD17" s="0" t="n">
        <v>3118</v>
      </c>
    </row>
    <row r="18" customFormat="false" ht="15" hidden="false" customHeight="false" outlineLevel="0" collapsed="false">
      <c r="A18" s="0" t="s">
        <v>81</v>
      </c>
      <c r="B18" s="0" t="n">
        <v>8375</v>
      </c>
      <c r="I18" s="0" t="n">
        <v>2446</v>
      </c>
      <c r="J18" s="0" t="n">
        <v>29.2059701492537</v>
      </c>
      <c r="K18" s="0" t="n">
        <v>3.38</v>
      </c>
      <c r="L18" s="0" t="n">
        <v>6428</v>
      </c>
      <c r="M18" s="0" t="n">
        <v>348</v>
      </c>
      <c r="N18" s="0" t="n">
        <v>6080</v>
      </c>
      <c r="O18" s="0" t="n">
        <v>17327</v>
      </c>
      <c r="P18" s="0" t="n">
        <v>207452</v>
      </c>
      <c r="Q18" s="0" t="n">
        <v>190125</v>
      </c>
      <c r="R18" s="0" t="n">
        <v>13714</v>
      </c>
      <c r="T18" s="0" t="n">
        <v>694.952038</v>
      </c>
      <c r="U18" s="0" t="n">
        <v>165</v>
      </c>
      <c r="V18" s="0" t="n">
        <v>1.26</v>
      </c>
      <c r="AA18" s="0" t="s">
        <v>17</v>
      </c>
      <c r="AB18" s="0" t="s">
        <v>14</v>
      </c>
      <c r="AC18" s="0" t="n">
        <v>5609</v>
      </c>
      <c r="AD18" s="0" t="n">
        <v>2766</v>
      </c>
    </row>
    <row r="19" customFormat="false" ht="15" hidden="false" customHeight="false" outlineLevel="0" collapsed="false">
      <c r="A19" s="0" t="s">
        <v>82</v>
      </c>
      <c r="B19" s="0" t="n">
        <v>8708</v>
      </c>
      <c r="I19" s="0" t="n">
        <v>2349</v>
      </c>
      <c r="J19" s="0" t="n">
        <v>26.9751952227837</v>
      </c>
      <c r="K19" s="0" t="n">
        <v>3.23</v>
      </c>
      <c r="L19" s="0" t="n">
        <v>4509</v>
      </c>
      <c r="M19" s="0" t="n">
        <v>491</v>
      </c>
      <c r="N19" s="0" t="n">
        <v>4018</v>
      </c>
      <c r="O19" s="0" t="n">
        <v>19172</v>
      </c>
      <c r="P19" s="0" t="n">
        <v>214574</v>
      </c>
      <c r="Q19" s="0" t="n">
        <v>195402</v>
      </c>
      <c r="R19" s="0" t="n">
        <v>16380</v>
      </c>
      <c r="T19" s="0" t="n">
        <v>687.678291</v>
      </c>
      <c r="U19" s="0" t="n">
        <v>169</v>
      </c>
      <c r="V19" s="0" t="n">
        <v>1.36</v>
      </c>
      <c r="AA19" s="0" t="s">
        <v>17</v>
      </c>
      <c r="AB19" s="0" t="s">
        <v>14</v>
      </c>
      <c r="AC19" s="0" t="n">
        <v>5827</v>
      </c>
      <c r="AD19" s="0" t="n">
        <v>2881</v>
      </c>
    </row>
    <row r="20" customFormat="false" ht="15" hidden="false" customHeight="false" outlineLevel="0" collapsed="false">
      <c r="A20" s="0" t="s">
        <v>83</v>
      </c>
      <c r="B20" s="0" t="n">
        <v>8479</v>
      </c>
      <c r="I20" s="0" t="n">
        <v>2314</v>
      </c>
      <c r="J20" s="0" t="n">
        <v>27.2909541219483</v>
      </c>
      <c r="K20" s="0" t="n">
        <v>3.16</v>
      </c>
      <c r="L20" s="0" t="n">
        <v>2824</v>
      </c>
      <c r="M20" s="0" t="n">
        <v>414</v>
      </c>
      <c r="N20" s="0" t="n">
        <v>2410</v>
      </c>
      <c r="O20" s="0" t="n">
        <v>19645</v>
      </c>
      <c r="P20" s="0" t="n">
        <v>212927</v>
      </c>
      <c r="Q20" s="0" t="n">
        <v>193282</v>
      </c>
      <c r="R20" s="0" t="n">
        <v>14337</v>
      </c>
      <c r="T20" s="0" t="n">
        <v>687.300837</v>
      </c>
      <c r="U20" s="0" t="n">
        <v>164</v>
      </c>
      <c r="V20" s="0" t="n">
        <v>1.44</v>
      </c>
      <c r="AA20" s="0" t="s">
        <v>17</v>
      </c>
      <c r="AB20" s="0" t="s">
        <v>14</v>
      </c>
      <c r="AC20" s="0" t="n">
        <v>5630</v>
      </c>
      <c r="AD20" s="0" t="n">
        <v>2849</v>
      </c>
    </row>
    <row r="21" customFormat="false" ht="15" hidden="false" customHeight="false" outlineLevel="0" collapsed="false">
      <c r="A21" s="0" t="s">
        <v>84</v>
      </c>
      <c r="B21" s="0" t="n">
        <v>9017</v>
      </c>
      <c r="I21" s="0" t="n">
        <v>2522</v>
      </c>
      <c r="J21" s="0" t="n">
        <v>27.9693911500499</v>
      </c>
      <c r="K21" s="0" t="n">
        <v>3.56</v>
      </c>
      <c r="L21" s="0" t="n">
        <v>4514</v>
      </c>
      <c r="M21" s="0" t="n">
        <v>584</v>
      </c>
      <c r="N21" s="0" t="n">
        <v>3930</v>
      </c>
      <c r="O21" s="0" t="n">
        <v>21724</v>
      </c>
      <c r="P21" s="0" t="n">
        <v>214376</v>
      </c>
      <c r="Q21" s="0" t="n">
        <v>192652</v>
      </c>
      <c r="R21" s="0" t="n">
        <v>13589</v>
      </c>
      <c r="T21" s="0" t="n">
        <v>672.502856</v>
      </c>
      <c r="U21" s="0" t="n">
        <v>163</v>
      </c>
      <c r="V21" s="0" t="n">
        <v>1.54</v>
      </c>
      <c r="AA21" s="0" t="s">
        <v>17</v>
      </c>
      <c r="AB21" s="0" t="s">
        <v>14</v>
      </c>
      <c r="AC21" s="0" t="n">
        <v>5982</v>
      </c>
      <c r="AD21" s="0" t="n">
        <v>3035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85</v>
      </c>
      <c r="B1" s="2" t="s">
        <v>86</v>
      </c>
    </row>
    <row r="2" customFormat="false" ht="15" hidden="false" customHeight="false" outlineLevel="0" collapsed="false">
      <c r="A2" s="0" t="s">
        <v>87</v>
      </c>
      <c r="B2" s="3" t="n">
        <v>52.1</v>
      </c>
    </row>
    <row r="3" customFormat="false" ht="15" hidden="false" customHeight="false" outlineLevel="0" collapsed="false">
      <c r="A3" s="0" t="s">
        <v>88</v>
      </c>
      <c r="B3" s="3" t="n">
        <v>911</v>
      </c>
    </row>
    <row r="4" customFormat="false" ht="15" hidden="false" customHeight="false" outlineLevel="0" collapsed="false">
      <c r="A4" s="0" t="s">
        <v>89</v>
      </c>
      <c r="B4" s="3" t="n">
        <v>0</v>
      </c>
    </row>
    <row r="5" customFormat="false" ht="15" hidden="false" customHeight="false" outlineLevel="0" collapsed="false">
      <c r="A5" s="0" t="s">
        <v>90</v>
      </c>
      <c r="B5" s="3" t="n">
        <v>-2182</v>
      </c>
    </row>
    <row r="6" customFormat="false" ht="15" hidden="false" customHeight="false" outlineLevel="0" collapsed="false">
      <c r="A6" s="0" t="s">
        <v>91</v>
      </c>
      <c r="B6" s="3" t="n">
        <v>15</v>
      </c>
    </row>
    <row r="7" customFormat="false" ht="15" hidden="false" customHeight="false" outlineLevel="0" collapsed="false">
      <c r="A7" s="0" t="s">
        <v>92</v>
      </c>
      <c r="B7" s="3" t="n">
        <v>12880</v>
      </c>
    </row>
    <row r="8" customFormat="false" ht="15" hidden="false" customHeight="false" outlineLevel="0" collapsed="false">
      <c r="A8" s="0" t="s">
        <v>93</v>
      </c>
      <c r="B8" s="3" t="s">
        <v>94</v>
      </c>
    </row>
    <row r="9" customFormat="false" ht="15" hidden="false" customHeight="false" outlineLevel="0" collapsed="false">
      <c r="A9" s="0" t="s">
        <v>95</v>
      </c>
      <c r="B9" s="3" t="s">
        <v>96</v>
      </c>
    </row>
    <row r="10" customFormat="false" ht="15" hidden="false" customHeight="false" outlineLevel="0" collapsed="false">
      <c r="A10" s="0" t="s">
        <v>97</v>
      </c>
      <c r="B10" s="3" t="n">
        <v>1</v>
      </c>
    </row>
    <row r="12" customFormat="false" ht="15" hidden="false" customHeight="false" outlineLevel="0" collapsed="false">
      <c r="A12" s="2" t="s">
        <v>98</v>
      </c>
      <c r="C12" s="2" t="s">
        <v>99</v>
      </c>
      <c r="D12" s="2" t="s">
        <v>100</v>
      </c>
      <c r="E12" s="2" t="s">
        <v>101</v>
      </c>
      <c r="F12" s="2" t="s">
        <v>102</v>
      </c>
      <c r="G12" s="2" t="s">
        <v>103</v>
      </c>
      <c r="H12" s="2" t="s">
        <v>104</v>
      </c>
      <c r="I12" s="2" t="s">
        <v>105</v>
      </c>
      <c r="J12" s="2" t="s">
        <v>106</v>
      </c>
      <c r="K12" s="2" t="s">
        <v>107</v>
      </c>
      <c r="L12" s="2" t="s">
        <v>108</v>
      </c>
    </row>
    <row r="13" customFormat="false" ht="15" hidden="false" customHeight="false" outlineLevel="0" collapsed="false">
      <c r="A13" s="0" t="s">
        <v>109</v>
      </c>
      <c r="C13" s="3" t="n">
        <v>2</v>
      </c>
      <c r="D13" s="3" t="n">
        <v>0.5</v>
      </c>
      <c r="E13" s="3" t="n">
        <v>1.5</v>
      </c>
      <c r="F13" s="3" t="n">
        <v>2</v>
      </c>
      <c r="G13" s="3" t="n">
        <v>2</v>
      </c>
      <c r="H13" s="3" t="n">
        <v>2</v>
      </c>
      <c r="I13" s="3" t="n">
        <v>2</v>
      </c>
      <c r="J13" s="3" t="n">
        <v>2</v>
      </c>
      <c r="K13" s="3" t="n">
        <v>2</v>
      </c>
      <c r="L13" s="3" t="n">
        <v>2</v>
      </c>
    </row>
    <row r="14" customFormat="false" ht="15" hidden="false" customHeight="false" outlineLevel="0" collapsed="false">
      <c r="A14" s="0" t="s">
        <v>110</v>
      </c>
      <c r="C14" s="3" t="n">
        <v>36.2</v>
      </c>
      <c r="D14" s="3" t="n">
        <v>34.9</v>
      </c>
      <c r="E14" s="3" t="n">
        <v>36.4</v>
      </c>
      <c r="F14" s="3" t="n">
        <v>37.6</v>
      </c>
      <c r="G14" s="3" t="n">
        <v>38.4</v>
      </c>
      <c r="H14" s="3" t="n">
        <v>38.6</v>
      </c>
      <c r="I14" s="3" t="n">
        <v>38.7</v>
      </c>
      <c r="J14" s="3" t="n">
        <v>38.7</v>
      </c>
      <c r="K14" s="3" t="n">
        <v>38.7</v>
      </c>
      <c r="L14" s="3" t="n">
        <v>38.7</v>
      </c>
    </row>
    <row r="15" customFormat="false" ht="15" hidden="false" customHeight="false" outlineLevel="0" collapsed="false">
      <c r="A15" s="0" t="s">
        <v>111</v>
      </c>
      <c r="C15" s="3" t="n">
        <v>1.55</v>
      </c>
      <c r="D15" s="3" t="n">
        <v>1.55</v>
      </c>
      <c r="E15" s="3" t="n">
        <v>1.55</v>
      </c>
      <c r="F15" s="3" t="n">
        <v>1.55</v>
      </c>
      <c r="G15" s="3" t="n">
        <v>1.55</v>
      </c>
      <c r="H15" s="3" t="n">
        <v>1.55</v>
      </c>
      <c r="I15" s="3" t="n">
        <v>1.55</v>
      </c>
      <c r="J15" s="3" t="n">
        <v>1.55</v>
      </c>
      <c r="K15" s="3" t="n">
        <v>1.55</v>
      </c>
      <c r="L15" s="3" t="n">
        <v>1.55</v>
      </c>
    </row>
    <row r="16" customFormat="false" ht="15" hidden="false" customHeight="false" outlineLevel="0" collapsed="false">
      <c r="A16" s="0" t="s">
        <v>112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113</v>
      </c>
      <c r="C17" s="3" t="n">
        <v>1.7</v>
      </c>
      <c r="D17" s="3" t="n">
        <v>1.45</v>
      </c>
      <c r="E17" s="3" t="n">
        <v>1.2</v>
      </c>
      <c r="F17" s="3" t="n">
        <v>1</v>
      </c>
      <c r="G17" s="3" t="n">
        <v>0.8</v>
      </c>
      <c r="H17" s="3" t="n">
        <v>0.6</v>
      </c>
      <c r="I17" s="3" t="n">
        <v>0.4</v>
      </c>
      <c r="J17" s="3" t="n">
        <v>0.3</v>
      </c>
      <c r="K17" s="3" t="n">
        <v>0.2</v>
      </c>
      <c r="L17" s="3" t="n">
        <v>0.1</v>
      </c>
    </row>
    <row r="18" customFormat="false" ht="15" hidden="false" customHeight="false" outlineLevel="0" collapsed="false">
      <c r="A18" s="0" t="s">
        <v>114</v>
      </c>
      <c r="C18" s="3" t="n">
        <v>8</v>
      </c>
      <c r="D18" s="3" t="n">
        <v>5</v>
      </c>
      <c r="E18" s="3" t="n">
        <v>5</v>
      </c>
      <c r="F18" s="3" t="n">
        <v>4.5</v>
      </c>
      <c r="G18" s="3" t="n">
        <v>4</v>
      </c>
      <c r="H18" s="3" t="n">
        <v>3.5</v>
      </c>
      <c r="I18" s="3" t="n">
        <v>3.3</v>
      </c>
      <c r="J18" s="3" t="n">
        <v>3.3</v>
      </c>
      <c r="K18" s="3" t="n">
        <v>3.3</v>
      </c>
      <c r="L18" s="3" t="n">
        <v>3.3</v>
      </c>
    </row>
    <row r="19" customFormat="false" ht="15" hidden="false" customHeight="false" outlineLevel="0" collapsed="false">
      <c r="A19" s="0" t="s">
        <v>115</v>
      </c>
      <c r="C19" s="3" t="n">
        <v>22</v>
      </c>
      <c r="D19" s="3" t="n">
        <v>22</v>
      </c>
      <c r="E19" s="3" t="n">
        <v>22</v>
      </c>
      <c r="F19" s="3" t="n">
        <v>22</v>
      </c>
      <c r="G19" s="3" t="n">
        <v>22</v>
      </c>
      <c r="H19" s="3" t="n">
        <v>22</v>
      </c>
      <c r="I19" s="3" t="n">
        <v>22</v>
      </c>
      <c r="J19" s="3" t="n">
        <v>22</v>
      </c>
      <c r="K19" s="3" t="n">
        <v>22</v>
      </c>
      <c r="L19" s="3" t="n">
        <v>22</v>
      </c>
    </row>
    <row r="20" customFormat="false" ht="15" hidden="false" customHeight="false" outlineLevel="0" collapsed="false">
      <c r="A20" s="0" t="s">
        <v>116</v>
      </c>
      <c r="B20" s="3" t="n">
        <v>10</v>
      </c>
    </row>
    <row r="21" customFormat="false" ht="15" hidden="false" customHeight="false" outlineLevel="0" collapsed="false">
      <c r="A21" s="0" t="s">
        <v>117</v>
      </c>
      <c r="B21" s="3" t="n">
        <v>2</v>
      </c>
    </row>
    <row r="22" customFormat="false" ht="15" hidden="false" customHeight="false" outlineLevel="0" collapsed="false">
      <c r="A22" s="0" t="s">
        <v>118</v>
      </c>
      <c r="B22" s="3" t="n">
        <v>15</v>
      </c>
    </row>
    <row r="23" customFormat="false" ht="15" hidden="false" customHeight="false" outlineLevel="0" collapsed="false">
      <c r="A23" s="0" t="s">
        <v>119</v>
      </c>
      <c r="B23" s="3" t="n">
        <v>0</v>
      </c>
    </row>
    <row r="24" customFormat="false" ht="15" hidden="false" customHeight="false" outlineLevel="0" collapsed="false">
      <c r="A24" s="0" t="s">
        <v>120</v>
      </c>
      <c r="B24" s="3" t="n">
        <v>0.25</v>
      </c>
    </row>
    <row r="26" customFormat="false" ht="15" hidden="false" customHeight="false" outlineLevel="0" collapsed="false">
      <c r="A26" s="2" t="s">
        <v>121</v>
      </c>
      <c r="C26" s="2" t="s">
        <v>99</v>
      </c>
      <c r="D26" s="2" t="s">
        <v>100</v>
      </c>
      <c r="E26" s="2" t="s">
        <v>101</v>
      </c>
      <c r="F26" s="2" t="s">
        <v>102</v>
      </c>
      <c r="G26" s="2" t="s">
        <v>103</v>
      </c>
      <c r="H26" s="2" t="s">
        <v>104</v>
      </c>
      <c r="I26" s="2" t="s">
        <v>105</v>
      </c>
      <c r="J26" s="2" t="s">
        <v>106</v>
      </c>
      <c r="K26" s="2" t="s">
        <v>107</v>
      </c>
      <c r="L26" s="2" t="s">
        <v>108</v>
      </c>
    </row>
    <row r="27" customFormat="false" ht="15" hidden="false" customHeight="false" outlineLevel="0" collapsed="false">
      <c r="A27" s="0" t="s">
        <v>109</v>
      </c>
      <c r="C27" s="3" t="n">
        <v>6</v>
      </c>
      <c r="D27" s="3" t="n">
        <v>4</v>
      </c>
      <c r="E27" s="3" t="n">
        <v>4</v>
      </c>
      <c r="F27" s="3" t="n">
        <v>3.5</v>
      </c>
      <c r="G27" s="3" t="n">
        <v>3</v>
      </c>
      <c r="H27" s="3" t="n">
        <v>3</v>
      </c>
      <c r="I27" s="3" t="n">
        <v>2.5</v>
      </c>
      <c r="J27" s="3" t="n">
        <v>2.5</v>
      </c>
      <c r="K27" s="3" t="n">
        <v>2.5</v>
      </c>
      <c r="L27" s="3" t="n">
        <v>2.5</v>
      </c>
    </row>
    <row r="28" customFormat="false" ht="15" hidden="false" customHeight="false" outlineLevel="0" collapsed="false">
      <c r="A28" s="0" t="s">
        <v>110</v>
      </c>
      <c r="C28" s="3" t="n">
        <v>42.7</v>
      </c>
      <c r="D28" s="3" t="n">
        <v>42.5</v>
      </c>
      <c r="E28" s="3" t="n">
        <v>42.2</v>
      </c>
      <c r="F28" s="3" t="n">
        <v>41.9</v>
      </c>
      <c r="G28" s="3" t="n">
        <v>41.6</v>
      </c>
      <c r="H28" s="3" t="n">
        <v>41.3</v>
      </c>
      <c r="I28" s="3" t="n">
        <v>41</v>
      </c>
      <c r="J28" s="3" t="n">
        <v>40.8</v>
      </c>
      <c r="K28" s="3" t="n">
        <v>40.7</v>
      </c>
      <c r="L28" s="3" t="n">
        <v>40.6</v>
      </c>
    </row>
    <row r="29" customFormat="false" ht="15" hidden="false" customHeight="false" outlineLevel="0" collapsed="false">
      <c r="A29" s="0" t="s">
        <v>111</v>
      </c>
      <c r="C29" s="3" t="n">
        <v>1.55</v>
      </c>
      <c r="D29" s="3" t="n">
        <v>1.55</v>
      </c>
      <c r="E29" s="3" t="n">
        <v>1.55</v>
      </c>
      <c r="F29" s="3" t="n">
        <v>1.55</v>
      </c>
      <c r="G29" s="3" t="n">
        <v>1.55</v>
      </c>
      <c r="H29" s="3" t="n">
        <v>1.55</v>
      </c>
      <c r="I29" s="3" t="n">
        <v>1.55</v>
      </c>
      <c r="J29" s="3" t="n">
        <v>1.55</v>
      </c>
      <c r="K29" s="3" t="n">
        <v>1.55</v>
      </c>
      <c r="L29" s="3" t="n">
        <v>1.55</v>
      </c>
    </row>
    <row r="30" customFormat="false" ht="15" hidden="false" customHeight="false" outlineLevel="0" collapsed="false">
      <c r="A30" s="0" t="s">
        <v>112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113</v>
      </c>
      <c r="C31" s="3" t="n">
        <v>1.65</v>
      </c>
      <c r="D31" s="3" t="n">
        <v>1.35</v>
      </c>
      <c r="E31" s="3" t="n">
        <v>1.1</v>
      </c>
      <c r="F31" s="3" t="n">
        <v>0.9</v>
      </c>
      <c r="G31" s="3" t="n">
        <v>0.7</v>
      </c>
      <c r="H31" s="3" t="n">
        <v>0.5</v>
      </c>
      <c r="I31" s="3" t="n">
        <v>0.4</v>
      </c>
      <c r="J31" s="3" t="n">
        <v>0.3</v>
      </c>
      <c r="K31" s="3" t="n">
        <v>0.2</v>
      </c>
      <c r="L31" s="3" t="n">
        <v>0.1</v>
      </c>
    </row>
    <row r="32" customFormat="false" ht="15" hidden="false" customHeight="false" outlineLevel="0" collapsed="false">
      <c r="A32" s="0" t="s">
        <v>114</v>
      </c>
      <c r="C32" s="3" t="n">
        <v>10</v>
      </c>
      <c r="D32" s="3" t="n">
        <v>6.5</v>
      </c>
      <c r="E32" s="3" t="n">
        <v>6.5</v>
      </c>
      <c r="F32" s="3" t="n">
        <v>5.7</v>
      </c>
      <c r="G32" s="3" t="n">
        <v>4.9</v>
      </c>
      <c r="H32" s="3" t="n">
        <v>4.9</v>
      </c>
      <c r="I32" s="3" t="n">
        <v>4.1</v>
      </c>
      <c r="J32" s="3" t="n">
        <v>4.1</v>
      </c>
      <c r="K32" s="3" t="n">
        <v>4.1</v>
      </c>
      <c r="L32" s="3" t="n">
        <v>4.1</v>
      </c>
    </row>
    <row r="33" customFormat="false" ht="15" hidden="false" customHeight="false" outlineLevel="0" collapsed="false">
      <c r="A33" s="0" t="s">
        <v>115</v>
      </c>
      <c r="C33" s="3" t="n">
        <v>22</v>
      </c>
      <c r="D33" s="3" t="n">
        <v>22</v>
      </c>
      <c r="E33" s="3" t="n">
        <v>22</v>
      </c>
      <c r="F33" s="3" t="n">
        <v>22</v>
      </c>
      <c r="G33" s="3" t="n">
        <v>22</v>
      </c>
      <c r="H33" s="3" t="n">
        <v>22</v>
      </c>
      <c r="I33" s="3" t="n">
        <v>22</v>
      </c>
      <c r="J33" s="3" t="n">
        <v>22</v>
      </c>
      <c r="K33" s="3" t="n">
        <v>22</v>
      </c>
      <c r="L33" s="3" t="n">
        <v>22</v>
      </c>
    </row>
    <row r="34" customFormat="false" ht="15" hidden="false" customHeight="false" outlineLevel="0" collapsed="false">
      <c r="A34" s="0" t="s">
        <v>116</v>
      </c>
      <c r="B34" s="3" t="n">
        <v>10</v>
      </c>
    </row>
    <row r="35" customFormat="false" ht="15" hidden="false" customHeight="false" outlineLevel="0" collapsed="false">
      <c r="A35" s="0" t="s">
        <v>117</v>
      </c>
      <c r="B35" s="3" t="n">
        <v>2.5</v>
      </c>
    </row>
    <row r="36" customFormat="false" ht="15" hidden="false" customHeight="false" outlineLevel="0" collapsed="false">
      <c r="A36" s="0" t="s">
        <v>118</v>
      </c>
      <c r="B36" s="3" t="n">
        <v>15</v>
      </c>
    </row>
    <row r="37" customFormat="false" ht="15" hidden="false" customHeight="false" outlineLevel="0" collapsed="false">
      <c r="A37" s="0" t="s">
        <v>119</v>
      </c>
      <c r="B37" s="3" t="n">
        <v>0</v>
      </c>
    </row>
    <row r="38" customFormat="false" ht="15" hidden="false" customHeight="false" outlineLevel="0" collapsed="false">
      <c r="A38" s="0" t="s">
        <v>120</v>
      </c>
      <c r="B38" s="3" t="n">
        <v>0.5</v>
      </c>
    </row>
    <row r="40" customFormat="false" ht="15" hidden="false" customHeight="false" outlineLevel="0" collapsed="false">
      <c r="A40" s="2" t="s">
        <v>122</v>
      </c>
      <c r="C40" s="2" t="s">
        <v>99</v>
      </c>
      <c r="D40" s="2" t="s">
        <v>100</v>
      </c>
      <c r="E40" s="2" t="s">
        <v>101</v>
      </c>
      <c r="F40" s="2" t="s">
        <v>102</v>
      </c>
      <c r="G40" s="2" t="s">
        <v>103</v>
      </c>
      <c r="H40" s="2" t="s">
        <v>104</v>
      </c>
      <c r="I40" s="2" t="s">
        <v>105</v>
      </c>
      <c r="J40" s="2" t="s">
        <v>106</v>
      </c>
      <c r="K40" s="2" t="s">
        <v>107</v>
      </c>
      <c r="L40" s="2" t="s">
        <v>108</v>
      </c>
    </row>
    <row r="41" customFormat="false" ht="15" hidden="false" customHeight="false" outlineLevel="0" collapsed="false">
      <c r="A41" s="0" t="s">
        <v>109</v>
      </c>
      <c r="C41" s="3" t="n">
        <v>8</v>
      </c>
      <c r="D41" s="3" t="n">
        <v>6</v>
      </c>
      <c r="E41" s="3" t="n">
        <v>5</v>
      </c>
      <c r="F41" s="3" t="n">
        <v>4.5</v>
      </c>
      <c r="G41" s="3" t="n">
        <v>4</v>
      </c>
      <c r="H41" s="3" t="n">
        <v>3.5</v>
      </c>
      <c r="I41" s="3" t="n">
        <v>3</v>
      </c>
      <c r="J41" s="3" t="n">
        <v>3</v>
      </c>
      <c r="K41" s="3" t="n">
        <v>3</v>
      </c>
      <c r="L41" s="3" t="n">
        <v>3</v>
      </c>
    </row>
    <row r="42" customFormat="false" ht="15" hidden="false" customHeight="false" outlineLevel="0" collapsed="false">
      <c r="A42" s="0" t="s">
        <v>110</v>
      </c>
      <c r="C42" s="3" t="n">
        <v>43.7</v>
      </c>
      <c r="D42" s="3" t="n">
        <v>44.5</v>
      </c>
      <c r="E42" s="3" t="n">
        <v>45.2</v>
      </c>
      <c r="F42" s="3" t="n">
        <v>45.6</v>
      </c>
      <c r="G42" s="3" t="n">
        <v>45.7</v>
      </c>
      <c r="H42" s="3" t="n">
        <v>45.7</v>
      </c>
      <c r="I42" s="3" t="n">
        <v>45.6</v>
      </c>
      <c r="J42" s="3" t="n">
        <v>45.5</v>
      </c>
      <c r="K42" s="3" t="n">
        <v>45.4</v>
      </c>
      <c r="L42" s="3" t="n">
        <v>45.3</v>
      </c>
    </row>
    <row r="43" customFormat="false" ht="15" hidden="false" customHeight="false" outlineLevel="0" collapsed="false">
      <c r="A43" s="0" t="s">
        <v>111</v>
      </c>
      <c r="C43" s="3" t="n">
        <v>1.55</v>
      </c>
      <c r="D43" s="3" t="n">
        <v>1.55</v>
      </c>
      <c r="E43" s="3" t="n">
        <v>1.55</v>
      </c>
      <c r="F43" s="3" t="n">
        <v>1.55</v>
      </c>
      <c r="G43" s="3" t="n">
        <v>1.55</v>
      </c>
      <c r="H43" s="3" t="n">
        <v>1.55</v>
      </c>
      <c r="I43" s="3" t="n">
        <v>1.55</v>
      </c>
      <c r="J43" s="3" t="n">
        <v>1.55</v>
      </c>
      <c r="K43" s="3" t="n">
        <v>1.55</v>
      </c>
      <c r="L43" s="3" t="n">
        <v>1.55</v>
      </c>
    </row>
    <row r="44" customFormat="false" ht="15" hidden="false" customHeight="false" outlineLevel="0" collapsed="false">
      <c r="A44" s="0" t="s">
        <v>112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113</v>
      </c>
      <c r="C45" s="3" t="n">
        <v>1.6</v>
      </c>
      <c r="D45" s="3" t="n">
        <v>1.3</v>
      </c>
      <c r="E45" s="3" t="n">
        <v>1.05</v>
      </c>
      <c r="F45" s="3" t="n">
        <v>0.85</v>
      </c>
      <c r="G45" s="3" t="n">
        <v>0.65</v>
      </c>
      <c r="H45" s="3" t="n">
        <v>0.5</v>
      </c>
      <c r="I45" s="3" t="n">
        <v>0.4</v>
      </c>
      <c r="J45" s="3" t="n">
        <v>0.3</v>
      </c>
      <c r="K45" s="3" t="n">
        <v>0.2</v>
      </c>
      <c r="L45" s="3" t="n">
        <v>0.1</v>
      </c>
    </row>
    <row r="46" customFormat="false" ht="15" hidden="false" customHeight="false" outlineLevel="0" collapsed="false">
      <c r="A46" s="0" t="s">
        <v>114</v>
      </c>
      <c r="C46" s="3" t="n">
        <v>12.5</v>
      </c>
      <c r="D46" s="3" t="n">
        <v>9.8</v>
      </c>
      <c r="E46" s="3" t="n">
        <v>8.2</v>
      </c>
      <c r="F46" s="3" t="n">
        <v>7.4</v>
      </c>
      <c r="G46" s="3" t="n">
        <v>6.5</v>
      </c>
      <c r="H46" s="3" t="n">
        <v>5.7</v>
      </c>
      <c r="I46" s="3" t="n">
        <v>4.9</v>
      </c>
      <c r="J46" s="3" t="n">
        <v>4.9</v>
      </c>
      <c r="K46" s="3" t="n">
        <v>4.9</v>
      </c>
      <c r="L46" s="3" t="n">
        <v>4.9</v>
      </c>
    </row>
    <row r="47" customFormat="false" ht="15" hidden="false" customHeight="false" outlineLevel="0" collapsed="false">
      <c r="A47" s="0" t="s">
        <v>115</v>
      </c>
      <c r="C47" s="3" t="n">
        <v>22</v>
      </c>
      <c r="D47" s="3" t="n">
        <v>22</v>
      </c>
      <c r="E47" s="3" t="n">
        <v>22</v>
      </c>
      <c r="F47" s="3" t="n">
        <v>22</v>
      </c>
      <c r="G47" s="3" t="n">
        <v>22</v>
      </c>
      <c r="H47" s="3" t="n">
        <v>22</v>
      </c>
      <c r="I47" s="3" t="n">
        <v>22</v>
      </c>
      <c r="J47" s="3" t="n">
        <v>22</v>
      </c>
      <c r="K47" s="3" t="n">
        <v>22</v>
      </c>
      <c r="L47" s="3" t="n">
        <v>22</v>
      </c>
    </row>
    <row r="48" customFormat="false" ht="15" hidden="false" customHeight="false" outlineLevel="0" collapsed="false">
      <c r="A48" s="0" t="s">
        <v>116</v>
      </c>
      <c r="B48" s="3" t="n">
        <v>10</v>
      </c>
    </row>
    <row r="49" customFormat="false" ht="15" hidden="false" customHeight="false" outlineLevel="0" collapsed="false">
      <c r="A49" s="0" t="s">
        <v>117</v>
      </c>
      <c r="B49" s="3" t="n">
        <v>3</v>
      </c>
    </row>
    <row r="50" customFormat="false" ht="15" hidden="false" customHeight="false" outlineLevel="0" collapsed="false">
      <c r="A50" s="0" t="s">
        <v>118</v>
      </c>
      <c r="B50" s="3" t="n">
        <v>15</v>
      </c>
    </row>
    <row r="51" customFormat="false" ht="15" hidden="false" customHeight="false" outlineLevel="0" collapsed="false">
      <c r="A51" s="0" t="s">
        <v>119</v>
      </c>
      <c r="B51" s="3" t="n">
        <v>0</v>
      </c>
    </row>
    <row r="52" customFormat="false" ht="15" hidden="false" customHeight="false" outlineLevel="0" collapsed="false">
      <c r="A52" s="0" t="s">
        <v>120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123</v>
      </c>
    </row>
    <row r="3" customFormat="false" ht="15" hidden="false" customHeight="false" outlineLevel="0" collapsed="false">
      <c r="A3" s="0" t="s">
        <v>124</v>
      </c>
      <c r="B3" s="0" t="s">
        <v>94</v>
      </c>
      <c r="C3" s="2" t="s">
        <v>99</v>
      </c>
      <c r="D3" s="2" t="s">
        <v>100</v>
      </c>
      <c r="E3" s="2" t="s">
        <v>101</v>
      </c>
      <c r="F3" s="2" t="s">
        <v>102</v>
      </c>
      <c r="G3" s="2" t="s">
        <v>103</v>
      </c>
      <c r="H3" s="2" t="s">
        <v>104</v>
      </c>
      <c r="I3" s="2" t="s">
        <v>105</v>
      </c>
      <c r="J3" s="2" t="s">
        <v>106</v>
      </c>
      <c r="K3" s="2" t="s">
        <v>107</v>
      </c>
      <c r="L3" s="2" t="s">
        <v>108</v>
      </c>
    </row>
    <row r="4" customFormat="false" ht="15" hidden="false" customHeight="false" outlineLevel="0" collapsed="false">
      <c r="A4" s="0" t="s">
        <v>125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109</v>
      </c>
      <c r="C5" s="4" t="n">
        <f aca="false">Assumptions!C13</f>
        <v>2</v>
      </c>
      <c r="D5" s="4" t="n">
        <f aca="false">Assumptions!D13</f>
        <v>0.5</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12880</v>
      </c>
      <c r="C6" s="0" t="n">
        <f aca="false">B6*(1+C5/100)</f>
        <v>13137.6</v>
      </c>
      <c r="D6" s="0" t="n">
        <f aca="false">C6*(1+D5/100)</f>
        <v>13203.288</v>
      </c>
      <c r="E6" s="0" t="n">
        <f aca="false">D6*(1+E5/100)</f>
        <v>13401.33732</v>
      </c>
      <c r="F6" s="0" t="n">
        <f aca="false">E6*(1+F5/100)</f>
        <v>13669.3640664</v>
      </c>
      <c r="G6" s="0" t="n">
        <f aca="false">F6*(1+G5/100)</f>
        <v>13942.751347728</v>
      </c>
      <c r="H6" s="0" t="n">
        <f aca="false">G6*(1+H5/100)</f>
        <v>14221.6063746826</v>
      </c>
      <c r="I6" s="0" t="n">
        <f aca="false">H6*(1+I5/100)</f>
        <v>14506.0385021762</v>
      </c>
      <c r="J6" s="0" t="n">
        <f aca="false">I6*(1+J5/100)</f>
        <v>14796.1592722197</v>
      </c>
      <c r="K6" s="0" t="n">
        <f aca="false">J6*(1+K5/100)</f>
        <v>15092.0824576641</v>
      </c>
      <c r="L6" s="0" t="n">
        <f aca="false">K6*(1+L5/100)</f>
        <v>15393.9241068174</v>
      </c>
    </row>
    <row r="7" customFormat="false" ht="15" hidden="false" customHeight="false" outlineLevel="0" collapsed="false">
      <c r="A7" s="0" t="s">
        <v>110</v>
      </c>
      <c r="C7" s="4" t="n">
        <f aca="false">Assumptions!C14</f>
        <v>36.2</v>
      </c>
      <c r="D7" s="4" t="n">
        <f aca="false">Assumptions!D14</f>
        <v>34.9</v>
      </c>
      <c r="E7" s="4" t="n">
        <f aca="false">Assumptions!E14</f>
        <v>36.4</v>
      </c>
      <c r="F7" s="4" t="n">
        <f aca="false">Assumptions!F14</f>
        <v>37.6</v>
      </c>
      <c r="G7" s="4" t="n">
        <f aca="false">Assumptions!G14</f>
        <v>38.4</v>
      </c>
      <c r="H7" s="4" t="n">
        <f aca="false">Assumptions!H14</f>
        <v>38.6</v>
      </c>
      <c r="I7" s="4" t="n">
        <f aca="false">Assumptions!I14</f>
        <v>38.7</v>
      </c>
      <c r="J7" s="4" t="n">
        <f aca="false">Assumptions!J14</f>
        <v>38.7</v>
      </c>
      <c r="K7" s="4" t="n">
        <f aca="false">Assumptions!K14</f>
        <v>38.7</v>
      </c>
      <c r="L7" s="4" t="n">
        <f aca="false">Assumptions!L14</f>
        <v>38.7</v>
      </c>
    </row>
    <row r="8" customFormat="false" ht="15" hidden="false" customHeight="false" outlineLevel="0" collapsed="false">
      <c r="A8" s="0" t="s">
        <v>43</v>
      </c>
      <c r="C8" s="0" t="n">
        <f aca="false">C6*C7/100</f>
        <v>4755.8112</v>
      </c>
      <c r="D8" s="0" t="n">
        <f aca="false">D6*D7/100</f>
        <v>4607.947512</v>
      </c>
      <c r="E8" s="0" t="n">
        <f aca="false">E6*E7/100</f>
        <v>4878.08678448</v>
      </c>
      <c r="F8" s="0" t="n">
        <f aca="false">F6*F7/100</f>
        <v>5139.6808889664</v>
      </c>
      <c r="G8" s="0" t="n">
        <f aca="false">G6*G7/100</f>
        <v>5354.01651752755</v>
      </c>
      <c r="H8" s="0" t="n">
        <f aca="false">H6*H7/100</f>
        <v>5489.54006062747</v>
      </c>
      <c r="I8" s="0" t="n">
        <f aca="false">I6*I7/100</f>
        <v>5613.83690034219</v>
      </c>
      <c r="J8" s="0" t="n">
        <f aca="false">J6*J7/100</f>
        <v>5726.11363834904</v>
      </c>
      <c r="K8" s="0" t="n">
        <f aca="false">K6*K7/100</f>
        <v>5840.63591111602</v>
      </c>
      <c r="L8" s="0" t="n">
        <f aca="false">L6*L7/100</f>
        <v>5957.44862933834</v>
      </c>
    </row>
    <row r="9" customFormat="false" ht="15" hidden="false" customHeight="false" outlineLevel="0" collapsed="false">
      <c r="A9" s="0" t="s">
        <v>111</v>
      </c>
      <c r="C9" s="4" t="n">
        <f aca="false">Assumptions!C15</f>
        <v>1.55</v>
      </c>
      <c r="D9" s="4" t="n">
        <f aca="false">Assumptions!D15</f>
        <v>1.55</v>
      </c>
      <c r="E9" s="4" t="n">
        <f aca="false">Assumptions!E15</f>
        <v>1.55</v>
      </c>
      <c r="F9" s="4" t="n">
        <f aca="false">Assumptions!F15</f>
        <v>1.55</v>
      </c>
      <c r="G9" s="4" t="n">
        <f aca="false">Assumptions!G15</f>
        <v>1.55</v>
      </c>
      <c r="H9" s="4" t="n">
        <f aca="false">Assumptions!H15</f>
        <v>1.55</v>
      </c>
      <c r="I9" s="4" t="n">
        <f aca="false">Assumptions!I15</f>
        <v>1.55</v>
      </c>
      <c r="J9" s="4" t="n">
        <f aca="false">Assumptions!J15</f>
        <v>1.55</v>
      </c>
      <c r="K9" s="4" t="n">
        <f aca="false">Assumptions!K15</f>
        <v>1.55</v>
      </c>
      <c r="L9" s="4" t="n">
        <f aca="false">Assumptions!L15</f>
        <v>1.55</v>
      </c>
    </row>
    <row r="10" customFormat="false" ht="15" hidden="false" customHeight="false" outlineLevel="0" collapsed="false">
      <c r="A10" s="0" t="s">
        <v>126</v>
      </c>
      <c r="C10" s="0" t="n">
        <f aca="false">-C6*C9/100</f>
        <v>-203.6328</v>
      </c>
      <c r="D10" s="0" t="n">
        <f aca="false">-D6*D9/100</f>
        <v>-204.650964</v>
      </c>
      <c r="E10" s="0" t="n">
        <f aca="false">-E6*E9/100</f>
        <v>-207.72072846</v>
      </c>
      <c r="F10" s="0" t="n">
        <f aca="false">-F6*F9/100</f>
        <v>-211.8751430292</v>
      </c>
      <c r="G10" s="0" t="n">
        <f aca="false">-G6*G9/100</f>
        <v>-216.112645889784</v>
      </c>
      <c r="H10" s="0" t="n">
        <f aca="false">-H6*H9/100</f>
        <v>-220.43489880758</v>
      </c>
      <c r="I10" s="0" t="n">
        <f aca="false">-I6*I9/100</f>
        <v>-224.843596783731</v>
      </c>
      <c r="J10" s="0" t="n">
        <f aca="false">-J6*J9/100</f>
        <v>-229.340468719406</v>
      </c>
      <c r="K10" s="0" t="n">
        <f aca="false">-K6*K9/100</f>
        <v>-233.927278093794</v>
      </c>
      <c r="L10" s="0" t="n">
        <f aca="false">-L6*L9/100</f>
        <v>-238.60582365567</v>
      </c>
    </row>
    <row r="11" customFormat="false" ht="15" hidden="false" customHeight="false" outlineLevel="0" collapsed="false">
      <c r="A11" s="0" t="s">
        <v>127</v>
      </c>
      <c r="C11" s="0" t="n">
        <f aca="false">C8+C10+C24</f>
        <v>4552.1784</v>
      </c>
      <c r="D11" s="0" t="n">
        <f aca="false">D8+D10+D24</f>
        <v>4403.296548</v>
      </c>
      <c r="E11" s="0" t="n">
        <f aca="false">E8+E10+E24</f>
        <v>4670.36605602</v>
      </c>
      <c r="F11" s="0" t="n">
        <f aca="false">F8+F10+F24</f>
        <v>4927.8057459372</v>
      </c>
      <c r="G11" s="0" t="n">
        <f aca="false">G8+G10+G24</f>
        <v>5137.90387163777</v>
      </c>
      <c r="H11" s="0" t="n">
        <f aca="false">H8+H10+H24</f>
        <v>5269.10516181989</v>
      </c>
      <c r="I11" s="0" t="n">
        <f aca="false">I8+I10+I24</f>
        <v>5388.99330355846</v>
      </c>
      <c r="J11" s="0" t="n">
        <f aca="false">J8+J10+J24</f>
        <v>5496.77316962963</v>
      </c>
      <c r="K11" s="0" t="n">
        <f aca="false">K8+K10+K24</f>
        <v>5606.70863302223</v>
      </c>
      <c r="L11" s="0" t="n">
        <f aca="false">L8+L10+L24</f>
        <v>5718.84280568267</v>
      </c>
    </row>
    <row r="12" customFormat="false" ht="15" hidden="false" customHeight="false" outlineLevel="0" collapsed="false">
      <c r="A12" s="0" t="s">
        <v>128</v>
      </c>
      <c r="C12" s="4" t="n">
        <f aca="false">-C6*Assumptions!C17/100</f>
        <v>-223.3392</v>
      </c>
      <c r="D12" s="4" t="n">
        <f aca="false">-D6*Assumptions!D17/100</f>
        <v>-191.447676</v>
      </c>
      <c r="E12" s="4" t="n">
        <f aca="false">-E6*Assumptions!E17/100</f>
        <v>-160.81604784</v>
      </c>
      <c r="F12" s="4" t="n">
        <f aca="false">-F6*Assumptions!F17/100</f>
        <v>-136.693640664</v>
      </c>
      <c r="G12" s="4" t="n">
        <f aca="false">-G6*Assumptions!G17/100</f>
        <v>-111.542010781824</v>
      </c>
      <c r="H12" s="4" t="n">
        <f aca="false">-H6*Assumptions!H17/100</f>
        <v>-85.3296382480954</v>
      </c>
      <c r="I12" s="4" t="n">
        <f aca="false">-I6*Assumptions!I17/100</f>
        <v>-58.0241540087048</v>
      </c>
      <c r="J12" s="4" t="n">
        <f aca="false">-J6*Assumptions!J17/100</f>
        <v>-44.3884778166592</v>
      </c>
      <c r="K12" s="4" t="n">
        <f aca="false">-K6*Assumptions!K17/100</f>
        <v>-30.1841649153283</v>
      </c>
      <c r="L12" s="4" t="n">
        <f aca="false">-L6*Assumptions!L17/100</f>
        <v>-15.3939241068174</v>
      </c>
    </row>
    <row r="13" customFormat="false" ht="15" hidden="false" customHeight="false" outlineLevel="0" collapsed="false">
      <c r="A13" s="0" t="s">
        <v>129</v>
      </c>
      <c r="C13" s="0" t="n">
        <f aca="false">C11+C12</f>
        <v>4328.8392</v>
      </c>
      <c r="D13" s="0" t="n">
        <f aca="false">D11+D12</f>
        <v>4211.848872</v>
      </c>
      <c r="E13" s="0" t="n">
        <f aca="false">E11+E12</f>
        <v>4509.55000818</v>
      </c>
      <c r="F13" s="0" t="n">
        <f aca="false">F11+F12</f>
        <v>4791.1121052732</v>
      </c>
      <c r="G13" s="0" t="n">
        <f aca="false">G11+G12</f>
        <v>5026.36186085594</v>
      </c>
      <c r="H13" s="0" t="n">
        <f aca="false">H11+H12</f>
        <v>5183.77552357179</v>
      </c>
      <c r="I13" s="0" t="n">
        <f aca="false">I11+I12</f>
        <v>5330.96914954976</v>
      </c>
      <c r="J13" s="0" t="n">
        <f aca="false">J11+J12</f>
        <v>5452.38469181297</v>
      </c>
      <c r="K13" s="0" t="n">
        <f aca="false">K11+K12</f>
        <v>5576.5244681069</v>
      </c>
      <c r="L13" s="0" t="n">
        <f aca="false">L11+L12</f>
        <v>5703.44888157585</v>
      </c>
    </row>
    <row r="14" customFormat="false" ht="15" hidden="false" customHeight="false" outlineLevel="0" collapsed="false">
      <c r="A14" s="0" t="s">
        <v>115</v>
      </c>
      <c r="C14" s="4" t="n">
        <f aca="false">Assumptions!C19</f>
        <v>22</v>
      </c>
      <c r="D14" s="4" t="n">
        <f aca="false">Assumptions!D19</f>
        <v>22</v>
      </c>
      <c r="E14" s="4" t="n">
        <f aca="false">Assumptions!E19</f>
        <v>22</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130</v>
      </c>
      <c r="C15" s="0" t="n">
        <f aca="false">C13-MAX(0,C13)*C14/100</f>
        <v>3376.494576</v>
      </c>
      <c r="D15" s="0" t="n">
        <f aca="false">D13-MAX(0,D13)*D14/100</f>
        <v>3285.24212016</v>
      </c>
      <c r="E15" s="0" t="n">
        <f aca="false">E13-MAX(0,E13)*E14/100</f>
        <v>3517.4490063804</v>
      </c>
      <c r="F15" s="0" t="n">
        <f aca="false">F13-MAX(0,F13)*F14/100</f>
        <v>3737.0674421131</v>
      </c>
      <c r="G15" s="0" t="n">
        <f aca="false">G13-MAX(0,G13)*G14/100</f>
        <v>3920.56225146764</v>
      </c>
      <c r="H15" s="0" t="n">
        <f aca="false">H13-MAX(0,H13)*H14/100</f>
        <v>4043.344908386</v>
      </c>
      <c r="I15" s="0" t="n">
        <f aca="false">I13-MAX(0,I13)*I14/100</f>
        <v>4158.15593664881</v>
      </c>
      <c r="J15" s="0" t="n">
        <f aca="false">J13-MAX(0,J13)*J14/100</f>
        <v>4252.86005961412</v>
      </c>
      <c r="K15" s="0" t="n">
        <f aca="false">K13-MAX(0,K13)*K14/100</f>
        <v>4349.68908512338</v>
      </c>
      <c r="L15" s="0" t="n">
        <f aca="false">L13-MAX(0,L13)*L14/100</f>
        <v>4448.69012762916</v>
      </c>
    </row>
    <row r="16" customFormat="false" ht="15" hidden="false" customHeight="false" outlineLevel="0" collapsed="false">
      <c r="A16" s="0" t="s">
        <v>131</v>
      </c>
      <c r="C16" s="0" t="n">
        <f aca="false">-C12</f>
        <v>223.3392</v>
      </c>
      <c r="D16" s="0" t="n">
        <f aca="false">-D12</f>
        <v>191.447676</v>
      </c>
      <c r="E16" s="0" t="n">
        <f aca="false">-E12</f>
        <v>160.81604784</v>
      </c>
      <c r="F16" s="0" t="n">
        <f aca="false">-F12</f>
        <v>136.693640664</v>
      </c>
      <c r="G16" s="0" t="n">
        <f aca="false">-G12</f>
        <v>111.542010781824</v>
      </c>
      <c r="H16" s="0" t="n">
        <f aca="false">-H12</f>
        <v>85.3296382480954</v>
      </c>
      <c r="I16" s="0" t="n">
        <f aca="false">-I12</f>
        <v>58.0241540087048</v>
      </c>
      <c r="J16" s="0" t="n">
        <f aca="false">-J12</f>
        <v>44.3884778166592</v>
      </c>
      <c r="K16" s="0" t="n">
        <f aca="false">-K12</f>
        <v>30.1841649153283</v>
      </c>
      <c r="L16" s="0" t="n">
        <f aca="false">-L12</f>
        <v>15.3939241068174</v>
      </c>
    </row>
    <row r="17" customFormat="false" ht="15" hidden="false" customHeight="false" outlineLevel="0" collapsed="false">
      <c r="A17" s="0" t="s">
        <v>132</v>
      </c>
      <c r="C17" s="4" t="n">
        <f aca="false">-C6*Assumptions!C18/100</f>
        <v>-1051.008</v>
      </c>
      <c r="D17" s="4" t="n">
        <f aca="false">-D6*Assumptions!D18/100</f>
        <v>-660.1644</v>
      </c>
      <c r="E17" s="4" t="n">
        <f aca="false">-E6*Assumptions!E18/100</f>
        <v>-670.066866</v>
      </c>
      <c r="F17" s="4" t="n">
        <f aca="false">-F6*Assumptions!F18/100</f>
        <v>-615.121382988</v>
      </c>
      <c r="G17" s="4" t="n">
        <f aca="false">-G6*Assumptions!G18/100</f>
        <v>-557.71005390912</v>
      </c>
      <c r="H17" s="4" t="n">
        <f aca="false">-H6*Assumptions!H18/100</f>
        <v>-497.75622311389</v>
      </c>
      <c r="I17" s="4" t="n">
        <f aca="false">-I6*Assumptions!I18/100</f>
        <v>-478.699270571815</v>
      </c>
      <c r="J17" s="4" t="n">
        <f aca="false">-J6*Assumptions!J18/100</f>
        <v>-488.273255983251</v>
      </c>
      <c r="K17" s="4" t="n">
        <f aca="false">-K6*Assumptions!K18/100</f>
        <v>-498.038721102916</v>
      </c>
      <c r="L17" s="4" t="n">
        <f aca="false">-L6*Assumptions!L18/100</f>
        <v>-507.999495524975</v>
      </c>
    </row>
    <row r="18" customFormat="false" ht="15" hidden="false" customHeight="false" outlineLevel="0" collapsed="false">
      <c r="A18" s="0" t="s">
        <v>133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134</v>
      </c>
      <c r="C19" s="0" t="n">
        <f aca="false">C15+C16+C17+C18</f>
        <v>2548.825776</v>
      </c>
      <c r="D19" s="0" t="n">
        <f aca="false">D15+D16+D17+D18</f>
        <v>2816.52539616</v>
      </c>
      <c r="E19" s="0" t="n">
        <f aca="false">E15+E16+E17+E18</f>
        <v>3008.1981882204</v>
      </c>
      <c r="F19" s="0" t="n">
        <f aca="false">F15+F16+F17+F18</f>
        <v>3258.6396997891</v>
      </c>
      <c r="G19" s="0" t="n">
        <f aca="false">G15+G16+G17+G18</f>
        <v>3474.39420834034</v>
      </c>
      <c r="H19" s="0" t="n">
        <f aca="false">H15+H16+H17+H18</f>
        <v>3630.9183235202</v>
      </c>
      <c r="I19" s="0" t="n">
        <f aca="false">I15+I16+I17+I18</f>
        <v>3737.4808200857</v>
      </c>
      <c r="J19" s="0" t="n">
        <f aca="false">J15+J16+J17+J18</f>
        <v>3808.97528144753</v>
      </c>
      <c r="K19" s="0" t="n">
        <f aca="false">K15+K16+K17+K18</f>
        <v>3881.83452893579</v>
      </c>
      <c r="L19" s="0" t="n">
        <f aca="false">L15+L16+L17+L18</f>
        <v>3956.08455621101</v>
      </c>
    </row>
    <row r="20" customFormat="false" ht="15" hidden="false" customHeight="false" outlineLevel="0" collapsed="false">
      <c r="A20" s="0" t="s">
        <v>135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136</v>
      </c>
      <c r="C21" s="0" t="n">
        <f aca="false">C19*C20</f>
        <v>2317.11434181818</v>
      </c>
      <c r="D21" s="0" t="n">
        <f aca="false">D19*D20</f>
        <v>2327.70693897521</v>
      </c>
      <c r="E21" s="0" t="n">
        <f aca="false">E19*E20</f>
        <v>2260.1038228553</v>
      </c>
      <c r="F21" s="0" t="n">
        <f aca="false">F19*F20</f>
        <v>2225.69476114275</v>
      </c>
      <c r="G21" s="0" t="n">
        <f aca="false">G19*G20</f>
        <v>2157.32544867175</v>
      </c>
      <c r="H21" s="0" t="n">
        <f aca="false">H19*H20</f>
        <v>2049.55873578172</v>
      </c>
      <c r="I21" s="0" t="n">
        <f aca="false">I19*I20</f>
        <v>1917.91862455854</v>
      </c>
      <c r="J21" s="0" t="n">
        <f aca="false">J19*J20</f>
        <v>1776.91507983172</v>
      </c>
      <c r="K21" s="0" t="n">
        <f aca="false">K19*K20</f>
        <v>1646.27677863774</v>
      </c>
      <c r="L21" s="0" t="n">
        <f aca="false">L19*L20</f>
        <v>1525.24185306296</v>
      </c>
    </row>
    <row r="23" customFormat="false" ht="15" hidden="false" customHeight="false" outlineLevel="0" collapsed="false">
      <c r="A23" s="0" t="s">
        <v>112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138</v>
      </c>
    </row>
    <row r="27" customFormat="false" ht="15" hidden="false" customHeight="false" outlineLevel="0" collapsed="false">
      <c r="A27" s="0" t="s">
        <v>116</v>
      </c>
      <c r="B27" s="4" t="n">
        <f aca="false">Assumptions!$B$20</f>
        <v>10</v>
      </c>
    </row>
    <row r="28" customFormat="false" ht="15" hidden="false" customHeight="false" outlineLevel="0" collapsed="false">
      <c r="A28" s="0" t="s">
        <v>117</v>
      </c>
      <c r="B28" s="4" t="n">
        <f aca="false">Assumptions!$B$21</f>
        <v>2</v>
      </c>
    </row>
    <row r="29" customFormat="false" ht="15" hidden="false" customHeight="false" outlineLevel="0" collapsed="false">
      <c r="A29" s="0" t="s">
        <v>118</v>
      </c>
      <c r="B29" s="4" t="n">
        <f aca="false">Assumptions!$B$22</f>
        <v>15</v>
      </c>
    </row>
    <row r="30" customFormat="false" ht="15" hidden="false" customHeight="false" outlineLevel="0" collapsed="false">
      <c r="A30" s="0" t="s">
        <v>139</v>
      </c>
      <c r="B30" s="0" t="n">
        <f aca="false">SUM(C21:L21)</f>
        <v>20203.8563853359</v>
      </c>
    </row>
    <row r="31" customFormat="false" ht="15" hidden="false" customHeight="false" outlineLevel="0" collapsed="false">
      <c r="A31" s="0" t="s">
        <v>140</v>
      </c>
      <c r="B31" s="0" t="n">
        <f aca="false">L19</f>
        <v>3956.08455621101</v>
      </c>
    </row>
    <row r="32" customFormat="false" ht="15" hidden="false" customHeight="false" outlineLevel="0" collapsed="false">
      <c r="A32" s="0" t="s">
        <v>141</v>
      </c>
      <c r="B32" s="0" t="n">
        <f aca="false">IF(B27&gt;B28,B31*(1+B28/100)/((B27-B28)/100),B31*B29)</f>
        <v>50440.0780916903</v>
      </c>
    </row>
    <row r="33" customFormat="false" ht="15" hidden="false" customHeight="false" outlineLevel="0" collapsed="false">
      <c r="A33" s="0" t="s">
        <v>142</v>
      </c>
      <c r="B33" s="0" t="n">
        <f aca="false">B31*B29</f>
        <v>59341.2683431651</v>
      </c>
    </row>
    <row r="34" customFormat="false" ht="15" hidden="false" customHeight="false" outlineLevel="0" collapsed="false">
      <c r="A34" s="0" t="s">
        <v>143</v>
      </c>
      <c r="B34" s="0" t="n">
        <f aca="false">MAX(0,MIN(B32,B33))</f>
        <v>50440.0780916903</v>
      </c>
    </row>
    <row r="35" customFormat="false" ht="15" hidden="false" customHeight="false" outlineLevel="0" collapsed="false">
      <c r="A35" s="0" t="s">
        <v>144</v>
      </c>
      <c r="B35" s="0" t="n">
        <f aca="false">B34/(1+B27/100)^L4</f>
        <v>19446.8336265527</v>
      </c>
    </row>
    <row r="36" customFormat="false" ht="15" hidden="false" customHeight="false" outlineLevel="0" collapsed="false">
      <c r="A36" s="0" t="s">
        <v>145</v>
      </c>
      <c r="B36" s="0" t="n">
        <f aca="false">B30+B35</f>
        <v>39650.6900118886</v>
      </c>
    </row>
    <row r="37" customFormat="false" ht="15" hidden="false" customHeight="false" outlineLevel="0" collapsed="false">
      <c r="A37" s="0" t="s">
        <v>146</v>
      </c>
      <c r="B37" s="0" t="n">
        <f aca="false">B36+Assumptions!$B$5-Assumptions!$B$4</f>
        <v>37468.6900118886</v>
      </c>
    </row>
    <row r="38" customFormat="false" ht="15" hidden="false" customHeight="false" outlineLevel="0" collapsed="false">
      <c r="A38" s="0" t="s">
        <v>147</v>
      </c>
      <c r="B38" s="0" t="n">
        <f aca="false">B37/Assumptions!$B$3*Assumptions!$B$10</f>
        <v>41.1291877188678</v>
      </c>
    </row>
    <row r="39" customFormat="false" ht="15" hidden="false" customHeight="false" outlineLevel="0" collapsed="false">
      <c r="A39" s="0" t="s">
        <v>148</v>
      </c>
      <c r="B39" s="4" t="n">
        <f aca="false">B38/Assumptions!$B$2-1</f>
        <v>-0.210572212689677</v>
      </c>
    </row>
    <row r="41" customFormat="false" ht="15" hidden="false" customHeight="false" outlineLevel="0" collapsed="false">
      <c r="A41" s="0" t="s">
        <v>149</v>
      </c>
      <c r="B41" s="0" t="n">
        <f aca="false">SUMPRODUCT(-C10:L10/(1+$B$27/100)^C4:L4)</f>
        <v>1327.21990423223</v>
      </c>
    </row>
    <row r="42" customFormat="false" ht="15" hidden="false" customHeight="false" outlineLevel="0" collapsed="false">
      <c r="A42" s="0" t="s">
        <v>150</v>
      </c>
      <c r="B42" s="0" t="n">
        <f aca="false">IF(B27&gt;B28,-L10*(1+B28/100)/((B27-B28)/100),-L10*20)/(1+B27/100)^L4</f>
        <v>1172.90914514793</v>
      </c>
    </row>
    <row r="43" customFormat="false" ht="15" hidden="false" customHeight="false" outlineLevel="0" collapsed="false">
      <c r="A43" s="0" t="s">
        <v>151</v>
      </c>
      <c r="B43" s="0" t="n">
        <f aca="false">(B37+B41+B42)/Assumptions!$B$3*Assumptions!$B$10</f>
        <v>43.8735664777923</v>
      </c>
    </row>
    <row r="45" customFormat="false" ht="15" hidden="false" customHeight="false" outlineLevel="0" collapsed="false">
      <c r="A45" s="0" t="s">
        <v>91</v>
      </c>
      <c r="B45" s="4" t="n">
        <f aca="false">Assumptions!$B$6</f>
        <v>15</v>
      </c>
    </row>
    <row r="46" customFormat="false" ht="15" hidden="false" customHeight="false" outlineLevel="0" collapsed="false">
      <c r="A46" s="0" t="s">
        <v>152</v>
      </c>
      <c r="B46" s="0" t="n">
        <f aca="false">MAX(0,MIN(IF(B45&gt;B28,B31*(1+B28/100)/((B45-B28)/100),B31*B29),B31*B29))</f>
        <v>31040.0480564248</v>
      </c>
    </row>
    <row r="47" customFormat="false" ht="15" hidden="false" customHeight="false" outlineLevel="0" collapsed="false">
      <c r="A47" s="0" t="s">
        <v>153</v>
      </c>
      <c r="B47" s="0" t="n">
        <f aca="false">(SUMPRODUCT(C19:L19/(1+B45/100)^C4:L4)+B46/(1+B45/100)^L4+Assumptions!$B$5-Assumptions!$B$4)/Assumptions!$B$3*Assumptions!$B$10</f>
        <v>23.8270755862719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124</v>
      </c>
      <c r="B3" s="0" t="s">
        <v>94</v>
      </c>
      <c r="C3" s="2" t="s">
        <v>99</v>
      </c>
      <c r="D3" s="2" t="s">
        <v>100</v>
      </c>
      <c r="E3" s="2" t="s">
        <v>101</v>
      </c>
      <c r="F3" s="2" t="s">
        <v>102</v>
      </c>
      <c r="G3" s="2" t="s">
        <v>103</v>
      </c>
      <c r="H3" s="2" t="s">
        <v>104</v>
      </c>
      <c r="I3" s="2" t="s">
        <v>105</v>
      </c>
      <c r="J3" s="2" t="s">
        <v>106</v>
      </c>
      <c r="K3" s="2" t="s">
        <v>107</v>
      </c>
      <c r="L3" s="2" t="s">
        <v>108</v>
      </c>
    </row>
    <row r="4" customFormat="false" ht="15" hidden="false" customHeight="false" outlineLevel="0" collapsed="false">
      <c r="A4" s="0" t="s">
        <v>125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109</v>
      </c>
      <c r="C5" s="4" t="n">
        <f aca="false">Assumptions!C27</f>
        <v>6</v>
      </c>
      <c r="D5" s="4" t="n">
        <f aca="false">Assumptions!D27</f>
        <v>4</v>
      </c>
      <c r="E5" s="4" t="n">
        <f aca="false">Assumptions!E27</f>
        <v>4</v>
      </c>
      <c r="F5" s="4" t="n">
        <f aca="false">Assumptions!F27</f>
        <v>3.5</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12880</v>
      </c>
      <c r="C6" s="0" t="n">
        <f aca="false">B6*(1+C5/100)</f>
        <v>13652.8</v>
      </c>
      <c r="D6" s="0" t="n">
        <f aca="false">C6*(1+D5/100)</f>
        <v>14198.912</v>
      </c>
      <c r="E6" s="0" t="n">
        <f aca="false">D6*(1+E5/100)</f>
        <v>14766.86848</v>
      </c>
      <c r="F6" s="0" t="n">
        <f aca="false">E6*(1+F5/100)</f>
        <v>15283.7088768</v>
      </c>
      <c r="G6" s="0" t="n">
        <f aca="false">F6*(1+G5/100)</f>
        <v>15742.220143104</v>
      </c>
      <c r="H6" s="0" t="n">
        <f aca="false">G6*(1+H5/100)</f>
        <v>16214.4867473971</v>
      </c>
      <c r="I6" s="0" t="n">
        <f aca="false">H6*(1+I5/100)</f>
        <v>16619.848916082</v>
      </c>
      <c r="J6" s="0" t="n">
        <f aca="false">I6*(1+J5/100)</f>
        <v>17035.3451389841</v>
      </c>
      <c r="K6" s="0" t="n">
        <f aca="false">J6*(1+K5/100)</f>
        <v>17461.2287674587</v>
      </c>
      <c r="L6" s="0" t="n">
        <f aca="false">K6*(1+L5/100)</f>
        <v>17897.7594866452</v>
      </c>
    </row>
    <row r="7" customFormat="false" ht="15" hidden="false" customHeight="false" outlineLevel="0" collapsed="false">
      <c r="A7" s="0" t="s">
        <v>110</v>
      </c>
      <c r="C7" s="4" t="n">
        <f aca="false">Assumptions!C28</f>
        <v>42.7</v>
      </c>
      <c r="D7" s="4" t="n">
        <f aca="false">Assumptions!D28</f>
        <v>42.5</v>
      </c>
      <c r="E7" s="4" t="n">
        <f aca="false">Assumptions!E28</f>
        <v>42.2</v>
      </c>
      <c r="F7" s="4" t="n">
        <f aca="false">Assumptions!F28</f>
        <v>41.9</v>
      </c>
      <c r="G7" s="4" t="n">
        <f aca="false">Assumptions!G28</f>
        <v>41.6</v>
      </c>
      <c r="H7" s="4" t="n">
        <f aca="false">Assumptions!H28</f>
        <v>41.3</v>
      </c>
      <c r="I7" s="4" t="n">
        <f aca="false">Assumptions!I28</f>
        <v>41</v>
      </c>
      <c r="J7" s="4" t="n">
        <f aca="false">Assumptions!J28</f>
        <v>40.8</v>
      </c>
      <c r="K7" s="4" t="n">
        <f aca="false">Assumptions!K28</f>
        <v>40.7</v>
      </c>
      <c r="L7" s="4" t="n">
        <f aca="false">Assumptions!L28</f>
        <v>40.6</v>
      </c>
    </row>
    <row r="8" customFormat="false" ht="15" hidden="false" customHeight="false" outlineLevel="0" collapsed="false">
      <c r="A8" s="0" t="s">
        <v>43</v>
      </c>
      <c r="C8" s="0" t="n">
        <f aca="false">C6*C7/100</f>
        <v>5829.7456</v>
      </c>
      <c r="D8" s="0" t="n">
        <f aca="false">D6*D7/100</f>
        <v>6034.5376</v>
      </c>
      <c r="E8" s="0" t="n">
        <f aca="false">E6*E7/100</f>
        <v>6231.61849856</v>
      </c>
      <c r="F8" s="0" t="n">
        <f aca="false">F6*F7/100</f>
        <v>6403.8740193792</v>
      </c>
      <c r="G8" s="0" t="n">
        <f aca="false">G6*G7/100</f>
        <v>6548.76357953126</v>
      </c>
      <c r="H8" s="0" t="n">
        <f aca="false">H6*H7/100</f>
        <v>6696.58302667501</v>
      </c>
      <c r="I8" s="0" t="n">
        <f aca="false">I6*I7/100</f>
        <v>6814.13805559364</v>
      </c>
      <c r="J8" s="0" t="n">
        <f aca="false">J6*J7/100</f>
        <v>6950.42081670551</v>
      </c>
      <c r="K8" s="0" t="n">
        <f aca="false">K6*K7/100</f>
        <v>7106.72010835569</v>
      </c>
      <c r="L8" s="0" t="n">
        <f aca="false">L6*L7/100</f>
        <v>7266.49035157794</v>
      </c>
    </row>
    <row r="9" customFormat="false" ht="15" hidden="false" customHeight="false" outlineLevel="0" collapsed="false">
      <c r="A9" s="0" t="s">
        <v>111</v>
      </c>
      <c r="C9" s="4" t="n">
        <f aca="false">Assumptions!C29</f>
        <v>1.55</v>
      </c>
      <c r="D9" s="4" t="n">
        <f aca="false">Assumptions!D29</f>
        <v>1.55</v>
      </c>
      <c r="E9" s="4" t="n">
        <f aca="false">Assumptions!E29</f>
        <v>1.55</v>
      </c>
      <c r="F9" s="4" t="n">
        <f aca="false">Assumptions!F29</f>
        <v>1.55</v>
      </c>
      <c r="G9" s="4" t="n">
        <f aca="false">Assumptions!G29</f>
        <v>1.55</v>
      </c>
      <c r="H9" s="4" t="n">
        <f aca="false">Assumptions!H29</f>
        <v>1.55</v>
      </c>
      <c r="I9" s="4" t="n">
        <f aca="false">Assumptions!I29</f>
        <v>1.55</v>
      </c>
      <c r="J9" s="4" t="n">
        <f aca="false">Assumptions!J29</f>
        <v>1.55</v>
      </c>
      <c r="K9" s="4" t="n">
        <f aca="false">Assumptions!K29</f>
        <v>1.55</v>
      </c>
      <c r="L9" s="4" t="n">
        <f aca="false">Assumptions!L29</f>
        <v>1.55</v>
      </c>
    </row>
    <row r="10" customFormat="false" ht="15" hidden="false" customHeight="false" outlineLevel="0" collapsed="false">
      <c r="A10" s="0" t="s">
        <v>126</v>
      </c>
      <c r="C10" s="0" t="n">
        <f aca="false">-C6*C9/100</f>
        <v>-211.6184</v>
      </c>
      <c r="D10" s="0" t="n">
        <f aca="false">-D6*D9/100</f>
        <v>-220.083136</v>
      </c>
      <c r="E10" s="0" t="n">
        <f aca="false">-E6*E9/100</f>
        <v>-228.88646144</v>
      </c>
      <c r="F10" s="0" t="n">
        <f aca="false">-F6*F9/100</f>
        <v>-236.8974875904</v>
      </c>
      <c r="G10" s="0" t="n">
        <f aca="false">-G6*G9/100</f>
        <v>-244.004412218112</v>
      </c>
      <c r="H10" s="0" t="n">
        <f aca="false">-H6*H9/100</f>
        <v>-251.324544584655</v>
      </c>
      <c r="I10" s="0" t="n">
        <f aca="false">-I6*I9/100</f>
        <v>-257.607658199272</v>
      </c>
      <c r="J10" s="0" t="n">
        <f aca="false">-J6*J9/100</f>
        <v>-264.047849654253</v>
      </c>
      <c r="K10" s="0" t="n">
        <f aca="false">-K6*K9/100</f>
        <v>-270.64904589561</v>
      </c>
      <c r="L10" s="0" t="n">
        <f aca="false">-L6*L9/100</f>
        <v>-277.415272043</v>
      </c>
    </row>
    <row r="11" customFormat="false" ht="15" hidden="false" customHeight="false" outlineLevel="0" collapsed="false">
      <c r="A11" s="0" t="s">
        <v>127</v>
      </c>
      <c r="C11" s="0" t="n">
        <f aca="false">C8+C10+C24</f>
        <v>5618.1272</v>
      </c>
      <c r="D11" s="0" t="n">
        <f aca="false">D8+D10+D24</f>
        <v>5814.454464</v>
      </c>
      <c r="E11" s="0" t="n">
        <f aca="false">E8+E10+E24</f>
        <v>6002.73203712</v>
      </c>
      <c r="F11" s="0" t="n">
        <f aca="false">F8+F10+F24</f>
        <v>6166.9765317888</v>
      </c>
      <c r="G11" s="0" t="n">
        <f aca="false">G8+G10+G24</f>
        <v>6304.75916731315</v>
      </c>
      <c r="H11" s="0" t="n">
        <f aca="false">H8+H10+H24</f>
        <v>6445.25848209036</v>
      </c>
      <c r="I11" s="0" t="n">
        <f aca="false">I8+I10+I24</f>
        <v>6556.53039739437</v>
      </c>
      <c r="J11" s="0" t="n">
        <f aca="false">J8+J10+J24</f>
        <v>6686.37296705126</v>
      </c>
      <c r="K11" s="0" t="n">
        <f aca="false">K8+K10+K24</f>
        <v>6836.07106246008</v>
      </c>
      <c r="L11" s="0" t="n">
        <f aca="false">L8+L10+L24</f>
        <v>6989.07507953494</v>
      </c>
    </row>
    <row r="12" customFormat="false" ht="15" hidden="false" customHeight="false" outlineLevel="0" collapsed="false">
      <c r="A12" s="0" t="s">
        <v>128</v>
      </c>
      <c r="C12" s="4" t="n">
        <f aca="false">-C6*Assumptions!C31/100</f>
        <v>-225.2712</v>
      </c>
      <c r="D12" s="4" t="n">
        <f aca="false">-D6*Assumptions!D31/100</f>
        <v>-191.685312</v>
      </c>
      <c r="E12" s="4" t="n">
        <f aca="false">-E6*Assumptions!E31/100</f>
        <v>-162.43555328</v>
      </c>
      <c r="F12" s="4" t="n">
        <f aca="false">-F6*Assumptions!F31/100</f>
        <v>-137.5533798912</v>
      </c>
      <c r="G12" s="4" t="n">
        <f aca="false">-G6*Assumptions!G31/100</f>
        <v>-110.195541001728</v>
      </c>
      <c r="H12" s="4" t="n">
        <f aca="false">-H6*Assumptions!H31/100</f>
        <v>-81.0724337369856</v>
      </c>
      <c r="I12" s="4" t="n">
        <f aca="false">-I6*Assumptions!I31/100</f>
        <v>-66.4793956643282</v>
      </c>
      <c r="J12" s="4" t="n">
        <f aca="false">-J6*Assumptions!J31/100</f>
        <v>-51.1060354169523</v>
      </c>
      <c r="K12" s="4" t="n">
        <f aca="false">-K6*Assumptions!K31/100</f>
        <v>-34.9224575349174</v>
      </c>
      <c r="L12" s="4" t="n">
        <f aca="false">-L6*Assumptions!L31/100</f>
        <v>-17.8977594866452</v>
      </c>
    </row>
    <row r="13" customFormat="false" ht="15" hidden="false" customHeight="false" outlineLevel="0" collapsed="false">
      <c r="A13" s="0" t="s">
        <v>129</v>
      </c>
      <c r="C13" s="0" t="n">
        <f aca="false">C11+C12</f>
        <v>5392.856</v>
      </c>
      <c r="D13" s="0" t="n">
        <f aca="false">D11+D12</f>
        <v>5622.769152</v>
      </c>
      <c r="E13" s="0" t="n">
        <f aca="false">E11+E12</f>
        <v>5840.29648384</v>
      </c>
      <c r="F13" s="0" t="n">
        <f aca="false">F11+F12</f>
        <v>6029.4231518976</v>
      </c>
      <c r="G13" s="0" t="n">
        <f aca="false">G11+G12</f>
        <v>6194.56362631143</v>
      </c>
      <c r="H13" s="0" t="n">
        <f aca="false">H11+H12</f>
        <v>6364.18604835337</v>
      </c>
      <c r="I13" s="0" t="n">
        <f aca="false">I11+I12</f>
        <v>6490.05100173004</v>
      </c>
      <c r="J13" s="0" t="n">
        <f aca="false">J11+J12</f>
        <v>6635.26693163431</v>
      </c>
      <c r="K13" s="0" t="n">
        <f aca="false">K11+K12</f>
        <v>6801.14860492516</v>
      </c>
      <c r="L13" s="0" t="n">
        <f aca="false">L11+L12</f>
        <v>6971.17732004829</v>
      </c>
    </row>
    <row r="14" customFormat="false" ht="15" hidden="false" customHeight="false" outlineLevel="0" collapsed="false">
      <c r="A14" s="0" t="s">
        <v>115</v>
      </c>
      <c r="C14" s="4" t="n">
        <f aca="false">Assumptions!C33</f>
        <v>22</v>
      </c>
      <c r="D14" s="4" t="n">
        <f aca="false">Assumptions!D33</f>
        <v>22</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130</v>
      </c>
      <c r="C15" s="0" t="n">
        <f aca="false">C13-MAX(0,C13)*C14/100</f>
        <v>4206.42768</v>
      </c>
      <c r="D15" s="0" t="n">
        <f aca="false">D13-MAX(0,D13)*D14/100</f>
        <v>4385.75993856</v>
      </c>
      <c r="E15" s="0" t="n">
        <f aca="false">E13-MAX(0,E13)*E14/100</f>
        <v>4555.4312573952</v>
      </c>
      <c r="F15" s="0" t="n">
        <f aca="false">F13-MAX(0,F13)*F14/100</f>
        <v>4702.95005848013</v>
      </c>
      <c r="G15" s="0" t="n">
        <f aca="false">G13-MAX(0,G13)*G14/100</f>
        <v>4831.75962852291</v>
      </c>
      <c r="H15" s="0" t="n">
        <f aca="false">H13-MAX(0,H13)*H14/100</f>
        <v>4964.06511771563</v>
      </c>
      <c r="I15" s="0" t="n">
        <f aca="false">I13-MAX(0,I13)*I14/100</f>
        <v>5062.23978134943</v>
      </c>
      <c r="J15" s="0" t="n">
        <f aca="false">J13-MAX(0,J13)*J14/100</f>
        <v>5175.50820667476</v>
      </c>
      <c r="K15" s="0" t="n">
        <f aca="false">K13-MAX(0,K13)*K14/100</f>
        <v>5304.89591184163</v>
      </c>
      <c r="L15" s="0" t="n">
        <f aca="false">L13-MAX(0,L13)*L14/100</f>
        <v>5437.51830963767</v>
      </c>
    </row>
    <row r="16" customFormat="false" ht="15" hidden="false" customHeight="false" outlineLevel="0" collapsed="false">
      <c r="A16" s="0" t="s">
        <v>131</v>
      </c>
      <c r="C16" s="0" t="n">
        <f aca="false">-C12</f>
        <v>225.2712</v>
      </c>
      <c r="D16" s="0" t="n">
        <f aca="false">-D12</f>
        <v>191.685312</v>
      </c>
      <c r="E16" s="0" t="n">
        <f aca="false">-E12</f>
        <v>162.43555328</v>
      </c>
      <c r="F16" s="0" t="n">
        <f aca="false">-F12</f>
        <v>137.5533798912</v>
      </c>
      <c r="G16" s="0" t="n">
        <f aca="false">-G12</f>
        <v>110.195541001728</v>
      </c>
      <c r="H16" s="0" t="n">
        <f aca="false">-H12</f>
        <v>81.0724337369856</v>
      </c>
      <c r="I16" s="0" t="n">
        <f aca="false">-I12</f>
        <v>66.4793956643282</v>
      </c>
      <c r="J16" s="0" t="n">
        <f aca="false">-J12</f>
        <v>51.1060354169523</v>
      </c>
      <c r="K16" s="0" t="n">
        <f aca="false">-K12</f>
        <v>34.9224575349174</v>
      </c>
      <c r="L16" s="0" t="n">
        <f aca="false">-L12</f>
        <v>17.8977594866452</v>
      </c>
    </row>
    <row r="17" customFormat="false" ht="15" hidden="false" customHeight="false" outlineLevel="0" collapsed="false">
      <c r="A17" s="0" t="s">
        <v>132</v>
      </c>
      <c r="C17" s="4" t="n">
        <f aca="false">-C6*Assumptions!C32/100</f>
        <v>-1365.28</v>
      </c>
      <c r="D17" s="4" t="n">
        <f aca="false">-D6*Assumptions!D32/100</f>
        <v>-922.92928</v>
      </c>
      <c r="E17" s="4" t="n">
        <f aca="false">-E6*Assumptions!E32/100</f>
        <v>-959.8464512</v>
      </c>
      <c r="F17" s="4" t="n">
        <f aca="false">-F6*Assumptions!F32/100</f>
        <v>-871.1714059776</v>
      </c>
      <c r="G17" s="4" t="n">
        <f aca="false">-G6*Assumptions!G32/100</f>
        <v>-771.368787012096</v>
      </c>
      <c r="H17" s="4" t="n">
        <f aca="false">-H6*Assumptions!H32/100</f>
        <v>-794.509850622459</v>
      </c>
      <c r="I17" s="4" t="n">
        <f aca="false">-I6*Assumptions!I32/100</f>
        <v>-681.413805559364</v>
      </c>
      <c r="J17" s="4" t="n">
        <f aca="false">-J6*Assumptions!J32/100</f>
        <v>-698.449150698348</v>
      </c>
      <c r="K17" s="4" t="n">
        <f aca="false">-K6*Assumptions!K32/100</f>
        <v>-715.910379465807</v>
      </c>
      <c r="L17" s="4" t="n">
        <f aca="false">-L6*Assumptions!L32/100</f>
        <v>-733.808138952452</v>
      </c>
    </row>
    <row r="18" customFormat="false" ht="15" hidden="false" customHeight="false" outlineLevel="0" collapsed="false">
      <c r="A18" s="0" t="s">
        <v>133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134</v>
      </c>
      <c r="C19" s="0" t="n">
        <f aca="false">C15+C16+C17+C18</f>
        <v>3066.41888</v>
      </c>
      <c r="D19" s="0" t="n">
        <f aca="false">D15+D16+D17+D18</f>
        <v>3654.51597056</v>
      </c>
      <c r="E19" s="0" t="n">
        <f aca="false">E15+E16+E17+E18</f>
        <v>3758.0203594752</v>
      </c>
      <c r="F19" s="0" t="n">
        <f aca="false">F15+F16+F17+F18</f>
        <v>3969.33203239373</v>
      </c>
      <c r="G19" s="0" t="n">
        <f aca="false">G15+G16+G17+G18</f>
        <v>4170.58638251254</v>
      </c>
      <c r="H19" s="0" t="n">
        <f aca="false">H15+H16+H17+H18</f>
        <v>4250.62770083016</v>
      </c>
      <c r="I19" s="0" t="n">
        <f aca="false">I15+I16+I17+I18</f>
        <v>4447.3053714544</v>
      </c>
      <c r="J19" s="0" t="n">
        <f aca="false">J15+J16+J17+J18</f>
        <v>4528.16509139336</v>
      </c>
      <c r="K19" s="0" t="n">
        <f aca="false">K15+K16+K17+K18</f>
        <v>4623.90798991074</v>
      </c>
      <c r="L19" s="0" t="n">
        <f aca="false">L15+L16+L17+L18</f>
        <v>4721.60793017186</v>
      </c>
    </row>
    <row r="20" customFormat="false" ht="15" hidden="false" customHeight="false" outlineLevel="0" collapsed="false">
      <c r="A20" s="0" t="s">
        <v>135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136</v>
      </c>
      <c r="C21" s="0" t="n">
        <f aca="false">C19*C20</f>
        <v>2787.65352727273</v>
      </c>
      <c r="D21" s="0" t="n">
        <f aca="false">D19*D20</f>
        <v>3020.26113269422</v>
      </c>
      <c r="E21" s="0" t="n">
        <f aca="false">E19*E20</f>
        <v>2823.45631816319</v>
      </c>
      <c r="F21" s="0" t="n">
        <f aca="false">F19*F20</f>
        <v>2711.1071869365</v>
      </c>
      <c r="G21" s="0" t="n">
        <f aca="false">G19*G20</f>
        <v>2589.60601456218</v>
      </c>
      <c r="H21" s="0" t="n">
        <f aca="false">H19*H20</f>
        <v>2399.36852348305</v>
      </c>
      <c r="I21" s="0" t="n">
        <f aca="false">I19*I20</f>
        <v>2282.17085561285</v>
      </c>
      <c r="J21" s="0" t="n">
        <f aca="false">J19*J20</f>
        <v>2112.42243394308</v>
      </c>
      <c r="K21" s="0" t="n">
        <f aca="false">K19*K20</f>
        <v>1960.98836609465</v>
      </c>
      <c r="L21" s="0" t="n">
        <f aca="false">L19*L20</f>
        <v>1820.38425279502</v>
      </c>
    </row>
    <row r="23" customFormat="false" ht="15" hidden="false" customHeight="false" outlineLevel="0" collapsed="false">
      <c r="A23" s="0" t="s">
        <v>112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138</v>
      </c>
    </row>
    <row r="27" customFormat="false" ht="15" hidden="false" customHeight="false" outlineLevel="0" collapsed="false">
      <c r="A27" s="0" t="s">
        <v>116</v>
      </c>
      <c r="B27" s="4" t="n">
        <f aca="false">Assumptions!$B$34</f>
        <v>10</v>
      </c>
    </row>
    <row r="28" customFormat="false" ht="15" hidden="false" customHeight="false" outlineLevel="0" collapsed="false">
      <c r="A28" s="0" t="s">
        <v>117</v>
      </c>
      <c r="B28" s="4" t="n">
        <f aca="false">Assumptions!$B$35</f>
        <v>2.5</v>
      </c>
    </row>
    <row r="29" customFormat="false" ht="15" hidden="false" customHeight="false" outlineLevel="0" collapsed="false">
      <c r="A29" s="0" t="s">
        <v>118</v>
      </c>
      <c r="B29" s="4" t="n">
        <f aca="false">Assumptions!$B$36</f>
        <v>15</v>
      </c>
    </row>
    <row r="30" customFormat="false" ht="15" hidden="false" customHeight="false" outlineLevel="0" collapsed="false">
      <c r="A30" s="0" t="s">
        <v>139</v>
      </c>
      <c r="B30" s="0" t="n">
        <f aca="false">SUM(C21:L21)</f>
        <v>24507.4186115575</v>
      </c>
    </row>
    <row r="31" customFormat="false" ht="15" hidden="false" customHeight="false" outlineLevel="0" collapsed="false">
      <c r="A31" s="0" t="s">
        <v>140</v>
      </c>
      <c r="B31" s="0" t="n">
        <f aca="false">L19</f>
        <v>4721.60793017186</v>
      </c>
    </row>
    <row r="32" customFormat="false" ht="15" hidden="false" customHeight="false" outlineLevel="0" collapsed="false">
      <c r="A32" s="0" t="s">
        <v>141</v>
      </c>
      <c r="B32" s="0" t="n">
        <f aca="false">IF(B27&gt;B28,B31*(1+B28/100)/((B27-B28)/100),B31*B29)</f>
        <v>64528.6417123488</v>
      </c>
    </row>
    <row r="33" customFormat="false" ht="15" hidden="false" customHeight="false" outlineLevel="0" collapsed="false">
      <c r="A33" s="0" t="s">
        <v>142</v>
      </c>
      <c r="B33" s="0" t="n">
        <f aca="false">B31*B29</f>
        <v>70824.1189525779</v>
      </c>
    </row>
    <row r="34" customFormat="false" ht="15" hidden="false" customHeight="false" outlineLevel="0" collapsed="false">
      <c r="A34" s="0" t="s">
        <v>143</v>
      </c>
      <c r="B34" s="0" t="n">
        <f aca="false">MAX(0,MIN(B32,B33))</f>
        <v>64528.6417123488</v>
      </c>
    </row>
    <row r="35" customFormat="false" ht="15" hidden="false" customHeight="false" outlineLevel="0" collapsed="false">
      <c r="A35" s="0" t="s">
        <v>144</v>
      </c>
      <c r="B35" s="0" t="n">
        <f aca="false">B34/(1+B27/100)^L4</f>
        <v>24878.5847881986</v>
      </c>
    </row>
    <row r="36" customFormat="false" ht="15" hidden="false" customHeight="false" outlineLevel="0" collapsed="false">
      <c r="A36" s="0" t="s">
        <v>145</v>
      </c>
      <c r="B36" s="0" t="n">
        <f aca="false">B30+B35</f>
        <v>49386.0033997561</v>
      </c>
    </row>
    <row r="37" customFormat="false" ht="15" hidden="false" customHeight="false" outlineLevel="0" collapsed="false">
      <c r="A37" s="0" t="s">
        <v>146</v>
      </c>
      <c r="B37" s="0" t="n">
        <f aca="false">B36+Assumptions!$B$5-Assumptions!$B$4</f>
        <v>47204.0033997561</v>
      </c>
    </row>
    <row r="38" customFormat="false" ht="15" hidden="false" customHeight="false" outlineLevel="0" collapsed="false">
      <c r="A38" s="0" t="s">
        <v>147</v>
      </c>
      <c r="B38" s="0" t="n">
        <f aca="false">B37/Assumptions!$B$3*Assumptions!$B$10</f>
        <v>51.8155909986345</v>
      </c>
    </row>
    <row r="39" customFormat="false" ht="15" hidden="false" customHeight="false" outlineLevel="0" collapsed="false">
      <c r="A39" s="0" t="s">
        <v>148</v>
      </c>
      <c r="B39" s="4" t="n">
        <f aca="false">B38/Assumptions!$B$2-1</f>
        <v>-0.00545890597630439</v>
      </c>
    </row>
    <row r="41" customFormat="false" ht="15" hidden="false" customHeight="false" outlineLevel="0" collapsed="false">
      <c r="A41" s="0" t="s">
        <v>149</v>
      </c>
      <c r="B41" s="0" t="n">
        <f aca="false">SUMPRODUCT(-C10:L10/(1+$B$27/100)^C4:L4)</f>
        <v>1478.5218505484</v>
      </c>
    </row>
    <row r="42" customFormat="false" ht="15" hidden="false" customHeight="false" outlineLevel="0" collapsed="false">
      <c r="A42" s="0" t="s">
        <v>150</v>
      </c>
      <c r="B42" s="0" t="n">
        <f aca="false">IF(B27&gt;B28,-L10*(1+B28/100)/((B27-B28)/100),-L10*20)/(1+B27/100)^L4</f>
        <v>1461.7264857931</v>
      </c>
    </row>
    <row r="43" customFormat="false" ht="15" hidden="false" customHeight="false" outlineLevel="0" collapsed="false">
      <c r="A43" s="0" t="s">
        <v>151</v>
      </c>
      <c r="B43" s="0" t="n">
        <f aca="false">(B37+B41+B42)/Assumptions!$B$3*Assumptions!$B$10</f>
        <v>55.0430864282081</v>
      </c>
    </row>
    <row r="45" customFormat="false" ht="15" hidden="false" customHeight="false" outlineLevel="0" collapsed="false">
      <c r="A45" s="0" t="s">
        <v>91</v>
      </c>
      <c r="B45" s="4" t="n">
        <f aca="false">Assumptions!$B$6</f>
        <v>15</v>
      </c>
    </row>
    <row r="46" customFormat="false" ht="15" hidden="false" customHeight="false" outlineLevel="0" collapsed="false">
      <c r="A46" s="0" t="s">
        <v>152</v>
      </c>
      <c r="B46" s="0" t="n">
        <f aca="false">MAX(0,MIN(IF(B45&gt;B28,B31*(1+B28/100)/((B45-B28)/100),B31*B29),B31*B29))</f>
        <v>38717.1850274093</v>
      </c>
    </row>
    <row r="47" customFormat="false" ht="15" hidden="false" customHeight="false" outlineLevel="0" collapsed="false">
      <c r="A47" s="0" t="s">
        <v>153</v>
      </c>
      <c r="B47" s="0" t="n">
        <f aca="false">(SUMPRODUCT(C19:L19/(1+B45/100)^C4:L4)+B46/(1+B45/100)^L4+Assumptions!$B$5-Assumptions!$B$4)/Assumptions!$B$3*Assumptions!$B$10</f>
        <v>29.7512523304541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155</v>
      </c>
    </row>
    <row r="3" customFormat="false" ht="15" hidden="false" customHeight="false" outlineLevel="0" collapsed="false">
      <c r="A3" s="0" t="s">
        <v>124</v>
      </c>
      <c r="B3" s="0" t="s">
        <v>94</v>
      </c>
      <c r="C3" s="2" t="s">
        <v>99</v>
      </c>
      <c r="D3" s="2" t="s">
        <v>100</v>
      </c>
      <c r="E3" s="2" t="s">
        <v>101</v>
      </c>
      <c r="F3" s="2" t="s">
        <v>102</v>
      </c>
      <c r="G3" s="2" t="s">
        <v>103</v>
      </c>
      <c r="H3" s="2" t="s">
        <v>104</v>
      </c>
      <c r="I3" s="2" t="s">
        <v>105</v>
      </c>
      <c r="J3" s="2" t="s">
        <v>106</v>
      </c>
      <c r="K3" s="2" t="s">
        <v>107</v>
      </c>
      <c r="L3" s="2" t="s">
        <v>108</v>
      </c>
    </row>
    <row r="4" customFormat="false" ht="15" hidden="false" customHeight="false" outlineLevel="0" collapsed="false">
      <c r="A4" s="0" t="s">
        <v>125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109</v>
      </c>
      <c r="C5" s="4" t="n">
        <f aca="false">Assumptions!C41</f>
        <v>8</v>
      </c>
      <c r="D5" s="4" t="n">
        <f aca="false">Assumptions!D41</f>
        <v>6</v>
      </c>
      <c r="E5" s="4" t="n">
        <f aca="false">Assumptions!E41</f>
        <v>5</v>
      </c>
      <c r="F5" s="4" t="n">
        <f aca="false">Assumptions!F41</f>
        <v>4.5</v>
      </c>
      <c r="G5" s="4" t="n">
        <f aca="false">Assumptions!G41</f>
        <v>4</v>
      </c>
      <c r="H5" s="4" t="n">
        <f aca="false">Assumptions!H41</f>
        <v>3.5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12880</v>
      </c>
      <c r="C6" s="0" t="n">
        <f aca="false">B6*(1+C5/100)</f>
        <v>13910.4</v>
      </c>
      <c r="D6" s="0" t="n">
        <f aca="false">C6*(1+D5/100)</f>
        <v>14745.024</v>
      </c>
      <c r="E6" s="0" t="n">
        <f aca="false">D6*(1+E5/100)</f>
        <v>15482.2752</v>
      </c>
      <c r="F6" s="0" t="n">
        <f aca="false">E6*(1+F5/100)</f>
        <v>16178.977584</v>
      </c>
      <c r="G6" s="0" t="n">
        <f aca="false">F6*(1+G5/100)</f>
        <v>16826.13668736</v>
      </c>
      <c r="H6" s="0" t="n">
        <f aca="false">G6*(1+H5/100)</f>
        <v>17415.0514714176</v>
      </c>
      <c r="I6" s="0" t="n">
        <f aca="false">H6*(1+I5/100)</f>
        <v>17937.5030155601</v>
      </c>
      <c r="J6" s="0" t="n">
        <f aca="false">I6*(1+J5/100)</f>
        <v>18475.6281060269</v>
      </c>
      <c r="K6" s="0" t="n">
        <f aca="false">J6*(1+K5/100)</f>
        <v>19029.8969492077</v>
      </c>
      <c r="L6" s="0" t="n">
        <f aca="false">K6*(1+L5/100)</f>
        <v>19600.793857684</v>
      </c>
    </row>
    <row r="7" customFormat="false" ht="15" hidden="false" customHeight="false" outlineLevel="0" collapsed="false">
      <c r="A7" s="0" t="s">
        <v>110</v>
      </c>
      <c r="C7" s="4" t="n">
        <f aca="false">Assumptions!C42</f>
        <v>43.7</v>
      </c>
      <c r="D7" s="4" t="n">
        <f aca="false">Assumptions!D42</f>
        <v>44.5</v>
      </c>
      <c r="E7" s="4" t="n">
        <f aca="false">Assumptions!E42</f>
        <v>45.2</v>
      </c>
      <c r="F7" s="4" t="n">
        <f aca="false">Assumptions!F42</f>
        <v>45.6</v>
      </c>
      <c r="G7" s="4" t="n">
        <f aca="false">Assumptions!G42</f>
        <v>45.7</v>
      </c>
      <c r="H7" s="4" t="n">
        <f aca="false">Assumptions!H42</f>
        <v>45.7</v>
      </c>
      <c r="I7" s="4" t="n">
        <f aca="false">Assumptions!I42</f>
        <v>45.6</v>
      </c>
      <c r="J7" s="4" t="n">
        <f aca="false">Assumptions!J42</f>
        <v>45.5</v>
      </c>
      <c r="K7" s="4" t="n">
        <f aca="false">Assumptions!K42</f>
        <v>45.4</v>
      </c>
      <c r="L7" s="4" t="n">
        <f aca="false">Assumptions!L42</f>
        <v>45.3</v>
      </c>
    </row>
    <row r="8" customFormat="false" ht="15" hidden="false" customHeight="false" outlineLevel="0" collapsed="false">
      <c r="A8" s="0" t="s">
        <v>43</v>
      </c>
      <c r="C8" s="0" t="n">
        <f aca="false">C6*C7/100</f>
        <v>6078.8448</v>
      </c>
      <c r="D8" s="0" t="n">
        <f aca="false">D6*D7/100</f>
        <v>6561.53568</v>
      </c>
      <c r="E8" s="0" t="n">
        <f aca="false">E6*E7/100</f>
        <v>6997.9883904</v>
      </c>
      <c r="F8" s="0" t="n">
        <f aca="false">F6*F7/100</f>
        <v>7377.613778304</v>
      </c>
      <c r="G8" s="0" t="n">
        <f aca="false">G6*G7/100</f>
        <v>7689.54446612352</v>
      </c>
      <c r="H8" s="0" t="n">
        <f aca="false">H6*H7/100</f>
        <v>7958.67852243784</v>
      </c>
      <c r="I8" s="0" t="n">
        <f aca="false">I6*I7/100</f>
        <v>8179.50137509542</v>
      </c>
      <c r="J8" s="0" t="n">
        <f aca="false">J6*J7/100</f>
        <v>8406.41078824225</v>
      </c>
      <c r="K8" s="0" t="n">
        <f aca="false">K6*K7/100</f>
        <v>8639.57321494031</v>
      </c>
      <c r="L8" s="0" t="n">
        <f aca="false">L6*L7/100</f>
        <v>8879.15961753084</v>
      </c>
    </row>
    <row r="9" customFormat="false" ht="15" hidden="false" customHeight="false" outlineLevel="0" collapsed="false">
      <c r="A9" s="0" t="s">
        <v>111</v>
      </c>
      <c r="C9" s="4" t="n">
        <f aca="false">Assumptions!C43</f>
        <v>1.55</v>
      </c>
      <c r="D9" s="4" t="n">
        <f aca="false">Assumptions!D43</f>
        <v>1.55</v>
      </c>
      <c r="E9" s="4" t="n">
        <f aca="false">Assumptions!E43</f>
        <v>1.55</v>
      </c>
      <c r="F9" s="4" t="n">
        <f aca="false">Assumptions!F43</f>
        <v>1.55</v>
      </c>
      <c r="G9" s="4" t="n">
        <f aca="false">Assumptions!G43</f>
        <v>1.55</v>
      </c>
      <c r="H9" s="4" t="n">
        <f aca="false">Assumptions!H43</f>
        <v>1.55</v>
      </c>
      <c r="I9" s="4" t="n">
        <f aca="false">Assumptions!I43</f>
        <v>1.55</v>
      </c>
      <c r="J9" s="4" t="n">
        <f aca="false">Assumptions!J43</f>
        <v>1.55</v>
      </c>
      <c r="K9" s="4" t="n">
        <f aca="false">Assumptions!K43</f>
        <v>1.55</v>
      </c>
      <c r="L9" s="4" t="n">
        <f aca="false">Assumptions!L43</f>
        <v>1.55</v>
      </c>
    </row>
    <row r="10" customFormat="false" ht="15" hidden="false" customHeight="false" outlineLevel="0" collapsed="false">
      <c r="A10" s="0" t="s">
        <v>126</v>
      </c>
      <c r="C10" s="0" t="n">
        <f aca="false">-C6*C9/100</f>
        <v>-215.6112</v>
      </c>
      <c r="D10" s="0" t="n">
        <f aca="false">-D6*D9/100</f>
        <v>-228.547872</v>
      </c>
      <c r="E10" s="0" t="n">
        <f aca="false">-E6*E9/100</f>
        <v>-239.9752656</v>
      </c>
      <c r="F10" s="0" t="n">
        <f aca="false">-F6*F9/100</f>
        <v>-250.774152552</v>
      </c>
      <c r="G10" s="0" t="n">
        <f aca="false">-G6*G9/100</f>
        <v>-260.80511865408</v>
      </c>
      <c r="H10" s="0" t="n">
        <f aca="false">-H6*H9/100</f>
        <v>-269.933297806973</v>
      </c>
      <c r="I10" s="0" t="n">
        <f aca="false">-I6*I9/100</f>
        <v>-278.031296741182</v>
      </c>
      <c r="J10" s="0" t="n">
        <f aca="false">-J6*J9/100</f>
        <v>-286.372235643417</v>
      </c>
      <c r="K10" s="0" t="n">
        <f aca="false">-K6*K9/100</f>
        <v>-294.96340271272</v>
      </c>
      <c r="L10" s="0" t="n">
        <f aca="false">-L6*L9/100</f>
        <v>-303.812304794102</v>
      </c>
    </row>
    <row r="11" customFormat="false" ht="15" hidden="false" customHeight="false" outlineLevel="0" collapsed="false">
      <c r="A11" s="0" t="s">
        <v>127</v>
      </c>
      <c r="C11" s="0" t="n">
        <f aca="false">C8+C10+C24</f>
        <v>5863.2336</v>
      </c>
      <c r="D11" s="0" t="n">
        <f aca="false">D8+D10+D24</f>
        <v>6332.987808</v>
      </c>
      <c r="E11" s="0" t="n">
        <f aca="false">E8+E10+E24</f>
        <v>6758.0131248</v>
      </c>
      <c r="F11" s="0" t="n">
        <f aca="false">F8+F10+F24</f>
        <v>7126.839625752</v>
      </c>
      <c r="G11" s="0" t="n">
        <f aca="false">G8+G10+G24</f>
        <v>7428.73934746944</v>
      </c>
      <c r="H11" s="0" t="n">
        <f aca="false">H8+H10+H24</f>
        <v>7688.74522463087</v>
      </c>
      <c r="I11" s="0" t="n">
        <f aca="false">I8+I10+I24</f>
        <v>7901.47007835424</v>
      </c>
      <c r="J11" s="0" t="n">
        <f aca="false">J8+J10+J24</f>
        <v>8120.03855259884</v>
      </c>
      <c r="K11" s="0" t="n">
        <f aca="false">K8+K10+K24</f>
        <v>8344.60981222759</v>
      </c>
      <c r="L11" s="0" t="n">
        <f aca="false">L8+L10+L24</f>
        <v>8575.34731273674</v>
      </c>
    </row>
    <row r="12" customFormat="false" ht="15" hidden="false" customHeight="false" outlineLevel="0" collapsed="false">
      <c r="A12" s="0" t="s">
        <v>128</v>
      </c>
      <c r="C12" s="4" t="n">
        <f aca="false">-C6*Assumptions!C45/100</f>
        <v>-222.5664</v>
      </c>
      <c r="D12" s="4" t="n">
        <f aca="false">-D6*Assumptions!D45/100</f>
        <v>-191.685312</v>
      </c>
      <c r="E12" s="4" t="n">
        <f aca="false">-E6*Assumptions!E45/100</f>
        <v>-162.5638896</v>
      </c>
      <c r="F12" s="4" t="n">
        <f aca="false">-F6*Assumptions!F45/100</f>
        <v>-137.521309464</v>
      </c>
      <c r="G12" s="4" t="n">
        <f aca="false">-G6*Assumptions!G45/100</f>
        <v>-109.36988846784</v>
      </c>
      <c r="H12" s="4" t="n">
        <f aca="false">-H6*Assumptions!H45/100</f>
        <v>-87.075257357088</v>
      </c>
      <c r="I12" s="4" t="n">
        <f aca="false">-I6*Assumptions!I45/100</f>
        <v>-71.7500120622405</v>
      </c>
      <c r="J12" s="4" t="n">
        <f aca="false">-J6*Assumptions!J45/100</f>
        <v>-55.4268843180808</v>
      </c>
      <c r="K12" s="4" t="n">
        <f aca="false">-K6*Assumptions!K45/100</f>
        <v>-38.0597938984155</v>
      </c>
      <c r="L12" s="4" t="n">
        <f aca="false">-L6*Assumptions!L45/100</f>
        <v>-19.600793857684</v>
      </c>
    </row>
    <row r="13" customFormat="false" ht="15" hidden="false" customHeight="false" outlineLevel="0" collapsed="false">
      <c r="A13" s="0" t="s">
        <v>129</v>
      </c>
      <c r="C13" s="0" t="n">
        <f aca="false">C11+C12</f>
        <v>5640.6672</v>
      </c>
      <c r="D13" s="0" t="n">
        <f aca="false">D11+D12</f>
        <v>6141.302496</v>
      </c>
      <c r="E13" s="0" t="n">
        <f aca="false">E11+E12</f>
        <v>6595.4492352</v>
      </c>
      <c r="F13" s="0" t="n">
        <f aca="false">F11+F12</f>
        <v>6989.318316288</v>
      </c>
      <c r="G13" s="0" t="n">
        <f aca="false">G11+G12</f>
        <v>7319.3694590016</v>
      </c>
      <c r="H13" s="0" t="n">
        <f aca="false">H11+H12</f>
        <v>7601.66996727378</v>
      </c>
      <c r="I13" s="0" t="n">
        <f aca="false">I11+I12</f>
        <v>7829.720066292</v>
      </c>
      <c r="J13" s="0" t="n">
        <f aca="false">J11+J12</f>
        <v>8064.61166828076</v>
      </c>
      <c r="K13" s="0" t="n">
        <f aca="false">K11+K12</f>
        <v>8306.55001832918</v>
      </c>
      <c r="L13" s="0" t="n">
        <f aca="false">L11+L12</f>
        <v>8555.74651887906</v>
      </c>
    </row>
    <row r="14" customFormat="false" ht="15" hidden="false" customHeight="false" outlineLevel="0" collapsed="false">
      <c r="A14" s="0" t="s">
        <v>115</v>
      </c>
      <c r="C14" s="4" t="n">
        <f aca="false">Assumptions!C47</f>
        <v>22</v>
      </c>
      <c r="D14" s="4" t="n">
        <f aca="false">Assumptions!D47</f>
        <v>22</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130</v>
      </c>
      <c r="C15" s="0" t="n">
        <f aca="false">C13-MAX(0,C13)*C14/100</f>
        <v>4399.720416</v>
      </c>
      <c r="D15" s="0" t="n">
        <f aca="false">D13-MAX(0,D13)*D14/100</f>
        <v>4790.21594688</v>
      </c>
      <c r="E15" s="0" t="n">
        <f aca="false">E13-MAX(0,E13)*E14/100</f>
        <v>5144.450403456</v>
      </c>
      <c r="F15" s="0" t="n">
        <f aca="false">F13-MAX(0,F13)*F14/100</f>
        <v>5451.66828670464</v>
      </c>
      <c r="G15" s="0" t="n">
        <f aca="false">G13-MAX(0,G13)*G14/100</f>
        <v>5709.10817802125</v>
      </c>
      <c r="H15" s="0" t="n">
        <f aca="false">H13-MAX(0,H13)*H14/100</f>
        <v>5929.30257447355</v>
      </c>
      <c r="I15" s="0" t="n">
        <f aca="false">I13-MAX(0,I13)*I14/100</f>
        <v>6107.18165170776</v>
      </c>
      <c r="J15" s="0" t="n">
        <f aca="false">J13-MAX(0,J13)*J14/100</f>
        <v>6290.39710125899</v>
      </c>
      <c r="K15" s="0" t="n">
        <f aca="false">K13-MAX(0,K13)*K14/100</f>
        <v>6479.10901429676</v>
      </c>
      <c r="L15" s="0" t="n">
        <f aca="false">L13-MAX(0,L13)*L14/100</f>
        <v>6673.48228472566</v>
      </c>
    </row>
    <row r="16" customFormat="false" ht="15" hidden="false" customHeight="false" outlineLevel="0" collapsed="false">
      <c r="A16" s="0" t="s">
        <v>131</v>
      </c>
      <c r="C16" s="0" t="n">
        <f aca="false">-C12</f>
        <v>222.5664</v>
      </c>
      <c r="D16" s="0" t="n">
        <f aca="false">-D12</f>
        <v>191.685312</v>
      </c>
      <c r="E16" s="0" t="n">
        <f aca="false">-E12</f>
        <v>162.5638896</v>
      </c>
      <c r="F16" s="0" t="n">
        <f aca="false">-F12</f>
        <v>137.521309464</v>
      </c>
      <c r="G16" s="0" t="n">
        <f aca="false">-G12</f>
        <v>109.36988846784</v>
      </c>
      <c r="H16" s="0" t="n">
        <f aca="false">-H12</f>
        <v>87.075257357088</v>
      </c>
      <c r="I16" s="0" t="n">
        <f aca="false">-I12</f>
        <v>71.7500120622405</v>
      </c>
      <c r="J16" s="0" t="n">
        <f aca="false">-J12</f>
        <v>55.4268843180808</v>
      </c>
      <c r="K16" s="0" t="n">
        <f aca="false">-K12</f>
        <v>38.0597938984155</v>
      </c>
      <c r="L16" s="0" t="n">
        <f aca="false">-L12</f>
        <v>19.600793857684</v>
      </c>
    </row>
    <row r="17" customFormat="false" ht="15" hidden="false" customHeight="false" outlineLevel="0" collapsed="false">
      <c r="A17" s="0" t="s">
        <v>132</v>
      </c>
      <c r="C17" s="4" t="n">
        <f aca="false">-C6*Assumptions!C46/100</f>
        <v>-1738.8</v>
      </c>
      <c r="D17" s="4" t="n">
        <f aca="false">-D6*Assumptions!D46/100</f>
        <v>-1445.012352</v>
      </c>
      <c r="E17" s="4" t="n">
        <f aca="false">-E6*Assumptions!E46/100</f>
        <v>-1269.5465664</v>
      </c>
      <c r="F17" s="4" t="n">
        <f aca="false">-F6*Assumptions!F46/100</f>
        <v>-1197.244341216</v>
      </c>
      <c r="G17" s="4" t="n">
        <f aca="false">-G6*Assumptions!G46/100</f>
        <v>-1093.6988846784</v>
      </c>
      <c r="H17" s="4" t="n">
        <f aca="false">-H6*Assumptions!H46/100</f>
        <v>-992.657933870803</v>
      </c>
      <c r="I17" s="4" t="n">
        <f aca="false">-I6*Assumptions!I46/100</f>
        <v>-878.937647762446</v>
      </c>
      <c r="J17" s="4" t="n">
        <f aca="false">-J6*Assumptions!J46/100</f>
        <v>-905.30577719532</v>
      </c>
      <c r="K17" s="4" t="n">
        <f aca="false">-K6*Assumptions!K46/100</f>
        <v>-932.464950511179</v>
      </c>
      <c r="L17" s="4" t="n">
        <f aca="false">-L6*Assumptions!L46/100</f>
        <v>-960.438899026515</v>
      </c>
    </row>
    <row r="18" customFormat="false" ht="15" hidden="false" customHeight="false" outlineLevel="0" collapsed="false">
      <c r="A18" s="0" t="s">
        <v>133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134</v>
      </c>
      <c r="C19" s="0" t="n">
        <f aca="false">C15+C16+C17+C18</f>
        <v>2883.486816</v>
      </c>
      <c r="D19" s="0" t="n">
        <f aca="false">D15+D16+D17+D18</f>
        <v>3536.88890688</v>
      </c>
      <c r="E19" s="0" t="n">
        <f aca="false">E15+E16+E17+E18</f>
        <v>4037.467726656</v>
      </c>
      <c r="F19" s="0" t="n">
        <f aca="false">F15+F16+F17+F18</f>
        <v>4391.94525495264</v>
      </c>
      <c r="G19" s="0" t="n">
        <f aca="false">G15+G16+G17+G18</f>
        <v>4724.77918181069</v>
      </c>
      <c r="H19" s="0" t="n">
        <f aca="false">H15+H16+H17+H18</f>
        <v>5023.71989795984</v>
      </c>
      <c r="I19" s="0" t="n">
        <f aca="false">I15+I16+I17+I18</f>
        <v>5299.99401600755</v>
      </c>
      <c r="J19" s="0" t="n">
        <f aca="false">J15+J16+J17+J18</f>
        <v>5440.51820838175</v>
      </c>
      <c r="K19" s="0" t="n">
        <f aca="false">K15+K16+K17+K18</f>
        <v>5584.703857684</v>
      </c>
      <c r="L19" s="0" t="n">
        <f aca="false">L15+L16+L17+L18</f>
        <v>5732.64417955683</v>
      </c>
    </row>
    <row r="20" customFormat="false" ht="15" hidden="false" customHeight="false" outlineLevel="0" collapsed="false">
      <c r="A20" s="0" t="s">
        <v>135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136</v>
      </c>
      <c r="C21" s="0" t="n">
        <f aca="false">C19*C20</f>
        <v>2621.35165090909</v>
      </c>
      <c r="D21" s="0" t="n">
        <f aca="false">D19*D20</f>
        <v>2923.0486833719</v>
      </c>
      <c r="E21" s="0" t="n">
        <f aca="false">E19*E20</f>
        <v>3033.4092611991</v>
      </c>
      <c r="F21" s="0" t="n">
        <f aca="false">F19*F20</f>
        <v>2999.75770435943</v>
      </c>
      <c r="G21" s="0" t="n">
        <f aca="false">G19*G20</f>
        <v>2933.71614073225</v>
      </c>
      <c r="H21" s="0" t="n">
        <f aca="false">H19*H20</f>
        <v>2835.75891429075</v>
      </c>
      <c r="I21" s="0" t="n">
        <f aca="false">I19*I20</f>
        <v>2719.73495588844</v>
      </c>
      <c r="J21" s="0" t="n">
        <f aca="false">J19*J20</f>
        <v>2538.04189637552</v>
      </c>
      <c r="K21" s="0" t="n">
        <f aca="false">K19*K20</f>
        <v>2368.45960535941</v>
      </c>
      <c r="L21" s="0" t="n">
        <f aca="false">L19*L20</f>
        <v>2210.1824941154</v>
      </c>
    </row>
    <row r="23" customFormat="false" ht="15" hidden="false" customHeight="false" outlineLevel="0" collapsed="false">
      <c r="A23" s="0" t="s">
        <v>112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138</v>
      </c>
    </row>
    <row r="27" customFormat="false" ht="15" hidden="false" customHeight="false" outlineLevel="0" collapsed="false">
      <c r="A27" s="0" t="s">
        <v>116</v>
      </c>
      <c r="B27" s="4" t="n">
        <f aca="false">Assumptions!$B$48</f>
        <v>10</v>
      </c>
    </row>
    <row r="28" customFormat="false" ht="15" hidden="false" customHeight="false" outlineLevel="0" collapsed="false">
      <c r="A28" s="0" t="s">
        <v>117</v>
      </c>
      <c r="B28" s="4" t="n">
        <f aca="false">Assumptions!$B$49</f>
        <v>3</v>
      </c>
    </row>
    <row r="29" customFormat="false" ht="15" hidden="false" customHeight="false" outlineLevel="0" collapsed="false">
      <c r="A29" s="0" t="s">
        <v>118</v>
      </c>
      <c r="B29" s="4" t="n">
        <f aca="false">Assumptions!$B$50</f>
        <v>15</v>
      </c>
    </row>
    <row r="30" customFormat="false" ht="15" hidden="false" customHeight="false" outlineLevel="0" collapsed="false">
      <c r="A30" s="0" t="s">
        <v>139</v>
      </c>
      <c r="B30" s="0" t="n">
        <f aca="false">SUM(C21:L21)</f>
        <v>27183.4613066013</v>
      </c>
    </row>
    <row r="31" customFormat="false" ht="15" hidden="false" customHeight="false" outlineLevel="0" collapsed="false">
      <c r="A31" s="0" t="s">
        <v>140</v>
      </c>
      <c r="B31" s="0" t="n">
        <f aca="false">L19</f>
        <v>5732.64417955683</v>
      </c>
    </row>
    <row r="32" customFormat="false" ht="15" hidden="false" customHeight="false" outlineLevel="0" collapsed="false">
      <c r="A32" s="0" t="s">
        <v>141</v>
      </c>
      <c r="B32" s="0" t="n">
        <f aca="false">IF(B27&gt;B28,B31*(1+B28/100)/((B27-B28)/100),B31*B29)</f>
        <v>84351.7643563363</v>
      </c>
    </row>
    <row r="33" customFormat="false" ht="15" hidden="false" customHeight="false" outlineLevel="0" collapsed="false">
      <c r="A33" s="0" t="s">
        <v>142</v>
      </c>
      <c r="B33" s="0" t="n">
        <f aca="false">B31*B29</f>
        <v>85989.6626933525</v>
      </c>
    </row>
    <row r="34" customFormat="false" ht="15" hidden="false" customHeight="false" outlineLevel="0" collapsed="false">
      <c r="A34" s="0" t="s">
        <v>143</v>
      </c>
      <c r="B34" s="0" t="n">
        <f aca="false">MAX(0,MIN(B32,B33))</f>
        <v>84351.7643563363</v>
      </c>
    </row>
    <row r="35" customFormat="false" ht="15" hidden="false" customHeight="false" outlineLevel="0" collapsed="false">
      <c r="A35" s="0" t="s">
        <v>144</v>
      </c>
      <c r="B35" s="0" t="n">
        <f aca="false">B34/(1+B27/100)^L4</f>
        <v>32521.2566991266</v>
      </c>
    </row>
    <row r="36" customFormat="false" ht="15" hidden="false" customHeight="false" outlineLevel="0" collapsed="false">
      <c r="A36" s="0" t="s">
        <v>145</v>
      </c>
      <c r="B36" s="0" t="n">
        <f aca="false">B30+B35</f>
        <v>59704.7180057279</v>
      </c>
    </row>
    <row r="37" customFormat="false" ht="15" hidden="false" customHeight="false" outlineLevel="0" collapsed="false">
      <c r="A37" s="0" t="s">
        <v>146</v>
      </c>
      <c r="B37" s="0" t="n">
        <f aca="false">B36+Assumptions!$B$5-Assumptions!$B$4</f>
        <v>57522.7180057279</v>
      </c>
    </row>
    <row r="38" customFormat="false" ht="15" hidden="false" customHeight="false" outlineLevel="0" collapsed="false">
      <c r="A38" s="0" t="s">
        <v>147</v>
      </c>
      <c r="B38" s="0" t="n">
        <f aca="false">B37/Assumptions!$B$3*Assumptions!$B$10</f>
        <v>63.1423907856508</v>
      </c>
    </row>
    <row r="39" customFormat="false" ht="15" hidden="false" customHeight="false" outlineLevel="0" collapsed="false">
      <c r="A39" s="0" t="s">
        <v>148</v>
      </c>
      <c r="B39" s="4" t="n">
        <f aca="false">B38/Assumptions!$B$2-1</f>
        <v>0.211946080338787</v>
      </c>
    </row>
    <row r="41" customFormat="false" ht="15" hidden="false" customHeight="false" outlineLevel="0" collapsed="false">
      <c r="A41" s="0" t="s">
        <v>149</v>
      </c>
      <c r="B41" s="0" t="n">
        <f aca="false">SUMPRODUCT(-C10:L10/(1+$B$27/100)^C4:L4)</f>
        <v>1569.27642922504</v>
      </c>
    </row>
    <row r="42" customFormat="false" ht="15" hidden="false" customHeight="false" outlineLevel="0" collapsed="false">
      <c r="A42" s="0" t="s">
        <v>150</v>
      </c>
      <c r="B42" s="0" t="n">
        <f aca="false">IF(B27&gt;B28,-L10*(1+B28/100)/((B27-B28)/100),-L10*20)/(1+B27/100)^L4</f>
        <v>1723.52541743243</v>
      </c>
    </row>
    <row r="43" customFormat="false" ht="15" hidden="false" customHeight="false" outlineLevel="0" collapsed="false">
      <c r="A43" s="0" t="s">
        <v>151</v>
      </c>
      <c r="B43" s="0" t="n">
        <f aca="false">(B37+B41+B42)/Assumptions!$B$3*Assumptions!$B$10</f>
        <v>66.7568823846162</v>
      </c>
    </row>
    <row r="45" customFormat="false" ht="15" hidden="false" customHeight="false" outlineLevel="0" collapsed="false">
      <c r="A45" s="0" t="s">
        <v>91</v>
      </c>
      <c r="B45" s="4" t="n">
        <f aca="false">Assumptions!$B$6</f>
        <v>15</v>
      </c>
    </row>
    <row r="46" customFormat="false" ht="15" hidden="false" customHeight="false" outlineLevel="0" collapsed="false">
      <c r="A46" s="0" t="s">
        <v>152</v>
      </c>
      <c r="B46" s="0" t="n">
        <f aca="false">MAX(0,MIN(IF(B45&gt;B28,B31*(1+B28/100)/((B45-B28)/100),B31*B29),B31*B29))</f>
        <v>49205.1958745295</v>
      </c>
    </row>
    <row r="47" customFormat="false" ht="15" hidden="false" customHeight="false" outlineLevel="0" collapsed="false">
      <c r="A47" s="0" t="s">
        <v>153</v>
      </c>
      <c r="B47" s="0" t="n">
        <f aca="false">(SUMPRODUCT(C19:L19/(1+B45/100)^C4:L4)+B46/(1+B45/100)^L4+Assumptions!$B$5-Assumptions!$B$4)/Assumptions!$B$3*Assumptions!$B$10</f>
        <v>34.7144049379727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156</v>
      </c>
    </row>
    <row r="3" customFormat="false" ht="15" hidden="false" customHeight="false" outlineLevel="0" collapsed="false">
      <c r="A3" s="2" t="s">
        <v>157</v>
      </c>
      <c r="B3" s="2" t="s">
        <v>158</v>
      </c>
      <c r="C3" s="2" t="s">
        <v>148</v>
      </c>
      <c r="D3" s="2" t="s">
        <v>159</v>
      </c>
      <c r="E3" s="2" t="s">
        <v>151</v>
      </c>
      <c r="F3" s="2" t="s">
        <v>160</v>
      </c>
    </row>
    <row r="4" customFormat="false" ht="15" hidden="false" customHeight="false" outlineLevel="0" collapsed="false">
      <c r="A4" s="0" t="s">
        <v>161</v>
      </c>
      <c r="B4" s="4" t="n">
        <f aca="false">DCF_Bear!$B$38</f>
        <v>41.1291877188678</v>
      </c>
      <c r="C4" s="0" t="n">
        <f aca="false">B4/Assumptions!$B$2-1</f>
        <v>-0.210572212689677</v>
      </c>
      <c r="D4" s="4" t="n">
        <f aca="false">Assumptions!$B$24</f>
        <v>0.25</v>
      </c>
      <c r="E4" s="4" t="n">
        <f aca="false">DCF_Bear!$B$43</f>
        <v>43.8735664777923</v>
      </c>
      <c r="F4" s="4" t="n">
        <f aca="false">DCF_Bear!$B$47</f>
        <v>23.8270755862719</v>
      </c>
    </row>
    <row r="5" customFormat="false" ht="15" hidden="false" customHeight="false" outlineLevel="0" collapsed="false">
      <c r="A5" s="0" t="s">
        <v>162</v>
      </c>
      <c r="B5" s="4" t="n">
        <f aca="false">DCF_Base!$B$38</f>
        <v>51.8155909986345</v>
      </c>
      <c r="C5" s="0" t="n">
        <f aca="false">B5/Assumptions!$B$2-1</f>
        <v>-0.00545890597630439</v>
      </c>
      <c r="D5" s="4" t="n">
        <f aca="false">Assumptions!$B$38</f>
        <v>0.5</v>
      </c>
      <c r="E5" s="4" t="n">
        <f aca="false">DCF_Base!$B$43</f>
        <v>55.0430864282081</v>
      </c>
      <c r="F5" s="4" t="n">
        <f aca="false">DCF_Base!$B$47</f>
        <v>29.7512523304541</v>
      </c>
    </row>
    <row r="6" customFormat="false" ht="15" hidden="false" customHeight="false" outlineLevel="0" collapsed="false">
      <c r="A6" s="0" t="s">
        <v>163</v>
      </c>
      <c r="B6" s="4" t="n">
        <f aca="false">DCF_Bull!$B$38</f>
        <v>63.1423907856508</v>
      </c>
      <c r="C6" s="0" t="n">
        <f aca="false">B6/Assumptions!$B$2-1</f>
        <v>0.211946080338787</v>
      </c>
      <c r="D6" s="4" t="n">
        <f aca="false">Assumptions!$B$52</f>
        <v>0.25</v>
      </c>
      <c r="E6" s="4" t="n">
        <f aca="false">DCF_Bull!$B$43</f>
        <v>66.7568823846162</v>
      </c>
      <c r="F6" s="4" t="n">
        <f aca="false">DCF_Bull!$B$47</f>
        <v>34.7144049379727</v>
      </c>
    </row>
    <row r="8" customFormat="false" ht="15" hidden="false" customHeight="false" outlineLevel="0" collapsed="false">
      <c r="A8" s="0" t="s">
        <v>164</v>
      </c>
      <c r="B8" s="0" t="n">
        <f aca="false">SUMPRODUCT(B4:B6,D4:D6)</f>
        <v>51.9756901254469</v>
      </c>
    </row>
    <row r="9" customFormat="false" ht="15" hidden="false" customHeight="false" outlineLevel="0" collapsed="false">
      <c r="A9" s="0" t="s">
        <v>165</v>
      </c>
      <c r="B9" s="0" t="n">
        <f aca="false">SUMPRODUCT(E4:E6,D4:D6)</f>
        <v>55.1791554297062</v>
      </c>
    </row>
    <row r="10" customFormat="false" ht="15" hidden="false" customHeight="false" outlineLevel="0" collapsed="false">
      <c r="A10" s="0" t="s">
        <v>166</v>
      </c>
      <c r="B10" s="0" t="n">
        <f aca="false">1-Assumptions!$B$2/B8</f>
        <v>-0.00239169262116667</v>
      </c>
    </row>
    <row r="11" customFormat="false" ht="15" hidden="false" customHeight="false" outlineLevel="0" collapsed="false">
      <c r="A11" s="0" t="s">
        <v>167</v>
      </c>
      <c r="B11" s="0" t="n">
        <f aca="false">IF(ABS(B9-B8)&gt;0.01*ABS(B8),(Assumptions!$B$2-B8)/(B9-B8)*100,"n/a")</f>
        <v>3.88048137708245</v>
      </c>
    </row>
    <row r="12" customFormat="false" ht="15" hidden="false" customHeight="false" outlineLevel="0" collapsed="false">
      <c r="A12" s="0" t="s">
        <v>168</v>
      </c>
      <c r="B12" s="0" t="n">
        <f aca="false">SUMPRODUCT(F4:F6,D4:D6)</f>
        <v>29.5109962962882</v>
      </c>
    </row>
    <row r="14" customFormat="false" ht="15" hidden="false" customHeight="false" outlineLevel="0" collapsed="false">
      <c r="A14" s="2" t="s">
        <v>169</v>
      </c>
      <c r="C14" s="0" t="s">
        <v>170</v>
      </c>
    </row>
    <row r="15" customFormat="false" ht="15" hidden="false" customHeight="false" outlineLevel="0" collapsed="false">
      <c r="A15" s="0" t="s">
        <v>171</v>
      </c>
      <c r="B15" s="0" t="n">
        <f aca="false">(SUMPRODUCT(DCF_Base!$C$19:$L$19/(1+$C$15/100)^DCF_Base!$C$4:$L$4)+MAX(0,MIN(IF($C$15&gt;DCF_Base!$B$28,DCF_Base!$L$19*(1+DCF_Base!$B$28/100)/(($C$15-DCF_Base!$B$28)/100),DCF_Base!$L$19*DCF_Base!$B$29),DCF_Base!$L$19*DCF_Base!$B$29))/(1+$C$15/100)^DCF_Base!$L$4+Assumptions!$B$5-Assumptions!$B$4)/Assumptions!$B$3*Assumptions!$B$10</f>
        <v>58.6298481647529</v>
      </c>
      <c r="C15" s="3" t="n">
        <v>9</v>
      </c>
    </row>
    <row r="16" customFormat="false" ht="15" hidden="false" customHeight="false" outlineLevel="0" collapsed="false">
      <c r="A16" s="0" t="s">
        <v>172</v>
      </c>
      <c r="B16" s="0" t="n">
        <f aca="false">(SUMPRODUCT(DCF_Base!$C$19:$L$19/(1+$C$16/100)^DCF_Base!$C$4:$L$4)+MAX(0,MIN(IF($C$16&gt;DCF_Base!$B$28,DCF_Base!$L$19*(1+DCF_Base!$B$28/100)/(($C$16-DCF_Base!$B$28)/100),DCF_Base!$L$19*DCF_Base!$B$29),DCF_Base!$L$19*DCF_Base!$B$29))/(1+$C$16/100)^DCF_Base!$L$4+Assumptions!$B$5-Assumptions!$B$4)/Assumptions!$B$3*Assumptions!$B$10</f>
        <v>51.8155909986345</v>
      </c>
      <c r="C16" s="3" t="n">
        <v>10</v>
      </c>
    </row>
    <row r="17" customFormat="false" ht="15" hidden="false" customHeight="false" outlineLevel="0" collapsed="false">
      <c r="A17" s="0" t="s">
        <v>173</v>
      </c>
      <c r="B17" s="0" t="n">
        <f aca="false">(SUMPRODUCT(DCF_Base!$C$19:$L$19/(1+$C$17/100)^DCF_Base!$C$4:$L$4)+MAX(0,MIN(IF($C$17&gt;DCF_Base!$B$28,DCF_Base!$L$19*(1+DCF_Base!$B$28/100)/(($C$17-DCF_Base!$B$28)/100),DCF_Base!$L$19*DCF_Base!$B$29),DCF_Base!$L$19*DCF_Base!$B$29))/(1+$C$17/100)^DCF_Base!$L$4+Assumptions!$B$5-Assumptions!$B$4)/Assumptions!$B$3*Assumptions!$B$10</f>
        <v>45.3200555302904</v>
      </c>
      <c r="C17" s="3" t="n">
        <v>11</v>
      </c>
    </row>
    <row r="18" customFormat="false" ht="15" hidden="false" customHeight="false" outlineLevel="0" collapsed="false">
      <c r="A18" s="0" t="s">
        <v>174</v>
      </c>
      <c r="B18" s="0" t="n">
        <f aca="false">(SUMPRODUCT(DCF_Base!$C$19:$L$19/(1+$C$18/100)^DCF_Base!$C$4:$L$4)+MAX(0,MIN(IF($C$18&gt;DCF_Base!$B$28,DCF_Base!$L$19*(1+DCF_Base!$B$28/100)/(($C$18-DCF_Base!$B$28)/100),DCF_Base!$L$19*DCF_Base!$B$29),DCF_Base!$L$19*DCF_Base!$B$29))/(1+$C$18/100)^DCF_Base!$L$4+Assumptions!$B$5-Assumptions!$B$4)/Assumptions!$B$3*Assumptions!$B$10</f>
        <v>40.1947774083438</v>
      </c>
      <c r="C18" s="3" t="n">
        <v>12</v>
      </c>
    </row>
    <row r="19" customFormat="false" ht="15" hidden="false" customHeight="false" outlineLevel="0" collapsed="false">
      <c r="A19" s="0" t="s">
        <v>175</v>
      </c>
      <c r="B19" s="0" t="n">
        <f aca="false">(SUMPRODUCT(DCF_Base!$C$19:$L$19/(1+$C$19/100)^DCF_Base!$C$4:$L$4)+MAX(0,MIN(IF($C$19&gt;DCF_Base!$B$28,DCF_Base!$L$19*(1+DCF_Base!$B$28/100)/(($C$19-DCF_Base!$B$28)/100),DCF_Base!$L$19*DCF_Base!$B$29),DCF_Base!$L$19*DCF_Base!$B$29))/(1+$C$19/100)^DCF_Base!$L$4+Assumptions!$B$5-Assumptions!$B$4)/Assumptions!$B$3*Assumptions!$B$10</f>
        <v>29.7512523304541</v>
      </c>
      <c r="C19" s="3" t="n">
        <v>15</v>
      </c>
    </row>
    <row r="21" customFormat="false" ht="15" hidden="false" customHeight="false" outlineLevel="0" collapsed="false">
      <c r="A21" s="2" t="s">
        <v>176</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63.1779127480797</v>
      </c>
      <c r="C23" s="0" t="n">
        <f aca="false">(SUMPRODUCT(DCF_Base!$C$19:$L$19/(1+$A$23/100)^DCF_Base!$C$4:$L$4)+MAX(0,MIN(IF($A$23&gt;$C$22,DCF_Base!$L$19*(1+$C$22/100)/(($A$23-$C$22)/100),DCF_Base!$L$19*DCF_Base!$B$29),DCF_Base!$L$19*DCF_Base!$B$29))/(1+$A$23/100)^DCF_Base!$L$4+Assumptions!$B$5-Assumptions!$B$4)/Assumptions!$B$3*Assumptions!$B$10</f>
        <v>63.1779127480797</v>
      </c>
      <c r="D23" s="0" t="n">
        <f aca="false">(SUMPRODUCT(DCF_Base!$C$19:$L$19/(1+$A$23/100)^DCF_Base!$C$4:$L$4)+MAX(0,MIN(IF($A$23&gt;$D$22,DCF_Base!$L$19*(1+$D$22/100)/(($A$23-$D$22)/100),DCF_Base!$L$19*DCF_Base!$B$29),DCF_Base!$L$19*DCF_Base!$B$29))/(1+$A$23/100)^DCF_Base!$L$4+Assumptions!$B$5-Assumptions!$B$4)/Assumptions!$B$3*Assumptions!$B$10</f>
        <v>63.1779127480797</v>
      </c>
      <c r="E23" s="0" t="n">
        <f aca="false">(SUMPRODUCT(DCF_Base!$C$19:$L$19/(1+$A$23/100)^DCF_Base!$C$4:$L$4)+MAX(0,MIN(IF($A$23&gt;$E$22,DCF_Base!$L$19*(1+$E$22/100)/(($A$23-$E$22)/100),DCF_Base!$L$19*DCF_Base!$B$29),DCF_Base!$L$19*DCF_Base!$B$29))/(1+$A$23/100)^DCF_Base!$L$4+Assumptions!$B$5-Assumptions!$B$4)/Assumptions!$B$3*Assumptions!$B$10</f>
        <v>63.1779127480797</v>
      </c>
      <c r="F23" s="0" t="n">
        <f aca="false">(SUMPRODUCT(DCF_Base!$C$19:$L$19/(1+$A$23/100)^DCF_Base!$C$4:$L$4)+MAX(0,MIN(IF($A$23&gt;$F$22,DCF_Base!$L$19*(1+$F$22/100)/(($A$23-$F$22)/100),DCF_Base!$L$19*DCF_Base!$B$29),DCF_Base!$L$19*DCF_Base!$B$29))/(1+$A$23/100)^DCF_Base!$L$4+Assumptions!$B$5-Assumptions!$B$4)/Assumptions!$B$3*Assumptions!$B$10</f>
        <v>63.1779127480797</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55.4188653075383</v>
      </c>
      <c r="C24" s="0" t="n">
        <f aca="false">(SUMPRODUCT(DCF_Base!$C$19:$L$19/(1+$A$24/100)^DCF_Base!$C$4:$L$4)+MAX(0,MIN(IF($A$24&gt;$C$22,DCF_Base!$L$19*(1+$C$22/100)/(($A$24-$C$22)/100),DCF_Base!$L$19*DCF_Base!$B$29),DCF_Base!$L$19*DCF_Base!$B$29))/(1+$A$24/100)^DCF_Base!$L$4+Assumptions!$B$5-Assumptions!$B$4)/Assumptions!$B$3*Assumptions!$B$10</f>
        <v>57.6915739532292</v>
      </c>
      <c r="D24" s="0" t="n">
        <f aca="false">(SUMPRODUCT(DCF_Base!$C$19:$L$19/(1+$A$24/100)^DCF_Base!$C$4:$L$4)+MAX(0,MIN(IF($A$24&gt;$D$22,DCF_Base!$L$19*(1+$D$22/100)/(($A$24-$D$22)/100),DCF_Base!$L$19*DCF_Base!$B$29),DCF_Base!$L$19*DCF_Base!$B$29))/(1+$A$24/100)^DCF_Base!$L$4+Assumptions!$B$5-Assumptions!$B$4)/Assumptions!$B$3*Assumptions!$B$10</f>
        <v>58.6298481647529</v>
      </c>
      <c r="E24" s="0" t="n">
        <f aca="false">(SUMPRODUCT(DCF_Base!$C$19:$L$19/(1+$A$24/100)^DCF_Base!$C$4:$L$4)+MAX(0,MIN(IF($A$24&gt;$E$22,DCF_Base!$L$19*(1+$E$22/100)/(($A$24-$E$22)/100),DCF_Base!$L$19*DCF_Base!$B$29),DCF_Base!$L$19*DCF_Base!$B$29))/(1+$A$24/100)^DCF_Base!$L$4+Assumptions!$B$5-Assumptions!$B$4)/Assumptions!$B$3*Assumptions!$B$10</f>
        <v>58.6298481647529</v>
      </c>
      <c r="F24" s="0" t="n">
        <f aca="false">(SUMPRODUCT(DCF_Base!$C$19:$L$19/(1+$A$24/100)^DCF_Base!$C$4:$L$4)+MAX(0,MIN(IF($A$24&gt;$F$22,DCF_Base!$L$19*(1+$F$22/100)/(($A$24-$F$22)/100),DCF_Base!$L$19*DCF_Base!$B$29),DCF_Base!$L$19*DCF_Base!$B$29))/(1+$A$24/100)^DCF_Base!$L$4+Assumptions!$B$5-Assumptions!$B$4)/Assumptions!$B$3*Assumptions!$B$10</f>
        <v>58.6298481647529</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48.3676709313531</v>
      </c>
      <c r="C25" s="0" t="n">
        <f aca="false">(SUMPRODUCT(DCF_Base!$C$19:$L$19/(1+$A$25/100)^DCF_Base!$C$4:$L$4)+MAX(0,MIN(IF($A$25&gt;$C$22,DCF_Base!$L$19*(1+$C$22/100)/(($A$25-$C$22)/100),DCF_Base!$L$19*DCF_Base!$B$29),DCF_Base!$L$19*DCF_Base!$B$29))/(1+$A$25/100)^DCF_Base!$L$4+Assumptions!$B$5-Assumptions!$B$4)/Assumptions!$B$3*Assumptions!$B$10</f>
        <v>49.9838834628913</v>
      </c>
      <c r="D25" s="0" t="n">
        <f aca="false">(SUMPRODUCT(DCF_Base!$C$19:$L$19/(1+$A$25/100)^DCF_Base!$C$4:$L$4)+MAX(0,MIN(IF($A$25&gt;$D$22,DCF_Base!$L$19*(1+$D$22/100)/(($A$25-$D$22)/100),DCF_Base!$L$19*DCF_Base!$B$29),DCF_Base!$L$19*DCF_Base!$B$29))/(1+$A$25/100)^DCF_Base!$L$4+Assumptions!$B$5-Assumptions!$B$4)/Assumptions!$B$3*Assumptions!$B$10</f>
        <v>51.8155909986345</v>
      </c>
      <c r="E25" s="0" t="n">
        <f aca="false">(SUMPRODUCT(DCF_Base!$C$19:$L$19/(1+$A$25/100)^DCF_Base!$C$4:$L$4)+MAX(0,MIN(IF($A$25&gt;$E$22,DCF_Base!$L$19*(1+$E$22/100)/(($A$25-$E$22)/100),DCF_Base!$L$19*DCF_Base!$B$29),DCF_Base!$L$19*DCF_Base!$B$29))/(1+$A$25/100)^DCF_Base!$L$4+Assumptions!$B$5-Assumptions!$B$4)/Assumptions!$B$3*Assumptions!$B$10</f>
        <v>53.908971039484</v>
      </c>
      <c r="F25" s="0" t="n">
        <f aca="false">(SUMPRODUCT(DCF_Base!$C$19:$L$19/(1+$A$25/100)^DCF_Base!$C$4:$L$4)+MAX(0,MIN(IF($A$25&gt;$F$22,DCF_Base!$L$19*(1+$F$22/100)/(($A$25-$F$22)/100),DCF_Base!$L$19*DCF_Base!$B$29),DCF_Base!$L$19*DCF_Base!$B$29))/(1+$A$25/100)^DCF_Base!$L$4+Assumptions!$B$5-Assumptions!$B$4)/Assumptions!$B$3*Assumptions!$B$10</f>
        <v>54.4798928688065</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42.8109310681029</v>
      </c>
      <c r="C26" s="0" t="n">
        <f aca="false">(SUMPRODUCT(DCF_Base!$C$19:$L$19/(1+$A$26/100)^DCF_Base!$C$4:$L$4)+MAX(0,MIN(IF($A$26&gt;$C$22,DCF_Base!$L$19*(1+$C$22/100)/(($A$26-$C$22)/100),DCF_Base!$L$19*DCF_Base!$B$29),DCF_Base!$L$19*DCF_Base!$B$29))/(1+$A$26/100)^DCF_Base!$L$4+Assumptions!$B$5-Assumptions!$B$4)/Assumptions!$B$3*Assumptions!$B$10</f>
        <v>43.9957953974692</v>
      </c>
      <c r="D26" s="0" t="n">
        <f aca="false">(SUMPRODUCT(DCF_Base!$C$19:$L$19/(1+$A$26/100)^DCF_Base!$C$4:$L$4)+MAX(0,MIN(IF($A$26&gt;$D$22,DCF_Base!$L$19*(1+$D$22/100)/(($A$26-$D$22)/100),DCF_Base!$L$19*DCF_Base!$B$29),DCF_Base!$L$19*DCF_Base!$B$29))/(1+$A$26/100)^DCF_Base!$L$4+Assumptions!$B$5-Assumptions!$B$4)/Assumptions!$B$3*Assumptions!$B$10</f>
        <v>45.3200555302904</v>
      </c>
      <c r="E26" s="0" t="n">
        <f aca="false">(SUMPRODUCT(DCF_Base!$C$19:$L$19/(1+$A$26/100)^DCF_Base!$C$4:$L$4)+MAX(0,MIN(IF($A$26&gt;$E$22,DCF_Base!$L$19*(1+$E$22/100)/(($A$26-$E$22)/100),DCF_Base!$L$19*DCF_Base!$B$29),DCF_Base!$L$19*DCF_Base!$B$29))/(1+$A$26/100)^DCF_Base!$L$4+Assumptions!$B$5-Assumptions!$B$4)/Assumptions!$B$3*Assumptions!$B$10</f>
        <v>46.8098481797142</v>
      </c>
      <c r="F26" s="0" t="n">
        <f aca="false">(SUMPRODUCT(DCF_Base!$C$19:$L$19/(1+$A$26/100)^DCF_Base!$C$4:$L$4)+MAX(0,MIN(IF($A$26&gt;$F$22,DCF_Base!$L$19*(1+$F$22/100)/(($A$26-$F$22)/100),DCF_Base!$L$19*DCF_Base!$B$29),DCF_Base!$L$19*DCF_Base!$B$29))/(1+$A$26/100)^DCF_Base!$L$4+Assumptions!$B$5-Assumptions!$B$4)/Assumptions!$B$3*Assumptions!$B$10</f>
        <v>48.4982798490612</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38.3210930287313</v>
      </c>
      <c r="C27" s="0" t="n">
        <f aca="false">(SUMPRODUCT(DCF_Base!$C$19:$L$19/(1+$A$27/100)^DCF_Base!$C$4:$L$4)+MAX(0,MIN(IF($A$27&gt;$C$22,DCF_Base!$L$19*(1+$C$22/100)/(($A$27-$C$22)/100),DCF_Base!$L$19*DCF_Base!$B$29),DCF_Base!$L$19*DCF_Base!$B$29))/(1+$A$27/100)^DCF_Base!$L$4+Assumptions!$B$5-Assumptions!$B$4)/Assumptions!$B$3*Assumptions!$B$10</f>
        <v>39.2110931090472</v>
      </c>
      <c r="D27" s="0" t="n">
        <f aca="false">(SUMPRODUCT(DCF_Base!$C$19:$L$19/(1+$A$27/100)^DCF_Base!$C$4:$L$4)+MAX(0,MIN(IF($A$27&gt;$D$22,DCF_Base!$L$19*(1+$D$22/100)/(($A$27-$D$22)/100),DCF_Base!$L$19*DCF_Base!$B$29),DCF_Base!$L$19*DCF_Base!$B$29))/(1+$A$27/100)^DCF_Base!$L$4+Assumptions!$B$5-Assumptions!$B$4)/Assumptions!$B$3*Assumptions!$B$10</f>
        <v>40.1947774083438</v>
      </c>
      <c r="E27" s="0" t="n">
        <f aca="false">(SUMPRODUCT(DCF_Base!$C$19:$L$19/(1+$A$27/100)^DCF_Base!$C$4:$L$4)+MAX(0,MIN(IF($A$27&gt;$E$22,DCF_Base!$L$19*(1+$E$22/100)/(($A$27-$E$22)/100),DCF_Base!$L$19*DCF_Base!$B$29),DCF_Base!$L$19*DCF_Base!$B$29))/(1+$A$27/100)^DCF_Base!$L$4+Assumptions!$B$5-Assumptions!$B$4)/Assumptions!$B$3*Assumptions!$B$10</f>
        <v>41.2877599631179</v>
      </c>
      <c r="F27" s="0" t="n">
        <f aca="false">(SUMPRODUCT(DCF_Base!$C$19:$L$19/(1+$A$27/100)^DCF_Base!$C$4:$L$4)+MAX(0,MIN(IF($A$27&gt;$F$22,DCF_Base!$L$19*(1+$F$22/100)/(($A$27-$F$22)/100),DCF_Base!$L$19*DCF_Base!$B$29),DCF_Base!$L$19*DCF_Base!$B$29))/(1+$A$27/100)^DCF_Base!$L$4+Assumptions!$B$5-Assumptions!$B$4)/Assumptions!$B$3*Assumptions!$B$10</f>
        <v>42.5093287008064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2026-09-28T08:25:42Z</dcterms:created>
  <dc:creator>openpyxl</dc:creator>
  <dc:description/>
  <dc:language>en-NZ</dc:language>
  <cp:lastModifiedBy/>
  <dcterms:modified xsi:type="dcterms:W3CDTF">2026-09-28T08:25:42Z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