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<sst xmlns="http://schemas.openxmlformats.org/spreadsheetml/2006/main" count="390" uniqueCount="175">
  <si>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</si>
  <si>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AXP</t>
  </si>
  <si>
    <t xml:space="preserve">Company</t>
  </si>
  <si>
    <t xml:space="preserve">American Express Company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</si>
  <si>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</si>
  <si>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</si>
  <si>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</si>
  <si>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</si>
  <si>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2026-09-25T20:00:03Z regular close</t>
  </si>
  <si>
    <t xml:space="preserve">Balance sheet date</t>
  </si>
  <si>
    <t xml:space="preserve">2026-06-30</t>
  </si>
  <si>
    <t xml:space="preserve">Model</t>
  </si>
  <si>
    <t xml:space="preserve">Earnings-based cost-of-equity FCFE DCF (bank-like lender; engine route, retention = NI growth / ROE, net debt zero)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</si>
  <si>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</si>
  <si>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</si>
  <si>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</si>
  <si>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</si>
  <si>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</si>
  <si>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</si>
  <si>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</si>
  <si>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</si>
  <si>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2026-09-25T22:51:14Z</t>
  </si>
  <si>
    <t xml:space="preserve">Drivers file</t>
  </si>
  <si>
    <t xml:space="preserve">AXP_Drivers.json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</si>
  <si>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</si>
  <si>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</si>
  <si>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</si>
  <si>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Earnings-based FCFE-at-cost-of-equity model for a card issuer/network with material on-balance-sheet lending -- not an owner-FCF WACC DCF. Net income is the flow; FCFE = NI less the retention needed to fund balance-sheet/capital growth at the assumed ROE (modeled via the engine's capex_pct_path, same mechanic as NAB.AX); discounted at cost of equity; net_debt held at zero because deposits/debt fund the loan receivables book, not leverage against the network/fee business. See inputs.notes for the full routing rationale and folder precedent (NAB.AX, SOFI, SRBK, IAG.AX).
key_risks_to_valuation: Consumer credit-cycle turn: delinquency/write-offs are currently benign (1.2%/2.2%) but AXP's premium-skew book is not immune to a harder macro landing; Card-fee growth deceleration if the Platinum refresh tailwind fades faster than guided; Multiple de-rating already underway (per Sept-2026 coverage, ~25x to ~18x TTM P/E in under a year) could continue rather than stabilize; TheFork and other bolt-on M&amp;A (pending $700M) diverting capital from buybacks, slowing the per-share compounding this model relies on; Regulatory/interchange risk to discount revenue (56% of FY2025 revenue) is not separately modeled</t>
  </si>
  <si>
    <t xml:space="preserve">Data sources</t>
  </si>
  <si>
    <t xml:space="preserve">price: Yahoo Finance chart API at inputs.price_as_of; 52-week range 290.97-387.49
financials: SEC XBRL via research/AXP/Reports/AXP_Metrics.csv and AXP.duckdb core_metrics/kpis (10-K/10-Q)
qualitative: research/AXP/Reports/AXP_Analysis.json (Q2 2026 earnings call, Sept-2026 press coverage)</t>
  </si>
  <si>
    <t xml:space="preserve">Scenario narrative: bear</t>
  </si>
  <si>
    <t xml:space="preserve">Consumer discretionary/travel spend slows under macro pressure (inflation, elevated gas prices), credit normalizes off currently-benign levels (delinquency 1.2%, write-offs 2.2%) pushing provisions higher and compressing margin from ~26% toward ~21.7%; ROE falls toward 20% as the credit cycle turns; buyback pace slows to ~1.5-2%/yr as management preserves capital; multiple stays de-rated at 12x exit, below today's already-compressed level, reflecting a market pricing in a harder landing than currently guided.</t>
  </si>
  <si>
    <t xml:space="preserve">Scenario narrative: base</t>
  </si>
  <si>
    <t xml:space="preserve">Revenue growth decelerates from the FY2026 guided ~10% toward a ~5% long-run rate as card-fee tailwinds (Platinum refresh, premium mix-shift) mature; net margin drifts up modestly (26.1% -&gt; 27.0%) as the high-margin net-card-fee line keeps outgrowing discount revenue; ROE fades gradually from ~33% toward a still-high 26% as the loan book matures and rate tailwinds normalize; buybacks continue near the current ~4-5%/yr pace, moderating to ~1.5%/yr by year 10; discounted at 10.5% cost of equity; exit at 16x year-10 net income, roughly in line with today's already-compressed forward multiple.</t>
  </si>
  <si>
    <t xml:space="preserve">Scenario narrative: bull</t>
  </si>
  <si>
    <t xml:space="preserve">Card-fee acceleration (high-teens exit-rate 2026 guidance) sustains into a durable double-digit revenue growth path via continued premium mix-shift and Millennial/Gen-Z account growth (now ~65-75% of new acquisitions); margin expands further on operating leverage and fee-revenue mix; ROE stays elevated near 33-34%; buybacks continue at an aggressive ~4.5%/yr pace; the market re-rates the stock back toward its Dec-2025 cycle-high multiple (exit 19x) as growth durability is proven out.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</si>
  <si>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</si>
  <si>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</si>
  <si>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</si>
  <si>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</si>
  <si>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</si>
  <si>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</si>
  <si>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</si>
  <si>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</si>
  <si>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</si>
  <si>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</si>
  <si>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</si>
  <si>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</si>
  <si>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</si>
  <si>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</si>
  <si>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</si>
  <si>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</si>
  <si>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</si>
  <si>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</si>
  <si>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</si>
  <si>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</si>
  <si>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</si>
  <si>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</si>
  <si>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</si>
  <si>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</si>
  <si>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</si>
  <si>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</si>
  <si>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</si>
  <si>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</si>
  <si>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</si>
  <si>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</si>
  <si>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</si>
  <si>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</si>
  <si>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</si>
  <si>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</si>
  <si>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</si>
  <si>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</si>
  <si>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</si>
  <si>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</si>
  <si>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</si>
  <si>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</si>
  <si>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</si>
  <si>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</si>
  <si>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</si>
  <si>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</si>
  <si>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</si>
  <si>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</si>
  <si>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</si>
  <si>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</si>
  <si>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</si>
  <si>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</si>
  <si>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</si>
  <si>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</si>
  <si>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</si>
  <si>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</si>
  <si>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</si>
  <si>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</si>
  <si>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</si>
  <si>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</si>
  <si>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</si>
  <si>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</si>
  <si>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</si>
  <si>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</si>
  <si>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</si>
  <si>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</si>
  <si>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</si>
  <si>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</si>
  <si>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</si>
  <si>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</si>
  <si>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</si>
  <si>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</si>
  <si>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</si>
  <si>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</si>
  <si>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</si>
  <si>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</si>
  <si>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</si>
  <si>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</si>
  <si>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</si>
  <si>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</si>
  <si>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</si>
  <si>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</si>
  <si>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</si>
  <si>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</si>
  <si>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</si>
  <si>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</si>
  <si>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AXP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</si>
  <si>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</si>
  <si>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</si>
  <si>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</si>
  <si>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</si>
  <si>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</si>
  <si>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</si>
  <si>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</si>
  <si>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</si>
  <si>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</si>
  <si>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</si>
  <si>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</si>
  <si>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</si>
  <si>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</si>
  <si>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</si>
  <si>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</si>
  <si>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</si>
  <si>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</si>
  <si>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</si>
  <si>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</si>
  <si>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</si>
  <si>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</si>
  <si>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</si>
  <si>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</si>
  <si>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</si>
  <si>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</si>
  <si>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</si>
  <si>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</si>
  <si>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</si>
  <si>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</si>
  <si>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</si>
  <si>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AXP owner-FCF component DCF: base case (millions, USD)</t>
  </si>
  <si>
    <t xml:space="preserve">AXP owner-FCF component DCF: bull case (millions, USD)</t>
  </si>
  <si>
    <t xml:space="preserve">AXP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</si>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</sst>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308.89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10511</v>
      </c>
      <c r="S2" s="0" t="n">
        <v>8246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F3" s="0" t="n">
        <v>5694</v>
      </c>
      <c r="I3" s="0" t="n">
        <v>4012</v>
      </c>
      <c r="K3" s="0" t="n">
        <v>3.4</v>
      </c>
      <c r="L3" s="0" t="n">
        <v>8011</v>
      </c>
      <c r="M3" s="0" t="n">
        <v>938</v>
      </c>
      <c r="N3" s="0" t="n">
        <v>7073</v>
      </c>
      <c r="O3" s="0" t="n">
        <v>11029</v>
      </c>
      <c r="S3" s="0" t="n">
        <v>15268</v>
      </c>
      <c r="T3" s="0" t="n">
        <v>1193</v>
      </c>
      <c r="U3" s="0" t="n">
        <v>276</v>
      </c>
      <c r="V3" s="0" t="n">
        <v>0.63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28365</v>
      </c>
      <c r="F4" s="0" t="n">
        <v>3581</v>
      </c>
      <c r="G4" s="0" t="n">
        <v>12.624713555438</v>
      </c>
      <c r="I4" s="0" t="n">
        <v>2699</v>
      </c>
      <c r="J4" s="0" t="n">
        <v>9.51524766437511</v>
      </c>
      <c r="K4" s="0" t="n">
        <v>2.33</v>
      </c>
      <c r="L4" s="0" t="n">
        <v>7773</v>
      </c>
      <c r="M4" s="0" t="n">
        <v>977</v>
      </c>
      <c r="N4" s="0" t="n">
        <v>6796</v>
      </c>
      <c r="O4" s="0" t="n">
        <v>11841</v>
      </c>
      <c r="P4" s="0" t="n">
        <v>126074</v>
      </c>
      <c r="Q4" s="0" t="n">
        <v>114233</v>
      </c>
      <c r="R4" s="0" t="n">
        <v>60041</v>
      </c>
      <c r="S4" s="0" t="n">
        <v>20550</v>
      </c>
      <c r="T4" s="0" t="n">
        <v>1160</v>
      </c>
      <c r="U4" s="0" t="n">
        <v>256</v>
      </c>
      <c r="V4" s="0" t="n">
        <v>0.72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24523</v>
      </c>
      <c r="F5" s="0" t="n">
        <v>2841</v>
      </c>
      <c r="G5" s="0" t="n">
        <v>11.5850426130571</v>
      </c>
      <c r="I5" s="0" t="n">
        <v>2130</v>
      </c>
      <c r="J5" s="0" t="n">
        <v>8.68572360641031</v>
      </c>
      <c r="K5" s="0" t="n">
        <v>1.54</v>
      </c>
      <c r="L5" s="0" t="n">
        <v>6337</v>
      </c>
      <c r="M5" s="0" t="n">
        <v>722</v>
      </c>
      <c r="N5" s="0" t="n">
        <v>5615</v>
      </c>
      <c r="O5" s="0" t="n">
        <v>12637</v>
      </c>
      <c r="P5" s="0" t="n">
        <v>125145</v>
      </c>
      <c r="Q5" s="0" t="n">
        <v>110739</v>
      </c>
      <c r="R5" s="0" t="n">
        <v>77300</v>
      </c>
      <c r="S5" s="0" t="n">
        <v>4064</v>
      </c>
      <c r="T5" s="0" t="n">
        <v>1192</v>
      </c>
      <c r="U5" s="0" t="n">
        <v>230</v>
      </c>
      <c r="V5" s="0" t="n">
        <v>0.72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27819</v>
      </c>
      <c r="I6" s="0" t="n">
        <v>4057</v>
      </c>
      <c r="J6" s="0" t="n">
        <v>14.5835579999281</v>
      </c>
      <c r="K6" s="0" t="n">
        <v>3.37</v>
      </c>
      <c r="L6" s="0" t="n">
        <v>8935</v>
      </c>
      <c r="M6" s="0" t="n">
        <v>878</v>
      </c>
      <c r="N6" s="0" t="n">
        <v>8057</v>
      </c>
      <c r="O6" s="0" t="n">
        <v>18794</v>
      </c>
      <c r="P6" s="0" t="n">
        <v>146689</v>
      </c>
      <c r="Q6" s="0" t="n">
        <v>130459</v>
      </c>
      <c r="R6" s="0" t="n">
        <v>66416</v>
      </c>
      <c r="S6" s="0" t="n">
        <v>654</v>
      </c>
      <c r="T6" s="0" t="n">
        <v>1197</v>
      </c>
      <c r="U6" s="0" t="n">
        <v>287</v>
      </c>
      <c r="V6" s="0" t="n">
        <v>0.72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I7" s="0" t="n">
        <v>4935</v>
      </c>
      <c r="K7" s="0" t="n">
        <v>4.14</v>
      </c>
      <c r="L7" s="0" t="n">
        <v>10475</v>
      </c>
      <c r="M7" s="0" t="n">
        <v>1189</v>
      </c>
      <c r="N7" s="0" t="n">
        <v>9286</v>
      </c>
      <c r="O7" s="0" t="n">
        <v>18794</v>
      </c>
      <c r="P7" s="0" t="n">
        <v>153337</v>
      </c>
      <c r="Q7" s="0" t="n">
        <v>134543</v>
      </c>
      <c r="R7" s="0" t="n">
        <v>59570</v>
      </c>
      <c r="T7" s="0" t="n">
        <v>1184</v>
      </c>
      <c r="U7" s="0" t="n">
        <v>301</v>
      </c>
      <c r="V7" s="0" t="n">
        <v>0.72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I8" s="0" t="n">
        <v>4482</v>
      </c>
      <c r="K8" s="0" t="n">
        <v>3.91</v>
      </c>
      <c r="M8" s="0" t="n">
        <v>1053</v>
      </c>
      <c r="O8" s="0" t="n">
        <v>18886</v>
      </c>
      <c r="P8" s="0" t="n">
        <v>153140</v>
      </c>
      <c r="Q8" s="0" t="n">
        <v>134254</v>
      </c>
      <c r="R8" s="0" t="n">
        <v>58973</v>
      </c>
      <c r="T8" s="0" t="n">
        <v>1141</v>
      </c>
      <c r="U8" s="0" t="n">
        <v>297</v>
      </c>
      <c r="V8" s="0" t="n">
        <v>0.8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I9" s="0" t="n">
        <v>5359</v>
      </c>
      <c r="K9" s="0" t="n">
        <v>4.91</v>
      </c>
      <c r="M9" s="0" t="n">
        <v>1006</v>
      </c>
      <c r="O9" s="0" t="n">
        <v>19496</v>
      </c>
      <c r="P9" s="0" t="n">
        <v>153000</v>
      </c>
      <c r="Q9" s="0" t="n">
        <v>133879</v>
      </c>
      <c r="R9" s="0" t="n">
        <v>55330</v>
      </c>
      <c r="T9" s="0" t="n">
        <v>1089</v>
      </c>
      <c r="U9" s="0" t="n">
        <v>350</v>
      </c>
      <c r="V9" s="0" t="n">
        <v>0.89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I10" s="0" t="n">
        <v>5885</v>
      </c>
      <c r="M10" s="0" t="n">
        <v>1195</v>
      </c>
      <c r="O10" s="0" t="n">
        <v>20673</v>
      </c>
      <c r="P10" s="0" t="n">
        <v>159000</v>
      </c>
      <c r="Q10" s="0" t="n">
        <v>138430</v>
      </c>
      <c r="R10" s="0" t="n">
        <v>57955</v>
      </c>
      <c r="T10" s="0" t="n">
        <v>1051</v>
      </c>
      <c r="U10" s="0" t="n">
        <v>290</v>
      </c>
      <c r="V10" s="0" t="n">
        <v>1.01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I11" s="0" t="n">
        <v>5163</v>
      </c>
      <c r="M11" s="0" t="n">
        <v>1341</v>
      </c>
      <c r="O11" s="0" t="n">
        <v>20673</v>
      </c>
      <c r="P11" s="0" t="n">
        <v>161000</v>
      </c>
      <c r="Q11" s="0" t="n">
        <v>140511</v>
      </c>
      <c r="R11" s="0" t="n">
        <v>48061</v>
      </c>
      <c r="T11" s="0" t="n">
        <v>1003</v>
      </c>
      <c r="U11" s="0" t="n">
        <v>234</v>
      </c>
      <c r="V11" s="0" t="n">
        <v>1.13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I12" s="0" t="n">
        <v>5375</v>
      </c>
      <c r="M12" s="0" t="n">
        <v>1375</v>
      </c>
      <c r="O12" s="0" t="n">
        <v>20523</v>
      </c>
      <c r="P12" s="0" t="n">
        <v>159000</v>
      </c>
      <c r="Q12" s="0" t="n">
        <v>138392</v>
      </c>
      <c r="R12" s="0" t="n">
        <v>46990</v>
      </c>
      <c r="T12" s="0" t="n">
        <v>935</v>
      </c>
      <c r="U12" s="0" t="n">
        <v>254</v>
      </c>
      <c r="V12" s="0" t="n">
        <v>1.22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24780</v>
      </c>
      <c r="I13" s="0" t="n">
        <v>2748</v>
      </c>
      <c r="J13" s="0" t="n">
        <v>11.089588377724</v>
      </c>
      <c r="L13" s="0" t="n">
        <v>13540</v>
      </c>
      <c r="M13" s="0" t="n">
        <v>1062</v>
      </c>
      <c r="N13" s="0" t="n">
        <v>12478</v>
      </c>
      <c r="O13" s="0" t="n">
        <v>18261</v>
      </c>
      <c r="P13" s="0" t="n">
        <v>181000</v>
      </c>
      <c r="Q13" s="0" t="n">
        <v>162935</v>
      </c>
      <c r="R13" s="0" t="n">
        <v>55804</v>
      </c>
      <c r="T13" s="0" t="n">
        <v>886</v>
      </c>
      <c r="U13" s="0" t="n">
        <v>283</v>
      </c>
      <c r="V13" s="0" t="n">
        <v>1.34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26607</v>
      </c>
      <c r="I14" s="0" t="n">
        <v>6921</v>
      </c>
      <c r="J14" s="0" t="n">
        <v>26.0119517420228</v>
      </c>
      <c r="L14" s="0" t="n">
        <v>8930</v>
      </c>
      <c r="M14" s="0" t="n">
        <v>1310</v>
      </c>
      <c r="N14" s="0" t="n">
        <v>7620</v>
      </c>
      <c r="O14" s="0" t="n">
        <v>22290</v>
      </c>
      <c r="P14" s="0" t="n">
        <v>189000</v>
      </c>
      <c r="Q14" s="0" t="n">
        <v>166312</v>
      </c>
      <c r="R14" s="0" t="n">
        <v>58423</v>
      </c>
      <c r="T14" s="0" t="n">
        <v>859</v>
      </c>
      <c r="U14" s="0" t="n">
        <v>288</v>
      </c>
      <c r="V14" s="0" t="n">
        <v>1.48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28159</v>
      </c>
      <c r="I15" s="0" t="n">
        <v>6759</v>
      </c>
      <c r="J15" s="0" t="n">
        <v>24.002983060478</v>
      </c>
      <c r="K15" s="0" t="n">
        <v>8</v>
      </c>
      <c r="L15" s="0" t="n">
        <v>13632</v>
      </c>
      <c r="M15" s="0" t="n">
        <v>1645</v>
      </c>
      <c r="N15" s="0" t="n">
        <v>11987</v>
      </c>
      <c r="O15" s="0" t="n">
        <v>23071</v>
      </c>
      <c r="P15" s="0" t="n">
        <v>198000</v>
      </c>
      <c r="Q15" s="0" t="n">
        <v>175250</v>
      </c>
      <c r="R15" s="0" t="n">
        <v>57835</v>
      </c>
      <c r="T15" s="0" t="n">
        <v>830</v>
      </c>
      <c r="U15" s="0" t="n">
        <v>283</v>
      </c>
      <c r="V15" s="0" t="n">
        <v>1.64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21974</v>
      </c>
      <c r="I16" s="0" t="n">
        <v>3135</v>
      </c>
      <c r="J16" s="0" t="n">
        <v>14.2668608355329</v>
      </c>
      <c r="K16" s="0" t="n">
        <v>3.77</v>
      </c>
      <c r="L16" s="0" t="n">
        <v>5591</v>
      </c>
      <c r="M16" s="0" t="n">
        <v>1478</v>
      </c>
      <c r="N16" s="0" t="n">
        <v>4113</v>
      </c>
      <c r="O16" s="0" t="n">
        <v>22984</v>
      </c>
      <c r="P16" s="0" t="n">
        <v>191000</v>
      </c>
      <c r="Q16" s="0" t="n">
        <v>168383</v>
      </c>
      <c r="R16" s="0" t="n">
        <v>42952</v>
      </c>
      <c r="T16" s="0" t="n">
        <v>806</v>
      </c>
      <c r="U16" s="0" t="n">
        <v>249</v>
      </c>
      <c r="V16" s="0" t="n">
        <v>1.72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27716</v>
      </c>
      <c r="I17" s="0" t="n">
        <v>8060</v>
      </c>
      <c r="J17" s="0" t="n">
        <v>29.0806754221388</v>
      </c>
      <c r="K17" s="0" t="n">
        <v>10.04</v>
      </c>
      <c r="L17" s="0" t="n">
        <v>14645</v>
      </c>
      <c r="M17" s="0" t="n">
        <v>1550</v>
      </c>
      <c r="N17" s="0" t="n">
        <v>13095</v>
      </c>
      <c r="O17" s="0" t="n">
        <v>22177</v>
      </c>
      <c r="P17" s="0" t="n">
        <v>189000</v>
      </c>
      <c r="Q17" s="0" t="n">
        <v>166371</v>
      </c>
      <c r="R17" s="0" t="n">
        <v>38675</v>
      </c>
      <c r="S17" s="0" t="n">
        <v>21503</v>
      </c>
      <c r="T17" s="0" t="n">
        <v>790</v>
      </c>
      <c r="U17" s="0" t="n">
        <v>330</v>
      </c>
      <c r="V17" s="0" t="n">
        <v>1.72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34219</v>
      </c>
      <c r="I18" s="0" t="n">
        <v>7514</v>
      </c>
      <c r="J18" s="0" t="n">
        <v>21.9585610333441</v>
      </c>
      <c r="K18" s="0" t="n">
        <v>9.86</v>
      </c>
      <c r="L18" s="0" t="n">
        <v>21079</v>
      </c>
      <c r="M18" s="0" t="n">
        <v>1855</v>
      </c>
      <c r="N18" s="0" t="n">
        <v>19224</v>
      </c>
      <c r="O18" s="0" t="n">
        <v>24711</v>
      </c>
      <c r="P18" s="0" t="n">
        <v>228354</v>
      </c>
      <c r="Q18" s="0" t="n">
        <v>203643</v>
      </c>
      <c r="R18" s="0" t="n">
        <v>42573</v>
      </c>
      <c r="S18" s="0" t="n">
        <v>33370</v>
      </c>
      <c r="T18" s="0" t="n">
        <v>752</v>
      </c>
      <c r="U18" s="0" t="n">
        <v>375</v>
      </c>
      <c r="V18" s="0" t="n">
        <v>2.08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37218</v>
      </c>
      <c r="I19" s="0" t="n">
        <v>8374</v>
      </c>
      <c r="J19" s="0" t="n">
        <v>22.4998656564028</v>
      </c>
      <c r="K19" s="0" t="n">
        <v>11.23</v>
      </c>
      <c r="L19" s="0" t="n">
        <v>18559</v>
      </c>
      <c r="M19" s="0" t="n">
        <v>1563</v>
      </c>
      <c r="N19" s="0" t="n">
        <v>16996</v>
      </c>
      <c r="O19" s="0" t="n">
        <v>28057</v>
      </c>
      <c r="P19" s="0" t="n">
        <v>261108</v>
      </c>
      <c r="Q19" s="0" t="n">
        <v>233051</v>
      </c>
      <c r="R19" s="0" t="n">
        <v>47866</v>
      </c>
      <c r="T19" s="0" t="n">
        <v>736</v>
      </c>
      <c r="U19" s="0" t="n">
        <v>450</v>
      </c>
      <c r="V19" s="0" t="n">
        <v>2.4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38825</v>
      </c>
      <c r="I20" s="0" t="n">
        <v>10129</v>
      </c>
      <c r="J20" s="0" t="n">
        <v>26.0888602704443</v>
      </c>
      <c r="K20" s="0" t="n">
        <v>14.04</v>
      </c>
      <c r="L20" s="0" t="n">
        <v>14050</v>
      </c>
      <c r="M20" s="0" t="n">
        <v>1911</v>
      </c>
      <c r="N20" s="0" t="n">
        <v>12139</v>
      </c>
      <c r="O20" s="0" t="n">
        <v>30264</v>
      </c>
      <c r="P20" s="0" t="n">
        <v>271461</v>
      </c>
      <c r="Q20" s="0" t="n">
        <v>241197</v>
      </c>
      <c r="R20" s="0" t="n">
        <v>49715</v>
      </c>
      <c r="T20" s="0" t="n">
        <v>713</v>
      </c>
      <c r="U20" s="0" t="n">
        <v>508</v>
      </c>
      <c r="V20" s="0" t="n">
        <v>2.8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41304</v>
      </c>
      <c r="I21" s="0" t="n">
        <v>10833</v>
      </c>
      <c r="J21" s="0" t="n">
        <v>26.2274840209181</v>
      </c>
      <c r="K21" s="0" t="n">
        <v>15.41</v>
      </c>
      <c r="L21" s="0" t="n">
        <v>18428</v>
      </c>
      <c r="M21" s="0" t="n">
        <v>2425</v>
      </c>
      <c r="N21" s="0" t="n">
        <v>16003</v>
      </c>
      <c r="O21" s="0" t="n">
        <v>33474</v>
      </c>
      <c r="P21" s="0" t="n">
        <v>300052</v>
      </c>
      <c r="Q21" s="0" t="n">
        <v>266578</v>
      </c>
      <c r="R21" s="0" t="n">
        <v>56387</v>
      </c>
      <c r="T21" s="0" t="n">
        <v>696</v>
      </c>
      <c r="U21" s="0" t="n">
        <v>551</v>
      </c>
      <c r="V21" s="0" t="n">
        <v>3.28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308.89</v>
      </c>
    </row>
    <row r="3" customFormat="false" ht="15" hidden="false" customHeight="false" outlineLevel="0" collapsed="false">
      <c r="A3" s="0" t="s">
        <v>86</v>
      </c>
      <c r="B3" s="3" t="n">
        <v>679</v>
      </c>
    </row>
    <row r="4" customFormat="false" ht="15" hidden="false" customHeight="false" outlineLevel="0" collapsed="false">
      <c r="A4" s="0" t="s">
        <v>87</v>
      </c>
      <c r="B4" s="3" t="n">
        <v>0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41304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6</v>
      </c>
      <c r="D13" s="3" t="n">
        <v>4.5</v>
      </c>
      <c r="E13" s="3" t="n">
        <v>4.5</v>
      </c>
      <c r="F13" s="3" t="n">
        <v>5</v>
      </c>
      <c r="G13" s="3" t="n">
        <v>5</v>
      </c>
      <c r="H13" s="3" t="n">
        <v>5</v>
      </c>
      <c r="I13" s="3" t="n">
        <v>5</v>
      </c>
      <c r="J13" s="3" t="n">
        <v>5</v>
      </c>
      <c r="K13" s="3" t="n">
        <v>5</v>
      </c>
      <c r="L13" s="3" t="n">
        <v>5</v>
      </c>
    </row>
    <row r="14" customFormat="false" ht="15" hidden="false" customHeight="false" outlineLevel="0" collapsed="false">
      <c r="A14" s="0" t="s">
        <v>107</v>
      </c>
      <c r="C14" s="3" t="n">
        <v>24</v>
      </c>
      <c r="D14" s="3" t="n">
        <v>22.5</v>
      </c>
      <c r="E14" s="3" t="n">
        <v>22</v>
      </c>
      <c r="F14" s="3" t="n">
        <v>21.8</v>
      </c>
      <c r="G14" s="3" t="n">
        <v>21.7</v>
      </c>
      <c r="H14" s="3" t="n">
        <v>21.7</v>
      </c>
      <c r="I14" s="3" t="n">
        <v>21.7</v>
      </c>
      <c r="J14" s="3" t="n">
        <v>21.7</v>
      </c>
      <c r="K14" s="3" t="n">
        <v>21.7</v>
      </c>
      <c r="L14" s="3" t="n">
        <v>21.7</v>
      </c>
    </row>
    <row r="15" customFormat="false" ht="15" hidden="false" customHeight="false" outlineLevel="0" collapsed="false">
      <c r="A15" s="0" t="s">
        <v>108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111</v>
      </c>
      <c r="C18" s="3" t="n">
        <v>0</v>
      </c>
      <c r="D18" s="3" t="n">
        <v>0</v>
      </c>
      <c r="E18" s="3" t="n">
        <v>2.0831</v>
      </c>
      <c r="F18" s="3" t="n">
        <v>4.0087</v>
      </c>
      <c r="G18" s="3" t="n">
        <v>4.669</v>
      </c>
      <c r="H18" s="3" t="n">
        <v>5.425</v>
      </c>
      <c r="I18" s="3" t="n">
        <v>5.425</v>
      </c>
      <c r="J18" s="3" t="n">
        <v>5.425</v>
      </c>
      <c r="K18" s="3" t="n">
        <v>5.425</v>
      </c>
      <c r="L18" s="3" t="n">
        <v>5.425</v>
      </c>
    </row>
    <row r="19" customFormat="false" ht="15" hidden="false" customHeight="false" outlineLevel="0" collapsed="false">
      <c r="A19" s="0" t="s">
        <v>112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113</v>
      </c>
      <c r="B20" s="3" t="n">
        <v>12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12</v>
      </c>
    </row>
    <row r="23" customFormat="false" ht="15" hidden="false" customHeight="false" outlineLevel="0" collapsed="false">
      <c r="A23" s="0" t="s">
        <v>116</v>
      </c>
      <c r="B23" s="3" t="n">
        <v>0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10</v>
      </c>
      <c r="D27" s="3" t="n">
        <v>8.7</v>
      </c>
      <c r="E27" s="3" t="n">
        <v>7.7</v>
      </c>
      <c r="F27" s="3" t="n">
        <v>7.2</v>
      </c>
      <c r="G27" s="3" t="n">
        <v>6.7</v>
      </c>
      <c r="H27" s="3" t="n">
        <v>6</v>
      </c>
      <c r="I27" s="3" t="n">
        <v>5.5</v>
      </c>
      <c r="J27" s="3" t="n">
        <v>5.2</v>
      </c>
      <c r="K27" s="3" t="n">
        <v>5</v>
      </c>
      <c r="L27" s="3" t="n">
        <v>5</v>
      </c>
    </row>
    <row r="28" customFormat="false" ht="15" hidden="false" customHeight="false" outlineLevel="0" collapsed="false">
      <c r="A28" s="0" t="s">
        <v>107</v>
      </c>
      <c r="C28" s="3" t="n">
        <v>26.1</v>
      </c>
      <c r="D28" s="3" t="n">
        <v>26.3</v>
      </c>
      <c r="E28" s="3" t="n">
        <v>26.5</v>
      </c>
      <c r="F28" s="3" t="n">
        <v>26.6</v>
      </c>
      <c r="G28" s="3" t="n">
        <v>26.8</v>
      </c>
      <c r="H28" s="3" t="n">
        <v>27</v>
      </c>
      <c r="I28" s="3" t="n">
        <v>27</v>
      </c>
      <c r="J28" s="3" t="n">
        <v>27</v>
      </c>
      <c r="K28" s="3" t="n">
        <v>27</v>
      </c>
      <c r="L28" s="3" t="n">
        <v>27</v>
      </c>
    </row>
    <row r="29" customFormat="false" ht="15" hidden="false" customHeight="false" outlineLevel="0" collapsed="false">
      <c r="A29" s="0" t="s">
        <v>108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111</v>
      </c>
      <c r="C32" s="3" t="n">
        <v>7.4862</v>
      </c>
      <c r="D32" s="3" t="n">
        <v>7.8349</v>
      </c>
      <c r="E32" s="3" t="n">
        <v>7.2824</v>
      </c>
      <c r="F32" s="3" t="n">
        <v>6.7427</v>
      </c>
      <c r="G32" s="3" t="n">
        <v>6.9331</v>
      </c>
      <c r="H32" s="3" t="n">
        <v>6.5485</v>
      </c>
      <c r="I32" s="3" t="n">
        <v>5.5</v>
      </c>
      <c r="J32" s="3" t="n">
        <v>5.2981</v>
      </c>
      <c r="K32" s="3" t="n">
        <v>5.1923</v>
      </c>
      <c r="L32" s="3" t="n">
        <v>5.1923</v>
      </c>
    </row>
    <row r="33" customFormat="false" ht="15" hidden="false" customHeight="false" outlineLevel="0" collapsed="false">
      <c r="A33" s="0" t="s">
        <v>112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113</v>
      </c>
      <c r="B34" s="3" t="n">
        <v>10.5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16</v>
      </c>
    </row>
    <row r="37" customFormat="false" ht="15" hidden="false" customHeight="false" outlineLevel="0" collapsed="false">
      <c r="A37" s="0" t="s">
        <v>116</v>
      </c>
      <c r="B37" s="3" t="n">
        <v>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11.5</v>
      </c>
      <c r="D41" s="3" t="n">
        <v>10.5</v>
      </c>
      <c r="E41" s="3" t="n">
        <v>9.5</v>
      </c>
      <c r="F41" s="3" t="n">
        <v>9</v>
      </c>
      <c r="G41" s="3" t="n">
        <v>8.5</v>
      </c>
      <c r="H41" s="3" t="n">
        <v>7.5</v>
      </c>
      <c r="I41" s="3" t="n">
        <v>7</v>
      </c>
      <c r="J41" s="3" t="n">
        <v>6.5</v>
      </c>
      <c r="K41" s="3" t="n">
        <v>6</v>
      </c>
      <c r="L41" s="3" t="n">
        <v>5.8</v>
      </c>
    </row>
    <row r="42" customFormat="false" ht="15" hidden="false" customHeight="false" outlineLevel="0" collapsed="false">
      <c r="A42" s="0" t="s">
        <v>107</v>
      </c>
      <c r="C42" s="3" t="n">
        <v>26.3</v>
      </c>
      <c r="D42" s="3" t="n">
        <v>26.7</v>
      </c>
      <c r="E42" s="3" t="n">
        <v>27</v>
      </c>
      <c r="F42" s="3" t="n">
        <v>27.3</v>
      </c>
      <c r="G42" s="3" t="n">
        <v>27.6</v>
      </c>
      <c r="H42" s="3" t="n">
        <v>27.9</v>
      </c>
      <c r="I42" s="3" t="n">
        <v>28.1</v>
      </c>
      <c r="J42" s="3" t="n">
        <v>28.2</v>
      </c>
      <c r="K42" s="3" t="n">
        <v>28.2</v>
      </c>
      <c r="L42" s="3" t="n">
        <v>28.2</v>
      </c>
    </row>
    <row r="43" customFormat="false" ht="15" hidden="false" customHeight="false" outlineLevel="0" collapsed="false">
      <c r="A43" s="0" t="s">
        <v>108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111</v>
      </c>
      <c r="C46" s="3" t="n">
        <v>9.1341</v>
      </c>
      <c r="D46" s="3" t="n">
        <v>9.7081</v>
      </c>
      <c r="E46" s="3" t="n">
        <v>8.7794</v>
      </c>
      <c r="F46" s="3" t="n">
        <v>8.7114</v>
      </c>
      <c r="G46" s="3" t="n">
        <v>8.6293</v>
      </c>
      <c r="H46" s="3" t="n">
        <v>8.0617</v>
      </c>
      <c r="I46" s="3" t="n">
        <v>7.526</v>
      </c>
      <c r="J46" s="3" t="n">
        <v>6.9281</v>
      </c>
      <c r="K46" s="3" t="n">
        <v>6.1527</v>
      </c>
      <c r="L46" s="3" t="n">
        <v>6.0578</v>
      </c>
    </row>
    <row r="47" customFormat="false" ht="15" hidden="false" customHeight="false" outlineLevel="0" collapsed="false">
      <c r="A47" s="0" t="s">
        <v>112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113</v>
      </c>
      <c r="B48" s="3" t="n">
        <v>9.5</v>
      </c>
    </row>
    <row r="49" customFormat="false" ht="15" hidden="false" customHeight="false" outlineLevel="0" collapsed="false">
      <c r="A49" s="0" t="s">
        <v>114</v>
      </c>
      <c r="B49" s="3" t="n">
        <v>3.5</v>
      </c>
    </row>
    <row r="50" customFormat="false" ht="15" hidden="false" customHeight="false" outlineLevel="0" collapsed="false">
      <c r="A50" s="0" t="s">
        <v>115</v>
      </c>
      <c r="B50" s="3" t="n">
        <v>19</v>
      </c>
    </row>
    <row r="51" customFormat="false" ht="15" hidden="false" customHeight="false" outlineLevel="0" collapsed="false">
      <c r="A51" s="0" t="s">
        <v>116</v>
      </c>
      <c r="B51" s="3" t="n">
        <v>0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6</v>
      </c>
      <c r="D5" s="4" t="n">
        <f aca="false">Assumptions!D13</f>
        <v>4.5</v>
      </c>
      <c r="E5" s="4" t="n">
        <f aca="false">Assumptions!E13</f>
        <v>4.5</v>
      </c>
      <c r="F5" s="4" t="n">
        <f aca="false">Assumptions!F13</f>
        <v>5</v>
      </c>
      <c r="G5" s="4" t="n">
        <f aca="false">Assumptions!G13</f>
        <v>5</v>
      </c>
      <c r="H5" s="4" t="n">
        <f aca="false">Assumptions!H13</f>
        <v>5</v>
      </c>
      <c r="I5" s="4" t="n">
        <f aca="false">Assumptions!I13</f>
        <v>5</v>
      </c>
      <c r="J5" s="4" t="n">
        <f aca="false">Assumptions!J13</f>
        <v>5</v>
      </c>
      <c r="K5" s="4" t="n">
        <f aca="false">Assumptions!K13</f>
        <v>5</v>
      </c>
      <c r="L5" s="4" t="n">
        <f aca="false">Assumptions!L13</f>
        <v>5</v>
      </c>
    </row>
    <row r="6" customFormat="false" ht="15" hidden="false" customHeight="false" outlineLevel="0" collapsed="false">
      <c r="A6" s="0" t="s">
        <v>37</v>
      </c>
      <c r="B6" s="3" t="n">
        <v>41304</v>
      </c>
      <c r="C6" s="0" t="n">
        <f aca="false">B6*(1+C5/100)</f>
        <v>43782.24</v>
      </c>
      <c r="D6" s="0" t="n">
        <f aca="false">C6*(1+D5/100)</f>
        <v>45752.4408</v>
      </c>
      <c r="E6" s="0" t="n">
        <f aca="false">D6*(1+E5/100)</f>
        <v>47811.300636</v>
      </c>
      <c r="F6" s="0" t="n">
        <f aca="false">E6*(1+F5/100)</f>
        <v>50201.8656678</v>
      </c>
      <c r="G6" s="0" t="n">
        <f aca="false">F6*(1+G5/100)</f>
        <v>52711.95895119</v>
      </c>
      <c r="H6" s="0" t="n">
        <f aca="false">G6*(1+H5/100)</f>
        <v>55347.5568987495</v>
      </c>
      <c r="I6" s="0" t="n">
        <f aca="false">H6*(1+I5/100)</f>
        <v>58114.934743687</v>
      </c>
      <c r="J6" s="0" t="n">
        <f aca="false">I6*(1+J5/100)</f>
        <v>61020.6814808713</v>
      </c>
      <c r="K6" s="0" t="n">
        <f aca="false">J6*(1+K5/100)</f>
        <v>64071.7155549149</v>
      </c>
      <c r="L6" s="0" t="n">
        <f aca="false">K6*(1+L5/100)</f>
        <v>67275.3013326607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24</v>
      </c>
      <c r="D7" s="4" t="n">
        <f aca="false">Assumptions!D14</f>
        <v>22.5</v>
      </c>
      <c r="E7" s="4" t="n">
        <f aca="false">Assumptions!E14</f>
        <v>22</v>
      </c>
      <c r="F7" s="4" t="n">
        <f aca="false">Assumptions!F14</f>
        <v>21.8</v>
      </c>
      <c r="G7" s="4" t="n">
        <f aca="false">Assumptions!G14</f>
        <v>21.7</v>
      </c>
      <c r="H7" s="4" t="n">
        <f aca="false">Assumptions!H14</f>
        <v>21.7</v>
      </c>
      <c r="I7" s="4" t="n">
        <f aca="false">Assumptions!I14</f>
        <v>21.7</v>
      </c>
      <c r="J7" s="4" t="n">
        <f aca="false">Assumptions!J14</f>
        <v>21.7</v>
      </c>
      <c r="K7" s="4" t="n">
        <f aca="false">Assumptions!K14</f>
        <v>21.7</v>
      </c>
      <c r="L7" s="4" t="n">
        <f aca="false">Assumptions!L14</f>
        <v>21.7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10507.7376</v>
      </c>
      <c r="D8" s="0" t="n">
        <f aca="false">D6*D7/100</f>
        <v>10294.29918</v>
      </c>
      <c r="E8" s="0" t="n">
        <f aca="false">E6*E7/100</f>
        <v>10518.48613992</v>
      </c>
      <c r="F8" s="0" t="n">
        <f aca="false">F6*F7/100</f>
        <v>10944.0067155804</v>
      </c>
      <c r="G8" s="0" t="n">
        <f aca="false">G6*G7/100</f>
        <v>11438.4950924082</v>
      </c>
      <c r="H8" s="0" t="n">
        <f aca="false">H6*H7/100</f>
        <v>12010.4198470286</v>
      </c>
      <c r="I8" s="0" t="n">
        <f aca="false">I6*I7/100</f>
        <v>12610.9408393801</v>
      </c>
      <c r="J8" s="0" t="n">
        <f aca="false">J6*J7/100</f>
        <v>13241.4878813491</v>
      </c>
      <c r="K8" s="0" t="n">
        <f aca="false">K6*K7/100</f>
        <v>13903.5622754165</v>
      </c>
      <c r="L8" s="0" t="n">
        <f aca="false">L6*L7/100</f>
        <v>14598.7403891874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10507.7376</v>
      </c>
      <c r="D11" s="0" t="n">
        <f aca="false">D8+D10+D24</f>
        <v>10294.29918</v>
      </c>
      <c r="E11" s="0" t="n">
        <f aca="false">E8+E10+E24</f>
        <v>10518.48613992</v>
      </c>
      <c r="F11" s="0" t="n">
        <f aca="false">F8+F10+F24</f>
        <v>10944.0067155804</v>
      </c>
      <c r="G11" s="0" t="n">
        <f aca="false">G8+G10+G24</f>
        <v>11438.4950924082</v>
      </c>
      <c r="H11" s="0" t="n">
        <f aca="false">H8+H10+H24</f>
        <v>12010.4198470286</v>
      </c>
      <c r="I11" s="0" t="n">
        <f aca="false">I8+I10+I24</f>
        <v>12610.9408393801</v>
      </c>
      <c r="J11" s="0" t="n">
        <f aca="false">J8+J10+J24</f>
        <v>13241.4878813491</v>
      </c>
      <c r="K11" s="0" t="n">
        <f aca="false">K8+K10+K24</f>
        <v>13903.5622754165</v>
      </c>
      <c r="L11" s="0" t="n">
        <f aca="false">L8+L10+L24</f>
        <v>14598.7403891874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10507.7376</v>
      </c>
      <c r="D13" s="0" t="n">
        <f aca="false">D11+D12</f>
        <v>10294.29918</v>
      </c>
      <c r="E13" s="0" t="n">
        <f aca="false">E11+E12</f>
        <v>10518.48613992</v>
      </c>
      <c r="F13" s="0" t="n">
        <f aca="false">F11+F12</f>
        <v>10944.0067155804</v>
      </c>
      <c r="G13" s="0" t="n">
        <f aca="false">G11+G12</f>
        <v>11438.4950924082</v>
      </c>
      <c r="H13" s="0" t="n">
        <f aca="false">H11+H12</f>
        <v>12010.4198470286</v>
      </c>
      <c r="I13" s="0" t="n">
        <f aca="false">I11+I12</f>
        <v>12610.9408393801</v>
      </c>
      <c r="J13" s="0" t="n">
        <f aca="false">J11+J12</f>
        <v>13241.4878813491</v>
      </c>
      <c r="K13" s="0" t="n">
        <f aca="false">K11+K12</f>
        <v>13903.5622754165</v>
      </c>
      <c r="L13" s="0" t="n">
        <f aca="false">L11+L12</f>
        <v>14598.7403891874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10507.7376</v>
      </c>
      <c r="D15" s="0" t="n">
        <f aca="false">D13-MAX(0,D13)*D14/100</f>
        <v>10294.29918</v>
      </c>
      <c r="E15" s="0" t="n">
        <f aca="false">E13-MAX(0,E13)*E14/100</f>
        <v>10518.48613992</v>
      </c>
      <c r="F15" s="0" t="n">
        <f aca="false">F13-MAX(0,F13)*F14/100</f>
        <v>10944.0067155804</v>
      </c>
      <c r="G15" s="0" t="n">
        <f aca="false">G13-MAX(0,G13)*G14/100</f>
        <v>11438.4950924082</v>
      </c>
      <c r="H15" s="0" t="n">
        <f aca="false">H13-MAX(0,H13)*H14/100</f>
        <v>12010.4198470286</v>
      </c>
      <c r="I15" s="0" t="n">
        <f aca="false">I13-MAX(0,I13)*I14/100</f>
        <v>12610.9408393801</v>
      </c>
      <c r="J15" s="0" t="n">
        <f aca="false">J13-MAX(0,J13)*J14/100</f>
        <v>13241.4878813491</v>
      </c>
      <c r="K15" s="0" t="n">
        <f aca="false">K13-MAX(0,K13)*K14/100</f>
        <v>13903.5622754165</v>
      </c>
      <c r="L15" s="0" t="n">
        <f aca="false">L13-MAX(0,L13)*L14/100</f>
        <v>14598.7403891874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-0</v>
      </c>
      <c r="D17" s="4" t="n">
        <f aca="false">-D6*Assumptions!D18/100</f>
        <v>-0</v>
      </c>
      <c r="E17" s="4" t="n">
        <f aca="false">-E6*Assumptions!E18/100</f>
        <v>-995.957203548516</v>
      </c>
      <c r="F17" s="4" t="n">
        <f aca="false">-F6*Assumptions!F18/100</f>
        <v>-2012.4421890251</v>
      </c>
      <c r="G17" s="4" t="n">
        <f aca="false">-G6*Assumptions!G18/100</f>
        <v>-2461.12136343106</v>
      </c>
      <c r="H17" s="4" t="n">
        <f aca="false">-H6*Assumptions!H18/100</f>
        <v>-3002.60496175716</v>
      </c>
      <c r="I17" s="4" t="n">
        <f aca="false">-I6*Assumptions!I18/100</f>
        <v>-3152.73520984502</v>
      </c>
      <c r="J17" s="4" t="n">
        <f aca="false">-J6*Assumptions!J18/100</f>
        <v>-3310.37197033727</v>
      </c>
      <c r="K17" s="4" t="n">
        <f aca="false">-K6*Assumptions!K18/100</f>
        <v>-3475.89056885413</v>
      </c>
      <c r="L17" s="4" t="n">
        <f aca="false">-L6*Assumptions!L18/100</f>
        <v>-3649.68509729684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10507.7376</v>
      </c>
      <c r="D19" s="0" t="n">
        <f aca="false">D15+D16+D17+D18</f>
        <v>10294.29918</v>
      </c>
      <c r="E19" s="0" t="n">
        <f aca="false">E15+E16+E17+E18</f>
        <v>9522.52893637148</v>
      </c>
      <c r="F19" s="0" t="n">
        <f aca="false">F15+F16+F17+F18</f>
        <v>8931.5645265553</v>
      </c>
      <c r="G19" s="0" t="n">
        <f aca="false">G15+G16+G17+G18</f>
        <v>8977.37372897717</v>
      </c>
      <c r="H19" s="0" t="n">
        <f aca="false">H15+H16+H17+H18</f>
        <v>9007.81488527148</v>
      </c>
      <c r="I19" s="0" t="n">
        <f aca="false">I15+I16+I17+I18</f>
        <v>9458.20562953506</v>
      </c>
      <c r="J19" s="0" t="n">
        <f aca="false">J15+J16+J17+J18</f>
        <v>9931.11591101181</v>
      </c>
      <c r="K19" s="0" t="n">
        <f aca="false">K15+K16+K17+K18</f>
        <v>10427.6717065624</v>
      </c>
      <c r="L19" s="0" t="n">
        <f aca="false">L15+L16+L17+L18</f>
        <v>10949.0552918905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0.892857142857143</v>
      </c>
      <c r="D20" s="0" t="n">
        <f aca="false">1/(1+$B$27/100)^D4</f>
        <v>0.79719387755102</v>
      </c>
      <c r="E20" s="0" t="n">
        <f aca="false">1/(1+$B$27/100)^E4</f>
        <v>0.711780247813411</v>
      </c>
      <c r="F20" s="0" t="n">
        <f aca="false">1/(1+$B$27/100)^F4</f>
        <v>0.635518078404831</v>
      </c>
      <c r="G20" s="0" t="n">
        <f aca="false">1/(1+$B$27/100)^G4</f>
        <v>0.567426855718599</v>
      </c>
      <c r="H20" s="0" t="n">
        <f aca="false">1/(1+$B$27/100)^H4</f>
        <v>0.506631121177321</v>
      </c>
      <c r="I20" s="0" t="n">
        <f aca="false">1/(1+$B$27/100)^I4</f>
        <v>0.452349215336893</v>
      </c>
      <c r="J20" s="0" t="n">
        <f aca="false">1/(1+$B$27/100)^J4</f>
        <v>0.403883227979369</v>
      </c>
      <c r="K20" s="0" t="n">
        <f aca="false">1/(1+$B$27/100)^K4</f>
        <v>0.360610024981579</v>
      </c>
      <c r="L20" s="0" t="n">
        <f aca="false">1/(1+$B$27/100)^L4</f>
        <v>0.321973236590696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9381.90857142857</v>
      </c>
      <c r="D21" s="0" t="n">
        <f aca="false">D19*D20</f>
        <v>8206.55227997449</v>
      </c>
      <c r="E21" s="0" t="n">
        <f aca="false">E19*E20</f>
        <v>6777.94800614087</v>
      </c>
      <c r="F21" s="0" t="n">
        <f aca="false">F19*F20</f>
        <v>5676.17072506518</v>
      </c>
      <c r="G21" s="0" t="n">
        <f aca="false">G19*G20</f>
        <v>5094.00294764427</v>
      </c>
      <c r="H21" s="0" t="n">
        <f aca="false">H19*H20</f>
        <v>4563.63935468285</v>
      </c>
      <c r="I21" s="0" t="n">
        <f aca="false">I19*I20</f>
        <v>4278.41189501517</v>
      </c>
      <c r="J21" s="0" t="n">
        <f aca="false">J19*J20</f>
        <v>4011.01115157672</v>
      </c>
      <c r="K21" s="0" t="n">
        <f aca="false">K19*K20</f>
        <v>3760.32295460318</v>
      </c>
      <c r="L21" s="0" t="n">
        <f aca="false">L19*L20</f>
        <v>3525.30276994048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12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55275.2706560718</v>
      </c>
    </row>
    <row r="31" customFormat="false" ht="15" hidden="false" customHeight="false" outlineLevel="0" collapsed="false">
      <c r="A31" s="0" t="s">
        <v>137</v>
      </c>
      <c r="B31" s="0" t="n">
        <f aca="false">L19</f>
        <v>10949.0552918905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111680.363977283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131388.663502686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111680.363977283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35958.0882533929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91233.3589094646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91233.3589094646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134.364298835736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-0.565009230354703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134.364298835736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85907.9722902179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103.615065068063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10</v>
      </c>
      <c r="D5" s="4" t="n">
        <f aca="false">Assumptions!D27</f>
        <v>8.7</v>
      </c>
      <c r="E5" s="4" t="n">
        <f aca="false">Assumptions!E27</f>
        <v>7.7</v>
      </c>
      <c r="F5" s="4" t="n">
        <f aca="false">Assumptions!F27</f>
        <v>7.2</v>
      </c>
      <c r="G5" s="4" t="n">
        <f aca="false">Assumptions!G27</f>
        <v>6.7</v>
      </c>
      <c r="H5" s="4" t="n">
        <f aca="false">Assumptions!H27</f>
        <v>6</v>
      </c>
      <c r="I5" s="4" t="n">
        <f aca="false">Assumptions!I27</f>
        <v>5.5</v>
      </c>
      <c r="J5" s="4" t="n">
        <f aca="false">Assumptions!J27</f>
        <v>5.2</v>
      </c>
      <c r="K5" s="4" t="n">
        <f aca="false">Assumptions!K27</f>
        <v>5</v>
      </c>
      <c r="L5" s="4" t="n">
        <f aca="false">Assumptions!L27</f>
        <v>5</v>
      </c>
    </row>
    <row r="6" customFormat="false" ht="15" hidden="false" customHeight="false" outlineLevel="0" collapsed="false">
      <c r="A6" s="0" t="s">
        <v>37</v>
      </c>
      <c r="B6" s="3" t="n">
        <v>41304</v>
      </c>
      <c r="C6" s="0" t="n">
        <f aca="false">B6*(1+C5/100)</f>
        <v>45434.4</v>
      </c>
      <c r="D6" s="0" t="n">
        <f aca="false">C6*(1+D5/100)</f>
        <v>49387.1928</v>
      </c>
      <c r="E6" s="0" t="n">
        <f aca="false">D6*(1+E5/100)</f>
        <v>53190.0066456</v>
      </c>
      <c r="F6" s="0" t="n">
        <f aca="false">E6*(1+F5/100)</f>
        <v>57019.6871240832</v>
      </c>
      <c r="G6" s="0" t="n">
        <f aca="false">F6*(1+G5/100)</f>
        <v>60840.0061613968</v>
      </c>
      <c r="H6" s="0" t="n">
        <f aca="false">G6*(1+H5/100)</f>
        <v>64490.4065310806</v>
      </c>
      <c r="I6" s="0" t="n">
        <f aca="false">H6*(1+I5/100)</f>
        <v>68037.37889029</v>
      </c>
      <c r="J6" s="0" t="n">
        <f aca="false">I6*(1+J5/100)</f>
        <v>71575.3225925851</v>
      </c>
      <c r="K6" s="0" t="n">
        <f aca="false">J6*(1+K5/100)</f>
        <v>75154.0887222144</v>
      </c>
      <c r="L6" s="0" t="n">
        <f aca="false">K6*(1+L5/100)</f>
        <v>78911.7931583251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26.1</v>
      </c>
      <c r="D7" s="4" t="n">
        <f aca="false">Assumptions!D28</f>
        <v>26.3</v>
      </c>
      <c r="E7" s="4" t="n">
        <f aca="false">Assumptions!E28</f>
        <v>26.5</v>
      </c>
      <c r="F7" s="4" t="n">
        <f aca="false">Assumptions!F28</f>
        <v>26.6</v>
      </c>
      <c r="G7" s="4" t="n">
        <f aca="false">Assumptions!G28</f>
        <v>26.8</v>
      </c>
      <c r="H7" s="4" t="n">
        <f aca="false">Assumptions!H28</f>
        <v>27</v>
      </c>
      <c r="I7" s="4" t="n">
        <f aca="false">Assumptions!I28</f>
        <v>27</v>
      </c>
      <c r="J7" s="4" t="n">
        <f aca="false">Assumptions!J28</f>
        <v>27</v>
      </c>
      <c r="K7" s="4" t="n">
        <f aca="false">Assumptions!K28</f>
        <v>27</v>
      </c>
      <c r="L7" s="4" t="n">
        <f aca="false">Assumptions!L28</f>
        <v>27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11858.3784</v>
      </c>
      <c r="D8" s="0" t="n">
        <f aca="false">D6*D7/100</f>
        <v>12988.8317064</v>
      </c>
      <c r="E8" s="0" t="n">
        <f aca="false">E6*E7/100</f>
        <v>14095.351761084</v>
      </c>
      <c r="F8" s="0" t="n">
        <f aca="false">F6*F7/100</f>
        <v>15167.2367750061</v>
      </c>
      <c r="G8" s="0" t="n">
        <f aca="false">G6*G7/100</f>
        <v>16305.1216512543</v>
      </c>
      <c r="H8" s="0" t="n">
        <f aca="false">H6*H7/100</f>
        <v>17412.4097633918</v>
      </c>
      <c r="I8" s="0" t="n">
        <f aca="false">I6*I7/100</f>
        <v>18370.0923003783</v>
      </c>
      <c r="J8" s="0" t="n">
        <f aca="false">J6*J7/100</f>
        <v>19325.337099998</v>
      </c>
      <c r="K8" s="0" t="n">
        <f aca="false">K6*K7/100</f>
        <v>20291.6039549979</v>
      </c>
      <c r="L8" s="0" t="n">
        <f aca="false">L6*L7/100</f>
        <v>21306.1841527478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11858.3784</v>
      </c>
      <c r="D11" s="0" t="n">
        <f aca="false">D8+D10+D24</f>
        <v>12988.8317064</v>
      </c>
      <c r="E11" s="0" t="n">
        <f aca="false">E8+E10+E24</f>
        <v>14095.351761084</v>
      </c>
      <c r="F11" s="0" t="n">
        <f aca="false">F8+F10+F24</f>
        <v>15167.2367750061</v>
      </c>
      <c r="G11" s="0" t="n">
        <f aca="false">G8+G10+G24</f>
        <v>16305.1216512543</v>
      </c>
      <c r="H11" s="0" t="n">
        <f aca="false">H8+H10+H24</f>
        <v>17412.4097633918</v>
      </c>
      <c r="I11" s="0" t="n">
        <f aca="false">I8+I10+I24</f>
        <v>18370.0923003783</v>
      </c>
      <c r="J11" s="0" t="n">
        <f aca="false">J8+J10+J24</f>
        <v>19325.337099998</v>
      </c>
      <c r="K11" s="0" t="n">
        <f aca="false">K8+K10+K24</f>
        <v>20291.6039549979</v>
      </c>
      <c r="L11" s="0" t="n">
        <f aca="false">L8+L10+L24</f>
        <v>21306.1841527478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11858.3784</v>
      </c>
      <c r="D13" s="0" t="n">
        <f aca="false">D11+D12</f>
        <v>12988.8317064</v>
      </c>
      <c r="E13" s="0" t="n">
        <f aca="false">E11+E12</f>
        <v>14095.351761084</v>
      </c>
      <c r="F13" s="0" t="n">
        <f aca="false">F11+F12</f>
        <v>15167.2367750061</v>
      </c>
      <c r="G13" s="0" t="n">
        <f aca="false">G11+G12</f>
        <v>16305.1216512543</v>
      </c>
      <c r="H13" s="0" t="n">
        <f aca="false">H11+H12</f>
        <v>17412.4097633918</v>
      </c>
      <c r="I13" s="0" t="n">
        <f aca="false">I11+I12</f>
        <v>18370.0923003783</v>
      </c>
      <c r="J13" s="0" t="n">
        <f aca="false">J11+J12</f>
        <v>19325.337099998</v>
      </c>
      <c r="K13" s="0" t="n">
        <f aca="false">K11+K12</f>
        <v>20291.6039549979</v>
      </c>
      <c r="L13" s="0" t="n">
        <f aca="false">L11+L12</f>
        <v>21306.1841527478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11858.3784</v>
      </c>
      <c r="D15" s="0" t="n">
        <f aca="false">D13-MAX(0,D13)*D14/100</f>
        <v>12988.8317064</v>
      </c>
      <c r="E15" s="0" t="n">
        <f aca="false">E13-MAX(0,E13)*E14/100</f>
        <v>14095.351761084</v>
      </c>
      <c r="F15" s="0" t="n">
        <f aca="false">F13-MAX(0,F13)*F14/100</f>
        <v>15167.2367750061</v>
      </c>
      <c r="G15" s="0" t="n">
        <f aca="false">G13-MAX(0,G13)*G14/100</f>
        <v>16305.1216512543</v>
      </c>
      <c r="H15" s="0" t="n">
        <f aca="false">H13-MAX(0,H13)*H14/100</f>
        <v>17412.4097633918</v>
      </c>
      <c r="I15" s="0" t="n">
        <f aca="false">I13-MAX(0,I13)*I14/100</f>
        <v>18370.0923003783</v>
      </c>
      <c r="J15" s="0" t="n">
        <f aca="false">J13-MAX(0,J13)*J14/100</f>
        <v>19325.337099998</v>
      </c>
      <c r="K15" s="0" t="n">
        <f aca="false">K13-MAX(0,K13)*K14/100</f>
        <v>20291.6039549979</v>
      </c>
      <c r="L15" s="0" t="n">
        <f aca="false">L13-MAX(0,L13)*L14/100</f>
        <v>21306.1841527478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-3401.3100528</v>
      </c>
      <c r="D17" s="4" t="n">
        <f aca="false">-D6*Assumptions!D32/100</f>
        <v>-3869.4371686872</v>
      </c>
      <c r="E17" s="4" t="n">
        <f aca="false">-E6*Assumptions!E32/100</f>
        <v>-3873.50904395917</v>
      </c>
      <c r="F17" s="4" t="n">
        <f aca="false">-F6*Assumptions!F32/100</f>
        <v>-3844.66644371556</v>
      </c>
      <c r="G17" s="4" t="n">
        <f aca="false">-G6*Assumptions!G32/100</f>
        <v>-4218.0984671758</v>
      </c>
      <c r="H17" s="4" t="n">
        <f aca="false">-H6*Assumptions!H32/100</f>
        <v>-4223.15427168781</v>
      </c>
      <c r="I17" s="4" t="n">
        <f aca="false">-I6*Assumptions!I32/100</f>
        <v>-3742.05583896595</v>
      </c>
      <c r="J17" s="4" t="n">
        <f aca="false">-J6*Assumptions!J32/100</f>
        <v>-3792.13216627775</v>
      </c>
      <c r="K17" s="4" t="n">
        <f aca="false">-K6*Assumptions!K32/100</f>
        <v>-3902.22574872354</v>
      </c>
      <c r="L17" s="4" t="n">
        <f aca="false">-L6*Assumptions!L32/100</f>
        <v>-4097.33703615971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8457.0683472</v>
      </c>
      <c r="D19" s="0" t="n">
        <f aca="false">D15+D16+D17+D18</f>
        <v>9119.3945377128</v>
      </c>
      <c r="E19" s="0" t="n">
        <f aca="false">E15+E16+E17+E18</f>
        <v>10221.8427171248</v>
      </c>
      <c r="F19" s="0" t="n">
        <f aca="false">F15+F16+F17+F18</f>
        <v>11322.5703312906</v>
      </c>
      <c r="G19" s="0" t="n">
        <f aca="false">G15+G16+G17+G18</f>
        <v>12087.0231840785</v>
      </c>
      <c r="H19" s="0" t="n">
        <f aca="false">H15+H16+H17+H18</f>
        <v>13189.2554917039</v>
      </c>
      <c r="I19" s="0" t="n">
        <f aca="false">I15+I16+I17+I18</f>
        <v>14628.0364614124</v>
      </c>
      <c r="J19" s="0" t="n">
        <f aca="false">J15+J16+J17+J18</f>
        <v>15533.2049337202</v>
      </c>
      <c r="K19" s="0" t="n">
        <f aca="false">K15+K16+K17+K18</f>
        <v>16389.3782062743</v>
      </c>
      <c r="L19" s="0" t="n">
        <f aca="false">L15+L16+L17+L18</f>
        <v>17208.8471165881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7653.45551782806</v>
      </c>
      <c r="D21" s="0" t="n">
        <f aca="false">D19*D20</f>
        <v>7468.63867464859</v>
      </c>
      <c r="E21" s="0" t="n">
        <f aca="false">E19*E20</f>
        <v>7576.04176457327</v>
      </c>
      <c r="F21" s="0" t="n">
        <f aca="false">F19*F20</f>
        <v>7594.44279155968</v>
      </c>
      <c r="G21" s="0" t="n">
        <f aca="false">G19*G20</f>
        <v>7336.82170129324</v>
      </c>
      <c r="H21" s="0" t="n">
        <f aca="false">H19*H20</f>
        <v>7245.13718276754</v>
      </c>
      <c r="I21" s="0" t="n">
        <f aca="false">I19*I20</f>
        <v>7271.93666986445</v>
      </c>
      <c r="J21" s="0" t="n">
        <f aca="false">J19*J20</f>
        <v>6988.16012717455</v>
      </c>
      <c r="K21" s="0" t="n">
        <f aca="false">K19*K20</f>
        <v>6672.70576724546</v>
      </c>
      <c r="L21" s="0" t="n">
        <f aca="false">L19*L20</f>
        <v>6340.58014082148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72147.9203377763</v>
      </c>
    </row>
    <row r="31" customFormat="false" ht="15" hidden="false" customHeight="false" outlineLevel="0" collapsed="false">
      <c r="A31" s="0" t="s">
        <v>137</v>
      </c>
      <c r="B31" s="0" t="n">
        <f aca="false">L19</f>
        <v>17208.8471165881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236334.833734476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275341.553865409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236334.833734476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87077.300600615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159225.220938391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159225.220938391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234.499589010886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-0.240831399492099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234.499589010886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147709.271084048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140.142751594935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11.5</v>
      </c>
      <c r="D5" s="4" t="n">
        <f aca="false">Assumptions!D41</f>
        <v>10.5</v>
      </c>
      <c r="E5" s="4" t="n">
        <f aca="false">Assumptions!E41</f>
        <v>9.5</v>
      </c>
      <c r="F5" s="4" t="n">
        <f aca="false">Assumptions!F41</f>
        <v>9</v>
      </c>
      <c r="G5" s="4" t="n">
        <f aca="false">Assumptions!G41</f>
        <v>8.5</v>
      </c>
      <c r="H5" s="4" t="n">
        <f aca="false">Assumptions!H41</f>
        <v>7.5</v>
      </c>
      <c r="I5" s="4" t="n">
        <f aca="false">Assumptions!I41</f>
        <v>7</v>
      </c>
      <c r="J5" s="4" t="n">
        <f aca="false">Assumptions!J41</f>
        <v>6.5</v>
      </c>
      <c r="K5" s="4" t="n">
        <f aca="false">Assumptions!K41</f>
        <v>6</v>
      </c>
      <c r="L5" s="4" t="n">
        <f aca="false">Assumptions!L41</f>
        <v>5.8</v>
      </c>
    </row>
    <row r="6" customFormat="false" ht="15" hidden="false" customHeight="false" outlineLevel="0" collapsed="false">
      <c r="A6" s="0" t="s">
        <v>37</v>
      </c>
      <c r="B6" s="3" t="n">
        <v>41304</v>
      </c>
      <c r="C6" s="0" t="n">
        <f aca="false">B6*(1+C5/100)</f>
        <v>46053.96</v>
      </c>
      <c r="D6" s="0" t="n">
        <f aca="false">C6*(1+D5/100)</f>
        <v>50889.6258</v>
      </c>
      <c r="E6" s="0" t="n">
        <f aca="false">D6*(1+E5/100)</f>
        <v>55724.140251</v>
      </c>
      <c r="F6" s="0" t="n">
        <f aca="false">E6*(1+F5/100)</f>
        <v>60739.31287359</v>
      </c>
      <c r="G6" s="0" t="n">
        <f aca="false">F6*(1+G5/100)</f>
        <v>65902.1544678452</v>
      </c>
      <c r="H6" s="0" t="n">
        <f aca="false">G6*(1+H5/100)</f>
        <v>70844.8160529335</v>
      </c>
      <c r="I6" s="0" t="n">
        <f aca="false">H6*(1+I5/100)</f>
        <v>75803.9531766389</v>
      </c>
      <c r="J6" s="0" t="n">
        <f aca="false">I6*(1+J5/100)</f>
        <v>80731.2101331204</v>
      </c>
      <c r="K6" s="0" t="n">
        <f aca="false">J6*(1+K5/100)</f>
        <v>85575.0827411076</v>
      </c>
      <c r="L6" s="0" t="n">
        <f aca="false">K6*(1+L5/100)</f>
        <v>90538.4375400919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26.3</v>
      </c>
      <c r="D7" s="4" t="n">
        <f aca="false">Assumptions!D42</f>
        <v>26.7</v>
      </c>
      <c r="E7" s="4" t="n">
        <f aca="false">Assumptions!E42</f>
        <v>27</v>
      </c>
      <c r="F7" s="4" t="n">
        <f aca="false">Assumptions!F42</f>
        <v>27.3</v>
      </c>
      <c r="G7" s="4" t="n">
        <f aca="false">Assumptions!G42</f>
        <v>27.6</v>
      </c>
      <c r="H7" s="4" t="n">
        <f aca="false">Assumptions!H42</f>
        <v>27.9</v>
      </c>
      <c r="I7" s="4" t="n">
        <f aca="false">Assumptions!I42</f>
        <v>28.1</v>
      </c>
      <c r="J7" s="4" t="n">
        <f aca="false">Assumptions!J42</f>
        <v>28.2</v>
      </c>
      <c r="K7" s="4" t="n">
        <f aca="false">Assumptions!K42</f>
        <v>28.2</v>
      </c>
      <c r="L7" s="4" t="n">
        <f aca="false">Assumptions!L42</f>
        <v>28.2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12112.19148</v>
      </c>
      <c r="D8" s="0" t="n">
        <f aca="false">D6*D7/100</f>
        <v>13587.5300886</v>
      </c>
      <c r="E8" s="0" t="n">
        <f aca="false">E6*E7/100</f>
        <v>15045.51786777</v>
      </c>
      <c r="F8" s="0" t="n">
        <f aca="false">F6*F7/100</f>
        <v>16581.8324144901</v>
      </c>
      <c r="G8" s="0" t="n">
        <f aca="false">G6*G7/100</f>
        <v>18188.9946331253</v>
      </c>
      <c r="H8" s="0" t="n">
        <f aca="false">H6*H7/100</f>
        <v>19765.7036787685</v>
      </c>
      <c r="I8" s="0" t="n">
        <f aca="false">I6*I7/100</f>
        <v>21300.9108426355</v>
      </c>
      <c r="J8" s="0" t="n">
        <f aca="false">J6*J7/100</f>
        <v>22766.20125754</v>
      </c>
      <c r="K8" s="0" t="n">
        <f aca="false">K6*K7/100</f>
        <v>24132.1733329923</v>
      </c>
      <c r="L8" s="0" t="n">
        <f aca="false">L6*L7/100</f>
        <v>25531.8393863059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12112.19148</v>
      </c>
      <c r="D11" s="0" t="n">
        <f aca="false">D8+D10+D24</f>
        <v>13587.5300886</v>
      </c>
      <c r="E11" s="0" t="n">
        <f aca="false">E8+E10+E24</f>
        <v>15045.51786777</v>
      </c>
      <c r="F11" s="0" t="n">
        <f aca="false">F8+F10+F24</f>
        <v>16581.8324144901</v>
      </c>
      <c r="G11" s="0" t="n">
        <f aca="false">G8+G10+G24</f>
        <v>18188.9946331253</v>
      </c>
      <c r="H11" s="0" t="n">
        <f aca="false">H8+H10+H24</f>
        <v>19765.7036787685</v>
      </c>
      <c r="I11" s="0" t="n">
        <f aca="false">I8+I10+I24</f>
        <v>21300.9108426355</v>
      </c>
      <c r="J11" s="0" t="n">
        <f aca="false">J8+J10+J24</f>
        <v>22766.20125754</v>
      </c>
      <c r="K11" s="0" t="n">
        <f aca="false">K8+K10+K24</f>
        <v>24132.1733329923</v>
      </c>
      <c r="L11" s="0" t="n">
        <f aca="false">L8+L10+L24</f>
        <v>25531.8393863059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12112.19148</v>
      </c>
      <c r="D13" s="0" t="n">
        <f aca="false">D11+D12</f>
        <v>13587.5300886</v>
      </c>
      <c r="E13" s="0" t="n">
        <f aca="false">E11+E12</f>
        <v>15045.51786777</v>
      </c>
      <c r="F13" s="0" t="n">
        <f aca="false">F11+F12</f>
        <v>16581.8324144901</v>
      </c>
      <c r="G13" s="0" t="n">
        <f aca="false">G11+G12</f>
        <v>18188.9946331253</v>
      </c>
      <c r="H13" s="0" t="n">
        <f aca="false">H11+H12</f>
        <v>19765.7036787685</v>
      </c>
      <c r="I13" s="0" t="n">
        <f aca="false">I11+I12</f>
        <v>21300.9108426355</v>
      </c>
      <c r="J13" s="0" t="n">
        <f aca="false">J11+J12</f>
        <v>22766.20125754</v>
      </c>
      <c r="K13" s="0" t="n">
        <f aca="false">K11+K12</f>
        <v>24132.1733329923</v>
      </c>
      <c r="L13" s="0" t="n">
        <f aca="false">L11+L12</f>
        <v>25531.8393863059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12112.19148</v>
      </c>
      <c r="D15" s="0" t="n">
        <f aca="false">D13-MAX(0,D13)*D14/100</f>
        <v>13587.5300886</v>
      </c>
      <c r="E15" s="0" t="n">
        <f aca="false">E13-MAX(0,E13)*E14/100</f>
        <v>15045.51786777</v>
      </c>
      <c r="F15" s="0" t="n">
        <f aca="false">F13-MAX(0,F13)*F14/100</f>
        <v>16581.8324144901</v>
      </c>
      <c r="G15" s="0" t="n">
        <f aca="false">G13-MAX(0,G13)*G14/100</f>
        <v>18188.9946331253</v>
      </c>
      <c r="H15" s="0" t="n">
        <f aca="false">H13-MAX(0,H13)*H14/100</f>
        <v>19765.7036787685</v>
      </c>
      <c r="I15" s="0" t="n">
        <f aca="false">I13-MAX(0,I13)*I14/100</f>
        <v>21300.9108426355</v>
      </c>
      <c r="J15" s="0" t="n">
        <f aca="false">J13-MAX(0,J13)*J14/100</f>
        <v>22766.20125754</v>
      </c>
      <c r="K15" s="0" t="n">
        <f aca="false">K13-MAX(0,K13)*K14/100</f>
        <v>24132.1733329923</v>
      </c>
      <c r="L15" s="0" t="n">
        <f aca="false">L13-MAX(0,L13)*L14/100</f>
        <v>25531.8393863059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-4206.61476036</v>
      </c>
      <c r="D17" s="4" t="n">
        <f aca="false">-D6*Assumptions!D46/100</f>
        <v>-4940.4157622898</v>
      </c>
      <c r="E17" s="4" t="n">
        <f aca="false">-E6*Assumptions!E46/100</f>
        <v>-4892.24516919629</v>
      </c>
      <c r="F17" s="4" t="n">
        <f aca="false">-F6*Assumptions!F46/100</f>
        <v>-5291.24450166992</v>
      </c>
      <c r="G17" s="4" t="n">
        <f aca="false">-G6*Assumptions!G46/100</f>
        <v>-5686.89461549376</v>
      </c>
      <c r="H17" s="4" t="n">
        <f aca="false">-H6*Assumptions!H46/100</f>
        <v>-5711.29653573934</v>
      </c>
      <c r="I17" s="4" t="n">
        <f aca="false">-I6*Assumptions!I46/100</f>
        <v>-5705.00551607384</v>
      </c>
      <c r="J17" s="4" t="n">
        <f aca="false">-J6*Assumptions!J46/100</f>
        <v>-5593.13896923272</v>
      </c>
      <c r="K17" s="4" t="n">
        <f aca="false">-K6*Assumptions!K46/100</f>
        <v>-5265.17811581213</v>
      </c>
      <c r="L17" s="4" t="n">
        <f aca="false">-L6*Assumptions!L46/100</f>
        <v>-5484.63746930369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7905.57671964</v>
      </c>
      <c r="D19" s="0" t="n">
        <f aca="false">D15+D16+D17+D18</f>
        <v>8647.1143263102</v>
      </c>
      <c r="E19" s="0" t="n">
        <f aca="false">E15+E16+E17+E18</f>
        <v>10153.2726985737</v>
      </c>
      <c r="F19" s="0" t="n">
        <f aca="false">F15+F16+F17+F18</f>
        <v>11290.5879128201</v>
      </c>
      <c r="G19" s="0" t="n">
        <f aca="false">G15+G16+G17+G18</f>
        <v>12502.1000176315</v>
      </c>
      <c r="H19" s="0" t="n">
        <f aca="false">H15+H16+H17+H18</f>
        <v>14054.4071430291</v>
      </c>
      <c r="I19" s="0" t="n">
        <f aca="false">I15+I16+I17+I18</f>
        <v>15595.9053265617</v>
      </c>
      <c r="J19" s="0" t="n">
        <f aca="false">J15+J16+J17+J18</f>
        <v>17173.0622883072</v>
      </c>
      <c r="K19" s="0" t="n">
        <f aca="false">K15+K16+K17+K18</f>
        <v>18866.9952171802</v>
      </c>
      <c r="L19" s="0" t="n">
        <f aca="false">L15+L16+L17+L18</f>
        <v>20047.2019170022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7219.70476679452</v>
      </c>
      <c r="D21" s="0" t="n">
        <f aca="false">D19*D20</f>
        <v>7211.78818315731</v>
      </c>
      <c r="E21" s="0" t="n">
        <f aca="false">E19*E20</f>
        <v>7733.27925482354</v>
      </c>
      <c r="F21" s="0" t="n">
        <f aca="false">F19*F20</f>
        <v>7853.44271047478</v>
      </c>
      <c r="G21" s="0" t="n">
        <f aca="false">G19*G20</f>
        <v>7941.67980532038</v>
      </c>
      <c r="H21" s="0" t="n">
        <f aca="false">H19*H20</f>
        <v>8153.19473642658</v>
      </c>
      <c r="I21" s="0" t="n">
        <f aca="false">I19*I20</f>
        <v>8262.50539275556</v>
      </c>
      <c r="J21" s="0" t="n">
        <f aca="false">J19*J20</f>
        <v>8308.73278080403</v>
      </c>
      <c r="K21" s="0" t="n">
        <f aca="false">K19*K20</f>
        <v>8336.34475324882</v>
      </c>
      <c r="L21" s="0" t="n">
        <f aca="false">L19*L20</f>
        <v>8089.33037794059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19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79110.0027617461</v>
      </c>
    </row>
    <row r="31" customFormat="false" ht="15" hidden="false" customHeight="false" outlineLevel="0" collapsed="false">
      <c r="A31" s="0" t="s">
        <v>137</v>
      </c>
      <c r="B31" s="0" t="n">
        <f aca="false">L19</f>
        <v>20047.2019170022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345814.233068288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380896.836423042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345814.233068288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139540.949019475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218650.951781221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218650.951781221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322.019074788249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0.0425040460625117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322.019074788249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180424.81725302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154.977741113572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134.364298835736</v>
      </c>
      <c r="C4" s="0" t="n">
        <f aca="false">B4/Assumptions!$B$2-1</f>
        <v>-0.565009230354703</v>
      </c>
      <c r="D4" s="4" t="n">
        <f aca="false">Assumptions!$B$24</f>
        <v>0.25</v>
      </c>
      <c r="E4" s="4" t="n">
        <f aca="false">DCF_Bear!$B$43</f>
        <v>134.364298835736</v>
      </c>
      <c r="F4" s="4" t="n">
        <f aca="false">DCF_Bear!$B$47</f>
        <v>103.615065068063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234.499589010886</v>
      </c>
      <c r="C5" s="0" t="n">
        <f aca="false">B5/Assumptions!$B$2-1</f>
        <v>-0.240831399492099</v>
      </c>
      <c r="D5" s="4" t="n">
        <f aca="false">Assumptions!$B$38</f>
        <v>0.5</v>
      </c>
      <c r="E5" s="4" t="n">
        <f aca="false">DCF_Base!$B$43</f>
        <v>234.499589010886</v>
      </c>
      <c r="F5" s="4" t="n">
        <f aca="false">DCF_Base!$B$47</f>
        <v>140.142751594935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322.019074788249</v>
      </c>
      <c r="C6" s="0" t="n">
        <f aca="false">B6/Assumptions!$B$2-1</f>
        <v>0.0425040460625117</v>
      </c>
      <c r="D6" s="4" t="n">
        <f aca="false">Assumptions!$B$52</f>
        <v>0.25</v>
      </c>
      <c r="E6" s="4" t="n">
        <f aca="false">DCF_Bull!$B$43</f>
        <v>322.019074788249</v>
      </c>
      <c r="F6" s="4" t="n">
        <f aca="false">DCF_Bull!$B$47</f>
        <v>154.977741113572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231.345637911439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231.345637911439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-0.33518834756783</v>
      </c>
    </row>
    <row r="11" customFormat="false" ht="15" hidden="false" customHeight="false" outlineLevel="0" collapsed="false">
      <c r="A11" s="0" t="s">
        <v>164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134.719577342876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285.698063393382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252.65433755414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234.499589010886</v>
      </c>
      <c r="C17" s="3" t="n">
        <v>10.5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218.649144393238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192.320558095842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140.142751594935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293.228008589468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296.677072638077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296.677072638077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296.677072638077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296.677072638077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250.675740518051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261.340857670903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273.64676207804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275.220119719135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275.220119719135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218.313522868386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225.900741372683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234.499589010886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244.326843454546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255.665983197231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192.911917539202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198.47623737524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204.695183074341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211.691496985829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219.620652752183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172.472627904073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176.653722614135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181.274932556834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186.409610270944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192.148367716127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2026-09-25T22:51:14Z</dcterms:created>
  <dc:creator>openpyxl</dc:creator>
  <dc:description/>
  <dc:language>en-NZ</dc:language>
  <cp:lastModifiedBy/>
  <dcterms:modified xsi:type="dcterms:W3CDTF">2026-09-25T22:51:14Z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