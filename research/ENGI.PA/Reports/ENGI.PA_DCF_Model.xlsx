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<sst xmlns="http://schemas.openxmlformats.org/spreadsheetml/2006/main" count="363" uniqueCount="166">
  <si>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</si>
  <si>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ENGI.PA</t>
  </si>
  <si>
    <t xml:space="preserve">Company</t>
  </si>
  <si>
    <t xml:space="preserve">Engie SA</t>
  </si>
  <si>
    <t xml:space="preserve">Valuation date</t>
  </si>
  <si>
    <t xml:space="preserve">2026-10-26</t>
  </si>
  <si>
    <t xml:space="preserve">Current price</t>
  </si>
  <si>
    <t xml:space="preserve">Price as of</t>
  </si>
  <si>
    <t xml:space="preserve">2026-10-23T15:35:27Z regular close (Euronext Paris, Friday)</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</si>
  <si>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</si>
  <si>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</si>
  <si>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</si>
  <si>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</si>
  <si>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</si>
  <si>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</si>
  <si>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</si>
  <si>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</si>
  <si>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</si>
  <si>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</si>
  <si>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</si>
  <si>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</si>
  <si>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2026-10-25T13:18:08Z</t>
  </si>
  <si>
    <t xml:space="preserve">Drivers file</t>
  </si>
  <si>
    <t xml:space="preserve">ENGI.PA_Drivers.json</t>
  </si>
  <si>
    <t xml:space="preserve">Convention</t>
  </si>
  <si>
    <t xml:space="preserve">Percents stored as percents; formulas divide by 100. Blue = input, green = link, black = formula.</t>
  </si>
  <si>
    <t xml:space="preserve">Methodology</t>
  </si>
  <si>
    <t xml:space="preserve">summary: House basis: unlevered owner FCF (SBC expensed, flat share count) on a NORMALIZED FY2025 base that strips the EUR 15.9bn Belgian nuclear payment from working capital, projected from components anchored to Engie's own FY2026-28 EBIT/EBITDA/capex guidance, discounted at a EUR-built 6.0% WACC. Every claim ahead of common is deducted once: net financial debt (incl. leases), nuclear/dismantling/pension provisions net of plan assets, hybrid notes at nominal, and NCI at book. Growth capex is charged in full in the explicit years with the matching EBITDA uplift, then faded so terminal reinvestment matches terminal growth; the terminal cap is set relative to the 6% Gordon value rather than the 10%-WACC house default, and no multiple expansion versus today's ~26x EV/normalized-FCF is assumed.
key_risks_to_valuation: Capex-return assumption: the EUR 34-38bn 2026-28 plan is charged in full; if it earns less than the ~7% pre-tax return embedded in the margin path (US renewables delays, grid-equipment inflation, regulatory disallowances) the value falls roughly EUR 1.5/share per 0.5pp of terminal margin; Terminal cap sensitivity: at 6% WACC the cap (18-24x) binds in every scenario; each 2x of cap is worth ~EUR 3-4/share; Leverage: net financial debt EUR 54.9bn and economic net debt EUR 60.3bn (4.2x EBITDA) against ~EUR 58bn market cap; a 50bp move in WACC is worth ~EUR 5/share; Regulatory resets (ATRD7 France, RIIO-ED3 UK from 2028) and political price intervention on B2C supply; Belgian nuclear: ONDRAF/CPN dismantling-cost revision could raise the EUR 5.4bn net provision bridge item; the 50/50 JV framework for Tihange 3/Doel 4 depends on Belgian policy stability; FX translation (GBP, BRL, USD) on ~40% of EBIT post-UKPN; The FY2025 FCF base is normalized by judgment; a reader using the as-filed EUR -8.7bn would reach a meaningless value</t>
  </si>
  <si>
    <t xml:space="preserve">Data sources</t>
  </si>
  <si>
    <t xml:space="preserve">price: Yahoo Finance chart API at inputs.price_as_of; 52-week range 19.46-29.89 EUR
financials: ENGI.PA_Metrics.csv (FY2015-FY2025, H1 FY2013-H1 FY2026) derived from the Universal Registration Documents and half-year reports; FY2025 URD cash flow statement and Notes 5.5/5.6/14.3; H1 FY2026 financial report Notes 2.1, 3.7, 3.8 and equity note (hybrids, share count); FY2025 and H1 FY2026 results presentations (guidance, capex plan, UKPN financing)
qualitative: ENGI.PA_Analysis.json (2026-10-26)</t>
  </si>
  <si>
    <t xml:space="preserve">Scenario narrative: bear</t>
  </si>
  <si>
    <t xml:space="preserve">Merchant and trading earnings keep normalizing below the plan (energy-management EBIT was already -52% organic in 2025), hydro/weather is unfavourable, and French and UK regulators reset allowed returns lower at ATRD7/RIIO-ED3 under household-bill pressure. UKPN integration and the EUR 4bn disposal programme slip, so leverage stays above 4x and the rating is pressured; growth capex earns weaker returns, leaving margins stuck ~21.5%. The ONDRAF/CPN dismantling-cost dispute is resolved against Engie, raising the provision deducted in the bridge. Terminal 1.5% growth, 20x exit.</t>
  </si>
  <si>
    <t xml:space="preserve">Scenario narrative: base</t>
  </si>
  <si>
    <t xml:space="preserve">Engie executes the 2026-28 plan roughly at the guidance midpoints: EBIT ex-nuclear rises from ~EUR 9.7bn (FY2026, UKPN from May) to ~EUR 10.8bn by FY2028 as French network tariffs (ATRD7, 5.87% gas-distribution equalization from July 2026), UKPN's full-year contribution and ~6 GW/yr of renewables/BESS additions outweigh the normalization of energy-management and gas-generation spreads. The EUR 34-38bn capex plan is charged in full, so owner FCF stays thin (EUR 2.3-3.6bn) through FY2029 while the RAB and contracted fleet grow, then widens to ~EUR 8bn by FY2035 as the build-out cadence normalizes relative to a larger revenue base. Leverage holds at or below the 4.0x economic net debt/EBITDA ceiling via EUR 4bn of disposals; no further equity. The axes that matter: (1) regulated-return resets in France and the UK, (2) the pace at which merchant/trading earnings normalize, (3) whether the growth capex earns the ~7% pre-tax return the margin path assumes, (4) Belgian nuclear provision outcomes, which sit in the bridge.</t>
  </si>
  <si>
    <t xml:space="preserve">Scenario narrative: bull</t>
  </si>
  <si>
    <t xml:space="preserve">Regulated mix shift pays off faster: UKPN accretive from year one, RIIO-ED3 (from April 2028) lands near ED2 returns, French CRE tariff periods hold allowed returns with higher rates, and data-centre PPAs (3-4 GW by 2030) plus LatAm transmission lift contracted EBITDA. Guidance is met at the top end (EBIT ex-nuclear EUR 11.3bn FY2028), the performance plan keeps delivering, DBSO and tax-equity recycling trims net capex from FY2028, and the market re-rates Engie toward network-peer multiples. Terminal 2.5% growth and a 24x FCF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</si>
  <si>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</si>
  <si>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</si>
  <si>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</si>
  <si>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</si>
  <si>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</si>
  <si>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</si>
  <si>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</si>
  <si>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</si>
  <si>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</si>
  <si>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</si>
  <si>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</si>
  <si>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</si>
  <si>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</si>
  <si>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</si>
  <si>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</si>
  <si>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</si>
  <si>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</si>
  <si>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</si>
  <si>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</si>
  <si>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</si>
  <si>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</si>
  <si>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</si>
  <si>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</si>
  <si>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</si>
  <si>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</si>
  <si>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</si>
  <si>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</si>
  <si>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</si>
  <si>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</si>
  <si>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</si>
  <si>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</si>
  <si>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</si>
  <si>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</si>
  <si>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</si>
  <si>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</si>
  <si>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</si>
  <si>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</si>
  <si>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</si>
  <si>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</si>
  <si>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</si>
  <si>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</si>
  <si>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</si>
  <si>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</si>
  <si>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</si>
  <si>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</si>
  <si>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</si>
  <si>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</si>
  <si>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</si>
  <si>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</si>
  <si>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</si>
  <si>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</si>
  <si>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</si>
  <si>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</si>
  <si>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</si>
  <si>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</si>
  <si>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</si>
  <si>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</si>
  <si>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</si>
  <si>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</si>
  <si>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</si>
  <si>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</si>
  <si>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</si>
  <si>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</si>
  <si>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</si>
  <si>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</si>
  <si>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</si>
  <si>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</si>
  <si>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</si>
  <si>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</si>
  <si>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</si>
  <si>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</si>
  <si>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</si>
  <si>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</si>
  <si>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</si>
  <si>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</si>
  <si>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ENGI.PA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</si>
  <si>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</si>
  <si>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</si>
  <si>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</si>
  <si>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</si>
  <si>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</si>
  <si>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</si>
  <si>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</si>
  <si>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</si>
  <si>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</si>
  <si>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</si>
  <si>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</si>
  <si>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</si>
  <si>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</si>
  <si>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</si>
  <si>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</si>
  <si>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</si>
  <si>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</si>
  <si>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</si>
  <si>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</si>
  <si>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</si>
  <si>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</si>
  <si>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</si>
  <si>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</si>
  <si>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</si>
  <si>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</si>
  <si>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</si>
  <si>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</si>
  <si>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</si>
  <si>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</si>
  <si>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</si>
  <si>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ENGI.PA owner-FCF component DCF: base case (millions, EUR)</t>
  </si>
  <si>
    <t xml:space="preserve">ENGI.PA owner-FCF component DCF: bull case (millions, EUR)</t>
  </si>
  <si>
    <t xml:space="preserve">ENGI.PA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</si>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</sst>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22.81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69883</v>
      </c>
      <c r="F2" s="0" t="n">
        <v>-3242</v>
      </c>
      <c r="G2" s="0" t="n">
        <v>-4.6</v>
      </c>
      <c r="H2" s="0" t="n">
        <v>11274</v>
      </c>
      <c r="I2" s="0" t="n">
        <v>-4617</v>
      </c>
      <c r="J2" s="0" t="n">
        <v>-6.6</v>
      </c>
      <c r="K2" s="0" t="n">
        <v>-1.99</v>
      </c>
      <c r="L2" s="0" t="n">
        <v>10383</v>
      </c>
      <c r="M2" s="0" t="n">
        <v>6459</v>
      </c>
      <c r="N2" s="0" t="n">
        <v>3924</v>
      </c>
      <c r="O2" s="0" t="n">
        <v>43078</v>
      </c>
      <c r="P2" s="0" t="n">
        <v>160658</v>
      </c>
      <c r="Q2" s="0" t="n">
        <v>111908</v>
      </c>
      <c r="R2" s="0" t="n">
        <v>39155</v>
      </c>
      <c r="S2" s="0" t="n">
        <v>9183</v>
      </c>
      <c r="T2" s="0" t="n">
        <v>2403</v>
      </c>
      <c r="U2" s="0" t="n">
        <v>50</v>
      </c>
      <c r="AA2" s="0" t="s">
        <v>17</v>
      </c>
      <c r="AB2" s="0" t="s">
        <v>14</v>
      </c>
    </row>
    <row r="3" customFormat="false" ht="15" hidden="false" customHeight="false" outlineLevel="0" collapsed="false">
      <c r="A3" s="0" t="s">
        <v>64</v>
      </c>
      <c r="B3" s="0" t="n">
        <v>66639</v>
      </c>
      <c r="F3" s="0" t="n">
        <v>2452</v>
      </c>
      <c r="G3" s="0" t="n">
        <v>3.7</v>
      </c>
      <c r="H3" s="0" t="n">
        <v>10689</v>
      </c>
      <c r="I3" s="0" t="n">
        <v>-415</v>
      </c>
      <c r="J3" s="0" t="n">
        <v>-0.6</v>
      </c>
      <c r="K3" s="0" t="n">
        <v>-0.23</v>
      </c>
      <c r="L3" s="0" t="n">
        <v>10174</v>
      </c>
      <c r="M3" s="0" t="n">
        <v>6230</v>
      </c>
      <c r="N3" s="0" t="n">
        <v>3944</v>
      </c>
      <c r="O3" s="0" t="n">
        <v>39578</v>
      </c>
      <c r="P3" s="0" t="n">
        <v>158499</v>
      </c>
      <c r="Q3" s="0" t="n">
        <v>113052</v>
      </c>
      <c r="R3" s="0" t="n">
        <v>36950</v>
      </c>
      <c r="S3" s="0" t="n">
        <v>9825</v>
      </c>
      <c r="T3" s="0" t="n">
        <v>2405</v>
      </c>
      <c r="U3" s="0" t="n">
        <v>60</v>
      </c>
      <c r="AA3" s="0" t="s">
        <v>17</v>
      </c>
      <c r="AB3" s="0" t="s">
        <v>14</v>
      </c>
    </row>
    <row r="4" customFormat="false" ht="15" hidden="false" customHeight="false" outlineLevel="0" collapsed="false">
      <c r="A4" s="0" t="s">
        <v>65</v>
      </c>
      <c r="B4" s="0" t="n">
        <v>65029</v>
      </c>
      <c r="F4" s="0" t="n">
        <v>2819</v>
      </c>
      <c r="G4" s="0" t="n">
        <v>4.3</v>
      </c>
      <c r="H4" s="0" t="n">
        <v>9316</v>
      </c>
      <c r="I4" s="0" t="n">
        <v>1423</v>
      </c>
      <c r="J4" s="0" t="n">
        <v>2.2</v>
      </c>
      <c r="K4" s="0" t="n">
        <v>0.53</v>
      </c>
      <c r="L4" s="0" t="n">
        <v>9309</v>
      </c>
      <c r="M4" s="0" t="n">
        <v>5779</v>
      </c>
      <c r="N4" s="0" t="n">
        <v>3530</v>
      </c>
      <c r="O4" s="0" t="n">
        <v>36639</v>
      </c>
      <c r="P4" s="0" t="n">
        <v>150332</v>
      </c>
      <c r="Q4" s="0" t="n">
        <v>107755</v>
      </c>
      <c r="R4" s="0" t="n">
        <v>33468</v>
      </c>
      <c r="S4" s="0" t="n">
        <v>8931</v>
      </c>
      <c r="T4" s="0" t="n">
        <v>2405</v>
      </c>
      <c r="U4" s="0" t="n">
        <v>38</v>
      </c>
      <c r="AA4" s="0" t="s">
        <v>17</v>
      </c>
      <c r="AB4" s="0" t="s">
        <v>14</v>
      </c>
    </row>
    <row r="5" customFormat="false" ht="15" hidden="false" customHeight="false" outlineLevel="0" collapsed="false">
      <c r="A5" s="0" t="s">
        <v>66</v>
      </c>
      <c r="B5" s="0" t="n">
        <v>60596</v>
      </c>
      <c r="F5" s="0" t="n">
        <v>2645</v>
      </c>
      <c r="G5" s="0" t="n">
        <v>4.4</v>
      </c>
      <c r="H5" s="0" t="n">
        <v>9236</v>
      </c>
      <c r="I5" s="0" t="n">
        <v>1033</v>
      </c>
      <c r="J5" s="0" t="n">
        <v>1.7</v>
      </c>
      <c r="K5" s="0" t="n">
        <v>0.37</v>
      </c>
      <c r="L5" s="0" t="n">
        <v>7873</v>
      </c>
      <c r="M5" s="0" t="n">
        <v>6202</v>
      </c>
      <c r="N5" s="0" t="n">
        <v>1671</v>
      </c>
      <c r="O5" s="0" t="n">
        <v>35551</v>
      </c>
      <c r="P5" s="0" t="n">
        <v>153702</v>
      </c>
      <c r="Q5" s="0" t="n">
        <v>112761</v>
      </c>
      <c r="R5" s="0" t="n">
        <v>32179</v>
      </c>
      <c r="S5" s="0" t="n">
        <v>8700</v>
      </c>
      <c r="T5" s="0" t="n">
        <v>2407</v>
      </c>
      <c r="U5" s="0" t="n">
        <v>79</v>
      </c>
      <c r="AA5" s="0" t="s">
        <v>17</v>
      </c>
      <c r="AB5" s="0" t="s">
        <v>14</v>
      </c>
    </row>
    <row r="6" customFormat="false" ht="15" hidden="false" customHeight="false" outlineLevel="0" collapsed="false">
      <c r="A6" s="0" t="s">
        <v>67</v>
      </c>
      <c r="B6" s="0" t="n">
        <v>60058</v>
      </c>
      <c r="F6" s="0" t="n">
        <v>3676</v>
      </c>
      <c r="G6" s="0" t="n">
        <v>6.1</v>
      </c>
      <c r="H6" s="0" t="n">
        <v>10366</v>
      </c>
      <c r="I6" s="0" t="n">
        <v>984</v>
      </c>
      <c r="J6" s="0" t="n">
        <v>1.6</v>
      </c>
      <c r="K6" s="0" t="n">
        <v>0.34</v>
      </c>
      <c r="L6" s="0" t="n">
        <v>8178</v>
      </c>
      <c r="M6" s="0" t="n">
        <v>6524</v>
      </c>
      <c r="N6" s="0" t="n">
        <v>1654</v>
      </c>
      <c r="O6" s="0" t="n">
        <v>33087</v>
      </c>
      <c r="P6" s="0" t="n">
        <v>159793</v>
      </c>
      <c r="Q6" s="0" t="n">
        <v>121756</v>
      </c>
      <c r="R6" s="0" t="n">
        <v>38545</v>
      </c>
      <c r="S6" s="0" t="n">
        <v>10519</v>
      </c>
      <c r="T6" s="0" t="n">
        <v>2425</v>
      </c>
      <c r="U6" s="0" t="n">
        <v>51</v>
      </c>
      <c r="AA6" s="0" t="s">
        <v>17</v>
      </c>
      <c r="AB6" s="0" t="s">
        <v>14</v>
      </c>
    </row>
    <row r="7" customFormat="false" ht="15" hidden="false" customHeight="false" outlineLevel="0" collapsed="false">
      <c r="A7" s="0" t="s">
        <v>68</v>
      </c>
      <c r="B7" s="0" t="n">
        <v>55751</v>
      </c>
      <c r="F7" s="0" t="n">
        <v>1501</v>
      </c>
      <c r="G7" s="0" t="n">
        <v>2.7</v>
      </c>
      <c r="H7" s="0" t="n">
        <v>9276</v>
      </c>
      <c r="I7" s="0" t="n">
        <v>-1536</v>
      </c>
      <c r="J7" s="0" t="n">
        <v>-2.8</v>
      </c>
      <c r="K7" s="0" t="n">
        <v>-0.71</v>
      </c>
      <c r="L7" s="0" t="n">
        <v>7589</v>
      </c>
      <c r="M7" s="0" t="n">
        <v>5115</v>
      </c>
      <c r="N7" s="0" t="n">
        <v>2474</v>
      </c>
      <c r="O7" s="0" t="n">
        <v>28945</v>
      </c>
      <c r="P7" s="0" t="n">
        <v>153182</v>
      </c>
      <c r="Q7" s="0" t="n">
        <v>119326</v>
      </c>
      <c r="R7" s="0" t="n">
        <v>37938</v>
      </c>
      <c r="S7" s="0" t="n">
        <v>12980</v>
      </c>
      <c r="T7" s="0" t="n">
        <v>2427</v>
      </c>
      <c r="U7" s="0" t="n">
        <v>50</v>
      </c>
      <c r="AA7" s="0" t="s">
        <v>17</v>
      </c>
      <c r="AB7" s="0" t="s">
        <v>14</v>
      </c>
    </row>
    <row r="8" customFormat="false" ht="15" hidden="false" customHeight="false" outlineLevel="0" collapsed="false">
      <c r="A8" s="0" t="s">
        <v>69</v>
      </c>
      <c r="B8" s="0" t="n">
        <v>57866</v>
      </c>
      <c r="F8" s="0" t="n">
        <v>6722</v>
      </c>
      <c r="G8" s="0" t="n">
        <v>11.6</v>
      </c>
      <c r="H8" s="0" t="n">
        <v>10563</v>
      </c>
      <c r="I8" s="0" t="n">
        <v>3661</v>
      </c>
      <c r="J8" s="0" t="n">
        <v>6.3</v>
      </c>
      <c r="K8" s="0" t="n">
        <v>1.46</v>
      </c>
      <c r="L8" s="0" t="n">
        <v>7312</v>
      </c>
      <c r="M8" s="0" t="n">
        <v>5990</v>
      </c>
      <c r="N8" s="0" t="n">
        <v>1322</v>
      </c>
      <c r="O8" s="0" t="n">
        <v>36994</v>
      </c>
      <c r="P8" s="0" t="n">
        <v>225333</v>
      </c>
      <c r="Q8" s="0" t="n">
        <v>183353</v>
      </c>
      <c r="R8" s="0" t="n">
        <v>41048</v>
      </c>
      <c r="S8" s="0" t="n">
        <v>13890</v>
      </c>
      <c r="T8" s="0" t="n">
        <v>2431</v>
      </c>
      <c r="U8" s="0" t="n">
        <v>48</v>
      </c>
      <c r="AA8" s="0" t="s">
        <v>17</v>
      </c>
      <c r="AB8" s="0" t="s">
        <v>14</v>
      </c>
    </row>
    <row r="9" customFormat="false" ht="15" hidden="false" customHeight="false" outlineLevel="0" collapsed="false">
      <c r="A9" s="0" t="s">
        <v>70</v>
      </c>
      <c r="B9" s="0" t="n">
        <v>93865</v>
      </c>
      <c r="F9" s="0" t="n">
        <v>1127</v>
      </c>
      <c r="G9" s="0" t="n">
        <v>1.2</v>
      </c>
      <c r="H9" s="0" t="n">
        <v>13713</v>
      </c>
      <c r="I9" s="0" t="n">
        <v>216</v>
      </c>
      <c r="J9" s="0" t="n">
        <v>0.2</v>
      </c>
      <c r="K9" s="0" t="n">
        <v>0.06</v>
      </c>
      <c r="L9" s="0" t="n">
        <v>8586</v>
      </c>
      <c r="M9" s="0" t="n">
        <v>6379</v>
      </c>
      <c r="N9" s="0" t="n">
        <v>2207</v>
      </c>
      <c r="O9" s="0" t="n">
        <v>34253</v>
      </c>
      <c r="P9" s="0" t="n">
        <v>235490</v>
      </c>
      <c r="Q9" s="0" t="n">
        <v>196205</v>
      </c>
      <c r="R9" s="0" t="n">
        <v>40591</v>
      </c>
      <c r="S9" s="0" t="n">
        <v>15570</v>
      </c>
      <c r="T9" s="0" t="n">
        <v>2420</v>
      </c>
      <c r="U9" s="0" t="n">
        <v>92</v>
      </c>
      <c r="AA9" s="0" t="s">
        <v>17</v>
      </c>
      <c r="AB9" s="0" t="s">
        <v>14</v>
      </c>
    </row>
    <row r="10" customFormat="false" ht="15" hidden="false" customHeight="false" outlineLevel="0" collapsed="false">
      <c r="A10" s="0" t="s">
        <v>71</v>
      </c>
      <c r="B10" s="0" t="n">
        <v>82565</v>
      </c>
      <c r="F10" s="0" t="n">
        <v>6098</v>
      </c>
      <c r="G10" s="0" t="n">
        <v>7.4</v>
      </c>
      <c r="H10" s="0" t="n">
        <v>15017</v>
      </c>
      <c r="I10" s="0" t="n">
        <v>2208</v>
      </c>
      <c r="J10" s="0" t="n">
        <v>2.7</v>
      </c>
      <c r="K10" s="0" t="n">
        <v>0.87</v>
      </c>
      <c r="L10" s="0" t="n">
        <v>13117</v>
      </c>
      <c r="M10" s="0" t="n">
        <v>7328</v>
      </c>
      <c r="N10" s="0" t="n">
        <v>5789</v>
      </c>
      <c r="O10" s="0" t="n">
        <v>30057</v>
      </c>
      <c r="P10" s="0" t="n">
        <v>194640</v>
      </c>
      <c r="Q10" s="0" t="n">
        <v>158916</v>
      </c>
      <c r="R10" s="0" t="n">
        <v>47287</v>
      </c>
      <c r="S10" s="0" t="n">
        <v>16578</v>
      </c>
      <c r="T10" s="0" t="n">
        <v>2433</v>
      </c>
      <c r="U10" s="0" t="n">
        <v>47</v>
      </c>
      <c r="AA10" s="0" t="s">
        <v>17</v>
      </c>
      <c r="AB10" s="0" t="s">
        <v>14</v>
      </c>
    </row>
    <row r="11" customFormat="false" ht="15" hidden="false" customHeight="false" outlineLevel="0" collapsed="false">
      <c r="A11" s="0" t="s">
        <v>72</v>
      </c>
      <c r="B11" s="0" t="n">
        <v>73812</v>
      </c>
      <c r="F11" s="0" t="n">
        <v>9030</v>
      </c>
      <c r="G11" s="0" t="n">
        <v>12.2</v>
      </c>
      <c r="H11" s="0" t="n">
        <v>15566</v>
      </c>
      <c r="I11" s="0" t="n">
        <v>4106</v>
      </c>
      <c r="J11" s="0" t="n">
        <v>5.6</v>
      </c>
      <c r="K11" s="0" t="n">
        <v>1.65</v>
      </c>
      <c r="L11" s="0" t="n">
        <v>13144</v>
      </c>
      <c r="M11" s="0" t="n">
        <v>9385</v>
      </c>
      <c r="N11" s="0" t="n">
        <v>3759</v>
      </c>
      <c r="O11" s="0" t="n">
        <v>34556</v>
      </c>
      <c r="P11" s="0" t="n">
        <v>189544</v>
      </c>
      <c r="Q11" s="0" t="n">
        <v>148086</v>
      </c>
      <c r="R11" s="0" t="n">
        <v>52007</v>
      </c>
      <c r="S11" s="0" t="n">
        <v>16928</v>
      </c>
      <c r="T11" s="0" t="n">
        <v>2436</v>
      </c>
      <c r="U11" s="0" t="n">
        <v>97</v>
      </c>
      <c r="AA11" s="0" t="s">
        <v>17</v>
      </c>
      <c r="AB11" s="0" t="s">
        <v>14</v>
      </c>
    </row>
    <row r="12" customFormat="false" ht="15" hidden="false" customHeight="false" outlineLevel="0" collapsed="false">
      <c r="A12" s="0" t="s">
        <v>73</v>
      </c>
      <c r="B12" s="0" t="n">
        <v>71944</v>
      </c>
      <c r="F12" s="0" t="n">
        <v>8291</v>
      </c>
      <c r="G12" s="0" t="n">
        <v>11.5</v>
      </c>
      <c r="H12" s="0" t="n">
        <v>14733</v>
      </c>
      <c r="I12" s="0" t="n">
        <v>3827</v>
      </c>
      <c r="J12" s="0" t="n">
        <v>5.3</v>
      </c>
      <c r="K12" s="0" t="n">
        <v>1.51</v>
      </c>
      <c r="L12" s="0" t="n">
        <v>-1476</v>
      </c>
      <c r="M12" s="0" t="n">
        <v>7267</v>
      </c>
      <c r="N12" s="0" t="n">
        <v>-8743</v>
      </c>
      <c r="O12" s="0" t="n">
        <v>32951</v>
      </c>
      <c r="P12" s="0" t="n">
        <v>169249</v>
      </c>
      <c r="Q12" s="0" t="n">
        <v>128419</v>
      </c>
      <c r="R12" s="0" t="n">
        <v>54568</v>
      </c>
      <c r="S12" s="0" t="n">
        <v>14507</v>
      </c>
      <c r="T12" s="0" t="n">
        <v>2443</v>
      </c>
      <c r="U12" s="0" t="n">
        <v>111</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22.81</v>
      </c>
    </row>
    <row r="3" customFormat="false" ht="15" hidden="false" customHeight="false" outlineLevel="0" collapsed="false">
      <c r="A3" s="0" t="s">
        <v>77</v>
      </c>
      <c r="B3" s="3" t="n">
        <v>2549</v>
      </c>
    </row>
    <row r="4" customFormat="false" ht="15" hidden="false" customHeight="false" outlineLevel="0" collapsed="false">
      <c r="A4" s="0" t="s">
        <v>78</v>
      </c>
      <c r="B4" s="3" t="n">
        <v>54922</v>
      </c>
    </row>
    <row r="5" customFormat="false" ht="15" hidden="false" customHeight="false" outlineLevel="0" collapsed="false">
      <c r="A5" s="0" t="s">
        <v>79</v>
      </c>
      <c r="B5" s="3" t="n">
        <v>-20613</v>
      </c>
    </row>
    <row r="6" customFormat="false" ht="15" hidden="false" customHeight="false" outlineLevel="0" collapsed="false">
      <c r="A6" s="0" t="s">
        <v>80</v>
      </c>
      <c r="B6" s="3" t="n">
        <v>15</v>
      </c>
    </row>
    <row r="7" customFormat="false" ht="15" hidden="false" customHeight="false" outlineLevel="0" collapsed="false">
      <c r="A7" s="0" t="s">
        <v>81</v>
      </c>
      <c r="B7" s="3" t="n">
        <v>71944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-2.5</v>
      </c>
      <c r="D13" s="3" t="n">
        <v>2</v>
      </c>
      <c r="E13" s="3" t="n">
        <v>1</v>
      </c>
      <c r="F13" s="3" t="n">
        <v>1.5</v>
      </c>
      <c r="G13" s="3" t="n">
        <v>1.5</v>
      </c>
      <c r="H13" s="3" t="n">
        <v>1.5</v>
      </c>
      <c r="I13" s="3" t="n">
        <v>1.5</v>
      </c>
      <c r="J13" s="3" t="n">
        <v>1.5</v>
      </c>
      <c r="K13" s="3" t="n">
        <v>1.5</v>
      </c>
      <c r="L13" s="3" t="n">
        <v>1.5</v>
      </c>
    </row>
    <row r="14" customFormat="false" ht="15" hidden="false" customHeight="false" outlineLevel="0" collapsed="false">
      <c r="A14" s="0" t="s">
        <v>98</v>
      </c>
      <c r="C14" s="3" t="n">
        <v>20.3</v>
      </c>
      <c r="D14" s="3" t="n">
        <v>20.6</v>
      </c>
      <c r="E14" s="3" t="n">
        <v>20.8</v>
      </c>
      <c r="F14" s="3" t="n">
        <v>21</v>
      </c>
      <c r="G14" s="3" t="n">
        <v>21.2</v>
      </c>
      <c r="H14" s="3" t="n">
        <v>21.4</v>
      </c>
      <c r="I14" s="3" t="n">
        <v>21.5</v>
      </c>
      <c r="J14" s="3" t="n">
        <v>21.5</v>
      </c>
      <c r="K14" s="3" t="n">
        <v>21.5</v>
      </c>
      <c r="L14" s="3" t="n">
        <v>21.5</v>
      </c>
    </row>
    <row r="15" customFormat="false" ht="15" hidden="false" customHeight="false" outlineLevel="0" collapsed="false">
      <c r="A15" s="0" t="s">
        <v>99</v>
      </c>
      <c r="C15" s="3" t="n">
        <v>0.15</v>
      </c>
      <c r="D15" s="3" t="n">
        <v>0.15</v>
      </c>
      <c r="E15" s="3" t="n">
        <v>0.15</v>
      </c>
      <c r="F15" s="3" t="n">
        <v>0.15</v>
      </c>
      <c r="G15" s="3" t="n">
        <v>0.15</v>
      </c>
      <c r="H15" s="3" t="n">
        <v>0.15</v>
      </c>
      <c r="I15" s="3" t="n">
        <v>0.15</v>
      </c>
      <c r="J15" s="3" t="n">
        <v>0.15</v>
      </c>
      <c r="K15" s="3" t="n">
        <v>0.15</v>
      </c>
      <c r="L15" s="3" t="n">
        <v>0.15</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7.2</v>
      </c>
      <c r="D17" s="3" t="n">
        <v>7.5</v>
      </c>
      <c r="E17" s="3" t="n">
        <v>7.6</v>
      </c>
      <c r="F17" s="3" t="n">
        <v>7.7</v>
      </c>
      <c r="G17" s="3" t="n">
        <v>7.7</v>
      </c>
      <c r="H17" s="3" t="n">
        <v>7.7</v>
      </c>
      <c r="I17" s="3" t="n">
        <v>7.8</v>
      </c>
      <c r="J17" s="3" t="n">
        <v>7.8</v>
      </c>
      <c r="K17" s="3" t="n">
        <v>7.8</v>
      </c>
      <c r="L17" s="3" t="n">
        <v>7.8</v>
      </c>
    </row>
    <row r="18" customFormat="false" ht="15" hidden="false" customHeight="false" outlineLevel="0" collapsed="false">
      <c r="A18" s="0" t="s">
        <v>102</v>
      </c>
      <c r="C18" s="3" t="n">
        <v>14.9</v>
      </c>
      <c r="D18" s="3" t="n">
        <v>15.9</v>
      </c>
      <c r="E18" s="3" t="n">
        <v>15.9</v>
      </c>
      <c r="F18" s="3" t="n">
        <v>14.9</v>
      </c>
      <c r="G18" s="3" t="n">
        <v>13.9</v>
      </c>
      <c r="H18" s="3" t="n">
        <v>12.9</v>
      </c>
      <c r="I18" s="3" t="n">
        <v>12.4</v>
      </c>
      <c r="J18" s="3" t="n">
        <v>11.9</v>
      </c>
      <c r="K18" s="3" t="n">
        <v>11.4</v>
      </c>
      <c r="L18" s="3" t="n">
        <v>11.4</v>
      </c>
    </row>
    <row r="19" customFormat="false" ht="15" hidden="false" customHeight="false" outlineLevel="0" collapsed="false">
      <c r="A19" s="0" t="s">
        <v>103</v>
      </c>
      <c r="C19" s="3" t="n">
        <v>16</v>
      </c>
      <c r="D19" s="3" t="n">
        <v>18</v>
      </c>
      <c r="E19" s="3" t="n">
        <v>20</v>
      </c>
      <c r="F19" s="3" t="n">
        <v>21</v>
      </c>
      <c r="G19" s="3" t="n">
        <v>22</v>
      </c>
      <c r="H19" s="3" t="n">
        <v>22</v>
      </c>
      <c r="I19" s="3" t="n">
        <v>22</v>
      </c>
      <c r="J19" s="3" t="n">
        <v>22</v>
      </c>
      <c r="K19" s="3" t="n">
        <v>22</v>
      </c>
      <c r="L19" s="3" t="n">
        <v>22</v>
      </c>
    </row>
    <row r="20" customFormat="false" ht="15" hidden="false" customHeight="false" outlineLevel="0" collapsed="false">
      <c r="A20" s="0" t="s">
        <v>104</v>
      </c>
      <c r="B20" s="3" t="n">
        <v>6</v>
      </c>
    </row>
    <row r="21" customFormat="false" ht="15" hidden="false" customHeight="false" outlineLevel="0" collapsed="false">
      <c r="A21" s="0" t="s">
        <v>105</v>
      </c>
      <c r="B21" s="3" t="n">
        <v>1.5</v>
      </c>
    </row>
    <row r="22" customFormat="false" ht="15" hidden="false" customHeight="false" outlineLevel="0" collapsed="false">
      <c r="A22" s="0" t="s">
        <v>106</v>
      </c>
      <c r="B22" s="3" t="n">
        <v>20</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-1</v>
      </c>
      <c r="D27" s="3" t="n">
        <v>3.5</v>
      </c>
      <c r="E27" s="3" t="n">
        <v>2.5</v>
      </c>
      <c r="F27" s="3" t="n">
        <v>2.5</v>
      </c>
      <c r="G27" s="3" t="n">
        <v>2.5</v>
      </c>
      <c r="H27" s="3" t="n">
        <v>2.5</v>
      </c>
      <c r="I27" s="3" t="n">
        <v>2</v>
      </c>
      <c r="J27" s="3" t="n">
        <v>2</v>
      </c>
      <c r="K27" s="3" t="n">
        <v>2</v>
      </c>
      <c r="L27" s="3" t="n">
        <v>2</v>
      </c>
    </row>
    <row r="28" customFormat="false" ht="15" hidden="false" customHeight="false" outlineLevel="0" collapsed="false">
      <c r="A28" s="0" t="s">
        <v>98</v>
      </c>
      <c r="C28" s="3" t="n">
        <v>20.8</v>
      </c>
      <c r="D28" s="3" t="n">
        <v>21.4</v>
      </c>
      <c r="E28" s="3" t="n">
        <v>21.9</v>
      </c>
      <c r="F28" s="3" t="n">
        <v>22.4</v>
      </c>
      <c r="G28" s="3" t="n">
        <v>22.9</v>
      </c>
      <c r="H28" s="3" t="n">
        <v>23.3</v>
      </c>
      <c r="I28" s="3" t="n">
        <v>23.6</v>
      </c>
      <c r="J28" s="3" t="n">
        <v>23.8</v>
      </c>
      <c r="K28" s="3" t="n">
        <v>24</v>
      </c>
      <c r="L28" s="3" t="n">
        <v>24</v>
      </c>
    </row>
    <row r="29" customFormat="false" ht="15" hidden="false" customHeight="false" outlineLevel="0" collapsed="false">
      <c r="A29" s="0" t="s">
        <v>99</v>
      </c>
      <c r="C29" s="3" t="n">
        <v>0.15</v>
      </c>
      <c r="D29" s="3" t="n">
        <v>0.15</v>
      </c>
      <c r="E29" s="3" t="n">
        <v>0.15</v>
      </c>
      <c r="F29" s="3" t="n">
        <v>0.15</v>
      </c>
      <c r="G29" s="3" t="n">
        <v>0.15</v>
      </c>
      <c r="H29" s="3" t="n">
        <v>0.15</v>
      </c>
      <c r="I29" s="3" t="n">
        <v>0.15</v>
      </c>
      <c r="J29" s="3" t="n">
        <v>0.15</v>
      </c>
      <c r="K29" s="3" t="n">
        <v>0.15</v>
      </c>
      <c r="L29" s="3" t="n">
        <v>0.15</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7.2</v>
      </c>
      <c r="D31" s="3" t="n">
        <v>7.5</v>
      </c>
      <c r="E31" s="3" t="n">
        <v>7.6</v>
      </c>
      <c r="F31" s="3" t="n">
        <v>7.7</v>
      </c>
      <c r="G31" s="3" t="n">
        <v>7.7</v>
      </c>
      <c r="H31" s="3" t="n">
        <v>7.7</v>
      </c>
      <c r="I31" s="3" t="n">
        <v>7.8</v>
      </c>
      <c r="J31" s="3" t="n">
        <v>7.8</v>
      </c>
      <c r="K31" s="3" t="n">
        <v>7.8</v>
      </c>
      <c r="L31" s="3" t="n">
        <v>7.8</v>
      </c>
    </row>
    <row r="32" customFormat="false" ht="15" hidden="false" customHeight="false" outlineLevel="0" collapsed="false">
      <c r="A32" s="0" t="s">
        <v>102</v>
      </c>
      <c r="C32" s="3" t="n">
        <v>14.9</v>
      </c>
      <c r="D32" s="3" t="n">
        <v>15.9</v>
      </c>
      <c r="E32" s="3" t="n">
        <v>15.9</v>
      </c>
      <c r="F32" s="3" t="n">
        <v>14.9</v>
      </c>
      <c r="G32" s="3" t="n">
        <v>13.9</v>
      </c>
      <c r="H32" s="3" t="n">
        <v>12.9</v>
      </c>
      <c r="I32" s="3" t="n">
        <v>12.4</v>
      </c>
      <c r="J32" s="3" t="n">
        <v>11.9</v>
      </c>
      <c r="K32" s="3" t="n">
        <v>11.4</v>
      </c>
      <c r="L32" s="3" t="n">
        <v>11.4</v>
      </c>
    </row>
    <row r="33" customFormat="false" ht="15" hidden="false" customHeight="false" outlineLevel="0" collapsed="false">
      <c r="A33" s="0" t="s">
        <v>103</v>
      </c>
      <c r="C33" s="3" t="n">
        <v>15</v>
      </c>
      <c r="D33" s="3" t="n">
        <v>17</v>
      </c>
      <c r="E33" s="3" t="n">
        <v>18</v>
      </c>
      <c r="F33" s="3" t="n">
        <v>19</v>
      </c>
      <c r="G33" s="3" t="n">
        <v>20</v>
      </c>
      <c r="H33" s="3" t="n">
        <v>20</v>
      </c>
      <c r="I33" s="3" t="n">
        <v>20</v>
      </c>
      <c r="J33" s="3" t="n">
        <v>20</v>
      </c>
      <c r="K33" s="3" t="n">
        <v>20</v>
      </c>
      <c r="L33" s="3" t="n">
        <v>20</v>
      </c>
    </row>
    <row r="34" customFormat="false" ht="15" hidden="false" customHeight="false" outlineLevel="0" collapsed="false">
      <c r="A34" s="0" t="s">
        <v>104</v>
      </c>
      <c r="B34" s="3" t="n">
        <v>6</v>
      </c>
    </row>
    <row r="35" customFormat="false" ht="15" hidden="false" customHeight="false" outlineLevel="0" collapsed="false">
      <c r="A35" s="0" t="s">
        <v>105</v>
      </c>
      <c r="B35" s="3" t="n">
        <v>2</v>
      </c>
    </row>
    <row r="36" customFormat="false" ht="15" hidden="false" customHeight="false" outlineLevel="0" collapsed="false">
      <c r="A36" s="0" t="s">
        <v>106</v>
      </c>
      <c r="B36" s="3" t="n">
        <v>22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-0.5</v>
      </c>
      <c r="D41" s="3" t="n">
        <v>4</v>
      </c>
      <c r="E41" s="3" t="n">
        <v>3</v>
      </c>
      <c r="F41" s="3" t="n">
        <v>3</v>
      </c>
      <c r="G41" s="3" t="n">
        <v>3</v>
      </c>
      <c r="H41" s="3" t="n">
        <v>3</v>
      </c>
      <c r="I41" s="3" t="n">
        <v>2.5</v>
      </c>
      <c r="J41" s="3" t="n">
        <v>2.5</v>
      </c>
      <c r="K41" s="3" t="n">
        <v>2.5</v>
      </c>
      <c r="L41" s="3" t="n">
        <v>2.5</v>
      </c>
    </row>
    <row r="42" customFormat="false" ht="15" hidden="false" customHeight="false" outlineLevel="0" collapsed="false">
      <c r="A42" s="0" t="s">
        <v>98</v>
      </c>
      <c r="C42" s="3" t="n">
        <v>21.3</v>
      </c>
      <c r="D42" s="3" t="n">
        <v>22</v>
      </c>
      <c r="E42" s="3" t="n">
        <v>22.6</v>
      </c>
      <c r="F42" s="3" t="n">
        <v>23.2</v>
      </c>
      <c r="G42" s="3" t="n">
        <v>23.8</v>
      </c>
      <c r="H42" s="3" t="n">
        <v>24.3</v>
      </c>
      <c r="I42" s="3" t="n">
        <v>24.7</v>
      </c>
      <c r="J42" s="3" t="n">
        <v>25</v>
      </c>
      <c r="K42" s="3" t="n">
        <v>25</v>
      </c>
      <c r="L42" s="3" t="n">
        <v>25</v>
      </c>
    </row>
    <row r="43" customFormat="false" ht="15" hidden="false" customHeight="false" outlineLevel="0" collapsed="false">
      <c r="A43" s="0" t="s">
        <v>99</v>
      </c>
      <c r="C43" s="3" t="n">
        <v>0.15</v>
      </c>
      <c r="D43" s="3" t="n">
        <v>0.15</v>
      </c>
      <c r="E43" s="3" t="n">
        <v>0.15</v>
      </c>
      <c r="F43" s="3" t="n">
        <v>0.15</v>
      </c>
      <c r="G43" s="3" t="n">
        <v>0.15</v>
      </c>
      <c r="H43" s="3" t="n">
        <v>0.15</v>
      </c>
      <c r="I43" s="3" t="n">
        <v>0.15</v>
      </c>
      <c r="J43" s="3" t="n">
        <v>0.15</v>
      </c>
      <c r="K43" s="3" t="n">
        <v>0.15</v>
      </c>
      <c r="L43" s="3" t="n">
        <v>0.15</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7.2</v>
      </c>
      <c r="D45" s="3" t="n">
        <v>7.5</v>
      </c>
      <c r="E45" s="3" t="n">
        <v>7.6</v>
      </c>
      <c r="F45" s="3" t="n">
        <v>7.7</v>
      </c>
      <c r="G45" s="3" t="n">
        <v>7.7</v>
      </c>
      <c r="H45" s="3" t="n">
        <v>7.7</v>
      </c>
      <c r="I45" s="3" t="n">
        <v>7.8</v>
      </c>
      <c r="J45" s="3" t="n">
        <v>7.8</v>
      </c>
      <c r="K45" s="3" t="n">
        <v>7.8</v>
      </c>
      <c r="L45" s="3" t="n">
        <v>7.8</v>
      </c>
    </row>
    <row r="46" customFormat="false" ht="15" hidden="false" customHeight="false" outlineLevel="0" collapsed="false">
      <c r="A46" s="0" t="s">
        <v>102</v>
      </c>
      <c r="C46" s="3" t="n">
        <v>14.9</v>
      </c>
      <c r="D46" s="3" t="n">
        <v>15.9</v>
      </c>
      <c r="E46" s="3" t="n">
        <v>15.4</v>
      </c>
      <c r="F46" s="3" t="n">
        <v>14.4</v>
      </c>
      <c r="G46" s="3" t="n">
        <v>13.4</v>
      </c>
      <c r="H46" s="3" t="n">
        <v>12.4</v>
      </c>
      <c r="I46" s="3" t="n">
        <v>11.9</v>
      </c>
      <c r="J46" s="3" t="n">
        <v>11.4</v>
      </c>
      <c r="K46" s="3" t="n">
        <v>10.9</v>
      </c>
      <c r="L46" s="3" t="n">
        <v>10.9</v>
      </c>
    </row>
    <row r="47" customFormat="false" ht="15" hidden="false" customHeight="false" outlineLevel="0" collapsed="false">
      <c r="A47" s="0" t="s">
        <v>103</v>
      </c>
      <c r="C47" s="3" t="n">
        <v>14</v>
      </c>
      <c r="D47" s="3" t="n">
        <v>16</v>
      </c>
      <c r="E47" s="3" t="n">
        <v>17</v>
      </c>
      <c r="F47" s="3" t="n">
        <v>18</v>
      </c>
      <c r="G47" s="3" t="n">
        <v>19</v>
      </c>
      <c r="H47" s="3" t="n">
        <v>19</v>
      </c>
      <c r="I47" s="3" t="n">
        <v>19</v>
      </c>
      <c r="J47" s="3" t="n">
        <v>19</v>
      </c>
      <c r="K47" s="3" t="n">
        <v>19</v>
      </c>
      <c r="L47" s="3" t="n">
        <v>19</v>
      </c>
    </row>
    <row r="48" customFormat="false" ht="15" hidden="false" customHeight="false" outlineLevel="0" collapsed="false">
      <c r="A48" s="0" t="s">
        <v>104</v>
      </c>
      <c r="B48" s="3" t="n">
        <v>6</v>
      </c>
    </row>
    <row r="49" customFormat="false" ht="15" hidden="false" customHeight="false" outlineLevel="0" collapsed="false">
      <c r="A49" s="0" t="s">
        <v>105</v>
      </c>
      <c r="B49" s="3" t="n">
        <v>2.5</v>
      </c>
    </row>
    <row r="50" customFormat="false" ht="15" hidden="false" customHeight="false" outlineLevel="0" collapsed="false">
      <c r="A50" s="0" t="s">
        <v>106</v>
      </c>
      <c r="B50" s="3" t="n">
        <v>24</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-2.5</v>
      </c>
      <c r="D5" s="4" t="n">
        <f aca="false">Assumptions!D13</f>
        <v>2</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71944</v>
      </c>
      <c r="C6" s="0" t="n">
        <f aca="false">B6*(1+C5/100)</f>
        <v>70145.4</v>
      </c>
      <c r="D6" s="0" t="n">
        <f aca="false">C6*(1+D5/100)</f>
        <v>71548.308</v>
      </c>
      <c r="E6" s="0" t="n">
        <f aca="false">D6*(1+E5/100)</f>
        <v>72263.79108</v>
      </c>
      <c r="F6" s="0" t="n">
        <f aca="false">E6*(1+F5/100)</f>
        <v>73347.7479462</v>
      </c>
      <c r="G6" s="0" t="n">
        <f aca="false">F6*(1+G5/100)</f>
        <v>74447.964165393</v>
      </c>
      <c r="H6" s="0" t="n">
        <f aca="false">G6*(1+H5/100)</f>
        <v>75564.6836278739</v>
      </c>
      <c r="I6" s="0" t="n">
        <f aca="false">H6*(1+I5/100)</f>
        <v>76698.153882292</v>
      </c>
      <c r="J6" s="0" t="n">
        <f aca="false">I6*(1+J5/100)</f>
        <v>77848.6261905264</v>
      </c>
      <c r="K6" s="0" t="n">
        <f aca="false">J6*(1+K5/100)</f>
        <v>79016.3555833842</v>
      </c>
      <c r="L6" s="0" t="n">
        <f aca="false">K6*(1+L5/100)</f>
        <v>80201.600917135</v>
      </c>
    </row>
    <row r="7" customFormat="false" ht="15" hidden="false" customHeight="false" outlineLevel="0" collapsed="false">
      <c r="A7" s="0" t="s">
        <v>98</v>
      </c>
      <c r="C7" s="4" t="n">
        <f aca="false">Assumptions!C14</f>
        <v>20.3</v>
      </c>
      <c r="D7" s="4" t="n">
        <f aca="false">Assumptions!D14</f>
        <v>20.6</v>
      </c>
      <c r="E7" s="4" t="n">
        <f aca="false">Assumptions!E14</f>
        <v>20.8</v>
      </c>
      <c r="F7" s="4" t="n">
        <f aca="false">Assumptions!F14</f>
        <v>21</v>
      </c>
      <c r="G7" s="4" t="n">
        <f aca="false">Assumptions!G14</f>
        <v>21.2</v>
      </c>
      <c r="H7" s="4" t="n">
        <f aca="false">Assumptions!H14</f>
        <v>21.4</v>
      </c>
      <c r="I7" s="4" t="n">
        <f aca="false">Assumptions!I14</f>
        <v>21.5</v>
      </c>
      <c r="J7" s="4" t="n">
        <f aca="false">Assumptions!J14</f>
        <v>21.5</v>
      </c>
      <c r="K7" s="4" t="n">
        <f aca="false">Assumptions!K14</f>
        <v>21.5</v>
      </c>
      <c r="L7" s="4" t="n">
        <f aca="false">Assumptions!L14</f>
        <v>21.5</v>
      </c>
    </row>
    <row r="8" customFormat="false" ht="15" hidden="false" customHeight="false" outlineLevel="0" collapsed="false">
      <c r="A8" s="0" t="s">
        <v>43</v>
      </c>
      <c r="C8" s="0" t="n">
        <f aca="false">C6*C7/100</f>
        <v>14239.5162</v>
      </c>
      <c r="D8" s="0" t="n">
        <f aca="false">D6*D7/100</f>
        <v>14738.951448</v>
      </c>
      <c r="E8" s="0" t="n">
        <f aca="false">E6*E7/100</f>
        <v>15030.86854464</v>
      </c>
      <c r="F8" s="0" t="n">
        <f aca="false">F6*F7/100</f>
        <v>15403.027068702</v>
      </c>
      <c r="G8" s="0" t="n">
        <f aca="false">G6*G7/100</f>
        <v>15782.9684030633</v>
      </c>
      <c r="H8" s="0" t="n">
        <f aca="false">H6*H7/100</f>
        <v>16170.842296365</v>
      </c>
      <c r="I8" s="0" t="n">
        <f aca="false">I6*I7/100</f>
        <v>16490.1030846928</v>
      </c>
      <c r="J8" s="0" t="n">
        <f aca="false">J6*J7/100</f>
        <v>16737.4546309632</v>
      </c>
      <c r="K8" s="0" t="n">
        <f aca="false">K6*K7/100</f>
        <v>16988.5164504276</v>
      </c>
      <c r="L8" s="0" t="n">
        <f aca="false">L6*L7/100</f>
        <v>17243.344197184</v>
      </c>
    </row>
    <row r="9" customFormat="false" ht="15" hidden="false" customHeight="false" outlineLevel="0" collapsed="false">
      <c r="A9" s="0" t="s">
        <v>99</v>
      </c>
      <c r="C9" s="4" t="n">
        <f aca="false">Assumptions!C15</f>
        <v>0.15</v>
      </c>
      <c r="D9" s="4" t="n">
        <f aca="false">Assumptions!D15</f>
        <v>0.15</v>
      </c>
      <c r="E9" s="4" t="n">
        <f aca="false">Assumptions!E15</f>
        <v>0.15</v>
      </c>
      <c r="F9" s="4" t="n">
        <f aca="false">Assumptions!F15</f>
        <v>0.15</v>
      </c>
      <c r="G9" s="4" t="n">
        <f aca="false">Assumptions!G15</f>
        <v>0.15</v>
      </c>
      <c r="H9" s="4" t="n">
        <f aca="false">Assumptions!H15</f>
        <v>0.15</v>
      </c>
      <c r="I9" s="4" t="n">
        <f aca="false">Assumptions!I15</f>
        <v>0.15</v>
      </c>
      <c r="J9" s="4" t="n">
        <f aca="false">Assumptions!J15</f>
        <v>0.15</v>
      </c>
      <c r="K9" s="4" t="n">
        <f aca="false">Assumptions!K15</f>
        <v>0.15</v>
      </c>
      <c r="L9" s="4" t="n">
        <f aca="false">Assumptions!L15</f>
        <v>0.15</v>
      </c>
    </row>
    <row r="10" customFormat="false" ht="15" hidden="false" customHeight="false" outlineLevel="0" collapsed="false">
      <c r="A10" s="0" t="s">
        <v>114</v>
      </c>
      <c r="C10" s="0" t="n">
        <f aca="false">-C6*C9/100</f>
        <v>-105.2181</v>
      </c>
      <c r="D10" s="0" t="n">
        <f aca="false">-D6*D9/100</f>
        <v>-107.322462</v>
      </c>
      <c r="E10" s="0" t="n">
        <f aca="false">-E6*E9/100</f>
        <v>-108.39568662</v>
      </c>
      <c r="F10" s="0" t="n">
        <f aca="false">-F6*F9/100</f>
        <v>-110.0216219193</v>
      </c>
      <c r="G10" s="0" t="n">
        <f aca="false">-G6*G9/100</f>
        <v>-111.671946248089</v>
      </c>
      <c r="H10" s="0" t="n">
        <f aca="false">-H6*H9/100</f>
        <v>-113.347025441811</v>
      </c>
      <c r="I10" s="0" t="n">
        <f aca="false">-I6*I9/100</f>
        <v>-115.047230823438</v>
      </c>
      <c r="J10" s="0" t="n">
        <f aca="false">-J6*J9/100</f>
        <v>-116.77293928579</v>
      </c>
      <c r="K10" s="0" t="n">
        <f aca="false">-K6*K9/100</f>
        <v>-118.524533375076</v>
      </c>
      <c r="L10" s="0" t="n">
        <f aca="false">-L6*L9/100</f>
        <v>-120.302401375703</v>
      </c>
    </row>
    <row r="11" customFormat="false" ht="15" hidden="false" customHeight="false" outlineLevel="0" collapsed="false">
      <c r="A11" s="0" t="s">
        <v>115</v>
      </c>
      <c r="C11" s="0" t="n">
        <f aca="false">C8+C10+C24</f>
        <v>14134.2981</v>
      </c>
      <c r="D11" s="0" t="n">
        <f aca="false">D8+D10+D24</f>
        <v>14631.628986</v>
      </c>
      <c r="E11" s="0" t="n">
        <f aca="false">E8+E10+E24</f>
        <v>14922.47285802</v>
      </c>
      <c r="F11" s="0" t="n">
        <f aca="false">F8+F10+F24</f>
        <v>15293.0054467827</v>
      </c>
      <c r="G11" s="0" t="n">
        <f aca="false">G8+G10+G24</f>
        <v>15671.2964568152</v>
      </c>
      <c r="H11" s="0" t="n">
        <f aca="false">H8+H10+H24</f>
        <v>16057.4952709232</v>
      </c>
      <c r="I11" s="0" t="n">
        <f aca="false">I8+I10+I24</f>
        <v>16375.0558538693</v>
      </c>
      <c r="J11" s="0" t="n">
        <f aca="false">J8+J10+J24</f>
        <v>16620.6816916774</v>
      </c>
      <c r="K11" s="0" t="n">
        <f aca="false">K8+K10+K24</f>
        <v>16869.9919170525</v>
      </c>
      <c r="L11" s="0" t="n">
        <f aca="false">L8+L10+L24</f>
        <v>17123.0417958083</v>
      </c>
    </row>
    <row r="12" customFormat="false" ht="15" hidden="false" customHeight="false" outlineLevel="0" collapsed="false">
      <c r="A12" s="0" t="s">
        <v>116</v>
      </c>
      <c r="C12" s="4" t="n">
        <f aca="false">-C6*Assumptions!C17/100</f>
        <v>-5050.4688</v>
      </c>
      <c r="D12" s="4" t="n">
        <f aca="false">-D6*Assumptions!D17/100</f>
        <v>-5366.1231</v>
      </c>
      <c r="E12" s="4" t="n">
        <f aca="false">-E6*Assumptions!E17/100</f>
        <v>-5492.04812208</v>
      </c>
      <c r="F12" s="4" t="n">
        <f aca="false">-F6*Assumptions!F17/100</f>
        <v>-5647.7765918574</v>
      </c>
      <c r="G12" s="4" t="n">
        <f aca="false">-G6*Assumptions!G17/100</f>
        <v>-5732.49324073526</v>
      </c>
      <c r="H12" s="4" t="n">
        <f aca="false">-H6*Assumptions!H17/100</f>
        <v>-5818.48063934629</v>
      </c>
      <c r="I12" s="4" t="n">
        <f aca="false">-I6*Assumptions!I17/100</f>
        <v>-5982.45600281877</v>
      </c>
      <c r="J12" s="4" t="n">
        <f aca="false">-J6*Assumptions!J17/100</f>
        <v>-6072.19284286106</v>
      </c>
      <c r="K12" s="4" t="n">
        <f aca="false">-K6*Assumptions!K17/100</f>
        <v>-6163.27573550397</v>
      </c>
      <c r="L12" s="4" t="n">
        <f aca="false">-L6*Assumptions!L17/100</f>
        <v>-6255.72487153653</v>
      </c>
    </row>
    <row r="13" customFormat="false" ht="15" hidden="false" customHeight="false" outlineLevel="0" collapsed="false">
      <c r="A13" s="0" t="s">
        <v>117</v>
      </c>
      <c r="C13" s="0" t="n">
        <f aca="false">C11+C12</f>
        <v>9083.8293</v>
      </c>
      <c r="D13" s="0" t="n">
        <f aca="false">D11+D12</f>
        <v>9265.505886</v>
      </c>
      <c r="E13" s="0" t="n">
        <f aca="false">E11+E12</f>
        <v>9430.42473594</v>
      </c>
      <c r="F13" s="0" t="n">
        <f aca="false">F11+F12</f>
        <v>9645.2288549253</v>
      </c>
      <c r="G13" s="0" t="n">
        <f aca="false">G11+G12</f>
        <v>9938.80321607996</v>
      </c>
      <c r="H13" s="0" t="n">
        <f aca="false">H11+H12</f>
        <v>10239.0146315769</v>
      </c>
      <c r="I13" s="0" t="n">
        <f aca="false">I11+I12</f>
        <v>10392.5998510506</v>
      </c>
      <c r="J13" s="0" t="n">
        <f aca="false">J11+J12</f>
        <v>10548.4888488163</v>
      </c>
      <c r="K13" s="0" t="n">
        <f aca="false">K11+K12</f>
        <v>10706.7161815486</v>
      </c>
      <c r="L13" s="0" t="n">
        <f aca="false">L11+L12</f>
        <v>10867.3169242718</v>
      </c>
    </row>
    <row r="14" customFormat="false" ht="15" hidden="false" customHeight="false" outlineLevel="0" collapsed="false">
      <c r="A14" s="0" t="s">
        <v>103</v>
      </c>
      <c r="C14" s="4" t="n">
        <f aca="false">Assumptions!C19</f>
        <v>16</v>
      </c>
      <c r="D14" s="4" t="n">
        <f aca="false">Assumptions!D19</f>
        <v>18</v>
      </c>
      <c r="E14" s="4" t="n">
        <f aca="false">Assumptions!E19</f>
        <v>20</v>
      </c>
      <c r="F14" s="4" t="n">
        <f aca="false">Assumptions!F19</f>
        <v>21</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118</v>
      </c>
      <c r="C15" s="0" t="n">
        <f aca="false">C13-MAX(0,C13)*C14/100</f>
        <v>7630.416612</v>
      </c>
      <c r="D15" s="0" t="n">
        <f aca="false">D13-MAX(0,D13)*D14/100</f>
        <v>7597.71482652</v>
      </c>
      <c r="E15" s="0" t="n">
        <f aca="false">E13-MAX(0,E13)*E14/100</f>
        <v>7544.339788752</v>
      </c>
      <c r="F15" s="0" t="n">
        <f aca="false">F13-MAX(0,F13)*F14/100</f>
        <v>7619.73079539099</v>
      </c>
      <c r="G15" s="0" t="n">
        <f aca="false">G13-MAX(0,G13)*G14/100</f>
        <v>7752.26650854237</v>
      </c>
      <c r="H15" s="0" t="n">
        <f aca="false">H13-MAX(0,H13)*H14/100</f>
        <v>7986.43141262999</v>
      </c>
      <c r="I15" s="0" t="n">
        <f aca="false">I13-MAX(0,I13)*I14/100</f>
        <v>8106.22788381944</v>
      </c>
      <c r="J15" s="0" t="n">
        <f aca="false">J13-MAX(0,J13)*J14/100</f>
        <v>8227.82130207673</v>
      </c>
      <c r="K15" s="0" t="n">
        <f aca="false">K13-MAX(0,K13)*K14/100</f>
        <v>8351.23862160788</v>
      </c>
      <c r="L15" s="0" t="n">
        <f aca="false">L13-MAX(0,L13)*L14/100</f>
        <v>8476.507200932</v>
      </c>
    </row>
    <row r="16" customFormat="false" ht="15" hidden="false" customHeight="false" outlineLevel="0" collapsed="false">
      <c r="A16" s="0" t="s">
        <v>119</v>
      </c>
      <c r="C16" s="0" t="n">
        <f aca="false">-C12</f>
        <v>5050.4688</v>
      </c>
      <c r="D16" s="0" t="n">
        <f aca="false">-D12</f>
        <v>5366.1231</v>
      </c>
      <c r="E16" s="0" t="n">
        <f aca="false">-E12</f>
        <v>5492.04812208</v>
      </c>
      <c r="F16" s="0" t="n">
        <f aca="false">-F12</f>
        <v>5647.7765918574</v>
      </c>
      <c r="G16" s="0" t="n">
        <f aca="false">-G12</f>
        <v>5732.49324073526</v>
      </c>
      <c r="H16" s="0" t="n">
        <f aca="false">-H12</f>
        <v>5818.48063934629</v>
      </c>
      <c r="I16" s="0" t="n">
        <f aca="false">-I12</f>
        <v>5982.45600281877</v>
      </c>
      <c r="J16" s="0" t="n">
        <f aca="false">-J12</f>
        <v>6072.19284286106</v>
      </c>
      <c r="K16" s="0" t="n">
        <f aca="false">-K12</f>
        <v>6163.27573550397</v>
      </c>
      <c r="L16" s="0" t="n">
        <f aca="false">-L12</f>
        <v>6255.72487153653</v>
      </c>
    </row>
    <row r="17" customFormat="false" ht="15" hidden="false" customHeight="false" outlineLevel="0" collapsed="false">
      <c r="A17" s="0" t="s">
        <v>120</v>
      </c>
      <c r="C17" s="4" t="n">
        <f aca="false">-C6*Assumptions!C18/100</f>
        <v>-10451.6646</v>
      </c>
      <c r="D17" s="4" t="n">
        <f aca="false">-D6*Assumptions!D18/100</f>
        <v>-11376.180972</v>
      </c>
      <c r="E17" s="4" t="n">
        <f aca="false">-E6*Assumptions!E18/100</f>
        <v>-11489.94278172</v>
      </c>
      <c r="F17" s="4" t="n">
        <f aca="false">-F6*Assumptions!F18/100</f>
        <v>-10928.8144439838</v>
      </c>
      <c r="G17" s="4" t="n">
        <f aca="false">-G6*Assumptions!G18/100</f>
        <v>-10348.2670189896</v>
      </c>
      <c r="H17" s="4" t="n">
        <f aca="false">-H6*Assumptions!H18/100</f>
        <v>-9747.84418799573</v>
      </c>
      <c r="I17" s="4" t="n">
        <f aca="false">-I6*Assumptions!I18/100</f>
        <v>-9510.57108140421</v>
      </c>
      <c r="J17" s="4" t="n">
        <f aca="false">-J6*Assumptions!J18/100</f>
        <v>-9263.98651667264</v>
      </c>
      <c r="K17" s="4" t="n">
        <f aca="false">-K6*Assumptions!K18/100</f>
        <v>-9007.8645365058</v>
      </c>
      <c r="L17" s="4" t="n">
        <f aca="false">-L6*Assumptions!L18/100</f>
        <v>-9142.98250455339</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2229.220812</v>
      </c>
      <c r="D19" s="0" t="n">
        <f aca="false">D15+D16+D17+D18</f>
        <v>1587.65695452</v>
      </c>
      <c r="E19" s="0" t="n">
        <f aca="false">E15+E16+E17+E18</f>
        <v>1546.445129112</v>
      </c>
      <c r="F19" s="0" t="n">
        <f aca="false">F15+F16+F17+F18</f>
        <v>2338.69294326458</v>
      </c>
      <c r="G19" s="0" t="n">
        <f aca="false">G15+G16+G17+G18</f>
        <v>3136.492730288</v>
      </c>
      <c r="H19" s="0" t="n">
        <f aca="false">H15+H16+H17+H18</f>
        <v>4057.06786398054</v>
      </c>
      <c r="I19" s="0" t="n">
        <f aca="false">I15+I16+I17+I18</f>
        <v>4578.11280523401</v>
      </c>
      <c r="J19" s="0" t="n">
        <f aca="false">J15+J16+J17+J18</f>
        <v>5036.02762826515</v>
      </c>
      <c r="K19" s="0" t="n">
        <f aca="false">K15+K16+K17+K18</f>
        <v>5506.64982060605</v>
      </c>
      <c r="L19" s="0" t="n">
        <f aca="false">L15+L16+L17+L18</f>
        <v>5589.24956791514</v>
      </c>
    </row>
    <row r="20" customFormat="false" ht="15" hidden="false" customHeight="false" outlineLevel="0" collapsed="false">
      <c r="A20" s="0" t="s">
        <v>123</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124</v>
      </c>
      <c r="C21" s="0" t="n">
        <f aca="false">C19*C20</f>
        <v>2103.03850188679</v>
      </c>
      <c r="D21" s="0" t="n">
        <f aca="false">D19*D20</f>
        <v>1413.00903748665</v>
      </c>
      <c r="E21" s="0" t="n">
        <f aca="false">E19*E20</f>
        <v>1298.42515055381</v>
      </c>
      <c r="F21" s="0" t="n">
        <f aca="false">F19*F20</f>
        <v>1852.46386061935</v>
      </c>
      <c r="G21" s="0" t="n">
        <f aca="false">G19*G20</f>
        <v>2343.76982684268</v>
      </c>
      <c r="H21" s="0" t="n">
        <f aca="false">H19*H20</f>
        <v>2860.07275399217</v>
      </c>
      <c r="I21" s="0" t="n">
        <f aca="false">I19*I20</f>
        <v>3044.70648808638</v>
      </c>
      <c r="J21" s="0" t="n">
        <f aca="false">J19*J20</f>
        <v>3159.66603639279</v>
      </c>
      <c r="K21" s="0" t="n">
        <f aca="false">K19*K20</f>
        <v>3259.37756801461</v>
      </c>
      <c r="L21" s="0" t="n">
        <f aca="false">L19*L20</f>
        <v>3121.00776559889</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6</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20</v>
      </c>
    </row>
    <row r="30" customFormat="false" ht="15" hidden="false" customHeight="false" outlineLevel="0" collapsed="false">
      <c r="A30" s="0" t="s">
        <v>127</v>
      </c>
      <c r="B30" s="0" t="n">
        <f aca="false">SUM(C21:L21)</f>
        <v>24455.5369894741</v>
      </c>
    </row>
    <row r="31" customFormat="false" ht="15" hidden="false" customHeight="false" outlineLevel="0" collapsed="false">
      <c r="A31" s="0" t="s">
        <v>128</v>
      </c>
      <c r="B31" s="0" t="n">
        <f aca="false">L19</f>
        <v>5589.24956791514</v>
      </c>
    </row>
    <row r="32" customFormat="false" ht="15" hidden="false" customHeight="false" outlineLevel="0" collapsed="false">
      <c r="A32" s="0" t="s">
        <v>129</v>
      </c>
      <c r="B32" s="0" t="n">
        <f aca="false">IF(B27&gt;B28,B31*(1+B28/100)/((B27-B28)/100),B31*B29)</f>
        <v>126068.629142975</v>
      </c>
    </row>
    <row r="33" customFormat="false" ht="15" hidden="false" customHeight="false" outlineLevel="0" collapsed="false">
      <c r="A33" s="0" t="s">
        <v>130</v>
      </c>
      <c r="B33" s="0" t="n">
        <f aca="false">B31*B29</f>
        <v>111784.991358303</v>
      </c>
    </row>
    <row r="34" customFormat="false" ht="15" hidden="false" customHeight="false" outlineLevel="0" collapsed="false">
      <c r="A34" s="0" t="s">
        <v>131</v>
      </c>
      <c r="B34" s="0" t="n">
        <f aca="false">MAX(0,MIN(B32,B33))</f>
        <v>111784.991358303</v>
      </c>
    </row>
    <row r="35" customFormat="false" ht="15" hidden="false" customHeight="false" outlineLevel="0" collapsed="false">
      <c r="A35" s="0" t="s">
        <v>132</v>
      </c>
      <c r="B35" s="0" t="n">
        <f aca="false">B34/(1+B27/100)^L4</f>
        <v>62420.1553119778</v>
      </c>
    </row>
    <row r="36" customFormat="false" ht="15" hidden="false" customHeight="false" outlineLevel="0" collapsed="false">
      <c r="A36" s="0" t="s">
        <v>133</v>
      </c>
      <c r="B36" s="0" t="n">
        <f aca="false">B30+B35</f>
        <v>86875.692301452</v>
      </c>
    </row>
    <row r="37" customFormat="false" ht="15" hidden="false" customHeight="false" outlineLevel="0" collapsed="false">
      <c r="A37" s="0" t="s">
        <v>134</v>
      </c>
      <c r="B37" s="0" t="n">
        <f aca="false">B36+Assumptions!$B$5-Assumptions!$B$4</f>
        <v>11340.692301452</v>
      </c>
    </row>
    <row r="38" customFormat="false" ht="15" hidden="false" customHeight="false" outlineLevel="0" collapsed="false">
      <c r="A38" s="0" t="s">
        <v>135</v>
      </c>
      <c r="B38" s="0" t="n">
        <f aca="false">B37/Assumptions!$B$3*Assumptions!$B$10</f>
        <v>4.44907504960846</v>
      </c>
    </row>
    <row r="39" customFormat="false" ht="15" hidden="false" customHeight="false" outlineLevel="0" collapsed="false">
      <c r="A39" s="0" t="s">
        <v>136</v>
      </c>
      <c r="B39" s="4" t="n">
        <f aca="false">B38/Assumptions!$B$2-1</f>
        <v>-0.804950677351668</v>
      </c>
    </row>
    <row r="41" customFormat="false" ht="15" hidden="false" customHeight="false" outlineLevel="0" collapsed="false">
      <c r="A41" s="0" t="s">
        <v>137</v>
      </c>
      <c r="B41" s="0" t="n">
        <f aca="false">SUMPRODUCT(-C10:L10/(1+$B$27/100)^C4:L4)</f>
        <v>823.398948437077</v>
      </c>
    </row>
    <row r="42" customFormat="false" ht="15" hidden="false" customHeight="false" outlineLevel="0" collapsed="false">
      <c r="A42" s="0" t="s">
        <v>138</v>
      </c>
      <c r="B42" s="0" t="n">
        <f aca="false">IF(B27&gt;B28,-L10*(1+B28/100)/((B27-B28)/100),-L10*20)/(1+B27/100)^L4</f>
        <v>1515.19724593814</v>
      </c>
    </row>
    <row r="43" customFormat="false" ht="15" hidden="false" customHeight="false" outlineLevel="0" collapsed="false">
      <c r="A43" s="0" t="s">
        <v>139</v>
      </c>
      <c r="B43" s="0" t="n">
        <f aca="false">(B37+B41+B42)/Assumptions!$B$3*Assumptions!$B$10</f>
        <v>5.36653138321976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42022.8763809916</v>
      </c>
    </row>
    <row r="47" customFormat="false" ht="15" hidden="false" customHeight="false" outlineLevel="0" collapsed="false">
      <c r="A47" s="0" t="s">
        <v>141</v>
      </c>
      <c r="B47" s="0" t="n">
        <f aca="false">(SUMPRODUCT(C19:L19/(1+B45/100)^C4:L4)+B46/(1+B45/100)^L4+Assumptions!$B$5-Assumptions!$B$4)/Assumptions!$B$3*Assumptions!$B$10</f>
        <v>-19.6261346560356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-1</v>
      </c>
      <c r="D5" s="4" t="n">
        <f aca="false">Assumptions!D27</f>
        <v>3.5</v>
      </c>
      <c r="E5" s="4" t="n">
        <f aca="false">Assumptions!E27</f>
        <v>2.5</v>
      </c>
      <c r="F5" s="4" t="n">
        <f aca="false">Assumptions!F27</f>
        <v>2.5</v>
      </c>
      <c r="G5" s="4" t="n">
        <f aca="false">Assumptions!G27</f>
        <v>2.5</v>
      </c>
      <c r="H5" s="4" t="n">
        <f aca="false">Assumptions!H27</f>
        <v>2.5</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37</v>
      </c>
      <c r="B6" s="3" t="n">
        <v>71944</v>
      </c>
      <c r="C6" s="0" t="n">
        <f aca="false">B6*(1+C5/100)</f>
        <v>71224.56</v>
      </c>
      <c r="D6" s="0" t="n">
        <f aca="false">C6*(1+D5/100)</f>
        <v>73717.4196</v>
      </c>
      <c r="E6" s="0" t="n">
        <f aca="false">D6*(1+E5/100)</f>
        <v>75560.35509</v>
      </c>
      <c r="F6" s="0" t="n">
        <f aca="false">E6*(1+F5/100)</f>
        <v>77449.36396725</v>
      </c>
      <c r="G6" s="0" t="n">
        <f aca="false">F6*(1+G5/100)</f>
        <v>79385.5980664312</v>
      </c>
      <c r="H6" s="0" t="n">
        <f aca="false">G6*(1+H5/100)</f>
        <v>81370.238018092</v>
      </c>
      <c r="I6" s="0" t="n">
        <f aca="false">H6*(1+I5/100)</f>
        <v>82997.6427784538</v>
      </c>
      <c r="J6" s="0" t="n">
        <f aca="false">I6*(1+J5/100)</f>
        <v>84657.5956340229</v>
      </c>
      <c r="K6" s="0" t="n">
        <f aca="false">J6*(1+K5/100)</f>
        <v>86350.7475467034</v>
      </c>
      <c r="L6" s="0" t="n">
        <f aca="false">K6*(1+L5/100)</f>
        <v>88077.7624976374</v>
      </c>
    </row>
    <row r="7" customFormat="false" ht="15" hidden="false" customHeight="false" outlineLevel="0" collapsed="false">
      <c r="A7" s="0" t="s">
        <v>98</v>
      </c>
      <c r="C7" s="4" t="n">
        <f aca="false">Assumptions!C28</f>
        <v>20.8</v>
      </c>
      <c r="D7" s="4" t="n">
        <f aca="false">Assumptions!D28</f>
        <v>21.4</v>
      </c>
      <c r="E7" s="4" t="n">
        <f aca="false">Assumptions!E28</f>
        <v>21.9</v>
      </c>
      <c r="F7" s="4" t="n">
        <f aca="false">Assumptions!F28</f>
        <v>22.4</v>
      </c>
      <c r="G7" s="4" t="n">
        <f aca="false">Assumptions!G28</f>
        <v>22.9</v>
      </c>
      <c r="H7" s="4" t="n">
        <f aca="false">Assumptions!H28</f>
        <v>23.3</v>
      </c>
      <c r="I7" s="4" t="n">
        <f aca="false">Assumptions!I28</f>
        <v>23.6</v>
      </c>
      <c r="J7" s="4" t="n">
        <f aca="false">Assumptions!J28</f>
        <v>23.8</v>
      </c>
      <c r="K7" s="4" t="n">
        <f aca="false">Assumptions!K28</f>
        <v>24</v>
      </c>
      <c r="L7" s="4" t="n">
        <f aca="false">Assumptions!L28</f>
        <v>24</v>
      </c>
    </row>
    <row r="8" customFormat="false" ht="15" hidden="false" customHeight="false" outlineLevel="0" collapsed="false">
      <c r="A8" s="0" t="s">
        <v>43</v>
      </c>
      <c r="C8" s="0" t="n">
        <f aca="false">C6*C7/100</f>
        <v>14814.70848</v>
      </c>
      <c r="D8" s="0" t="n">
        <f aca="false">D6*D7/100</f>
        <v>15775.5277944</v>
      </c>
      <c r="E8" s="0" t="n">
        <f aca="false">E6*E7/100</f>
        <v>16547.71776471</v>
      </c>
      <c r="F8" s="0" t="n">
        <f aca="false">F6*F7/100</f>
        <v>17348.657528664</v>
      </c>
      <c r="G8" s="0" t="n">
        <f aca="false">G6*G7/100</f>
        <v>18179.3019572127</v>
      </c>
      <c r="H8" s="0" t="n">
        <f aca="false">H6*H7/100</f>
        <v>18959.2654582154</v>
      </c>
      <c r="I8" s="0" t="n">
        <f aca="false">I6*I7/100</f>
        <v>19587.4436957151</v>
      </c>
      <c r="J8" s="0" t="n">
        <f aca="false">J6*J7/100</f>
        <v>20148.5077608975</v>
      </c>
      <c r="K8" s="0" t="n">
        <f aca="false">K6*K7/100</f>
        <v>20724.1794112088</v>
      </c>
      <c r="L8" s="0" t="n">
        <f aca="false">L6*L7/100</f>
        <v>21138.662999433</v>
      </c>
    </row>
    <row r="9" customFormat="false" ht="15" hidden="false" customHeight="false" outlineLevel="0" collapsed="false">
      <c r="A9" s="0" t="s">
        <v>99</v>
      </c>
      <c r="C9" s="4" t="n">
        <f aca="false">Assumptions!C29</f>
        <v>0.15</v>
      </c>
      <c r="D9" s="4" t="n">
        <f aca="false">Assumptions!D29</f>
        <v>0.15</v>
      </c>
      <c r="E9" s="4" t="n">
        <f aca="false">Assumptions!E29</f>
        <v>0.15</v>
      </c>
      <c r="F9" s="4" t="n">
        <f aca="false">Assumptions!F29</f>
        <v>0.15</v>
      </c>
      <c r="G9" s="4" t="n">
        <f aca="false">Assumptions!G29</f>
        <v>0.15</v>
      </c>
      <c r="H9" s="4" t="n">
        <f aca="false">Assumptions!H29</f>
        <v>0.15</v>
      </c>
      <c r="I9" s="4" t="n">
        <f aca="false">Assumptions!I29</f>
        <v>0.15</v>
      </c>
      <c r="J9" s="4" t="n">
        <f aca="false">Assumptions!J29</f>
        <v>0.15</v>
      </c>
      <c r="K9" s="4" t="n">
        <f aca="false">Assumptions!K29</f>
        <v>0.15</v>
      </c>
      <c r="L9" s="4" t="n">
        <f aca="false">Assumptions!L29</f>
        <v>0.15</v>
      </c>
    </row>
    <row r="10" customFormat="false" ht="15" hidden="false" customHeight="false" outlineLevel="0" collapsed="false">
      <c r="A10" s="0" t="s">
        <v>114</v>
      </c>
      <c r="C10" s="0" t="n">
        <f aca="false">-C6*C9/100</f>
        <v>-106.83684</v>
      </c>
      <c r="D10" s="0" t="n">
        <f aca="false">-D6*D9/100</f>
        <v>-110.5761294</v>
      </c>
      <c r="E10" s="0" t="n">
        <f aca="false">-E6*E9/100</f>
        <v>-113.340532635</v>
      </c>
      <c r="F10" s="0" t="n">
        <f aca="false">-F6*F9/100</f>
        <v>-116.174045950875</v>
      </c>
      <c r="G10" s="0" t="n">
        <f aca="false">-G6*G9/100</f>
        <v>-119.078397099647</v>
      </c>
      <c r="H10" s="0" t="n">
        <f aca="false">-H6*H9/100</f>
        <v>-122.055357027138</v>
      </c>
      <c r="I10" s="0" t="n">
        <f aca="false">-I6*I9/100</f>
        <v>-124.496464167681</v>
      </c>
      <c r="J10" s="0" t="n">
        <f aca="false">-J6*J9/100</f>
        <v>-126.986393451034</v>
      </c>
      <c r="K10" s="0" t="n">
        <f aca="false">-K6*K9/100</f>
        <v>-129.526121320055</v>
      </c>
      <c r="L10" s="0" t="n">
        <f aca="false">-L6*L9/100</f>
        <v>-132.116643746456</v>
      </c>
    </row>
    <row r="11" customFormat="false" ht="15" hidden="false" customHeight="false" outlineLevel="0" collapsed="false">
      <c r="A11" s="0" t="s">
        <v>115</v>
      </c>
      <c r="C11" s="0" t="n">
        <f aca="false">C8+C10+C24</f>
        <v>14707.87164</v>
      </c>
      <c r="D11" s="0" t="n">
        <f aca="false">D8+D10+D24</f>
        <v>15664.951665</v>
      </c>
      <c r="E11" s="0" t="n">
        <f aca="false">E8+E10+E24</f>
        <v>16434.377232075</v>
      </c>
      <c r="F11" s="0" t="n">
        <f aca="false">F8+F10+F24</f>
        <v>17232.4834827131</v>
      </c>
      <c r="G11" s="0" t="n">
        <f aca="false">G8+G10+G24</f>
        <v>18060.2235601131</v>
      </c>
      <c r="H11" s="0" t="n">
        <f aca="false">H8+H10+H24</f>
        <v>18837.2101011883</v>
      </c>
      <c r="I11" s="0" t="n">
        <f aca="false">I8+I10+I24</f>
        <v>19462.9472315474</v>
      </c>
      <c r="J11" s="0" t="n">
        <f aca="false">J8+J10+J24</f>
        <v>20021.5213674464</v>
      </c>
      <c r="K11" s="0" t="n">
        <f aca="false">K8+K10+K24</f>
        <v>20594.6532898888</v>
      </c>
      <c r="L11" s="0" t="n">
        <f aca="false">L8+L10+L24</f>
        <v>21006.5463556865</v>
      </c>
    </row>
    <row r="12" customFormat="false" ht="15" hidden="false" customHeight="false" outlineLevel="0" collapsed="false">
      <c r="A12" s="0" t="s">
        <v>116</v>
      </c>
      <c r="C12" s="4" t="n">
        <f aca="false">-C6*Assumptions!C31/100</f>
        <v>-5128.16832</v>
      </c>
      <c r="D12" s="4" t="n">
        <f aca="false">-D6*Assumptions!D31/100</f>
        <v>-5528.80647</v>
      </c>
      <c r="E12" s="4" t="n">
        <f aca="false">-E6*Assumptions!E31/100</f>
        <v>-5742.58698684</v>
      </c>
      <c r="F12" s="4" t="n">
        <f aca="false">-F6*Assumptions!F31/100</f>
        <v>-5963.60102547825</v>
      </c>
      <c r="G12" s="4" t="n">
        <f aca="false">-G6*Assumptions!G31/100</f>
        <v>-6112.6910511152</v>
      </c>
      <c r="H12" s="4" t="n">
        <f aca="false">-H6*Assumptions!H31/100</f>
        <v>-6265.50832739308</v>
      </c>
      <c r="I12" s="4" t="n">
        <f aca="false">-I6*Assumptions!I31/100</f>
        <v>-6473.8161367194</v>
      </c>
      <c r="J12" s="4" t="n">
        <f aca="false">-J6*Assumptions!J31/100</f>
        <v>-6603.29245945379</v>
      </c>
      <c r="K12" s="4" t="n">
        <f aca="false">-K6*Assumptions!K31/100</f>
        <v>-6735.35830864286</v>
      </c>
      <c r="L12" s="4" t="n">
        <f aca="false">-L6*Assumptions!L31/100</f>
        <v>-6870.06547481572</v>
      </c>
    </row>
    <row r="13" customFormat="false" ht="15" hidden="false" customHeight="false" outlineLevel="0" collapsed="false">
      <c r="A13" s="0" t="s">
        <v>117</v>
      </c>
      <c r="C13" s="0" t="n">
        <f aca="false">C11+C12</f>
        <v>9579.70332</v>
      </c>
      <c r="D13" s="0" t="n">
        <f aca="false">D11+D12</f>
        <v>10136.145195</v>
      </c>
      <c r="E13" s="0" t="n">
        <f aca="false">E11+E12</f>
        <v>10691.790245235</v>
      </c>
      <c r="F13" s="0" t="n">
        <f aca="false">F11+F12</f>
        <v>11268.8824572349</v>
      </c>
      <c r="G13" s="0" t="n">
        <f aca="false">G11+G12</f>
        <v>11947.5325089979</v>
      </c>
      <c r="H13" s="0" t="n">
        <f aca="false">H11+H12</f>
        <v>12571.7017737952</v>
      </c>
      <c r="I13" s="0" t="n">
        <f aca="false">I11+I12</f>
        <v>12989.131094828</v>
      </c>
      <c r="J13" s="0" t="n">
        <f aca="false">J11+J12</f>
        <v>13418.2289079926</v>
      </c>
      <c r="K13" s="0" t="n">
        <f aca="false">K11+K12</f>
        <v>13859.2949812459</v>
      </c>
      <c r="L13" s="0" t="n">
        <f aca="false">L11+L12</f>
        <v>14136.4808808708</v>
      </c>
    </row>
    <row r="14" customFormat="false" ht="15" hidden="false" customHeight="false" outlineLevel="0" collapsed="false">
      <c r="A14" s="0" t="s">
        <v>103</v>
      </c>
      <c r="C14" s="4" t="n">
        <f aca="false">Assumptions!C33</f>
        <v>15</v>
      </c>
      <c r="D14" s="4" t="n">
        <f aca="false">Assumptions!D33</f>
        <v>17</v>
      </c>
      <c r="E14" s="4" t="n">
        <f aca="false">Assumptions!E33</f>
        <v>18</v>
      </c>
      <c r="F14" s="4" t="n">
        <f aca="false">Assumptions!F33</f>
        <v>19</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118</v>
      </c>
      <c r="C15" s="0" t="n">
        <f aca="false">C13-MAX(0,C13)*C14/100</f>
        <v>8142.747822</v>
      </c>
      <c r="D15" s="0" t="n">
        <f aca="false">D13-MAX(0,D13)*D14/100</f>
        <v>8413.00051185</v>
      </c>
      <c r="E15" s="0" t="n">
        <f aca="false">E13-MAX(0,E13)*E14/100</f>
        <v>8767.2680010927</v>
      </c>
      <c r="F15" s="0" t="n">
        <f aca="false">F13-MAX(0,F13)*F14/100</f>
        <v>9127.79479036024</v>
      </c>
      <c r="G15" s="0" t="n">
        <f aca="false">G13-MAX(0,G13)*G14/100</f>
        <v>9558.02600719832</v>
      </c>
      <c r="H15" s="0" t="n">
        <f aca="false">H13-MAX(0,H13)*H14/100</f>
        <v>10057.3614190362</v>
      </c>
      <c r="I15" s="0" t="n">
        <f aca="false">I13-MAX(0,I13)*I14/100</f>
        <v>10391.3048758624</v>
      </c>
      <c r="J15" s="0" t="n">
        <f aca="false">J13-MAX(0,J13)*J14/100</f>
        <v>10734.5831263941</v>
      </c>
      <c r="K15" s="0" t="n">
        <f aca="false">K13-MAX(0,K13)*K14/100</f>
        <v>11087.4359849967</v>
      </c>
      <c r="L15" s="0" t="n">
        <f aca="false">L13-MAX(0,L13)*L14/100</f>
        <v>11309.1847046966</v>
      </c>
    </row>
    <row r="16" customFormat="false" ht="15" hidden="false" customHeight="false" outlineLevel="0" collapsed="false">
      <c r="A16" s="0" t="s">
        <v>119</v>
      </c>
      <c r="C16" s="0" t="n">
        <f aca="false">-C12</f>
        <v>5128.16832</v>
      </c>
      <c r="D16" s="0" t="n">
        <f aca="false">-D12</f>
        <v>5528.80647</v>
      </c>
      <c r="E16" s="0" t="n">
        <f aca="false">-E12</f>
        <v>5742.58698684</v>
      </c>
      <c r="F16" s="0" t="n">
        <f aca="false">-F12</f>
        <v>5963.60102547825</v>
      </c>
      <c r="G16" s="0" t="n">
        <f aca="false">-G12</f>
        <v>6112.6910511152</v>
      </c>
      <c r="H16" s="0" t="n">
        <f aca="false">-H12</f>
        <v>6265.50832739308</v>
      </c>
      <c r="I16" s="0" t="n">
        <f aca="false">-I12</f>
        <v>6473.8161367194</v>
      </c>
      <c r="J16" s="0" t="n">
        <f aca="false">-J12</f>
        <v>6603.29245945379</v>
      </c>
      <c r="K16" s="0" t="n">
        <f aca="false">-K12</f>
        <v>6735.35830864286</v>
      </c>
      <c r="L16" s="0" t="n">
        <f aca="false">-L12</f>
        <v>6870.06547481572</v>
      </c>
    </row>
    <row r="17" customFormat="false" ht="15" hidden="false" customHeight="false" outlineLevel="0" collapsed="false">
      <c r="A17" s="0" t="s">
        <v>120</v>
      </c>
      <c r="C17" s="4" t="n">
        <f aca="false">-C6*Assumptions!C32/100</f>
        <v>-10612.45944</v>
      </c>
      <c r="D17" s="4" t="n">
        <f aca="false">-D6*Assumptions!D32/100</f>
        <v>-11721.0697164</v>
      </c>
      <c r="E17" s="4" t="n">
        <f aca="false">-E6*Assumptions!E32/100</f>
        <v>-12014.09645931</v>
      </c>
      <c r="F17" s="4" t="n">
        <f aca="false">-F6*Assumptions!F32/100</f>
        <v>-11539.9552311202</v>
      </c>
      <c r="G17" s="4" t="n">
        <f aca="false">-G6*Assumptions!G32/100</f>
        <v>-11034.5981312339</v>
      </c>
      <c r="H17" s="4" t="n">
        <f aca="false">-H6*Assumptions!H32/100</f>
        <v>-10496.7607043339</v>
      </c>
      <c r="I17" s="4" t="n">
        <f aca="false">-I6*Assumptions!I32/100</f>
        <v>-10291.7077045283</v>
      </c>
      <c r="J17" s="4" t="n">
        <f aca="false">-J6*Assumptions!J32/100</f>
        <v>-10074.2538804487</v>
      </c>
      <c r="K17" s="4" t="n">
        <f aca="false">-K6*Assumptions!K32/100</f>
        <v>-9843.98522032418</v>
      </c>
      <c r="L17" s="4" t="n">
        <f aca="false">-L6*Assumptions!L32/100</f>
        <v>-10040.8649247307</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2658.456702</v>
      </c>
      <c r="D19" s="0" t="n">
        <f aca="false">D15+D16+D17+D18</f>
        <v>2220.73726545</v>
      </c>
      <c r="E19" s="0" t="n">
        <f aca="false">E15+E16+E17+E18</f>
        <v>2495.7585286227</v>
      </c>
      <c r="F19" s="0" t="n">
        <f aca="false">F15+F16+F17+F18</f>
        <v>3551.44058471825</v>
      </c>
      <c r="G19" s="0" t="n">
        <f aca="false">G15+G16+G17+G18</f>
        <v>4636.11892707958</v>
      </c>
      <c r="H19" s="0" t="n">
        <f aca="false">H15+H16+H17+H18</f>
        <v>5826.10904209539</v>
      </c>
      <c r="I19" s="0" t="n">
        <f aca="false">I15+I16+I17+I18</f>
        <v>6573.41330805354</v>
      </c>
      <c r="J19" s="0" t="n">
        <f aca="false">J15+J16+J17+J18</f>
        <v>7263.62170539917</v>
      </c>
      <c r="K19" s="0" t="n">
        <f aca="false">K15+K16+K17+K18</f>
        <v>7978.80907331539</v>
      </c>
      <c r="L19" s="0" t="n">
        <f aca="false">L15+L16+L17+L18</f>
        <v>8138.3852547817</v>
      </c>
    </row>
    <row r="20" customFormat="false" ht="15" hidden="false" customHeight="false" outlineLevel="0" collapsed="false">
      <c r="A20" s="0" t="s">
        <v>123</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124</v>
      </c>
      <c r="C21" s="0" t="n">
        <f aca="false">C19*C20</f>
        <v>2507.97802075472</v>
      </c>
      <c r="D21" s="0" t="n">
        <f aca="false">D19*D20</f>
        <v>1976.44826045746</v>
      </c>
      <c r="E21" s="0" t="n">
        <f aca="false">E19*E20</f>
        <v>2095.48698642394</v>
      </c>
      <c r="F21" s="0" t="n">
        <f aca="false">F19*F20</f>
        <v>2813.07358252165</v>
      </c>
      <c r="G21" s="0" t="n">
        <f aca="false">G19*G20</f>
        <v>3464.37775863923</v>
      </c>
      <c r="H21" s="0" t="n">
        <f aca="false">H19*H20</f>
        <v>4107.17697897605</v>
      </c>
      <c r="I21" s="0" t="n">
        <f aca="false">I19*I20</f>
        <v>4371.69528130074</v>
      </c>
      <c r="J21" s="0" t="n">
        <f aca="false">J19*J20</f>
        <v>4557.28611871445</v>
      </c>
      <c r="K21" s="0" t="n">
        <f aca="false">K19*K20</f>
        <v>4722.6448312948</v>
      </c>
      <c r="L21" s="0" t="n">
        <f aca="false">L19*L20</f>
        <v>4544.43181879311</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6</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22</v>
      </c>
    </row>
    <row r="30" customFormat="false" ht="15" hidden="false" customHeight="false" outlineLevel="0" collapsed="false">
      <c r="A30" s="0" t="s">
        <v>127</v>
      </c>
      <c r="B30" s="0" t="n">
        <f aca="false">SUM(C21:L21)</f>
        <v>35160.5996378762</v>
      </c>
    </row>
    <row r="31" customFormat="false" ht="15" hidden="false" customHeight="false" outlineLevel="0" collapsed="false">
      <c r="A31" s="0" t="s">
        <v>128</v>
      </c>
      <c r="B31" s="0" t="n">
        <f aca="false">L19</f>
        <v>8138.3852547817</v>
      </c>
    </row>
    <row r="32" customFormat="false" ht="15" hidden="false" customHeight="false" outlineLevel="0" collapsed="false">
      <c r="A32" s="0" t="s">
        <v>129</v>
      </c>
      <c r="B32" s="0" t="n">
        <f aca="false">IF(B27&gt;B28,B31*(1+B28/100)/((B27-B28)/100),B31*B29)</f>
        <v>207528.823996933</v>
      </c>
    </row>
    <row r="33" customFormat="false" ht="15" hidden="false" customHeight="false" outlineLevel="0" collapsed="false">
      <c r="A33" s="0" t="s">
        <v>130</v>
      </c>
      <c r="B33" s="0" t="n">
        <f aca="false">B31*B29</f>
        <v>179044.475605197</v>
      </c>
    </row>
    <row r="34" customFormat="false" ht="15" hidden="false" customHeight="false" outlineLevel="0" collapsed="false">
      <c r="A34" s="0" t="s">
        <v>131</v>
      </c>
      <c r="B34" s="0" t="n">
        <f aca="false">MAX(0,MIN(B32,B33))</f>
        <v>179044.475605197</v>
      </c>
    </row>
    <row r="35" customFormat="false" ht="15" hidden="false" customHeight="false" outlineLevel="0" collapsed="false">
      <c r="A35" s="0" t="s">
        <v>132</v>
      </c>
      <c r="B35" s="0" t="n">
        <f aca="false">B34/(1+B27/100)^L4</f>
        <v>99977.5000134485</v>
      </c>
    </row>
    <row r="36" customFormat="false" ht="15" hidden="false" customHeight="false" outlineLevel="0" collapsed="false">
      <c r="A36" s="0" t="s">
        <v>133</v>
      </c>
      <c r="B36" s="0" t="n">
        <f aca="false">B30+B35</f>
        <v>135138.099651325</v>
      </c>
    </row>
    <row r="37" customFormat="false" ht="15" hidden="false" customHeight="false" outlineLevel="0" collapsed="false">
      <c r="A37" s="0" t="s">
        <v>134</v>
      </c>
      <c r="B37" s="0" t="n">
        <f aca="false">B36+Assumptions!$B$5-Assumptions!$B$4</f>
        <v>59603.0996513247</v>
      </c>
    </row>
    <row r="38" customFormat="false" ht="15" hidden="false" customHeight="false" outlineLevel="0" collapsed="false">
      <c r="A38" s="0" t="s">
        <v>135</v>
      </c>
      <c r="B38" s="0" t="n">
        <f aca="false">B37/Assumptions!$B$3*Assumptions!$B$10</f>
        <v>23.3829343473223</v>
      </c>
    </row>
    <row r="39" customFormat="false" ht="15" hidden="false" customHeight="false" outlineLevel="0" collapsed="false">
      <c r="A39" s="0" t="s">
        <v>136</v>
      </c>
      <c r="B39" s="4" t="n">
        <f aca="false">B38/Assumptions!$B$2-1</f>
        <v>0.0251176829163675</v>
      </c>
    </row>
    <row r="41" customFormat="false" ht="15" hidden="false" customHeight="false" outlineLevel="0" collapsed="false">
      <c r="A41" s="0" t="s">
        <v>137</v>
      </c>
      <c r="B41" s="0" t="n">
        <f aca="false">SUMPRODUCT(-C10:L10/(1+$B$27/100)^C4:L4)</f>
        <v>874.32162085921</v>
      </c>
    </row>
    <row r="42" customFormat="false" ht="15" hidden="false" customHeight="false" outlineLevel="0" collapsed="false">
      <c r="A42" s="0" t="s">
        <v>138</v>
      </c>
      <c r="B42" s="0" t="n">
        <f aca="false">IF(B27&gt;B28,-L10*(1+B28/100)/((B27-B28)/100),-L10*20)/(1+B27/100)^L4</f>
        <v>1881.2177171952</v>
      </c>
    </row>
    <row r="43" customFormat="false" ht="15" hidden="false" customHeight="false" outlineLevel="0" collapsed="false">
      <c r="A43" s="0" t="s">
        <v>139</v>
      </c>
      <c r="B43" s="0" t="n">
        <f aca="false">(B37+B41+B42)/Assumptions!$B$3*Assumptions!$B$10</f>
        <v>24.4639619416944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63855.0227682872</v>
      </c>
    </row>
    <row r="47" customFormat="false" ht="15" hidden="false" customHeight="false" outlineLevel="0" collapsed="false">
      <c r="A47" s="0" t="s">
        <v>141</v>
      </c>
      <c r="B47" s="0" t="n">
        <f aca="false">(SUMPRODUCT(C19:L19/(1+B45/100)^C4:L4)+B46/(1+B45/100)^L4+Assumptions!$B$5-Assumptions!$B$4)/Assumptions!$B$3*Assumptions!$B$10</f>
        <v>-14.9624830158899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-0.5</v>
      </c>
      <c r="D5" s="4" t="n">
        <f aca="false">Assumptions!D41</f>
        <v>4</v>
      </c>
      <c r="E5" s="4" t="n">
        <f aca="false">Assumptions!E41</f>
        <v>3</v>
      </c>
      <c r="F5" s="4" t="n">
        <f aca="false">Assumptions!F41</f>
        <v>3</v>
      </c>
      <c r="G5" s="4" t="n">
        <f aca="false">Assumptions!G41</f>
        <v>3</v>
      </c>
      <c r="H5" s="4" t="n">
        <f aca="false">Assumptions!H41</f>
        <v>3</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37</v>
      </c>
      <c r="B6" s="3" t="n">
        <v>71944</v>
      </c>
      <c r="C6" s="0" t="n">
        <f aca="false">B6*(1+C5/100)</f>
        <v>71584.28</v>
      </c>
      <c r="D6" s="0" t="n">
        <f aca="false">C6*(1+D5/100)</f>
        <v>74447.6512</v>
      </c>
      <c r="E6" s="0" t="n">
        <f aca="false">D6*(1+E5/100)</f>
        <v>76681.080736</v>
      </c>
      <c r="F6" s="0" t="n">
        <f aca="false">E6*(1+F5/100)</f>
        <v>78981.51315808</v>
      </c>
      <c r="G6" s="0" t="n">
        <f aca="false">F6*(1+G5/100)</f>
        <v>81350.9585528224</v>
      </c>
      <c r="H6" s="0" t="n">
        <f aca="false">G6*(1+H5/100)</f>
        <v>83791.4873094071</v>
      </c>
      <c r="I6" s="0" t="n">
        <f aca="false">H6*(1+I5/100)</f>
        <v>85886.2744921423</v>
      </c>
      <c r="J6" s="0" t="n">
        <f aca="false">I6*(1+J5/100)</f>
        <v>88033.4313544458</v>
      </c>
      <c r="K6" s="0" t="n">
        <f aca="false">J6*(1+K5/100)</f>
        <v>90234.2671383069</v>
      </c>
      <c r="L6" s="0" t="n">
        <f aca="false">K6*(1+L5/100)</f>
        <v>92490.1238167646</v>
      </c>
    </row>
    <row r="7" customFormat="false" ht="15" hidden="false" customHeight="false" outlineLevel="0" collapsed="false">
      <c r="A7" s="0" t="s">
        <v>98</v>
      </c>
      <c r="C7" s="4" t="n">
        <f aca="false">Assumptions!C42</f>
        <v>21.3</v>
      </c>
      <c r="D7" s="4" t="n">
        <f aca="false">Assumptions!D42</f>
        <v>22</v>
      </c>
      <c r="E7" s="4" t="n">
        <f aca="false">Assumptions!E42</f>
        <v>22.6</v>
      </c>
      <c r="F7" s="4" t="n">
        <f aca="false">Assumptions!F42</f>
        <v>23.2</v>
      </c>
      <c r="G7" s="4" t="n">
        <f aca="false">Assumptions!G42</f>
        <v>23.8</v>
      </c>
      <c r="H7" s="4" t="n">
        <f aca="false">Assumptions!H42</f>
        <v>24.3</v>
      </c>
      <c r="I7" s="4" t="n">
        <f aca="false">Assumptions!I42</f>
        <v>24.7</v>
      </c>
      <c r="J7" s="4" t="n">
        <f aca="false">Assumptions!J42</f>
        <v>25</v>
      </c>
      <c r="K7" s="4" t="n">
        <f aca="false">Assumptions!K42</f>
        <v>25</v>
      </c>
      <c r="L7" s="4" t="n">
        <f aca="false">Assumptions!L42</f>
        <v>25</v>
      </c>
    </row>
    <row r="8" customFormat="false" ht="15" hidden="false" customHeight="false" outlineLevel="0" collapsed="false">
      <c r="A8" s="0" t="s">
        <v>43</v>
      </c>
      <c r="C8" s="0" t="n">
        <f aca="false">C6*C7/100</f>
        <v>15247.45164</v>
      </c>
      <c r="D8" s="0" t="n">
        <f aca="false">D6*D7/100</f>
        <v>16378.483264</v>
      </c>
      <c r="E8" s="0" t="n">
        <f aca="false">E6*E7/100</f>
        <v>17329.924246336</v>
      </c>
      <c r="F8" s="0" t="n">
        <f aca="false">F6*F7/100</f>
        <v>18323.7110526746</v>
      </c>
      <c r="G8" s="0" t="n">
        <f aca="false">G6*G7/100</f>
        <v>19361.5281355717</v>
      </c>
      <c r="H8" s="0" t="n">
        <f aca="false">H6*H7/100</f>
        <v>20361.3314161859</v>
      </c>
      <c r="I8" s="0" t="n">
        <f aca="false">I6*I7/100</f>
        <v>21213.9097995591</v>
      </c>
      <c r="J8" s="0" t="n">
        <f aca="false">J6*J7/100</f>
        <v>22008.3578386115</v>
      </c>
      <c r="K8" s="0" t="n">
        <f aca="false">K6*K7/100</f>
        <v>22558.5667845767</v>
      </c>
      <c r="L8" s="0" t="n">
        <f aca="false">L6*L7/100</f>
        <v>23122.5309541912</v>
      </c>
    </row>
    <row r="9" customFormat="false" ht="15" hidden="false" customHeight="false" outlineLevel="0" collapsed="false">
      <c r="A9" s="0" t="s">
        <v>99</v>
      </c>
      <c r="C9" s="4" t="n">
        <f aca="false">Assumptions!C43</f>
        <v>0.15</v>
      </c>
      <c r="D9" s="4" t="n">
        <f aca="false">Assumptions!D43</f>
        <v>0.15</v>
      </c>
      <c r="E9" s="4" t="n">
        <f aca="false">Assumptions!E43</f>
        <v>0.15</v>
      </c>
      <c r="F9" s="4" t="n">
        <f aca="false">Assumptions!F43</f>
        <v>0.15</v>
      </c>
      <c r="G9" s="4" t="n">
        <f aca="false">Assumptions!G43</f>
        <v>0.15</v>
      </c>
      <c r="H9" s="4" t="n">
        <f aca="false">Assumptions!H43</f>
        <v>0.15</v>
      </c>
      <c r="I9" s="4" t="n">
        <f aca="false">Assumptions!I43</f>
        <v>0.15</v>
      </c>
      <c r="J9" s="4" t="n">
        <f aca="false">Assumptions!J43</f>
        <v>0.15</v>
      </c>
      <c r="K9" s="4" t="n">
        <f aca="false">Assumptions!K43</f>
        <v>0.15</v>
      </c>
      <c r="L9" s="4" t="n">
        <f aca="false">Assumptions!L43</f>
        <v>0.15</v>
      </c>
    </row>
    <row r="10" customFormat="false" ht="15" hidden="false" customHeight="false" outlineLevel="0" collapsed="false">
      <c r="A10" s="0" t="s">
        <v>114</v>
      </c>
      <c r="C10" s="0" t="n">
        <f aca="false">-C6*C9/100</f>
        <v>-107.37642</v>
      </c>
      <c r="D10" s="0" t="n">
        <f aca="false">-D6*D9/100</f>
        <v>-111.6714768</v>
      </c>
      <c r="E10" s="0" t="n">
        <f aca="false">-E6*E9/100</f>
        <v>-115.021621104</v>
      </c>
      <c r="F10" s="0" t="n">
        <f aca="false">-F6*F9/100</f>
        <v>-118.47226973712</v>
      </c>
      <c r="G10" s="0" t="n">
        <f aca="false">-G6*G9/100</f>
        <v>-122.026437829234</v>
      </c>
      <c r="H10" s="0" t="n">
        <f aca="false">-H6*H9/100</f>
        <v>-125.687230964111</v>
      </c>
      <c r="I10" s="0" t="n">
        <f aca="false">-I6*I9/100</f>
        <v>-128.829411738213</v>
      </c>
      <c r="J10" s="0" t="n">
        <f aca="false">-J6*J9/100</f>
        <v>-132.050147031669</v>
      </c>
      <c r="K10" s="0" t="n">
        <f aca="false">-K6*K9/100</f>
        <v>-135.35140070746</v>
      </c>
      <c r="L10" s="0" t="n">
        <f aca="false">-L6*L9/100</f>
        <v>-138.735185725147</v>
      </c>
    </row>
    <row r="11" customFormat="false" ht="15" hidden="false" customHeight="false" outlineLevel="0" collapsed="false">
      <c r="A11" s="0" t="s">
        <v>115</v>
      </c>
      <c r="C11" s="0" t="n">
        <f aca="false">C8+C10+C24</f>
        <v>15140.07522</v>
      </c>
      <c r="D11" s="0" t="n">
        <f aca="false">D8+D10+D24</f>
        <v>16266.8117872</v>
      </c>
      <c r="E11" s="0" t="n">
        <f aca="false">E8+E10+E24</f>
        <v>17214.902625232</v>
      </c>
      <c r="F11" s="0" t="n">
        <f aca="false">F8+F10+F24</f>
        <v>18205.2387829374</v>
      </c>
      <c r="G11" s="0" t="n">
        <f aca="false">G8+G10+G24</f>
        <v>19239.5016977425</v>
      </c>
      <c r="H11" s="0" t="n">
        <f aca="false">H8+H10+H24</f>
        <v>20235.6441852218</v>
      </c>
      <c r="I11" s="0" t="n">
        <f aca="false">I8+I10+I24</f>
        <v>21085.0803878209</v>
      </c>
      <c r="J11" s="0" t="n">
        <f aca="false">J8+J10+J24</f>
        <v>21876.3076915798</v>
      </c>
      <c r="K11" s="0" t="n">
        <f aca="false">K8+K10+K24</f>
        <v>22423.2153838693</v>
      </c>
      <c r="L11" s="0" t="n">
        <f aca="false">L8+L10+L24</f>
        <v>22983.795768466</v>
      </c>
    </row>
    <row r="12" customFormat="false" ht="15" hidden="false" customHeight="false" outlineLevel="0" collapsed="false">
      <c r="A12" s="0" t="s">
        <v>116</v>
      </c>
      <c r="C12" s="4" t="n">
        <f aca="false">-C6*Assumptions!C45/100</f>
        <v>-5154.06816</v>
      </c>
      <c r="D12" s="4" t="n">
        <f aca="false">-D6*Assumptions!D45/100</f>
        <v>-5583.57384</v>
      </c>
      <c r="E12" s="4" t="n">
        <f aca="false">-E6*Assumptions!E45/100</f>
        <v>-5827.762135936</v>
      </c>
      <c r="F12" s="4" t="n">
        <f aca="false">-F6*Assumptions!F45/100</f>
        <v>-6081.57651317216</v>
      </c>
      <c r="G12" s="4" t="n">
        <f aca="false">-G6*Assumptions!G45/100</f>
        <v>-6264.02380856733</v>
      </c>
      <c r="H12" s="4" t="n">
        <f aca="false">-H6*Assumptions!H45/100</f>
        <v>-6451.94452282435</v>
      </c>
      <c r="I12" s="4" t="n">
        <f aca="false">-I6*Assumptions!I45/100</f>
        <v>-6699.1294103871</v>
      </c>
      <c r="J12" s="4" t="n">
        <f aca="false">-J6*Assumptions!J45/100</f>
        <v>-6866.60764564677</v>
      </c>
      <c r="K12" s="4" t="n">
        <f aca="false">-K6*Assumptions!K45/100</f>
        <v>-7038.27283678794</v>
      </c>
      <c r="L12" s="4" t="n">
        <f aca="false">-L6*Assumptions!L45/100</f>
        <v>-7214.22965770764</v>
      </c>
    </row>
    <row r="13" customFormat="false" ht="15" hidden="false" customHeight="false" outlineLevel="0" collapsed="false">
      <c r="A13" s="0" t="s">
        <v>117</v>
      </c>
      <c r="C13" s="0" t="n">
        <f aca="false">C11+C12</f>
        <v>9986.00706</v>
      </c>
      <c r="D13" s="0" t="n">
        <f aca="false">D11+D12</f>
        <v>10683.2379472</v>
      </c>
      <c r="E13" s="0" t="n">
        <f aca="false">E11+E12</f>
        <v>11387.140489296</v>
      </c>
      <c r="F13" s="0" t="n">
        <f aca="false">F11+F12</f>
        <v>12123.6622697653</v>
      </c>
      <c r="G13" s="0" t="n">
        <f aca="false">G11+G12</f>
        <v>12975.4778891752</v>
      </c>
      <c r="H13" s="0" t="n">
        <f aca="false">H11+H12</f>
        <v>13783.6996623975</v>
      </c>
      <c r="I13" s="0" t="n">
        <f aca="false">I11+I12</f>
        <v>14385.9509774338</v>
      </c>
      <c r="J13" s="0" t="n">
        <f aca="false">J11+J12</f>
        <v>15009.700045933</v>
      </c>
      <c r="K13" s="0" t="n">
        <f aca="false">K11+K12</f>
        <v>15384.9425470813</v>
      </c>
      <c r="L13" s="0" t="n">
        <f aca="false">L11+L12</f>
        <v>15769.5661107584</v>
      </c>
    </row>
    <row r="14" customFormat="false" ht="15" hidden="false" customHeight="false" outlineLevel="0" collapsed="false">
      <c r="A14" s="0" t="s">
        <v>103</v>
      </c>
      <c r="C14" s="4" t="n">
        <f aca="false">Assumptions!C47</f>
        <v>14</v>
      </c>
      <c r="D14" s="4" t="n">
        <f aca="false">Assumptions!D47</f>
        <v>16</v>
      </c>
      <c r="E14" s="4" t="n">
        <f aca="false">Assumptions!E47</f>
        <v>17</v>
      </c>
      <c r="F14" s="4" t="n">
        <f aca="false">Assumptions!F47</f>
        <v>18</v>
      </c>
      <c r="G14" s="4" t="n">
        <f aca="false">Assumptions!G47</f>
        <v>19</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118</v>
      </c>
      <c r="C15" s="0" t="n">
        <f aca="false">C13-MAX(0,C13)*C14/100</f>
        <v>8587.9660716</v>
      </c>
      <c r="D15" s="0" t="n">
        <f aca="false">D13-MAX(0,D13)*D14/100</f>
        <v>8973.919875648</v>
      </c>
      <c r="E15" s="0" t="n">
        <f aca="false">E13-MAX(0,E13)*E14/100</f>
        <v>9451.32660611568</v>
      </c>
      <c r="F15" s="0" t="n">
        <f aca="false">F13-MAX(0,F13)*F14/100</f>
        <v>9941.40306120753</v>
      </c>
      <c r="G15" s="0" t="n">
        <f aca="false">G13-MAX(0,G13)*G14/100</f>
        <v>10510.1370902319</v>
      </c>
      <c r="H15" s="0" t="n">
        <f aca="false">H13-MAX(0,H13)*H14/100</f>
        <v>11164.7967265419</v>
      </c>
      <c r="I15" s="0" t="n">
        <f aca="false">I13-MAX(0,I13)*I14/100</f>
        <v>11652.6202917214</v>
      </c>
      <c r="J15" s="0" t="n">
        <f aca="false">J13-MAX(0,J13)*J14/100</f>
        <v>12157.8570372057</v>
      </c>
      <c r="K15" s="0" t="n">
        <f aca="false">K13-MAX(0,K13)*K14/100</f>
        <v>12461.8034631359</v>
      </c>
      <c r="L15" s="0" t="n">
        <f aca="false">L13-MAX(0,L13)*L14/100</f>
        <v>12773.3485497143</v>
      </c>
    </row>
    <row r="16" customFormat="false" ht="15" hidden="false" customHeight="false" outlineLevel="0" collapsed="false">
      <c r="A16" s="0" t="s">
        <v>119</v>
      </c>
      <c r="C16" s="0" t="n">
        <f aca="false">-C12</f>
        <v>5154.06816</v>
      </c>
      <c r="D16" s="0" t="n">
        <f aca="false">-D12</f>
        <v>5583.57384</v>
      </c>
      <c r="E16" s="0" t="n">
        <f aca="false">-E12</f>
        <v>5827.762135936</v>
      </c>
      <c r="F16" s="0" t="n">
        <f aca="false">-F12</f>
        <v>6081.57651317216</v>
      </c>
      <c r="G16" s="0" t="n">
        <f aca="false">-G12</f>
        <v>6264.02380856733</v>
      </c>
      <c r="H16" s="0" t="n">
        <f aca="false">-H12</f>
        <v>6451.94452282435</v>
      </c>
      <c r="I16" s="0" t="n">
        <f aca="false">-I12</f>
        <v>6699.1294103871</v>
      </c>
      <c r="J16" s="0" t="n">
        <f aca="false">-J12</f>
        <v>6866.60764564677</v>
      </c>
      <c r="K16" s="0" t="n">
        <f aca="false">-K12</f>
        <v>7038.27283678794</v>
      </c>
      <c r="L16" s="0" t="n">
        <f aca="false">-L12</f>
        <v>7214.22965770764</v>
      </c>
    </row>
    <row r="17" customFormat="false" ht="15" hidden="false" customHeight="false" outlineLevel="0" collapsed="false">
      <c r="A17" s="0" t="s">
        <v>120</v>
      </c>
      <c r="C17" s="4" t="n">
        <f aca="false">-C6*Assumptions!C46/100</f>
        <v>-10666.05772</v>
      </c>
      <c r="D17" s="4" t="n">
        <f aca="false">-D6*Assumptions!D46/100</f>
        <v>-11837.1765408</v>
      </c>
      <c r="E17" s="4" t="n">
        <f aca="false">-E6*Assumptions!E46/100</f>
        <v>-11808.886433344</v>
      </c>
      <c r="F17" s="4" t="n">
        <f aca="false">-F6*Assumptions!F46/100</f>
        <v>-11373.3378947635</v>
      </c>
      <c r="G17" s="4" t="n">
        <f aca="false">-G6*Assumptions!G46/100</f>
        <v>-10901.0284460782</v>
      </c>
      <c r="H17" s="4" t="n">
        <f aca="false">-H6*Assumptions!H46/100</f>
        <v>-10390.1444263665</v>
      </c>
      <c r="I17" s="4" t="n">
        <f aca="false">-I6*Assumptions!I46/100</f>
        <v>-10220.4666645649</v>
      </c>
      <c r="J17" s="4" t="n">
        <f aca="false">-J6*Assumptions!J46/100</f>
        <v>-10035.8111744068</v>
      </c>
      <c r="K17" s="4" t="n">
        <f aca="false">-K6*Assumptions!K46/100</f>
        <v>-9835.53511807546</v>
      </c>
      <c r="L17" s="4" t="n">
        <f aca="false">-L6*Assumptions!L46/100</f>
        <v>-10081.4234960273</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3075.9765116</v>
      </c>
      <c r="D19" s="0" t="n">
        <f aca="false">D15+D16+D17+D18</f>
        <v>2720.317174848</v>
      </c>
      <c r="E19" s="0" t="n">
        <f aca="false">E15+E16+E17+E18</f>
        <v>3470.20230870768</v>
      </c>
      <c r="F19" s="0" t="n">
        <f aca="false">F15+F16+F17+F18</f>
        <v>4649.64167961617</v>
      </c>
      <c r="G19" s="0" t="n">
        <f aca="false">G15+G16+G17+G18</f>
        <v>5873.13245272101</v>
      </c>
      <c r="H19" s="0" t="n">
        <f aca="false">H15+H16+H17+H18</f>
        <v>7226.59682299982</v>
      </c>
      <c r="I19" s="0" t="n">
        <f aca="false">I15+I16+I17+I18</f>
        <v>8131.28303754357</v>
      </c>
      <c r="J19" s="0" t="n">
        <f aca="false">J15+J16+J17+J18</f>
        <v>8988.65350844569</v>
      </c>
      <c r="K19" s="0" t="n">
        <f aca="false">K15+K16+K17+K18</f>
        <v>9664.54118184836</v>
      </c>
      <c r="L19" s="0" t="n">
        <f aca="false">L15+L16+L17+L18</f>
        <v>9906.15471139458</v>
      </c>
    </row>
    <row r="20" customFormat="false" ht="15" hidden="false" customHeight="false" outlineLevel="0" collapsed="false">
      <c r="A20" s="0" t="s">
        <v>123</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124</v>
      </c>
      <c r="C21" s="0" t="n">
        <f aca="false">C19*C20</f>
        <v>2901.8646335849</v>
      </c>
      <c r="D21" s="0" t="n">
        <f aca="false">D19*D20</f>
        <v>2421.07260132431</v>
      </c>
      <c r="E21" s="0" t="n">
        <f aca="false">E19*E20</f>
        <v>2913.64877441418</v>
      </c>
      <c r="F21" s="0" t="n">
        <f aca="false">F19*F20</f>
        <v>3682.95171075135</v>
      </c>
      <c r="G21" s="0" t="n">
        <f aca="false">G19*G20</f>
        <v>4388.74622562065</v>
      </c>
      <c r="H21" s="0" t="n">
        <f aca="false">H19*H20</f>
        <v>5094.4656018816</v>
      </c>
      <c r="I21" s="0" t="n">
        <f aca="false">I19*I20</f>
        <v>5407.76762699499</v>
      </c>
      <c r="J21" s="0" t="n">
        <f aca="false">J19*J20</f>
        <v>5639.59241290394</v>
      </c>
      <c r="K21" s="0" t="n">
        <f aca="false">K19*K20</f>
        <v>5720.4270762587</v>
      </c>
      <c r="L21" s="0" t="n">
        <f aca="false">L19*L20</f>
        <v>5531.54505015582</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6</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24</v>
      </c>
    </row>
    <row r="30" customFormat="false" ht="15" hidden="false" customHeight="false" outlineLevel="0" collapsed="false">
      <c r="A30" s="0" t="s">
        <v>127</v>
      </c>
      <c r="B30" s="0" t="n">
        <f aca="false">SUM(C21:L21)</f>
        <v>43702.0817138904</v>
      </c>
    </row>
    <row r="31" customFormat="false" ht="15" hidden="false" customHeight="false" outlineLevel="0" collapsed="false">
      <c r="A31" s="0" t="s">
        <v>128</v>
      </c>
      <c r="B31" s="0" t="n">
        <f aca="false">L19</f>
        <v>9906.15471139458</v>
      </c>
    </row>
    <row r="32" customFormat="false" ht="15" hidden="false" customHeight="false" outlineLevel="0" collapsed="false">
      <c r="A32" s="0" t="s">
        <v>129</v>
      </c>
      <c r="B32" s="0" t="n">
        <f aca="false">IF(B27&gt;B28,B31*(1+B28/100)/((B27-B28)/100),B31*B29)</f>
        <v>290108.816547984</v>
      </c>
    </row>
    <row r="33" customFormat="false" ht="15" hidden="false" customHeight="false" outlineLevel="0" collapsed="false">
      <c r="A33" s="0" t="s">
        <v>130</v>
      </c>
      <c r="B33" s="0" t="n">
        <f aca="false">B31*B29</f>
        <v>237747.71307347</v>
      </c>
    </row>
    <row r="34" customFormat="false" ht="15" hidden="false" customHeight="false" outlineLevel="0" collapsed="false">
      <c r="A34" s="0" t="s">
        <v>131</v>
      </c>
      <c r="B34" s="0" t="n">
        <f aca="false">MAX(0,MIN(B32,B33))</f>
        <v>237747.71307347</v>
      </c>
    </row>
    <row r="35" customFormat="false" ht="15" hidden="false" customHeight="false" outlineLevel="0" collapsed="false">
      <c r="A35" s="0" t="s">
        <v>132</v>
      </c>
      <c r="B35" s="0" t="n">
        <f aca="false">B34/(1+B27/100)^L4</f>
        <v>132757.08120374</v>
      </c>
    </row>
    <row r="36" customFormat="false" ht="15" hidden="false" customHeight="false" outlineLevel="0" collapsed="false">
      <c r="A36" s="0" t="s">
        <v>133</v>
      </c>
      <c r="B36" s="0" t="n">
        <f aca="false">B30+B35</f>
        <v>176459.16291763</v>
      </c>
    </row>
    <row r="37" customFormat="false" ht="15" hidden="false" customHeight="false" outlineLevel="0" collapsed="false">
      <c r="A37" s="0" t="s">
        <v>134</v>
      </c>
      <c r="B37" s="0" t="n">
        <f aca="false">B36+Assumptions!$B$5-Assumptions!$B$4</f>
        <v>100924.16291763</v>
      </c>
    </row>
    <row r="38" customFormat="false" ht="15" hidden="false" customHeight="false" outlineLevel="0" collapsed="false">
      <c r="A38" s="0" t="s">
        <v>135</v>
      </c>
      <c r="B38" s="0" t="n">
        <f aca="false">B37/Assumptions!$B$3*Assumptions!$B$10</f>
        <v>39.5936300186858</v>
      </c>
    </row>
    <row r="39" customFormat="false" ht="15" hidden="false" customHeight="false" outlineLevel="0" collapsed="false">
      <c r="A39" s="0" t="s">
        <v>136</v>
      </c>
      <c r="B39" s="4" t="n">
        <f aca="false">B38/Assumptions!$B$2-1</f>
        <v>0.735801403712661</v>
      </c>
    </row>
    <row r="41" customFormat="false" ht="15" hidden="false" customHeight="false" outlineLevel="0" collapsed="false">
      <c r="A41" s="0" t="s">
        <v>137</v>
      </c>
      <c r="B41" s="0" t="n">
        <f aca="false">SUMPRODUCT(-C10:L10/(1+$B$27/100)^C4:L4)</f>
        <v>897.003124454409</v>
      </c>
    </row>
    <row r="42" customFormat="false" ht="15" hidden="false" customHeight="false" outlineLevel="0" collapsed="false">
      <c r="A42" s="0" t="s">
        <v>138</v>
      </c>
      <c r="B42" s="0" t="n">
        <f aca="false">IF(B27&gt;B28,-L10*(1+B28/100)/((B27-B28)/100),-L10*20)/(1+B27/100)^L4</f>
        <v>2268.73509029579</v>
      </c>
    </row>
    <row r="43" customFormat="false" ht="15" hidden="false" customHeight="false" outlineLevel="0" collapsed="false">
      <c r="A43" s="0" t="s">
        <v>139</v>
      </c>
      <c r="B43" s="0" t="n">
        <f aca="false">(B37+B41+B42)/Assumptions!$B$3*Assumptions!$B$10</f>
        <v>40.8355830256494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81230.4686334355</v>
      </c>
    </row>
    <row r="47" customFormat="false" ht="15" hidden="false" customHeight="false" outlineLevel="0" collapsed="false">
      <c r="A47" s="0" t="s">
        <v>141</v>
      </c>
      <c r="B47" s="0" t="n">
        <f aca="false">(SUMPRODUCT(C19:L19/(1+B45/100)^C4:L4)+B46/(1+B45/100)^L4+Assumptions!$B$5-Assumptions!$B$4)/Assumptions!$B$3*Assumptions!$B$10</f>
        <v>-11.1999923868002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4.44907504960846</v>
      </c>
      <c r="C4" s="0" t="n">
        <f aca="false">B4/Assumptions!$B$2-1</f>
        <v>-0.804950677351668</v>
      </c>
      <c r="D4" s="4" t="n">
        <f aca="false">Assumptions!$B$24</f>
        <v>0.25</v>
      </c>
      <c r="E4" s="4" t="n">
        <f aca="false">DCF_Bear!$B$43</f>
        <v>5.36653138321976</v>
      </c>
      <c r="F4" s="4" t="n">
        <f aca="false">DCF_Bear!$B$47</f>
        <v>-19.6261346560356</v>
      </c>
    </row>
    <row r="5" customFormat="false" ht="15" hidden="false" customHeight="false" outlineLevel="0" collapsed="false">
      <c r="A5" s="0" t="s">
        <v>150</v>
      </c>
      <c r="B5" s="4" t="n">
        <f aca="false">DCF_Base!$B$38</f>
        <v>23.3829343473223</v>
      </c>
      <c r="C5" s="0" t="n">
        <f aca="false">B5/Assumptions!$B$2-1</f>
        <v>0.0251176829163675</v>
      </c>
      <c r="D5" s="4" t="n">
        <f aca="false">Assumptions!$B$38</f>
        <v>0.5</v>
      </c>
      <c r="E5" s="4" t="n">
        <f aca="false">DCF_Base!$B$43</f>
        <v>24.4639619416944</v>
      </c>
      <c r="F5" s="4" t="n">
        <f aca="false">DCF_Base!$B$47</f>
        <v>-14.9624830158899</v>
      </c>
    </row>
    <row r="6" customFormat="false" ht="15" hidden="false" customHeight="false" outlineLevel="0" collapsed="false">
      <c r="A6" s="0" t="s">
        <v>151</v>
      </c>
      <c r="B6" s="4" t="n">
        <f aca="false">DCF_Bull!$B$38</f>
        <v>39.5936300186858</v>
      </c>
      <c r="C6" s="0" t="n">
        <f aca="false">B6/Assumptions!$B$2-1</f>
        <v>0.735801403712661</v>
      </c>
      <c r="D6" s="4" t="n">
        <f aca="false">Assumptions!$B$52</f>
        <v>0.25</v>
      </c>
      <c r="E6" s="4" t="n">
        <f aca="false">DCF_Bull!$B$43</f>
        <v>40.8355830256494</v>
      </c>
      <c r="F6" s="4" t="n">
        <f aca="false">DCF_Bull!$B$47</f>
        <v>-11.1999923868002</v>
      </c>
    </row>
    <row r="8" customFormat="false" ht="15" hidden="false" customHeight="false" outlineLevel="0" collapsed="false">
      <c r="A8" s="0" t="s">
        <v>152</v>
      </c>
      <c r="B8" s="0" t="n">
        <f aca="false">SUMPRODUCT(B4:B6,D4:D6)</f>
        <v>22.7021434407347</v>
      </c>
    </row>
    <row r="9" customFormat="false" ht="15" hidden="false" customHeight="false" outlineLevel="0" collapsed="false">
      <c r="A9" s="0" t="s">
        <v>153</v>
      </c>
      <c r="B9" s="0" t="n">
        <f aca="false">SUMPRODUCT(E4:E6,D4:D6)</f>
        <v>23.7825095730645</v>
      </c>
    </row>
    <row r="10" customFormat="false" ht="15" hidden="false" customHeight="false" outlineLevel="0" collapsed="false">
      <c r="A10" s="0" t="s">
        <v>154</v>
      </c>
      <c r="B10" s="0" t="n">
        <f aca="false">1-Assumptions!$B$2/B8</f>
        <v>-0.00475094166975154</v>
      </c>
    </row>
    <row r="11" customFormat="false" ht="15" hidden="false" customHeight="false" outlineLevel="0" collapsed="false">
      <c r="A11" s="0" t="s">
        <v>155</v>
      </c>
      <c r="B11" s="0" t="n">
        <f aca="false">IF(ABS(B9-B8)&gt;0.01*ABS(B8),(Assumptions!$B$2-B8)/(B9-B8)*100,"n/a")</f>
        <v>9.98333398629168</v>
      </c>
    </row>
    <row r="12" customFormat="false" ht="15" hidden="false" customHeight="false" outlineLevel="0" collapsed="false">
      <c r="A12" s="0" t="s">
        <v>156</v>
      </c>
      <c r="B12" s="0" t="n">
        <f aca="false">SUMPRODUCT(F4:F6,D4:D6)</f>
        <v>-15.1877732686539</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23.3829343473223</v>
      </c>
      <c r="C15" s="3" t="n">
        <v>6</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1.62760256825869</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-2.95247835294319</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-6.48097065664244</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-9.27541465617735</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-14.9624830158899</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4</v>
      </c>
      <c r="B24" s="0" t="n">
        <f aca="false">(SUMPRODUCT(DCF_Base!$C$19:$L$19/(1+$A$24/100)^DCF_Base!$C$4:$L$4)+MAX(0,MIN(IF($A$24&gt;$B$23,DCF_Base!$L$19*(1+$B$23/100)/(($A$24-$B$23)/100),DCF_Base!$L$19*DCF_Base!$B$29),DCF_Base!$L$19*DCF_Base!$B$29))/(1+$A$24/100)^DCF_Base!$L$4+Assumptions!$B$5-Assumptions!$B$4)/Assumptions!$B$3*Assumptions!$B$10</f>
        <v>33.3881805020237</v>
      </c>
      <c r="C24" s="0" t="n">
        <f aca="false">(SUMPRODUCT(DCF_Base!$C$19:$L$19/(1+$A$24/100)^DCF_Base!$C$4:$L$4)+MAX(0,MIN(IF($A$24&gt;$C$23,DCF_Base!$L$19*(1+$C$23/100)/(($A$24-$C$23)/100),DCF_Base!$L$19*DCF_Base!$B$29),DCF_Base!$L$19*DCF_Base!$B$29))/(1+$A$24/100)^DCF_Base!$L$4+Assumptions!$B$5-Assumptions!$B$4)/Assumptions!$B$3*Assumptions!$B$10</f>
        <v>33.3881805020237</v>
      </c>
      <c r="D24" s="0" t="n">
        <f aca="false">(SUMPRODUCT(DCF_Base!$C$19:$L$19/(1+$A$24/100)^DCF_Base!$C$4:$L$4)+MAX(0,MIN(IF($A$24&gt;$D$23,DCF_Base!$L$19*(1+$D$23/100)/(($A$24-$D$23)/100),DCF_Base!$L$19*DCF_Base!$B$29),DCF_Base!$L$19*DCF_Base!$B$29))/(1+$A$24/100)^DCF_Base!$L$4+Assumptions!$B$5-Assumptions!$B$4)/Assumptions!$B$3*Assumptions!$B$10</f>
        <v>33.3881805020237</v>
      </c>
      <c r="E24" s="0" t="n">
        <f aca="false">(SUMPRODUCT(DCF_Base!$C$19:$L$19/(1+$A$24/100)^DCF_Base!$C$4:$L$4)+MAX(0,MIN(IF($A$24&gt;$E$23,DCF_Base!$L$19*(1+$E$23/100)/(($A$24-$E$23)/100),DCF_Base!$L$19*DCF_Base!$B$29),DCF_Base!$L$19*DCF_Base!$B$29))/(1+$A$24/100)^DCF_Base!$L$4+Assumptions!$B$5-Assumptions!$B$4)/Assumptions!$B$3*Assumptions!$B$10</f>
        <v>33.3881805020237</v>
      </c>
      <c r="F24" s="0" t="n">
        <f aca="false">(SUMPRODUCT(DCF_Base!$C$19:$L$19/(1+$A$24/100)^DCF_Base!$C$4:$L$4)+MAX(0,MIN(IF($A$24&gt;$F$23,DCF_Base!$L$19*(1+$F$23/100)/(($A$24-$F$23)/100),DCF_Base!$L$19*DCF_Base!$B$29),DCF_Base!$L$19*DCF_Base!$B$29))/(1+$A$24/100)^DCF_Base!$L$4+Assumptions!$B$5-Assumptions!$B$4)/Assumptions!$B$3*Assumptions!$B$10</f>
        <v>33.3881805020237</v>
      </c>
    </row>
    <row r="25" customFormat="false" ht="15" hidden="false" customHeight="false" outlineLevel="0" collapsed="false">
      <c r="A25" s="3" t="n">
        <v>5</v>
      </c>
      <c r="B25" s="0" t="n">
        <f aca="false">(SUMPRODUCT(DCF_Base!$C$19:$L$19/(1+$A$25/100)^DCF_Base!$C$4:$L$4)+MAX(0,MIN(IF($A$25&gt;$B$23,DCF_Base!$L$19*(1+$B$23/100)/(($A$25-$B$23)/100),DCF_Base!$L$19*DCF_Base!$B$29),DCF_Base!$L$19*DCF_Base!$B$29))/(1+$A$25/100)^DCF_Base!$L$4+Assumptions!$B$5-Assumptions!$B$4)/Assumptions!$B$3*Assumptions!$B$10</f>
        <v>28.1341927197928</v>
      </c>
      <c r="C25" s="0" t="n">
        <f aca="false">(SUMPRODUCT(DCF_Base!$C$19:$L$19/(1+$A$25/100)^DCF_Base!$C$4:$L$4)+MAX(0,MIN(IF($A$25&gt;$C$23,DCF_Base!$L$19*(1+$C$23/100)/(($A$25-$C$23)/100),DCF_Base!$L$19*DCF_Base!$B$29),DCF_Base!$L$19*DCF_Base!$B$29))/(1+$A$25/100)^DCF_Base!$L$4+Assumptions!$B$5-Assumptions!$B$4)/Assumptions!$B$3*Assumptions!$B$10</f>
        <v>28.1341927197928</v>
      </c>
      <c r="D25" s="0" t="n">
        <f aca="false">(SUMPRODUCT(DCF_Base!$C$19:$L$19/(1+$A$25/100)^DCF_Base!$C$4:$L$4)+MAX(0,MIN(IF($A$25&gt;$D$23,DCF_Base!$L$19*(1+$D$23/100)/(($A$25-$D$23)/100),DCF_Base!$L$19*DCF_Base!$B$29),DCF_Base!$L$19*DCF_Base!$B$29))/(1+$A$25/100)^DCF_Base!$L$4+Assumptions!$B$5-Assumptions!$B$4)/Assumptions!$B$3*Assumptions!$B$10</f>
        <v>28.1341927197928</v>
      </c>
      <c r="E25" s="0" t="n">
        <f aca="false">(SUMPRODUCT(DCF_Base!$C$19:$L$19/(1+$A$25/100)^DCF_Base!$C$4:$L$4)+MAX(0,MIN(IF($A$25&gt;$E$23,DCF_Base!$L$19*(1+$E$23/100)/(($A$25-$E$23)/100),DCF_Base!$L$19*DCF_Base!$B$29),DCF_Base!$L$19*DCF_Base!$B$29))/(1+$A$25/100)^DCF_Base!$L$4+Assumptions!$B$5-Assumptions!$B$4)/Assumptions!$B$3*Assumptions!$B$10</f>
        <v>28.1341927197928</v>
      </c>
      <c r="F25" s="0" t="n">
        <f aca="false">(SUMPRODUCT(DCF_Base!$C$19:$L$19/(1+$A$25/100)^DCF_Base!$C$4:$L$4)+MAX(0,MIN(IF($A$25&gt;$F$23,DCF_Base!$L$19*(1+$F$23/100)/(($A$25-$F$23)/100),DCF_Base!$L$19*DCF_Base!$B$29),DCF_Base!$L$19*DCF_Base!$B$29))/(1+$A$25/100)^DCF_Base!$L$4+Assumptions!$B$5-Assumptions!$B$4)/Assumptions!$B$3*Assumptions!$B$10</f>
        <v>28.1341927197928</v>
      </c>
    </row>
    <row r="26" customFormat="false" ht="15" hidden="false" customHeight="false" outlineLevel="0" collapsed="false">
      <c r="A26" s="3" t="n">
        <v>6</v>
      </c>
      <c r="B26" s="0" t="n">
        <f aca="false">(SUMPRODUCT(DCF_Base!$C$19:$L$19/(1+$A$26/100)^DCF_Base!$C$4:$L$4)+MAX(0,MIN(IF($A$26&gt;$B$23,DCF_Base!$L$19*(1+$B$23/100)/(($A$26-$B$23)/100),DCF_Base!$L$19*DCF_Base!$B$29),DCF_Base!$L$19*DCF_Base!$B$29))/(1+$A$26/100)^DCF_Base!$L$4+Assumptions!$B$5-Assumptions!$B$4)/Assumptions!$B$3*Assumptions!$B$10</f>
        <v>20.1738416545693</v>
      </c>
      <c r="C26" s="0" t="n">
        <f aca="false">(SUMPRODUCT(DCF_Base!$C$19:$L$19/(1+$A$26/100)^DCF_Base!$C$4:$L$4)+MAX(0,MIN(IF($A$26&gt;$C$23,DCF_Base!$L$19*(1+$C$23/100)/(($A$26-$C$23)/100),DCF_Base!$L$19*DCF_Base!$B$29),DCF_Base!$L$19*DCF_Base!$B$29))/(1+$A$26/100)^DCF_Base!$L$4+Assumptions!$B$5-Assumptions!$B$4)/Assumptions!$B$3*Assumptions!$B$10</f>
        <v>23.3829343473223</v>
      </c>
      <c r="D26" s="0" t="n">
        <f aca="false">(SUMPRODUCT(DCF_Base!$C$19:$L$19/(1+$A$26/100)^DCF_Base!$C$4:$L$4)+MAX(0,MIN(IF($A$26&gt;$D$23,DCF_Base!$L$19*(1+$D$23/100)/(($A$26-$D$23)/100),DCF_Base!$L$19*DCF_Base!$B$29),DCF_Base!$L$19*DCF_Base!$B$29))/(1+$A$26/100)^DCF_Base!$L$4+Assumptions!$B$5-Assumptions!$B$4)/Assumptions!$B$3*Assumptions!$B$10</f>
        <v>23.3829343473223</v>
      </c>
      <c r="E26" s="0" t="n">
        <f aca="false">(SUMPRODUCT(DCF_Base!$C$19:$L$19/(1+$A$26/100)^DCF_Base!$C$4:$L$4)+MAX(0,MIN(IF($A$26&gt;$E$23,DCF_Base!$L$19*(1+$E$23/100)/(($A$26-$E$23)/100),DCF_Base!$L$19*DCF_Base!$B$29),DCF_Base!$L$19*DCF_Base!$B$29))/(1+$A$26/100)^DCF_Base!$L$4+Assumptions!$B$5-Assumptions!$B$4)/Assumptions!$B$3*Assumptions!$B$10</f>
        <v>23.3829343473223</v>
      </c>
      <c r="F26" s="0" t="n">
        <f aca="false">(SUMPRODUCT(DCF_Base!$C$19:$L$19/(1+$A$26/100)^DCF_Base!$C$4:$L$4)+MAX(0,MIN(IF($A$26&gt;$F$23,DCF_Base!$L$19*(1+$F$23/100)/(($A$26-$F$23)/100),DCF_Base!$L$19*DCF_Base!$B$29),DCF_Base!$L$19*DCF_Base!$B$29))/(1+$A$26/100)^DCF_Base!$L$4+Assumptions!$B$5-Assumptions!$B$4)/Assumptions!$B$3*Assumptions!$B$10</f>
        <v>23.3829343473223</v>
      </c>
    </row>
    <row r="27" customFormat="false" ht="15" hidden="false" customHeight="false" outlineLevel="0" collapsed="false">
      <c r="A27" s="3" t="n">
        <v>7</v>
      </c>
      <c r="B27" s="0" t="n">
        <f aca="false">(SUMPRODUCT(DCF_Base!$C$19:$L$19/(1+$A$27/100)^DCF_Base!$C$4:$L$4)+MAX(0,MIN(IF($A$27&gt;$B$23,DCF_Base!$L$19*(1+$B$23/100)/(($A$27-$B$23)/100),DCF_Base!$L$19*DCF_Base!$B$29),DCF_Base!$L$19*DCF_Base!$B$29))/(1+$A$27/100)^DCF_Base!$L$4+Assumptions!$B$5-Assumptions!$B$4)/Assumptions!$B$3*Assumptions!$B$10</f>
        <v>10.6958083743558</v>
      </c>
      <c r="C27" s="0" t="n">
        <f aca="false">(SUMPRODUCT(DCF_Base!$C$19:$L$19/(1+$A$27/100)^DCF_Base!$C$4:$L$4)+MAX(0,MIN(IF($A$27&gt;$C$23,DCF_Base!$L$19*(1+$C$23/100)/(($A$27-$C$23)/100),DCF_Base!$L$19*DCF_Base!$B$29),DCF_Base!$L$19*DCF_Base!$B$29))/(1+$A$27/100)^DCF_Base!$L$4+Assumptions!$B$5-Assumptions!$B$4)/Assumptions!$B$3*Assumptions!$B$10</f>
        <v>13.327109033096</v>
      </c>
      <c r="D27" s="0" t="n">
        <f aca="false">(SUMPRODUCT(DCF_Base!$C$19:$L$19/(1+$A$27/100)^DCF_Base!$C$4:$L$4)+MAX(0,MIN(IF($A$27&gt;$D$23,DCF_Base!$L$19*(1+$D$23/100)/(($A$27-$D$23)/100),DCF_Base!$L$19*DCF_Base!$B$29),DCF_Base!$L$19*DCF_Base!$B$29))/(1+$A$27/100)^DCF_Base!$L$4+Assumptions!$B$5-Assumptions!$B$4)/Assumptions!$B$3*Assumptions!$B$10</f>
        <v>16.4846698235843</v>
      </c>
      <c r="E27" s="0" t="n">
        <f aca="false">(SUMPRODUCT(DCF_Base!$C$19:$L$19/(1+$A$27/100)^DCF_Base!$C$4:$L$4)+MAX(0,MIN(IF($A$27&gt;$E$23,DCF_Base!$L$19*(1+$E$23/100)/(($A$27-$E$23)/100),DCF_Base!$L$19*DCF_Base!$B$29),DCF_Base!$L$19*DCF_Base!$B$29))/(1+$A$27/100)^DCF_Base!$L$4+Assumptions!$B$5-Assumptions!$B$4)/Assumptions!$B$3*Assumptions!$B$10</f>
        <v>19.0815422494064</v>
      </c>
      <c r="F27" s="0" t="n">
        <f aca="false">(SUMPRODUCT(DCF_Base!$C$19:$L$19/(1+$A$27/100)^DCF_Base!$C$4:$L$4)+MAX(0,MIN(IF($A$27&gt;$F$23,DCF_Base!$L$19*(1+$F$23/100)/(($A$27-$F$23)/100),DCF_Base!$L$19*DCF_Base!$B$29),DCF_Base!$L$19*DCF_Base!$B$29))/(1+$A$27/100)^DCF_Base!$L$4+Assumptions!$B$5-Assumptions!$B$4)/Assumptions!$B$3*Assumptions!$B$10</f>
        <v>19.0815422494064</v>
      </c>
    </row>
    <row r="28" customFormat="false" ht="15" hidden="false" customHeight="false" outlineLevel="0" collapsed="false">
      <c r="A28" s="3" t="n">
        <v>8</v>
      </c>
      <c r="B28" s="0" t="n">
        <f aca="false">(SUMPRODUCT(DCF_Base!$C$19:$L$19/(1+$A$28/100)^DCF_Base!$C$4:$L$4)+MAX(0,MIN(IF($A$28&gt;$B$23,DCF_Base!$L$19*(1+$B$23/100)/(($A$28-$B$23)/100),DCF_Base!$L$19*DCF_Base!$B$29),DCF_Base!$L$19*DCF_Base!$B$29))/(1+$A$28/100)^DCF_Base!$L$4+Assumptions!$B$5-Assumptions!$B$4)/Assumptions!$B$3*Assumptions!$B$10</f>
        <v>3.98598683351625</v>
      </c>
      <c r="C28" s="0" t="n">
        <f aca="false">(SUMPRODUCT(DCF_Base!$C$19:$L$19/(1+$A$28/100)^DCF_Base!$C$4:$L$4)+MAX(0,MIN(IF($A$28&gt;$C$23,DCF_Base!$L$19*(1+$C$23/100)/(($A$28-$C$23)/100),DCF_Base!$L$19*DCF_Base!$B$29),DCF_Base!$L$19*DCF_Base!$B$29))/(1+$A$28/100)^DCF_Base!$L$4+Assumptions!$B$5-Assumptions!$B$4)/Assumptions!$B$3*Assumptions!$B$10</f>
        <v>5.74113270749503</v>
      </c>
      <c r="D28" s="0" t="n">
        <f aca="false">(SUMPRODUCT(DCF_Base!$C$19:$L$19/(1+$A$28/100)^DCF_Base!$C$4:$L$4)+MAX(0,MIN(IF($A$28&gt;$D$23,DCF_Base!$L$19*(1+$D$23/100)/(($A$28-$D$23)/100),DCF_Base!$L$19*DCF_Base!$B$29),DCF_Base!$L$19*DCF_Base!$B$29))/(1+$A$28/100)^DCF_Base!$L$4+Assumptions!$B$5-Assumptions!$B$4)/Assumptions!$B$3*Assumptions!$B$10</f>
        <v>7.78880289380361</v>
      </c>
      <c r="E28" s="0" t="n">
        <f aca="false">(SUMPRODUCT(DCF_Base!$C$19:$L$19/(1+$A$28/100)^DCF_Base!$C$4:$L$4)+MAX(0,MIN(IF($A$28&gt;$E$23,DCF_Base!$L$19*(1+$E$23/100)/(($A$28-$E$23)/100),DCF_Base!$L$19*DCF_Base!$B$29),DCF_Base!$L$19*DCF_Base!$B$29))/(1+$A$28/100)^DCF_Base!$L$4+Assumptions!$B$5-Assumptions!$B$4)/Assumptions!$B$3*Assumptions!$B$10</f>
        <v>10.2087767503501</v>
      </c>
      <c r="F28" s="0" t="n">
        <f aca="false">(SUMPRODUCT(DCF_Base!$C$19:$L$19/(1+$A$28/100)^DCF_Base!$C$4:$L$4)+MAX(0,MIN(IF($A$28&gt;$F$23,DCF_Base!$L$19*(1+$F$23/100)/(($A$28-$F$23)/100),DCF_Base!$L$19*DCF_Base!$B$29),DCF_Base!$L$19*DCF_Base!$B$29))/(1+$A$28/100)^DCF_Base!$L$4+Assumptions!$B$5-Assumptions!$B$4)/Assumptions!$B$3*Assumptions!$B$10</f>
        <v>13.1127453782059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2026-10-25T13:18:08Z</dcterms:created>
  <dc:creator>openpyxl</dc:creator>
  <dc:description/>
  <dc:language>en-NZ</dc:language>
  <cp:lastModifiedBy/>
  <dcterms:modified xsi:type="dcterms:W3CDTF">2026-10-25T13:18:08Z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