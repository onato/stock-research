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<sst xmlns="http://schemas.openxmlformats.org/spreadsheetml/2006/main" count="369" uniqueCount="174">
  <si>
    <t xml:space="preserve">Ticker</t>
  </si>
  <si>
    <t xml:space="preserve">LLOY.L</t>
  </si>
  <si>
    <t xml:space="preserve">Company</t>
  </si>
  <si>
    <t xml:space="preserve">Lloyds Banking Group plc</t>
  </si>
  <si>
    <t xml:space="preserve">Valuation date</t>
  </si>
  <si>
    <t xml:space="preserve">2026-10-10</t>
  </si>
  <si>
    <t xml:space="preserve">Current price</t>
  </si>
  <si>
    <t xml:space="preserve">Price as of</t>
  </si>
  <si>
    <t xml:space="preserve">2026-10-09T15:38:40Z regular close (LSE closing auction; Yahoo Finance chart API). Not an after-hours print.</t>
  </si>
  <si>
    <t xml:space="preserve">Balance sheet date</t>
  </si>
  <si>
    <t xml:space="preserve">2026-06-30</t>
  </si>
  <si>
    <t xml:space="preserve">Model</t>
  </si>
  <si>
    <t xml:space="preserve">Bank FCFE at cost of equity (engine route): NI to ordinary shareholders less CET1 retention, net debt zero, per ordinary share, GBP flows bridged to a GBp quote</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</si>
  <si>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</si>
  <si>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</si>
  <si>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</si>
  <si>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</si>
  <si>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</si>
  <si>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</si>
  <si>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</si>
  <si>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</si>
  <si>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</si>
  <si>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2026-10-10T00:57:04Z</t>
  </si>
  <si>
    <t xml:space="preserve">Drivers file</t>
  </si>
  <si>
    <t xml:space="preserve">LLOY.L_Drivers.json</t>
  </si>
  <si>
    <t xml:space="preserve">Convention</t>
  </si>
  <si>
    <t xml:space="preserve">Percents stored as percents; formulas divide by 100. Blue = input, green = link, black = formula.</t>
  </si>
  <si>
    <t xml:space="preserve">Methodology</t>
  </si>
  <si>
    <t xml:space="preserve">summary: A bank is worth what it can pay ordinary shareholders after funding the capital its growth requires. The flow is profit attributable to ordinary shareholders (after AT1 coupons and NCI) less the CET1 retention that holds the ratio at the c.13% target, discounted at a GBP cost of equity of 10%. Deposits are funding, not debt, so nothing is deducted for net debt. Value is therefore TNAV plus the PV of returns above the cost of equity. At a through-cycle RoTE of about 15%, Lloyds earns a 5pt spread, which justifies roughly 1.6-1.8x TNAV. The shares trade at about 1.8x reported TNAV (57.0p at 30 June 2026), which already prices in RoTE of about 16%+ being sustained; the probability-weighted value sits within a few percent of the price, so this is a fair-value holding whose return is the distribution yield plus mid-single-digit growth, not a re-rating. The LSE quote is in pence and the flows are in pounds, so a GBp holder carries no FX leg; the LYG ADR holder does.
key_risks_to_valuation: Motor-finance commission redress: the GBP 1.95bn cumulative provision is management's best estimate. The FCA scheme (PS26/3) is under four Upper Tribunal challenges, partially suspended since 2 July 2026 with a hearing not before Dec 2026, and Lloyds (Black Horse) is the largest UK motor lender. Overruns sit in the bear path only.; UK rate cycle: the structural hedge smooths but does not remove NII sensitivity. Faster BoE cuts plus deposit competition compress margins; the plan assumes a 3.50% terminal base rate.; Credit: the base assumes impairment normalising to about 30bps. A UK recession at about 60bps for a year costs about GBP 2bn pre-tax.; Valuation already rich at about 1.8x TNAV: most of the value is the spread over CoE, so a 2pt lower terminal RoTE removes about 15-20% of IV.; Basel 3.1 (from 1 Jan 2027): not quantified in the filings. A modest GBP 0.5bn deduction is taken in the bridge.; UK bank tax and surcharge policy risk, and the gap between the base case (mid-teens RoTE) and management's 2028 &gt;18% / 2030 c.20% targets, which the market may be pricing.</t>
  </si>
  <si>
    <t xml:space="preserve">Data sources</t>
  </si>
  <si>
    <t xml:space="preserve">price: Yahoo Finance chart API at inputs.price_as_of (LSE regular close, GBp); 52-week range 81.82-117.9p. GBPUSD=X and LYG from the same API for the dual-listing parity check only.
financials: LLOY.L_Metrics.csv / core_metrics FY2015-H1 FY2026 (annual reports FY2017-FY2025, Q1-2026 IMS, H1-2026 half-year results, all UK filings). H1-2026 Half-Year Results (LLOY.L_HalfYear_H1-2026.txt): three-half income statement (H1-26, H1-25, H2-25), balance sheet, CET1 13.6% / RWA GBP 241.8bn, CET1 target c.13.0%, ordinary shareholders' equity GBP 41,461m, goodwill and intangibles GBP 8,732m, shares in issue 58,081m, diluted weighted 59,234m, interim dividend 1.58p = GBP 918m, GBP 1.0bn further buyback, motor-finance status (note at :7711-7759). FY2025 Annual Report (LLOY.L_Annual_FY2025.txt:408-416, 1399-1409): 2026 guidance and the GBP 800m motor charge.
qualitative: FY2025 annual report strategy section and H1-2026 results: 2026 guidance of underlying NII &gt;GBP 14.9bn, cost:income &lt;50% (opex &lt;GBP 9.9bn), AQR c.25bps, RoTE &gt;16%, capital generation &gt;200bps, CET1 paid down to c.13.0%; 2027-30 guidance of mid-single-digit net income CAGR, cost:income &lt;45% in 2030, RoTE &gt;18% in 2028 and c.20% in 2030. No LLOY.L_Analysis.json existed at build time (being written in parallel); LYG_Analysis.json (same equity) was not read, so the scenario axes come from the filings and the LYG Drivers precedent.</t>
  </si>
  <si>
    <t xml:space="preserve">Scenario narrative: bear</t>
  </si>
  <si>
    <t xml:space="preserve">A UK downturn arrives with faster rate cuts. Mortgage and unsecured credit losses rise to about 60bps, deposit margins compress, and the FCA motor redress scheme is upheld at a cost above the provision. Income falls 3% in year 2, buybacks pause for two years to rebuild CET1, and RoTE settles around 12-13%. That is barely above the cost of equity, which at about 1.8x reported TNAV leaves a long way to fall.</t>
  </si>
  <si>
    <t xml:space="preserve">Scenario narrative: base</t>
  </si>
  <si>
    <t xml:space="preserve">Lloyds delivers its 2026 guidance (RoTE &gt;16%, cost:income &lt;50%, &gt;200bps capital generation) and holds RoTE in the mid-teens rather than the c.20% it targets for 2030. The structural hedge keeps compounding NII through 2028 while impairment normalises from very low levels. CET1 is paid down to c.13% and distributions run at about 90%+ of earnings via a progressive dividend plus half-yearly buybacks. Income growth fades to UK nominal GDP after the hedge tailwind is spent. Motor finance costs nothing beyond the existing provision.</t>
  </si>
  <si>
    <t xml:space="preserve">Scenario narrative: bull</t>
  </si>
  <si>
    <t xml:space="preserve">A higher-for-longer UK rate curve and the hedge roll lift NII beyond guidance. Capital-lite growth in wealth, insurance and Lex/Tusker adds about GBP 2bn of income, and digital cost-out drives cost:income below 45% as the 2027-30 plan promises. RoTE settles at 18%+, and the shares re-rate further on a pure UK-retail bank with distributions running at about 8-9% of market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</si>
  <si>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</si>
  <si>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</si>
  <si>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</si>
  <si>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</si>
  <si>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</si>
  <si>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</si>
  <si>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</si>
  <si>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</si>
  <si>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</si>
  <si>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</si>
  <si>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</si>
  <si>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</si>
  <si>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</si>
  <si>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</si>
  <si>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</si>
  <si>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</si>
  <si>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</si>
  <si>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</si>
  <si>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</si>
  <si>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</si>
  <si>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</si>
  <si>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</si>
  <si>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</si>
  <si>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</si>
  <si>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</si>
  <si>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</si>
  <si>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</si>
  <si>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</si>
  <si>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CreditImpairmentCharge</t>
  </si>
  <si>
    <t xml:space="preserve">Deposits</t>
  </si>
  <si>
    <t xml:space="preserve">NetInterestIncome</t>
  </si>
  <si>
    <t xml:space="preserve">OperatingExpenses</t>
  </si>
  <si>
    <t xml:space="preserve">ProfitForPeriodTotal</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</si>
  <si>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</si>
  <si>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</si>
  <si>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</si>
  <si>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</si>
  <si>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</si>
  <si>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</si>
  <si>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</si>
  <si>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</si>
  <si>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</si>
  <si>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</si>
  <si>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</si>
  <si>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</si>
  <si>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</si>
  <si>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</si>
  <si>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</si>
  <si>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</si>
  <si>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</si>
  <si>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</si>
  <si>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</si>
  <si>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</si>
  <si>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</si>
  <si>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(H2-25 + H1-26)</t>
  </si>
  <si>
    <t xml:space="preserve">Currency / units</t>
  </si>
  <si>
    <t xml:space="preserve">GBP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</si>
  <si>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</si>
  <si>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</si>
  <si>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</si>
  <si>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</si>
  <si>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</si>
  <si>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</si>
  <si>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</si>
  <si>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</si>
  <si>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</si>
  <si>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</si>
  <si>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</si>
  <si>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</si>
  <si>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</si>
  <si>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</si>
  <si>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</si>
  <si>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</si>
  <si>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</si>
  <si>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</si>
  <si>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</si>
  <si>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</si>
  <si>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</si>
  <si>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</si>
  <si>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</si>
  <si>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</si>
  <si>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</si>
  <si>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</si>
  <si>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LLOY.L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</si>
  <si>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</si>
  <si>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</si>
  <si>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</si>
  <si>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</si>
  <si>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</si>
  <si>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</si>
  <si>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</si>
  <si>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</si>
  <si>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</si>
  <si>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</si>
  <si>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</si>
  <si>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</si>
  <si>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</si>
  <si>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</si>
  <si>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</si>
  <si>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</si>
  <si>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</si>
  <si>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</si>
  <si>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</si>
  <si>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</si>
  <si>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</si>
  <si>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</si>
  <si>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</si>
  <si>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</si>
  <si>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</si>
  <si>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</si>
  <si>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</si>
  <si>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</si>
  <si>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</si>
  <si>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</si>
  <si>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LLOY.L owner-FCF component DCF: base case (millions, GBP)</t>
  </si>
  <si>
    <t xml:space="preserve">LLOY.L owner-FCF component DCF: bull case (millions, GBP)</t>
  </si>
  <si>
    <t xml:space="preserve">LLOY.L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</si>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</sst>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101.6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17421</v>
      </c>
      <c r="I2" s="0" t="n">
        <v>466</v>
      </c>
      <c r="J2" s="0" t="n">
        <v>2.7</v>
      </c>
      <c r="K2" s="0" t="n">
        <v>0.008</v>
      </c>
      <c r="L2" s="0" t="n">
        <v>16372</v>
      </c>
      <c r="M2" s="0" t="n">
        <v>3417</v>
      </c>
      <c r="O2" s="0" t="n">
        <v>46589</v>
      </c>
      <c r="P2" s="0" t="n">
        <v>806688</v>
      </c>
      <c r="Q2" s="0" t="n">
        <v>759708</v>
      </c>
      <c r="R2" s="0" t="n">
        <v>105368</v>
      </c>
      <c r="S2" s="0" t="n">
        <v>71953</v>
      </c>
      <c r="T2" s="0" t="n">
        <v>72340</v>
      </c>
      <c r="U2" s="0" t="n">
        <v>387</v>
      </c>
      <c r="AA2" s="0" t="s">
        <v>18</v>
      </c>
      <c r="AB2" s="0" t="s">
        <v>14</v>
      </c>
      <c r="AD2" s="0" t="n">
        <v>390</v>
      </c>
      <c r="AE2" s="0" t="n">
        <v>418326</v>
      </c>
      <c r="AF2" s="0" t="n">
        <v>11318</v>
      </c>
      <c r="AG2" s="0" t="n">
        <v>15387</v>
      </c>
      <c r="AH2" s="0" t="n">
        <v>956</v>
      </c>
      <c r="AI2" s="0" t="n">
        <v>46980</v>
      </c>
    </row>
    <row r="3" customFormat="false" ht="15" hidden="false" customHeight="false" outlineLevel="0" collapsed="false">
      <c r="A3" s="0" t="s">
        <v>72</v>
      </c>
      <c r="B3" s="0" t="n">
        <v>17267</v>
      </c>
      <c r="I3" s="0" t="n">
        <v>1651</v>
      </c>
      <c r="J3" s="0" t="n">
        <v>9.6</v>
      </c>
      <c r="K3" s="0" t="n">
        <v>0.024</v>
      </c>
      <c r="L3" s="0" t="n">
        <v>2074</v>
      </c>
      <c r="M3" s="0" t="n">
        <v>3760</v>
      </c>
      <c r="O3" s="0" t="n">
        <v>48025</v>
      </c>
      <c r="P3" s="0" t="n">
        <v>817793</v>
      </c>
      <c r="Q3" s="0" t="n">
        <v>769328</v>
      </c>
      <c r="R3" s="0" t="n">
        <v>96145</v>
      </c>
      <c r="S3" s="0" t="n">
        <v>62388</v>
      </c>
      <c r="T3" s="0" t="n">
        <v>72024</v>
      </c>
      <c r="U3" s="0" t="n">
        <v>442</v>
      </c>
      <c r="AA3" s="0" t="s">
        <v>18</v>
      </c>
      <c r="AB3" s="0" t="s">
        <v>14</v>
      </c>
      <c r="AD3" s="0" t="n">
        <v>752</v>
      </c>
      <c r="AE3" s="0" t="n">
        <v>415460</v>
      </c>
      <c r="AF3" s="0" t="n">
        <v>9274</v>
      </c>
      <c r="AG3" s="0" t="n">
        <v>12627</v>
      </c>
      <c r="AH3" s="0" t="n">
        <v>2164</v>
      </c>
      <c r="AI3" s="0" t="n">
        <v>48465</v>
      </c>
    </row>
    <row r="4" customFormat="false" ht="15" hidden="false" customHeight="false" outlineLevel="0" collapsed="false">
      <c r="A4" s="0" t="s">
        <v>73</v>
      </c>
      <c r="B4" s="0" t="n">
        <v>18659</v>
      </c>
      <c r="I4" s="0" t="n">
        <v>3392</v>
      </c>
      <c r="J4" s="0" t="n">
        <v>18.2</v>
      </c>
      <c r="K4" s="0" t="n">
        <v>0.048</v>
      </c>
      <c r="L4" s="0" t="n">
        <v>-3195</v>
      </c>
      <c r="M4" s="0" t="n">
        <v>3655</v>
      </c>
      <c r="O4" s="0" t="n">
        <v>48906</v>
      </c>
      <c r="P4" s="0" t="n">
        <v>812109</v>
      </c>
      <c r="Q4" s="0" t="n">
        <v>762966</v>
      </c>
      <c r="R4" s="0" t="n">
        <v>90372</v>
      </c>
      <c r="S4" s="0" t="n">
        <v>60982</v>
      </c>
      <c r="T4" s="0" t="n">
        <v>72393</v>
      </c>
      <c r="U4" s="0" t="n">
        <v>437</v>
      </c>
      <c r="AA4" s="0" t="s">
        <v>18</v>
      </c>
      <c r="AB4" s="0" t="s">
        <v>14</v>
      </c>
      <c r="AD4" s="0" t="n">
        <v>688</v>
      </c>
      <c r="AE4" s="0" t="n">
        <v>418124</v>
      </c>
      <c r="AF4" s="0" t="n">
        <v>10912</v>
      </c>
      <c r="AG4" s="0" t="n">
        <v>12346</v>
      </c>
      <c r="AH4" s="0" t="n">
        <v>3897</v>
      </c>
      <c r="AI4" s="0" t="n">
        <v>49143</v>
      </c>
    </row>
    <row r="5" customFormat="false" ht="15" hidden="false" customHeight="false" outlineLevel="0" collapsed="false">
      <c r="A5" s="0" t="s">
        <v>74</v>
      </c>
      <c r="B5" s="0" t="n">
        <v>18626</v>
      </c>
      <c r="I5" s="0" t="n">
        <v>3869</v>
      </c>
      <c r="J5" s="0" t="n">
        <v>20.8</v>
      </c>
      <c r="K5" s="0" t="n">
        <v>0.055</v>
      </c>
      <c r="L5" s="0" t="n">
        <v>-11107</v>
      </c>
      <c r="M5" s="0" t="n">
        <v>3514</v>
      </c>
      <c r="O5" s="0" t="n">
        <v>49925</v>
      </c>
      <c r="P5" s="0" t="n">
        <v>797598</v>
      </c>
      <c r="Q5" s="0" t="n">
        <v>747399</v>
      </c>
      <c r="R5" s="0" t="n">
        <v>108824</v>
      </c>
      <c r="S5" s="0" t="n">
        <v>55224</v>
      </c>
      <c r="T5" s="0" t="n">
        <v>72279</v>
      </c>
      <c r="U5" s="0" t="n">
        <v>443</v>
      </c>
      <c r="AA5" s="0" t="s">
        <v>18</v>
      </c>
      <c r="AB5" s="0" t="s">
        <v>14</v>
      </c>
      <c r="AD5" s="0" t="n">
        <v>937</v>
      </c>
      <c r="AE5" s="0" t="n">
        <v>418066</v>
      </c>
      <c r="AF5" s="0" t="n">
        <v>13396</v>
      </c>
      <c r="AH5" s="0" t="n">
        <v>4400</v>
      </c>
      <c r="AI5" s="0" t="n">
        <v>50199</v>
      </c>
    </row>
    <row r="6" customFormat="false" ht="15" hidden="false" customHeight="false" outlineLevel="0" collapsed="false">
      <c r="A6" s="0" t="s">
        <v>75</v>
      </c>
      <c r="B6" s="0" t="n">
        <v>18359</v>
      </c>
      <c r="I6" s="0" t="n">
        <v>2459</v>
      </c>
      <c r="J6" s="0" t="n">
        <v>13.4</v>
      </c>
      <c r="K6" s="0" t="n">
        <v>0.034</v>
      </c>
      <c r="L6" s="0" t="n">
        <v>11281</v>
      </c>
      <c r="M6" s="0" t="n">
        <v>3442</v>
      </c>
      <c r="O6" s="0" t="n">
        <v>47603</v>
      </c>
      <c r="P6" s="0" t="n">
        <v>833893</v>
      </c>
      <c r="Q6" s="0" t="n">
        <v>786087</v>
      </c>
      <c r="R6" s="0" t="n">
        <v>114819</v>
      </c>
      <c r="S6" s="0" t="n">
        <v>57811</v>
      </c>
      <c r="T6" s="0" t="n">
        <v>71285</v>
      </c>
      <c r="U6" s="0" t="n">
        <v>373</v>
      </c>
      <c r="AA6" s="0" t="s">
        <v>18</v>
      </c>
      <c r="AB6" s="0" t="s">
        <v>14</v>
      </c>
      <c r="AD6" s="0" t="n">
        <v>1296</v>
      </c>
      <c r="AE6" s="0" t="n">
        <v>421320</v>
      </c>
      <c r="AF6" s="0" t="n">
        <v>10180</v>
      </c>
      <c r="AG6" s="0" t="n">
        <v>12670</v>
      </c>
      <c r="AH6" s="0" t="n">
        <v>3006</v>
      </c>
      <c r="AI6" s="0" t="n">
        <v>47806</v>
      </c>
    </row>
    <row r="7" customFormat="false" ht="15" hidden="false" customHeight="false" outlineLevel="0" collapsed="false">
      <c r="A7" s="0" t="s">
        <v>76</v>
      </c>
      <c r="B7" s="0" t="n">
        <v>15126</v>
      </c>
      <c r="I7" s="0" t="n">
        <v>865</v>
      </c>
      <c r="J7" s="0" t="n">
        <v>5.7</v>
      </c>
      <c r="K7" s="0" t="n">
        <v>0.012</v>
      </c>
      <c r="L7" s="0" t="n">
        <v>27171</v>
      </c>
      <c r="M7" s="0" t="n">
        <v>2901</v>
      </c>
      <c r="O7" s="0" t="n">
        <v>49184</v>
      </c>
      <c r="P7" s="0" t="n">
        <v>871269</v>
      </c>
      <c r="Q7" s="0" t="n">
        <v>821856</v>
      </c>
      <c r="R7" s="0" t="n">
        <v>101658</v>
      </c>
      <c r="S7" s="0" t="n">
        <v>75467</v>
      </c>
      <c r="T7" s="0" t="n">
        <v>71256</v>
      </c>
      <c r="U7" s="0" t="n">
        <v>196</v>
      </c>
      <c r="AA7" s="0" t="s">
        <v>18</v>
      </c>
      <c r="AB7" s="0" t="s">
        <v>14</v>
      </c>
      <c r="AD7" s="0" t="n">
        <v>4155</v>
      </c>
      <c r="AE7" s="0" t="n">
        <v>460068</v>
      </c>
      <c r="AF7" s="0" t="n">
        <v>10749</v>
      </c>
      <c r="AG7" s="0" t="n">
        <v>9745</v>
      </c>
      <c r="AH7" s="0" t="n">
        <v>1387</v>
      </c>
      <c r="AI7" s="0" t="n">
        <v>49413</v>
      </c>
    </row>
    <row r="8" customFormat="false" ht="15" hidden="false" customHeight="false" outlineLevel="0" collapsed="false">
      <c r="A8" s="0" t="s">
        <v>77</v>
      </c>
      <c r="B8" s="0" t="n">
        <v>16324</v>
      </c>
      <c r="I8" s="0" t="n">
        <v>5355</v>
      </c>
      <c r="J8" s="0" t="n">
        <v>32.8</v>
      </c>
      <c r="K8" s="0" t="n">
        <v>0.075</v>
      </c>
      <c r="L8" s="0" t="n">
        <v>6621</v>
      </c>
      <c r="M8" s="0" t="n">
        <v>3228</v>
      </c>
      <c r="O8" s="0" t="n">
        <v>52917</v>
      </c>
      <c r="P8" s="0" t="n">
        <v>886525</v>
      </c>
      <c r="Q8" s="0" t="n">
        <v>833373</v>
      </c>
      <c r="R8" s="0" t="n">
        <v>84660</v>
      </c>
      <c r="S8" s="0" t="n">
        <v>76379</v>
      </c>
      <c r="T8" s="0" t="n">
        <v>71785</v>
      </c>
      <c r="U8" s="0" t="n">
        <v>268</v>
      </c>
      <c r="AA8" s="0" t="s">
        <v>18</v>
      </c>
      <c r="AB8" s="0" t="s">
        <v>14</v>
      </c>
      <c r="AD8" s="0" t="n">
        <v>-1378</v>
      </c>
      <c r="AE8" s="0" t="n">
        <v>476344</v>
      </c>
      <c r="AF8" s="0" t="n">
        <v>9366</v>
      </c>
      <c r="AG8" s="0" t="n">
        <v>10800</v>
      </c>
      <c r="AH8" s="0" t="n">
        <v>5885</v>
      </c>
      <c r="AI8" s="0" t="n">
        <v>53152</v>
      </c>
    </row>
    <row r="9" customFormat="false" ht="15" hidden="false" customHeight="false" outlineLevel="0" collapsed="false">
      <c r="A9" s="0" t="s">
        <v>78</v>
      </c>
      <c r="B9" s="0" t="n">
        <v>18209</v>
      </c>
      <c r="I9" s="0" t="n">
        <v>5021</v>
      </c>
      <c r="J9" s="0" t="n">
        <v>27.6</v>
      </c>
      <c r="K9" s="0" t="n">
        <v>0.072</v>
      </c>
      <c r="L9" s="0" t="n">
        <v>22011</v>
      </c>
      <c r="M9" s="0" t="n">
        <v>3855</v>
      </c>
      <c r="O9" s="0" t="n">
        <v>47277</v>
      </c>
      <c r="P9" s="0" t="n">
        <v>877829</v>
      </c>
      <c r="Q9" s="0" t="n">
        <v>830308</v>
      </c>
      <c r="R9" s="0" t="n">
        <v>84549</v>
      </c>
      <c r="S9" s="0" t="n">
        <v>95829</v>
      </c>
      <c r="T9" s="0" t="n">
        <v>69682</v>
      </c>
      <c r="U9" s="0" t="n">
        <v>376</v>
      </c>
      <c r="AA9" s="0" t="s">
        <v>18</v>
      </c>
      <c r="AB9" s="0" t="s">
        <v>14</v>
      </c>
      <c r="AD9" s="0" t="n">
        <v>1522</v>
      </c>
      <c r="AE9" s="0" t="n">
        <v>475331</v>
      </c>
      <c r="AG9" s="0" t="n">
        <v>9759</v>
      </c>
      <c r="AH9" s="0" t="n">
        <v>5555</v>
      </c>
      <c r="AI9" s="0" t="n">
        <v>47521</v>
      </c>
    </row>
    <row r="10" customFormat="false" ht="15" hidden="false" customHeight="false" outlineLevel="0" collapsed="false">
      <c r="A10" s="0" t="s">
        <v>79</v>
      </c>
      <c r="B10" s="0" t="n">
        <v>18629</v>
      </c>
      <c r="I10" s="0" t="n">
        <v>4933</v>
      </c>
      <c r="J10" s="0" t="n">
        <v>26.5</v>
      </c>
      <c r="K10" s="0" t="n">
        <v>0.075</v>
      </c>
      <c r="L10" s="0" t="n">
        <v>6810</v>
      </c>
      <c r="M10" s="0" t="n">
        <v>5455</v>
      </c>
      <c r="O10" s="0" t="n">
        <v>47164</v>
      </c>
      <c r="P10" s="0" t="n">
        <v>881453</v>
      </c>
      <c r="Q10" s="0" t="n">
        <v>834088</v>
      </c>
      <c r="R10" s="0" t="n">
        <v>85845</v>
      </c>
      <c r="S10" s="0" t="n">
        <v>88838</v>
      </c>
      <c r="T10" s="0" t="n">
        <v>65760</v>
      </c>
      <c r="U10" s="0" t="n">
        <v>328</v>
      </c>
      <c r="AA10" s="0" t="s">
        <v>18</v>
      </c>
      <c r="AB10" s="0" t="s">
        <v>14</v>
      </c>
      <c r="AD10" s="0" t="n">
        <v>303</v>
      </c>
      <c r="AE10" s="0" t="n">
        <v>471396</v>
      </c>
      <c r="AF10" s="0" t="n">
        <v>13298</v>
      </c>
      <c r="AG10" s="0" t="n">
        <v>10823</v>
      </c>
      <c r="AH10" s="0" t="n">
        <v>5518</v>
      </c>
      <c r="AI10" s="0" t="n">
        <v>47365</v>
      </c>
    </row>
    <row r="11" customFormat="false" ht="15" hidden="false" customHeight="false" outlineLevel="0" collapsed="false">
      <c r="A11" s="0" t="s">
        <v>80</v>
      </c>
      <c r="B11" s="0" t="n">
        <v>18003</v>
      </c>
      <c r="I11" s="0" t="n">
        <v>3923</v>
      </c>
      <c r="J11" s="0" t="n">
        <v>21.8</v>
      </c>
      <c r="K11" s="0" t="n">
        <v>0.062</v>
      </c>
      <c r="L11" s="0" t="n">
        <v>-4393</v>
      </c>
      <c r="M11" s="0" t="n">
        <v>5623</v>
      </c>
      <c r="O11" s="0" t="n">
        <v>45716</v>
      </c>
      <c r="P11" s="0" t="n">
        <v>906697</v>
      </c>
      <c r="Q11" s="0" t="n">
        <v>860809</v>
      </c>
      <c r="R11" s="0" t="n">
        <v>80923</v>
      </c>
      <c r="S11" s="0" t="n">
        <v>70816</v>
      </c>
      <c r="T11" s="0" t="n">
        <v>63074</v>
      </c>
      <c r="U11" s="0" t="n">
        <v>281</v>
      </c>
      <c r="AA11" s="0" t="s">
        <v>18</v>
      </c>
      <c r="AB11" s="0" t="s">
        <v>14</v>
      </c>
      <c r="AD11" s="0" t="n">
        <v>431</v>
      </c>
      <c r="AE11" s="0" t="n">
        <v>482745</v>
      </c>
      <c r="AF11" s="0" t="n">
        <v>12277</v>
      </c>
      <c r="AG11" s="0" t="n">
        <v>11601</v>
      </c>
      <c r="AH11" s="0" t="n">
        <v>4477</v>
      </c>
      <c r="AI11" s="0" t="n">
        <v>45888</v>
      </c>
    </row>
    <row r="12" customFormat="false" ht="15" hidden="false" customHeight="false" outlineLevel="0" collapsed="false">
      <c r="A12" s="0" t="s">
        <v>81</v>
      </c>
      <c r="B12" s="0" t="n">
        <v>19422</v>
      </c>
      <c r="I12" s="0" t="n">
        <v>4196</v>
      </c>
      <c r="J12" s="0" t="n">
        <v>21.6</v>
      </c>
      <c r="K12" s="0" t="n">
        <v>0.069</v>
      </c>
      <c r="L12" s="0" t="n">
        <v>5701</v>
      </c>
      <c r="M12" s="0" t="n">
        <v>6323</v>
      </c>
      <c r="O12" s="0" t="n">
        <v>47668</v>
      </c>
      <c r="P12" s="0" t="n">
        <v>944072</v>
      </c>
      <c r="Q12" s="0" t="n">
        <v>896205</v>
      </c>
      <c r="R12" s="0" t="n">
        <v>88165</v>
      </c>
      <c r="S12" s="0" t="n">
        <v>60593</v>
      </c>
      <c r="T12" s="0" t="n">
        <v>60513</v>
      </c>
      <c r="U12" s="0" t="n">
        <v>249</v>
      </c>
      <c r="AA12" s="0" t="s">
        <v>18</v>
      </c>
      <c r="AB12" s="0" t="s">
        <v>14</v>
      </c>
      <c r="AC12" s="0" t="n">
        <v>14</v>
      </c>
      <c r="AD12" s="0" t="n">
        <v>795</v>
      </c>
      <c r="AE12" s="0" t="n">
        <v>496457</v>
      </c>
      <c r="AF12" s="0" t="n">
        <v>13230</v>
      </c>
      <c r="AG12" s="0" t="n">
        <v>11966</v>
      </c>
      <c r="AH12" s="0" t="n">
        <v>4757</v>
      </c>
      <c r="AI12" s="0" t="n">
        <v>47867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101.6</v>
      </c>
    </row>
    <row r="3" customFormat="false" ht="15" hidden="false" customHeight="false" outlineLevel="0" collapsed="false">
      <c r="A3" s="0" t="s">
        <v>85</v>
      </c>
      <c r="B3" s="3" t="n">
        <v>58811</v>
      </c>
    </row>
    <row r="4" customFormat="false" ht="15" hidden="false" customHeight="false" outlineLevel="0" collapsed="false">
      <c r="A4" s="0" t="s">
        <v>86</v>
      </c>
      <c r="B4" s="3" t="n">
        <v>0</v>
      </c>
    </row>
    <row r="5" customFormat="false" ht="15" hidden="false" customHeight="false" outlineLevel="0" collapsed="false">
      <c r="A5" s="0" t="s">
        <v>87</v>
      </c>
      <c r="B5" s="3" t="n">
        <v>780</v>
      </c>
    </row>
    <row r="6" customFormat="false" ht="15" hidden="false" customHeight="false" outlineLevel="0" collapsed="false">
      <c r="A6" s="0" t="s">
        <v>88</v>
      </c>
      <c r="B6" s="3" t="n">
        <v>15</v>
      </c>
    </row>
    <row r="7" customFormat="false" ht="15" hidden="false" customHeight="false" outlineLevel="0" collapsed="false">
      <c r="A7" s="0" t="s">
        <v>89</v>
      </c>
      <c r="B7" s="3" t="n">
        <v>20662</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100</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2</v>
      </c>
      <c r="D13" s="3" t="n">
        <v>-3</v>
      </c>
      <c r="E13" s="3" t="n">
        <v>0</v>
      </c>
      <c r="F13" s="3" t="n">
        <v>3</v>
      </c>
      <c r="G13" s="3" t="n">
        <v>3.5</v>
      </c>
      <c r="H13" s="3" t="n">
        <v>3.5</v>
      </c>
      <c r="I13" s="3" t="n">
        <v>3</v>
      </c>
      <c r="J13" s="3" t="n">
        <v>3</v>
      </c>
      <c r="K13" s="3" t="n">
        <v>2.5</v>
      </c>
      <c r="L13" s="3" t="n">
        <v>2</v>
      </c>
    </row>
    <row r="14" customFormat="false" ht="15" hidden="false" customHeight="false" outlineLevel="0" collapsed="false">
      <c r="A14" s="0" t="s">
        <v>107</v>
      </c>
      <c r="C14" s="3" t="n">
        <v>35</v>
      </c>
      <c r="D14" s="3" t="n">
        <v>28</v>
      </c>
      <c r="E14" s="3" t="n">
        <v>31</v>
      </c>
      <c r="F14" s="3" t="n">
        <v>33</v>
      </c>
      <c r="G14" s="3" t="n">
        <v>33.5</v>
      </c>
      <c r="H14" s="3" t="n">
        <v>33.5</v>
      </c>
      <c r="I14" s="3" t="n">
        <v>33.5</v>
      </c>
      <c r="J14" s="3" t="n">
        <v>33.5</v>
      </c>
      <c r="K14" s="3" t="n">
        <v>33.5</v>
      </c>
      <c r="L14" s="3" t="n">
        <v>33.5</v>
      </c>
    </row>
    <row r="15" customFormat="false" ht="15" hidden="false" customHeight="false" outlineLevel="0" collapsed="false">
      <c r="A15" s="0" t="s">
        <v>108</v>
      </c>
      <c r="C15" s="3" t="n">
        <v>1.1</v>
      </c>
      <c r="D15" s="3" t="n">
        <v>1.1</v>
      </c>
      <c r="E15" s="3" t="n">
        <v>1.1</v>
      </c>
      <c r="F15" s="3" t="n">
        <v>1.1</v>
      </c>
      <c r="G15" s="3" t="n">
        <v>1.1</v>
      </c>
      <c r="H15" s="3" t="n">
        <v>1.1</v>
      </c>
      <c r="I15" s="3" t="n">
        <v>1.1</v>
      </c>
      <c r="J15" s="3" t="n">
        <v>1.1</v>
      </c>
      <c r="K15" s="3" t="n">
        <v>1.1</v>
      </c>
      <c r="L15" s="3" t="n">
        <v>1.1</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2.98</v>
      </c>
      <c r="D18" s="3" t="n">
        <v>0</v>
      </c>
      <c r="E18" s="3" t="n">
        <v>0</v>
      </c>
      <c r="F18" s="3" t="n">
        <v>4.43</v>
      </c>
      <c r="G18" s="3" t="n">
        <v>5.14</v>
      </c>
      <c r="H18" s="3" t="n">
        <v>5.14</v>
      </c>
      <c r="I18" s="3" t="n">
        <v>4.43</v>
      </c>
      <c r="J18" s="3" t="n">
        <v>4.43</v>
      </c>
      <c r="K18" s="3" t="n">
        <v>3.71</v>
      </c>
      <c r="L18" s="3" t="n">
        <v>2.98</v>
      </c>
    </row>
    <row r="19" customFormat="false" ht="15" hidden="false" customHeight="false" outlineLevel="0" collapsed="false">
      <c r="A19" s="0" t="s">
        <v>112</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113</v>
      </c>
      <c r="B20" s="3" t="n">
        <v>10</v>
      </c>
    </row>
    <row r="21" customFormat="false" ht="15" hidden="false" customHeight="false" outlineLevel="0" collapsed="false">
      <c r="A21" s="0" t="s">
        <v>114</v>
      </c>
      <c r="B21" s="3" t="n">
        <v>2</v>
      </c>
    </row>
    <row r="22" customFormat="false" ht="15" hidden="false" customHeight="false" outlineLevel="0" collapsed="false">
      <c r="A22" s="0" t="s">
        <v>115</v>
      </c>
      <c r="B22" s="3" t="n">
        <v>10</v>
      </c>
    </row>
    <row r="23" customFormat="false" ht="15" hidden="false" customHeight="false" outlineLevel="0" collapsed="false">
      <c r="A23" s="0" t="s">
        <v>116</v>
      </c>
      <c r="B23" s="3" t="n">
        <v>0</v>
      </c>
    </row>
    <row r="24" customFormat="false" ht="15" hidden="false" customHeight="false" outlineLevel="0" collapsed="false">
      <c r="A24" s="0" t="s">
        <v>117</v>
      </c>
      <c r="B24" s="3" t="n">
        <v>0.2</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6</v>
      </c>
      <c r="D27" s="3" t="n">
        <v>5</v>
      </c>
      <c r="E27" s="3" t="n">
        <v>4.5</v>
      </c>
      <c r="F27" s="3" t="n">
        <v>4</v>
      </c>
      <c r="G27" s="3" t="n">
        <v>3.5</v>
      </c>
      <c r="H27" s="3" t="n">
        <v>3</v>
      </c>
      <c r="I27" s="3" t="n">
        <v>3</v>
      </c>
      <c r="J27" s="3" t="n">
        <v>2.5</v>
      </c>
      <c r="K27" s="3" t="n">
        <v>2.5</v>
      </c>
      <c r="L27" s="3" t="n">
        <v>2.5</v>
      </c>
    </row>
    <row r="28" customFormat="false" ht="15" hidden="false" customHeight="false" outlineLevel="0" collapsed="false">
      <c r="A28" s="0" t="s">
        <v>107</v>
      </c>
      <c r="C28" s="3" t="n">
        <v>38</v>
      </c>
      <c r="D28" s="3" t="n">
        <v>38.5</v>
      </c>
      <c r="E28" s="3" t="n">
        <v>38.5</v>
      </c>
      <c r="F28" s="3" t="n">
        <v>38</v>
      </c>
      <c r="G28" s="3" t="n">
        <v>37</v>
      </c>
      <c r="H28" s="3" t="n">
        <v>36</v>
      </c>
      <c r="I28" s="3" t="n">
        <v>35.5</v>
      </c>
      <c r="J28" s="3" t="n">
        <v>35</v>
      </c>
      <c r="K28" s="3" t="n">
        <v>35</v>
      </c>
      <c r="L28" s="3" t="n">
        <v>35</v>
      </c>
    </row>
    <row r="29" customFormat="false" ht="15" hidden="false" customHeight="false" outlineLevel="0" collapsed="false">
      <c r="A29" s="0" t="s">
        <v>108</v>
      </c>
      <c r="C29" s="3" t="n">
        <v>1.1</v>
      </c>
      <c r="D29" s="3" t="n">
        <v>1.1</v>
      </c>
      <c r="E29" s="3" t="n">
        <v>1.1</v>
      </c>
      <c r="F29" s="3" t="n">
        <v>1.1</v>
      </c>
      <c r="G29" s="3" t="n">
        <v>1.1</v>
      </c>
      <c r="H29" s="3" t="n">
        <v>1.1</v>
      </c>
      <c r="I29" s="3" t="n">
        <v>1.1</v>
      </c>
      <c r="J29" s="3" t="n">
        <v>1.1</v>
      </c>
      <c r="K29" s="3" t="n">
        <v>1.1</v>
      </c>
      <c r="L29" s="3" t="n">
        <v>1.1</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8.61</v>
      </c>
      <c r="D32" s="3" t="n">
        <v>7.24</v>
      </c>
      <c r="E32" s="3" t="n">
        <v>6.55</v>
      </c>
      <c r="F32" s="3" t="n">
        <v>5.85</v>
      </c>
      <c r="G32" s="3" t="n">
        <v>5.14</v>
      </c>
      <c r="H32" s="3" t="n">
        <v>4.43</v>
      </c>
      <c r="I32" s="3" t="n">
        <v>4.43</v>
      </c>
      <c r="J32" s="3" t="n">
        <v>3.71</v>
      </c>
      <c r="K32" s="3" t="n">
        <v>3.71</v>
      </c>
      <c r="L32" s="3" t="n">
        <v>3.71</v>
      </c>
    </row>
    <row r="33" customFormat="false" ht="15" hidden="false" customHeight="false" outlineLevel="0" collapsed="false">
      <c r="A33" s="0" t="s">
        <v>112</v>
      </c>
      <c r="C33" s="3" t="n">
        <v>28.5</v>
      </c>
      <c r="D33" s="3" t="n">
        <v>28.5</v>
      </c>
      <c r="E33" s="3" t="n">
        <v>28.5</v>
      </c>
      <c r="F33" s="3" t="n">
        <v>28.5</v>
      </c>
      <c r="G33" s="3" t="n">
        <v>28.5</v>
      </c>
      <c r="H33" s="3" t="n">
        <v>28.5</v>
      </c>
      <c r="I33" s="3" t="n">
        <v>28.5</v>
      </c>
      <c r="J33" s="3" t="n">
        <v>28.5</v>
      </c>
      <c r="K33" s="3" t="n">
        <v>28.5</v>
      </c>
      <c r="L33" s="3" t="n">
        <v>28.5</v>
      </c>
    </row>
    <row r="34" customFormat="false" ht="15" hidden="false" customHeight="false" outlineLevel="0" collapsed="false">
      <c r="A34" s="0" t="s">
        <v>113</v>
      </c>
      <c r="B34" s="3" t="n">
        <v>10</v>
      </c>
    </row>
    <row r="35" customFormat="false" ht="15" hidden="false" customHeight="false" outlineLevel="0" collapsed="false">
      <c r="A35" s="0" t="s">
        <v>114</v>
      </c>
      <c r="B35" s="3" t="n">
        <v>2.5</v>
      </c>
    </row>
    <row r="36" customFormat="false" ht="15" hidden="false" customHeight="false" outlineLevel="0" collapsed="false">
      <c r="A36" s="0" t="s">
        <v>115</v>
      </c>
      <c r="B36" s="3" t="n">
        <v>12</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8</v>
      </c>
      <c r="D41" s="3" t="n">
        <v>6.5</v>
      </c>
      <c r="E41" s="3" t="n">
        <v>5.5</v>
      </c>
      <c r="F41" s="3" t="n">
        <v>5</v>
      </c>
      <c r="G41" s="3" t="n">
        <v>4.5</v>
      </c>
      <c r="H41" s="3" t="n">
        <v>4</v>
      </c>
      <c r="I41" s="3" t="n">
        <v>3.5</v>
      </c>
      <c r="J41" s="3" t="n">
        <v>3</v>
      </c>
      <c r="K41" s="3" t="n">
        <v>3</v>
      </c>
      <c r="L41" s="3" t="n">
        <v>3</v>
      </c>
    </row>
    <row r="42" customFormat="false" ht="15" hidden="false" customHeight="false" outlineLevel="0" collapsed="false">
      <c r="A42" s="0" t="s">
        <v>107</v>
      </c>
      <c r="C42" s="3" t="n">
        <v>39.5</v>
      </c>
      <c r="D42" s="3" t="n">
        <v>41</v>
      </c>
      <c r="E42" s="3" t="n">
        <v>42</v>
      </c>
      <c r="F42" s="3" t="n">
        <v>42</v>
      </c>
      <c r="G42" s="3" t="n">
        <v>41.5</v>
      </c>
      <c r="H42" s="3" t="n">
        <v>41</v>
      </c>
      <c r="I42" s="3" t="n">
        <v>40.5</v>
      </c>
      <c r="J42" s="3" t="n">
        <v>40</v>
      </c>
      <c r="K42" s="3" t="n">
        <v>40</v>
      </c>
      <c r="L42" s="3" t="n">
        <v>40</v>
      </c>
    </row>
    <row r="43" customFormat="false" ht="15" hidden="false" customHeight="false" outlineLevel="0" collapsed="false">
      <c r="A43" s="0" t="s">
        <v>108</v>
      </c>
      <c r="C43" s="3" t="n">
        <v>1.1</v>
      </c>
      <c r="D43" s="3" t="n">
        <v>1.1</v>
      </c>
      <c r="E43" s="3" t="n">
        <v>1.1</v>
      </c>
      <c r="F43" s="3" t="n">
        <v>1.1</v>
      </c>
      <c r="G43" s="3" t="n">
        <v>1.1</v>
      </c>
      <c r="H43" s="3" t="n">
        <v>1.1</v>
      </c>
      <c r="I43" s="3" t="n">
        <v>1.1</v>
      </c>
      <c r="J43" s="3" t="n">
        <v>1.1</v>
      </c>
      <c r="K43" s="3" t="n">
        <v>1.1</v>
      </c>
      <c r="L43" s="3" t="n">
        <v>1.1</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11.27</v>
      </c>
      <c r="D46" s="3" t="n">
        <v>9.29</v>
      </c>
      <c r="E46" s="3" t="n">
        <v>7.93</v>
      </c>
      <c r="F46" s="3" t="n">
        <v>7.24</v>
      </c>
      <c r="G46" s="3" t="n">
        <v>6.55</v>
      </c>
      <c r="H46" s="3" t="n">
        <v>5.85</v>
      </c>
      <c r="I46" s="3" t="n">
        <v>5.14</v>
      </c>
      <c r="J46" s="3" t="n">
        <v>4.43</v>
      </c>
      <c r="K46" s="3" t="n">
        <v>4.43</v>
      </c>
      <c r="L46" s="3" t="n">
        <v>4.43</v>
      </c>
    </row>
    <row r="47" customFormat="false" ht="15" hidden="false" customHeight="false" outlineLevel="0" collapsed="false">
      <c r="A47" s="0" t="s">
        <v>112</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113</v>
      </c>
      <c r="B48" s="3" t="n">
        <v>10</v>
      </c>
    </row>
    <row r="49" customFormat="false" ht="15" hidden="false" customHeight="false" outlineLevel="0" collapsed="false">
      <c r="A49" s="0" t="s">
        <v>114</v>
      </c>
      <c r="B49" s="3" t="n">
        <v>3</v>
      </c>
    </row>
    <row r="50" customFormat="false" ht="15" hidden="false" customHeight="false" outlineLevel="0" collapsed="false">
      <c r="A50" s="0" t="s">
        <v>115</v>
      </c>
      <c r="B50" s="3" t="n">
        <v>13</v>
      </c>
    </row>
    <row r="51" customFormat="false" ht="15" hidden="false" customHeight="false" outlineLevel="0" collapsed="false">
      <c r="A51" s="0" t="s">
        <v>116</v>
      </c>
      <c r="B51" s="3" t="n">
        <v>0</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2</v>
      </c>
      <c r="D5" s="4" t="n">
        <f aca="false">Assumptions!D13</f>
        <v>-3</v>
      </c>
      <c r="E5" s="4" t="n">
        <f aca="false">Assumptions!E13</f>
        <v>0</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v>
      </c>
    </row>
    <row r="6" customFormat="false" ht="15" hidden="false" customHeight="false" outlineLevel="0" collapsed="false">
      <c r="A6" s="0" t="s">
        <v>38</v>
      </c>
      <c r="B6" s="3" t="n">
        <v>20662</v>
      </c>
      <c r="C6" s="0" t="n">
        <f aca="false">B6*(1+C5/100)</f>
        <v>21075.24</v>
      </c>
      <c r="D6" s="0" t="n">
        <f aca="false">C6*(1+D5/100)</f>
        <v>20442.9828</v>
      </c>
      <c r="E6" s="0" t="n">
        <f aca="false">D6*(1+E5/100)</f>
        <v>20442.9828</v>
      </c>
      <c r="F6" s="0" t="n">
        <f aca="false">E6*(1+F5/100)</f>
        <v>21056.272284</v>
      </c>
      <c r="G6" s="0" t="n">
        <f aca="false">F6*(1+G5/100)</f>
        <v>21793.24181394</v>
      </c>
      <c r="H6" s="0" t="n">
        <f aca="false">G6*(1+H5/100)</f>
        <v>22556.0052774279</v>
      </c>
      <c r="I6" s="0" t="n">
        <f aca="false">H6*(1+I5/100)</f>
        <v>23232.6854357507</v>
      </c>
      <c r="J6" s="0" t="n">
        <f aca="false">I6*(1+J5/100)</f>
        <v>23929.6659988233</v>
      </c>
      <c r="K6" s="0" t="n">
        <f aca="false">J6*(1+K5/100)</f>
        <v>24527.9076487938</v>
      </c>
      <c r="L6" s="0" t="n">
        <f aca="false">K6*(1+L5/100)</f>
        <v>25018.4658017697</v>
      </c>
    </row>
    <row r="7" customFormat="false" ht="15" hidden="false" customHeight="false" outlineLevel="0" collapsed="false">
      <c r="A7" s="0" t="s">
        <v>107</v>
      </c>
      <c r="C7" s="4" t="n">
        <f aca="false">Assumptions!C14</f>
        <v>35</v>
      </c>
      <c r="D7" s="4" t="n">
        <f aca="false">Assumptions!D14</f>
        <v>28</v>
      </c>
      <c r="E7" s="4" t="n">
        <f aca="false">Assumptions!E14</f>
        <v>31</v>
      </c>
      <c r="F7" s="4" t="n">
        <f aca="false">Assumptions!F14</f>
        <v>33</v>
      </c>
      <c r="G7" s="4" t="n">
        <f aca="false">Assumptions!G14</f>
        <v>33.5</v>
      </c>
      <c r="H7" s="4" t="n">
        <f aca="false">Assumptions!H14</f>
        <v>33.5</v>
      </c>
      <c r="I7" s="4" t="n">
        <f aca="false">Assumptions!I14</f>
        <v>33.5</v>
      </c>
      <c r="J7" s="4" t="n">
        <f aca="false">Assumptions!J14</f>
        <v>33.5</v>
      </c>
      <c r="K7" s="4" t="n">
        <f aca="false">Assumptions!K14</f>
        <v>33.5</v>
      </c>
      <c r="L7" s="4" t="n">
        <f aca="false">Assumptions!L14</f>
        <v>33.5</v>
      </c>
    </row>
    <row r="8" customFormat="false" ht="15" hidden="false" customHeight="false" outlineLevel="0" collapsed="false">
      <c r="A8" s="0" t="s">
        <v>44</v>
      </c>
      <c r="C8" s="0" t="n">
        <f aca="false">C6*C7/100</f>
        <v>7376.334</v>
      </c>
      <c r="D8" s="0" t="n">
        <f aca="false">D6*D7/100</f>
        <v>5724.035184</v>
      </c>
      <c r="E8" s="0" t="n">
        <f aca="false">E6*E7/100</f>
        <v>6337.324668</v>
      </c>
      <c r="F8" s="0" t="n">
        <f aca="false">F6*F7/100</f>
        <v>6948.56985372</v>
      </c>
      <c r="G8" s="0" t="n">
        <f aca="false">G6*G7/100</f>
        <v>7300.7360076699</v>
      </c>
      <c r="H8" s="0" t="n">
        <f aca="false">H6*H7/100</f>
        <v>7556.26176793835</v>
      </c>
      <c r="I8" s="0" t="n">
        <f aca="false">I6*I7/100</f>
        <v>7782.9496209765</v>
      </c>
      <c r="J8" s="0" t="n">
        <f aca="false">J6*J7/100</f>
        <v>8016.43810960579</v>
      </c>
      <c r="K8" s="0" t="n">
        <f aca="false">K6*K7/100</f>
        <v>8216.84906234594</v>
      </c>
      <c r="L8" s="0" t="n">
        <f aca="false">L6*L7/100</f>
        <v>8381.18604359286</v>
      </c>
    </row>
    <row r="9" customFormat="false" ht="15" hidden="false" customHeight="false" outlineLevel="0" collapsed="false">
      <c r="A9" s="0" t="s">
        <v>108</v>
      </c>
      <c r="C9" s="4" t="n">
        <f aca="false">Assumptions!C15</f>
        <v>1.1</v>
      </c>
      <c r="D9" s="4" t="n">
        <f aca="false">Assumptions!D15</f>
        <v>1.1</v>
      </c>
      <c r="E9" s="4" t="n">
        <f aca="false">Assumptions!E15</f>
        <v>1.1</v>
      </c>
      <c r="F9" s="4" t="n">
        <f aca="false">Assumptions!F15</f>
        <v>1.1</v>
      </c>
      <c r="G9" s="4" t="n">
        <f aca="false">Assumptions!G15</f>
        <v>1.1</v>
      </c>
      <c r="H9" s="4" t="n">
        <f aca="false">Assumptions!H15</f>
        <v>1.1</v>
      </c>
      <c r="I9" s="4" t="n">
        <f aca="false">Assumptions!I15</f>
        <v>1.1</v>
      </c>
      <c r="J9" s="4" t="n">
        <f aca="false">Assumptions!J15</f>
        <v>1.1</v>
      </c>
      <c r="K9" s="4" t="n">
        <f aca="false">Assumptions!K15</f>
        <v>1.1</v>
      </c>
      <c r="L9" s="4" t="n">
        <f aca="false">Assumptions!L15</f>
        <v>1.1</v>
      </c>
    </row>
    <row r="10" customFormat="false" ht="15" hidden="false" customHeight="false" outlineLevel="0" collapsed="false">
      <c r="A10" s="0" t="s">
        <v>123</v>
      </c>
      <c r="C10" s="0" t="n">
        <f aca="false">-C6*C9/100</f>
        <v>-231.82764</v>
      </c>
      <c r="D10" s="0" t="n">
        <f aca="false">-D6*D9/100</f>
        <v>-224.8728108</v>
      </c>
      <c r="E10" s="0" t="n">
        <f aca="false">-E6*E9/100</f>
        <v>-224.8728108</v>
      </c>
      <c r="F10" s="0" t="n">
        <f aca="false">-F6*F9/100</f>
        <v>-231.618995124</v>
      </c>
      <c r="G10" s="0" t="n">
        <f aca="false">-G6*G9/100</f>
        <v>-239.72565995334</v>
      </c>
      <c r="H10" s="0" t="n">
        <f aca="false">-H6*H9/100</f>
        <v>-248.116058051707</v>
      </c>
      <c r="I10" s="0" t="n">
        <f aca="false">-I6*I9/100</f>
        <v>-255.559539793258</v>
      </c>
      <c r="J10" s="0" t="n">
        <f aca="false">-J6*J9/100</f>
        <v>-263.226325987056</v>
      </c>
      <c r="K10" s="0" t="n">
        <f aca="false">-K6*K9/100</f>
        <v>-269.806984136732</v>
      </c>
      <c r="L10" s="0" t="n">
        <f aca="false">-L6*L9/100</f>
        <v>-275.203123819467</v>
      </c>
    </row>
    <row r="11" customFormat="false" ht="15" hidden="false" customHeight="false" outlineLevel="0" collapsed="false">
      <c r="A11" s="0" t="s">
        <v>124</v>
      </c>
      <c r="C11" s="0" t="n">
        <f aca="false">C8+C10+C24</f>
        <v>7144.50636</v>
      </c>
      <c r="D11" s="0" t="n">
        <f aca="false">D8+D10+D24</f>
        <v>5499.1623732</v>
      </c>
      <c r="E11" s="0" t="n">
        <f aca="false">E8+E10+E24</f>
        <v>6112.4518572</v>
      </c>
      <c r="F11" s="0" t="n">
        <f aca="false">F8+F10+F24</f>
        <v>6716.950858596</v>
      </c>
      <c r="G11" s="0" t="n">
        <f aca="false">G8+G10+G24</f>
        <v>7061.01034771656</v>
      </c>
      <c r="H11" s="0" t="n">
        <f aca="false">H8+H10+H24</f>
        <v>7308.14570988664</v>
      </c>
      <c r="I11" s="0" t="n">
        <f aca="false">I8+I10+I24</f>
        <v>7527.39008118324</v>
      </c>
      <c r="J11" s="0" t="n">
        <f aca="false">J8+J10+J24</f>
        <v>7753.21178361874</v>
      </c>
      <c r="K11" s="0" t="n">
        <f aca="false">K8+K10+K24</f>
        <v>7947.0420782092</v>
      </c>
      <c r="L11" s="0" t="n">
        <f aca="false">L8+L10+L24</f>
        <v>8105.98291977339</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7144.50636</v>
      </c>
      <c r="D13" s="0" t="n">
        <f aca="false">D11+D12</f>
        <v>5499.1623732</v>
      </c>
      <c r="E13" s="0" t="n">
        <f aca="false">E11+E12</f>
        <v>6112.4518572</v>
      </c>
      <c r="F13" s="0" t="n">
        <f aca="false">F11+F12</f>
        <v>6716.950858596</v>
      </c>
      <c r="G13" s="0" t="n">
        <f aca="false">G11+G12</f>
        <v>7061.01034771656</v>
      </c>
      <c r="H13" s="0" t="n">
        <f aca="false">H11+H12</f>
        <v>7308.14570988664</v>
      </c>
      <c r="I13" s="0" t="n">
        <f aca="false">I11+I12</f>
        <v>7527.39008118324</v>
      </c>
      <c r="J13" s="0" t="n">
        <f aca="false">J11+J12</f>
        <v>7753.21178361874</v>
      </c>
      <c r="K13" s="0" t="n">
        <f aca="false">K11+K12</f>
        <v>7947.0420782092</v>
      </c>
      <c r="L13" s="0" t="n">
        <f aca="false">L11+L12</f>
        <v>8105.98291977339</v>
      </c>
    </row>
    <row r="14" customFormat="false" ht="15" hidden="false" customHeight="false" outlineLevel="0" collapsed="false">
      <c r="A14" s="0" t="s">
        <v>112</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127</v>
      </c>
      <c r="C15" s="0" t="n">
        <f aca="false">C13-MAX(0,C13)*C14/100</f>
        <v>5072.5995156</v>
      </c>
      <c r="D15" s="0" t="n">
        <f aca="false">D13-MAX(0,D13)*D14/100</f>
        <v>3904.405284972</v>
      </c>
      <c r="E15" s="0" t="n">
        <f aca="false">E13-MAX(0,E13)*E14/100</f>
        <v>4339.840818612</v>
      </c>
      <c r="F15" s="0" t="n">
        <f aca="false">F13-MAX(0,F13)*F14/100</f>
        <v>4769.03510960316</v>
      </c>
      <c r="G15" s="0" t="n">
        <f aca="false">G13-MAX(0,G13)*G14/100</f>
        <v>5013.31734687876</v>
      </c>
      <c r="H15" s="0" t="n">
        <f aca="false">H13-MAX(0,H13)*H14/100</f>
        <v>5188.78345401951</v>
      </c>
      <c r="I15" s="0" t="n">
        <f aca="false">I13-MAX(0,I13)*I14/100</f>
        <v>5344.4469576401</v>
      </c>
      <c r="J15" s="0" t="n">
        <f aca="false">J13-MAX(0,J13)*J14/100</f>
        <v>5504.7803663693</v>
      </c>
      <c r="K15" s="0" t="n">
        <f aca="false">K13-MAX(0,K13)*K14/100</f>
        <v>5642.39987552854</v>
      </c>
      <c r="L15" s="0" t="n">
        <f aca="false">L13-MAX(0,L13)*L14/100</f>
        <v>5755.24787303911</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-628.042152</v>
      </c>
      <c r="D17" s="4" t="n">
        <f aca="false">-D6*Assumptions!D18/100</f>
        <v>-0</v>
      </c>
      <c r="E17" s="4" t="n">
        <f aca="false">-E6*Assumptions!E18/100</f>
        <v>-0</v>
      </c>
      <c r="F17" s="4" t="n">
        <f aca="false">-F6*Assumptions!F18/100</f>
        <v>-932.7928621812</v>
      </c>
      <c r="G17" s="4" t="n">
        <f aca="false">-G6*Assumptions!G18/100</f>
        <v>-1120.17262923652</v>
      </c>
      <c r="H17" s="4" t="n">
        <f aca="false">-H6*Assumptions!H18/100</f>
        <v>-1159.37867125979</v>
      </c>
      <c r="I17" s="4" t="n">
        <f aca="false">-I6*Assumptions!I18/100</f>
        <v>-1029.20796480376</v>
      </c>
      <c r="J17" s="4" t="n">
        <f aca="false">-J6*Assumptions!J18/100</f>
        <v>-1060.08420374787</v>
      </c>
      <c r="K17" s="4" t="n">
        <f aca="false">-K6*Assumptions!K18/100</f>
        <v>-909.985373770252</v>
      </c>
      <c r="L17" s="4" t="n">
        <f aca="false">-L6*Assumptions!L18/100</f>
        <v>-745.550280892738</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4444.5573636</v>
      </c>
      <c r="D19" s="0" t="n">
        <f aca="false">D15+D16+D17+D18</f>
        <v>3904.405284972</v>
      </c>
      <c r="E19" s="0" t="n">
        <f aca="false">E15+E16+E17+E18</f>
        <v>4339.840818612</v>
      </c>
      <c r="F19" s="0" t="n">
        <f aca="false">F15+F16+F17+F18</f>
        <v>3836.24224742196</v>
      </c>
      <c r="G19" s="0" t="n">
        <f aca="false">G15+G16+G17+G18</f>
        <v>3893.14471764224</v>
      </c>
      <c r="H19" s="0" t="n">
        <f aca="false">H15+H16+H17+H18</f>
        <v>4029.40478275972</v>
      </c>
      <c r="I19" s="0" t="n">
        <f aca="false">I15+I16+I17+I18</f>
        <v>4315.23899283634</v>
      </c>
      <c r="J19" s="0" t="n">
        <f aca="false">J15+J16+J17+J18</f>
        <v>4444.69616262143</v>
      </c>
      <c r="K19" s="0" t="n">
        <f aca="false">K15+K16+K17+K18</f>
        <v>4732.41450175828</v>
      </c>
      <c r="L19" s="0" t="n">
        <f aca="false">L15+L16+L17+L18</f>
        <v>5009.69759214637</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4040.50669418182</v>
      </c>
      <c r="D21" s="0" t="n">
        <f aca="false">D19*D20</f>
        <v>3226.78122724959</v>
      </c>
      <c r="E21" s="0" t="n">
        <f aca="false">E19*E20</f>
        <v>3260.58664058001</v>
      </c>
      <c r="F21" s="0" t="n">
        <f aca="false">F19*F20</f>
        <v>2620.20507302914</v>
      </c>
      <c r="G21" s="0" t="n">
        <f aca="false">G19*G20</f>
        <v>2417.33656893918</v>
      </c>
      <c r="H21" s="0" t="n">
        <f aca="false">H19*H20</f>
        <v>2274.49395350187</v>
      </c>
      <c r="I21" s="0" t="n">
        <f aca="false">I19*I20</f>
        <v>2214.39992127967</v>
      </c>
      <c r="J21" s="0" t="n">
        <f aca="false">J19*J20</f>
        <v>2073.48356265278</v>
      </c>
      <c r="K21" s="0" t="n">
        <f aca="false">K19*K20</f>
        <v>2007.0057193471</v>
      </c>
      <c r="L21" s="0" t="n">
        <f aca="false">L19*L20</f>
        <v>1931.45528872331</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10</v>
      </c>
    </row>
    <row r="30" customFormat="false" ht="15" hidden="false" customHeight="false" outlineLevel="0" collapsed="false">
      <c r="A30" s="0" t="s">
        <v>136</v>
      </c>
      <c r="B30" s="0" t="n">
        <f aca="false">SUM(C21:L21)</f>
        <v>26066.2546494845</v>
      </c>
    </row>
    <row r="31" customFormat="false" ht="15" hidden="false" customHeight="false" outlineLevel="0" collapsed="false">
      <c r="A31" s="0" t="s">
        <v>137</v>
      </c>
      <c r="B31" s="0" t="n">
        <f aca="false">L19</f>
        <v>5009.69759214637</v>
      </c>
    </row>
    <row r="32" customFormat="false" ht="15" hidden="false" customHeight="false" outlineLevel="0" collapsed="false">
      <c r="A32" s="0" t="s">
        <v>138</v>
      </c>
      <c r="B32" s="0" t="n">
        <f aca="false">IF(B27&gt;B28,B31*(1+B28/100)/((B27-B28)/100),B31*B29)</f>
        <v>63873.6442998662</v>
      </c>
    </row>
    <row r="33" customFormat="false" ht="15" hidden="false" customHeight="false" outlineLevel="0" collapsed="false">
      <c r="A33" s="0" t="s">
        <v>139</v>
      </c>
      <c r="B33" s="0" t="n">
        <f aca="false">B31*B29</f>
        <v>50096.9759214637</v>
      </c>
    </row>
    <row r="34" customFormat="false" ht="15" hidden="false" customHeight="false" outlineLevel="0" collapsed="false">
      <c r="A34" s="0" t="s">
        <v>140</v>
      </c>
      <c r="B34" s="0" t="n">
        <f aca="false">MAX(0,MIN(B32,B33))</f>
        <v>50096.9759214637</v>
      </c>
    </row>
    <row r="35" customFormat="false" ht="15" hidden="false" customHeight="false" outlineLevel="0" collapsed="false">
      <c r="A35" s="0" t="s">
        <v>141</v>
      </c>
      <c r="B35" s="0" t="n">
        <f aca="false">B34/(1+B27/100)^L4</f>
        <v>19314.5528872331</v>
      </c>
    </row>
    <row r="36" customFormat="false" ht="15" hidden="false" customHeight="false" outlineLevel="0" collapsed="false">
      <c r="A36" s="0" t="s">
        <v>142</v>
      </c>
      <c r="B36" s="0" t="n">
        <f aca="false">B30+B35</f>
        <v>45380.8075367176</v>
      </c>
    </row>
    <row r="37" customFormat="false" ht="15" hidden="false" customHeight="false" outlineLevel="0" collapsed="false">
      <c r="A37" s="0" t="s">
        <v>143</v>
      </c>
      <c r="B37" s="0" t="n">
        <f aca="false">B36+Assumptions!$B$5-Assumptions!$B$4</f>
        <v>46160.8075367176</v>
      </c>
    </row>
    <row r="38" customFormat="false" ht="15" hidden="false" customHeight="false" outlineLevel="0" collapsed="false">
      <c r="A38" s="0" t="s">
        <v>144</v>
      </c>
      <c r="B38" s="0" t="n">
        <f aca="false">B37/Assumptions!$B$3*Assumptions!$B$10</f>
        <v>78.4900912018459</v>
      </c>
    </row>
    <row r="39" customFormat="false" ht="15" hidden="false" customHeight="false" outlineLevel="0" collapsed="false">
      <c r="A39" s="0" t="s">
        <v>145</v>
      </c>
      <c r="B39" s="4" t="n">
        <f aca="false">B38/Assumptions!$B$2-1</f>
        <v>-0.227459732265296</v>
      </c>
    </row>
    <row r="41" customFormat="false" ht="15" hidden="false" customHeight="false" outlineLevel="0" collapsed="false">
      <c r="A41" s="0" t="s">
        <v>146</v>
      </c>
      <c r="B41" s="0" t="n">
        <f aca="false">SUMPRODUCT(-C10:L10/(1+$B$27/100)^C4:L4)</f>
        <v>1487.11937307734</v>
      </c>
    </row>
    <row r="42" customFormat="false" ht="15" hidden="false" customHeight="false" outlineLevel="0" collapsed="false">
      <c r="A42" s="0" t="s">
        <v>147</v>
      </c>
      <c r="B42" s="0" t="n">
        <f aca="false">IF(B27&gt;B28,-L10*(1+B28/100)/((B27-B28)/100),-L10*20)/(1+B27/100)^L4</f>
        <v>1352.80964963766</v>
      </c>
    </row>
    <row r="43" customFormat="false" ht="15" hidden="false" customHeight="false" outlineLevel="0" collapsed="false">
      <c r="A43" s="0" t="s">
        <v>148</v>
      </c>
      <c r="B43" s="0" t="n">
        <f aca="false">(B37+B41+B42)/Assumptions!$B$3*Assumptions!$B$10</f>
        <v>83.3189990978433</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39306.8580306869</v>
      </c>
    </row>
    <row r="47" customFormat="false" ht="15" hidden="false" customHeight="false" outlineLevel="0" collapsed="false">
      <c r="A47" s="0" t="s">
        <v>150</v>
      </c>
      <c r="B47" s="0" t="n">
        <f aca="false">(SUMPRODUCT(C19:L19/(1+B45/100)^C4:L4)+B46/(1+B45/100)^L4+Assumptions!$B$5-Assumptions!$B$4)/Assumptions!$B$3*Assumptions!$B$10</f>
        <v>53.8955076378237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6</v>
      </c>
      <c r="D5" s="4" t="n">
        <f aca="false">Assumptions!D27</f>
        <v>5</v>
      </c>
      <c r="E5" s="4" t="n">
        <f aca="false">Assumptions!E27</f>
        <v>4.5</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20662</v>
      </c>
      <c r="C6" s="0" t="n">
        <f aca="false">B6*(1+C5/100)</f>
        <v>21901.72</v>
      </c>
      <c r="D6" s="0" t="n">
        <f aca="false">C6*(1+D5/100)</f>
        <v>22996.806</v>
      </c>
      <c r="E6" s="0" t="n">
        <f aca="false">D6*(1+E5/100)</f>
        <v>24031.66227</v>
      </c>
      <c r="F6" s="0" t="n">
        <f aca="false">E6*(1+F5/100)</f>
        <v>24992.9287608</v>
      </c>
      <c r="G6" s="0" t="n">
        <f aca="false">F6*(1+G5/100)</f>
        <v>25867.681267428</v>
      </c>
      <c r="H6" s="0" t="n">
        <f aca="false">G6*(1+H5/100)</f>
        <v>26643.7117054508</v>
      </c>
      <c r="I6" s="0" t="n">
        <f aca="false">H6*(1+I5/100)</f>
        <v>27443.0230566144</v>
      </c>
      <c r="J6" s="0" t="n">
        <f aca="false">I6*(1+J5/100)</f>
        <v>28129.0986330297</v>
      </c>
      <c r="K6" s="0" t="n">
        <f aca="false">J6*(1+K5/100)</f>
        <v>28832.3260988555</v>
      </c>
      <c r="L6" s="0" t="n">
        <f aca="false">K6*(1+L5/100)</f>
        <v>29553.1342513269</v>
      </c>
    </row>
    <row r="7" customFormat="false" ht="15" hidden="false" customHeight="false" outlineLevel="0" collapsed="false">
      <c r="A7" s="0" t="s">
        <v>107</v>
      </c>
      <c r="C7" s="4" t="n">
        <f aca="false">Assumptions!C28</f>
        <v>38</v>
      </c>
      <c r="D7" s="4" t="n">
        <f aca="false">Assumptions!D28</f>
        <v>38.5</v>
      </c>
      <c r="E7" s="4" t="n">
        <f aca="false">Assumptions!E28</f>
        <v>38.5</v>
      </c>
      <c r="F7" s="4" t="n">
        <f aca="false">Assumptions!F28</f>
        <v>38</v>
      </c>
      <c r="G7" s="4" t="n">
        <f aca="false">Assumptions!G28</f>
        <v>37</v>
      </c>
      <c r="H7" s="4" t="n">
        <f aca="false">Assumptions!H28</f>
        <v>36</v>
      </c>
      <c r="I7" s="4" t="n">
        <f aca="false">Assumptions!I28</f>
        <v>35.5</v>
      </c>
      <c r="J7" s="4" t="n">
        <f aca="false">Assumptions!J28</f>
        <v>35</v>
      </c>
      <c r="K7" s="4" t="n">
        <f aca="false">Assumptions!K28</f>
        <v>35</v>
      </c>
      <c r="L7" s="4" t="n">
        <f aca="false">Assumptions!L28</f>
        <v>35</v>
      </c>
    </row>
    <row r="8" customFormat="false" ht="15" hidden="false" customHeight="false" outlineLevel="0" collapsed="false">
      <c r="A8" s="0" t="s">
        <v>44</v>
      </c>
      <c r="C8" s="0" t="n">
        <f aca="false">C6*C7/100</f>
        <v>8322.6536</v>
      </c>
      <c r="D8" s="0" t="n">
        <f aca="false">D6*D7/100</f>
        <v>8853.77031</v>
      </c>
      <c r="E8" s="0" t="n">
        <f aca="false">E6*E7/100</f>
        <v>9252.18997395</v>
      </c>
      <c r="F8" s="0" t="n">
        <f aca="false">F6*F7/100</f>
        <v>9497.312929104</v>
      </c>
      <c r="G8" s="0" t="n">
        <f aca="false">G6*G7/100</f>
        <v>9571.04206894836</v>
      </c>
      <c r="H8" s="0" t="n">
        <f aca="false">H6*H7/100</f>
        <v>9591.7362139623</v>
      </c>
      <c r="I8" s="0" t="n">
        <f aca="false">I6*I7/100</f>
        <v>9742.2731850981</v>
      </c>
      <c r="J8" s="0" t="n">
        <f aca="false">J6*J7/100</f>
        <v>9845.1845215604</v>
      </c>
      <c r="K8" s="0" t="n">
        <f aca="false">K6*K7/100</f>
        <v>10091.3141345994</v>
      </c>
      <c r="L8" s="0" t="n">
        <f aca="false">L6*L7/100</f>
        <v>10343.5969879644</v>
      </c>
    </row>
    <row r="9" customFormat="false" ht="15" hidden="false" customHeight="false" outlineLevel="0" collapsed="false">
      <c r="A9" s="0" t="s">
        <v>108</v>
      </c>
      <c r="C9" s="4" t="n">
        <f aca="false">Assumptions!C29</f>
        <v>1.1</v>
      </c>
      <c r="D9" s="4" t="n">
        <f aca="false">Assumptions!D29</f>
        <v>1.1</v>
      </c>
      <c r="E9" s="4" t="n">
        <f aca="false">Assumptions!E29</f>
        <v>1.1</v>
      </c>
      <c r="F9" s="4" t="n">
        <f aca="false">Assumptions!F29</f>
        <v>1.1</v>
      </c>
      <c r="G9" s="4" t="n">
        <f aca="false">Assumptions!G29</f>
        <v>1.1</v>
      </c>
      <c r="H9" s="4" t="n">
        <f aca="false">Assumptions!H29</f>
        <v>1.1</v>
      </c>
      <c r="I9" s="4" t="n">
        <f aca="false">Assumptions!I29</f>
        <v>1.1</v>
      </c>
      <c r="J9" s="4" t="n">
        <f aca="false">Assumptions!J29</f>
        <v>1.1</v>
      </c>
      <c r="K9" s="4" t="n">
        <f aca="false">Assumptions!K29</f>
        <v>1.1</v>
      </c>
      <c r="L9" s="4" t="n">
        <f aca="false">Assumptions!L29</f>
        <v>1.1</v>
      </c>
    </row>
    <row r="10" customFormat="false" ht="15" hidden="false" customHeight="false" outlineLevel="0" collapsed="false">
      <c r="A10" s="0" t="s">
        <v>123</v>
      </c>
      <c r="C10" s="0" t="n">
        <f aca="false">-C6*C9/100</f>
        <v>-240.91892</v>
      </c>
      <c r="D10" s="0" t="n">
        <f aca="false">-D6*D9/100</f>
        <v>-252.964866</v>
      </c>
      <c r="E10" s="0" t="n">
        <f aca="false">-E6*E9/100</f>
        <v>-264.34828497</v>
      </c>
      <c r="F10" s="0" t="n">
        <f aca="false">-F6*F9/100</f>
        <v>-274.9222163688</v>
      </c>
      <c r="G10" s="0" t="n">
        <f aca="false">-G6*G9/100</f>
        <v>-284.544493941708</v>
      </c>
      <c r="H10" s="0" t="n">
        <f aca="false">-H6*H9/100</f>
        <v>-293.080828759959</v>
      </c>
      <c r="I10" s="0" t="n">
        <f aca="false">-I6*I9/100</f>
        <v>-301.873253622758</v>
      </c>
      <c r="J10" s="0" t="n">
        <f aca="false">-J6*J9/100</f>
        <v>-309.420084963327</v>
      </c>
      <c r="K10" s="0" t="n">
        <f aca="false">-K6*K9/100</f>
        <v>-317.15558708741</v>
      </c>
      <c r="L10" s="0" t="n">
        <f aca="false">-L6*L9/100</f>
        <v>-325.084476764595</v>
      </c>
    </row>
    <row r="11" customFormat="false" ht="15" hidden="false" customHeight="false" outlineLevel="0" collapsed="false">
      <c r="A11" s="0" t="s">
        <v>124</v>
      </c>
      <c r="C11" s="0" t="n">
        <f aca="false">C8+C10+C24</f>
        <v>8081.73468</v>
      </c>
      <c r="D11" s="0" t="n">
        <f aca="false">D8+D10+D24</f>
        <v>8600.805444</v>
      </c>
      <c r="E11" s="0" t="n">
        <f aca="false">E8+E10+E24</f>
        <v>8987.84168898</v>
      </c>
      <c r="F11" s="0" t="n">
        <f aca="false">F8+F10+F24</f>
        <v>9222.3907127352</v>
      </c>
      <c r="G11" s="0" t="n">
        <f aca="false">G8+G10+G24</f>
        <v>9286.49757500665</v>
      </c>
      <c r="H11" s="0" t="n">
        <f aca="false">H8+H10+H24</f>
        <v>9298.65538520234</v>
      </c>
      <c r="I11" s="0" t="n">
        <f aca="false">I8+I10+I24</f>
        <v>9440.39993147534</v>
      </c>
      <c r="J11" s="0" t="n">
        <f aca="false">J8+J10+J24</f>
        <v>9535.76443659708</v>
      </c>
      <c r="K11" s="0" t="n">
        <f aca="false">K8+K10+K24</f>
        <v>9774.158547512</v>
      </c>
      <c r="L11" s="0" t="n">
        <f aca="false">L8+L10+L24</f>
        <v>10018.5125111998</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8081.73468</v>
      </c>
      <c r="D13" s="0" t="n">
        <f aca="false">D11+D12</f>
        <v>8600.805444</v>
      </c>
      <c r="E13" s="0" t="n">
        <f aca="false">E11+E12</f>
        <v>8987.84168898</v>
      </c>
      <c r="F13" s="0" t="n">
        <f aca="false">F11+F12</f>
        <v>9222.3907127352</v>
      </c>
      <c r="G13" s="0" t="n">
        <f aca="false">G11+G12</f>
        <v>9286.49757500665</v>
      </c>
      <c r="H13" s="0" t="n">
        <f aca="false">H11+H12</f>
        <v>9298.65538520234</v>
      </c>
      <c r="I13" s="0" t="n">
        <f aca="false">I11+I12</f>
        <v>9440.39993147534</v>
      </c>
      <c r="J13" s="0" t="n">
        <f aca="false">J11+J12</f>
        <v>9535.76443659708</v>
      </c>
      <c r="K13" s="0" t="n">
        <f aca="false">K11+K12</f>
        <v>9774.158547512</v>
      </c>
      <c r="L13" s="0" t="n">
        <f aca="false">L11+L12</f>
        <v>10018.5125111998</v>
      </c>
    </row>
    <row r="14" customFormat="false" ht="15" hidden="false" customHeight="false" outlineLevel="0" collapsed="false">
      <c r="A14" s="0" t="s">
        <v>112</v>
      </c>
      <c r="C14" s="4" t="n">
        <f aca="false">Assumptions!C33</f>
        <v>28.5</v>
      </c>
      <c r="D14" s="4" t="n">
        <f aca="false">Assumptions!D33</f>
        <v>28.5</v>
      </c>
      <c r="E14" s="4" t="n">
        <f aca="false">Assumptions!E33</f>
        <v>28.5</v>
      </c>
      <c r="F14" s="4" t="n">
        <f aca="false">Assumptions!F33</f>
        <v>28.5</v>
      </c>
      <c r="G14" s="4" t="n">
        <f aca="false">Assumptions!G33</f>
        <v>28.5</v>
      </c>
      <c r="H14" s="4" t="n">
        <f aca="false">Assumptions!H33</f>
        <v>28.5</v>
      </c>
      <c r="I14" s="4" t="n">
        <f aca="false">Assumptions!I33</f>
        <v>28.5</v>
      </c>
      <c r="J14" s="4" t="n">
        <f aca="false">Assumptions!J33</f>
        <v>28.5</v>
      </c>
      <c r="K14" s="4" t="n">
        <f aca="false">Assumptions!K33</f>
        <v>28.5</v>
      </c>
      <c r="L14" s="4" t="n">
        <f aca="false">Assumptions!L33</f>
        <v>28.5</v>
      </c>
    </row>
    <row r="15" customFormat="false" ht="15" hidden="false" customHeight="false" outlineLevel="0" collapsed="false">
      <c r="A15" s="0" t="s">
        <v>127</v>
      </c>
      <c r="C15" s="0" t="n">
        <f aca="false">C13-MAX(0,C13)*C14/100</f>
        <v>5778.4402962</v>
      </c>
      <c r="D15" s="0" t="n">
        <f aca="false">D13-MAX(0,D13)*D14/100</f>
        <v>6149.57589246</v>
      </c>
      <c r="E15" s="0" t="n">
        <f aca="false">E13-MAX(0,E13)*E14/100</f>
        <v>6426.3068076207</v>
      </c>
      <c r="F15" s="0" t="n">
        <f aca="false">F13-MAX(0,F13)*F14/100</f>
        <v>6594.00935960567</v>
      </c>
      <c r="G15" s="0" t="n">
        <f aca="false">G13-MAX(0,G13)*G14/100</f>
        <v>6639.84576612976</v>
      </c>
      <c r="H15" s="0" t="n">
        <f aca="false">H13-MAX(0,H13)*H14/100</f>
        <v>6648.53860041968</v>
      </c>
      <c r="I15" s="0" t="n">
        <f aca="false">I13-MAX(0,I13)*I14/100</f>
        <v>6749.88595100487</v>
      </c>
      <c r="J15" s="0" t="n">
        <f aca="false">J13-MAX(0,J13)*J14/100</f>
        <v>6818.07157216691</v>
      </c>
      <c r="K15" s="0" t="n">
        <f aca="false">K13-MAX(0,K13)*K14/100</f>
        <v>6988.52336147108</v>
      </c>
      <c r="L15" s="0" t="n">
        <f aca="false">L13-MAX(0,L13)*L14/100</f>
        <v>7163.23644550786</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-1885.738092</v>
      </c>
      <c r="D17" s="4" t="n">
        <f aca="false">-D6*Assumptions!D32/100</f>
        <v>-1664.9687544</v>
      </c>
      <c r="E17" s="4" t="n">
        <f aca="false">-E6*Assumptions!E32/100</f>
        <v>-1574.073878685</v>
      </c>
      <c r="F17" s="4" t="n">
        <f aca="false">-F6*Assumptions!F32/100</f>
        <v>-1462.0863325068</v>
      </c>
      <c r="G17" s="4" t="n">
        <f aca="false">-G6*Assumptions!G32/100</f>
        <v>-1329.5988171458</v>
      </c>
      <c r="H17" s="4" t="n">
        <f aca="false">-H6*Assumptions!H32/100</f>
        <v>-1180.31642855147</v>
      </c>
      <c r="I17" s="4" t="n">
        <f aca="false">-I6*Assumptions!I32/100</f>
        <v>-1215.72592140802</v>
      </c>
      <c r="J17" s="4" t="n">
        <f aca="false">-J6*Assumptions!J32/100</f>
        <v>-1043.5895592854</v>
      </c>
      <c r="K17" s="4" t="n">
        <f aca="false">-K6*Assumptions!K32/100</f>
        <v>-1069.67929826754</v>
      </c>
      <c r="L17" s="4" t="n">
        <f aca="false">-L6*Assumptions!L32/100</f>
        <v>-1096.42128072423</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3892.7022042</v>
      </c>
      <c r="D19" s="0" t="n">
        <f aca="false">D15+D16+D17+D18</f>
        <v>4484.60713806</v>
      </c>
      <c r="E19" s="0" t="n">
        <f aca="false">E15+E16+E17+E18</f>
        <v>4852.2329289357</v>
      </c>
      <c r="F19" s="0" t="n">
        <f aca="false">F15+F16+F17+F18</f>
        <v>5131.92302709887</v>
      </c>
      <c r="G19" s="0" t="n">
        <f aca="false">G15+G16+G17+G18</f>
        <v>5310.24694898396</v>
      </c>
      <c r="H19" s="0" t="n">
        <f aca="false">H15+H16+H17+H18</f>
        <v>5468.2221718682</v>
      </c>
      <c r="I19" s="0" t="n">
        <f aca="false">I15+I16+I17+I18</f>
        <v>5534.16002959685</v>
      </c>
      <c r="J19" s="0" t="n">
        <f aca="false">J15+J16+J17+J18</f>
        <v>5774.48201288151</v>
      </c>
      <c r="K19" s="0" t="n">
        <f aca="false">K15+K16+K17+K18</f>
        <v>5918.84406320354</v>
      </c>
      <c r="L19" s="0" t="n">
        <f aca="false">L15+L16+L17+L18</f>
        <v>6066.81516478363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3538.82018563636</v>
      </c>
      <c r="D21" s="0" t="n">
        <f aca="false">D19*D20</f>
        <v>3706.28689095868</v>
      </c>
      <c r="E21" s="0" t="n">
        <f aca="false">E19*E20</f>
        <v>3645.5544169314</v>
      </c>
      <c r="F21" s="0" t="n">
        <f aca="false">F19*F20</f>
        <v>3505.17247940637</v>
      </c>
      <c r="G21" s="0" t="n">
        <f aca="false">G19*G20</f>
        <v>3297.24556133396</v>
      </c>
      <c r="H21" s="0" t="n">
        <f aca="false">H19*H20</f>
        <v>3086.66885976165</v>
      </c>
      <c r="I21" s="0" t="n">
        <f aca="false">I19*I20</f>
        <v>2839.89914677551</v>
      </c>
      <c r="J21" s="0" t="n">
        <f aca="false">J19*J20</f>
        <v>2693.83847589758</v>
      </c>
      <c r="K21" s="0" t="n">
        <f aca="false">K19*K20</f>
        <v>2510.16767072274</v>
      </c>
      <c r="L21" s="0" t="n">
        <f aca="false">L19*L20</f>
        <v>2339.01987499165</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31162.6735624159</v>
      </c>
    </row>
    <row r="31" customFormat="false" ht="15" hidden="false" customHeight="false" outlineLevel="0" collapsed="false">
      <c r="A31" s="0" t="s">
        <v>137</v>
      </c>
      <c r="B31" s="0" t="n">
        <f aca="false">L19</f>
        <v>6066.81516478363</v>
      </c>
    </row>
    <row r="32" customFormat="false" ht="15" hidden="false" customHeight="false" outlineLevel="0" collapsed="false">
      <c r="A32" s="0" t="s">
        <v>138</v>
      </c>
      <c r="B32" s="0" t="n">
        <f aca="false">IF(B27&gt;B28,B31*(1+B28/100)/((B27-B28)/100),B31*B29)</f>
        <v>82913.1405853763</v>
      </c>
    </row>
    <row r="33" customFormat="false" ht="15" hidden="false" customHeight="false" outlineLevel="0" collapsed="false">
      <c r="A33" s="0" t="s">
        <v>139</v>
      </c>
      <c r="B33" s="0" t="n">
        <f aca="false">B31*B29</f>
        <v>72801.7819774036</v>
      </c>
    </row>
    <row r="34" customFormat="false" ht="15" hidden="false" customHeight="false" outlineLevel="0" collapsed="false">
      <c r="A34" s="0" t="s">
        <v>140</v>
      </c>
      <c r="B34" s="0" t="n">
        <f aca="false">MAX(0,MIN(B32,B33))</f>
        <v>72801.7819774036</v>
      </c>
    </row>
    <row r="35" customFormat="false" ht="15" hidden="false" customHeight="false" outlineLevel="0" collapsed="false">
      <c r="A35" s="0" t="s">
        <v>141</v>
      </c>
      <c r="B35" s="0" t="n">
        <f aca="false">B34/(1+B27/100)^L4</f>
        <v>28068.2384998998</v>
      </c>
    </row>
    <row r="36" customFormat="false" ht="15" hidden="false" customHeight="false" outlineLevel="0" collapsed="false">
      <c r="A36" s="0" t="s">
        <v>142</v>
      </c>
      <c r="B36" s="0" t="n">
        <f aca="false">B30+B35</f>
        <v>59230.9120623157</v>
      </c>
    </row>
    <row r="37" customFormat="false" ht="15" hidden="false" customHeight="false" outlineLevel="0" collapsed="false">
      <c r="A37" s="0" t="s">
        <v>143</v>
      </c>
      <c r="B37" s="0" t="n">
        <f aca="false">B36+Assumptions!$B$5-Assumptions!$B$4</f>
        <v>60010.9120623157</v>
      </c>
    </row>
    <row r="38" customFormat="false" ht="15" hidden="false" customHeight="false" outlineLevel="0" collapsed="false">
      <c r="A38" s="0" t="s">
        <v>144</v>
      </c>
      <c r="B38" s="0" t="n">
        <f aca="false">B37/Assumptions!$B$3*Assumptions!$B$10</f>
        <v>102.04028508666</v>
      </c>
    </row>
    <row r="39" customFormat="false" ht="15" hidden="false" customHeight="false" outlineLevel="0" collapsed="false">
      <c r="A39" s="0" t="s">
        <v>145</v>
      </c>
      <c r="B39" s="4" t="n">
        <f aca="false">B38/Assumptions!$B$2-1</f>
        <v>0.00433351463248122</v>
      </c>
    </row>
    <row r="41" customFormat="false" ht="15" hidden="false" customHeight="false" outlineLevel="0" collapsed="false">
      <c r="A41" s="0" t="s">
        <v>146</v>
      </c>
      <c r="B41" s="0" t="n">
        <f aca="false">SUMPRODUCT(-C10:L10/(1+$B$27/100)^C4:L4)</f>
        <v>1715.67418730324</v>
      </c>
    </row>
    <row r="42" customFormat="false" ht="15" hidden="false" customHeight="false" outlineLevel="0" collapsed="false">
      <c r="A42" s="0" t="s">
        <v>147</v>
      </c>
      <c r="B42" s="0" t="n">
        <f aca="false">IF(B27&gt;B28,-L10*(1+B28/100)/((B27-B28)/100),-L10*20)/(1+B27/100)^L4</f>
        <v>1712.89989302877</v>
      </c>
    </row>
    <row r="43" customFormat="false" ht="15" hidden="false" customHeight="false" outlineLevel="0" collapsed="false">
      <c r="A43" s="0" t="s">
        <v>148</v>
      </c>
      <c r="B43" s="0" t="n">
        <f aca="false">(B37+B41+B42)/Assumptions!$B$3*Assumptions!$B$10</f>
        <v>107.870102774392</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49747.8843512258</v>
      </c>
    </row>
    <row r="47" customFormat="false" ht="15" hidden="false" customHeight="false" outlineLevel="0" collapsed="false">
      <c r="A47" s="0" t="s">
        <v>150</v>
      </c>
      <c r="B47" s="0" t="n">
        <f aca="false">(SUMPRODUCT(C19:L19/(1+B45/100)^C4:L4)+B46/(1+B45/100)^L4+Assumptions!$B$5-Assumptions!$B$4)/Assumptions!$B$3*Assumptions!$B$10</f>
        <v>64.838219065593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8</v>
      </c>
      <c r="D5" s="4" t="n">
        <f aca="false">Assumptions!D41</f>
        <v>6.5</v>
      </c>
      <c r="E5" s="4" t="n">
        <f aca="false">Assumptions!E41</f>
        <v>5.5</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20662</v>
      </c>
      <c r="C6" s="0" t="n">
        <f aca="false">B6*(1+C5/100)</f>
        <v>22314.96</v>
      </c>
      <c r="D6" s="0" t="n">
        <f aca="false">C6*(1+D5/100)</f>
        <v>23765.4324</v>
      </c>
      <c r="E6" s="0" t="n">
        <f aca="false">D6*(1+E5/100)</f>
        <v>25072.531182</v>
      </c>
      <c r="F6" s="0" t="n">
        <f aca="false">E6*(1+F5/100)</f>
        <v>26326.1577411</v>
      </c>
      <c r="G6" s="0" t="n">
        <f aca="false">F6*(1+G5/100)</f>
        <v>27510.8348394495</v>
      </c>
      <c r="H6" s="0" t="n">
        <f aca="false">G6*(1+H5/100)</f>
        <v>28611.2682330275</v>
      </c>
      <c r="I6" s="0" t="n">
        <f aca="false">H6*(1+I5/100)</f>
        <v>29612.6626211834</v>
      </c>
      <c r="J6" s="0" t="n">
        <f aca="false">I6*(1+J5/100)</f>
        <v>30501.0424998189</v>
      </c>
      <c r="K6" s="0" t="n">
        <f aca="false">J6*(1+K5/100)</f>
        <v>31416.0737748135</v>
      </c>
      <c r="L6" s="0" t="n">
        <f aca="false">K6*(1+L5/100)</f>
        <v>32358.5559880579</v>
      </c>
    </row>
    <row r="7" customFormat="false" ht="15" hidden="false" customHeight="false" outlineLevel="0" collapsed="false">
      <c r="A7" s="0" t="s">
        <v>107</v>
      </c>
      <c r="C7" s="4" t="n">
        <f aca="false">Assumptions!C42</f>
        <v>39.5</v>
      </c>
      <c r="D7" s="4" t="n">
        <f aca="false">Assumptions!D42</f>
        <v>41</v>
      </c>
      <c r="E7" s="4" t="n">
        <f aca="false">Assumptions!E42</f>
        <v>42</v>
      </c>
      <c r="F7" s="4" t="n">
        <f aca="false">Assumptions!F42</f>
        <v>42</v>
      </c>
      <c r="G7" s="4" t="n">
        <f aca="false">Assumptions!G42</f>
        <v>41.5</v>
      </c>
      <c r="H7" s="4" t="n">
        <f aca="false">Assumptions!H42</f>
        <v>41</v>
      </c>
      <c r="I7" s="4" t="n">
        <f aca="false">Assumptions!I42</f>
        <v>40.5</v>
      </c>
      <c r="J7" s="4" t="n">
        <f aca="false">Assumptions!J42</f>
        <v>40</v>
      </c>
      <c r="K7" s="4" t="n">
        <f aca="false">Assumptions!K42</f>
        <v>40</v>
      </c>
      <c r="L7" s="4" t="n">
        <f aca="false">Assumptions!L42</f>
        <v>40</v>
      </c>
    </row>
    <row r="8" customFormat="false" ht="15" hidden="false" customHeight="false" outlineLevel="0" collapsed="false">
      <c r="A8" s="0" t="s">
        <v>44</v>
      </c>
      <c r="C8" s="0" t="n">
        <f aca="false">C6*C7/100</f>
        <v>8814.4092</v>
      </c>
      <c r="D8" s="0" t="n">
        <f aca="false">D6*D7/100</f>
        <v>9743.827284</v>
      </c>
      <c r="E8" s="0" t="n">
        <f aca="false">E6*E7/100</f>
        <v>10530.46309644</v>
      </c>
      <c r="F8" s="0" t="n">
        <f aca="false">F6*F7/100</f>
        <v>11056.986251262</v>
      </c>
      <c r="G8" s="0" t="n">
        <f aca="false">G6*G7/100</f>
        <v>11416.9964583715</v>
      </c>
      <c r="H8" s="0" t="n">
        <f aca="false">H6*H7/100</f>
        <v>11730.6199755413</v>
      </c>
      <c r="I8" s="0" t="n">
        <f aca="false">I6*I7/100</f>
        <v>11993.1283615793</v>
      </c>
      <c r="J8" s="0" t="n">
        <f aca="false">J6*J7/100</f>
        <v>12200.4169999276</v>
      </c>
      <c r="K8" s="0" t="n">
        <f aca="false">K6*K7/100</f>
        <v>12566.4295099254</v>
      </c>
      <c r="L8" s="0" t="n">
        <f aca="false">L6*L7/100</f>
        <v>12943.4223952232</v>
      </c>
    </row>
    <row r="9" customFormat="false" ht="15" hidden="false" customHeight="false" outlineLevel="0" collapsed="false">
      <c r="A9" s="0" t="s">
        <v>108</v>
      </c>
      <c r="C9" s="4" t="n">
        <f aca="false">Assumptions!C43</f>
        <v>1.1</v>
      </c>
      <c r="D9" s="4" t="n">
        <f aca="false">Assumptions!D43</f>
        <v>1.1</v>
      </c>
      <c r="E9" s="4" t="n">
        <f aca="false">Assumptions!E43</f>
        <v>1.1</v>
      </c>
      <c r="F9" s="4" t="n">
        <f aca="false">Assumptions!F43</f>
        <v>1.1</v>
      </c>
      <c r="G9" s="4" t="n">
        <f aca="false">Assumptions!G43</f>
        <v>1.1</v>
      </c>
      <c r="H9" s="4" t="n">
        <f aca="false">Assumptions!H43</f>
        <v>1.1</v>
      </c>
      <c r="I9" s="4" t="n">
        <f aca="false">Assumptions!I43</f>
        <v>1.1</v>
      </c>
      <c r="J9" s="4" t="n">
        <f aca="false">Assumptions!J43</f>
        <v>1.1</v>
      </c>
      <c r="K9" s="4" t="n">
        <f aca="false">Assumptions!K43</f>
        <v>1.1</v>
      </c>
      <c r="L9" s="4" t="n">
        <f aca="false">Assumptions!L43</f>
        <v>1.1</v>
      </c>
    </row>
    <row r="10" customFormat="false" ht="15" hidden="false" customHeight="false" outlineLevel="0" collapsed="false">
      <c r="A10" s="0" t="s">
        <v>123</v>
      </c>
      <c r="C10" s="0" t="n">
        <f aca="false">-C6*C9/100</f>
        <v>-245.46456</v>
      </c>
      <c r="D10" s="0" t="n">
        <f aca="false">-D6*D9/100</f>
        <v>-261.4197564</v>
      </c>
      <c r="E10" s="0" t="n">
        <f aca="false">-E6*E9/100</f>
        <v>-275.797843002</v>
      </c>
      <c r="F10" s="0" t="n">
        <f aca="false">-F6*F9/100</f>
        <v>-289.5877351521</v>
      </c>
      <c r="G10" s="0" t="n">
        <f aca="false">-G6*G9/100</f>
        <v>-302.619183233945</v>
      </c>
      <c r="H10" s="0" t="n">
        <f aca="false">-H6*H9/100</f>
        <v>-314.723950563302</v>
      </c>
      <c r="I10" s="0" t="n">
        <f aca="false">-I6*I9/100</f>
        <v>-325.739288833018</v>
      </c>
      <c r="J10" s="0" t="n">
        <f aca="false">-J6*J9/100</f>
        <v>-335.511467498008</v>
      </c>
      <c r="K10" s="0" t="n">
        <f aca="false">-K6*K9/100</f>
        <v>-345.576811522949</v>
      </c>
      <c r="L10" s="0" t="n">
        <f aca="false">-L6*L9/100</f>
        <v>-355.944115868637</v>
      </c>
    </row>
    <row r="11" customFormat="false" ht="15" hidden="false" customHeight="false" outlineLevel="0" collapsed="false">
      <c r="A11" s="0" t="s">
        <v>124</v>
      </c>
      <c r="C11" s="0" t="n">
        <f aca="false">C8+C10+C24</f>
        <v>8568.94464</v>
      </c>
      <c r="D11" s="0" t="n">
        <f aca="false">D8+D10+D24</f>
        <v>9482.4075276</v>
      </c>
      <c r="E11" s="0" t="n">
        <f aca="false">E8+E10+E24</f>
        <v>10254.665253438</v>
      </c>
      <c r="F11" s="0" t="n">
        <f aca="false">F8+F10+F24</f>
        <v>10767.3985161099</v>
      </c>
      <c r="G11" s="0" t="n">
        <f aca="false">G8+G10+G24</f>
        <v>11114.3772751376</v>
      </c>
      <c r="H11" s="0" t="n">
        <f aca="false">H8+H10+H24</f>
        <v>11415.896024978</v>
      </c>
      <c r="I11" s="0" t="n">
        <f aca="false">I8+I10+I24</f>
        <v>11667.3890727463</v>
      </c>
      <c r="J11" s="0" t="n">
        <f aca="false">J8+J10+J24</f>
        <v>11864.9055324296</v>
      </c>
      <c r="K11" s="0" t="n">
        <f aca="false">K8+K10+K24</f>
        <v>12220.8526984025</v>
      </c>
      <c r="L11" s="0" t="n">
        <f aca="false">L8+L10+L24</f>
        <v>12587.4782793545</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8568.94464</v>
      </c>
      <c r="D13" s="0" t="n">
        <f aca="false">D11+D12</f>
        <v>9482.4075276</v>
      </c>
      <c r="E13" s="0" t="n">
        <f aca="false">E11+E12</f>
        <v>10254.665253438</v>
      </c>
      <c r="F13" s="0" t="n">
        <f aca="false">F11+F12</f>
        <v>10767.3985161099</v>
      </c>
      <c r="G13" s="0" t="n">
        <f aca="false">G11+G12</f>
        <v>11114.3772751376</v>
      </c>
      <c r="H13" s="0" t="n">
        <f aca="false">H11+H12</f>
        <v>11415.896024978</v>
      </c>
      <c r="I13" s="0" t="n">
        <f aca="false">I11+I12</f>
        <v>11667.3890727463</v>
      </c>
      <c r="J13" s="0" t="n">
        <f aca="false">J11+J12</f>
        <v>11864.9055324296</v>
      </c>
      <c r="K13" s="0" t="n">
        <f aca="false">K11+K12</f>
        <v>12220.8526984025</v>
      </c>
      <c r="L13" s="0" t="n">
        <f aca="false">L11+L12</f>
        <v>12587.4782793545</v>
      </c>
    </row>
    <row r="14" customFormat="false" ht="15" hidden="false" customHeight="false" outlineLevel="0" collapsed="false">
      <c r="A14" s="0" t="s">
        <v>112</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127</v>
      </c>
      <c r="C15" s="0" t="n">
        <f aca="false">C13-MAX(0,C13)*C14/100</f>
        <v>6169.6401408</v>
      </c>
      <c r="D15" s="0" t="n">
        <f aca="false">D13-MAX(0,D13)*D14/100</f>
        <v>6827.333419872</v>
      </c>
      <c r="E15" s="0" t="n">
        <f aca="false">E13-MAX(0,E13)*E14/100</f>
        <v>7383.35898247536</v>
      </c>
      <c r="F15" s="0" t="n">
        <f aca="false">F13-MAX(0,F13)*F14/100</f>
        <v>7752.52693159913</v>
      </c>
      <c r="G15" s="0" t="n">
        <f aca="false">G13-MAX(0,G13)*G14/100</f>
        <v>8002.35163809907</v>
      </c>
      <c r="H15" s="0" t="n">
        <f aca="false">H13-MAX(0,H13)*H14/100</f>
        <v>8219.44513798413</v>
      </c>
      <c r="I15" s="0" t="n">
        <f aca="false">I13-MAX(0,I13)*I14/100</f>
        <v>8400.52013237732</v>
      </c>
      <c r="J15" s="0" t="n">
        <f aca="false">J13-MAX(0,J13)*J14/100</f>
        <v>8542.73198334929</v>
      </c>
      <c r="K15" s="0" t="n">
        <f aca="false">K13-MAX(0,K13)*K14/100</f>
        <v>8799.01394284977</v>
      </c>
      <c r="L15" s="0" t="n">
        <f aca="false">L13-MAX(0,L13)*L14/100</f>
        <v>9062.98436113526</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-2514.895992</v>
      </c>
      <c r="D17" s="4" t="n">
        <f aca="false">-D6*Assumptions!D46/100</f>
        <v>-2207.80866996</v>
      </c>
      <c r="E17" s="4" t="n">
        <f aca="false">-E6*Assumptions!E46/100</f>
        <v>-1988.2517227326</v>
      </c>
      <c r="F17" s="4" t="n">
        <f aca="false">-F6*Assumptions!F46/100</f>
        <v>-1906.01382045564</v>
      </c>
      <c r="G17" s="4" t="n">
        <f aca="false">-G6*Assumptions!G46/100</f>
        <v>-1801.95968198394</v>
      </c>
      <c r="H17" s="4" t="n">
        <f aca="false">-H6*Assumptions!H46/100</f>
        <v>-1673.75919163211</v>
      </c>
      <c r="I17" s="4" t="n">
        <f aca="false">-I6*Assumptions!I46/100</f>
        <v>-1522.09085872883</v>
      </c>
      <c r="J17" s="4" t="n">
        <f aca="false">-J6*Assumptions!J46/100</f>
        <v>-1351.19618274198</v>
      </c>
      <c r="K17" s="4" t="n">
        <f aca="false">-K6*Assumptions!K46/100</f>
        <v>-1391.73206822424</v>
      </c>
      <c r="L17" s="4" t="n">
        <f aca="false">-L6*Assumptions!L46/100</f>
        <v>-1433.48403027097</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3654.7441488</v>
      </c>
      <c r="D19" s="0" t="n">
        <f aca="false">D15+D16+D17+D18</f>
        <v>4619.524749912</v>
      </c>
      <c r="E19" s="0" t="n">
        <f aca="false">E15+E16+E17+E18</f>
        <v>5395.10725974276</v>
      </c>
      <c r="F19" s="0" t="n">
        <f aca="false">F15+F16+F17+F18</f>
        <v>5846.51311114349</v>
      </c>
      <c r="G19" s="0" t="n">
        <f aca="false">G15+G16+G17+G18</f>
        <v>6200.39195611513</v>
      </c>
      <c r="H19" s="0" t="n">
        <f aca="false">H15+H16+H17+H18</f>
        <v>6545.68594635203</v>
      </c>
      <c r="I19" s="0" t="n">
        <f aca="false">I15+I16+I17+I18</f>
        <v>6878.42927364849</v>
      </c>
      <c r="J19" s="0" t="n">
        <f aca="false">J15+J16+J17+J18</f>
        <v>7191.53580060731</v>
      </c>
      <c r="K19" s="0" t="n">
        <f aca="false">K15+K16+K17+K18</f>
        <v>7407.28187462553</v>
      </c>
      <c r="L19" s="0" t="n">
        <f aca="false">L15+L16+L17+L18</f>
        <v>7629.5003308643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3322.49468072727</v>
      </c>
      <c r="D21" s="0" t="n">
        <f aca="false">D19*D20</f>
        <v>3817.78904951405</v>
      </c>
      <c r="E21" s="0" t="n">
        <f aca="false">E19*E20</f>
        <v>4053.42393669629</v>
      </c>
      <c r="F21" s="0" t="n">
        <f aca="false">F19*F20</f>
        <v>3993.2471218793</v>
      </c>
      <c r="G21" s="0" t="n">
        <f aca="false">G19*G20</f>
        <v>3849.95557687635</v>
      </c>
      <c r="H21" s="0" t="n">
        <f aca="false">H19*H20</f>
        <v>3694.86907103511</v>
      </c>
      <c r="I21" s="0" t="n">
        <f aca="false">I19*I20</f>
        <v>3529.72182244846</v>
      </c>
      <c r="J21" s="0" t="n">
        <f aca="false">J19*J20</f>
        <v>3354.90452602582</v>
      </c>
      <c r="K21" s="0" t="n">
        <f aca="false">K19*K20</f>
        <v>3141.41060164236</v>
      </c>
      <c r="L21" s="0" t="n">
        <f aca="false">L19*L20</f>
        <v>2941.50265426512</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13</v>
      </c>
    </row>
    <row r="30" customFormat="false" ht="15" hidden="false" customHeight="false" outlineLevel="0" collapsed="false">
      <c r="A30" s="0" t="s">
        <v>136</v>
      </c>
      <c r="B30" s="0" t="n">
        <f aca="false">SUM(C21:L21)</f>
        <v>35699.3190411101</v>
      </c>
    </row>
    <row r="31" customFormat="false" ht="15" hidden="false" customHeight="false" outlineLevel="0" collapsed="false">
      <c r="A31" s="0" t="s">
        <v>137</v>
      </c>
      <c r="B31" s="0" t="n">
        <f aca="false">L19</f>
        <v>7629.5003308643</v>
      </c>
    </row>
    <row r="32" customFormat="false" ht="15" hidden="false" customHeight="false" outlineLevel="0" collapsed="false">
      <c r="A32" s="0" t="s">
        <v>138</v>
      </c>
      <c r="B32" s="0" t="n">
        <f aca="false">IF(B27&gt;B28,B31*(1+B28/100)/((B27-B28)/100),B31*B29)</f>
        <v>112262.647725575</v>
      </c>
    </row>
    <row r="33" customFormat="false" ht="15" hidden="false" customHeight="false" outlineLevel="0" collapsed="false">
      <c r="A33" s="0" t="s">
        <v>139</v>
      </c>
      <c r="B33" s="0" t="n">
        <f aca="false">B31*B29</f>
        <v>99183.5043012359</v>
      </c>
    </row>
    <row r="34" customFormat="false" ht="15" hidden="false" customHeight="false" outlineLevel="0" collapsed="false">
      <c r="A34" s="0" t="s">
        <v>140</v>
      </c>
      <c r="B34" s="0" t="n">
        <f aca="false">MAX(0,MIN(B32,B33))</f>
        <v>99183.5043012359</v>
      </c>
    </row>
    <row r="35" customFormat="false" ht="15" hidden="false" customHeight="false" outlineLevel="0" collapsed="false">
      <c r="A35" s="0" t="s">
        <v>141</v>
      </c>
      <c r="B35" s="0" t="n">
        <f aca="false">B34/(1+B27/100)^L4</f>
        <v>38239.5345054466</v>
      </c>
    </row>
    <row r="36" customFormat="false" ht="15" hidden="false" customHeight="false" outlineLevel="0" collapsed="false">
      <c r="A36" s="0" t="s">
        <v>142</v>
      </c>
      <c r="B36" s="0" t="n">
        <f aca="false">B30+B35</f>
        <v>73938.8535465567</v>
      </c>
    </row>
    <row r="37" customFormat="false" ht="15" hidden="false" customHeight="false" outlineLevel="0" collapsed="false">
      <c r="A37" s="0" t="s">
        <v>143</v>
      </c>
      <c r="B37" s="0" t="n">
        <f aca="false">B36+Assumptions!$B$5-Assumptions!$B$4</f>
        <v>74718.8535465567</v>
      </c>
    </row>
    <row r="38" customFormat="false" ht="15" hidden="false" customHeight="false" outlineLevel="0" collapsed="false">
      <c r="A38" s="0" t="s">
        <v>144</v>
      </c>
      <c r="B38" s="0" t="n">
        <f aca="false">B37/Assumptions!$B$3*Assumptions!$B$10</f>
        <v>127.049112490107</v>
      </c>
    </row>
    <row r="39" customFormat="false" ht="15" hidden="false" customHeight="false" outlineLevel="0" collapsed="false">
      <c r="A39" s="0" t="s">
        <v>145</v>
      </c>
      <c r="B39" s="4" t="n">
        <f aca="false">B38/Assumptions!$B$2-1</f>
        <v>0.250483390650657</v>
      </c>
    </row>
    <row r="41" customFormat="false" ht="15" hidden="false" customHeight="false" outlineLevel="0" collapsed="false">
      <c r="A41" s="0" t="s">
        <v>146</v>
      </c>
      <c r="B41" s="0" t="n">
        <f aca="false">SUMPRODUCT(-C10:L10/(1+$B$27/100)^C4:L4)</f>
        <v>1817.22297971038</v>
      </c>
    </row>
    <row r="42" customFormat="false" ht="15" hidden="false" customHeight="false" outlineLevel="0" collapsed="false">
      <c r="A42" s="0" t="s">
        <v>147</v>
      </c>
      <c r="B42" s="0" t="n">
        <f aca="false">IF(B27&gt;B28,-L10*(1+B28/100)/((B27-B28)/100),-L10*20)/(1+B27/100)^L4</f>
        <v>2019.26887490904</v>
      </c>
    </row>
    <row r="43" customFormat="false" ht="15" hidden="false" customHeight="false" outlineLevel="0" collapsed="false">
      <c r="A43" s="0" t="s">
        <v>148</v>
      </c>
      <c r="B43" s="0" t="n">
        <f aca="false">(B37+B41+B42)/Assumptions!$B$3*Assumptions!$B$10</f>
        <v>133.572538132622</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65486.5445065852</v>
      </c>
    </row>
    <row r="47" customFormat="false" ht="15" hidden="false" customHeight="false" outlineLevel="0" collapsed="false">
      <c r="A47" s="0" t="s">
        <v>150</v>
      </c>
      <c r="B47" s="0" t="n">
        <f aca="false">(SUMPRODUCT(C19:L19/(1+B45/100)^C4:L4)+B46/(1+B45/100)^L4+Assumptions!$B$5-Assumptions!$B$4)/Assumptions!$B$3*Assumptions!$B$10</f>
        <v>77.1442919508954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78.4900912018459</v>
      </c>
      <c r="C4" s="0" t="n">
        <f aca="false">B4/Assumptions!$B$2-1</f>
        <v>-0.227459732265296</v>
      </c>
      <c r="D4" s="4" t="n">
        <f aca="false">Assumptions!$B$24</f>
        <v>0.2</v>
      </c>
      <c r="E4" s="4" t="n">
        <f aca="false">DCF_Bear!$B$43</f>
        <v>83.3189990978433</v>
      </c>
      <c r="F4" s="4" t="n">
        <f aca="false">DCF_Bear!$B$47</f>
        <v>53.8955076378237</v>
      </c>
    </row>
    <row r="5" customFormat="false" ht="15" hidden="false" customHeight="false" outlineLevel="0" collapsed="false">
      <c r="A5" s="0" t="s">
        <v>159</v>
      </c>
      <c r="B5" s="4" t="n">
        <f aca="false">DCF_Base!$B$38</f>
        <v>102.04028508666</v>
      </c>
      <c r="C5" s="0" t="n">
        <f aca="false">B5/Assumptions!$B$2-1</f>
        <v>0.00433351463248122</v>
      </c>
      <c r="D5" s="4" t="n">
        <f aca="false">Assumptions!$B$38</f>
        <v>0.5</v>
      </c>
      <c r="E5" s="4" t="n">
        <f aca="false">DCF_Base!$B$43</f>
        <v>107.870102774392</v>
      </c>
      <c r="F5" s="4" t="n">
        <f aca="false">DCF_Base!$B$47</f>
        <v>64.838219065593</v>
      </c>
    </row>
    <row r="6" customFormat="false" ht="15" hidden="false" customHeight="false" outlineLevel="0" collapsed="false">
      <c r="A6" s="0" t="s">
        <v>160</v>
      </c>
      <c r="B6" s="4" t="n">
        <f aca="false">DCF_Bull!$B$38</f>
        <v>127.049112490107</v>
      </c>
      <c r="C6" s="0" t="n">
        <f aca="false">B6/Assumptions!$B$2-1</f>
        <v>0.250483390650657</v>
      </c>
      <c r="D6" s="4" t="n">
        <f aca="false">Assumptions!$B$52</f>
        <v>0.3</v>
      </c>
      <c r="E6" s="4" t="n">
        <f aca="false">DCF_Bull!$B$43</f>
        <v>133.572538132622</v>
      </c>
      <c r="F6" s="4" t="n">
        <f aca="false">DCF_Bull!$B$47</f>
        <v>77.1442919508954</v>
      </c>
    </row>
    <row r="8" customFormat="false" ht="15" hidden="false" customHeight="false" outlineLevel="0" collapsed="false">
      <c r="A8" s="0" t="s">
        <v>161</v>
      </c>
      <c r="B8" s="0" t="n">
        <f aca="false">SUMPRODUCT(B4:B6,D4:D6)</f>
        <v>104.832894530731</v>
      </c>
    </row>
    <row r="9" customFormat="false" ht="15" hidden="false" customHeight="false" outlineLevel="0" collapsed="false">
      <c r="A9" s="0" t="s">
        <v>162</v>
      </c>
      <c r="B9" s="0" t="n">
        <f aca="false">SUMPRODUCT(E4:E6,D4:D6)</f>
        <v>110.670612646551</v>
      </c>
    </row>
    <row r="10" customFormat="false" ht="15" hidden="false" customHeight="false" outlineLevel="0" collapsed="false">
      <c r="A10" s="0" t="s">
        <v>163</v>
      </c>
      <c r="B10" s="0" t="n">
        <f aca="false">1-Assumptions!$B$2/B8</f>
        <v>0.0308385506782277</v>
      </c>
    </row>
    <row r="11" customFormat="false" ht="15" hidden="false" customHeight="false" outlineLevel="0" collapsed="false">
      <c r="A11" s="0" t="s">
        <v>164</v>
      </c>
      <c r="B11" s="0" t="n">
        <f aca="false">IF(ABS(B9-B8)&gt;0.01*ABS(B8),(Assumptions!$B$2-B8)/(B9-B8)*100,"n/a")</f>
        <v>-55.3794216608421</v>
      </c>
    </row>
    <row r="12" customFormat="false" ht="15" hidden="false" customHeight="false" outlineLevel="0" collapsed="false">
      <c r="A12" s="0" t="s">
        <v>165</v>
      </c>
      <c r="B12" s="0" t="n">
        <f aca="false">SUMPRODUCT(F4:F6,D4:D6)</f>
        <v>66.3414986456299</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109.138847353581</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102.04028508666</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95.5459288618549</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85.5765200976214</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64.838219065593</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116.907292926718</v>
      </c>
      <c r="C23" s="0" t="n">
        <f aca="false">(SUMPRODUCT(DCF_Base!$C$19:$L$19/(1+$A$23/100)^DCF_Base!$C$4:$L$4)+MAX(0,MIN(IF($A$23&gt;$C$22,DCF_Base!$L$19*(1+$C$22/100)/(($A$23-$C$22)/100),DCF_Base!$L$19*DCF_Base!$B$29),DCF_Base!$L$19*DCF_Base!$B$29))/(1+$A$23/100)^DCF_Base!$L$4+Assumptions!$B$5-Assumptions!$B$4)/Assumptions!$B$3*Assumptions!$B$10</f>
        <v>116.907292926718</v>
      </c>
      <c r="D23" s="0" t="n">
        <f aca="false">(SUMPRODUCT(DCF_Base!$C$19:$L$19/(1+$A$23/100)^DCF_Base!$C$4:$L$4)+MAX(0,MIN(IF($A$23&gt;$D$22,DCF_Base!$L$19*(1+$D$22/100)/(($A$23-$D$22)/100),DCF_Base!$L$19*DCF_Base!$B$29),DCF_Base!$L$19*DCF_Base!$B$29))/(1+$A$23/100)^DCF_Base!$L$4+Assumptions!$B$5-Assumptions!$B$4)/Assumptions!$B$3*Assumptions!$B$10</f>
        <v>116.907292926718</v>
      </c>
      <c r="E23" s="0" t="n">
        <f aca="false">(SUMPRODUCT(DCF_Base!$C$19:$L$19/(1+$A$23/100)^DCF_Base!$C$4:$L$4)+MAX(0,MIN(IF($A$23&gt;$E$22,DCF_Base!$L$19*(1+$E$22/100)/(($A$23-$E$22)/100),DCF_Base!$L$19*DCF_Base!$B$29),DCF_Base!$L$19*DCF_Base!$B$29))/(1+$A$23/100)^DCF_Base!$L$4+Assumptions!$B$5-Assumptions!$B$4)/Assumptions!$B$3*Assumptions!$B$10</f>
        <v>116.907292926718</v>
      </c>
      <c r="F23" s="0" t="n">
        <f aca="false">(SUMPRODUCT(DCF_Base!$C$19:$L$19/(1+$A$23/100)^DCF_Base!$C$4:$L$4)+MAX(0,MIN(IF($A$23&gt;$F$22,DCF_Base!$L$19*(1+$F$22/100)/(($A$23-$F$22)/100),DCF_Base!$L$19*DCF_Base!$B$29),DCF_Base!$L$19*DCF_Base!$B$29))/(1+$A$23/100)^DCF_Base!$L$4+Assumptions!$B$5-Assumptions!$B$4)/Assumptions!$B$3*Assumptions!$B$10</f>
        <v>116.907292926718</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109.138847353581</v>
      </c>
      <c r="C24" s="0" t="n">
        <f aca="false">(SUMPRODUCT(DCF_Base!$C$19:$L$19/(1+$A$24/100)^DCF_Base!$C$4:$L$4)+MAX(0,MIN(IF($A$24&gt;$C$22,DCF_Base!$L$19*(1+$C$22/100)/(($A$24-$C$22)/100),DCF_Base!$L$19*DCF_Base!$B$29),DCF_Base!$L$19*DCF_Base!$B$29))/(1+$A$24/100)^DCF_Base!$L$4+Assumptions!$B$5-Assumptions!$B$4)/Assumptions!$B$3*Assumptions!$B$10</f>
        <v>109.138847353581</v>
      </c>
      <c r="D24" s="0" t="n">
        <f aca="false">(SUMPRODUCT(DCF_Base!$C$19:$L$19/(1+$A$24/100)^DCF_Base!$C$4:$L$4)+MAX(0,MIN(IF($A$24&gt;$D$22,DCF_Base!$L$19*(1+$D$22/100)/(($A$24-$D$22)/100),DCF_Base!$L$19*DCF_Base!$B$29),DCF_Base!$L$19*DCF_Base!$B$29))/(1+$A$24/100)^DCF_Base!$L$4+Assumptions!$B$5-Assumptions!$B$4)/Assumptions!$B$3*Assumptions!$B$10</f>
        <v>109.138847353581</v>
      </c>
      <c r="E24" s="0" t="n">
        <f aca="false">(SUMPRODUCT(DCF_Base!$C$19:$L$19/(1+$A$24/100)^DCF_Base!$C$4:$L$4)+MAX(0,MIN(IF($A$24&gt;$E$22,DCF_Base!$L$19*(1+$E$22/100)/(($A$24-$E$22)/100),DCF_Base!$L$19*DCF_Base!$B$29),DCF_Base!$L$19*DCF_Base!$B$29))/(1+$A$24/100)^DCF_Base!$L$4+Assumptions!$B$5-Assumptions!$B$4)/Assumptions!$B$3*Assumptions!$B$10</f>
        <v>109.138847353581</v>
      </c>
      <c r="F24" s="0" t="n">
        <f aca="false">(SUMPRODUCT(DCF_Base!$C$19:$L$19/(1+$A$24/100)^DCF_Base!$C$4:$L$4)+MAX(0,MIN(IF($A$24&gt;$F$22,DCF_Base!$L$19*(1+$F$22/100)/(($A$24-$F$22)/100),DCF_Base!$L$19*DCF_Base!$B$29),DCF_Base!$L$19*DCF_Base!$B$29))/(1+$A$24/100)^DCF_Base!$L$4+Assumptions!$B$5-Assumptions!$B$4)/Assumptions!$B$3*Assumptions!$B$10</f>
        <v>109.138847353581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101.806333267423</v>
      </c>
      <c r="C25" s="0" t="n">
        <f aca="false">(SUMPRODUCT(DCF_Base!$C$19:$L$19/(1+$A$25/100)^DCF_Base!$C$4:$L$4)+MAX(0,MIN(IF($A$25&gt;$C$22,DCF_Base!$L$19*(1+$C$22/100)/(($A$25-$C$22)/100),DCF_Base!$L$19*DCF_Base!$B$29),DCF_Base!$L$19*DCF_Base!$B$29))/(1+$A$25/100)^DCF_Base!$L$4+Assumptions!$B$5-Assumptions!$B$4)/Assumptions!$B$3*Assumptions!$B$10</f>
        <v>102.04028508666</v>
      </c>
      <c r="D25" s="0" t="n">
        <f aca="false">(SUMPRODUCT(DCF_Base!$C$19:$L$19/(1+$A$25/100)^DCF_Base!$C$4:$L$4)+MAX(0,MIN(IF($A$25&gt;$D$22,DCF_Base!$L$19*(1+$D$22/100)/(($A$25-$D$22)/100),DCF_Base!$L$19*DCF_Base!$B$29),DCF_Base!$L$19*DCF_Base!$B$29))/(1+$A$25/100)^DCF_Base!$L$4+Assumptions!$B$5-Assumptions!$B$4)/Assumptions!$B$3*Assumptions!$B$10</f>
        <v>102.04028508666</v>
      </c>
      <c r="E25" s="0" t="n">
        <f aca="false">(SUMPRODUCT(DCF_Base!$C$19:$L$19/(1+$A$25/100)^DCF_Base!$C$4:$L$4)+MAX(0,MIN(IF($A$25&gt;$E$22,DCF_Base!$L$19*(1+$E$22/100)/(($A$25-$E$22)/100),DCF_Base!$L$19*DCF_Base!$B$29),DCF_Base!$L$19*DCF_Base!$B$29))/(1+$A$25/100)^DCF_Base!$L$4+Assumptions!$B$5-Assumptions!$B$4)/Assumptions!$B$3*Assumptions!$B$10</f>
        <v>102.04028508666</v>
      </c>
      <c r="F25" s="0" t="n">
        <f aca="false">(SUMPRODUCT(DCF_Base!$C$19:$L$19/(1+$A$25/100)^DCF_Base!$C$4:$L$4)+MAX(0,MIN(IF($A$25&gt;$F$22,DCF_Base!$L$19*(1+$F$22/100)/(($A$25-$F$22)/100),DCF_Base!$L$19*DCF_Base!$B$29),DCF_Base!$L$19*DCF_Base!$B$29))/(1+$A$25/100)^DCF_Base!$L$4+Assumptions!$B$5-Assumptions!$B$4)/Assumptions!$B$3*Assumptions!$B$10</f>
        <v>102.04028508666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90.7655885016323</v>
      </c>
      <c r="C26" s="0" t="n">
        <f aca="false">(SUMPRODUCT(DCF_Base!$C$19:$L$19/(1+$A$26/100)^DCF_Base!$C$4:$L$4)+MAX(0,MIN(IF($A$26&gt;$C$22,DCF_Base!$L$19*(1+$C$22/100)/(($A$26-$C$22)/100),DCF_Base!$L$19*DCF_Base!$B$29),DCF_Base!$L$19*DCF_Base!$B$29))/(1+$A$26/100)^DCF_Base!$L$4+Assumptions!$B$5-Assumptions!$B$4)/Assumptions!$B$3*Assumptions!$B$10</f>
        <v>93.1238897460088</v>
      </c>
      <c r="D26" s="0" t="n">
        <f aca="false">(SUMPRODUCT(DCF_Base!$C$19:$L$19/(1+$A$26/100)^DCF_Base!$C$4:$L$4)+MAX(0,MIN(IF($A$26&gt;$D$22,DCF_Base!$L$19*(1+$D$22/100)/(($A$26-$D$22)/100),DCF_Base!$L$19*DCF_Base!$B$29),DCF_Base!$L$19*DCF_Base!$B$29))/(1+$A$26/100)^DCF_Base!$L$4+Assumptions!$B$5-Assumptions!$B$4)/Assumptions!$B$3*Assumptions!$B$10</f>
        <v>95.5459288618549</v>
      </c>
      <c r="E26" s="0" t="n">
        <f aca="false">(SUMPRODUCT(DCF_Base!$C$19:$L$19/(1+$A$26/100)^DCF_Base!$C$4:$L$4)+MAX(0,MIN(IF($A$26&gt;$E$22,DCF_Base!$L$19*(1+$E$22/100)/(($A$26-$E$22)/100),DCF_Base!$L$19*DCF_Base!$B$29),DCF_Base!$L$19*DCF_Base!$B$29))/(1+$A$26/100)^DCF_Base!$L$4+Assumptions!$B$5-Assumptions!$B$4)/Assumptions!$B$3*Assumptions!$B$10</f>
        <v>95.5459288618549</v>
      </c>
      <c r="F26" s="0" t="n">
        <f aca="false">(SUMPRODUCT(DCF_Base!$C$19:$L$19/(1+$A$26/100)^DCF_Base!$C$4:$L$4)+MAX(0,MIN(IF($A$26&gt;$F$22,DCF_Base!$L$19*(1+$F$22/100)/(($A$26-$F$22)/100),DCF_Base!$L$19*DCF_Base!$B$29),DCF_Base!$L$19*DCF_Base!$B$29))/(1+$A$26/100)^DCF_Base!$L$4+Assumptions!$B$5-Assumptions!$B$4)/Assumptions!$B$3*Assumptions!$B$10</f>
        <v>95.5459288618549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81.8472220721063</v>
      </c>
      <c r="C27" s="0" t="n">
        <f aca="false">(SUMPRODUCT(DCF_Base!$C$19:$L$19/(1+$A$27/100)^DCF_Base!$C$4:$L$4)+MAX(0,MIN(IF($A$27&gt;$C$22,DCF_Base!$L$19*(1+$C$22/100)/(($A$27-$C$22)/100),DCF_Base!$L$19*DCF_Base!$B$29),DCF_Base!$L$19*DCF_Base!$B$29))/(1+$A$27/100)^DCF_Base!$L$4+Assumptions!$B$5-Assumptions!$B$4)/Assumptions!$B$3*Assumptions!$B$10</f>
        <v>83.618638634226</v>
      </c>
      <c r="D27" s="0" t="n">
        <f aca="false">(SUMPRODUCT(DCF_Base!$C$19:$L$19/(1+$A$27/100)^DCF_Base!$C$4:$L$4)+MAX(0,MIN(IF($A$27&gt;$D$22,DCF_Base!$L$19*(1+$D$22/100)/(($A$27-$D$22)/100),DCF_Base!$L$19*DCF_Base!$B$29),DCF_Base!$L$19*DCF_Base!$B$29))/(1+$A$27/100)^DCF_Base!$L$4+Assumptions!$B$5-Assumptions!$B$4)/Assumptions!$B$3*Assumptions!$B$10</f>
        <v>85.5765200976214</v>
      </c>
      <c r="E27" s="0" t="n">
        <f aca="false">(SUMPRODUCT(DCF_Base!$C$19:$L$19/(1+$A$27/100)^DCF_Base!$C$4:$L$4)+MAX(0,MIN(IF($A$27&gt;$E$22,DCF_Base!$L$19*(1+$E$22/100)/(($A$27-$E$22)/100),DCF_Base!$L$19*DCF_Base!$B$29),DCF_Base!$L$19*DCF_Base!$B$29))/(1+$A$27/100)^DCF_Base!$L$4+Assumptions!$B$5-Assumptions!$B$4)/Assumptions!$B$3*Assumptions!$B$10</f>
        <v>87.7519439458386</v>
      </c>
      <c r="F27" s="0" t="n">
        <f aca="false">(SUMPRODUCT(DCF_Base!$C$19:$L$19/(1+$A$27/100)^DCF_Base!$C$4:$L$4)+MAX(0,MIN(IF($A$27&gt;$F$22,DCF_Base!$L$19*(1+$F$22/100)/(($A$27-$F$22)/100),DCF_Base!$L$19*DCF_Base!$B$29),DCF_Base!$L$19*DCF_Base!$B$29))/(1+$A$27/100)^DCF_Base!$L$4+Assumptions!$B$5-Assumptions!$B$4)/Assumptions!$B$3*Assumptions!$B$10</f>
        <v>89.5971695313799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2026-10-10T00:57:04Z</dcterms:created>
  <dc:creator>openpyxl</dc:creator>
  <dc:description/>
  <dc:language>en-NZ</dc:language>
  <cp:lastModifiedBy/>
  <dcterms:modified xsi:type="dcterms:W3CDTF">2026-10-10T00:57:04Z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