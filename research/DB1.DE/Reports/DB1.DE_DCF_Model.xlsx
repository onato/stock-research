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<sst xmlns="http://schemas.openxmlformats.org/spreadsheetml/2006/main" count="358" uniqueCount="165">
  <si>
    <t xml:space="preserve">Ticker</t>
  </si>
  <si>
    <t xml:space="preserve">DB1.DE</t>
  </si>
  <si>
    <t xml:space="preserve">Company</t>
  </si>
  <si>
    <t xml:space="preserve">Deutsche Börse AG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</si>
  <si>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</si>
  <si>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</si>
  <si>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</si>
  <si>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</si>
  <si>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2026-10-23T15:35:21Z Xetra regular close (Friday; valuation on Sunday 2026-10-25)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</si>
  <si>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</si>
  <si>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</si>
  <si>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</si>
  <si>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</si>
  <si>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</si>
  <si>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</si>
  <si>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</si>
  <si>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</si>
  <si>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</si>
  <si>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</si>
  <si>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</si>
  <si>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</si>
  <si>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2026-10-24T18:21:12Z</t>
  </si>
  <si>
    <t xml:space="preserve">Drivers file</t>
  </si>
  <si>
    <t xml:space="preserve">DB1.DE_Drivers.json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</si>
  <si>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</si>
  <si>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</si>
  <si>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</si>
  <si>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Deutsche Börse is valued as a fee-based market-infrastructure operator on attributable owner FCF, standalone (pre-Allfunds), with CCP/banking balances kept out of both flows and net debt. The key judgment calls are (1) how much of 2026's strength is cyclical (treasury result + rates volatility), (2) whether the flat 57-58% margin history or management's operating-leverage story governs the outer years, and (3) excluding banking-book commercial paper from corporate net debt.
key_risks_to_valuation: Treasury result (~12% of net revenue) is a direct function of ECB rates and customer cash balances; a cutting cycle removes it at near-100% margin; Trading/clearing volumes are cyclical; FY2026 is boosted by a geopolitical energy shock and rate volatility; Allfunds (~EUR5.3bn, 70% cash) adds leverage and share issuance; not in the standalone valuation; Clearstream Banking holds ~USD1.7bn of Bank Markazi client assets subject to a pending US turnover order (Peterson II) and EU sanctions treatment -- legal/sanctions tail risk; ISS proxy-advisory US regulatory exposure (SEC subpoena, state attorney-general suits); Net debt basis: including EUR1.9bn commercial paper would lower IV ~EUR10.7/share</t>
  </si>
  <si>
    <t xml:space="preserve">Data sources</t>
  </si>
  <si>
    <t xml:space="preserve">price: Yahoo Finance chart API at inputs.price_as_of (regular Xetra close); 52-week range 200.1-317.2
financials: DB1.DE_Metrics.csv / core_metrics and kpis (NetRevenue); FY2025 annual report (staff-cost note for SBC, bond table, financial liabilities note, cash-flow statement); H1 2026 half-yearly report (balance sheet, note 6 bonds/CP/leases, note 11 EPS share counts, cash-flow statement); Q3 2026 quarterly statement (2026 guidance raise, hybrid/convertible issuance, bond redemption, NCI, segment data)
qualitative: DB1.DE_Analysis.json (growth drivers, risks, bull/bear cases); FY2025 annual report 'Leading the Transformation' 2028 targets</t>
  </si>
  <si>
    <t xml:space="preserve">Scenario narrative: bear</t>
  </si>
  <si>
    <t xml:space="preserve">2026 proves the peak: rates and volatility both fall back in 2027, compressing the treasury result and transaction fees at once; LCH keeps the swap pool; ISS legal/regulatory costs and M&amp;A integration weigh; margin reverts to ~57% and growth to 2.5-3.5%.</t>
  </si>
  <si>
    <t xml:space="preserve">Scenario narrative: base</t>
  </si>
  <si>
    <t xml:space="preserve">Plan-minus: organic ex-treasury growth slightly below the 8% target, treasury result flat around EUR0.8bn, margin creeps 1pp above the long-run 57-58% band. Value is driven by secular European capital-market deepening (custody, fund services, index) offset by trading cyclicality.</t>
  </si>
  <si>
    <t xml:space="preserve">Scenario narrative: bull</t>
  </si>
  <si>
    <t xml:space="preserve">Plan-plus: EMIR 3.0 clearing share gains at Eurex, double-digit custody/fund AUC growth from European retail and pension flows, SimCorp SaaS migration, and a rising treasury result in a higher-rate regime; operating leverage finally reaches the reported margin (~63%).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</si>
  <si>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</si>
  <si>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</si>
  <si>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</si>
  <si>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</si>
  <si>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</si>
  <si>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</si>
  <si>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</si>
  <si>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</si>
  <si>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</si>
  <si>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</si>
  <si>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</si>
  <si>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</si>
  <si>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</si>
  <si>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</si>
  <si>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</si>
  <si>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</si>
  <si>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</si>
  <si>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</si>
  <si>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</si>
  <si>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</si>
  <si>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</si>
  <si>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</si>
  <si>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</si>
  <si>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</si>
  <si>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</si>
  <si>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</si>
  <si>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</si>
  <si>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NetRevenue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</si>
  <si>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</si>
  <si>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</si>
  <si>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</si>
  <si>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</si>
  <si>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</si>
  <si>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</si>
  <si>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</si>
  <si>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</si>
  <si>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</si>
  <si>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</si>
  <si>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</si>
  <si>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</si>
  <si>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</si>
  <si>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</si>
  <si>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</si>
  <si>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</si>
  <si>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</si>
  <si>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</si>
  <si>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</si>
  <si>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</si>
  <si>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</si>
  <si>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</si>
  <si>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</si>
  <si>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</si>
  <si>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</si>
  <si>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</si>
  <si>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</si>
  <si>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</si>
  <si>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</si>
  <si>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</si>
  <si>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</si>
  <si>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</si>
  <si>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</si>
  <si>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</si>
  <si>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</si>
  <si>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</si>
  <si>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</si>
  <si>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</si>
  <si>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</si>
  <si>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</si>
  <si>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</si>
  <si>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</si>
  <si>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</si>
  <si>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</si>
  <si>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</si>
  <si>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</si>
  <si>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DB1.DE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</si>
  <si>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</si>
  <si>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</si>
  <si>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</si>
  <si>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</si>
  <si>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</si>
  <si>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</si>
  <si>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</si>
  <si>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</si>
  <si>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</si>
  <si>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</si>
  <si>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</si>
  <si>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</si>
  <si>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</si>
  <si>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</si>
  <si>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</si>
  <si>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</si>
  <si>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</si>
  <si>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</si>
  <si>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</si>
  <si>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</si>
  <si>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</si>
  <si>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</si>
  <si>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</si>
  <si>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</si>
  <si>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</si>
  <si>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</si>
  <si>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</si>
  <si>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</si>
  <si>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</si>
  <si>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</si>
  <si>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DB1.DE owner-FCF component DCF: base case (millions, EUR)</t>
  </si>
  <si>
    <t xml:space="preserve">DB1.DE owner-FCF component DCF: bull case (millions, EUR)</t>
  </si>
  <si>
    <t xml:space="preserve">DB1.DE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</si>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</sst>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314.1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2802.5</v>
      </c>
      <c r="C2" s="0" t="n">
        <v>340.2</v>
      </c>
      <c r="D2" s="0" t="n">
        <v>2462.3</v>
      </c>
      <c r="E2" s="0" t="n">
        <v>87.9</v>
      </c>
      <c r="F2" s="0" t="n">
        <v>1368.6</v>
      </c>
      <c r="G2" s="0" t="n">
        <v>48.8</v>
      </c>
      <c r="H2" s="0" t="n">
        <v>1528.5</v>
      </c>
      <c r="I2" s="0" t="n">
        <v>874.3</v>
      </c>
      <c r="J2" s="0" t="n">
        <v>31.2</v>
      </c>
      <c r="K2" s="0" t="n">
        <v>4.68</v>
      </c>
      <c r="L2" s="0" t="n">
        <v>1107.2</v>
      </c>
      <c r="M2" s="0" t="n">
        <v>149.2</v>
      </c>
      <c r="N2" s="0" t="n">
        <v>958</v>
      </c>
      <c r="O2" s="0" t="n">
        <v>4829.3</v>
      </c>
      <c r="P2" s="0" t="n">
        <v>135136.1</v>
      </c>
      <c r="Q2" s="0" t="n">
        <v>130188.7</v>
      </c>
      <c r="R2" s="0" t="n">
        <v>1688.4</v>
      </c>
      <c r="S2" s="0" t="n">
        <v>1297.6</v>
      </c>
      <c r="T2" s="0" t="n">
        <v>186.853</v>
      </c>
      <c r="AA2" s="0" t="s">
        <v>17</v>
      </c>
      <c r="AB2" s="0" t="s">
        <v>14</v>
      </c>
      <c r="AC2" s="0" t="n">
        <v>2462.3</v>
      </c>
    </row>
    <row r="3" customFormat="false" ht="15" hidden="false" customHeight="false" outlineLevel="0" collapsed="false">
      <c r="A3" s="0" t="s">
        <v>65</v>
      </c>
      <c r="B3" s="0" t="n">
        <v>3132.4</v>
      </c>
      <c r="C3" s="0" t="n">
        <v>352.7</v>
      </c>
      <c r="D3" s="0" t="n">
        <v>2779.7</v>
      </c>
      <c r="E3" s="0" t="n">
        <v>88.7</v>
      </c>
      <c r="F3" s="0" t="n">
        <v>1233.2</v>
      </c>
      <c r="G3" s="0" t="n">
        <v>39.4</v>
      </c>
      <c r="H3" s="0" t="n">
        <v>1443.7</v>
      </c>
      <c r="I3" s="0" t="n">
        <v>824.3</v>
      </c>
      <c r="J3" s="0" t="n">
        <v>26.3</v>
      </c>
      <c r="K3" s="0" t="n">
        <v>4.46</v>
      </c>
      <c r="L3" s="0" t="n">
        <v>1176.5</v>
      </c>
      <c r="M3" s="0" t="n">
        <v>160</v>
      </c>
      <c r="N3" s="0" t="n">
        <v>1016.5</v>
      </c>
      <c r="O3" s="0" t="n">
        <v>4829.9</v>
      </c>
      <c r="P3" s="0" t="n">
        <v>161899.1</v>
      </c>
      <c r="Q3" s="0" t="n">
        <v>156935.7</v>
      </c>
      <c r="R3" s="0" t="n">
        <v>2283.2</v>
      </c>
      <c r="S3" s="0" t="n">
        <v>1322.3</v>
      </c>
      <c r="T3" s="0" t="n">
        <v>184.895</v>
      </c>
      <c r="AA3" s="0" t="s">
        <v>17</v>
      </c>
      <c r="AB3" s="0" t="s">
        <v>14</v>
      </c>
      <c r="AC3" s="0" t="n">
        <v>2779.7</v>
      </c>
    </row>
    <row r="4" customFormat="false" ht="15" hidden="false" customHeight="false" outlineLevel="0" collapsed="false">
      <c r="A4" s="0" t="s">
        <v>66</v>
      </c>
      <c r="B4" s="0" t="n">
        <v>3315.4</v>
      </c>
      <c r="C4" s="0" t="n">
        <v>379.4</v>
      </c>
      <c r="D4" s="0" t="n">
        <v>2936</v>
      </c>
      <c r="E4" s="0" t="n">
        <v>88.6</v>
      </c>
      <c r="F4" s="0" t="n">
        <v>1452.1</v>
      </c>
      <c r="G4" s="0" t="n">
        <v>43.8</v>
      </c>
      <c r="H4" s="0" t="n">
        <v>1678.3</v>
      </c>
      <c r="I4" s="0" t="n">
        <v>1003.9</v>
      </c>
      <c r="J4" s="0" t="n">
        <v>30.3</v>
      </c>
      <c r="K4" s="0" t="n">
        <v>5.47</v>
      </c>
      <c r="L4" s="0" t="n">
        <v>1030.6</v>
      </c>
      <c r="M4" s="0" t="n">
        <v>184.9</v>
      </c>
      <c r="N4" s="0" t="n">
        <v>845.7</v>
      </c>
      <c r="O4" s="0" t="n">
        <v>5735.3</v>
      </c>
      <c r="P4" s="0" t="n">
        <v>137165.3</v>
      </c>
      <c r="Q4" s="0" t="n">
        <v>131054.7</v>
      </c>
      <c r="R4" s="0" t="n">
        <v>2627.2</v>
      </c>
      <c r="S4" s="0" t="n">
        <v>888.1</v>
      </c>
      <c r="T4" s="0" t="n">
        <v>183.384</v>
      </c>
      <c r="AA4" s="0" t="s">
        <v>17</v>
      </c>
      <c r="AB4" s="0" t="s">
        <v>14</v>
      </c>
      <c r="AC4" s="0" t="n">
        <v>2936</v>
      </c>
    </row>
    <row r="5" customFormat="false" ht="15" hidden="false" customHeight="false" outlineLevel="0" collapsed="false">
      <c r="A5" s="0" t="s">
        <v>67</v>
      </c>
      <c r="B5" s="0" t="n">
        <v>3756.4</v>
      </c>
      <c r="C5" s="0" t="n">
        <v>542.6</v>
      </c>
      <c r="D5" s="0" t="n">
        <v>3213.8</v>
      </c>
      <c r="E5" s="0" t="n">
        <v>85.6</v>
      </c>
      <c r="F5" s="0" t="n">
        <v>1605.1</v>
      </c>
      <c r="G5" s="0" t="n">
        <v>42.7</v>
      </c>
      <c r="H5" s="0" t="n">
        <v>1869.4</v>
      </c>
      <c r="I5" s="0" t="n">
        <v>1079.9</v>
      </c>
      <c r="J5" s="0" t="n">
        <v>28.7</v>
      </c>
      <c r="K5" s="0" t="n">
        <v>5.89</v>
      </c>
      <c r="L5" s="0" t="n">
        <v>1523</v>
      </c>
      <c r="M5" s="0" t="n">
        <v>195.5</v>
      </c>
      <c r="N5" s="0" t="n">
        <v>1327.5</v>
      </c>
      <c r="O5" s="0" t="n">
        <v>6168.3</v>
      </c>
      <c r="P5" s="0" t="n">
        <v>152767.7</v>
      </c>
      <c r="Q5" s="0" t="n">
        <v>146211.6</v>
      </c>
      <c r="R5" s="0" t="n">
        <v>3474.4</v>
      </c>
      <c r="S5" s="0" t="n">
        <v>1467.3</v>
      </c>
      <c r="T5" s="0" t="n">
        <v>183.452</v>
      </c>
      <c r="AA5" s="0" t="s">
        <v>17</v>
      </c>
      <c r="AB5" s="0" t="s">
        <v>14</v>
      </c>
      <c r="AC5" s="0" t="n">
        <v>3213.8</v>
      </c>
    </row>
    <row r="6" customFormat="false" ht="15" hidden="false" customHeight="false" outlineLevel="0" collapsed="false">
      <c r="A6" s="0" t="s">
        <v>68</v>
      </c>
      <c r="B6" s="0" t="n">
        <v>4446.6</v>
      </c>
      <c r="C6" s="0" t="n">
        <v>937.1</v>
      </c>
      <c r="D6" s="0" t="n">
        <v>3509.5</v>
      </c>
      <c r="E6" s="0" t="n">
        <v>78.9</v>
      </c>
      <c r="F6" s="0" t="n">
        <v>1749.4</v>
      </c>
      <c r="G6" s="0" t="n">
        <v>39.3</v>
      </c>
      <c r="H6" s="0" t="n">
        <v>2043.1</v>
      </c>
      <c r="I6" s="0" t="n">
        <v>1209.7</v>
      </c>
      <c r="J6" s="0" t="n">
        <v>27.2</v>
      </c>
      <c r="K6" s="0" t="n">
        <v>6.59</v>
      </c>
      <c r="L6" s="0" t="n">
        <v>1181.4</v>
      </c>
      <c r="M6" s="0" t="n">
        <v>206.4</v>
      </c>
      <c r="N6" s="0" t="n">
        <v>975</v>
      </c>
      <c r="O6" s="0" t="n">
        <v>7193.6</v>
      </c>
      <c r="P6" s="0" t="n">
        <v>222919.3</v>
      </c>
      <c r="Q6" s="0" t="n">
        <v>215177</v>
      </c>
      <c r="R6" s="0" t="n">
        <v>3539.9</v>
      </c>
      <c r="S6" s="0" t="n">
        <v>1029.6</v>
      </c>
      <c r="T6" s="0" t="n">
        <v>183.914</v>
      </c>
      <c r="AA6" s="0" t="s">
        <v>17</v>
      </c>
      <c r="AB6" s="0" t="s">
        <v>14</v>
      </c>
      <c r="AC6" s="0" t="n">
        <v>3509.5</v>
      </c>
    </row>
    <row r="7" customFormat="false" ht="15" hidden="false" customHeight="false" outlineLevel="0" collapsed="false">
      <c r="A7" s="0" t="s">
        <v>69</v>
      </c>
      <c r="B7" s="0" t="n">
        <v>5333.2</v>
      </c>
      <c r="C7" s="0" t="n">
        <v>995.6</v>
      </c>
      <c r="D7" s="0" t="n">
        <v>4337.6</v>
      </c>
      <c r="E7" s="0" t="n">
        <v>81.3</v>
      </c>
      <c r="F7" s="0" t="n">
        <v>2170</v>
      </c>
      <c r="G7" s="0" t="n">
        <v>40.7</v>
      </c>
      <c r="H7" s="0" t="n">
        <v>2525.6</v>
      </c>
      <c r="I7" s="0" t="n">
        <v>1494.4</v>
      </c>
      <c r="J7" s="0" t="n">
        <v>28</v>
      </c>
      <c r="K7" s="0" t="n">
        <v>8.14</v>
      </c>
      <c r="L7" s="0" t="n">
        <v>2141.6</v>
      </c>
      <c r="M7" s="0" t="n">
        <v>325.2</v>
      </c>
      <c r="N7" s="0" t="n">
        <v>1816.4</v>
      </c>
      <c r="O7" s="0" t="n">
        <v>8471.8</v>
      </c>
      <c r="P7" s="0" t="n">
        <v>269108.8</v>
      </c>
      <c r="Q7" s="0" t="n">
        <v>260047.9</v>
      </c>
      <c r="R7" s="0" t="n">
        <v>4535</v>
      </c>
      <c r="S7" s="0" t="n">
        <v>1275.6</v>
      </c>
      <c r="T7" s="0" t="n">
        <v>183.986</v>
      </c>
      <c r="AA7" s="0" t="s">
        <v>17</v>
      </c>
      <c r="AB7" s="0" t="s">
        <v>14</v>
      </c>
      <c r="AC7" s="0" t="n">
        <v>4337.6</v>
      </c>
    </row>
    <row r="8" customFormat="false" ht="15" hidden="false" customHeight="false" outlineLevel="0" collapsed="false">
      <c r="A8" s="0" t="s">
        <v>70</v>
      </c>
      <c r="B8" s="0" t="n">
        <v>6134.5</v>
      </c>
      <c r="C8" s="0" t="n">
        <v>1057.9</v>
      </c>
      <c r="D8" s="0" t="n">
        <v>5076.6</v>
      </c>
      <c r="E8" s="0" t="n">
        <v>82.8</v>
      </c>
      <c r="F8" s="0" t="n">
        <v>2525.8</v>
      </c>
      <c r="G8" s="0" t="n">
        <v>41.2</v>
      </c>
      <c r="H8" s="0" t="n">
        <v>2944.3</v>
      </c>
      <c r="I8" s="0" t="n">
        <v>1724</v>
      </c>
      <c r="J8" s="0" t="n">
        <v>28.1</v>
      </c>
      <c r="K8" s="0" t="n">
        <v>9.35</v>
      </c>
      <c r="L8" s="0" t="n">
        <v>2482.4</v>
      </c>
      <c r="M8" s="0" t="n">
        <v>267.9</v>
      </c>
      <c r="N8" s="0" t="n">
        <v>2214.5</v>
      </c>
      <c r="O8" s="0" t="n">
        <v>9661.5</v>
      </c>
      <c r="P8" s="0" t="n">
        <v>237726.9</v>
      </c>
      <c r="Q8" s="0" t="n">
        <v>227626.7</v>
      </c>
      <c r="R8" s="0" t="n">
        <v>7484</v>
      </c>
      <c r="S8" s="0" t="n">
        <v>1655.1</v>
      </c>
      <c r="T8" s="0" t="n">
        <v>184.589</v>
      </c>
      <c r="AA8" s="0" t="s">
        <v>17</v>
      </c>
      <c r="AB8" s="0" t="s">
        <v>14</v>
      </c>
      <c r="AC8" s="0" t="n">
        <v>5076.6</v>
      </c>
    </row>
    <row r="9" customFormat="false" ht="15" hidden="false" customHeight="false" outlineLevel="0" collapsed="false">
      <c r="A9" s="0" t="s">
        <v>71</v>
      </c>
      <c r="B9" s="0" t="n">
        <v>7047.6</v>
      </c>
      <c r="C9" s="0" t="n">
        <v>1219.1</v>
      </c>
      <c r="D9" s="0" t="n">
        <v>5828.5</v>
      </c>
      <c r="E9" s="0" t="n">
        <v>82.7</v>
      </c>
      <c r="F9" s="0" t="n">
        <v>2899.8</v>
      </c>
      <c r="G9" s="0" t="n">
        <v>41.1</v>
      </c>
      <c r="H9" s="0" t="n">
        <v>3395.6</v>
      </c>
      <c r="I9" s="0" t="n">
        <v>1948.5</v>
      </c>
      <c r="J9" s="0" t="n">
        <v>27.6</v>
      </c>
      <c r="K9" s="0" t="n">
        <v>10.6</v>
      </c>
      <c r="L9" s="0" t="n">
        <v>2546.1</v>
      </c>
      <c r="M9" s="0" t="n">
        <v>360.6</v>
      </c>
      <c r="N9" s="0" t="n">
        <v>2185.5</v>
      </c>
      <c r="O9" s="0" t="n">
        <v>10770.5</v>
      </c>
      <c r="P9" s="0" t="n">
        <v>222111.7</v>
      </c>
      <c r="Q9" s="0" t="n">
        <v>210852.5</v>
      </c>
      <c r="R9" s="0" t="n">
        <v>6748.2</v>
      </c>
      <c r="S9" s="0" t="n">
        <v>1872.3</v>
      </c>
      <c r="T9" s="0" t="n">
        <v>184.226</v>
      </c>
      <c r="AA9" s="0" t="s">
        <v>17</v>
      </c>
      <c r="AB9" s="0" t="s">
        <v>14</v>
      </c>
      <c r="AC9" s="0" t="n">
        <v>5828.5</v>
      </c>
    </row>
    <row r="10" customFormat="false" ht="15" hidden="false" customHeight="false" outlineLevel="0" collapsed="false">
      <c r="A10" s="0" t="s">
        <v>72</v>
      </c>
      <c r="B10" s="0" t="n">
        <v>7415</v>
      </c>
      <c r="C10" s="0" t="n">
        <v>1389</v>
      </c>
      <c r="D10" s="0" t="n">
        <v>6026</v>
      </c>
      <c r="E10" s="0" t="n">
        <v>81.3</v>
      </c>
      <c r="F10" s="0" t="n">
        <v>3010</v>
      </c>
      <c r="G10" s="0" t="n">
        <v>40.6</v>
      </c>
      <c r="H10" s="0" t="n">
        <v>3512</v>
      </c>
      <c r="I10" s="0" t="n">
        <v>1995</v>
      </c>
      <c r="J10" s="0" t="n">
        <v>26.9</v>
      </c>
      <c r="K10" s="0" t="n">
        <v>10.9</v>
      </c>
      <c r="L10" s="0" t="n">
        <v>2672</v>
      </c>
      <c r="M10" s="0" t="n">
        <v>380</v>
      </c>
      <c r="N10" s="0" t="n">
        <v>2292</v>
      </c>
      <c r="O10" s="0" t="n">
        <v>11312</v>
      </c>
      <c r="P10" s="0" t="n">
        <v>297156</v>
      </c>
      <c r="Q10" s="0" t="n">
        <v>285327</v>
      </c>
      <c r="R10" s="0" t="n">
        <v>5533</v>
      </c>
      <c r="S10" s="0" t="n">
        <v>1782</v>
      </c>
      <c r="T10" s="0" t="n">
        <v>183.451</v>
      </c>
      <c r="AA10" s="0" t="s">
        <v>17</v>
      </c>
      <c r="AB10" s="0" t="s">
        <v>14</v>
      </c>
      <c r="AC10" s="0" t="n">
        <v>6026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314.1</v>
      </c>
    </row>
    <row r="3" customFormat="false" ht="15" hidden="false" customHeight="false" outlineLevel="0" collapsed="false">
      <c r="A3" s="0" t="s">
        <v>76</v>
      </c>
      <c r="B3" s="3" t="n">
        <v>180.47</v>
      </c>
    </row>
    <row r="4" customFormat="false" ht="15" hidden="false" customHeight="false" outlineLevel="0" collapsed="false">
      <c r="A4" s="0" t="s">
        <v>77</v>
      </c>
      <c r="B4" s="3" t="n">
        <v>5511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6026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8</v>
      </c>
      <c r="D13" s="3" t="n">
        <v>1</v>
      </c>
      <c r="E13" s="3" t="n">
        <v>3</v>
      </c>
      <c r="F13" s="3" t="n">
        <v>3.5</v>
      </c>
      <c r="G13" s="3" t="n">
        <v>3.5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60.3</v>
      </c>
      <c r="D14" s="3" t="n">
        <v>58.5</v>
      </c>
      <c r="E14" s="3" t="n">
        <v>58</v>
      </c>
      <c r="F14" s="3" t="n">
        <v>58</v>
      </c>
      <c r="G14" s="3" t="n">
        <v>58</v>
      </c>
      <c r="H14" s="3" t="n">
        <v>58</v>
      </c>
      <c r="I14" s="3" t="n">
        <v>58</v>
      </c>
      <c r="J14" s="3" t="n">
        <v>58</v>
      </c>
      <c r="K14" s="3" t="n">
        <v>58</v>
      </c>
      <c r="L14" s="3" t="n">
        <v>58</v>
      </c>
    </row>
    <row r="15" customFormat="false" ht="15" hidden="false" customHeight="false" outlineLevel="0" collapsed="false">
      <c r="A15" s="0" t="s">
        <v>98</v>
      </c>
      <c r="C15" s="3" t="n">
        <v>1.1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8</v>
      </c>
      <c r="D17" s="3" t="n">
        <v>8</v>
      </c>
      <c r="E17" s="3" t="n">
        <v>7.8</v>
      </c>
      <c r="F17" s="3" t="n">
        <v>7.6</v>
      </c>
      <c r="G17" s="3" t="n">
        <v>7.5</v>
      </c>
      <c r="H17" s="3" t="n">
        <v>7.4</v>
      </c>
      <c r="I17" s="3" t="n">
        <v>7.3</v>
      </c>
      <c r="J17" s="3" t="n">
        <v>7.2</v>
      </c>
      <c r="K17" s="3" t="n">
        <v>7.1</v>
      </c>
      <c r="L17" s="3" t="n">
        <v>7</v>
      </c>
    </row>
    <row r="18" customFormat="false" ht="15" hidden="false" customHeight="false" outlineLevel="0" collapsed="false">
      <c r="A18" s="0" t="s">
        <v>101</v>
      </c>
      <c r="C18" s="3" t="n">
        <v>7.8</v>
      </c>
      <c r="D18" s="3" t="n">
        <v>7.8</v>
      </c>
      <c r="E18" s="3" t="n">
        <v>7.8</v>
      </c>
      <c r="F18" s="3" t="n">
        <v>7.8</v>
      </c>
      <c r="G18" s="3" t="n">
        <v>7.8</v>
      </c>
      <c r="H18" s="3" t="n">
        <v>7.6</v>
      </c>
      <c r="I18" s="3" t="n">
        <v>7.6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102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103</v>
      </c>
      <c r="B20" s="3" t="n">
        <v>7.5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16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9</v>
      </c>
      <c r="D27" s="3" t="n">
        <v>5.5</v>
      </c>
      <c r="E27" s="3" t="n">
        <v>5.5</v>
      </c>
      <c r="F27" s="3" t="n">
        <v>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60.6</v>
      </c>
      <c r="D28" s="3" t="n">
        <v>60.8</v>
      </c>
      <c r="E28" s="3" t="n">
        <v>61.2</v>
      </c>
      <c r="F28" s="3" t="n">
        <v>61.5</v>
      </c>
      <c r="G28" s="3" t="n">
        <v>61.5</v>
      </c>
      <c r="H28" s="3" t="n">
        <v>61.5</v>
      </c>
      <c r="I28" s="3" t="n">
        <v>61.5</v>
      </c>
      <c r="J28" s="3" t="n">
        <v>61.5</v>
      </c>
      <c r="K28" s="3" t="n">
        <v>61.5</v>
      </c>
      <c r="L28" s="3" t="n">
        <v>61.5</v>
      </c>
    </row>
    <row r="29" customFormat="false" ht="15" hidden="false" customHeight="false" outlineLevel="0" collapsed="false">
      <c r="A29" s="0" t="s">
        <v>98</v>
      </c>
      <c r="C29" s="3" t="n">
        <v>1.1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8</v>
      </c>
      <c r="D31" s="3" t="n">
        <v>8</v>
      </c>
      <c r="E31" s="3" t="n">
        <v>7.8</v>
      </c>
      <c r="F31" s="3" t="n">
        <v>7.6</v>
      </c>
      <c r="G31" s="3" t="n">
        <v>7.5</v>
      </c>
      <c r="H31" s="3" t="n">
        <v>7.4</v>
      </c>
      <c r="I31" s="3" t="n">
        <v>7.3</v>
      </c>
      <c r="J31" s="3" t="n">
        <v>7.2</v>
      </c>
      <c r="K31" s="3" t="n">
        <v>7.1</v>
      </c>
      <c r="L31" s="3" t="n">
        <v>7</v>
      </c>
    </row>
    <row r="32" customFormat="false" ht="15" hidden="false" customHeight="false" outlineLevel="0" collapsed="false">
      <c r="A32" s="0" t="s">
        <v>101</v>
      </c>
      <c r="C32" s="3" t="n">
        <v>7.8</v>
      </c>
      <c r="D32" s="3" t="n">
        <v>7.8</v>
      </c>
      <c r="E32" s="3" t="n">
        <v>7.8</v>
      </c>
      <c r="F32" s="3" t="n">
        <v>7.8</v>
      </c>
      <c r="G32" s="3" t="n">
        <v>7.8</v>
      </c>
      <c r="H32" s="3" t="n">
        <v>7.6</v>
      </c>
      <c r="I32" s="3" t="n">
        <v>7.6</v>
      </c>
      <c r="J32" s="3" t="n">
        <v>7.5</v>
      </c>
      <c r="K32" s="3" t="n">
        <v>7.5</v>
      </c>
      <c r="L32" s="3" t="n">
        <v>7.5</v>
      </c>
    </row>
    <row r="33" customFormat="false" ht="15" hidden="false" customHeight="false" outlineLevel="0" collapsed="false">
      <c r="A33" s="0" t="s">
        <v>102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103</v>
      </c>
      <c r="B34" s="3" t="n">
        <v>7.5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20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9.5</v>
      </c>
      <c r="D41" s="3" t="n">
        <v>8</v>
      </c>
      <c r="E41" s="3" t="n">
        <v>8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97</v>
      </c>
      <c r="C42" s="3" t="n">
        <v>60.8</v>
      </c>
      <c r="D42" s="3" t="n">
        <v>61.8</v>
      </c>
      <c r="E42" s="3" t="n">
        <v>62.6</v>
      </c>
      <c r="F42" s="3" t="n">
        <v>63.2</v>
      </c>
      <c r="G42" s="3" t="n">
        <v>63.6</v>
      </c>
      <c r="H42" s="3" t="n">
        <v>64</v>
      </c>
      <c r="I42" s="3" t="n">
        <v>64</v>
      </c>
      <c r="J42" s="3" t="n">
        <v>64</v>
      </c>
      <c r="K42" s="3" t="n">
        <v>64</v>
      </c>
      <c r="L42" s="3" t="n">
        <v>64</v>
      </c>
    </row>
    <row r="43" customFormat="false" ht="15" hidden="false" customHeight="false" outlineLevel="0" collapsed="false">
      <c r="A43" s="0" t="s">
        <v>98</v>
      </c>
      <c r="C43" s="3" t="n">
        <v>1.1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8</v>
      </c>
      <c r="D45" s="3" t="n">
        <v>8</v>
      </c>
      <c r="E45" s="3" t="n">
        <v>7.8</v>
      </c>
      <c r="F45" s="3" t="n">
        <v>7.6</v>
      </c>
      <c r="G45" s="3" t="n">
        <v>7.5</v>
      </c>
      <c r="H45" s="3" t="n">
        <v>7.4</v>
      </c>
      <c r="I45" s="3" t="n">
        <v>7.3</v>
      </c>
      <c r="J45" s="3" t="n">
        <v>7.2</v>
      </c>
      <c r="K45" s="3" t="n">
        <v>7.1</v>
      </c>
      <c r="L45" s="3" t="n">
        <v>7</v>
      </c>
    </row>
    <row r="46" customFormat="false" ht="15" hidden="false" customHeight="false" outlineLevel="0" collapsed="false">
      <c r="A46" s="0" t="s">
        <v>101</v>
      </c>
      <c r="C46" s="3" t="n">
        <v>7.8</v>
      </c>
      <c r="D46" s="3" t="n">
        <v>7.8</v>
      </c>
      <c r="E46" s="3" t="n">
        <v>7.8</v>
      </c>
      <c r="F46" s="3" t="n">
        <v>7.8</v>
      </c>
      <c r="G46" s="3" t="n">
        <v>7.8</v>
      </c>
      <c r="H46" s="3" t="n">
        <v>7.6</v>
      </c>
      <c r="I46" s="3" t="n">
        <v>7.6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102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103</v>
      </c>
      <c r="B48" s="3" t="n">
        <v>7.5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22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8</v>
      </c>
      <c r="D5" s="4" t="n">
        <f aca="false">Assumptions!D13</f>
        <v>1</v>
      </c>
      <c r="E5" s="4" t="n">
        <f aca="false">Assumptions!E13</f>
        <v>3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6026</v>
      </c>
      <c r="C6" s="0" t="n">
        <f aca="false">B6*(1+C5/100)</f>
        <v>6508.08</v>
      </c>
      <c r="D6" s="0" t="n">
        <f aca="false">C6*(1+D5/100)</f>
        <v>6573.1608</v>
      </c>
      <c r="E6" s="0" t="n">
        <f aca="false">D6*(1+E5/100)</f>
        <v>6770.355624</v>
      </c>
      <c r="F6" s="0" t="n">
        <f aca="false">E6*(1+F5/100)</f>
        <v>7007.31807084</v>
      </c>
      <c r="G6" s="0" t="n">
        <f aca="false">F6*(1+G5/100)</f>
        <v>7252.5742033194</v>
      </c>
      <c r="H6" s="0" t="n">
        <f aca="false">G6*(1+H5/100)</f>
        <v>7470.15142941898</v>
      </c>
      <c r="I6" s="0" t="n">
        <f aca="false">H6*(1+I5/100)</f>
        <v>7694.25597230155</v>
      </c>
      <c r="J6" s="0" t="n">
        <f aca="false">I6*(1+J5/100)</f>
        <v>7886.61237160909</v>
      </c>
      <c r="K6" s="0" t="n">
        <f aca="false">J6*(1+K5/100)</f>
        <v>8083.77768089932</v>
      </c>
      <c r="L6" s="0" t="n">
        <f aca="false">K6*(1+L5/100)</f>
        <v>8285.8721229218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60.3</v>
      </c>
      <c r="D7" s="4" t="n">
        <f aca="false">Assumptions!D14</f>
        <v>58.5</v>
      </c>
      <c r="E7" s="4" t="n">
        <f aca="false">Assumptions!E14</f>
        <v>58</v>
      </c>
      <c r="F7" s="4" t="n">
        <f aca="false">Assumptions!F14</f>
        <v>58</v>
      </c>
      <c r="G7" s="4" t="n">
        <f aca="false">Assumptions!G14</f>
        <v>58</v>
      </c>
      <c r="H7" s="4" t="n">
        <f aca="false">Assumptions!H14</f>
        <v>58</v>
      </c>
      <c r="I7" s="4" t="n">
        <f aca="false">Assumptions!I14</f>
        <v>58</v>
      </c>
      <c r="J7" s="4" t="n">
        <f aca="false">Assumptions!J14</f>
        <v>58</v>
      </c>
      <c r="K7" s="4" t="n">
        <f aca="false">Assumptions!K14</f>
        <v>58</v>
      </c>
      <c r="L7" s="4" t="n">
        <f aca="false">Assumptions!L14</f>
        <v>58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3924.37224</v>
      </c>
      <c r="D8" s="0" t="n">
        <f aca="false">D6*D7/100</f>
        <v>3845.299068</v>
      </c>
      <c r="E8" s="0" t="n">
        <f aca="false">E6*E7/100</f>
        <v>3926.80626192</v>
      </c>
      <c r="F8" s="0" t="n">
        <f aca="false">F6*F7/100</f>
        <v>4064.2444810872</v>
      </c>
      <c r="G8" s="0" t="n">
        <f aca="false">G6*G7/100</f>
        <v>4206.49303792525</v>
      </c>
      <c r="H8" s="0" t="n">
        <f aca="false">H6*H7/100</f>
        <v>4332.68782906301</v>
      </c>
      <c r="I8" s="0" t="n">
        <f aca="false">I6*I7/100</f>
        <v>4462.6684639349</v>
      </c>
      <c r="J8" s="0" t="n">
        <f aca="false">J6*J7/100</f>
        <v>4574.23517553327</v>
      </c>
      <c r="K8" s="0" t="n">
        <f aca="false">K6*K7/100</f>
        <v>4688.5910549216</v>
      </c>
      <c r="L8" s="0" t="n">
        <f aca="false">L6*L7/100</f>
        <v>4805.80583129464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1.1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-71.58888</v>
      </c>
      <c r="D10" s="0" t="n">
        <f aca="false">-D6*D9/100</f>
        <v>-65.731608</v>
      </c>
      <c r="E10" s="0" t="n">
        <f aca="false">-E6*E9/100</f>
        <v>-67.70355624</v>
      </c>
      <c r="F10" s="0" t="n">
        <f aca="false">-F6*F9/100</f>
        <v>-70.0731807084</v>
      </c>
      <c r="G10" s="0" t="n">
        <f aca="false">-G6*G9/100</f>
        <v>-72.525742033194</v>
      </c>
      <c r="H10" s="0" t="n">
        <f aca="false">-H6*H9/100</f>
        <v>-74.7015142941898</v>
      </c>
      <c r="I10" s="0" t="n">
        <f aca="false">-I6*I9/100</f>
        <v>-76.9425597230155</v>
      </c>
      <c r="J10" s="0" t="n">
        <f aca="false">-J6*J9/100</f>
        <v>-78.8661237160909</v>
      </c>
      <c r="K10" s="0" t="n">
        <f aca="false">-K6*K9/100</f>
        <v>-80.8377768089932</v>
      </c>
      <c r="L10" s="0" t="n">
        <f aca="false">-L6*L9/100</f>
        <v>-82.858721229218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3852.78336</v>
      </c>
      <c r="D11" s="0" t="n">
        <f aca="false">D8+D10+D24</f>
        <v>3779.56746</v>
      </c>
      <c r="E11" s="0" t="n">
        <f aca="false">E8+E10+E24</f>
        <v>3859.10270568</v>
      </c>
      <c r="F11" s="0" t="n">
        <f aca="false">F8+F10+F24</f>
        <v>3994.1713003788</v>
      </c>
      <c r="G11" s="0" t="n">
        <f aca="false">G8+G10+G24</f>
        <v>4133.96729589206</v>
      </c>
      <c r="H11" s="0" t="n">
        <f aca="false">H8+H10+H24</f>
        <v>4257.98631476882</v>
      </c>
      <c r="I11" s="0" t="n">
        <f aca="false">I8+I10+I24</f>
        <v>4385.72590421189</v>
      </c>
      <c r="J11" s="0" t="n">
        <f aca="false">J8+J10+J24</f>
        <v>4495.36905181718</v>
      </c>
      <c r="K11" s="0" t="n">
        <f aca="false">K8+K10+K24</f>
        <v>4607.75327811261</v>
      </c>
      <c r="L11" s="0" t="n">
        <f aca="false">L8+L10+L24</f>
        <v>4722.94711006543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-520.6464</v>
      </c>
      <c r="D12" s="4" t="n">
        <f aca="false">-D6*Assumptions!D17/100</f>
        <v>-525.852864</v>
      </c>
      <c r="E12" s="4" t="n">
        <f aca="false">-E6*Assumptions!E17/100</f>
        <v>-528.087738672</v>
      </c>
      <c r="F12" s="4" t="n">
        <f aca="false">-F6*Assumptions!F17/100</f>
        <v>-532.55617338384</v>
      </c>
      <c r="G12" s="4" t="n">
        <f aca="false">-G6*Assumptions!G17/100</f>
        <v>-543.943065248955</v>
      </c>
      <c r="H12" s="4" t="n">
        <f aca="false">-H6*Assumptions!H17/100</f>
        <v>-552.791205777005</v>
      </c>
      <c r="I12" s="4" t="n">
        <f aca="false">-I6*Assumptions!I17/100</f>
        <v>-561.680685978013</v>
      </c>
      <c r="J12" s="4" t="n">
        <f aca="false">-J6*Assumptions!J17/100</f>
        <v>-567.836090755855</v>
      </c>
      <c r="K12" s="4" t="n">
        <f aca="false">-K6*Assumptions!K17/100</f>
        <v>-573.948215343851</v>
      </c>
      <c r="L12" s="4" t="n">
        <f aca="false">-L6*Assumptions!L17/100</f>
        <v>-580.011048604526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3332.13696</v>
      </c>
      <c r="D13" s="0" t="n">
        <f aca="false">D11+D12</f>
        <v>3253.714596</v>
      </c>
      <c r="E13" s="0" t="n">
        <f aca="false">E11+E12</f>
        <v>3331.014967008</v>
      </c>
      <c r="F13" s="0" t="n">
        <f aca="false">F11+F12</f>
        <v>3461.61512699496</v>
      </c>
      <c r="G13" s="0" t="n">
        <f aca="false">G11+G12</f>
        <v>3590.0242306431</v>
      </c>
      <c r="H13" s="0" t="n">
        <f aca="false">H11+H12</f>
        <v>3705.19510899182</v>
      </c>
      <c r="I13" s="0" t="n">
        <f aca="false">I11+I12</f>
        <v>3824.04521823387</v>
      </c>
      <c r="J13" s="0" t="n">
        <f aca="false">J11+J12</f>
        <v>3927.53296106133</v>
      </c>
      <c r="K13" s="0" t="n">
        <f aca="false">K11+K12</f>
        <v>4033.80506276876</v>
      </c>
      <c r="L13" s="0" t="n">
        <f aca="false">L11+L12</f>
        <v>4142.9360614609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2332.495872</v>
      </c>
      <c r="D15" s="0" t="n">
        <f aca="false">D13-MAX(0,D13)*D14/100</f>
        <v>2277.6002172</v>
      </c>
      <c r="E15" s="0" t="n">
        <f aca="false">E13-MAX(0,E13)*E14/100</f>
        <v>2331.7104769056</v>
      </c>
      <c r="F15" s="0" t="n">
        <f aca="false">F13-MAX(0,F13)*F14/100</f>
        <v>2423.13058889647</v>
      </c>
      <c r="G15" s="0" t="n">
        <f aca="false">G13-MAX(0,G13)*G14/100</f>
        <v>2513.01696145017</v>
      </c>
      <c r="H15" s="0" t="n">
        <f aca="false">H13-MAX(0,H13)*H14/100</f>
        <v>2593.63657629427</v>
      </c>
      <c r="I15" s="0" t="n">
        <f aca="false">I13-MAX(0,I13)*I14/100</f>
        <v>2676.83165276371</v>
      </c>
      <c r="J15" s="0" t="n">
        <f aca="false">J13-MAX(0,J13)*J14/100</f>
        <v>2749.27307274293</v>
      </c>
      <c r="K15" s="0" t="n">
        <f aca="false">K13-MAX(0,K13)*K14/100</f>
        <v>2823.66354393813</v>
      </c>
      <c r="L15" s="0" t="n">
        <f aca="false">L13-MAX(0,L13)*L14/100</f>
        <v>2900.05524302263</v>
      </c>
    </row>
    <row r="16" customFormat="false" ht="15" hidden="false" customHeight="false" outlineLevel="0" collapsed="false">
      <c r="A16" s="0" t="s">
        <v>118</v>
      </c>
      <c r="C16" s="0" t="n">
        <f aca="false">-C12</f>
        <v>520.6464</v>
      </c>
      <c r="D16" s="0" t="n">
        <f aca="false">-D12</f>
        <v>525.852864</v>
      </c>
      <c r="E16" s="0" t="n">
        <f aca="false">-E12</f>
        <v>528.087738672</v>
      </c>
      <c r="F16" s="0" t="n">
        <f aca="false">-F12</f>
        <v>532.55617338384</v>
      </c>
      <c r="G16" s="0" t="n">
        <f aca="false">-G12</f>
        <v>543.943065248955</v>
      </c>
      <c r="H16" s="0" t="n">
        <f aca="false">-H12</f>
        <v>552.791205777005</v>
      </c>
      <c r="I16" s="0" t="n">
        <f aca="false">-I12</f>
        <v>561.680685978013</v>
      </c>
      <c r="J16" s="0" t="n">
        <f aca="false">-J12</f>
        <v>567.836090755855</v>
      </c>
      <c r="K16" s="0" t="n">
        <f aca="false">-K12</f>
        <v>573.948215343851</v>
      </c>
      <c r="L16" s="0" t="n">
        <f aca="false">-L12</f>
        <v>580.011048604526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-507.63024</v>
      </c>
      <c r="D17" s="4" t="n">
        <f aca="false">-D6*Assumptions!D18/100</f>
        <v>-512.7065424</v>
      </c>
      <c r="E17" s="4" t="n">
        <f aca="false">-E6*Assumptions!E18/100</f>
        <v>-528.087738672</v>
      </c>
      <c r="F17" s="4" t="n">
        <f aca="false">-F6*Assumptions!F18/100</f>
        <v>-546.57080952552</v>
      </c>
      <c r="G17" s="4" t="n">
        <f aca="false">-G6*Assumptions!G18/100</f>
        <v>-565.700787858913</v>
      </c>
      <c r="H17" s="4" t="n">
        <f aca="false">-H6*Assumptions!H18/100</f>
        <v>-567.731508635843</v>
      </c>
      <c r="I17" s="4" t="n">
        <f aca="false">-I6*Assumptions!I18/100</f>
        <v>-584.763453894918</v>
      </c>
      <c r="J17" s="4" t="n">
        <f aca="false">-J6*Assumptions!J18/100</f>
        <v>-591.495927870682</v>
      </c>
      <c r="K17" s="4" t="n">
        <f aca="false">-K6*Assumptions!K18/100</f>
        <v>-606.283326067449</v>
      </c>
      <c r="L17" s="4" t="n">
        <f aca="false">-L6*Assumptions!L18/100</f>
        <v>-621.440409219135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2345.512032</v>
      </c>
      <c r="D19" s="0" t="n">
        <f aca="false">D15+D16+D17+D18</f>
        <v>2290.7465388</v>
      </c>
      <c r="E19" s="0" t="n">
        <f aca="false">E15+E16+E17+E18</f>
        <v>2331.7104769056</v>
      </c>
      <c r="F19" s="0" t="n">
        <f aca="false">F15+F16+F17+F18</f>
        <v>2409.11595275479</v>
      </c>
      <c r="G19" s="0" t="n">
        <f aca="false">G15+G16+G17+G18</f>
        <v>2491.25923884021</v>
      </c>
      <c r="H19" s="0" t="n">
        <f aca="false">H15+H16+H17+H18</f>
        <v>2578.69627343543</v>
      </c>
      <c r="I19" s="0" t="n">
        <f aca="false">I15+I16+I17+I18</f>
        <v>2653.74888484681</v>
      </c>
      <c r="J19" s="0" t="n">
        <f aca="false">J15+J16+J17+J18</f>
        <v>2725.6132356281</v>
      </c>
      <c r="K19" s="0" t="n">
        <f aca="false">K15+K16+K17+K18</f>
        <v>2791.32843321453</v>
      </c>
      <c r="L19" s="0" t="n">
        <f aca="false">L15+L16+L17+L18</f>
        <v>2858.62588240802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2181.87165767442</v>
      </c>
      <c r="D21" s="0" t="n">
        <f aca="false">D19*D20</f>
        <v>1982.25768636019</v>
      </c>
      <c r="E21" s="0" t="n">
        <f aca="false">E19*E20</f>
        <v>1876.93499342144</v>
      </c>
      <c r="F21" s="0" t="n">
        <f aca="false">F19*F20</f>
        <v>1803.9473017155</v>
      </c>
      <c r="G21" s="0" t="n">
        <f aca="false">G19*G20</f>
        <v>1735.30812823613</v>
      </c>
      <c r="H21" s="0" t="n">
        <f aca="false">H19*H20</f>
        <v>1670.89595299584</v>
      </c>
      <c r="I21" s="0" t="n">
        <f aca="false">I19*I20</f>
        <v>1599.5601460937</v>
      </c>
      <c r="J21" s="0" t="n">
        <f aca="false">J19*J20</f>
        <v>1528.25742858323</v>
      </c>
      <c r="K21" s="0" t="n">
        <f aca="false">K19*K20</f>
        <v>1455.91077826775</v>
      </c>
      <c r="L21" s="0" t="n">
        <f aca="false">L19*L20</f>
        <v>1386.98792142979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17221.931994778</v>
      </c>
    </row>
    <row r="31" customFormat="false" ht="15" hidden="false" customHeight="false" outlineLevel="0" collapsed="false">
      <c r="A31" s="0" t="s">
        <v>127</v>
      </c>
      <c r="B31" s="0" t="n">
        <f aca="false">L19</f>
        <v>2858.62588240802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53014.5163646578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45738.0141185283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45738.0141185283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22191.8067428766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39413.7387376546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33902.7387376546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187.858030352162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-0.40191649044202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502.329790859969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745.574534839728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194.772776989828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22429.2184619706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69.0286066669003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9</v>
      </c>
      <c r="D5" s="4" t="n">
        <f aca="false">Assumptions!D27</f>
        <v>5.5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6026</v>
      </c>
      <c r="C6" s="0" t="n">
        <f aca="false">B6*(1+C5/100)</f>
        <v>6568.34</v>
      </c>
      <c r="D6" s="0" t="n">
        <f aca="false">C6*(1+D5/100)</f>
        <v>6929.5987</v>
      </c>
      <c r="E6" s="0" t="n">
        <f aca="false">D6*(1+E5/100)</f>
        <v>7310.7266285</v>
      </c>
      <c r="F6" s="0" t="n">
        <f aca="false">E6*(1+F5/100)</f>
        <v>7676.262959925</v>
      </c>
      <c r="G6" s="0" t="n">
        <f aca="false">F6*(1+G5/100)</f>
        <v>8060.07610792125</v>
      </c>
      <c r="H6" s="0" t="n">
        <f aca="false">G6*(1+H5/100)</f>
        <v>8422.7795327777</v>
      </c>
      <c r="I6" s="0" t="n">
        <f aca="false">H6*(1+I5/100)</f>
        <v>8759.69071408881</v>
      </c>
      <c r="J6" s="0" t="n">
        <f aca="false">I6*(1+J5/100)</f>
        <v>9066.27988908192</v>
      </c>
      <c r="K6" s="0" t="n">
        <f aca="false">J6*(1+K5/100)</f>
        <v>9338.26828575438</v>
      </c>
      <c r="L6" s="0" t="n">
        <f aca="false">K6*(1+L5/100)</f>
        <v>9618.41633432701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60.6</v>
      </c>
      <c r="D7" s="4" t="n">
        <f aca="false">Assumptions!D28</f>
        <v>60.8</v>
      </c>
      <c r="E7" s="4" t="n">
        <f aca="false">Assumptions!E28</f>
        <v>61.2</v>
      </c>
      <c r="F7" s="4" t="n">
        <f aca="false">Assumptions!F28</f>
        <v>61.5</v>
      </c>
      <c r="G7" s="4" t="n">
        <f aca="false">Assumptions!G28</f>
        <v>61.5</v>
      </c>
      <c r="H7" s="4" t="n">
        <f aca="false">Assumptions!H28</f>
        <v>61.5</v>
      </c>
      <c r="I7" s="4" t="n">
        <f aca="false">Assumptions!I28</f>
        <v>61.5</v>
      </c>
      <c r="J7" s="4" t="n">
        <f aca="false">Assumptions!J28</f>
        <v>61.5</v>
      </c>
      <c r="K7" s="4" t="n">
        <f aca="false">Assumptions!K28</f>
        <v>61.5</v>
      </c>
      <c r="L7" s="4" t="n">
        <f aca="false">Assumptions!L28</f>
        <v>61.5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3980.41404</v>
      </c>
      <c r="D8" s="0" t="n">
        <f aca="false">D6*D7/100</f>
        <v>4213.1960096</v>
      </c>
      <c r="E8" s="0" t="n">
        <f aca="false">E6*E7/100</f>
        <v>4474.164696642</v>
      </c>
      <c r="F8" s="0" t="n">
        <f aca="false">F6*F7/100</f>
        <v>4720.90172035387</v>
      </c>
      <c r="G8" s="0" t="n">
        <f aca="false">G6*G7/100</f>
        <v>4956.94680637157</v>
      </c>
      <c r="H8" s="0" t="n">
        <f aca="false">H6*H7/100</f>
        <v>5180.00941265829</v>
      </c>
      <c r="I8" s="0" t="n">
        <f aca="false">I6*I7/100</f>
        <v>5387.20978916462</v>
      </c>
      <c r="J8" s="0" t="n">
        <f aca="false">J6*J7/100</f>
        <v>5575.76213178538</v>
      </c>
      <c r="K8" s="0" t="n">
        <f aca="false">K6*K7/100</f>
        <v>5743.03499573894</v>
      </c>
      <c r="L8" s="0" t="n">
        <f aca="false">L6*L7/100</f>
        <v>5915.32604561111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1.1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-72.25174</v>
      </c>
      <c r="D10" s="0" t="n">
        <f aca="false">-D6*D9/100</f>
        <v>-69.295987</v>
      </c>
      <c r="E10" s="0" t="n">
        <f aca="false">-E6*E9/100</f>
        <v>-73.107266285</v>
      </c>
      <c r="F10" s="0" t="n">
        <f aca="false">-F6*F9/100</f>
        <v>-76.76262959925</v>
      </c>
      <c r="G10" s="0" t="n">
        <f aca="false">-G6*G9/100</f>
        <v>-80.6007610792125</v>
      </c>
      <c r="H10" s="0" t="n">
        <f aca="false">-H6*H9/100</f>
        <v>-84.2277953277771</v>
      </c>
      <c r="I10" s="0" t="n">
        <f aca="false">-I6*I9/100</f>
        <v>-87.5969071408881</v>
      </c>
      <c r="J10" s="0" t="n">
        <f aca="false">-J6*J9/100</f>
        <v>-90.6627988908192</v>
      </c>
      <c r="K10" s="0" t="n">
        <f aca="false">-K6*K9/100</f>
        <v>-93.3826828575438</v>
      </c>
      <c r="L10" s="0" t="n">
        <f aca="false">-L6*L9/100</f>
        <v>-96.1841633432701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3908.1623</v>
      </c>
      <c r="D11" s="0" t="n">
        <f aca="false">D8+D10+D24</f>
        <v>4143.9000226</v>
      </c>
      <c r="E11" s="0" t="n">
        <f aca="false">E8+E10+E24</f>
        <v>4401.057430357</v>
      </c>
      <c r="F11" s="0" t="n">
        <f aca="false">F8+F10+F24</f>
        <v>4644.13909075462</v>
      </c>
      <c r="G11" s="0" t="n">
        <f aca="false">G8+G10+G24</f>
        <v>4876.34604529236</v>
      </c>
      <c r="H11" s="0" t="n">
        <f aca="false">H8+H10+H24</f>
        <v>5095.78161733051</v>
      </c>
      <c r="I11" s="0" t="n">
        <f aca="false">I8+I10+I24</f>
        <v>5299.61288202373</v>
      </c>
      <c r="J11" s="0" t="n">
        <f aca="false">J8+J10+J24</f>
        <v>5485.09933289456</v>
      </c>
      <c r="K11" s="0" t="n">
        <f aca="false">K8+K10+K24</f>
        <v>5649.6523128814</v>
      </c>
      <c r="L11" s="0" t="n">
        <f aca="false">L8+L10+L24</f>
        <v>5819.14188226784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-525.4672</v>
      </c>
      <c r="D12" s="4" t="n">
        <f aca="false">-D6*Assumptions!D31/100</f>
        <v>-554.367896</v>
      </c>
      <c r="E12" s="4" t="n">
        <f aca="false">-E6*Assumptions!E31/100</f>
        <v>-570.236677023</v>
      </c>
      <c r="F12" s="4" t="n">
        <f aca="false">-F6*Assumptions!F31/100</f>
        <v>-583.3959849543</v>
      </c>
      <c r="G12" s="4" t="n">
        <f aca="false">-G6*Assumptions!G31/100</f>
        <v>-604.505708094094</v>
      </c>
      <c r="H12" s="4" t="n">
        <f aca="false">-H6*Assumptions!H31/100</f>
        <v>-623.28568542555</v>
      </c>
      <c r="I12" s="4" t="n">
        <f aca="false">-I6*Assumptions!I31/100</f>
        <v>-639.457422128483</v>
      </c>
      <c r="J12" s="4" t="n">
        <f aca="false">-J6*Assumptions!J31/100</f>
        <v>-652.772152013898</v>
      </c>
      <c r="K12" s="4" t="n">
        <f aca="false">-K6*Assumptions!K31/100</f>
        <v>-663.017048288561</v>
      </c>
      <c r="L12" s="4" t="n">
        <f aca="false">-L6*Assumptions!L31/100</f>
        <v>-673.289143402891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3382.6951</v>
      </c>
      <c r="D13" s="0" t="n">
        <f aca="false">D11+D12</f>
        <v>3589.5321266</v>
      </c>
      <c r="E13" s="0" t="n">
        <f aca="false">E11+E12</f>
        <v>3830.820753334</v>
      </c>
      <c r="F13" s="0" t="n">
        <f aca="false">F11+F12</f>
        <v>4060.74310580032</v>
      </c>
      <c r="G13" s="0" t="n">
        <f aca="false">G11+G12</f>
        <v>4271.84033719826</v>
      </c>
      <c r="H13" s="0" t="n">
        <f aca="false">H11+H12</f>
        <v>4472.49593190496</v>
      </c>
      <c r="I13" s="0" t="n">
        <f aca="false">I11+I12</f>
        <v>4660.15545989525</v>
      </c>
      <c r="J13" s="0" t="n">
        <f aca="false">J11+J12</f>
        <v>4832.32718088066</v>
      </c>
      <c r="K13" s="0" t="n">
        <f aca="false">K11+K12</f>
        <v>4986.63526459284</v>
      </c>
      <c r="L13" s="0" t="n">
        <f aca="false">L11+L12</f>
        <v>5145.85273886495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2367.88657</v>
      </c>
      <c r="D15" s="0" t="n">
        <f aca="false">D13-MAX(0,D13)*D14/100</f>
        <v>2512.67248862</v>
      </c>
      <c r="E15" s="0" t="n">
        <f aca="false">E13-MAX(0,E13)*E14/100</f>
        <v>2681.5745273338</v>
      </c>
      <c r="F15" s="0" t="n">
        <f aca="false">F13-MAX(0,F13)*F14/100</f>
        <v>2842.52017406023</v>
      </c>
      <c r="G15" s="0" t="n">
        <f aca="false">G13-MAX(0,G13)*G14/100</f>
        <v>2990.28823603878</v>
      </c>
      <c r="H15" s="0" t="n">
        <f aca="false">H13-MAX(0,H13)*H14/100</f>
        <v>3130.74715233347</v>
      </c>
      <c r="I15" s="0" t="n">
        <f aca="false">I13-MAX(0,I13)*I14/100</f>
        <v>3262.10882192667</v>
      </c>
      <c r="J15" s="0" t="n">
        <f aca="false">J13-MAX(0,J13)*J14/100</f>
        <v>3382.62902661646</v>
      </c>
      <c r="K15" s="0" t="n">
        <f aca="false">K13-MAX(0,K13)*K14/100</f>
        <v>3490.64468521499</v>
      </c>
      <c r="L15" s="0" t="n">
        <f aca="false">L13-MAX(0,L13)*L14/100</f>
        <v>3602.09691720546</v>
      </c>
    </row>
    <row r="16" customFormat="false" ht="15" hidden="false" customHeight="false" outlineLevel="0" collapsed="false">
      <c r="A16" s="0" t="s">
        <v>118</v>
      </c>
      <c r="C16" s="0" t="n">
        <f aca="false">-C12</f>
        <v>525.4672</v>
      </c>
      <c r="D16" s="0" t="n">
        <f aca="false">-D12</f>
        <v>554.367896</v>
      </c>
      <c r="E16" s="0" t="n">
        <f aca="false">-E12</f>
        <v>570.236677023</v>
      </c>
      <c r="F16" s="0" t="n">
        <f aca="false">-F12</f>
        <v>583.3959849543</v>
      </c>
      <c r="G16" s="0" t="n">
        <f aca="false">-G12</f>
        <v>604.505708094094</v>
      </c>
      <c r="H16" s="0" t="n">
        <f aca="false">-H12</f>
        <v>623.28568542555</v>
      </c>
      <c r="I16" s="0" t="n">
        <f aca="false">-I12</f>
        <v>639.457422128483</v>
      </c>
      <c r="J16" s="0" t="n">
        <f aca="false">-J12</f>
        <v>652.772152013898</v>
      </c>
      <c r="K16" s="0" t="n">
        <f aca="false">-K12</f>
        <v>663.017048288561</v>
      </c>
      <c r="L16" s="0" t="n">
        <f aca="false">-L12</f>
        <v>673.289143402891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-512.33052</v>
      </c>
      <c r="D17" s="4" t="n">
        <f aca="false">-D6*Assumptions!D32/100</f>
        <v>-540.5086986</v>
      </c>
      <c r="E17" s="4" t="n">
        <f aca="false">-E6*Assumptions!E32/100</f>
        <v>-570.236677023</v>
      </c>
      <c r="F17" s="4" t="n">
        <f aca="false">-F6*Assumptions!F32/100</f>
        <v>-598.74851087415</v>
      </c>
      <c r="G17" s="4" t="n">
        <f aca="false">-G6*Assumptions!G32/100</f>
        <v>-628.685936417857</v>
      </c>
      <c r="H17" s="4" t="n">
        <f aca="false">-H6*Assumptions!H32/100</f>
        <v>-640.131244491106</v>
      </c>
      <c r="I17" s="4" t="n">
        <f aca="false">-I6*Assumptions!I32/100</f>
        <v>-665.73649427075</v>
      </c>
      <c r="J17" s="4" t="n">
        <f aca="false">-J6*Assumptions!J32/100</f>
        <v>-679.970991681144</v>
      </c>
      <c r="K17" s="4" t="n">
        <f aca="false">-K6*Assumptions!K32/100</f>
        <v>-700.370121431578</v>
      </c>
      <c r="L17" s="4" t="n">
        <f aca="false">-L6*Assumptions!L32/100</f>
        <v>-721.381225074526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2381.02325</v>
      </c>
      <c r="D19" s="0" t="n">
        <f aca="false">D15+D16+D17+D18</f>
        <v>2526.53168602</v>
      </c>
      <c r="E19" s="0" t="n">
        <f aca="false">E15+E16+E17+E18</f>
        <v>2681.5745273338</v>
      </c>
      <c r="F19" s="0" t="n">
        <f aca="false">F15+F16+F17+F18</f>
        <v>2827.16764814038</v>
      </c>
      <c r="G19" s="0" t="n">
        <f aca="false">G15+G16+G17+G18</f>
        <v>2966.10800771502</v>
      </c>
      <c r="H19" s="0" t="n">
        <f aca="false">H15+H16+H17+H18</f>
        <v>3113.90159326792</v>
      </c>
      <c r="I19" s="0" t="n">
        <f aca="false">I15+I16+I17+I18</f>
        <v>3235.82974978441</v>
      </c>
      <c r="J19" s="0" t="n">
        <f aca="false">J15+J16+J17+J18</f>
        <v>3355.43018694922</v>
      </c>
      <c r="K19" s="0" t="n">
        <f aca="false">K15+K16+K17+K18</f>
        <v>3453.29161207197</v>
      </c>
      <c r="L19" s="0" t="n">
        <f aca="false">L15+L16+L17+L18</f>
        <v>3554.00483553383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2214.90534883721</v>
      </c>
      <c r="D21" s="0" t="n">
        <f aca="false">D19*D20</f>
        <v>2186.29026372742</v>
      </c>
      <c r="E21" s="0" t="n">
        <f aca="false">E19*E20</f>
        <v>2158.56175870506</v>
      </c>
      <c r="F21" s="0" t="n">
        <f aca="false">F19*F20</f>
        <v>2116.98463269414</v>
      </c>
      <c r="G21" s="0" t="n">
        <f aca="false">G19*G20</f>
        <v>2066.0681372567</v>
      </c>
      <c r="H21" s="0" t="n">
        <f aca="false">H19*H20</f>
        <v>2017.68840472516</v>
      </c>
      <c r="I21" s="0" t="n">
        <f aca="false">I19*I20</f>
        <v>1950.41224015372</v>
      </c>
      <c r="J21" s="0" t="n">
        <f aca="false">J19*J20</f>
        <v>1881.39719981799</v>
      </c>
      <c r="K21" s="0" t="n">
        <f aca="false">K19*K20</f>
        <v>1801.17983204407</v>
      </c>
      <c r="L21" s="0" t="n">
        <f aca="false">L19*L20</f>
        <v>1724.38156735506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20117.8693853165</v>
      </c>
    </row>
    <row r="31" customFormat="false" ht="15" hidden="false" customHeight="false" outlineLevel="0" collapsed="false">
      <c r="A31" s="0" t="s">
        <v>127</v>
      </c>
      <c r="B31" s="0" t="n">
        <f aca="false">L19</f>
        <v>3554.00483553383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72857.0991284435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71080.0967106766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71080.0967106766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34487.6313471012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54605.5007324177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49094.5007324177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272.036907698885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-0.1339162441933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553.232023848951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956.693427084674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280.403536229575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29142.8396513774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88.9209714395857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9.5</v>
      </c>
      <c r="D5" s="4" t="n">
        <f aca="false">Assumptions!D41</f>
        <v>8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6026</v>
      </c>
      <c r="C6" s="0" t="n">
        <f aca="false">B6*(1+C5/100)</f>
        <v>6598.47</v>
      </c>
      <c r="D6" s="0" t="n">
        <f aca="false">C6*(1+D5/100)</f>
        <v>7126.3476</v>
      </c>
      <c r="E6" s="0" t="n">
        <f aca="false">D6*(1+E5/100)</f>
        <v>7696.455408</v>
      </c>
      <c r="F6" s="0" t="n">
        <f aca="false">E6*(1+F5/100)</f>
        <v>8235.20728656</v>
      </c>
      <c r="G6" s="0" t="n">
        <f aca="false">F6*(1+G5/100)</f>
        <v>8770.4957601864</v>
      </c>
      <c r="H6" s="0" t="n">
        <f aca="false">G6*(1+H5/100)</f>
        <v>9296.72550579759</v>
      </c>
      <c r="I6" s="0" t="n">
        <f aca="false">H6*(1+I5/100)</f>
        <v>9761.56178108747</v>
      </c>
      <c r="J6" s="0" t="n">
        <f aca="false">I6*(1+J5/100)</f>
        <v>10200.8320612364</v>
      </c>
      <c r="K6" s="0" t="n">
        <f aca="false">J6*(1+K5/100)</f>
        <v>10608.8653436859</v>
      </c>
      <c r="L6" s="0" t="n">
        <f aca="false">K6*(1+L5/100)</f>
        <v>10980.1756307149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60.8</v>
      </c>
      <c r="D7" s="4" t="n">
        <f aca="false">Assumptions!D42</f>
        <v>61.8</v>
      </c>
      <c r="E7" s="4" t="n">
        <f aca="false">Assumptions!E42</f>
        <v>62.6</v>
      </c>
      <c r="F7" s="4" t="n">
        <f aca="false">Assumptions!F42</f>
        <v>63.2</v>
      </c>
      <c r="G7" s="4" t="n">
        <f aca="false">Assumptions!G42</f>
        <v>63.6</v>
      </c>
      <c r="H7" s="4" t="n">
        <f aca="false">Assumptions!H42</f>
        <v>64</v>
      </c>
      <c r="I7" s="4" t="n">
        <f aca="false">Assumptions!I42</f>
        <v>64</v>
      </c>
      <c r="J7" s="4" t="n">
        <f aca="false">Assumptions!J42</f>
        <v>64</v>
      </c>
      <c r="K7" s="4" t="n">
        <f aca="false">Assumptions!K42</f>
        <v>64</v>
      </c>
      <c r="L7" s="4" t="n">
        <f aca="false">Assumptions!L42</f>
        <v>64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4011.86976</v>
      </c>
      <c r="D8" s="0" t="n">
        <f aca="false">D6*D7/100</f>
        <v>4404.0828168</v>
      </c>
      <c r="E8" s="0" t="n">
        <f aca="false">E6*E7/100</f>
        <v>4817.981085408</v>
      </c>
      <c r="F8" s="0" t="n">
        <f aca="false">F6*F7/100</f>
        <v>5204.65100510592</v>
      </c>
      <c r="G8" s="0" t="n">
        <f aca="false">G6*G7/100</f>
        <v>5578.03530347855</v>
      </c>
      <c r="H8" s="0" t="n">
        <f aca="false">H6*H7/100</f>
        <v>5949.90432371046</v>
      </c>
      <c r="I8" s="0" t="n">
        <f aca="false">I6*I7/100</f>
        <v>6247.39953989598</v>
      </c>
      <c r="J8" s="0" t="n">
        <f aca="false">J6*J7/100</f>
        <v>6528.5325191913</v>
      </c>
      <c r="K8" s="0" t="n">
        <f aca="false">K6*K7/100</f>
        <v>6789.67381995895</v>
      </c>
      <c r="L8" s="0" t="n">
        <f aca="false">L6*L7/100</f>
        <v>7027.31240365751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1.1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-72.58317</v>
      </c>
      <c r="D10" s="0" t="n">
        <f aca="false">-D6*D9/100</f>
        <v>-71.263476</v>
      </c>
      <c r="E10" s="0" t="n">
        <f aca="false">-E6*E9/100</f>
        <v>-76.96455408</v>
      </c>
      <c r="F10" s="0" t="n">
        <f aca="false">-F6*F9/100</f>
        <v>-82.3520728656</v>
      </c>
      <c r="G10" s="0" t="n">
        <f aca="false">-G6*G9/100</f>
        <v>-87.704957601864</v>
      </c>
      <c r="H10" s="0" t="n">
        <f aca="false">-H6*H9/100</f>
        <v>-92.9672550579759</v>
      </c>
      <c r="I10" s="0" t="n">
        <f aca="false">-I6*I9/100</f>
        <v>-97.6156178108747</v>
      </c>
      <c r="J10" s="0" t="n">
        <f aca="false">-J6*J9/100</f>
        <v>-102.008320612364</v>
      </c>
      <c r="K10" s="0" t="n">
        <f aca="false">-K6*K9/100</f>
        <v>-106.088653436859</v>
      </c>
      <c r="L10" s="0" t="n">
        <f aca="false">-L6*L9/100</f>
        <v>-109.801756307149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3939.28659</v>
      </c>
      <c r="D11" s="0" t="n">
        <f aca="false">D8+D10+D24</f>
        <v>4332.8193408</v>
      </c>
      <c r="E11" s="0" t="n">
        <f aca="false">E8+E10+E24</f>
        <v>4741.016531328</v>
      </c>
      <c r="F11" s="0" t="n">
        <f aca="false">F8+F10+F24</f>
        <v>5122.29893224032</v>
      </c>
      <c r="G11" s="0" t="n">
        <f aca="false">G8+G10+G24</f>
        <v>5490.33034587669</v>
      </c>
      <c r="H11" s="0" t="n">
        <f aca="false">H8+H10+H24</f>
        <v>5856.93706865248</v>
      </c>
      <c r="I11" s="0" t="n">
        <f aca="false">I8+I10+I24</f>
        <v>6149.7839220851</v>
      </c>
      <c r="J11" s="0" t="n">
        <f aca="false">J8+J10+J24</f>
        <v>6426.52419857893</v>
      </c>
      <c r="K11" s="0" t="n">
        <f aca="false">K8+K10+K24</f>
        <v>6683.58516652209</v>
      </c>
      <c r="L11" s="0" t="n">
        <f aca="false">L8+L10+L24</f>
        <v>6917.51064735036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-527.8776</v>
      </c>
      <c r="D12" s="4" t="n">
        <f aca="false">-D6*Assumptions!D45/100</f>
        <v>-570.107808</v>
      </c>
      <c r="E12" s="4" t="n">
        <f aca="false">-E6*Assumptions!E45/100</f>
        <v>-600.323521824</v>
      </c>
      <c r="F12" s="4" t="n">
        <f aca="false">-F6*Assumptions!F45/100</f>
        <v>-625.87575377856</v>
      </c>
      <c r="G12" s="4" t="n">
        <f aca="false">-G6*Assumptions!G45/100</f>
        <v>-657.78718201398</v>
      </c>
      <c r="H12" s="4" t="n">
        <f aca="false">-H6*Assumptions!H45/100</f>
        <v>-687.957687429022</v>
      </c>
      <c r="I12" s="4" t="n">
        <f aca="false">-I6*Assumptions!I45/100</f>
        <v>-712.594010019385</v>
      </c>
      <c r="J12" s="4" t="n">
        <f aca="false">-J6*Assumptions!J45/100</f>
        <v>-734.459908409021</v>
      </c>
      <c r="K12" s="4" t="n">
        <f aca="false">-K6*Assumptions!K45/100</f>
        <v>-753.229439401696</v>
      </c>
      <c r="L12" s="4" t="n">
        <f aca="false">-L6*Assumptions!L45/100</f>
        <v>-768.61229415004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3411.40899</v>
      </c>
      <c r="D13" s="0" t="n">
        <f aca="false">D11+D12</f>
        <v>3762.7115328</v>
      </c>
      <c r="E13" s="0" t="n">
        <f aca="false">E11+E12</f>
        <v>4140.693009504</v>
      </c>
      <c r="F13" s="0" t="n">
        <f aca="false">F11+F12</f>
        <v>4496.42317846176</v>
      </c>
      <c r="G13" s="0" t="n">
        <f aca="false">G11+G12</f>
        <v>4832.54316386271</v>
      </c>
      <c r="H13" s="0" t="n">
        <f aca="false">H11+H12</f>
        <v>5168.97938122346</v>
      </c>
      <c r="I13" s="0" t="n">
        <f aca="false">I11+I12</f>
        <v>5437.18991206572</v>
      </c>
      <c r="J13" s="0" t="n">
        <f aca="false">J11+J12</f>
        <v>5692.06429016991</v>
      </c>
      <c r="K13" s="0" t="n">
        <f aca="false">K11+K12</f>
        <v>5930.3557271204</v>
      </c>
      <c r="L13" s="0" t="n">
        <f aca="false">L11+L12</f>
        <v>6148.89835320032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2387.986293</v>
      </c>
      <c r="D15" s="0" t="n">
        <f aca="false">D13-MAX(0,D13)*D14/100</f>
        <v>2633.89807296</v>
      </c>
      <c r="E15" s="0" t="n">
        <f aca="false">E13-MAX(0,E13)*E14/100</f>
        <v>2898.4851066528</v>
      </c>
      <c r="F15" s="0" t="n">
        <f aca="false">F13-MAX(0,F13)*F14/100</f>
        <v>3147.49622492323</v>
      </c>
      <c r="G15" s="0" t="n">
        <f aca="false">G13-MAX(0,G13)*G14/100</f>
        <v>3382.7802147039</v>
      </c>
      <c r="H15" s="0" t="n">
        <f aca="false">H13-MAX(0,H13)*H14/100</f>
        <v>3618.28556685642</v>
      </c>
      <c r="I15" s="0" t="n">
        <f aca="false">I13-MAX(0,I13)*I14/100</f>
        <v>3806.032938446</v>
      </c>
      <c r="J15" s="0" t="n">
        <f aca="false">J13-MAX(0,J13)*J14/100</f>
        <v>3984.44500311894</v>
      </c>
      <c r="K15" s="0" t="n">
        <f aca="false">K13-MAX(0,K13)*K14/100</f>
        <v>4151.24900898428</v>
      </c>
      <c r="L15" s="0" t="n">
        <f aca="false">L13-MAX(0,L13)*L14/100</f>
        <v>4304.22884724023</v>
      </c>
    </row>
    <row r="16" customFormat="false" ht="15" hidden="false" customHeight="false" outlineLevel="0" collapsed="false">
      <c r="A16" s="0" t="s">
        <v>118</v>
      </c>
      <c r="C16" s="0" t="n">
        <f aca="false">-C12</f>
        <v>527.8776</v>
      </c>
      <c r="D16" s="0" t="n">
        <f aca="false">-D12</f>
        <v>570.107808</v>
      </c>
      <c r="E16" s="0" t="n">
        <f aca="false">-E12</f>
        <v>600.323521824</v>
      </c>
      <c r="F16" s="0" t="n">
        <f aca="false">-F12</f>
        <v>625.87575377856</v>
      </c>
      <c r="G16" s="0" t="n">
        <f aca="false">-G12</f>
        <v>657.78718201398</v>
      </c>
      <c r="H16" s="0" t="n">
        <f aca="false">-H12</f>
        <v>687.957687429022</v>
      </c>
      <c r="I16" s="0" t="n">
        <f aca="false">-I12</f>
        <v>712.594010019385</v>
      </c>
      <c r="J16" s="0" t="n">
        <f aca="false">-J12</f>
        <v>734.459908409021</v>
      </c>
      <c r="K16" s="0" t="n">
        <f aca="false">-K12</f>
        <v>753.229439401696</v>
      </c>
      <c r="L16" s="0" t="n">
        <f aca="false">-L12</f>
        <v>768.61229415004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-514.68066</v>
      </c>
      <c r="D17" s="4" t="n">
        <f aca="false">-D6*Assumptions!D46/100</f>
        <v>-555.8551128</v>
      </c>
      <c r="E17" s="4" t="n">
        <f aca="false">-E6*Assumptions!E46/100</f>
        <v>-600.323521824</v>
      </c>
      <c r="F17" s="4" t="n">
        <f aca="false">-F6*Assumptions!F46/100</f>
        <v>-642.34616835168</v>
      </c>
      <c r="G17" s="4" t="n">
        <f aca="false">-G6*Assumptions!G46/100</f>
        <v>-684.098669294539</v>
      </c>
      <c r="H17" s="4" t="n">
        <f aca="false">-H6*Assumptions!H46/100</f>
        <v>-706.551138440617</v>
      </c>
      <c r="I17" s="4" t="n">
        <f aca="false">-I6*Assumptions!I46/100</f>
        <v>-741.878695362647</v>
      </c>
      <c r="J17" s="4" t="n">
        <f aca="false">-J6*Assumptions!J46/100</f>
        <v>-765.06240459273</v>
      </c>
      <c r="K17" s="4" t="n">
        <f aca="false">-K6*Assumptions!K46/100</f>
        <v>-795.66490077644</v>
      </c>
      <c r="L17" s="4" t="n">
        <f aca="false">-L6*Assumptions!L46/100</f>
        <v>-823.513172303615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2401.183233</v>
      </c>
      <c r="D19" s="0" t="n">
        <f aca="false">D15+D16+D17+D18</f>
        <v>2648.15076816</v>
      </c>
      <c r="E19" s="0" t="n">
        <f aca="false">E15+E16+E17+E18</f>
        <v>2898.4851066528</v>
      </c>
      <c r="F19" s="0" t="n">
        <f aca="false">F15+F16+F17+F18</f>
        <v>3131.02581035011</v>
      </c>
      <c r="G19" s="0" t="n">
        <f aca="false">G15+G16+G17+G18</f>
        <v>3356.46872742334</v>
      </c>
      <c r="H19" s="0" t="n">
        <f aca="false">H15+H16+H17+H18</f>
        <v>3599.69211584483</v>
      </c>
      <c r="I19" s="0" t="n">
        <f aca="false">I15+I16+I17+I18</f>
        <v>3776.74825310274</v>
      </c>
      <c r="J19" s="0" t="n">
        <f aca="false">J15+J16+J17+J18</f>
        <v>3953.84250693523</v>
      </c>
      <c r="K19" s="0" t="n">
        <f aca="false">K15+K16+K17+K18</f>
        <v>4108.81354760953</v>
      </c>
      <c r="L19" s="0" t="n">
        <f aca="false">L15+L16+L17+L18</f>
        <v>4249.32796908665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2233.65882139535</v>
      </c>
      <c r="D21" s="0" t="n">
        <f aca="false">D19*D20</f>
        <v>2291.53122177177</v>
      </c>
      <c r="E21" s="0" t="n">
        <f aca="false">E19*E20</f>
        <v>2333.16622216634</v>
      </c>
      <c r="F21" s="0" t="n">
        <f aca="false">F19*F20</f>
        <v>2344.51378553367</v>
      </c>
      <c r="G21" s="0" t="n">
        <f aca="false">G19*G20</f>
        <v>2337.97726629993</v>
      </c>
      <c r="H21" s="0" t="n">
        <f aca="false">H19*H20</f>
        <v>2332.46196939011</v>
      </c>
      <c r="I21" s="0" t="n">
        <f aca="false">I19*I20</f>
        <v>2276.4535190152</v>
      </c>
      <c r="J21" s="0" t="n">
        <f aca="false">J19*J20</f>
        <v>2216.92832412426</v>
      </c>
      <c r="K21" s="0" t="n">
        <f aca="false">K19*K20</f>
        <v>2143.08923975967</v>
      </c>
      <c r="L21" s="0" t="n">
        <f aca="false">L19*L20</f>
        <v>2061.74812996244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22571.5284994187</v>
      </c>
    </row>
    <row r="31" customFormat="false" ht="15" hidden="false" customHeight="false" outlineLevel="0" collapsed="false">
      <c r="A31" s="0" t="s">
        <v>127</v>
      </c>
      <c r="B31" s="0" t="n">
        <f aca="false">L19</f>
        <v>4249.32796908665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97262.3957368723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93485.2153199063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93485.2153199063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45358.4588591736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67929.9873585923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62418.9873585923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345.869049474108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0.101143105616391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598.779212902998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1219.40888536394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355.943788202246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36473.3984013271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107.755868121724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187.858030352162</v>
      </c>
      <c r="C4" s="0" t="n">
        <f aca="false">B4/Assumptions!$B$2-1</f>
        <v>-0.40191649044202</v>
      </c>
      <c r="D4" s="4" t="n">
        <f aca="false">Assumptions!$B$24</f>
        <v>0.25</v>
      </c>
      <c r="E4" s="4" t="n">
        <f aca="false">DCF_Bear!$B$43</f>
        <v>194.772776989828</v>
      </c>
      <c r="F4" s="4" t="n">
        <f aca="false">DCF_Bear!$B$47</f>
        <v>69.0286066669003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272.036907698885</v>
      </c>
      <c r="C5" s="0" t="n">
        <f aca="false">B5/Assumptions!$B$2-1</f>
        <v>-0.1339162441933</v>
      </c>
      <c r="D5" s="4" t="n">
        <f aca="false">Assumptions!$B$38</f>
        <v>0.5</v>
      </c>
      <c r="E5" s="4" t="n">
        <f aca="false">DCF_Base!$B$43</f>
        <v>280.403536229575</v>
      </c>
      <c r="F5" s="4" t="n">
        <f aca="false">DCF_Base!$B$47</f>
        <v>88.9209714395857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345.869049474108</v>
      </c>
      <c r="C6" s="0" t="n">
        <f aca="false">B6/Assumptions!$B$2-1</f>
        <v>0.101143105616391</v>
      </c>
      <c r="D6" s="4" t="n">
        <f aca="false">Assumptions!$B$52</f>
        <v>0.25</v>
      </c>
      <c r="E6" s="4" t="n">
        <f aca="false">DCF_Bull!$B$43</f>
        <v>355.943788202246</v>
      </c>
      <c r="F6" s="4" t="n">
        <f aca="false">DCF_Bull!$B$47</f>
        <v>107.755868121724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269.45022380601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277.880909412806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-0.165706955308138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529.610262752513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88.6566044169489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272.036907698885</v>
      </c>
      <c r="C15" s="3" t="n">
        <v>7.5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204.337739803071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172.182098300434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147.62914206922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128.275911335285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88.9209714395857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323.301616276313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323.301616276313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323.301616276313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323.301616276313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323.301616276313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296.433036635423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296.433036635423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296.433036635423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296.433036635423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296.433036635423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242.575816293048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258.138800696622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272.036907698885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272.036907698885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272.036907698885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201.954906900823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212.339846143984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224.455608594338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238.774236944756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249.859626635403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171.567652273637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178.818765344655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187.105751711533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196.66765905793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207.823217628727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2026-10-24T18:21:12Z</dcterms:created>
  <dc:creator>openpyxl</dc:creator>
  <dc:description/>
  <dc:language>en-NZ</dc:language>
  <cp:lastModifiedBy/>
  <dcterms:modified xsi:type="dcterms:W3CDTF">2026-10-24T18:21:12Z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