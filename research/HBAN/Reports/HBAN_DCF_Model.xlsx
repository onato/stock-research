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<sst xmlns="http://schemas.openxmlformats.org/spreadsheetml/2006/main" count="387" uniqueCount="175">
  <si>
    <t xml:space="preserve">Ticker</t>
  </si>
  <si>
    <t xml:space="preserve">HBAN</t>
  </si>
  <si>
    <t xml:space="preserve">Company</t>
  </si>
  <si>
    <t xml:space="preserve">Huntington Bancshares Incorporated</t>
  </si>
  <si>
    <t xml:space="preserve">Valuation date</t>
  </si>
  <si>
    <t xml:space="preserve">2026-09-29</t>
  </si>
  <si>
    <t xml:space="preserve">Current price</t>
  </si>
  <si>
    <t xml:space="preserve">Price as of</t>
  </si>
  <si>
    <t xml:space="preserve">2026-09-28T20:00:01Z NASDAQ regular close</t>
  </si>
  <si>
    <t xml:space="preserve">Balance sheet date</t>
  </si>
  <si>
    <t xml:space="preserve">2026-06-30</t>
  </si>
  <si>
    <t xml:space="preserve">Model</t>
  </si>
  <si>
    <t xml:space="preserve">Bank FCFE capitalisation at cost of equity (engine route; GAAP earnings after regulatory capital retention, preferred stock deducted in the equity bridge, net debt zero)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</si>
  <si>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</si>
  <si>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</si>
  <si>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</si>
  <si>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</si>
  <si>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</si>
  <si>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</si>
  <si>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</si>
  <si>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</si>
  <si>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2026-09-28T21:13:19Z</t>
  </si>
  <si>
    <t xml:space="preserve">Drivers file</t>
  </si>
  <si>
    <t xml:space="preserve">HBAN_Drivers.json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</si>
  <si>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</si>
  <si>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</si>
  <si>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</si>
  <si>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regional bank is valued on what it can distribute after funding its regulatory capital, discounted at a USD cost of equity - never on statutory operating cash flow (which is loan and deposit movement) and never with deposits or wholesale funding treated as net debt. GAAP net income is the flow; capital retention at NPAT x g/ROTE is the reinvestment; preferred stock is deducted at book so the common claim is valued; 10.5% is the return an owner requires from a NIM-geared US super-regional after March 2023. The result is the residual-income answer in FCFE form: at a ~17.8% GAAP return on tangible common equity and 2.5% growth the franchise is worth ~1.9x tangible book, so the ~1.6x the market pays after the September 2026 guidance cut embeds either a ROTCE in the low-to-mid 15s or a cost of equity above 12%.
key_risks_to_valuation: Net interest margin: 5bp on ~$255bn of average earning assets is ~$130m of NII (~1.1% of revenue, ~3.5% of NPAT); the September 2026 cut was a ~5-8bp NIM revision and further Fed hikes push deposit betas the same way; Credit cycle: every 10bp on the provision rate over ~$195bn of loans is ~$195m pre-tax (~5% of NPAT); the acquired Texas/Southeast commercial and CRE books are less seasoned than the Midwest core; Integration: the base assumes the guided low-54% adjusted efficiency ratio lands by Q4 2026; every 1pp of efficiency is ~$115m pre-tax (~2.6% of NPAT); Share count: the ~10m Q3 2026 repurchase estimate and the ~26m dilutive-award count are approximations until the Q3 10-Q cover prints; each 20m shares is ~1% of value per share; Capital: CET1 10.0% and TCE 7.1% leave little room; a Basel III endgame re-proposal, a Category III designation as assets approach $300bn, or a credit cycle could force retention above the modelled g/ROTE; Preferred stock is deducted at $2,881m liquidation value; if any series is redeemed at par with common-funded capital the value transfer is neutral, but a higher-coupon replacement would raise the ~$164m/yr leakage</t>
  </si>
  <si>
    <t xml:space="preserve">Data sources</t>
  </si>
  <si>
    <t xml:space="preserve">price: Yahoo Finance chart API at inputs.price_as_of (NASDAQ regular close); 52-week range 14.89-19.46.
financials: SEC XBRL companyfacts (CIK 0000049196) for FY2015-FY2025 annual NII, noninterest income, net income, diluted EPS, equity, goodwill, intangibles, preferred stock, dividends and share counts; Q2 2026 10-Q inline XBRL (accession 0000049196-26-000066, filed 2026-07-28) read directly for the 30 Jun 2026 balance sheet, Q2/H1 2026 income statement, share-based compensation, repurchases, diluted shares and cover-page share count; HBAN_Metrics.csv / HBAN.duckdb (97 periods) for the reported history and kpis (buybacks, cash taxes). The CSV Revenue column is the ASC-606 fee subset and was not used.
qualitative: HBAN_Analysis.json (2026-09-29): Cadence (Feb 2026) and Veritex acquisitions, Q2 2026 results (TBVPS, CET1, TCE, adjusted EPS), September 2026 Barclays-conference guidance cut (FY2027 EPS $1.75-1.83 from &gt;$1.90; FY2026 NII growth ~35% from 39-43%), FY2027 ROTCE 18-19% and Q4 2026 efficiency targets, competitive position, CRE and rate risks, bull/bear cases.</t>
  </si>
  <si>
    <t xml:space="preserve">Scenario narrative: bear</t>
  </si>
  <si>
    <t xml:space="preserve">The September cut is the first of several. Deposit costs keep rising under a hiking Fed, NIM compresses toward 3.05%, loan growth stalls at 1-2% as pricing tightens, and a mid-sized credit cycle (office CRE, the freshly acquired and less-seasoned Texas/Southeast commercial book, vehicle finance) pushes provisions to ~60bp in FY2028. Synergies are partly eaten by remediation and compliance spend, efficiency stays near 58%, ROTCE settles at ~12% (barely above the cost of equity) and the buyback is halted to rebuild a 10.0% CET1 with a 7.1% TCE ratio. EPS falls to ~$1.30 before recovering slowly.</t>
  </si>
  <si>
    <t xml:space="preserve">Scenario narrative: base</t>
  </si>
  <si>
    <t xml:space="preserve">Huntington digests Cadence and Veritex, lands the guided cost synergies (adjusted efficiency in the low-54s by Q4 2026), and compounds revenue at 4-5% fading to 2.5% as Texas and Southeast commercial banking grow faster than the mature Midwest core. Provisions normalise to ~33bp mid-cycle. GAAP EPS reaches ~$1.71 in FY2027 (the bottom of the cut $1.75-1.83 guidance, ex-notables) and ~$2.20 by FY2031; 72-85% of earnings are distributed. At a 10.5% cost of equity and a ~17.8% return on tangible common equity the franchise is worth ~1.9x tangible book against the ~1.6x the market pays after the September sell-off.</t>
  </si>
  <si>
    <t xml:space="preserve">Scenario narrative: bull</t>
  </si>
  <si>
    <t xml:space="preserve">Integration runs ahead of plan, positive operating leverage takes efficiency to ~52.5%, the Fed pauses after one hike so NIM holds ~3.30%, and the Texas/Southeast franchises grow loans 7-8% with credit benign. FY2027 EPS hits the top of guidance and FY2028 clears $2.00; ROTCE ~19-20% matches management's target and repurchases scale up. The market's 8.9x forward multiple re-rates toward the 11-12x regional-bank norm.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</si>
  <si>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</si>
  <si>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</si>
  <si>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</si>
  <si>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</si>
  <si>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</si>
  <si>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</si>
  <si>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</si>
  <si>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</si>
  <si>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</si>
  <si>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</si>
  <si>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</si>
  <si>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</si>
  <si>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</si>
  <si>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</si>
  <si>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</si>
  <si>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</si>
  <si>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</si>
  <si>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</si>
  <si>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</si>
  <si>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</si>
  <si>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</si>
  <si>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</si>
  <si>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</si>
  <si>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</si>
  <si>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</si>
  <si>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</si>
  <si>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</si>
  <si>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</si>
  <si>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</si>
  <si>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</si>
  <si>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</si>
  <si>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</si>
  <si>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</si>
  <si>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</si>
  <si>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</si>
  <si>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</si>
  <si>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</si>
  <si>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</si>
  <si>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</si>
  <si>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</si>
  <si>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</si>
  <si>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</si>
  <si>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</si>
  <si>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</si>
  <si>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</si>
  <si>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</si>
  <si>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</si>
  <si>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</si>
  <si>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</si>
  <si>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</si>
  <si>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</si>
  <si>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</si>
  <si>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</si>
  <si>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</si>
  <si>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</si>
  <si>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FY2026E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</si>
  <si>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</si>
  <si>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</si>
  <si>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</si>
  <si>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</si>
  <si>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</si>
  <si>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</si>
  <si>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</si>
  <si>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</si>
  <si>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</si>
  <si>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</si>
  <si>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</si>
  <si>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</si>
  <si>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</si>
  <si>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</si>
  <si>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</si>
  <si>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</si>
  <si>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</si>
  <si>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</si>
  <si>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</si>
  <si>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</si>
  <si>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</si>
  <si>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</si>
  <si>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</si>
  <si>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</si>
  <si>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</si>
  <si>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</si>
  <si>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</si>
  <si>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</si>
  <si>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HBAN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</si>
  <si>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</si>
  <si>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</si>
  <si>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</si>
  <si>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</si>
  <si>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</si>
  <si>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</si>
  <si>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</si>
  <si>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</si>
  <si>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</si>
  <si>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</si>
  <si>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</si>
  <si>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</si>
  <si>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</si>
  <si>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</si>
  <si>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</si>
  <si>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</si>
  <si>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</si>
  <si>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</si>
  <si>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</si>
  <si>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</si>
  <si>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</si>
  <si>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</si>
  <si>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</si>
  <si>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</si>
  <si>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</si>
  <si>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</si>
  <si>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</si>
  <si>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</si>
  <si>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</si>
  <si>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</si>
  <si>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HBAN owner-FCF component DCF: base case (millions, USD)</t>
  </si>
  <si>
    <t xml:space="preserve">HBAN owner-FCF component DCF: bull case (millions, USD)</t>
  </si>
  <si>
    <t xml:space="preserve">HBAN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</si>
  <si>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</si>
  <si>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</si>
  <si>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</si>
  <si>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</si>
  <si>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</si>
  <si>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</si>
  <si>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</si>
  <si>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</si>
  <si>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</si>
  <si>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</si>
  <si>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</si>
  <si>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</si>
  <si>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</si>
  <si>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</si>
  <si>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</si>
  <si>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</si>
  <si>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10.5%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</si>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</sst>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15.3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5951.09</v>
      </c>
      <c r="S2" s="0" t="n">
        <v>2009.246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I3" s="0" t="n">
        <v>-113.806</v>
      </c>
      <c r="K3" s="0" t="n">
        <v>-0.44</v>
      </c>
      <c r="L3" s="0" t="n">
        <v>1237.329</v>
      </c>
      <c r="M3" s="0" t="n">
        <v>59.945</v>
      </c>
      <c r="N3" s="0" t="n">
        <v>1177.384</v>
      </c>
      <c r="O3" s="0" t="n">
        <v>7228.906</v>
      </c>
      <c r="S3" s="0" t="n">
        <v>844.668</v>
      </c>
      <c r="T3" s="0" t="n">
        <v>366.155</v>
      </c>
      <c r="V3" s="0" t="n">
        <v>0.6625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I4" s="0" t="n">
        <v>-3094.179</v>
      </c>
      <c r="K4" s="0" t="n">
        <v>-6.14</v>
      </c>
      <c r="L4" s="0" t="n">
        <v>1966.262</v>
      </c>
      <c r="M4" s="0" t="n">
        <v>49.223</v>
      </c>
      <c r="N4" s="0" t="n">
        <v>1917.039</v>
      </c>
      <c r="O4" s="0" t="n">
        <v>5336.002</v>
      </c>
      <c r="P4" s="0" t="n">
        <v>51554.665</v>
      </c>
      <c r="Q4" s="0" t="n">
        <v>46218.663</v>
      </c>
      <c r="S4" s="0" t="n">
        <v>1521.344</v>
      </c>
      <c r="T4" s="0" t="n">
        <v>715.761672</v>
      </c>
      <c r="U4" s="0" t="n">
        <v>8.492</v>
      </c>
      <c r="V4" s="0" t="n">
        <v>0.04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I5" s="0" t="n">
        <v>312.347</v>
      </c>
      <c r="K5" s="0" t="n">
        <v>0.19</v>
      </c>
      <c r="L5" s="0" t="n">
        <v>840.823</v>
      </c>
      <c r="M5" s="0" t="n">
        <v>68.2</v>
      </c>
      <c r="N5" s="0" t="n">
        <v>772.623</v>
      </c>
      <c r="O5" s="0" t="n">
        <v>5416.121</v>
      </c>
      <c r="P5" s="0" t="n">
        <v>53819.642</v>
      </c>
      <c r="Q5" s="0" t="n">
        <v>48839.1</v>
      </c>
      <c r="S5" s="0" t="n">
        <v>1115.968</v>
      </c>
      <c r="T5" s="0" t="n">
        <v>863.319435</v>
      </c>
      <c r="U5" s="0" t="n">
        <v>15.453</v>
      </c>
      <c r="V5" s="0" t="n">
        <v>0.04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I6" s="0" t="n">
        <v>542.613</v>
      </c>
      <c r="K6" s="0" t="n">
        <v>0.59</v>
      </c>
      <c r="L6" s="0" t="n">
        <v>1594.787</v>
      </c>
      <c r="M6" s="0" t="n">
        <v>143.763</v>
      </c>
      <c r="N6" s="0" t="n">
        <v>1451.024</v>
      </c>
      <c r="O6" s="0" t="n">
        <v>5778.5</v>
      </c>
      <c r="P6" s="0" t="n">
        <v>54450.652</v>
      </c>
      <c r="Q6" s="0" t="n">
        <v>49032.552</v>
      </c>
      <c r="S6" s="0" t="n">
        <v>1262.806</v>
      </c>
      <c r="T6" s="0" t="n">
        <v>867.624</v>
      </c>
      <c r="U6" s="0" t="n">
        <v>19.666</v>
      </c>
      <c r="V6" s="0" t="n">
        <v>0.1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I7" s="0" t="n">
        <v>631.29</v>
      </c>
      <c r="K7" s="0" t="n">
        <v>0.7</v>
      </c>
      <c r="L7" s="0" t="n">
        <v>1002.13</v>
      </c>
      <c r="M7" s="0" t="n">
        <v>129.641</v>
      </c>
      <c r="N7" s="0" t="n">
        <v>872.489</v>
      </c>
      <c r="O7" s="0" t="n">
        <v>5778.5</v>
      </c>
      <c r="P7" s="0" t="n">
        <v>56153.185</v>
      </c>
      <c r="Q7" s="0" t="n">
        <v>50362.974</v>
      </c>
      <c r="S7" s="0" t="n">
        <v>1262.806</v>
      </c>
      <c r="T7" s="0" t="n">
        <v>863.402</v>
      </c>
      <c r="U7" s="0" t="n">
        <v>27.873</v>
      </c>
      <c r="V7" s="0" t="n">
        <v>0.16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I8" s="0" t="n">
        <v>641.282</v>
      </c>
      <c r="K8" s="0" t="n">
        <v>0.73</v>
      </c>
      <c r="L8" s="0" t="n">
        <v>1013.245</v>
      </c>
      <c r="M8" s="0" t="n">
        <v>102.208</v>
      </c>
      <c r="N8" s="0" t="n">
        <v>911.037</v>
      </c>
      <c r="O8" s="0" t="n">
        <v>6090.153</v>
      </c>
      <c r="P8" s="0" t="n">
        <v>59467.174</v>
      </c>
      <c r="Q8" s="0" t="n">
        <v>53377.021</v>
      </c>
      <c r="R8" s="0" t="n">
        <v>2458.272</v>
      </c>
      <c r="S8" s="0" t="n">
        <v>1001.132</v>
      </c>
      <c r="T8" s="0" t="n">
        <v>843.974</v>
      </c>
      <c r="U8" s="0" t="n">
        <v>37.007</v>
      </c>
      <c r="V8" s="0" t="n">
        <v>0.19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I9" s="0" t="n">
        <v>632.392</v>
      </c>
      <c r="K9" s="0" t="n">
        <v>0.73</v>
      </c>
      <c r="L9" s="0" t="n">
        <v>888.786</v>
      </c>
      <c r="M9" s="0" t="n">
        <v>58.862</v>
      </c>
      <c r="N9" s="0" t="n">
        <v>829.924</v>
      </c>
      <c r="O9" s="0" t="n">
        <v>6328</v>
      </c>
      <c r="P9" s="0" t="n">
        <v>66298.01</v>
      </c>
      <c r="Q9" s="0" t="n">
        <v>59969.84</v>
      </c>
      <c r="R9" s="0" t="n">
        <v>4335.962</v>
      </c>
      <c r="S9" s="0" t="n">
        <v>1221</v>
      </c>
      <c r="T9" s="0" t="n">
        <v>833.081</v>
      </c>
      <c r="U9" s="0" t="n">
        <v>43.666</v>
      </c>
      <c r="V9" s="0" t="n">
        <v>0.21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I10" s="0" t="n">
        <v>693</v>
      </c>
      <c r="K10" s="0" t="n">
        <v>0.82</v>
      </c>
      <c r="L10" s="0" t="n">
        <v>1033</v>
      </c>
      <c r="M10" s="0" t="n">
        <v>93</v>
      </c>
      <c r="N10" s="0" t="n">
        <v>940</v>
      </c>
      <c r="O10" s="0" t="n">
        <v>6595</v>
      </c>
      <c r="P10" s="0" t="n">
        <v>71018.301</v>
      </c>
      <c r="Q10" s="0" t="n">
        <v>64423.695</v>
      </c>
      <c r="R10" s="0" t="n">
        <v>7041.364</v>
      </c>
      <c r="S10" s="0" t="n">
        <v>847</v>
      </c>
      <c r="T10" s="0" t="n">
        <v>817.129</v>
      </c>
      <c r="U10" s="0" t="n">
        <v>51</v>
      </c>
      <c r="V10" s="0" t="n">
        <v>0.25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I11" s="0" t="n">
        <v>712</v>
      </c>
      <c r="K11" s="0" t="n">
        <v>0.72</v>
      </c>
      <c r="L11" s="0" t="n">
        <v>1215</v>
      </c>
      <c r="M11" s="0" t="n">
        <v>120</v>
      </c>
      <c r="N11" s="0" t="n">
        <v>1095</v>
      </c>
      <c r="O11" s="0" t="n">
        <v>10308</v>
      </c>
      <c r="P11" s="0" t="n">
        <v>99714</v>
      </c>
      <c r="Q11" s="0" t="n">
        <v>89406</v>
      </c>
      <c r="R11" s="0" t="n">
        <v>8309</v>
      </c>
      <c r="S11" s="0" t="n">
        <v>1385</v>
      </c>
      <c r="T11" s="0" t="n">
        <v>1085.688538</v>
      </c>
      <c r="U11" s="0" t="n">
        <v>66</v>
      </c>
      <c r="V11" s="0" t="n">
        <v>0.29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I12" s="0" t="n">
        <v>1186</v>
      </c>
      <c r="K12" s="0" t="n">
        <v>1.02</v>
      </c>
      <c r="L12" s="0" t="n">
        <v>1954</v>
      </c>
      <c r="M12" s="0" t="n">
        <v>194</v>
      </c>
      <c r="N12" s="0" t="n">
        <v>1760</v>
      </c>
      <c r="O12" s="0" t="n">
        <v>10814</v>
      </c>
      <c r="P12" s="0" t="n">
        <v>104185</v>
      </c>
      <c r="Q12" s="0" t="n">
        <v>93371</v>
      </c>
      <c r="R12" s="0" t="n">
        <v>9206</v>
      </c>
      <c r="S12" s="0" t="n">
        <v>1520</v>
      </c>
      <c r="T12" s="0" t="n">
        <v>1136.186</v>
      </c>
      <c r="U12" s="0" t="n">
        <v>92</v>
      </c>
      <c r="V12" s="0" t="n">
        <v>0.35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881</v>
      </c>
      <c r="I13" s="0" t="n">
        <v>1393</v>
      </c>
      <c r="J13" s="0" t="n">
        <v>158.115777525539</v>
      </c>
      <c r="K13" s="0" t="n">
        <v>1.22</v>
      </c>
      <c r="L13" s="0" t="n">
        <v>1726</v>
      </c>
      <c r="M13" s="0" t="n">
        <v>110</v>
      </c>
      <c r="N13" s="0" t="n">
        <v>1616</v>
      </c>
      <c r="O13" s="0" t="n">
        <v>11102</v>
      </c>
      <c r="P13" s="0" t="n">
        <v>108781</v>
      </c>
      <c r="Q13" s="0" t="n">
        <v>97679</v>
      </c>
      <c r="R13" s="0" t="n">
        <v>8625</v>
      </c>
      <c r="S13" s="0" t="n">
        <v>2672</v>
      </c>
      <c r="T13" s="0" t="n">
        <v>1105.985</v>
      </c>
      <c r="U13" s="0" t="n">
        <v>78</v>
      </c>
      <c r="V13" s="0" t="n">
        <v>0.5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939</v>
      </c>
      <c r="I14" s="0" t="n">
        <v>1411</v>
      </c>
      <c r="J14" s="0" t="n">
        <v>150.266240681576</v>
      </c>
      <c r="K14" s="0" t="n">
        <v>1.29</v>
      </c>
      <c r="L14" s="0" t="n">
        <v>1574</v>
      </c>
      <c r="M14" s="0" t="n">
        <v>107</v>
      </c>
      <c r="N14" s="0" t="n">
        <v>1467</v>
      </c>
      <c r="O14" s="0" t="n">
        <v>11795</v>
      </c>
      <c r="P14" s="0" t="n">
        <v>109002</v>
      </c>
      <c r="Q14" s="0" t="n">
        <v>97207</v>
      </c>
      <c r="R14" s="0" t="n">
        <v>9849</v>
      </c>
      <c r="T14" s="0" t="n">
        <v>1056.079</v>
      </c>
      <c r="U14" s="0" t="n">
        <v>83</v>
      </c>
      <c r="V14" s="0" t="n">
        <v>0.58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884</v>
      </c>
      <c r="I15" s="0" t="n">
        <v>817</v>
      </c>
      <c r="J15" s="0" t="n">
        <v>92.420814479638</v>
      </c>
      <c r="K15" s="0" t="n">
        <v>0.71</v>
      </c>
      <c r="L15" s="0" t="n">
        <v>1323</v>
      </c>
      <c r="M15" s="0" t="n">
        <v>119</v>
      </c>
      <c r="N15" s="0" t="n">
        <v>1204</v>
      </c>
      <c r="O15" s="0" t="n">
        <v>12993</v>
      </c>
      <c r="P15" s="0" t="n">
        <v>123038</v>
      </c>
      <c r="Q15" s="0" t="n">
        <v>110045</v>
      </c>
      <c r="R15" s="0" t="n">
        <v>8352</v>
      </c>
      <c r="T15" s="0" t="n">
        <v>1032.683</v>
      </c>
      <c r="U15" s="0" t="n">
        <v>77</v>
      </c>
      <c r="V15" s="0" t="n">
        <v>0.6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1113</v>
      </c>
      <c r="I16" s="0" t="n">
        <v>1297</v>
      </c>
      <c r="J16" s="0" t="n">
        <v>116.531895777179</v>
      </c>
      <c r="K16" s="0" t="n">
        <v>0.91</v>
      </c>
      <c r="L16" s="0" t="n">
        <v>2062</v>
      </c>
      <c r="M16" s="0" t="n">
        <v>247</v>
      </c>
      <c r="N16" s="0" t="n">
        <v>1815</v>
      </c>
      <c r="O16" s="0" t="n">
        <v>19318</v>
      </c>
      <c r="P16" s="0" t="n">
        <v>174064</v>
      </c>
      <c r="Q16" s="0" t="n">
        <v>154746</v>
      </c>
      <c r="R16" s="0" t="n">
        <v>7108</v>
      </c>
      <c r="T16" s="0" t="n">
        <v>1437.742172</v>
      </c>
      <c r="U16" s="0" t="n">
        <v>138</v>
      </c>
      <c r="V16" s="0" t="n">
        <v>0.605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1318</v>
      </c>
      <c r="I17" s="0" t="n">
        <v>2249</v>
      </c>
      <c r="J17" s="0" t="n">
        <v>170.637329286798</v>
      </c>
      <c r="K17" s="0" t="n">
        <v>1.47</v>
      </c>
      <c r="L17" s="0" t="n">
        <v>4027</v>
      </c>
      <c r="M17" s="0" t="n">
        <v>214</v>
      </c>
      <c r="N17" s="0" t="n">
        <v>3813</v>
      </c>
      <c r="O17" s="0" t="n">
        <v>17769</v>
      </c>
      <c r="P17" s="0" t="n">
        <v>182906</v>
      </c>
      <c r="Q17" s="0" t="n">
        <v>165137</v>
      </c>
      <c r="R17" s="0" t="n">
        <v>9686</v>
      </c>
      <c r="T17" s="0" t="n">
        <v>1465.22</v>
      </c>
      <c r="U17" s="0" t="n">
        <v>119</v>
      </c>
      <c r="V17" s="0" t="n">
        <v>0.62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1400</v>
      </c>
      <c r="I18" s="0" t="n">
        <v>1971</v>
      </c>
      <c r="J18" s="0" t="n">
        <v>140.785714285714</v>
      </c>
      <c r="K18" s="0" t="n">
        <v>1.26</v>
      </c>
      <c r="L18" s="0" t="n">
        <v>2657</v>
      </c>
      <c r="M18" s="0" t="n">
        <v>140</v>
      </c>
      <c r="N18" s="0" t="n">
        <v>2517</v>
      </c>
      <c r="O18" s="0" t="n">
        <v>19398</v>
      </c>
      <c r="P18" s="0" t="n">
        <v>189368</v>
      </c>
      <c r="Q18" s="0" t="n">
        <v>169970</v>
      </c>
      <c r="R18" s="0" t="n">
        <v>12394</v>
      </c>
      <c r="T18" s="0" t="n">
        <v>1468.016</v>
      </c>
      <c r="U18" s="0" t="n">
        <v>114</v>
      </c>
      <c r="V18" s="0" t="n">
        <v>0.62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1468</v>
      </c>
      <c r="I19" s="0" t="n">
        <v>1960</v>
      </c>
      <c r="J19" s="0" t="n">
        <v>133.514986376022</v>
      </c>
      <c r="K19" s="0" t="n">
        <v>1.24</v>
      </c>
      <c r="L19" s="0" t="n">
        <v>1836</v>
      </c>
      <c r="M19" s="0" t="n">
        <v>143</v>
      </c>
      <c r="N19" s="0" t="n">
        <v>1693</v>
      </c>
      <c r="O19" s="0" t="n">
        <v>19782</v>
      </c>
      <c r="P19" s="0" t="n">
        <v>204230</v>
      </c>
      <c r="Q19" s="0" t="n">
        <v>184448</v>
      </c>
      <c r="R19" s="0" t="n">
        <v>16374</v>
      </c>
      <c r="T19" s="0" t="n">
        <v>1476.442</v>
      </c>
      <c r="U19" s="0" t="n">
        <v>133</v>
      </c>
      <c r="V19" s="0" t="n">
        <v>0.62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1562</v>
      </c>
      <c r="I20" s="0" t="n">
        <v>2229</v>
      </c>
      <c r="J20" s="0" t="n">
        <v>142.701664532651</v>
      </c>
      <c r="K20" s="0" t="n">
        <v>1.41</v>
      </c>
      <c r="L20" s="0" t="n">
        <v>2482</v>
      </c>
      <c r="M20" s="0" t="n">
        <v>267</v>
      </c>
      <c r="N20" s="0" t="n">
        <v>2215</v>
      </c>
      <c r="O20" s="0" t="n">
        <v>24379</v>
      </c>
      <c r="P20" s="0" t="n">
        <v>225106</v>
      </c>
      <c r="Q20" s="0" t="n">
        <v>200727</v>
      </c>
      <c r="R20" s="0" t="n">
        <v>17221</v>
      </c>
      <c r="T20" s="0" t="n">
        <v>1567.732506</v>
      </c>
      <c r="U20" s="0" t="n">
        <v>130</v>
      </c>
      <c r="V20" s="0" t="n">
        <v>0.62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15.3</v>
      </c>
    </row>
    <row r="3" customFormat="false" ht="15" hidden="false" customHeight="false" outlineLevel="0" collapsed="false">
      <c r="A3" s="0" t="s">
        <v>85</v>
      </c>
      <c r="B3" s="3" t="n">
        <v>2036</v>
      </c>
    </row>
    <row r="4" customFormat="false" ht="15" hidden="false" customHeight="false" outlineLevel="0" collapsed="false">
      <c r="A4" s="0" t="s">
        <v>86</v>
      </c>
      <c r="B4" s="3" t="n">
        <v>0</v>
      </c>
    </row>
    <row r="5" customFormat="false" ht="15" hidden="false" customHeight="false" outlineLevel="0" collapsed="false">
      <c r="A5" s="0" t="s">
        <v>87</v>
      </c>
      <c r="B5" s="3" t="n">
        <v>-2881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11000</v>
      </c>
    </row>
    <row r="8" customFormat="false" ht="15" hidden="false" customHeight="false" outlineLevel="0" collapsed="false">
      <c r="A8" s="0" t="s">
        <v>90</v>
      </c>
      <c r="B8" s="3" t="s">
        <v>91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1</v>
      </c>
      <c r="D13" s="3" t="n">
        <v>0.5</v>
      </c>
      <c r="E13" s="3" t="n">
        <v>2</v>
      </c>
      <c r="F13" s="3" t="n">
        <v>2.5</v>
      </c>
      <c r="G13" s="3" t="n">
        <v>2.5</v>
      </c>
      <c r="H13" s="3" t="n">
        <v>2.5</v>
      </c>
      <c r="I13" s="3" t="n">
        <v>2.5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107</v>
      </c>
      <c r="C14" s="3" t="n">
        <v>35</v>
      </c>
      <c r="D14" s="3" t="n">
        <v>32.5</v>
      </c>
      <c r="E14" s="3" t="n">
        <v>34.5</v>
      </c>
      <c r="F14" s="3" t="n">
        <v>35.7</v>
      </c>
      <c r="G14" s="3" t="n">
        <v>35.7</v>
      </c>
      <c r="H14" s="3" t="n">
        <v>35.7</v>
      </c>
      <c r="I14" s="3" t="n">
        <v>35.7</v>
      </c>
      <c r="J14" s="3" t="n">
        <v>35.7</v>
      </c>
      <c r="K14" s="3" t="n">
        <v>35.7</v>
      </c>
      <c r="L14" s="3" t="n">
        <v>35.7</v>
      </c>
    </row>
    <row r="15" customFormat="false" ht="15" hidden="false" customHeight="false" outlineLevel="0" collapsed="false">
      <c r="A15" s="0" t="s">
        <v>108</v>
      </c>
      <c r="C15" s="3" t="n">
        <v>1.7</v>
      </c>
      <c r="D15" s="3" t="n">
        <v>1.7</v>
      </c>
      <c r="E15" s="3" t="n">
        <v>1.7</v>
      </c>
      <c r="F15" s="3" t="n">
        <v>1.7</v>
      </c>
      <c r="G15" s="3" t="n">
        <v>1.7</v>
      </c>
      <c r="H15" s="3" t="n">
        <v>1.7</v>
      </c>
      <c r="I15" s="3" t="n">
        <v>1.7</v>
      </c>
      <c r="J15" s="3" t="n">
        <v>1.7</v>
      </c>
      <c r="K15" s="3" t="n">
        <v>1.7</v>
      </c>
      <c r="L15" s="3" t="n">
        <v>1.7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111</v>
      </c>
      <c r="C18" s="3" t="n">
        <v>5.5</v>
      </c>
      <c r="D18" s="3" t="n">
        <v>5.5</v>
      </c>
      <c r="E18" s="3" t="n">
        <v>5.5</v>
      </c>
      <c r="F18" s="3" t="n">
        <v>5.8</v>
      </c>
      <c r="G18" s="3" t="n">
        <v>5.8</v>
      </c>
      <c r="H18" s="3" t="n">
        <v>5.8</v>
      </c>
      <c r="I18" s="3" t="n">
        <v>5.8</v>
      </c>
      <c r="J18" s="3" t="n">
        <v>4.6</v>
      </c>
      <c r="K18" s="3" t="n">
        <v>4.6</v>
      </c>
      <c r="L18" s="3" t="n">
        <v>4.6</v>
      </c>
    </row>
    <row r="19" customFormat="false" ht="15" hidden="false" customHeight="false" outlineLevel="0" collapsed="false">
      <c r="A19" s="0" t="s">
        <v>112</v>
      </c>
      <c r="C19" s="3" t="n">
        <v>18</v>
      </c>
      <c r="D19" s="3" t="n">
        <v>18</v>
      </c>
      <c r="E19" s="3" t="n">
        <v>18</v>
      </c>
      <c r="F19" s="3" t="n">
        <v>18</v>
      </c>
      <c r="G19" s="3" t="n">
        <v>18</v>
      </c>
      <c r="H19" s="3" t="n">
        <v>18</v>
      </c>
      <c r="I19" s="3" t="n">
        <v>18</v>
      </c>
      <c r="J19" s="3" t="n">
        <v>18</v>
      </c>
      <c r="K19" s="3" t="n">
        <v>18</v>
      </c>
      <c r="L19" s="3" t="n">
        <v>18</v>
      </c>
    </row>
    <row r="20" customFormat="false" ht="15" hidden="false" customHeight="false" outlineLevel="0" collapsed="false">
      <c r="A20" s="0" t="s">
        <v>113</v>
      </c>
      <c r="B20" s="3" t="n">
        <v>10.5</v>
      </c>
    </row>
    <row r="21" customFormat="false" ht="15" hidden="false" customHeight="false" outlineLevel="0" collapsed="false">
      <c r="A21" s="0" t="s">
        <v>114</v>
      </c>
      <c r="B21" s="3" t="n">
        <v>2</v>
      </c>
    </row>
    <row r="22" customFormat="false" ht="15" hidden="false" customHeight="false" outlineLevel="0" collapsed="false">
      <c r="A22" s="0" t="s">
        <v>115</v>
      </c>
      <c r="B22" s="3" t="n">
        <v>15</v>
      </c>
    </row>
    <row r="23" customFormat="false" ht="15" hidden="false" customHeight="false" outlineLevel="0" collapsed="false">
      <c r="A23" s="0" t="s">
        <v>116</v>
      </c>
      <c r="B23" s="3" t="n">
        <v>0</v>
      </c>
    </row>
    <row r="24" customFormat="false" ht="15" hidden="false" customHeight="false" outlineLevel="0" collapsed="false">
      <c r="A24" s="0" t="s">
        <v>117</v>
      </c>
      <c r="B24" s="3" t="n">
        <v>0.25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5.5</v>
      </c>
      <c r="D27" s="3" t="n">
        <v>4.5</v>
      </c>
      <c r="E27" s="3" t="n">
        <v>4</v>
      </c>
      <c r="F27" s="3" t="n">
        <v>4</v>
      </c>
      <c r="G27" s="3" t="n">
        <v>3.5</v>
      </c>
      <c r="H27" s="3" t="n">
        <v>3.5</v>
      </c>
      <c r="I27" s="3" t="n">
        <v>3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107</v>
      </c>
      <c r="C28" s="3" t="n">
        <v>40.1</v>
      </c>
      <c r="D28" s="3" t="n">
        <v>40.3</v>
      </c>
      <c r="E28" s="3" t="n">
        <v>40.5</v>
      </c>
      <c r="F28" s="3" t="n">
        <v>40.5</v>
      </c>
      <c r="G28" s="3" t="n">
        <v>40.5</v>
      </c>
      <c r="H28" s="3" t="n">
        <v>40.5</v>
      </c>
      <c r="I28" s="3" t="n">
        <v>40.5</v>
      </c>
      <c r="J28" s="3" t="n">
        <v>40.5</v>
      </c>
      <c r="K28" s="3" t="n">
        <v>40.5</v>
      </c>
      <c r="L28" s="3" t="n">
        <v>40.5</v>
      </c>
    </row>
    <row r="29" customFormat="false" ht="15" hidden="false" customHeight="false" outlineLevel="0" collapsed="false">
      <c r="A29" s="0" t="s">
        <v>108</v>
      </c>
      <c r="C29" s="3" t="n">
        <v>1.7</v>
      </c>
      <c r="D29" s="3" t="n">
        <v>1.7</v>
      </c>
      <c r="E29" s="3" t="n">
        <v>1.7</v>
      </c>
      <c r="F29" s="3" t="n">
        <v>1.7</v>
      </c>
      <c r="G29" s="3" t="n">
        <v>1.7</v>
      </c>
      <c r="H29" s="3" t="n">
        <v>1.7</v>
      </c>
      <c r="I29" s="3" t="n">
        <v>1.7</v>
      </c>
      <c r="J29" s="3" t="n">
        <v>1.7</v>
      </c>
      <c r="K29" s="3" t="n">
        <v>1.7</v>
      </c>
      <c r="L29" s="3" t="n">
        <v>1.7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111</v>
      </c>
      <c r="C32" s="3" t="n">
        <v>8.8</v>
      </c>
      <c r="D32" s="3" t="n">
        <v>8.8</v>
      </c>
      <c r="E32" s="3" t="n">
        <v>7.8</v>
      </c>
      <c r="F32" s="3" t="n">
        <v>7.8</v>
      </c>
      <c r="G32" s="3" t="n">
        <v>6.8</v>
      </c>
      <c r="H32" s="3" t="n">
        <v>6.8</v>
      </c>
      <c r="I32" s="3" t="n">
        <v>5.9</v>
      </c>
      <c r="J32" s="3" t="n">
        <v>5.9</v>
      </c>
      <c r="K32" s="3" t="n">
        <v>4.9</v>
      </c>
      <c r="L32" s="3" t="n">
        <v>4.9</v>
      </c>
    </row>
    <row r="33" customFormat="false" ht="15" hidden="false" customHeight="false" outlineLevel="0" collapsed="false">
      <c r="A33" s="0" t="s">
        <v>112</v>
      </c>
      <c r="C33" s="3" t="n">
        <v>18</v>
      </c>
      <c r="D33" s="3" t="n">
        <v>18</v>
      </c>
      <c r="E33" s="3" t="n">
        <v>18</v>
      </c>
      <c r="F33" s="3" t="n">
        <v>18</v>
      </c>
      <c r="G33" s="3" t="n">
        <v>18</v>
      </c>
      <c r="H33" s="3" t="n">
        <v>18</v>
      </c>
      <c r="I33" s="3" t="n">
        <v>18</v>
      </c>
      <c r="J33" s="3" t="n">
        <v>18</v>
      </c>
      <c r="K33" s="3" t="n">
        <v>18</v>
      </c>
      <c r="L33" s="3" t="n">
        <v>18</v>
      </c>
    </row>
    <row r="34" customFormat="false" ht="15" hidden="false" customHeight="false" outlineLevel="0" collapsed="false">
      <c r="A34" s="0" t="s">
        <v>113</v>
      </c>
      <c r="B34" s="3" t="n">
        <v>10.5</v>
      </c>
    </row>
    <row r="35" customFormat="false" ht="15" hidden="false" customHeight="false" outlineLevel="0" collapsed="false">
      <c r="A35" s="0" t="s">
        <v>114</v>
      </c>
      <c r="B35" s="3" t="n">
        <v>2.5</v>
      </c>
    </row>
    <row r="36" customFormat="false" ht="15" hidden="false" customHeight="false" outlineLevel="0" collapsed="false">
      <c r="A36" s="0" t="s">
        <v>115</v>
      </c>
      <c r="B36" s="3" t="n">
        <v>15</v>
      </c>
    </row>
    <row r="37" customFormat="false" ht="15" hidden="false" customHeight="false" outlineLevel="0" collapsed="false">
      <c r="A37" s="0" t="s">
        <v>116</v>
      </c>
      <c r="B37" s="3" t="n">
        <v>0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7</v>
      </c>
      <c r="D41" s="3" t="n">
        <v>6</v>
      </c>
      <c r="E41" s="3" t="n">
        <v>5.5</v>
      </c>
      <c r="F41" s="3" t="n">
        <v>5</v>
      </c>
      <c r="G41" s="3" t="n">
        <v>4.5</v>
      </c>
      <c r="H41" s="3" t="n">
        <v>4</v>
      </c>
      <c r="I41" s="3" t="n">
        <v>3.5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107</v>
      </c>
      <c r="C42" s="3" t="n">
        <v>41.7</v>
      </c>
      <c r="D42" s="3" t="n">
        <v>42.7</v>
      </c>
      <c r="E42" s="3" t="n">
        <v>43.7</v>
      </c>
      <c r="F42" s="3" t="n">
        <v>44.2</v>
      </c>
      <c r="G42" s="3" t="n">
        <v>44.2</v>
      </c>
      <c r="H42" s="3" t="n">
        <v>44.2</v>
      </c>
      <c r="I42" s="3" t="n">
        <v>44.2</v>
      </c>
      <c r="J42" s="3" t="n">
        <v>44.2</v>
      </c>
      <c r="K42" s="3" t="n">
        <v>44.2</v>
      </c>
      <c r="L42" s="3" t="n">
        <v>44.2</v>
      </c>
    </row>
    <row r="43" customFormat="false" ht="15" hidden="false" customHeight="false" outlineLevel="0" collapsed="false">
      <c r="A43" s="0" t="s">
        <v>108</v>
      </c>
      <c r="C43" s="3" t="n">
        <v>1.7</v>
      </c>
      <c r="D43" s="3" t="n">
        <v>1.7</v>
      </c>
      <c r="E43" s="3" t="n">
        <v>1.7</v>
      </c>
      <c r="F43" s="3" t="n">
        <v>1.7</v>
      </c>
      <c r="G43" s="3" t="n">
        <v>1.7</v>
      </c>
      <c r="H43" s="3" t="n">
        <v>1.7</v>
      </c>
      <c r="I43" s="3" t="n">
        <v>1.7</v>
      </c>
      <c r="J43" s="3" t="n">
        <v>1.7</v>
      </c>
      <c r="K43" s="3" t="n">
        <v>1.7</v>
      </c>
      <c r="L43" s="3" t="n">
        <v>1.7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111</v>
      </c>
      <c r="C46" s="3" t="n">
        <v>10.7</v>
      </c>
      <c r="D46" s="3" t="n">
        <v>10.7</v>
      </c>
      <c r="E46" s="3" t="n">
        <v>9.8</v>
      </c>
      <c r="F46" s="3" t="n">
        <v>8.9</v>
      </c>
      <c r="G46" s="3" t="n">
        <v>8.1</v>
      </c>
      <c r="H46" s="3" t="n">
        <v>7.2</v>
      </c>
      <c r="I46" s="3" t="n">
        <v>6.3</v>
      </c>
      <c r="J46" s="3" t="n">
        <v>6.3</v>
      </c>
      <c r="K46" s="3" t="n">
        <v>5.4</v>
      </c>
      <c r="L46" s="3" t="n">
        <v>5.4</v>
      </c>
    </row>
    <row r="47" customFormat="false" ht="15" hidden="false" customHeight="false" outlineLevel="0" collapsed="false">
      <c r="A47" s="0" t="s">
        <v>112</v>
      </c>
      <c r="C47" s="3" t="n">
        <v>18</v>
      </c>
      <c r="D47" s="3" t="n">
        <v>18</v>
      </c>
      <c r="E47" s="3" t="n">
        <v>18</v>
      </c>
      <c r="F47" s="3" t="n">
        <v>18</v>
      </c>
      <c r="G47" s="3" t="n">
        <v>18</v>
      </c>
      <c r="H47" s="3" t="n">
        <v>18</v>
      </c>
      <c r="I47" s="3" t="n">
        <v>18</v>
      </c>
      <c r="J47" s="3" t="n">
        <v>18</v>
      </c>
      <c r="K47" s="3" t="n">
        <v>18</v>
      </c>
      <c r="L47" s="3" t="n">
        <v>18</v>
      </c>
    </row>
    <row r="48" customFormat="false" ht="15" hidden="false" customHeight="false" outlineLevel="0" collapsed="false">
      <c r="A48" s="0" t="s">
        <v>113</v>
      </c>
      <c r="B48" s="3" t="n">
        <v>10.5</v>
      </c>
    </row>
    <row r="49" customFormat="false" ht="15" hidden="false" customHeight="false" outlineLevel="0" collapsed="false">
      <c r="A49" s="0" t="s">
        <v>114</v>
      </c>
      <c r="B49" s="3" t="n">
        <v>3</v>
      </c>
    </row>
    <row r="50" customFormat="false" ht="15" hidden="false" customHeight="false" outlineLevel="0" collapsed="false">
      <c r="A50" s="0" t="s">
        <v>115</v>
      </c>
      <c r="B50" s="3" t="n">
        <v>15</v>
      </c>
    </row>
    <row r="51" customFormat="false" ht="15" hidden="false" customHeight="false" outlineLevel="0" collapsed="false">
      <c r="A51" s="0" t="s">
        <v>116</v>
      </c>
      <c r="B51" s="3" t="n">
        <v>0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1</v>
      </c>
      <c r="D5" s="4" t="n">
        <f aca="false">Assumptions!D13</f>
        <v>0.5</v>
      </c>
      <c r="E5" s="4" t="n">
        <f aca="false">Assumptions!E13</f>
        <v>2</v>
      </c>
      <c r="F5" s="4" t="n">
        <f aca="false">Assumptions!F13</f>
        <v>2.5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2.5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11000</v>
      </c>
      <c r="C6" s="0" t="n">
        <f aca="false">B6*(1+C5/100)</f>
        <v>11110</v>
      </c>
      <c r="D6" s="0" t="n">
        <f aca="false">C6*(1+D5/100)</f>
        <v>11165.55</v>
      </c>
      <c r="E6" s="0" t="n">
        <f aca="false">D6*(1+E5/100)</f>
        <v>11388.861</v>
      </c>
      <c r="F6" s="0" t="n">
        <f aca="false">E6*(1+F5/100)</f>
        <v>11673.582525</v>
      </c>
      <c r="G6" s="0" t="n">
        <f aca="false">F6*(1+G5/100)</f>
        <v>11965.422088125</v>
      </c>
      <c r="H6" s="0" t="n">
        <f aca="false">G6*(1+H5/100)</f>
        <v>12264.5576403281</v>
      </c>
      <c r="I6" s="0" t="n">
        <f aca="false">H6*(1+I5/100)</f>
        <v>12571.1715813363</v>
      </c>
      <c r="J6" s="0" t="n">
        <f aca="false">I6*(1+J5/100)</f>
        <v>12822.5950129631</v>
      </c>
      <c r="K6" s="0" t="n">
        <f aca="false">J6*(1+K5/100)</f>
        <v>13079.0469132223</v>
      </c>
      <c r="L6" s="0" t="n">
        <f aca="false">K6*(1+L5/100)</f>
        <v>13340.6278514868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35</v>
      </c>
      <c r="D7" s="4" t="n">
        <f aca="false">Assumptions!D14</f>
        <v>32.5</v>
      </c>
      <c r="E7" s="4" t="n">
        <f aca="false">Assumptions!E14</f>
        <v>34.5</v>
      </c>
      <c r="F7" s="4" t="n">
        <f aca="false">Assumptions!F14</f>
        <v>35.7</v>
      </c>
      <c r="G7" s="4" t="n">
        <f aca="false">Assumptions!G14</f>
        <v>35.7</v>
      </c>
      <c r="H7" s="4" t="n">
        <f aca="false">Assumptions!H14</f>
        <v>35.7</v>
      </c>
      <c r="I7" s="4" t="n">
        <f aca="false">Assumptions!I14</f>
        <v>35.7</v>
      </c>
      <c r="J7" s="4" t="n">
        <f aca="false">Assumptions!J14</f>
        <v>35.7</v>
      </c>
      <c r="K7" s="4" t="n">
        <f aca="false">Assumptions!K14</f>
        <v>35.7</v>
      </c>
      <c r="L7" s="4" t="n">
        <f aca="false">Assumptions!L14</f>
        <v>35.7</v>
      </c>
    </row>
    <row r="8" customFormat="false" ht="15" hidden="false" customHeight="false" outlineLevel="0" collapsed="false">
      <c r="A8" s="0" t="s">
        <v>43</v>
      </c>
      <c r="C8" s="0" t="n">
        <f aca="false">C6*C7/100</f>
        <v>3888.5</v>
      </c>
      <c r="D8" s="0" t="n">
        <f aca="false">D6*D7/100</f>
        <v>3628.80375</v>
      </c>
      <c r="E8" s="0" t="n">
        <f aca="false">E6*E7/100</f>
        <v>3929.157045</v>
      </c>
      <c r="F8" s="0" t="n">
        <f aca="false">F6*F7/100</f>
        <v>4167.468961425</v>
      </c>
      <c r="G8" s="0" t="n">
        <f aca="false">G6*G7/100</f>
        <v>4271.65568546062</v>
      </c>
      <c r="H8" s="0" t="n">
        <f aca="false">H6*H7/100</f>
        <v>4378.44707759714</v>
      </c>
      <c r="I8" s="0" t="n">
        <f aca="false">I6*I7/100</f>
        <v>4487.90825453707</v>
      </c>
      <c r="J8" s="0" t="n">
        <f aca="false">J6*J7/100</f>
        <v>4577.66641962781</v>
      </c>
      <c r="K8" s="0" t="n">
        <f aca="false">K6*K7/100</f>
        <v>4669.21974802037</v>
      </c>
      <c r="L8" s="0" t="n">
        <f aca="false">L6*L7/100</f>
        <v>4762.60414298077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1.7</v>
      </c>
      <c r="D9" s="4" t="n">
        <f aca="false">Assumptions!D15</f>
        <v>1.7</v>
      </c>
      <c r="E9" s="4" t="n">
        <f aca="false">Assumptions!E15</f>
        <v>1.7</v>
      </c>
      <c r="F9" s="4" t="n">
        <f aca="false">Assumptions!F15</f>
        <v>1.7</v>
      </c>
      <c r="G9" s="4" t="n">
        <f aca="false">Assumptions!G15</f>
        <v>1.7</v>
      </c>
      <c r="H9" s="4" t="n">
        <f aca="false">Assumptions!H15</f>
        <v>1.7</v>
      </c>
      <c r="I9" s="4" t="n">
        <f aca="false">Assumptions!I15</f>
        <v>1.7</v>
      </c>
      <c r="J9" s="4" t="n">
        <f aca="false">Assumptions!J15</f>
        <v>1.7</v>
      </c>
      <c r="K9" s="4" t="n">
        <f aca="false">Assumptions!K15</f>
        <v>1.7</v>
      </c>
      <c r="L9" s="4" t="n">
        <f aca="false">Assumptions!L15</f>
        <v>1.7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-188.87</v>
      </c>
      <c r="D10" s="0" t="n">
        <f aca="false">-D6*D9/100</f>
        <v>-189.81435</v>
      </c>
      <c r="E10" s="0" t="n">
        <f aca="false">-E6*E9/100</f>
        <v>-193.610637</v>
      </c>
      <c r="F10" s="0" t="n">
        <f aca="false">-F6*F9/100</f>
        <v>-198.450902925</v>
      </c>
      <c r="G10" s="0" t="n">
        <f aca="false">-G6*G9/100</f>
        <v>-203.412175498125</v>
      </c>
      <c r="H10" s="0" t="n">
        <f aca="false">-H6*H9/100</f>
        <v>-208.497479885578</v>
      </c>
      <c r="I10" s="0" t="n">
        <f aca="false">-I6*I9/100</f>
        <v>-213.709916882718</v>
      </c>
      <c r="J10" s="0" t="n">
        <f aca="false">-J6*J9/100</f>
        <v>-217.984115220372</v>
      </c>
      <c r="K10" s="0" t="n">
        <f aca="false">-K6*K9/100</f>
        <v>-222.343797524779</v>
      </c>
      <c r="L10" s="0" t="n">
        <f aca="false">-L6*L9/100</f>
        <v>-226.790673475275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3699.63</v>
      </c>
      <c r="D11" s="0" t="n">
        <f aca="false">D8+D10+D24</f>
        <v>3438.9894</v>
      </c>
      <c r="E11" s="0" t="n">
        <f aca="false">E8+E10+E24</f>
        <v>3735.546408</v>
      </c>
      <c r="F11" s="0" t="n">
        <f aca="false">F8+F10+F24</f>
        <v>3969.0180585</v>
      </c>
      <c r="G11" s="0" t="n">
        <f aca="false">G8+G10+G24</f>
        <v>4068.2435099625</v>
      </c>
      <c r="H11" s="0" t="n">
        <f aca="false">H8+H10+H24</f>
        <v>4169.94959771156</v>
      </c>
      <c r="I11" s="0" t="n">
        <f aca="false">I8+I10+I24</f>
        <v>4274.19833765435</v>
      </c>
      <c r="J11" s="0" t="n">
        <f aca="false">J8+J10+J24</f>
        <v>4359.68230440744</v>
      </c>
      <c r="K11" s="0" t="n">
        <f aca="false">K8+K10+K24</f>
        <v>4446.87595049559</v>
      </c>
      <c r="L11" s="0" t="n">
        <f aca="false">L8+L10+L24</f>
        <v>4535.8134695055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3699.63</v>
      </c>
      <c r="D13" s="0" t="n">
        <f aca="false">D11+D12</f>
        <v>3438.9894</v>
      </c>
      <c r="E13" s="0" t="n">
        <f aca="false">E11+E12</f>
        <v>3735.546408</v>
      </c>
      <c r="F13" s="0" t="n">
        <f aca="false">F11+F12</f>
        <v>3969.0180585</v>
      </c>
      <c r="G13" s="0" t="n">
        <f aca="false">G11+G12</f>
        <v>4068.2435099625</v>
      </c>
      <c r="H13" s="0" t="n">
        <f aca="false">H11+H12</f>
        <v>4169.94959771156</v>
      </c>
      <c r="I13" s="0" t="n">
        <f aca="false">I11+I12</f>
        <v>4274.19833765435</v>
      </c>
      <c r="J13" s="0" t="n">
        <f aca="false">J11+J12</f>
        <v>4359.68230440744</v>
      </c>
      <c r="K13" s="0" t="n">
        <f aca="false">K11+K12</f>
        <v>4446.87595049559</v>
      </c>
      <c r="L13" s="0" t="n">
        <f aca="false">L11+L12</f>
        <v>4535.8134695055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18</v>
      </c>
      <c r="D14" s="4" t="n">
        <f aca="false">Assumptions!D19</f>
        <v>18</v>
      </c>
      <c r="E14" s="4" t="n">
        <f aca="false">Assumptions!E19</f>
        <v>18</v>
      </c>
      <c r="F14" s="4" t="n">
        <f aca="false">Assumptions!F19</f>
        <v>18</v>
      </c>
      <c r="G14" s="4" t="n">
        <f aca="false">Assumptions!G19</f>
        <v>18</v>
      </c>
      <c r="H14" s="4" t="n">
        <f aca="false">Assumptions!H19</f>
        <v>18</v>
      </c>
      <c r="I14" s="4" t="n">
        <f aca="false">Assumptions!I19</f>
        <v>18</v>
      </c>
      <c r="J14" s="4" t="n">
        <f aca="false">Assumptions!J19</f>
        <v>18</v>
      </c>
      <c r="K14" s="4" t="n">
        <f aca="false">Assumptions!K19</f>
        <v>18</v>
      </c>
      <c r="L14" s="4" t="n">
        <f aca="false">Assumptions!L19</f>
        <v>18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3033.6966</v>
      </c>
      <c r="D15" s="0" t="n">
        <f aca="false">D13-MAX(0,D13)*D14/100</f>
        <v>2819.971308</v>
      </c>
      <c r="E15" s="0" t="n">
        <f aca="false">E13-MAX(0,E13)*E14/100</f>
        <v>3063.14805456</v>
      </c>
      <c r="F15" s="0" t="n">
        <f aca="false">F13-MAX(0,F13)*F14/100</f>
        <v>3254.59480797</v>
      </c>
      <c r="G15" s="0" t="n">
        <f aca="false">G13-MAX(0,G13)*G14/100</f>
        <v>3335.95967816925</v>
      </c>
      <c r="H15" s="0" t="n">
        <f aca="false">H13-MAX(0,H13)*H14/100</f>
        <v>3419.35867012348</v>
      </c>
      <c r="I15" s="0" t="n">
        <f aca="false">I13-MAX(0,I13)*I14/100</f>
        <v>3504.84263687657</v>
      </c>
      <c r="J15" s="0" t="n">
        <f aca="false">J13-MAX(0,J13)*J14/100</f>
        <v>3574.9394896141</v>
      </c>
      <c r="K15" s="0" t="n">
        <f aca="false">K13-MAX(0,K13)*K14/100</f>
        <v>3646.43827940638</v>
      </c>
      <c r="L15" s="0" t="n">
        <f aca="false">L13-MAX(0,L13)*L14/100</f>
        <v>3719.36704499451</v>
      </c>
    </row>
    <row r="16" customFormat="false" ht="15" hidden="false" customHeight="false" outlineLevel="0" collapsed="false">
      <c r="A16" s="0" t="s">
        <v>128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-611.05</v>
      </c>
      <c r="D17" s="4" t="n">
        <f aca="false">-D6*Assumptions!D18/100</f>
        <v>-614.10525</v>
      </c>
      <c r="E17" s="4" t="n">
        <f aca="false">-E6*Assumptions!E18/100</f>
        <v>-626.387355</v>
      </c>
      <c r="F17" s="4" t="n">
        <f aca="false">-F6*Assumptions!F18/100</f>
        <v>-677.06778645</v>
      </c>
      <c r="G17" s="4" t="n">
        <f aca="false">-G6*Assumptions!G18/100</f>
        <v>-693.99448111125</v>
      </c>
      <c r="H17" s="4" t="n">
        <f aca="false">-H6*Assumptions!H18/100</f>
        <v>-711.344343139031</v>
      </c>
      <c r="I17" s="4" t="n">
        <f aca="false">-I6*Assumptions!I18/100</f>
        <v>-729.127951717507</v>
      </c>
      <c r="J17" s="4" t="n">
        <f aca="false">-J6*Assumptions!J18/100</f>
        <v>-589.8393705963</v>
      </c>
      <c r="K17" s="4" t="n">
        <f aca="false">-K6*Assumptions!K18/100</f>
        <v>-601.636158008226</v>
      </c>
      <c r="L17" s="4" t="n">
        <f aca="false">-L6*Assumptions!L18/100</f>
        <v>-613.668881168391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2422.6466</v>
      </c>
      <c r="D19" s="0" t="n">
        <f aca="false">D15+D16+D17+D18</f>
        <v>2205.866058</v>
      </c>
      <c r="E19" s="0" t="n">
        <f aca="false">E15+E16+E17+E18</f>
        <v>2436.76069956</v>
      </c>
      <c r="F19" s="0" t="n">
        <f aca="false">F15+F16+F17+F18</f>
        <v>2577.52702152</v>
      </c>
      <c r="G19" s="0" t="n">
        <f aca="false">G15+G16+G17+G18</f>
        <v>2641.965197058</v>
      </c>
      <c r="H19" s="0" t="n">
        <f aca="false">H15+H16+H17+H18</f>
        <v>2708.01432698445</v>
      </c>
      <c r="I19" s="0" t="n">
        <f aca="false">I15+I16+I17+I18</f>
        <v>2775.71468515906</v>
      </c>
      <c r="J19" s="0" t="n">
        <f aca="false">J15+J16+J17+J18</f>
        <v>2985.1001190178</v>
      </c>
      <c r="K19" s="0" t="n">
        <f aca="false">K15+K16+K17+K18</f>
        <v>3044.80212139815</v>
      </c>
      <c r="L19" s="0" t="n">
        <f aca="false">L15+L16+L17+L18</f>
        <v>3105.69816382612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2192.44036199095</v>
      </c>
      <c r="D21" s="0" t="n">
        <f aca="false">D19*D20</f>
        <v>1806.56911856842</v>
      </c>
      <c r="E21" s="0" t="n">
        <f aca="false">E19*E20</f>
        <v>1806.03452244568</v>
      </c>
      <c r="F21" s="0" t="n">
        <f aca="false">F19*F20</f>
        <v>1728.83726361465</v>
      </c>
      <c r="G21" s="0" t="n">
        <f aca="false">G19*G20</f>
        <v>1603.67257484617</v>
      </c>
      <c r="H21" s="0" t="n">
        <f aca="false">H19*H20</f>
        <v>1487.5695830021</v>
      </c>
      <c r="I21" s="0" t="n">
        <f aca="false">I19*I20</f>
        <v>1379.87223762639</v>
      </c>
      <c r="J21" s="0" t="n">
        <f aca="false">J19*J20</f>
        <v>1342.95257909458</v>
      </c>
      <c r="K21" s="0" t="n">
        <f aca="false">K19*K20</f>
        <v>1239.64853454884</v>
      </c>
      <c r="L21" s="0" t="n">
        <f aca="false">L19*L20</f>
        <v>1144.29095496816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10.5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15731.8877307059</v>
      </c>
    </row>
    <row r="31" customFormat="false" ht="15" hidden="false" customHeight="false" outlineLevel="0" collapsed="false">
      <c r="A31" s="0" t="s">
        <v>137</v>
      </c>
      <c r="B31" s="0" t="n">
        <f aca="false">L19</f>
        <v>3105.69816382612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37268.3779659134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46585.4724573918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37268.3779659134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13731.4914596179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29463.3791903239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26582.3791903239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13.0561783842455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-0.146655007565653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1219.37897798444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1002.72918734323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14.1475871098485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24367.7855930972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7.92223441458037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5.5</v>
      </c>
      <c r="D5" s="4" t="n">
        <f aca="false">Assumptions!D27</f>
        <v>4.5</v>
      </c>
      <c r="E5" s="4" t="n">
        <f aca="false">Assumptions!E27</f>
        <v>4</v>
      </c>
      <c r="F5" s="4" t="n">
        <f aca="false">Assumptions!F27</f>
        <v>4</v>
      </c>
      <c r="G5" s="4" t="n">
        <f aca="false">Assumptions!G27</f>
        <v>3.5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11000</v>
      </c>
      <c r="C6" s="0" t="n">
        <f aca="false">B6*(1+C5/100)</f>
        <v>11605</v>
      </c>
      <c r="D6" s="0" t="n">
        <f aca="false">C6*(1+D5/100)</f>
        <v>12127.225</v>
      </c>
      <c r="E6" s="0" t="n">
        <f aca="false">D6*(1+E5/100)</f>
        <v>12612.314</v>
      </c>
      <c r="F6" s="0" t="n">
        <f aca="false">E6*(1+F5/100)</f>
        <v>13116.80656</v>
      </c>
      <c r="G6" s="0" t="n">
        <f aca="false">F6*(1+G5/100)</f>
        <v>13575.8947896</v>
      </c>
      <c r="H6" s="0" t="n">
        <f aca="false">G6*(1+H5/100)</f>
        <v>14051.051107236</v>
      </c>
      <c r="I6" s="0" t="n">
        <f aca="false">H6*(1+I5/100)</f>
        <v>14472.5826404531</v>
      </c>
      <c r="J6" s="0" t="n">
        <f aca="false">I6*(1+J5/100)</f>
        <v>14906.7601196667</v>
      </c>
      <c r="K6" s="0" t="n">
        <f aca="false">J6*(1+K5/100)</f>
        <v>15279.4291226583</v>
      </c>
      <c r="L6" s="0" t="n">
        <f aca="false">K6*(1+L5/100)</f>
        <v>15661.4148507248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40.1</v>
      </c>
      <c r="D7" s="4" t="n">
        <f aca="false">Assumptions!D28</f>
        <v>40.3</v>
      </c>
      <c r="E7" s="4" t="n">
        <f aca="false">Assumptions!E28</f>
        <v>40.5</v>
      </c>
      <c r="F7" s="4" t="n">
        <f aca="false">Assumptions!F28</f>
        <v>40.5</v>
      </c>
      <c r="G7" s="4" t="n">
        <f aca="false">Assumptions!G28</f>
        <v>40.5</v>
      </c>
      <c r="H7" s="4" t="n">
        <f aca="false">Assumptions!H28</f>
        <v>40.5</v>
      </c>
      <c r="I7" s="4" t="n">
        <f aca="false">Assumptions!I28</f>
        <v>40.5</v>
      </c>
      <c r="J7" s="4" t="n">
        <f aca="false">Assumptions!J28</f>
        <v>40.5</v>
      </c>
      <c r="K7" s="4" t="n">
        <f aca="false">Assumptions!K28</f>
        <v>40.5</v>
      </c>
      <c r="L7" s="4" t="n">
        <f aca="false">Assumptions!L28</f>
        <v>40.5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4653.605</v>
      </c>
      <c r="D8" s="0" t="n">
        <f aca="false">D6*D7/100</f>
        <v>4887.271675</v>
      </c>
      <c r="E8" s="0" t="n">
        <f aca="false">E6*E7/100</f>
        <v>5107.98717</v>
      </c>
      <c r="F8" s="0" t="n">
        <f aca="false">F6*F7/100</f>
        <v>5312.3066568</v>
      </c>
      <c r="G8" s="0" t="n">
        <f aca="false">G6*G7/100</f>
        <v>5498.237389788</v>
      </c>
      <c r="H8" s="0" t="n">
        <f aca="false">H6*H7/100</f>
        <v>5690.67569843058</v>
      </c>
      <c r="I8" s="0" t="n">
        <f aca="false">I6*I7/100</f>
        <v>5861.3959693835</v>
      </c>
      <c r="J8" s="0" t="n">
        <f aca="false">J6*J7/100</f>
        <v>6037.237848465</v>
      </c>
      <c r="K8" s="0" t="n">
        <f aca="false">K6*K7/100</f>
        <v>6188.16879467663</v>
      </c>
      <c r="L8" s="0" t="n">
        <f aca="false">L6*L7/100</f>
        <v>6342.87301454354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1.7</v>
      </c>
      <c r="D9" s="4" t="n">
        <f aca="false">Assumptions!D29</f>
        <v>1.7</v>
      </c>
      <c r="E9" s="4" t="n">
        <f aca="false">Assumptions!E29</f>
        <v>1.7</v>
      </c>
      <c r="F9" s="4" t="n">
        <f aca="false">Assumptions!F29</f>
        <v>1.7</v>
      </c>
      <c r="G9" s="4" t="n">
        <f aca="false">Assumptions!G29</f>
        <v>1.7</v>
      </c>
      <c r="H9" s="4" t="n">
        <f aca="false">Assumptions!H29</f>
        <v>1.7</v>
      </c>
      <c r="I9" s="4" t="n">
        <f aca="false">Assumptions!I29</f>
        <v>1.7</v>
      </c>
      <c r="J9" s="4" t="n">
        <f aca="false">Assumptions!J29</f>
        <v>1.7</v>
      </c>
      <c r="K9" s="4" t="n">
        <f aca="false">Assumptions!K29</f>
        <v>1.7</v>
      </c>
      <c r="L9" s="4" t="n">
        <f aca="false">Assumptions!L29</f>
        <v>1.7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-197.285</v>
      </c>
      <c r="D10" s="0" t="n">
        <f aca="false">-D6*D9/100</f>
        <v>-206.162825</v>
      </c>
      <c r="E10" s="0" t="n">
        <f aca="false">-E6*E9/100</f>
        <v>-214.409338</v>
      </c>
      <c r="F10" s="0" t="n">
        <f aca="false">-F6*F9/100</f>
        <v>-222.98571152</v>
      </c>
      <c r="G10" s="0" t="n">
        <f aca="false">-G6*G9/100</f>
        <v>-230.7902114232</v>
      </c>
      <c r="H10" s="0" t="n">
        <f aca="false">-H6*H9/100</f>
        <v>-238.867868823012</v>
      </c>
      <c r="I10" s="0" t="n">
        <f aca="false">-I6*I9/100</f>
        <v>-246.033904887702</v>
      </c>
      <c r="J10" s="0" t="n">
        <f aca="false">-J6*J9/100</f>
        <v>-253.414922034333</v>
      </c>
      <c r="K10" s="0" t="n">
        <f aca="false">-K6*K9/100</f>
        <v>-259.750295085192</v>
      </c>
      <c r="L10" s="0" t="n">
        <f aca="false">-L6*L9/100</f>
        <v>-266.244052462321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4456.32</v>
      </c>
      <c r="D11" s="0" t="n">
        <f aca="false">D8+D10+D24</f>
        <v>4681.10885</v>
      </c>
      <c r="E11" s="0" t="n">
        <f aca="false">E8+E10+E24</f>
        <v>4893.577832</v>
      </c>
      <c r="F11" s="0" t="n">
        <f aca="false">F8+F10+F24</f>
        <v>5089.32094528</v>
      </c>
      <c r="G11" s="0" t="n">
        <f aca="false">G8+G10+G24</f>
        <v>5267.4471783648</v>
      </c>
      <c r="H11" s="0" t="n">
        <f aca="false">H8+H10+H24</f>
        <v>5451.80782960757</v>
      </c>
      <c r="I11" s="0" t="n">
        <f aca="false">I8+I10+I24</f>
        <v>5615.36206449579</v>
      </c>
      <c r="J11" s="0" t="n">
        <f aca="false">J8+J10+J24</f>
        <v>5783.82292643067</v>
      </c>
      <c r="K11" s="0" t="n">
        <f aca="false">K8+K10+K24</f>
        <v>5928.41849959143</v>
      </c>
      <c r="L11" s="0" t="n">
        <f aca="false">L8+L10+L24</f>
        <v>6076.62896208122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4456.32</v>
      </c>
      <c r="D13" s="0" t="n">
        <f aca="false">D11+D12</f>
        <v>4681.10885</v>
      </c>
      <c r="E13" s="0" t="n">
        <f aca="false">E11+E12</f>
        <v>4893.577832</v>
      </c>
      <c r="F13" s="0" t="n">
        <f aca="false">F11+F12</f>
        <v>5089.32094528</v>
      </c>
      <c r="G13" s="0" t="n">
        <f aca="false">G11+G12</f>
        <v>5267.4471783648</v>
      </c>
      <c r="H13" s="0" t="n">
        <f aca="false">H11+H12</f>
        <v>5451.80782960757</v>
      </c>
      <c r="I13" s="0" t="n">
        <f aca="false">I11+I12</f>
        <v>5615.36206449579</v>
      </c>
      <c r="J13" s="0" t="n">
        <f aca="false">J11+J12</f>
        <v>5783.82292643067</v>
      </c>
      <c r="K13" s="0" t="n">
        <f aca="false">K11+K12</f>
        <v>5928.41849959143</v>
      </c>
      <c r="L13" s="0" t="n">
        <f aca="false">L11+L12</f>
        <v>6076.62896208122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18</v>
      </c>
      <c r="D14" s="4" t="n">
        <f aca="false">Assumptions!D33</f>
        <v>18</v>
      </c>
      <c r="E14" s="4" t="n">
        <f aca="false">Assumptions!E33</f>
        <v>18</v>
      </c>
      <c r="F14" s="4" t="n">
        <f aca="false">Assumptions!F33</f>
        <v>18</v>
      </c>
      <c r="G14" s="4" t="n">
        <f aca="false">Assumptions!G33</f>
        <v>18</v>
      </c>
      <c r="H14" s="4" t="n">
        <f aca="false">Assumptions!H33</f>
        <v>18</v>
      </c>
      <c r="I14" s="4" t="n">
        <f aca="false">Assumptions!I33</f>
        <v>18</v>
      </c>
      <c r="J14" s="4" t="n">
        <f aca="false">Assumptions!J33</f>
        <v>18</v>
      </c>
      <c r="K14" s="4" t="n">
        <f aca="false">Assumptions!K33</f>
        <v>18</v>
      </c>
      <c r="L14" s="4" t="n">
        <f aca="false">Assumptions!L33</f>
        <v>18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3654.1824</v>
      </c>
      <c r="D15" s="0" t="n">
        <f aca="false">D13-MAX(0,D13)*D14/100</f>
        <v>3838.509257</v>
      </c>
      <c r="E15" s="0" t="n">
        <f aca="false">E13-MAX(0,E13)*E14/100</f>
        <v>4012.73382224</v>
      </c>
      <c r="F15" s="0" t="n">
        <f aca="false">F13-MAX(0,F13)*F14/100</f>
        <v>4173.2431751296</v>
      </c>
      <c r="G15" s="0" t="n">
        <f aca="false">G13-MAX(0,G13)*G14/100</f>
        <v>4319.30668625914</v>
      </c>
      <c r="H15" s="0" t="n">
        <f aca="false">H13-MAX(0,H13)*H14/100</f>
        <v>4470.48242027821</v>
      </c>
      <c r="I15" s="0" t="n">
        <f aca="false">I13-MAX(0,I13)*I14/100</f>
        <v>4604.59689288655</v>
      </c>
      <c r="J15" s="0" t="n">
        <f aca="false">J13-MAX(0,J13)*J14/100</f>
        <v>4742.73479967315</v>
      </c>
      <c r="K15" s="0" t="n">
        <f aca="false">K13-MAX(0,K13)*K14/100</f>
        <v>4861.30316966498</v>
      </c>
      <c r="L15" s="0" t="n">
        <f aca="false">L13-MAX(0,L13)*L14/100</f>
        <v>4982.8357489066</v>
      </c>
    </row>
    <row r="16" customFormat="false" ht="15" hidden="false" customHeight="false" outlineLevel="0" collapsed="false">
      <c r="A16" s="0" t="s">
        <v>128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-1021.24</v>
      </c>
      <c r="D17" s="4" t="n">
        <f aca="false">-D6*Assumptions!D32/100</f>
        <v>-1067.1958</v>
      </c>
      <c r="E17" s="4" t="n">
        <f aca="false">-E6*Assumptions!E32/100</f>
        <v>-983.760492</v>
      </c>
      <c r="F17" s="4" t="n">
        <f aca="false">-F6*Assumptions!F32/100</f>
        <v>-1023.11091168</v>
      </c>
      <c r="G17" s="4" t="n">
        <f aca="false">-G6*Assumptions!G32/100</f>
        <v>-923.1608456928</v>
      </c>
      <c r="H17" s="4" t="n">
        <f aca="false">-H6*Assumptions!H32/100</f>
        <v>-955.471475292048</v>
      </c>
      <c r="I17" s="4" t="n">
        <f aca="false">-I6*Assumptions!I32/100</f>
        <v>-853.882375786732</v>
      </c>
      <c r="J17" s="4" t="n">
        <f aca="false">-J6*Assumptions!J32/100</f>
        <v>-879.498847060333</v>
      </c>
      <c r="K17" s="4" t="n">
        <f aca="false">-K6*Assumptions!K32/100</f>
        <v>-748.692027010259</v>
      </c>
      <c r="L17" s="4" t="n">
        <f aca="false">-L6*Assumptions!L32/100</f>
        <v>-767.409327685515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2632.9424</v>
      </c>
      <c r="D19" s="0" t="n">
        <f aca="false">D15+D16+D17+D18</f>
        <v>2771.313457</v>
      </c>
      <c r="E19" s="0" t="n">
        <f aca="false">E15+E16+E17+E18</f>
        <v>3028.97333024</v>
      </c>
      <c r="F19" s="0" t="n">
        <f aca="false">F15+F16+F17+F18</f>
        <v>3150.1322634496</v>
      </c>
      <c r="G19" s="0" t="n">
        <f aca="false">G15+G16+G17+G18</f>
        <v>3396.14584056634</v>
      </c>
      <c r="H19" s="0" t="n">
        <f aca="false">H15+H16+H17+H18</f>
        <v>3515.01094498616</v>
      </c>
      <c r="I19" s="0" t="n">
        <f aca="false">I15+I16+I17+I18</f>
        <v>3750.71451709982</v>
      </c>
      <c r="J19" s="0" t="n">
        <f aca="false">J15+J16+J17+J18</f>
        <v>3863.23595261281</v>
      </c>
      <c r="K19" s="0" t="n">
        <f aca="false">K15+K16+K17+K18</f>
        <v>4112.61114265472</v>
      </c>
      <c r="L19" s="0" t="n">
        <f aca="false">L15+L16+L17+L18</f>
        <v>4215.42642122109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2382.75330316742</v>
      </c>
      <c r="D21" s="0" t="n">
        <f aca="false">D19*D20</f>
        <v>2269.6615196249</v>
      </c>
      <c r="E21" s="0" t="n">
        <f aca="false">E19*E20</f>
        <v>2244.96004181636</v>
      </c>
      <c r="F21" s="0" t="n">
        <f aca="false">F19*F20</f>
        <v>2112.90356876834</v>
      </c>
      <c r="G21" s="0" t="n">
        <f aca="false">G19*G20</f>
        <v>2061.46013988335</v>
      </c>
      <c r="H21" s="0" t="n">
        <f aca="false">H19*H20</f>
        <v>1930.86990477762</v>
      </c>
      <c r="I21" s="0" t="n">
        <f aca="false">I19*I20</f>
        <v>1864.56729903842</v>
      </c>
      <c r="J21" s="0" t="n">
        <f aca="false">J19*J20</f>
        <v>1738.01295747472</v>
      </c>
      <c r="K21" s="0" t="n">
        <f aca="false">K19*K20</f>
        <v>1674.39202052976</v>
      </c>
      <c r="L21" s="0" t="n">
        <f aca="false">L19*L20</f>
        <v>1553.1690688172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10.5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19832.7498238981</v>
      </c>
    </row>
    <row r="31" customFormat="false" ht="15" hidden="false" customHeight="false" outlineLevel="0" collapsed="false">
      <c r="A31" s="0" t="s">
        <v>137</v>
      </c>
      <c r="B31" s="0" t="n">
        <f aca="false">L19</f>
        <v>4215.42642122109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54010.1510218951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63231.3963183163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54010.1510218951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19899.9786942203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39732.7285181184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36851.7285181184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18.100063122848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0.183010661624049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1367.33151180215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1256.87188958889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19.3889645970086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34566.4966540129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10.7726595688832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7</v>
      </c>
      <c r="D5" s="4" t="n">
        <f aca="false">Assumptions!D41</f>
        <v>6</v>
      </c>
      <c r="E5" s="4" t="n">
        <f aca="false">Assumptions!E41</f>
        <v>5.5</v>
      </c>
      <c r="F5" s="4" t="n">
        <f aca="false">Assumptions!F41</f>
        <v>5</v>
      </c>
      <c r="G5" s="4" t="n">
        <f aca="false">Assumptions!G41</f>
        <v>4.5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11000</v>
      </c>
      <c r="C6" s="0" t="n">
        <f aca="false">B6*(1+C5/100)</f>
        <v>11770</v>
      </c>
      <c r="D6" s="0" t="n">
        <f aca="false">C6*(1+D5/100)</f>
        <v>12476.2</v>
      </c>
      <c r="E6" s="0" t="n">
        <f aca="false">D6*(1+E5/100)</f>
        <v>13162.391</v>
      </c>
      <c r="F6" s="0" t="n">
        <f aca="false">E6*(1+F5/100)</f>
        <v>13820.51055</v>
      </c>
      <c r="G6" s="0" t="n">
        <f aca="false">F6*(1+G5/100)</f>
        <v>14442.43352475</v>
      </c>
      <c r="H6" s="0" t="n">
        <f aca="false">G6*(1+H5/100)</f>
        <v>15020.13086574</v>
      </c>
      <c r="I6" s="0" t="n">
        <f aca="false">H6*(1+I5/100)</f>
        <v>15545.8354460409</v>
      </c>
      <c r="J6" s="0" t="n">
        <f aca="false">I6*(1+J5/100)</f>
        <v>16089.9396866523</v>
      </c>
      <c r="K6" s="0" t="n">
        <f aca="false">J6*(1+K5/100)</f>
        <v>16572.6378772519</v>
      </c>
      <c r="L6" s="0" t="n">
        <f aca="false">K6*(1+L5/100)</f>
        <v>17069.8170135695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41.7</v>
      </c>
      <c r="D7" s="4" t="n">
        <f aca="false">Assumptions!D42</f>
        <v>42.7</v>
      </c>
      <c r="E7" s="4" t="n">
        <f aca="false">Assumptions!E42</f>
        <v>43.7</v>
      </c>
      <c r="F7" s="4" t="n">
        <f aca="false">Assumptions!F42</f>
        <v>44.2</v>
      </c>
      <c r="G7" s="4" t="n">
        <f aca="false">Assumptions!G42</f>
        <v>44.2</v>
      </c>
      <c r="H7" s="4" t="n">
        <f aca="false">Assumptions!H42</f>
        <v>44.2</v>
      </c>
      <c r="I7" s="4" t="n">
        <f aca="false">Assumptions!I42</f>
        <v>44.2</v>
      </c>
      <c r="J7" s="4" t="n">
        <f aca="false">Assumptions!J42</f>
        <v>44.2</v>
      </c>
      <c r="K7" s="4" t="n">
        <f aca="false">Assumptions!K42</f>
        <v>44.2</v>
      </c>
      <c r="L7" s="4" t="n">
        <f aca="false">Assumptions!L42</f>
        <v>44.2</v>
      </c>
    </row>
    <row r="8" customFormat="false" ht="15" hidden="false" customHeight="false" outlineLevel="0" collapsed="false">
      <c r="A8" s="0" t="s">
        <v>43</v>
      </c>
      <c r="C8" s="0" t="n">
        <f aca="false">C6*C7/100</f>
        <v>4908.09</v>
      </c>
      <c r="D8" s="0" t="n">
        <f aca="false">D6*D7/100</f>
        <v>5327.3374</v>
      </c>
      <c r="E8" s="0" t="n">
        <f aca="false">E6*E7/100</f>
        <v>5751.964867</v>
      </c>
      <c r="F8" s="0" t="n">
        <f aca="false">F6*F7/100</f>
        <v>6108.6656631</v>
      </c>
      <c r="G8" s="0" t="n">
        <f aca="false">G6*G7/100</f>
        <v>6383.5556179395</v>
      </c>
      <c r="H8" s="0" t="n">
        <f aca="false">H6*H7/100</f>
        <v>6638.89784265708</v>
      </c>
      <c r="I8" s="0" t="n">
        <f aca="false">I6*I7/100</f>
        <v>6871.25926715008</v>
      </c>
      <c r="J8" s="0" t="n">
        <f aca="false">J6*J7/100</f>
        <v>7111.75334150033</v>
      </c>
      <c r="K8" s="0" t="n">
        <f aca="false">K6*K7/100</f>
        <v>7325.10594174534</v>
      </c>
      <c r="L8" s="0" t="n">
        <f aca="false">L6*L7/100</f>
        <v>7544.8591199977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1.7</v>
      </c>
      <c r="D9" s="4" t="n">
        <f aca="false">Assumptions!D43</f>
        <v>1.7</v>
      </c>
      <c r="E9" s="4" t="n">
        <f aca="false">Assumptions!E43</f>
        <v>1.7</v>
      </c>
      <c r="F9" s="4" t="n">
        <f aca="false">Assumptions!F43</f>
        <v>1.7</v>
      </c>
      <c r="G9" s="4" t="n">
        <f aca="false">Assumptions!G43</f>
        <v>1.7</v>
      </c>
      <c r="H9" s="4" t="n">
        <f aca="false">Assumptions!H43</f>
        <v>1.7</v>
      </c>
      <c r="I9" s="4" t="n">
        <f aca="false">Assumptions!I43</f>
        <v>1.7</v>
      </c>
      <c r="J9" s="4" t="n">
        <f aca="false">Assumptions!J43</f>
        <v>1.7</v>
      </c>
      <c r="K9" s="4" t="n">
        <f aca="false">Assumptions!K43</f>
        <v>1.7</v>
      </c>
      <c r="L9" s="4" t="n">
        <f aca="false">Assumptions!L43</f>
        <v>1.7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-200.09</v>
      </c>
      <c r="D10" s="0" t="n">
        <f aca="false">-D6*D9/100</f>
        <v>-212.0954</v>
      </c>
      <c r="E10" s="0" t="n">
        <f aca="false">-E6*E9/100</f>
        <v>-223.760647</v>
      </c>
      <c r="F10" s="0" t="n">
        <f aca="false">-F6*F9/100</f>
        <v>-234.94867935</v>
      </c>
      <c r="G10" s="0" t="n">
        <f aca="false">-G6*G9/100</f>
        <v>-245.52136992075</v>
      </c>
      <c r="H10" s="0" t="n">
        <f aca="false">-H6*H9/100</f>
        <v>-255.34222471758</v>
      </c>
      <c r="I10" s="0" t="n">
        <f aca="false">-I6*I9/100</f>
        <v>-264.279202582695</v>
      </c>
      <c r="J10" s="0" t="n">
        <f aca="false">-J6*J9/100</f>
        <v>-273.52897467309</v>
      </c>
      <c r="K10" s="0" t="n">
        <f aca="false">-K6*K9/100</f>
        <v>-281.734843913282</v>
      </c>
      <c r="L10" s="0" t="n">
        <f aca="false">-L6*L9/100</f>
        <v>-290.186889230681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4708</v>
      </c>
      <c r="D11" s="0" t="n">
        <f aca="false">D8+D10+D24</f>
        <v>5115.242</v>
      </c>
      <c r="E11" s="0" t="n">
        <f aca="false">E8+E10+E24</f>
        <v>5528.20422</v>
      </c>
      <c r="F11" s="0" t="n">
        <f aca="false">F8+F10+F24</f>
        <v>5873.71698375</v>
      </c>
      <c r="G11" s="0" t="n">
        <f aca="false">G8+G10+G24</f>
        <v>6138.03424801875</v>
      </c>
      <c r="H11" s="0" t="n">
        <f aca="false">H8+H10+H24</f>
        <v>6383.5556179395</v>
      </c>
      <c r="I11" s="0" t="n">
        <f aca="false">I8+I10+I24</f>
        <v>6606.98006456738</v>
      </c>
      <c r="J11" s="0" t="n">
        <f aca="false">J8+J10+J24</f>
        <v>6838.22436682724</v>
      </c>
      <c r="K11" s="0" t="n">
        <f aca="false">K8+K10+K24</f>
        <v>7043.37109783206</v>
      </c>
      <c r="L11" s="0" t="n">
        <f aca="false">L8+L10+L24</f>
        <v>7254.67223076702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4708</v>
      </c>
      <c r="D13" s="0" t="n">
        <f aca="false">D11+D12</f>
        <v>5115.242</v>
      </c>
      <c r="E13" s="0" t="n">
        <f aca="false">E11+E12</f>
        <v>5528.20422</v>
      </c>
      <c r="F13" s="0" t="n">
        <f aca="false">F11+F12</f>
        <v>5873.71698375</v>
      </c>
      <c r="G13" s="0" t="n">
        <f aca="false">G11+G12</f>
        <v>6138.03424801875</v>
      </c>
      <c r="H13" s="0" t="n">
        <f aca="false">H11+H12</f>
        <v>6383.5556179395</v>
      </c>
      <c r="I13" s="0" t="n">
        <f aca="false">I11+I12</f>
        <v>6606.98006456738</v>
      </c>
      <c r="J13" s="0" t="n">
        <f aca="false">J11+J12</f>
        <v>6838.22436682724</v>
      </c>
      <c r="K13" s="0" t="n">
        <f aca="false">K11+K12</f>
        <v>7043.37109783206</v>
      </c>
      <c r="L13" s="0" t="n">
        <f aca="false">L11+L12</f>
        <v>7254.67223076702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18</v>
      </c>
      <c r="D14" s="4" t="n">
        <f aca="false">Assumptions!D47</f>
        <v>18</v>
      </c>
      <c r="E14" s="4" t="n">
        <f aca="false">Assumptions!E47</f>
        <v>18</v>
      </c>
      <c r="F14" s="4" t="n">
        <f aca="false">Assumptions!F47</f>
        <v>18</v>
      </c>
      <c r="G14" s="4" t="n">
        <f aca="false">Assumptions!G47</f>
        <v>18</v>
      </c>
      <c r="H14" s="4" t="n">
        <f aca="false">Assumptions!H47</f>
        <v>18</v>
      </c>
      <c r="I14" s="4" t="n">
        <f aca="false">Assumptions!I47</f>
        <v>18</v>
      </c>
      <c r="J14" s="4" t="n">
        <f aca="false">Assumptions!J47</f>
        <v>18</v>
      </c>
      <c r="K14" s="4" t="n">
        <f aca="false">Assumptions!K47</f>
        <v>18</v>
      </c>
      <c r="L14" s="4" t="n">
        <f aca="false">Assumptions!L47</f>
        <v>18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3860.56</v>
      </c>
      <c r="D15" s="0" t="n">
        <f aca="false">D13-MAX(0,D13)*D14/100</f>
        <v>4194.49844</v>
      </c>
      <c r="E15" s="0" t="n">
        <f aca="false">E13-MAX(0,E13)*E14/100</f>
        <v>4533.1274604</v>
      </c>
      <c r="F15" s="0" t="n">
        <f aca="false">F13-MAX(0,F13)*F14/100</f>
        <v>4816.447926675</v>
      </c>
      <c r="G15" s="0" t="n">
        <f aca="false">G13-MAX(0,G13)*G14/100</f>
        <v>5033.18808337538</v>
      </c>
      <c r="H15" s="0" t="n">
        <f aca="false">H13-MAX(0,H13)*H14/100</f>
        <v>5234.51560671039</v>
      </c>
      <c r="I15" s="0" t="n">
        <f aca="false">I13-MAX(0,I13)*I14/100</f>
        <v>5417.72365294525</v>
      </c>
      <c r="J15" s="0" t="n">
        <f aca="false">J13-MAX(0,J13)*J14/100</f>
        <v>5607.34398079834</v>
      </c>
      <c r="K15" s="0" t="n">
        <f aca="false">K13-MAX(0,K13)*K14/100</f>
        <v>5775.56430022229</v>
      </c>
      <c r="L15" s="0" t="n">
        <f aca="false">L13-MAX(0,L13)*L14/100</f>
        <v>5948.83122922896</v>
      </c>
    </row>
    <row r="16" customFormat="false" ht="15" hidden="false" customHeight="false" outlineLevel="0" collapsed="false">
      <c r="A16" s="0" t="s">
        <v>128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-1259.39</v>
      </c>
      <c r="D17" s="4" t="n">
        <f aca="false">-D6*Assumptions!D46/100</f>
        <v>-1334.9534</v>
      </c>
      <c r="E17" s="4" t="n">
        <f aca="false">-E6*Assumptions!E46/100</f>
        <v>-1289.914318</v>
      </c>
      <c r="F17" s="4" t="n">
        <f aca="false">-F6*Assumptions!F46/100</f>
        <v>-1230.02543895</v>
      </c>
      <c r="G17" s="4" t="n">
        <f aca="false">-G6*Assumptions!G46/100</f>
        <v>-1169.83711550475</v>
      </c>
      <c r="H17" s="4" t="n">
        <f aca="false">-H6*Assumptions!H46/100</f>
        <v>-1081.44942233328</v>
      </c>
      <c r="I17" s="4" t="n">
        <f aca="false">-I6*Assumptions!I46/100</f>
        <v>-979.387633100577</v>
      </c>
      <c r="J17" s="4" t="n">
        <f aca="false">-J6*Assumptions!J46/100</f>
        <v>-1013.6662002591</v>
      </c>
      <c r="K17" s="4" t="n">
        <f aca="false">-K6*Assumptions!K46/100</f>
        <v>-894.922445371603</v>
      </c>
      <c r="L17" s="4" t="n">
        <f aca="false">-L6*Assumptions!L46/100</f>
        <v>-921.770118732751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2601.17</v>
      </c>
      <c r="D19" s="0" t="n">
        <f aca="false">D15+D16+D17+D18</f>
        <v>2859.54504</v>
      </c>
      <c r="E19" s="0" t="n">
        <f aca="false">E15+E16+E17+E18</f>
        <v>3243.2131424</v>
      </c>
      <c r="F19" s="0" t="n">
        <f aca="false">F15+F16+F17+F18</f>
        <v>3586.422487725</v>
      </c>
      <c r="G19" s="0" t="n">
        <f aca="false">G15+G16+G17+G18</f>
        <v>3863.35096787063</v>
      </c>
      <c r="H19" s="0" t="n">
        <f aca="false">H15+H16+H17+H18</f>
        <v>4153.06618437711</v>
      </c>
      <c r="I19" s="0" t="n">
        <f aca="false">I15+I16+I17+I18</f>
        <v>4438.33601984468</v>
      </c>
      <c r="J19" s="0" t="n">
        <f aca="false">J15+J16+J17+J18</f>
        <v>4593.67778053924</v>
      </c>
      <c r="K19" s="0" t="n">
        <f aca="false">K15+K16+K17+K18</f>
        <v>4880.64185485069</v>
      </c>
      <c r="L19" s="0" t="n">
        <f aca="false">L15+L16+L17+L18</f>
        <v>5027.0611104962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2354</v>
      </c>
      <c r="D21" s="0" t="n">
        <f aca="false">D19*D20</f>
        <v>2341.92177883336</v>
      </c>
      <c r="E21" s="0" t="n">
        <f aca="false">E19*E20</f>
        <v>2403.74645728716</v>
      </c>
      <c r="F21" s="0" t="n">
        <f aca="false">F19*F20</f>
        <v>2405.53863764661</v>
      </c>
      <c r="G21" s="0" t="n">
        <f aca="false">G19*G20</f>
        <v>2345.05359914608</v>
      </c>
      <c r="H21" s="0" t="n">
        <f aca="false">H19*H20</f>
        <v>2281.3671517586</v>
      </c>
      <c r="I21" s="0" t="n">
        <f aca="false">I19*I20</f>
        <v>2206.39991847358</v>
      </c>
      <c r="J21" s="0" t="n">
        <f aca="false">J19*J20</f>
        <v>2066.62797793679</v>
      </c>
      <c r="K21" s="0" t="n">
        <f aca="false">K19*K20</f>
        <v>1987.08496703396</v>
      </c>
      <c r="L21" s="0" t="n">
        <f aca="false">L19*L20</f>
        <v>1852.21494664704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10.5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22243.9554347632</v>
      </c>
    </row>
    <row r="31" customFormat="false" ht="15" hidden="false" customHeight="false" outlineLevel="0" collapsed="false">
      <c r="A31" s="0" t="s">
        <v>137</v>
      </c>
      <c r="B31" s="0" t="n">
        <f aca="false">L19</f>
        <v>5027.0611104962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69038.3059174812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75405.9166574431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69038.3059174812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25437.085267286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47681.0407020492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44800.0407020492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22.0039492642678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0.438166618579593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1443.56658585458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1468.35466738154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23.4341659898258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43148.9411984258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12.725123513541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13.0561783842455</v>
      </c>
      <c r="C4" s="0" t="n">
        <f aca="false">B4/Assumptions!$B$2-1</f>
        <v>-0.146655007565653</v>
      </c>
      <c r="D4" s="4" t="n">
        <f aca="false">Assumptions!$B$24</f>
        <v>0.25</v>
      </c>
      <c r="E4" s="4" t="n">
        <f aca="false">DCF_Bear!$B$43</f>
        <v>14.1475871098485</v>
      </c>
      <c r="F4" s="4" t="n">
        <f aca="false">DCF_Bear!$B$47</f>
        <v>7.92223441458037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18.100063122848</v>
      </c>
      <c r="C5" s="0" t="n">
        <f aca="false">B5/Assumptions!$B$2-1</f>
        <v>0.183010661624049</v>
      </c>
      <c r="D5" s="4" t="n">
        <f aca="false">Assumptions!$B$38</f>
        <v>0.5</v>
      </c>
      <c r="E5" s="4" t="n">
        <f aca="false">DCF_Base!$B$43</f>
        <v>19.3889645970086</v>
      </c>
      <c r="F5" s="4" t="n">
        <f aca="false">DCF_Base!$B$47</f>
        <v>10.7726595688832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22.0039492642678</v>
      </c>
      <c r="C6" s="0" t="n">
        <f aca="false">B6/Assumptions!$B$2-1</f>
        <v>0.438166618579593</v>
      </c>
      <c r="D6" s="4" t="n">
        <f aca="false">Assumptions!$B$52</f>
        <v>0.25</v>
      </c>
      <c r="E6" s="4" t="n">
        <f aca="false">DCF_Bull!$B$43</f>
        <v>23.4341659898258</v>
      </c>
      <c r="F6" s="4" t="n">
        <f aca="false">DCF_Bull!$B$47</f>
        <v>12.725123513541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17.8150634735523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19.0899205734229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0.141176228604859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-197.281991354768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10.5481692664719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22.1587579489658</v>
      </c>
      <c r="C15" s="3" t="n">
        <v>9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19.4650668046838</v>
      </c>
      <c r="C16" s="3" t="n">
        <v>10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18.100063122848</v>
      </c>
      <c r="C17" s="3" t="n">
        <v>10.5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16.8972106110336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14.8753522045986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10.7726595688832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8.5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22.5735678265853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23.0314316832325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23.0314316832325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23.0314316832325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23.0314316832325</v>
      </c>
    </row>
    <row r="25" customFormat="false" ht="15" hidden="false" customHeight="false" outlineLevel="0" collapsed="false">
      <c r="A25" s="3" t="n">
        <v>9.5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19.393427380041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20.155779164058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21.0270383457917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21.3254147778923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21.3254147778923</v>
      </c>
    </row>
    <row r="26" customFormat="false" ht="15" hidden="false" customHeight="false" outlineLevel="0" collapsed="false">
      <c r="A26" s="3" t="n">
        <v>10.5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16.9292953994777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17.4802449163578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18.100063122848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18.8025237568701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19.6053359100384</v>
      </c>
    </row>
    <row r="27" customFormat="false" ht="15" hidden="false" customHeight="false" outlineLevel="0" collapsed="false">
      <c r="A27" s="3" t="n">
        <v>11.5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14.9657627231989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15.3748691783829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15.8294319063652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16.3374726023453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16.909018385323</v>
      </c>
    </row>
    <row r="28" customFormat="false" ht="15" hidden="false" customHeight="false" outlineLevel="0" collapsed="false">
      <c r="A28" s="3" t="n">
        <v>12.5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13.3657973231543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13.676309801582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14.0178735278525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14.3953913305725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14.8148555558169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2026-09-28T21:13:19Z</dcterms:created>
  <dc:creator>openpyxl</dc:creator>
  <dc:description/>
  <dc:language>en-NZ</dc:language>
  <cp:lastModifiedBy/>
  <dcterms:modified xsi:type="dcterms:W3CDTF">2026-09-28T21:13:19Z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