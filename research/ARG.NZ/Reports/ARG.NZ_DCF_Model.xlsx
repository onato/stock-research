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<sst xmlns="http://schemas.openxmlformats.org/spreadsheetml/2006/main" count="113" uniqueCount="111">
  <si>
    <t>ARG.NZ AFFO-Capitalization Valuation Model (REIT)</t>
  </si>
  <si>
    <t>Gray cells are INPUTS - adjust to see valuation change. Model discounts AFFO at COST OF EQUITY (not WACC); no net-debt deduction (AFFO is post-interest).</t>
  </si>
  <si>
    <t>KEY INPUTS</t>
  </si>
  <si>
    <t>Current Stock Price (NZD)</t>
  </si>
  <si>
    <t>Shares Outstanding (M, FY2026)</t>
  </si>
  <si>
    <t>NTA per Share (NZD, FY2026)</t>
  </si>
  <si>
    <t>Net Debt (M, memo only - not subtracted)</t>
  </si>
  <si>
    <t>Reported AFFO FY2026 (M)</t>
  </si>
  <si>
    <t>Less: Stock-Based Comp (M)</t>
  </si>
  <si>
    <t>Base AFFO, after SBC (M)</t>
  </si>
  <si>
    <t>Annual Share Dilution (DRP)</t>
  </si>
  <si>
    <t>Cost of Equity</t>
  </si>
  <si>
    <t>Exit AFFO Yield (Terminal)</t>
  </si>
  <si>
    <t>AFFO Annual Growth Rate (Base)</t>
  </si>
  <si>
    <t>PROJECTIONS (Base Case)</t>
  </si>
  <si>
    <t>FY2026</t>
  </si>
  <si>
    <t>FY2027</t>
  </si>
  <si>
    <t>FY2028</t>
  </si>
  <si>
    <t>FY2029</t>
  </si>
  <si>
    <t>FY2030</t>
  </si>
  <si>
    <t>FY2031</t>
  </si>
  <si>
    <t>AFFO (NZD M)</t>
  </si>
  <si>
    <t>Shares Outstanding (M)</t>
  </si>
  <si>
    <t>Discount Factor (at CoE)</t>
  </si>
  <si>
    <t>PV of AFFO</t>
  </si>
  <si>
    <t>VALUATION</t>
  </si>
  <si>
    <t>Sum of PV of AFFO (Yrs 1-5)</t>
  </si>
  <si>
    <t>Terminal AFFO (Year 5)</t>
  </si>
  <si>
    <t>Terminal Value (= Terminal AFFO / Exit Yield)</t>
  </si>
  <si>
    <t>PV of Terminal Value</t>
  </si>
  <si>
    <t>Equity Value (Sum PV AFFO + PV Terminal)</t>
  </si>
  <si>
    <t>Note: no net-debt deduction (AFFO is post-interest, equity-level)</t>
  </si>
  <si>
    <t>INTRINSIC VALUE/SHARE</t>
  </si>
  <si>
    <t>ENTRY PRICE (15% IRR Target)</t>
  </si>
  <si>
    <t>PV of Yrs 1-5 AFFO @15%</t>
  </si>
  <si>
    <t>PV of Terminal Value @15%</t>
  </si>
  <si>
    <t>Entry Equity Value</t>
  </si>
  <si>
    <t>Entry Price (15% CAGR)</t>
  </si>
  <si>
    <t>UPSIDE / CROSS-CHECKS</t>
  </si>
  <si>
    <t>Upside to Intrinsic Value</t>
  </si>
  <si>
    <t>Upside to Entry Price</t>
  </si>
  <si>
    <t>Current Price P/AFFO (x)</t>
  </si>
  <si>
    <t>Current Price P/NTA (x)</t>
  </si>
  <si>
    <t>No-Growth AFFO-Cap Floor (per share)</t>
  </si>
  <si>
    <t>NTA Ceiling Proxy (per share)</t>
  </si>
  <si>
    <t>Sensitivity Analysis</t>
  </si>
  <si>
    <t>Intrinsic Value by Cost of Equity &amp; Exit AFFO Yield (Base-case 1.8% AFFO growth)</t>
  </si>
  <si>
    <t>CoE \ Exit Yield</t>
  </si>
  <si>
    <t>Note: AFFO path (C20:G20) uses the base-case 1.8% growth rate fixed on the DCF Model sheet;</t>
  </si>
  <si>
    <t>only cost of equity (discount rate) and exit yield (terminal capitalization) vary here.</t>
  </si>
  <si>
    <t>AFFO Quality / Reconciliation</t>
  </si>
  <si>
    <t>Argosy AFFO history vs reported OCF-based FCF and NPAT (illustrates why AFFO, not reported FCF/NPAT, is the DCF base)</t>
  </si>
  <si>
    <t>Metric</t>
  </si>
  <si>
    <t>FY2020</t>
  </si>
  <si>
    <t>FY2021</t>
  </si>
  <si>
    <t>FY2022</t>
  </si>
  <si>
    <t>FY2023</t>
  </si>
  <si>
    <t>FY2024</t>
  </si>
  <si>
    <t>FY2025</t>
  </si>
  <si>
    <t>AFFO (NZD M, company-disclosed)</t>
  </si>
  <si>
    <t>Reported NPAT (NZD M) - incl. unrealised revaluations</t>
  </si>
  <si>
    <t>Reported FCF = OCF - Capex (NZD M)</t>
  </si>
  <si>
    <t>Observation:</t>
  </si>
  <si>
    <t>NPAT swings on unrealised fair-value gains/losses (e.g. FY2021 +$241.7m revaluation-driven, FY2023 -$80.8m)</t>
  </si>
  <si>
    <t>and reported FCF is frequently negative due to development capex timing.</t>
  </si>
  <si>
    <t>AFFO strips these distortions and approximates sustainable, post-interest equity cash flow (~$48-60m range, FY2020-26).</t>
  </si>
  <si>
    <t>Historical Growth Rates</t>
  </si>
  <si>
    <t>Value</t>
  </si>
  <si>
    <t>AFFO 3yr CAGR (FY23-26)</t>
  </si>
  <si>
    <t>AFFO 5yr CAGR (FY21-26)</t>
  </si>
  <si>
    <t>Revenue 10yr CAGR</t>
  </si>
  <si>
    <t>Revenue 5yr CAGR</t>
  </si>
  <si>
    <t>Revenue 3yr CAGR</t>
  </si>
  <si>
    <t>NTA 10yr CAGR</t>
  </si>
  <si>
    <t>NTA 5yr CAGR</t>
  </si>
  <si>
    <t>Selected Base-Case Growth Rate:</t>
  </si>
  <si>
    <t>Source:</t>
  </si>
  <si>
    <t>management-guided qualitative build: 9.3% under-renting reversion (3.5% annualised FY2026 rent-review uplift) partially offset by higher average interest cost as green bonds refinance; AFFO has been range-bound $48-60m for 7 years with no clear compounding trend, so base case uses low-single-digit growth rather than extrapolating a raw historical CAGR</t>
  </si>
  <si>
    <t>Model Provenance &amp; Methodology Notes</t>
  </si>
  <si>
    <t>Built by</t>
  </si>
  <si>
    <t>Claude (dcf-analyst agent), Stock Research pipeline</t>
  </si>
  <si>
    <t>Build date</t>
  </si>
  <si>
    <t>2026-08-04</t>
  </si>
  <si>
    <t>Share price date/source</t>
  </si>
  <si>
    <t>NZ$1.045, live Yahoo Finance quote fetched 2026-08-04 (ARG.NZ)</t>
  </si>
  <si>
    <t>Data vintage</t>
  </si>
  <si>
    <t>FY2026 Annual Result (20 May 2026) is the latest filing; H1-2026 (interim, Sep 2025) also incorporated for KPI context (occupancy, WALT)</t>
  </si>
  <si>
    <t>Model type</t>
  </si>
  <si>
    <t>AFFO-capitalization / cost-of-equity REIT model, NOT a standard owner-FCF WACC-based DCF</t>
  </si>
  <si>
    <t>Why not a standard FCF DCF</t>
  </si>
  <si>
    <t>Reported NPAT is dominated by unrealised property revaluations (FY2021 +$241.7m, FY2023 -$80.8m) and reported OCF-Capex FCF is frequently negative due to development capex timing. Company-disclosed AFFO (Adjusted Funds From Operations) is used instead as it already deducts maintenance capex and leasing incentives.</t>
  </si>
  <si>
    <t>Discount rate choice</t>
  </si>
  <si>
    <t>AFFO is measured AFTER interest expense (i.e., an equity-level cash flow), so it is discounted at the REIT cost of equity (~8.5-10.5% across scenarios), not WACC. Net debt is NOT subtracted a second time from the resulting equity value — doing so would double-count leverage already embedded in AFFO.</t>
  </si>
  <si>
    <t>Terminal value method</t>
  </si>
  <si>
    <t>Exit AFFO yield capitalization (Terminal AFFO / exit yield), consistent with the stock trading at roughly 13-24x AFFO/share (NZ$0.90-1.65) over the past 10 years. No 20x FCF cap applied — the capitalization multiple range (12.5x-16.7x across scenarios) is already conservative versus the historical trading range.</t>
  </si>
  <si>
    <t>Cross-checks applied</t>
  </si>
  <si>
    <t>Base-case IV ($0.89) checked to fall between (a) a no-growth AFFO-capitalization floor (~$0.71, current AFFO/share / cost of equity) and (b) FY2026 NTA/share ($1.60) as a replacement-value ceiling proxy.</t>
  </si>
  <si>
    <t>Base AFFO</t>
  </si>
  <si>
    <t>FY2026 reported AFFO $59.117m, less negligible SBC $0.299m = $58.818m owner AFFO base (6.73 cps)</t>
  </si>
  <si>
    <t>Growth assumption basis</t>
  </si>
  <si>
    <t>AFFO has been range-bound $48-60m for 7 years (FY2020-26) with no clear compounding trend. Base case uses 1.8% p.a., informed by 9.3% portfolio under-renting (3.5% annualised FY2026 rent-review uplift) offset by refinancing cost drag, rather than extrapolating any raw historical CAGR (several of which are negative or misleadingly high due to a strong FY2021 base year).</t>
  </si>
  <si>
    <t>Share dilution</t>
  </si>
  <si>
    <t>1.0%/yr assumed from DRP (dividend reinvestment plan); no buyback programme; historical FY2022-26 share count CAGR was ~0.79%/yr. DRP was suspended for the Q4 FY2026 dividend following divestment proceeds, but the model uses the long-run 1%/yr rate as a conservative default.</t>
  </si>
  <si>
    <t>Entry price method</t>
  </si>
  <si>
    <t>15% IRR hurdle applied to (a) PV of base-case AFFO Yrs 1-5, discounted at 15%, plus (b) PV of the year-5 terminal value (computed with the BASE-CASE exit yield of 7%, i.e. the fair price a buyer pays at exit) discounted at 15%. No net-debt deduction, consistent with the equity-level nature of AFFO.</t>
  </si>
  <si>
    <t>What to refresh after next print</t>
  </si>
  <si>
    <t>FY2027 interim (H1-2027, expected ~Nov 2026) and FY2027 annual result (expected ~May 2027): update AFFO, shares outstanding, NTA/share, net debt, occupancy/WALT, and re-check whether the FFO-based dividend policy (80-95% payout, adopted FY2026) has produced a materially different AFFO trajectory than assumed.</t>
  </si>
  <si>
    <t>Cell colour convention</t>
  </si>
  <si>
    <t>Gray cells = editable inputs. White cells = formulas (do not overwrite). Green cells = key valuation outputs.</t>
  </si>
  <si>
    <t>Staleness warning</t>
  </si>
  <si>
    <t>All figures are point-in-time as of the FY2026 annual result and the 2026-08-04 share price. Re-verify before relying on this model for a live investment decision, particularly cost-of-equity and exit-yield assumptions which are judgement calls, not disclosed figures.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</si>
</sst>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0.00%"/>
    <numFmt numFmtId="166" formatCode="&quot;$&quot;#,##0.0000"/>
    <numFmt numFmtId="167" formatCode="0.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167" fontId="4" fillId="3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cols>
    <col min="1" max="1" width="32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1.045</v>
      </c>
    </row>
    <row r="6" spans="1:2">
      <c r="A6" t="s">
        <v>4</v>
      </c>
      <c r="B6" s="4">
        <v>873.5</v>
      </c>
    </row>
    <row r="7" spans="1:2">
      <c r="A7" t="s">
        <v>5</v>
      </c>
      <c r="B7" s="4">
        <v>1.6</v>
      </c>
    </row>
    <row r="8" spans="1:2">
      <c r="A8" t="s">
        <v>6</v>
      </c>
      <c r="B8" s="4">
        <v>852.126</v>
      </c>
    </row>
    <row r="9" spans="1:2">
      <c r="A9" t="s">
        <v>7</v>
      </c>
      <c r="B9" s="4">
        <v>59.117</v>
      </c>
    </row>
    <row r="10" spans="1:2">
      <c r="A10" t="s">
        <v>8</v>
      </c>
      <c r="B10" s="4">
        <v>0.299</v>
      </c>
    </row>
    <row r="11" spans="1:2">
      <c r="A11" t="s">
        <v>9</v>
      </c>
      <c r="B11" s="5">
        <f>B9-B10</f>
        <v>0</v>
      </c>
    </row>
    <row r="12" spans="1:2">
      <c r="A12" t="s">
        <v>10</v>
      </c>
      <c r="B12" s="6">
        <v>0.01</v>
      </c>
    </row>
    <row r="14" spans="1:2">
      <c r="A14" t="s">
        <v>11</v>
      </c>
      <c r="B14" s="6">
        <v>0.095</v>
      </c>
    </row>
    <row r="15" spans="1:2">
      <c r="A15" t="s">
        <v>12</v>
      </c>
      <c r="B15" s="6">
        <v>0.07000000000000001</v>
      </c>
    </row>
    <row r="16" spans="1:2">
      <c r="A16" t="s">
        <v>13</v>
      </c>
      <c r="B16" s="6">
        <v>0.018</v>
      </c>
    </row>
    <row r="18" spans="1:7">
      <c r="A18" s="3" t="s">
        <v>14</v>
      </c>
    </row>
    <row r="19" spans="1:7">
      <c r="A19" s="7"/>
      <c r="B19" s="7" t="s">
        <v>15</v>
      </c>
      <c r="C19" s="7" t="s">
        <v>16</v>
      </c>
      <c r="D19" s="7" t="s">
        <v>17</v>
      </c>
      <c r="E19" s="7" t="s">
        <v>18</v>
      </c>
      <c r="F19" s="7" t="s">
        <v>19</v>
      </c>
      <c r="G19" s="7" t="s">
        <v>20</v>
      </c>
    </row>
    <row r="20" spans="1:7">
      <c r="A20" t="s">
        <v>21</v>
      </c>
      <c r="B20" s="5">
        <f>B11</f>
        <v>0</v>
      </c>
      <c r="C20" s="5">
        <f>B20*(1+$B$16)</f>
        <v>0</v>
      </c>
      <c r="D20" s="5">
        <f>C20*(1+$B$16)</f>
        <v>0</v>
      </c>
      <c r="E20" s="5">
        <f>D20*(1+$B$16)</f>
        <v>0</v>
      </c>
      <c r="F20" s="5">
        <f>E20*(1+$B$16)</f>
        <v>0</v>
      </c>
      <c r="G20" s="5">
        <f>F20*(1+$B$16)</f>
        <v>0</v>
      </c>
    </row>
    <row r="21" spans="1:7">
      <c r="A21" t="s">
        <v>22</v>
      </c>
      <c r="B21" s="5">
        <f>B6</f>
        <v>0</v>
      </c>
      <c r="C21" s="5">
        <f>B21*(1+$B$12)</f>
        <v>0</v>
      </c>
      <c r="D21" s="5">
        <f>C21*(1+$B$12)</f>
        <v>0</v>
      </c>
      <c r="E21" s="5">
        <f>D21*(1+$B$12)</f>
        <v>0</v>
      </c>
      <c r="F21" s="5">
        <f>E21*(1+$B$12)</f>
        <v>0</v>
      </c>
      <c r="G21" s="5">
        <f>F21*(1+$B$12)</f>
        <v>0</v>
      </c>
    </row>
    <row r="22" spans="1:7">
      <c r="A22" t="s">
        <v>23</v>
      </c>
      <c r="C22" s="5">
        <f>1/(1+$B$14)^1</f>
        <v>0</v>
      </c>
      <c r="D22" s="5">
        <f>1/(1+$B$14)^2</f>
        <v>0</v>
      </c>
      <c r="E22" s="5">
        <f>1/(1+$B$14)^3</f>
        <v>0</v>
      </c>
      <c r="F22" s="5">
        <f>1/(1+$B$14)^4</f>
        <v>0</v>
      </c>
      <c r="G22" s="5">
        <f>1/(1+$B$14)^5</f>
        <v>0</v>
      </c>
    </row>
    <row r="23" spans="1:7">
      <c r="A23" t="s">
        <v>24</v>
      </c>
      <c r="C23" s="5">
        <f>C20*C22</f>
        <v>0</v>
      </c>
      <c r="D23" s="5">
        <f>D20*D22</f>
        <v>0</v>
      </c>
      <c r="E23" s="5">
        <f>E20*E22</f>
        <v>0</v>
      </c>
      <c r="F23" s="5">
        <f>F20*F22</f>
        <v>0</v>
      </c>
      <c r="G23" s="5">
        <f>G20*G22</f>
        <v>0</v>
      </c>
    </row>
    <row r="25" spans="1:7">
      <c r="A25" s="3" t="s">
        <v>25</v>
      </c>
    </row>
    <row r="26" spans="1:7">
      <c r="A26" t="s">
        <v>26</v>
      </c>
      <c r="B26" s="5">
        <f>SUM(C23:G23)</f>
        <v>0</v>
      </c>
    </row>
    <row r="27" spans="1:7">
      <c r="A27" t="s">
        <v>27</v>
      </c>
      <c r="B27" s="5">
        <f>G20</f>
        <v>0</v>
      </c>
    </row>
    <row r="28" spans="1:7">
      <c r="A28" t="s">
        <v>28</v>
      </c>
      <c r="B28" s="5">
        <f>B27/$B$15</f>
        <v>0</v>
      </c>
    </row>
    <row r="29" spans="1:7">
      <c r="A29" t="s">
        <v>29</v>
      </c>
      <c r="B29" s="5">
        <f>B28*G22</f>
        <v>0</v>
      </c>
    </row>
    <row r="30" spans="1:7">
      <c r="A30" t="s">
        <v>30</v>
      </c>
      <c r="B30" s="5">
        <f>B26+B29</f>
        <v>0</v>
      </c>
    </row>
    <row r="31" spans="1:7">
      <c r="A31" s="2" t="s">
        <v>31</v>
      </c>
    </row>
    <row r="32" spans="1:7">
      <c r="A32" s="8" t="s">
        <v>32</v>
      </c>
      <c r="B32" s="9">
        <f>B30/G21</f>
        <v>0</v>
      </c>
    </row>
    <row r="34" spans="1:2">
      <c r="A34" s="3" t="s">
        <v>33</v>
      </c>
    </row>
    <row r="35" spans="1:2">
      <c r="A35" t="s">
        <v>34</v>
      </c>
      <c r="B35" s="5">
        <f>NPV(0.15,C20:G20)</f>
        <v>0</v>
      </c>
    </row>
    <row r="36" spans="1:2">
      <c r="A36" t="s">
        <v>35</v>
      </c>
      <c r="B36" s="5">
        <f>B28/(1.15^5)</f>
        <v>0</v>
      </c>
    </row>
    <row r="37" spans="1:2">
      <c r="A37" t="s">
        <v>36</v>
      </c>
      <c r="B37" s="5">
        <f>B35+B36</f>
        <v>0</v>
      </c>
    </row>
    <row r="38" spans="1:2">
      <c r="A38" t="s">
        <v>37</v>
      </c>
      <c r="B38" s="9">
        <f>B37/G21</f>
        <v>0</v>
      </c>
    </row>
    <row r="40" spans="1:2">
      <c r="A40" s="3" t="s">
        <v>38</v>
      </c>
    </row>
    <row r="41" spans="1:2">
      <c r="A41" t="s">
        <v>39</v>
      </c>
      <c r="B41" s="10">
        <f>(B32-B5)/B5</f>
        <v>0</v>
      </c>
    </row>
    <row r="42" spans="1:2">
      <c r="A42" t="s">
        <v>40</v>
      </c>
      <c r="B42" s="10">
        <f>(B5-B38)/B5</f>
        <v>0</v>
      </c>
    </row>
    <row r="43" spans="1:2">
      <c r="A43" t="s">
        <v>41</v>
      </c>
      <c r="B43" s="5">
        <f>B5/(B11/B6)</f>
        <v>0</v>
      </c>
    </row>
    <row r="44" spans="1:2">
      <c r="A44" t="s">
        <v>42</v>
      </c>
      <c r="B44" s="5">
        <f>B5/B7</f>
        <v>0</v>
      </c>
    </row>
    <row r="45" spans="1:2">
      <c r="A45" t="s">
        <v>43</v>
      </c>
      <c r="B45" s="11">
        <f>(B11/B6)/B14</f>
        <v>0</v>
      </c>
    </row>
    <row r="46" spans="1:2">
      <c r="A46" t="s">
        <v>44</v>
      </c>
      <c r="B46" s="11">
        <f>B7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45</v>
      </c>
    </row>
    <row r="2" spans="1:6">
      <c r="A2" t="s">
        <v>46</v>
      </c>
    </row>
    <row r="4" spans="1:6">
      <c r="A4" s="7" t="s">
        <v>47</v>
      </c>
      <c r="B4" s="12">
        <v>0.05</v>
      </c>
      <c r="C4" s="12">
        <v>0.06</v>
      </c>
      <c r="D4" s="12">
        <v>0.07000000000000001</v>
      </c>
      <c r="E4" s="12">
        <v>0.08</v>
      </c>
      <c r="F4" s="12">
        <v>0.09</v>
      </c>
    </row>
    <row r="5" spans="1:6">
      <c r="A5" s="12">
        <v>0.075</v>
      </c>
      <c r="B5" s="11">
        <f>(NPV(0.075,'DCF Model'!$C$20:'DCF Model'!$G$20)+('DCF Model'!$G$20/0.05)/(1+0.075)^5)/'DCF Model'!$G$21</f>
        <v>0</v>
      </c>
      <c r="C5" s="11">
        <f>(NPV(0.075,'DCF Model'!$C$20:'DCF Model'!$G$20)+('DCF Model'!$G$20/0.06)/(1+0.075)^5)/'DCF Model'!$G$21</f>
        <v>0</v>
      </c>
      <c r="D5" s="11">
        <f>(NPV(0.075,'DCF Model'!$C$20:'DCF Model'!$G$20)+('DCF Model'!$G$20/0.07)/(1+0.075)^5)/'DCF Model'!$G$21</f>
        <v>0</v>
      </c>
      <c r="E5" s="11">
        <f>(NPV(0.075,'DCF Model'!$C$20:'DCF Model'!$G$20)+('DCF Model'!$G$20/0.08)/(1+0.075)^5)/'DCF Model'!$G$21</f>
        <v>0</v>
      </c>
      <c r="F5" s="11">
        <f>(NPV(0.075,'DCF Model'!$C$20:'DCF Model'!$G$20)+('DCF Model'!$G$20/0.09)/(1+0.075)^5)/'DCF Model'!$G$21</f>
        <v>0</v>
      </c>
    </row>
    <row r="6" spans="1:6">
      <c r="A6" s="12">
        <v>0.08500000000000001</v>
      </c>
      <c r="B6" s="11">
        <f>(NPV(0.085,'DCF Model'!$C$20:'DCF Model'!$G$20)+('DCF Model'!$G$20/0.05)/(1+0.085)^5)/'DCF Model'!$G$21</f>
        <v>0</v>
      </c>
      <c r="C6" s="11">
        <f>(NPV(0.085,'DCF Model'!$C$20:'DCF Model'!$G$20)+('DCF Model'!$G$20/0.06)/(1+0.085)^5)/'DCF Model'!$G$21</f>
        <v>0</v>
      </c>
      <c r="D6" s="11">
        <f>(NPV(0.085,'DCF Model'!$C$20:'DCF Model'!$G$20)+('DCF Model'!$G$20/0.07)/(1+0.085)^5)/'DCF Model'!$G$21</f>
        <v>0</v>
      </c>
      <c r="E6" s="11">
        <f>(NPV(0.085,'DCF Model'!$C$20:'DCF Model'!$G$20)+('DCF Model'!$G$20/0.08)/(1+0.085)^5)/'DCF Model'!$G$21</f>
        <v>0</v>
      </c>
      <c r="F6" s="11">
        <f>(NPV(0.085,'DCF Model'!$C$20:'DCF Model'!$G$20)+('DCF Model'!$G$20/0.09)/(1+0.085)^5)/'DCF Model'!$G$21</f>
        <v>0</v>
      </c>
    </row>
    <row r="7" spans="1:6">
      <c r="A7" s="12">
        <v>0.095</v>
      </c>
      <c r="B7" s="11">
        <f>(NPV(0.095,'DCF Model'!$C$20:'DCF Model'!$G$20)+('DCF Model'!$G$20/0.05)/(1+0.095)^5)/'DCF Model'!$G$21</f>
        <v>0</v>
      </c>
      <c r="C7" s="11">
        <f>(NPV(0.095,'DCF Model'!$C$20:'DCF Model'!$G$20)+('DCF Model'!$G$20/0.06)/(1+0.095)^5)/'DCF Model'!$G$21</f>
        <v>0</v>
      </c>
      <c r="D7" s="11">
        <f>(NPV(0.095,'DCF Model'!$C$20:'DCF Model'!$G$20)+('DCF Model'!$G$20/0.07)/(1+0.095)^5)/'DCF Model'!$G$21</f>
        <v>0</v>
      </c>
      <c r="E7" s="11">
        <f>(NPV(0.095,'DCF Model'!$C$20:'DCF Model'!$G$20)+('DCF Model'!$G$20/0.08)/(1+0.095)^5)/'DCF Model'!$G$21</f>
        <v>0</v>
      </c>
      <c r="F7" s="11">
        <f>(NPV(0.095,'DCF Model'!$C$20:'DCF Model'!$G$20)+('DCF Model'!$G$20/0.09)/(1+0.095)^5)/'DCF Model'!$G$21</f>
        <v>0</v>
      </c>
    </row>
    <row r="8" spans="1:6">
      <c r="A8" s="12">
        <v>0.105</v>
      </c>
      <c r="B8" s="11">
        <f>(NPV(0.105,'DCF Model'!$C$20:'DCF Model'!$G$20)+('DCF Model'!$G$20/0.05)/(1+0.105)^5)/'DCF Model'!$G$21</f>
        <v>0</v>
      </c>
      <c r="C8" s="11">
        <f>(NPV(0.105,'DCF Model'!$C$20:'DCF Model'!$G$20)+('DCF Model'!$G$20/0.06)/(1+0.105)^5)/'DCF Model'!$G$21</f>
        <v>0</v>
      </c>
      <c r="D8" s="11">
        <f>(NPV(0.105,'DCF Model'!$C$20:'DCF Model'!$G$20)+('DCF Model'!$G$20/0.07)/(1+0.105)^5)/'DCF Model'!$G$21</f>
        <v>0</v>
      </c>
      <c r="E8" s="11">
        <f>(NPV(0.105,'DCF Model'!$C$20:'DCF Model'!$G$20)+('DCF Model'!$G$20/0.08)/(1+0.105)^5)/'DCF Model'!$G$21</f>
        <v>0</v>
      </c>
      <c r="F8" s="11">
        <f>(NPV(0.105,'DCF Model'!$C$20:'DCF Model'!$G$20)+('DCF Model'!$G$20/0.09)/(1+0.105)^5)/'DCF Model'!$G$21</f>
        <v>0</v>
      </c>
    </row>
    <row r="9" spans="1:6">
      <c r="A9" s="12">
        <v>0.115</v>
      </c>
      <c r="B9" s="11">
        <f>(NPV(0.115,'DCF Model'!$C$20:'DCF Model'!$G$20)+('DCF Model'!$G$20/0.05)/(1+0.115)^5)/'DCF Model'!$G$21</f>
        <v>0</v>
      </c>
      <c r="C9" s="11">
        <f>(NPV(0.115,'DCF Model'!$C$20:'DCF Model'!$G$20)+('DCF Model'!$G$20/0.06)/(1+0.115)^5)/'DCF Model'!$G$21</f>
        <v>0</v>
      </c>
      <c r="D9" s="11">
        <f>(NPV(0.115,'DCF Model'!$C$20:'DCF Model'!$G$20)+('DCF Model'!$G$20/0.07)/(1+0.115)^5)/'DCF Model'!$G$21</f>
        <v>0</v>
      </c>
      <c r="E9" s="11">
        <f>(NPV(0.115,'DCF Model'!$C$20:'DCF Model'!$G$20)+('DCF Model'!$G$20/0.08)/(1+0.115)^5)/'DCF Model'!$G$21</f>
        <v>0</v>
      </c>
      <c r="F9" s="11">
        <f>(NPV(0.115,'DCF Model'!$C$20:'DCF Model'!$G$20)+('DCF Model'!$G$20/0.09)/(1+0.115)^5)/'DCF Model'!$G$21</f>
        <v>0</v>
      </c>
    </row>
    <row r="11" spans="1:6">
      <c r="A11" s="2" t="s">
        <v>48</v>
      </c>
    </row>
    <row r="12" spans="1:6">
      <c r="A12" s="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34.7109375" customWidth="1"/>
    <col min="2" max="8" width="12.7109375" customWidth="1"/>
  </cols>
  <sheetData>
    <row r="1" spans="1:8">
      <c r="A1" s="1" t="s">
        <v>50</v>
      </c>
    </row>
    <row r="2" spans="1:8">
      <c r="A2" s="2" t="s">
        <v>51</v>
      </c>
    </row>
    <row r="4" spans="1:8">
      <c r="A4" s="7" t="s">
        <v>52</v>
      </c>
      <c r="B4" s="7" t="s">
        <v>53</v>
      </c>
      <c r="C4" s="7" t="s">
        <v>54</v>
      </c>
      <c r="D4" s="7" t="s">
        <v>55</v>
      </c>
      <c r="E4" s="7" t="s">
        <v>56</v>
      </c>
      <c r="F4" s="7" t="s">
        <v>57</v>
      </c>
      <c r="G4" s="7" t="s">
        <v>58</v>
      </c>
      <c r="H4" s="7" t="s">
        <v>15</v>
      </c>
    </row>
    <row r="5" spans="1:8">
      <c r="A5" t="s">
        <v>59</v>
      </c>
      <c r="B5" s="5">
        <v>51.829</v>
      </c>
      <c r="C5" s="5">
        <v>60.446</v>
      </c>
      <c r="D5" s="5">
        <v>48.332</v>
      </c>
      <c r="E5" s="5">
        <v>58.085</v>
      </c>
      <c r="F5" s="5">
        <v>58.426</v>
      </c>
      <c r="G5" s="5">
        <v>54.59</v>
      </c>
      <c r="H5" s="5">
        <v>59.117</v>
      </c>
    </row>
    <row r="6" spans="1:8">
      <c r="A6" t="s">
        <v>60</v>
      </c>
      <c r="B6" s="5">
        <v>98.5</v>
      </c>
      <c r="C6" s="5">
        <v>183.9</v>
      </c>
      <c r="D6" s="5">
        <v>179.5</v>
      </c>
      <c r="E6" s="5">
        <v>-55.9</v>
      </c>
      <c r="F6" s="5">
        <v>-35.6</v>
      </c>
      <c r="G6" s="5">
        <v>80.8</v>
      </c>
      <c r="H6" s="5">
        <v>79.90000000000001</v>
      </c>
    </row>
    <row r="7" spans="1:8">
      <c r="A7" t="s">
        <v>61</v>
      </c>
      <c r="B7" s="5">
        <v>-41.013</v>
      </c>
      <c r="C7" s="5">
        <v>19.553</v>
      </c>
      <c r="D7" s="5">
        <v>13.591</v>
      </c>
      <c r="E7" s="5">
        <v>12.76</v>
      </c>
      <c r="F7" s="5">
        <v>24.342</v>
      </c>
      <c r="G7" s="5">
        <v>1.545</v>
      </c>
      <c r="H7" s="5">
        <v>-2.898</v>
      </c>
    </row>
    <row r="9" spans="1:8">
      <c r="A9" s="8" t="s">
        <v>62</v>
      </c>
    </row>
    <row r="10" spans="1:8">
      <c r="A10" t="s">
        <v>63</v>
      </c>
    </row>
    <row r="11" spans="1:8">
      <c r="A11" t="s">
        <v>64</v>
      </c>
    </row>
    <row r="12" spans="1:8">
      <c r="A1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.7109375" customWidth="1"/>
    <col min="2" max="3" width="15.7109375" customWidth="1"/>
  </cols>
  <sheetData>
    <row r="1" spans="1:2">
      <c r="A1" s="1" t="s">
        <v>66</v>
      </c>
    </row>
    <row r="3" spans="1:2">
      <c r="A3" s="7" t="s">
        <v>52</v>
      </c>
      <c r="B3" s="7" t="s">
        <v>67</v>
      </c>
    </row>
    <row r="4" spans="1:2">
      <c r="A4" t="s">
        <v>68</v>
      </c>
      <c r="B4" s="10">
        <v>0.0059</v>
      </c>
    </row>
    <row r="5" spans="1:2">
      <c r="A5" t="s">
        <v>69</v>
      </c>
      <c r="B5" s="10">
        <v>-0.0444</v>
      </c>
    </row>
    <row r="6" spans="1:2">
      <c r="A6" t="s">
        <v>70</v>
      </c>
      <c r="B6" s="10">
        <v>0.0272</v>
      </c>
    </row>
    <row r="7" spans="1:2">
      <c r="A7" t="s">
        <v>71</v>
      </c>
      <c r="B7" s="10">
        <v>0.0399</v>
      </c>
    </row>
    <row r="8" spans="1:2">
      <c r="A8" t="s">
        <v>72</v>
      </c>
      <c r="B8" s="10">
        <v>0.034</v>
      </c>
    </row>
    <row r="9" spans="1:2">
      <c r="A9" t="s">
        <v>73</v>
      </c>
      <c r="B9" s="10">
        <v>0.0481</v>
      </c>
    </row>
    <row r="10" spans="1:2">
      <c r="A10" t="s">
        <v>74</v>
      </c>
      <c r="B10" s="10">
        <v>0.009000000000000001</v>
      </c>
    </row>
    <row r="12" spans="1:2">
      <c r="A12" s="8" t="s">
        <v>75</v>
      </c>
      <c r="B12" s="10">
        <v>0.018</v>
      </c>
    </row>
    <row r="13" spans="1:2">
      <c r="A13" t="s">
        <v>76</v>
      </c>
      <c r="B1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78</v>
      </c>
    </row>
    <row r="4" spans="1:2" ht="30" customHeight="1">
      <c r="A4" s="8" t="s">
        <v>79</v>
      </c>
      <c r="B4" s="13" t="s">
        <v>80</v>
      </c>
    </row>
    <row r="5" spans="1:2" ht="30" customHeight="1">
      <c r="A5" s="8" t="s">
        <v>81</v>
      </c>
      <c r="B5" s="13" t="s">
        <v>82</v>
      </c>
    </row>
    <row r="6" spans="1:2" ht="30" customHeight="1">
      <c r="A6" s="8" t="s">
        <v>83</v>
      </c>
      <c r="B6" s="13" t="s">
        <v>84</v>
      </c>
    </row>
    <row r="7" spans="1:2" ht="30" customHeight="1">
      <c r="A7" s="8" t="s">
        <v>85</v>
      </c>
      <c r="B7" s="13" t="s">
        <v>86</v>
      </c>
    </row>
    <row r="8" spans="1:2" ht="30" customHeight="1">
      <c r="A8" s="8" t="s">
        <v>87</v>
      </c>
      <c r="B8" s="13" t="s">
        <v>88</v>
      </c>
    </row>
    <row r="9" spans="1:2" ht="30" customHeight="1">
      <c r="A9" s="8" t="s">
        <v>89</v>
      </c>
      <c r="B9" s="13" t="s">
        <v>90</v>
      </c>
    </row>
    <row r="10" spans="1:2" ht="30" customHeight="1">
      <c r="A10" s="8" t="s">
        <v>91</v>
      </c>
      <c r="B10" s="13" t="s">
        <v>92</v>
      </c>
    </row>
    <row r="11" spans="1:2" ht="30" customHeight="1">
      <c r="A11" s="8" t="s">
        <v>93</v>
      </c>
      <c r="B11" s="13" t="s">
        <v>94</v>
      </c>
    </row>
    <row r="12" spans="1:2" ht="30" customHeight="1">
      <c r="A12" s="8" t="s">
        <v>95</v>
      </c>
      <c r="B12" s="13" t="s">
        <v>96</v>
      </c>
    </row>
    <row r="13" spans="1:2" ht="30" customHeight="1">
      <c r="A13" s="8" t="s">
        <v>97</v>
      </c>
      <c r="B13" s="13" t="s">
        <v>98</v>
      </c>
    </row>
    <row r="14" spans="1:2" ht="30" customHeight="1">
      <c r="A14" s="8" t="s">
        <v>99</v>
      </c>
      <c r="B14" s="13" t="s">
        <v>100</v>
      </c>
    </row>
    <row r="15" spans="1:2" ht="30" customHeight="1">
      <c r="A15" s="8" t="s">
        <v>101</v>
      </c>
      <c r="B15" s="13" t="s">
        <v>102</v>
      </c>
    </row>
    <row r="16" spans="1:2" ht="30" customHeight="1">
      <c r="A16" s="8" t="s">
        <v>103</v>
      </c>
      <c r="B16" s="13" t="s">
        <v>104</v>
      </c>
    </row>
    <row r="17" spans="1:2" ht="30" customHeight="1">
      <c r="A17" s="8" t="s">
        <v>105</v>
      </c>
      <c r="B17" s="13" t="s">
        <v>106</v>
      </c>
    </row>
    <row r="18" spans="1:2" ht="30" customHeight="1">
      <c r="A18" s="8" t="s">
        <v>107</v>
      </c>
      <c r="B18" s="13" t="s">
        <v>108</v>
      </c>
    </row>
    <row r="19" spans="1:2" ht="30" customHeight="1">
      <c r="A19" s="8" t="s">
        <v>109</v>
      </c>
      <c r="B19" s="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2026-08-04T01:26:18Z</dcterms:created>
  <dcterms:modified xsi:type="dcterms:W3CDTF">2026-08-04T01:26:18Z</dcterms:modified>
</cp:coreProperties>
</file>