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<sst xmlns="http://schemas.openxmlformats.org/spreadsheetml/2006/main" count="362" uniqueCount="171">
  <si>
    <t xml:space="preserve">Ticker</t>
  </si>
  <si>
    <t xml:space="preserve">2611.HK</t>
  </si>
  <si>
    <t xml:space="preserve">Company</t>
  </si>
  <si>
    <t xml:space="preserve">Guotai Haitong Securities Co., Ltd. (formerly Guotai Junan Securities)</t>
  </si>
  <si>
    <t xml:space="preserve">Valuation date</t>
  </si>
  <si>
    <t xml:space="preserve">2026-10-22</t>
  </si>
  <si>
    <t xml:space="preserve">Current price</t>
  </si>
  <si>
    <t xml:space="preserve">Price as of</t>
  </si>
  <si>
    <t xml:space="preserve">2026-10-22T02:50:11Z HKEX morning session, INTRADAY print (volatile; replace at the 08:00Z regular close)</t>
  </si>
  <si>
    <t xml:space="preserve">Balance sheet date</t>
  </si>
  <si>
    <t xml:space="preserve">2026-06-30</t>
  </si>
  <si>
    <t xml:space="preserve">Model</t>
  </si>
  <si>
    <t xml:space="preserve">Broker FCFE capitalisation at cost of equity (bank-style, net debt held at zero, engine route)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</si>
  <si>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</si>
  <si>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</si>
  <si>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</si>
  <si>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</si>
  <si>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</si>
  <si>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</si>
  <si>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</si>
  <si>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</si>
  <si>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</si>
  <si>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2026-10-22T03:10:43Z</t>
  </si>
  <si>
    <t xml:space="preserve">Drivers file</t>
  </si>
  <si>
    <t xml:space="preserve">2611.HK_Drivers.json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</si>
  <si>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</si>
  <si>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</si>
  <si>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</si>
  <si>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securities broker is valued on the dividends its ordinary equity can sustain, discounted at the cost of equity; reported FCF is client-balance noise and borrowings are operating funding, so net debt is zero. Guotai Haitong's ROE on ordinary equity has averaged ~7.6% over eight years and ~8% mid-cycle (12% annualised in the record H1 2026) against an 11% CNY cost of equity, so on fundamentals the equity is worth 0.35-0.9x book (RMB18.90/share at 30 June 2026), ~0.6x weighted. The H share trades at roughly that weighted value; the 15% hurdle requires a materially lower price. The scale and state-backing of the merged #1-2 Chinese broker are real but do not by themselves lift returns above the cost of equity - the industry's commission compression and its policy role cap ROE.
key_risks_to_valuation: Cycle: FY2026 is a record on doubled turnover; every 1pt of sustained pre-tax margin is worth ~RMB0.55/share (~HKD0.65) at the base revenue path, and the FY2022-23 trough shows margins can sit 10pts below mid-cycle for two years.; ROE below cost of equity: every 1pt of sustained ROE is worth ~RMB2.3/share (~HKD2.7) at an 11% CoE; the base case's terminal ~8% is the eight-year average, and a structural re-rating of Chinese broker returns (bull) or a policy-driven compression (bear) moves the value by ~40% either way.; Cost of equity: at 10% the base rises ~17%; at 12% it falls ~13%. The conclusion (fair value at or below book) holds at any rate above ~9%.; Dilution: the flat 17,515m share count ignores a further merger-currency issuance (the March 2025 share exchange doubled the count), an A-share placing like the RMB10bn 2025 one, or the restricted-share scheme's 89m granted shares; a discounted issue below book transfers value from H-share holders.; Integration and governance: multi-year Haitong consolidation (IT, legal entities, HK subsidiaries incl. the pending 1788.HK privatisation at 1.8x book, i.e. paying above the parent's own multiple), a vacant president's seat since July 2026, and Shanghai-SASAC control with policy mandates that may subordinate minority returns.; FX and listing: values are modelled in CNY and converted at CNYHKD 1.1751; a 5% RMB move shifts the HKD value by 5%. The A/H premium (~41%) is not arbitrageable by an H-share holder.</t>
  </si>
  <si>
    <t xml:space="preserve">Data sources</t>
  </si>
  <si>
    <t xml:space="preserve">price: Yahoo Finance chart API at inputs.price_as_of (HKEX intraday); 52-week range 12.73-18.53 HKD. FX CNYHKD=X and the A-share 601211.SS quote from the same source at the same hour.
financials: 2611.HK_Metrics.csv (core_metrics, RMB millions) from annual reports FY2018-FY2025 and interim reports H1 2024-H1 2026; income-statement anatomy, bargain-purchase gain (note 69(c)), tax reconciliation (note 18) and perpetual-bond deduction (note 22) from the FY2025 annual report; balance sheet, share count, net capital, risk-control indicators, interim dividend and perpetual issuance from the H1 2026 interim report (30 June 2026; share count as at 18 August 2026).
qualitative: 2611.HK_Analysis.json (2026-10-22): segment mix, merger history, three-year plan 2026-28, sector outlook, management transition, risks.</t>
  </si>
  <si>
    <t xml:space="preserve">Scenario narrative: bear</t>
  </si>
  <si>
    <t xml:space="preserve">The FY2022-23 downcycle repeats on a balance sheet twice the size: turnover halves from the record, IPO issuance is throttled, proprietary marks and the RMB300bn margin book generate credit losses, and the cost base built for the boom (staff costs +70% YoY in H1 2026) compresses the pre-tax margin to 25-28%. Revenue falls to ~92bn and grows 2% thereafter; ROE ~5-6%; fair value ~0.35x book, the 2023-24 trough multiple for the old Guotai Junan H share. A discounted capital raise to 'serve the country' would be the additional loss a flat share count does not model.</t>
  </si>
  <si>
    <t xml:space="preserve">Scenario narrative: base</t>
  </si>
  <si>
    <t xml:space="preserve">FY2026 is a record year (H1 revenue +81%, PBT margin 41%) on doubled A-share turnover; FY2027-28 revenue mean-reverts 6% and 4% to a ~113bn mid-cycle run-rate while the pre-tax margin settles at 34%, the pre-merger Guotai Junan average, with merger cost synergies offsetting legacy Haitong's lower margin and credit costs. Thereafter 3-3.5% nominal growth, ~36% of profit retained to keep gearing near 78%, payout ~64%. Terminal ROE on ordinary equity ~8% against an 11% cost of equity means retained capital earns less than it costs, so fair value sits at ~0.6x book (BVPS RMB18.90) - about where the H share trades today. The A share at ~0.85x book carries the premium.</t>
  </si>
  <si>
    <t xml:space="preserve">Scenario narrative: bull</t>
  </si>
  <si>
    <t xml:space="preserve">China's capital-markets policy push (Five Major Areas, STAR/ChiNext reform, household savings rotating into equities and managed products) holds A-share turnover structurally above RMB2.5tn/day; the merged group's #1 retail franchise, margin book and buy-side AUM compound revenue 4-5% off the FY2026 record, and completed legal-entity/IT consolidation plus AI productivity sustain a 38% pre-tax margin. ROE reaches ~10% - close to, but still below, the cost of equity - so fair value is ~0.9x book, in line with where CITIC Securities' H share has traded in strong years.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</si>
  <si>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</si>
  <si>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</si>
  <si>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</si>
  <si>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</si>
  <si>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</si>
  <si>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</si>
  <si>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</si>
  <si>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</si>
  <si>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</si>
  <si>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</si>
  <si>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</si>
  <si>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</si>
  <si>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</si>
  <si>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</si>
  <si>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</si>
  <si>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</si>
  <si>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</si>
  <si>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</si>
  <si>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</si>
  <si>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</si>
  <si>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</si>
  <si>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</si>
  <si>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</si>
  <si>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</si>
  <si>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</si>
  <si>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</si>
  <si>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</si>
  <si>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CustomerBalances</t>
  </si>
  <si>
    <t xml:space="preserve">NetAssets</t>
  </si>
  <si>
    <t xml:space="preserve">NetInvestmentIncome</t>
  </si>
  <si>
    <t xml:space="preserve">NonControllingInterestProfit</t>
  </si>
  <si>
    <t xml:space="preserve">PerpetualCapitalInstruments</t>
  </si>
  <si>
    <t xml:space="preserve">ProfitForPeriodTotal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</si>
  <si>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</si>
  <si>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</si>
  <si>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</si>
  <si>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</si>
  <si>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</si>
  <si>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</si>
  <si>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</si>
  <si>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</si>
  <si>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</si>
  <si>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</si>
  <si>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</si>
  <si>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</si>
  <si>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</si>
  <si>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</si>
  <si>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</si>
  <si>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</si>
  <si>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</si>
  <si>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</si>
  <si>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FY2026E (year ending 2026-12-31, unreported: H1 2026 actual + H2 estimate)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</si>
  <si>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</si>
  <si>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</si>
  <si>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</si>
  <si>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</si>
  <si>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</si>
  <si>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</si>
  <si>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</si>
  <si>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</si>
  <si>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</si>
  <si>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</si>
  <si>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</si>
  <si>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</si>
  <si>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</si>
  <si>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</si>
  <si>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</si>
  <si>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</si>
  <si>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</si>
  <si>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</si>
  <si>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</si>
  <si>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</si>
  <si>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</si>
  <si>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</si>
  <si>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</si>
  <si>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</si>
  <si>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</si>
  <si>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</si>
  <si>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</si>
  <si>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</si>
  <si>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2611.HK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</si>
  <si>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</si>
  <si>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</si>
  <si>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</si>
  <si>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</si>
  <si>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</si>
  <si>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</si>
  <si>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</si>
  <si>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</si>
  <si>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</si>
  <si>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</si>
  <si>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</si>
  <si>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</si>
  <si>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</si>
  <si>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</si>
  <si>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</si>
  <si>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</si>
  <si>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</si>
  <si>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</si>
  <si>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</si>
  <si>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</si>
  <si>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</si>
  <si>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</si>
  <si>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</si>
  <si>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</si>
  <si>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</si>
  <si>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</si>
  <si>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</si>
  <si>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</si>
  <si>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</si>
  <si>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</si>
  <si>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2611.HK owner-FCF component DCF: base case (millions, CNY)</t>
  </si>
  <si>
    <t xml:space="preserve">2611.HK owner-FCF component DCF: bull case (millions, CNY)</t>
  </si>
  <si>
    <t xml:space="preserve">2611.HK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</si>
  <si>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</si>
  <si>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</si>
  <si>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</si>
  <si>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</si>
  <si>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</si>
  <si>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</si>
  <si>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</si>
  <si>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</si>
  <si>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</si>
  <si>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</si>
  <si>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</si>
  <si>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</si>
  <si>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</si>
  <si>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</si>
  <si>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</si>
  <si>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</si>
  <si>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 (WACC)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</si>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</sst>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13.21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  <c r="AG1" s="2" t="s">
        <v>68</v>
      </c>
      <c r="AH1" s="2" t="s">
        <v>69</v>
      </c>
    </row>
    <row r="2" customFormat="false" ht="15" hidden="false" customHeight="false" outlineLevel="0" collapsed="false">
      <c r="A2" s="0" t="s">
        <v>70</v>
      </c>
      <c r="B2" s="0" t="n">
        <v>31431.976</v>
      </c>
      <c r="F2" s="0" t="n">
        <v>13646.548</v>
      </c>
      <c r="G2" s="0" t="n">
        <v>43.4</v>
      </c>
      <c r="I2" s="0" t="n">
        <v>9881.545</v>
      </c>
      <c r="J2" s="0" t="n">
        <v>31.4</v>
      </c>
      <c r="K2" s="0" t="n">
        <v>1.1</v>
      </c>
      <c r="L2" s="0" t="n">
        <v>-39705.776</v>
      </c>
      <c r="M2" s="0" t="n">
        <v>897.902</v>
      </c>
      <c r="N2" s="0" t="n">
        <v>-40603.678</v>
      </c>
      <c r="O2" s="0" t="n">
        <v>123127.983</v>
      </c>
      <c r="P2" s="0" t="n">
        <v>431648.187</v>
      </c>
      <c r="Q2" s="0" t="n">
        <v>297952.964</v>
      </c>
      <c r="R2" s="0" t="n">
        <v>116287.004</v>
      </c>
      <c r="S2" s="0" t="n">
        <v>15985.949</v>
      </c>
      <c r="T2" s="0" t="n">
        <v>8713.934</v>
      </c>
      <c r="AA2" s="0" t="s">
        <v>18</v>
      </c>
      <c r="AB2" s="0" t="s">
        <v>14</v>
      </c>
      <c r="AD2" s="0" t="n">
        <v>133695.223</v>
      </c>
      <c r="AE2" s="0" t="n">
        <v>6434.621</v>
      </c>
      <c r="AF2" s="0" t="n">
        <v>601.364</v>
      </c>
      <c r="AH2" s="0" t="n">
        <v>10482.909</v>
      </c>
    </row>
    <row r="3" customFormat="false" ht="15" hidden="false" customHeight="false" outlineLevel="0" collapsed="false">
      <c r="A3" s="0" t="s">
        <v>71</v>
      </c>
      <c r="B3" s="0" t="n">
        <v>27709.259</v>
      </c>
      <c r="F3" s="0" t="n">
        <v>9140.797</v>
      </c>
      <c r="G3" s="0" t="n">
        <v>33</v>
      </c>
      <c r="I3" s="0" t="n">
        <v>6708.116</v>
      </c>
      <c r="J3" s="0" t="n">
        <v>24.2</v>
      </c>
      <c r="K3" s="0" t="n">
        <v>0.7</v>
      </c>
      <c r="L3" s="0" t="n">
        <v>77494.857</v>
      </c>
      <c r="M3" s="0" t="n">
        <v>918.349</v>
      </c>
      <c r="N3" s="0" t="n">
        <v>76576.508</v>
      </c>
      <c r="O3" s="0" t="n">
        <v>123450.063</v>
      </c>
      <c r="P3" s="0" t="n">
        <v>436729.08</v>
      </c>
      <c r="Q3" s="0" t="n">
        <v>303055.688</v>
      </c>
      <c r="R3" s="0" t="n">
        <v>83582.046</v>
      </c>
      <c r="S3" s="0" t="n">
        <v>20348.883</v>
      </c>
      <c r="T3" s="0" t="n">
        <v>8713.941</v>
      </c>
      <c r="AA3" s="0" t="s">
        <v>18</v>
      </c>
      <c r="AB3" s="0" t="s">
        <v>14</v>
      </c>
      <c r="AC3" s="0" t="n">
        <v>82347.043</v>
      </c>
      <c r="AD3" s="0" t="n">
        <v>133673.392</v>
      </c>
      <c r="AE3" s="0" t="n">
        <v>5073.084</v>
      </c>
      <c r="AF3" s="0" t="n">
        <v>361.922</v>
      </c>
      <c r="AG3" s="0" t="n">
        <v>11129.819</v>
      </c>
      <c r="AH3" s="0" t="n">
        <v>7070.038</v>
      </c>
    </row>
    <row r="4" customFormat="false" ht="15" hidden="false" customHeight="false" outlineLevel="0" collapsed="false">
      <c r="A4" s="0" t="s">
        <v>72</v>
      </c>
      <c r="B4" s="0" t="n">
        <v>32851.606</v>
      </c>
      <c r="F4" s="0" t="n">
        <v>11270.606</v>
      </c>
      <c r="G4" s="0" t="n">
        <v>34.3</v>
      </c>
      <c r="I4" s="0" t="n">
        <v>8637.037</v>
      </c>
      <c r="J4" s="0" t="n">
        <v>26.3</v>
      </c>
      <c r="K4" s="0" t="n">
        <v>0.9</v>
      </c>
      <c r="L4" s="0" t="n">
        <v>18800.355</v>
      </c>
      <c r="M4" s="0" t="n">
        <v>1782.708</v>
      </c>
      <c r="N4" s="0" t="n">
        <v>17017.647</v>
      </c>
      <c r="O4" s="0" t="n">
        <v>137501.49</v>
      </c>
      <c r="P4" s="0" t="n">
        <v>559314.278</v>
      </c>
      <c r="Q4" s="0" t="n">
        <v>413220.455</v>
      </c>
      <c r="R4" s="0" t="n">
        <v>98800.629</v>
      </c>
      <c r="S4" s="0" t="n">
        <v>25252.829</v>
      </c>
      <c r="T4" s="0" t="n">
        <v>8907.948</v>
      </c>
      <c r="AA4" s="0" t="s">
        <v>18</v>
      </c>
      <c r="AB4" s="0" t="s">
        <v>14</v>
      </c>
      <c r="AC4" s="0" t="n">
        <v>109336.526</v>
      </c>
      <c r="AD4" s="0" t="n">
        <v>146093.823</v>
      </c>
      <c r="AE4" s="0" t="n">
        <v>8096.61</v>
      </c>
      <c r="AF4" s="0" t="n">
        <v>414.319</v>
      </c>
      <c r="AG4" s="0" t="n">
        <v>16129.799</v>
      </c>
      <c r="AH4" s="0" t="n">
        <v>9051.356</v>
      </c>
    </row>
    <row r="5" customFormat="false" ht="15" hidden="false" customHeight="false" outlineLevel="0" collapsed="false">
      <c r="A5" s="0" t="s">
        <v>73</v>
      </c>
      <c r="B5" s="0" t="n">
        <v>40116.495</v>
      </c>
      <c r="F5" s="0" t="n">
        <v>14716.419</v>
      </c>
      <c r="G5" s="0" t="n">
        <v>36.7</v>
      </c>
      <c r="I5" s="0" t="n">
        <v>11122.099</v>
      </c>
      <c r="J5" s="0" t="n">
        <v>27.7</v>
      </c>
      <c r="K5" s="0" t="n">
        <v>1.19</v>
      </c>
      <c r="L5" s="0" t="n">
        <v>-4293.374</v>
      </c>
      <c r="M5" s="0" t="n">
        <v>796.343</v>
      </c>
      <c r="N5" s="0" t="n">
        <v>-5089.717</v>
      </c>
      <c r="O5" s="0" t="n">
        <v>137353.26</v>
      </c>
      <c r="P5" s="0" t="n">
        <v>702899.172</v>
      </c>
      <c r="Q5" s="0" t="n">
        <v>556661.354</v>
      </c>
      <c r="R5" s="0" t="n">
        <v>150186.113</v>
      </c>
      <c r="S5" s="0" t="n">
        <v>25275.458</v>
      </c>
      <c r="T5" s="0" t="n">
        <v>8908.448</v>
      </c>
      <c r="AA5" s="0" t="s">
        <v>18</v>
      </c>
      <c r="AB5" s="0" t="s">
        <v>14</v>
      </c>
      <c r="AC5" s="0" t="n">
        <v>157408.158</v>
      </c>
      <c r="AD5" s="0" t="n">
        <v>146237.818</v>
      </c>
      <c r="AE5" s="0" t="n">
        <v>8901.197</v>
      </c>
      <c r="AF5" s="0" t="n">
        <v>614.971</v>
      </c>
      <c r="AG5" s="0" t="n">
        <v>11071.661</v>
      </c>
      <c r="AH5" s="0" t="n">
        <v>11737.07</v>
      </c>
    </row>
    <row r="6" customFormat="false" ht="15" hidden="false" customHeight="false" outlineLevel="0" collapsed="false">
      <c r="A6" s="0" t="s">
        <v>74</v>
      </c>
      <c r="B6" s="0" t="n">
        <v>45933.809</v>
      </c>
      <c r="F6" s="0" t="n">
        <v>18573.558</v>
      </c>
      <c r="G6" s="0" t="n">
        <v>40.4</v>
      </c>
      <c r="I6" s="0" t="n">
        <v>15013.48</v>
      </c>
      <c r="J6" s="0" t="n">
        <v>32.7</v>
      </c>
      <c r="K6" s="0" t="n">
        <v>1.62</v>
      </c>
      <c r="L6" s="0" t="n">
        <v>-16787.288</v>
      </c>
      <c r="M6" s="0" t="n">
        <v>853.839</v>
      </c>
      <c r="N6" s="0" t="n">
        <v>-17641.127</v>
      </c>
      <c r="O6" s="0" t="n">
        <v>147123.665</v>
      </c>
      <c r="P6" s="0" t="n">
        <v>791272.815</v>
      </c>
      <c r="Q6" s="0" t="n">
        <v>640636.223</v>
      </c>
      <c r="R6" s="0" t="n">
        <v>177129.189</v>
      </c>
      <c r="S6" s="0" t="n">
        <v>31656.227</v>
      </c>
      <c r="T6" s="0" t="n">
        <v>8908.45</v>
      </c>
      <c r="AA6" s="0" t="s">
        <v>18</v>
      </c>
      <c r="AB6" s="0" t="s">
        <v>14</v>
      </c>
      <c r="AC6" s="0" t="n">
        <v>172483.608</v>
      </c>
      <c r="AD6" s="0" t="n">
        <v>150636.592</v>
      </c>
      <c r="AE6" s="0" t="n">
        <v>10300.204</v>
      </c>
      <c r="AF6" s="0" t="n">
        <v>289.062</v>
      </c>
      <c r="AG6" s="0" t="n">
        <v>11071.656</v>
      </c>
      <c r="AH6" s="0" t="n">
        <v>15302.542</v>
      </c>
    </row>
    <row r="7" customFormat="false" ht="15" hidden="false" customHeight="false" outlineLevel="0" collapsed="false">
      <c r="A7" s="0" t="s">
        <v>75</v>
      </c>
      <c r="B7" s="0" t="n">
        <v>38857</v>
      </c>
      <c r="F7" s="0" t="n">
        <v>13387.391</v>
      </c>
      <c r="G7" s="0" t="n">
        <v>34.5</v>
      </c>
      <c r="I7" s="0" t="n">
        <v>11507.15</v>
      </c>
      <c r="J7" s="0" t="n">
        <v>29.6</v>
      </c>
      <c r="K7" s="0" t="n">
        <v>1.23</v>
      </c>
      <c r="L7" s="0" t="n">
        <v>44321.212</v>
      </c>
      <c r="M7" s="0" t="n">
        <v>1784.313</v>
      </c>
      <c r="N7" s="0" t="n">
        <v>42536.899</v>
      </c>
      <c r="O7" s="0" t="n">
        <v>157698.968</v>
      </c>
      <c r="P7" s="0" t="n">
        <v>860688.547</v>
      </c>
      <c r="Q7" s="0" t="n">
        <v>696862.458</v>
      </c>
      <c r="R7" s="0" t="n">
        <v>151939.771</v>
      </c>
      <c r="S7" s="0" t="n">
        <v>30747.924</v>
      </c>
      <c r="T7" s="0" t="n">
        <v>8906.673</v>
      </c>
      <c r="AA7" s="0" t="s">
        <v>18</v>
      </c>
      <c r="AB7" s="0" t="s">
        <v>14</v>
      </c>
      <c r="AC7" s="0" t="n">
        <v>195718.783</v>
      </c>
      <c r="AD7" s="0" t="n">
        <v>163826.089</v>
      </c>
      <c r="AE7" s="0" t="n">
        <v>5538.527</v>
      </c>
      <c r="AF7" s="0" t="n">
        <v>114.019</v>
      </c>
      <c r="AG7" s="0" t="n">
        <v>16046.936</v>
      </c>
      <c r="AH7" s="0" t="n">
        <v>11621.169</v>
      </c>
    </row>
    <row r="8" customFormat="false" ht="15" hidden="false" customHeight="false" outlineLevel="0" collapsed="false">
      <c r="A8" s="0" t="s">
        <v>76</v>
      </c>
      <c r="B8" s="0" t="n">
        <v>43504.877</v>
      </c>
      <c r="F8" s="0" t="n">
        <v>11768.452</v>
      </c>
      <c r="G8" s="0" t="n">
        <v>27.1</v>
      </c>
      <c r="I8" s="0" t="n">
        <v>9374.143</v>
      </c>
      <c r="J8" s="0" t="n">
        <v>21.5</v>
      </c>
      <c r="K8" s="0" t="n">
        <v>0.97</v>
      </c>
      <c r="L8" s="0" t="n">
        <v>24439.062</v>
      </c>
      <c r="M8" s="0" t="n">
        <v>1165.432</v>
      </c>
      <c r="N8" s="0" t="n">
        <v>23273.63</v>
      </c>
      <c r="O8" s="0" t="n">
        <v>166969.253</v>
      </c>
      <c r="P8" s="0" t="n">
        <v>925402.484</v>
      </c>
      <c r="Q8" s="0" t="n">
        <v>752024.474</v>
      </c>
      <c r="R8" s="0" t="n">
        <v>165608.879</v>
      </c>
      <c r="S8" s="0" t="n">
        <v>30739.91</v>
      </c>
      <c r="T8" s="0" t="n">
        <v>8904.611</v>
      </c>
      <c r="AA8" s="0" t="s">
        <v>18</v>
      </c>
      <c r="AB8" s="0" t="s">
        <v>14</v>
      </c>
      <c r="AC8" s="0" t="n">
        <v>178055.072</v>
      </c>
      <c r="AD8" s="0" t="n">
        <v>173378.01</v>
      </c>
      <c r="AE8" s="0" t="n">
        <v>9120.378</v>
      </c>
      <c r="AF8" s="0" t="n">
        <v>511.274</v>
      </c>
      <c r="AG8" s="0" t="n">
        <v>19918.679</v>
      </c>
      <c r="AH8" s="0" t="n">
        <v>9885.417</v>
      </c>
    </row>
    <row r="9" customFormat="false" ht="15" hidden="false" customHeight="false" outlineLevel="0" collapsed="false">
      <c r="A9" s="0" t="s">
        <v>77</v>
      </c>
      <c r="B9" s="0" t="n">
        <v>50939.992</v>
      </c>
      <c r="F9" s="0" t="n">
        <v>16356.424</v>
      </c>
      <c r="G9" s="0" t="n">
        <v>32.1</v>
      </c>
      <c r="I9" s="0" t="n">
        <v>13024.085</v>
      </c>
      <c r="J9" s="0" t="n">
        <v>25.6</v>
      </c>
      <c r="K9" s="0" t="n">
        <v>1.39</v>
      </c>
      <c r="L9" s="0" t="n">
        <v>-4337.421</v>
      </c>
      <c r="M9" s="0" t="n">
        <v>1159.995</v>
      </c>
      <c r="N9" s="0" t="n">
        <v>-5497.416</v>
      </c>
      <c r="O9" s="0" t="n">
        <v>170775.389</v>
      </c>
      <c r="P9" s="0" t="n">
        <v>1047745.412</v>
      </c>
      <c r="Q9" s="0" t="n">
        <v>870271.715</v>
      </c>
      <c r="R9" s="0" t="n">
        <v>191225.415</v>
      </c>
      <c r="S9" s="0" t="n">
        <v>26713.651</v>
      </c>
      <c r="T9" s="0" t="n">
        <v>8903.731</v>
      </c>
      <c r="AA9" s="0" t="s">
        <v>18</v>
      </c>
      <c r="AB9" s="0" t="s">
        <v>14</v>
      </c>
      <c r="AC9" s="0" t="n">
        <v>252069.517</v>
      </c>
      <c r="AD9" s="0" t="n">
        <v>177473.697</v>
      </c>
      <c r="AE9" s="0" t="n">
        <v>14795.459</v>
      </c>
      <c r="AF9" s="0" t="n">
        <v>524.676</v>
      </c>
      <c r="AG9" s="0" t="n">
        <v>14946.981</v>
      </c>
      <c r="AH9" s="0" t="n">
        <v>13548.761</v>
      </c>
    </row>
    <row r="10" customFormat="false" ht="15" hidden="false" customHeight="false" outlineLevel="0" collapsed="false">
      <c r="A10" s="0" t="s">
        <v>78</v>
      </c>
      <c r="B10" s="0" t="n">
        <v>93517.227</v>
      </c>
      <c r="F10" s="0" t="n">
        <v>37400.669</v>
      </c>
      <c r="G10" s="0" t="n">
        <v>40</v>
      </c>
      <c r="I10" s="0" t="n">
        <v>27809.206</v>
      </c>
      <c r="J10" s="0" t="n">
        <v>29.7</v>
      </c>
      <c r="K10" s="0" t="n">
        <v>1.74</v>
      </c>
      <c r="L10" s="0" t="n">
        <v>-20345.612</v>
      </c>
      <c r="M10" s="0" t="n">
        <v>1644.869</v>
      </c>
      <c r="N10" s="0" t="n">
        <v>-21990.481</v>
      </c>
      <c r="O10" s="0" t="n">
        <v>330416.849</v>
      </c>
      <c r="P10" s="0" t="n">
        <v>2114338.136</v>
      </c>
      <c r="Q10" s="0" t="n">
        <v>1768135.151</v>
      </c>
      <c r="R10" s="0" t="n">
        <v>486633.235</v>
      </c>
      <c r="S10" s="0" t="n">
        <v>75953.229</v>
      </c>
      <c r="T10" s="0" t="n">
        <v>17628.926</v>
      </c>
      <c r="AA10" s="0" t="s">
        <v>18</v>
      </c>
      <c r="AB10" s="0" t="s">
        <v>14</v>
      </c>
      <c r="AC10" s="0" t="n">
        <v>514586.677</v>
      </c>
      <c r="AD10" s="0" t="n">
        <v>346202.985</v>
      </c>
      <c r="AE10" s="0" t="n">
        <v>25404.414</v>
      </c>
      <c r="AF10" s="0" t="n">
        <v>1361.008</v>
      </c>
      <c r="AG10" s="0" t="n">
        <v>9975.283</v>
      </c>
      <c r="AH10" s="0" t="n">
        <v>29170.214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79</v>
      </c>
      <c r="B1" s="2" t="s">
        <v>80</v>
      </c>
    </row>
    <row r="2" customFormat="false" ht="15" hidden="false" customHeight="false" outlineLevel="0" collapsed="false">
      <c r="A2" s="0" t="s">
        <v>81</v>
      </c>
      <c r="B2" s="3" t="n">
        <v>13.21</v>
      </c>
    </row>
    <row r="3" customFormat="false" ht="15" hidden="false" customHeight="false" outlineLevel="0" collapsed="false">
      <c r="A3" s="0" t="s">
        <v>82</v>
      </c>
      <c r="B3" s="3" t="n">
        <v>17515</v>
      </c>
    </row>
    <row r="4" customFormat="false" ht="15" hidden="false" customHeight="false" outlineLevel="0" collapsed="false">
      <c r="A4" s="0" t="s">
        <v>83</v>
      </c>
      <c r="B4" s="3" t="n">
        <v>0</v>
      </c>
    </row>
    <row r="5" customFormat="false" ht="15" hidden="false" customHeight="false" outlineLevel="0" collapsed="false">
      <c r="A5" s="0" t="s">
        <v>84</v>
      </c>
      <c r="B5" s="3" t="n">
        <v>0</v>
      </c>
    </row>
    <row r="6" customFormat="false" ht="15" hidden="false" customHeight="false" outlineLevel="0" collapsed="false">
      <c r="A6" s="0" t="s">
        <v>85</v>
      </c>
      <c r="B6" s="3" t="n">
        <v>15</v>
      </c>
    </row>
    <row r="7" customFormat="false" ht="15" hidden="false" customHeight="false" outlineLevel="0" collapsed="false">
      <c r="A7" s="0" t="s">
        <v>86</v>
      </c>
      <c r="B7" s="3" t="n">
        <v>125600</v>
      </c>
    </row>
    <row r="8" customFormat="false" ht="15" hidden="false" customHeight="false" outlineLevel="0" collapsed="false">
      <c r="A8" s="0" t="s">
        <v>87</v>
      </c>
      <c r="B8" s="3" t="s">
        <v>88</v>
      </c>
    </row>
    <row r="9" customFormat="false" ht="15" hidden="false" customHeight="false" outlineLevel="0" collapsed="false">
      <c r="A9" s="0" t="s">
        <v>89</v>
      </c>
      <c r="B9" s="3" t="s">
        <v>90</v>
      </c>
    </row>
    <row r="10" customFormat="false" ht="15" hidden="false" customHeight="false" outlineLevel="0" collapsed="false">
      <c r="A10" s="0" t="s">
        <v>91</v>
      </c>
      <c r="B10" s="3" t="n">
        <v>1.1751</v>
      </c>
    </row>
    <row r="12" customFormat="false" ht="15" hidden="false" customHeight="false" outlineLevel="0" collapsed="false">
      <c r="A12" s="2" t="s">
        <v>92</v>
      </c>
      <c r="C12" s="2" t="s">
        <v>93</v>
      </c>
      <c r="D12" s="2" t="s">
        <v>94</v>
      </c>
      <c r="E12" s="2" t="s">
        <v>95</v>
      </c>
      <c r="F12" s="2" t="s">
        <v>96</v>
      </c>
      <c r="G12" s="2" t="s">
        <v>97</v>
      </c>
      <c r="H12" s="2" t="s">
        <v>98</v>
      </c>
      <c r="I12" s="2" t="s">
        <v>99</v>
      </c>
      <c r="J12" s="2" t="s">
        <v>100</v>
      </c>
      <c r="K12" s="2" t="s">
        <v>101</v>
      </c>
      <c r="L12" s="2" t="s">
        <v>102</v>
      </c>
    </row>
    <row r="13" customFormat="false" ht="15" hidden="false" customHeight="false" outlineLevel="0" collapsed="false">
      <c r="A13" s="0" t="s">
        <v>103</v>
      </c>
      <c r="C13" s="3" t="n">
        <v>-20</v>
      </c>
      <c r="D13" s="3" t="n">
        <v>-8</v>
      </c>
      <c r="E13" s="3" t="n">
        <v>0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104</v>
      </c>
      <c r="C14" s="3" t="n">
        <v>28</v>
      </c>
      <c r="D14" s="3" t="n">
        <v>25</v>
      </c>
      <c r="E14" s="3" t="n">
        <v>26</v>
      </c>
      <c r="F14" s="3" t="n">
        <v>27</v>
      </c>
      <c r="G14" s="3" t="n">
        <v>27</v>
      </c>
      <c r="H14" s="3" t="n">
        <v>28</v>
      </c>
      <c r="I14" s="3" t="n">
        <v>28</v>
      </c>
      <c r="J14" s="3" t="n">
        <v>28</v>
      </c>
      <c r="K14" s="3" t="n">
        <v>28</v>
      </c>
      <c r="L14" s="3" t="n">
        <v>28</v>
      </c>
    </row>
    <row r="15" customFormat="false" ht="15" hidden="false" customHeight="false" outlineLevel="0" collapsed="false">
      <c r="A15" s="0" t="s">
        <v>105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106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107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108</v>
      </c>
      <c r="C18" s="3" t="n">
        <v>9</v>
      </c>
      <c r="D18" s="3" t="n">
        <v>7.5</v>
      </c>
      <c r="E18" s="3" t="n">
        <v>7</v>
      </c>
      <c r="F18" s="3" t="n">
        <v>6.5</v>
      </c>
      <c r="G18" s="3" t="n">
        <v>6.5</v>
      </c>
      <c r="H18" s="3" t="n">
        <v>6.3</v>
      </c>
      <c r="I18" s="3" t="n">
        <v>6.3</v>
      </c>
      <c r="J18" s="3" t="n">
        <v>6.3</v>
      </c>
      <c r="K18" s="3" t="n">
        <v>6.3</v>
      </c>
      <c r="L18" s="3" t="n">
        <v>6.3</v>
      </c>
    </row>
    <row r="19" customFormat="false" ht="15" hidden="false" customHeight="false" outlineLevel="0" collapsed="false">
      <c r="A19" s="0" t="s">
        <v>109</v>
      </c>
      <c r="C19" s="3" t="n">
        <v>29</v>
      </c>
      <c r="D19" s="3" t="n">
        <v>29</v>
      </c>
      <c r="E19" s="3" t="n">
        <v>29</v>
      </c>
      <c r="F19" s="3" t="n">
        <v>29</v>
      </c>
      <c r="G19" s="3" t="n">
        <v>29</v>
      </c>
      <c r="H19" s="3" t="n">
        <v>29</v>
      </c>
      <c r="I19" s="3" t="n">
        <v>29</v>
      </c>
      <c r="J19" s="3" t="n">
        <v>29</v>
      </c>
      <c r="K19" s="3" t="n">
        <v>29</v>
      </c>
      <c r="L19" s="3" t="n">
        <v>29</v>
      </c>
    </row>
    <row r="20" customFormat="false" ht="15" hidden="false" customHeight="false" outlineLevel="0" collapsed="false">
      <c r="A20" s="0" t="s">
        <v>110</v>
      </c>
      <c r="B20" s="3" t="n">
        <v>11</v>
      </c>
    </row>
    <row r="21" customFormat="false" ht="15" hidden="false" customHeight="false" outlineLevel="0" collapsed="false">
      <c r="A21" s="0" t="s">
        <v>111</v>
      </c>
      <c r="B21" s="3" t="n">
        <v>2</v>
      </c>
    </row>
    <row r="22" customFormat="false" ht="15" hidden="false" customHeight="false" outlineLevel="0" collapsed="false">
      <c r="A22" s="0" t="s">
        <v>112</v>
      </c>
      <c r="B22" s="3" t="n">
        <v>18</v>
      </c>
    </row>
    <row r="23" customFormat="false" ht="15" hidden="false" customHeight="false" outlineLevel="0" collapsed="false">
      <c r="A23" s="0" t="s">
        <v>113</v>
      </c>
      <c r="B23" s="3" t="n">
        <v>0</v>
      </c>
    </row>
    <row r="24" customFormat="false" ht="15" hidden="false" customHeight="false" outlineLevel="0" collapsed="false">
      <c r="A24" s="0" t="s">
        <v>114</v>
      </c>
      <c r="B24" s="3" t="n">
        <v>0.25</v>
      </c>
    </row>
    <row r="26" customFormat="false" ht="15" hidden="false" customHeight="false" outlineLevel="0" collapsed="false">
      <c r="A26" s="2" t="s">
        <v>115</v>
      </c>
      <c r="C26" s="2" t="s">
        <v>93</v>
      </c>
      <c r="D26" s="2" t="s">
        <v>94</v>
      </c>
      <c r="E26" s="2" t="s">
        <v>95</v>
      </c>
      <c r="F26" s="2" t="s">
        <v>96</v>
      </c>
      <c r="G26" s="2" t="s">
        <v>97</v>
      </c>
      <c r="H26" s="2" t="s">
        <v>98</v>
      </c>
      <c r="I26" s="2" t="s">
        <v>99</v>
      </c>
      <c r="J26" s="2" t="s">
        <v>100</v>
      </c>
      <c r="K26" s="2" t="s">
        <v>101</v>
      </c>
      <c r="L26" s="2" t="s">
        <v>102</v>
      </c>
    </row>
    <row r="27" customFormat="false" ht="15" hidden="false" customHeight="false" outlineLevel="0" collapsed="false">
      <c r="A27" s="0" t="s">
        <v>103</v>
      </c>
      <c r="C27" s="3" t="n">
        <v>-6</v>
      </c>
      <c r="D27" s="3" t="n">
        <v>-4</v>
      </c>
      <c r="E27" s="3" t="n">
        <v>3</v>
      </c>
      <c r="F27" s="3" t="n">
        <v>3.5</v>
      </c>
      <c r="G27" s="3" t="n">
        <v>3.5</v>
      </c>
      <c r="H27" s="3" t="n">
        <v>3</v>
      </c>
      <c r="I27" s="3" t="n">
        <v>3</v>
      </c>
      <c r="J27" s="3" t="n">
        <v>3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104</v>
      </c>
      <c r="C28" s="3" t="n">
        <v>36</v>
      </c>
      <c r="D28" s="3" t="n">
        <v>33</v>
      </c>
      <c r="E28" s="3" t="n">
        <v>33</v>
      </c>
      <c r="F28" s="3" t="n">
        <v>33.5</v>
      </c>
      <c r="G28" s="3" t="n">
        <v>34</v>
      </c>
      <c r="H28" s="3" t="n">
        <v>34</v>
      </c>
      <c r="I28" s="3" t="n">
        <v>34</v>
      </c>
      <c r="J28" s="3" t="n">
        <v>34</v>
      </c>
      <c r="K28" s="3" t="n">
        <v>34</v>
      </c>
      <c r="L28" s="3" t="n">
        <v>34</v>
      </c>
    </row>
    <row r="29" customFormat="false" ht="15" hidden="false" customHeight="false" outlineLevel="0" collapsed="false">
      <c r="A29" s="0" t="s">
        <v>105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106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107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108</v>
      </c>
      <c r="C32" s="3" t="n">
        <v>12.5</v>
      </c>
      <c r="D32" s="3" t="n">
        <v>11.5</v>
      </c>
      <c r="E32" s="3" t="n">
        <v>10.5</v>
      </c>
      <c r="F32" s="3" t="n">
        <v>10</v>
      </c>
      <c r="G32" s="3" t="n">
        <v>9.5</v>
      </c>
      <c r="H32" s="3" t="n">
        <v>9</v>
      </c>
      <c r="I32" s="3" t="n">
        <v>9</v>
      </c>
      <c r="J32" s="3" t="n">
        <v>9</v>
      </c>
      <c r="K32" s="3" t="n">
        <v>9</v>
      </c>
      <c r="L32" s="3" t="n">
        <v>9</v>
      </c>
    </row>
    <row r="33" customFormat="false" ht="15" hidden="false" customHeight="false" outlineLevel="0" collapsed="false">
      <c r="A33" s="0" t="s">
        <v>109</v>
      </c>
      <c r="C33" s="3" t="n">
        <v>27</v>
      </c>
      <c r="D33" s="3" t="n">
        <v>27</v>
      </c>
      <c r="E33" s="3" t="n">
        <v>27</v>
      </c>
      <c r="F33" s="3" t="n">
        <v>27</v>
      </c>
      <c r="G33" s="3" t="n">
        <v>27</v>
      </c>
      <c r="H33" s="3" t="n">
        <v>27</v>
      </c>
      <c r="I33" s="3" t="n">
        <v>27</v>
      </c>
      <c r="J33" s="3" t="n">
        <v>27</v>
      </c>
      <c r="K33" s="3" t="n">
        <v>27</v>
      </c>
      <c r="L33" s="3" t="n">
        <v>27</v>
      </c>
    </row>
    <row r="34" customFormat="false" ht="15" hidden="false" customHeight="false" outlineLevel="0" collapsed="false">
      <c r="A34" s="0" t="s">
        <v>110</v>
      </c>
      <c r="B34" s="3" t="n">
        <v>11</v>
      </c>
    </row>
    <row r="35" customFormat="false" ht="15" hidden="false" customHeight="false" outlineLevel="0" collapsed="false">
      <c r="A35" s="0" t="s">
        <v>111</v>
      </c>
      <c r="B35" s="3" t="n">
        <v>3</v>
      </c>
    </row>
    <row r="36" customFormat="false" ht="15" hidden="false" customHeight="false" outlineLevel="0" collapsed="false">
      <c r="A36" s="0" t="s">
        <v>112</v>
      </c>
      <c r="B36" s="3" t="n">
        <v>18</v>
      </c>
    </row>
    <row r="37" customFormat="false" ht="15" hidden="false" customHeight="false" outlineLevel="0" collapsed="false">
      <c r="A37" s="0" t="s">
        <v>113</v>
      </c>
      <c r="B37" s="3" t="n">
        <v>0</v>
      </c>
    </row>
    <row r="38" customFormat="false" ht="15" hidden="false" customHeight="false" outlineLevel="0" collapsed="false">
      <c r="A38" s="0" t="s">
        <v>114</v>
      </c>
      <c r="B38" s="3" t="n">
        <v>0.5</v>
      </c>
    </row>
    <row r="40" customFormat="false" ht="15" hidden="false" customHeight="false" outlineLevel="0" collapsed="false">
      <c r="A40" s="2" t="s">
        <v>116</v>
      </c>
      <c r="C40" s="2" t="s">
        <v>93</v>
      </c>
      <c r="D40" s="2" t="s">
        <v>94</v>
      </c>
      <c r="E40" s="2" t="s">
        <v>95</v>
      </c>
      <c r="F40" s="2" t="s">
        <v>96</v>
      </c>
      <c r="G40" s="2" t="s">
        <v>97</v>
      </c>
      <c r="H40" s="2" t="s">
        <v>98</v>
      </c>
      <c r="I40" s="2" t="s">
        <v>99</v>
      </c>
      <c r="J40" s="2" t="s">
        <v>100</v>
      </c>
      <c r="K40" s="2" t="s">
        <v>101</v>
      </c>
      <c r="L40" s="2" t="s">
        <v>102</v>
      </c>
    </row>
    <row r="41" customFormat="false" ht="15" hidden="false" customHeight="false" outlineLevel="0" collapsed="false">
      <c r="A41" s="0" t="s">
        <v>103</v>
      </c>
      <c r="C41" s="3" t="n">
        <v>5</v>
      </c>
      <c r="D41" s="3" t="n">
        <v>4</v>
      </c>
      <c r="E41" s="3" t="n">
        <v>4</v>
      </c>
      <c r="F41" s="3" t="n">
        <v>4</v>
      </c>
      <c r="G41" s="3" t="n">
        <v>3.5</v>
      </c>
      <c r="H41" s="3" t="n">
        <v>3.5</v>
      </c>
      <c r="I41" s="3" t="n">
        <v>3.5</v>
      </c>
      <c r="J41" s="3" t="n">
        <v>3.5</v>
      </c>
      <c r="K41" s="3" t="n">
        <v>3.5</v>
      </c>
      <c r="L41" s="3" t="n">
        <v>3.5</v>
      </c>
    </row>
    <row r="42" customFormat="false" ht="15" hidden="false" customHeight="false" outlineLevel="0" collapsed="false">
      <c r="A42" s="0" t="s">
        <v>104</v>
      </c>
      <c r="C42" s="3" t="n">
        <v>38</v>
      </c>
      <c r="D42" s="3" t="n">
        <v>38</v>
      </c>
      <c r="E42" s="3" t="n">
        <v>38</v>
      </c>
      <c r="F42" s="3" t="n">
        <v>38</v>
      </c>
      <c r="G42" s="3" t="n">
        <v>38</v>
      </c>
      <c r="H42" s="3" t="n">
        <v>38</v>
      </c>
      <c r="I42" s="3" t="n">
        <v>38</v>
      </c>
      <c r="J42" s="3" t="n">
        <v>38</v>
      </c>
      <c r="K42" s="3" t="n">
        <v>38</v>
      </c>
      <c r="L42" s="3" t="n">
        <v>38</v>
      </c>
    </row>
    <row r="43" customFormat="false" ht="15" hidden="false" customHeight="false" outlineLevel="0" collapsed="false">
      <c r="A43" s="0" t="s">
        <v>105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106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107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108</v>
      </c>
      <c r="C46" s="3" t="n">
        <v>13</v>
      </c>
      <c r="D46" s="3" t="n">
        <v>12</v>
      </c>
      <c r="E46" s="3" t="n">
        <v>11</v>
      </c>
      <c r="F46" s="3" t="n">
        <v>10.5</v>
      </c>
      <c r="G46" s="3" t="n">
        <v>10</v>
      </c>
      <c r="H46" s="3" t="n">
        <v>10</v>
      </c>
      <c r="I46" s="3" t="n">
        <v>9.8</v>
      </c>
      <c r="J46" s="3" t="n">
        <v>9.8</v>
      </c>
      <c r="K46" s="3" t="n">
        <v>9.8</v>
      </c>
      <c r="L46" s="3" t="n">
        <v>9.8</v>
      </c>
    </row>
    <row r="47" customFormat="false" ht="15" hidden="false" customHeight="false" outlineLevel="0" collapsed="false">
      <c r="A47" s="0" t="s">
        <v>109</v>
      </c>
      <c r="C47" s="3" t="n">
        <v>26.5</v>
      </c>
      <c r="D47" s="3" t="n">
        <v>26.5</v>
      </c>
      <c r="E47" s="3" t="n">
        <v>26.5</v>
      </c>
      <c r="F47" s="3" t="n">
        <v>26.5</v>
      </c>
      <c r="G47" s="3" t="n">
        <v>26.5</v>
      </c>
      <c r="H47" s="3" t="n">
        <v>26.5</v>
      </c>
      <c r="I47" s="3" t="n">
        <v>26.5</v>
      </c>
      <c r="J47" s="3" t="n">
        <v>26.5</v>
      </c>
      <c r="K47" s="3" t="n">
        <v>26.5</v>
      </c>
      <c r="L47" s="3" t="n">
        <v>26.5</v>
      </c>
    </row>
    <row r="48" customFormat="false" ht="15" hidden="false" customHeight="false" outlineLevel="0" collapsed="false">
      <c r="A48" s="0" t="s">
        <v>110</v>
      </c>
      <c r="B48" s="3" t="n">
        <v>11</v>
      </c>
    </row>
    <row r="49" customFormat="false" ht="15" hidden="false" customHeight="false" outlineLevel="0" collapsed="false">
      <c r="A49" s="0" t="s">
        <v>111</v>
      </c>
      <c r="B49" s="3" t="n">
        <v>3.5</v>
      </c>
    </row>
    <row r="50" customFormat="false" ht="15" hidden="false" customHeight="false" outlineLevel="0" collapsed="false">
      <c r="A50" s="0" t="s">
        <v>112</v>
      </c>
      <c r="B50" s="3" t="n">
        <v>18</v>
      </c>
    </row>
    <row r="51" customFormat="false" ht="15" hidden="false" customHeight="false" outlineLevel="0" collapsed="false">
      <c r="A51" s="0" t="s">
        <v>113</v>
      </c>
      <c r="B51" s="3" t="n">
        <v>0</v>
      </c>
    </row>
    <row r="52" customFormat="false" ht="15" hidden="false" customHeight="false" outlineLevel="0" collapsed="false">
      <c r="A52" s="0" t="s">
        <v>114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117</v>
      </c>
    </row>
    <row r="3" customFormat="false" ht="15" hidden="false" customHeight="false" outlineLevel="0" collapsed="false">
      <c r="A3" s="0" t="s">
        <v>118</v>
      </c>
      <c r="B3" s="0" t="s">
        <v>88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Assumptions!C13</f>
        <v>-20</v>
      </c>
      <c r="D5" s="4" t="n">
        <f aca="false">Assumptions!D13</f>
        <v>-8</v>
      </c>
      <c r="E5" s="4" t="n">
        <f aca="false">Assumptions!E13</f>
        <v>0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125600</v>
      </c>
      <c r="C6" s="0" t="n">
        <f aca="false">B6*(1+C5/100)</f>
        <v>100480</v>
      </c>
      <c r="D6" s="0" t="n">
        <f aca="false">C6*(1+D5/100)</f>
        <v>92441.6</v>
      </c>
      <c r="E6" s="0" t="n">
        <f aca="false">D6*(1+E5/100)</f>
        <v>92441.6</v>
      </c>
      <c r="F6" s="0" t="n">
        <f aca="false">E6*(1+F5/100)</f>
        <v>94290.432</v>
      </c>
      <c r="G6" s="0" t="n">
        <f aca="false">F6*(1+G5/100)</f>
        <v>96176.24064</v>
      </c>
      <c r="H6" s="0" t="n">
        <f aca="false">G6*(1+H5/100)</f>
        <v>98099.7654528</v>
      </c>
      <c r="I6" s="0" t="n">
        <f aca="false">H6*(1+I5/100)</f>
        <v>100061.760761856</v>
      </c>
      <c r="J6" s="0" t="n">
        <f aca="false">I6*(1+J5/100)</f>
        <v>102062.995977093</v>
      </c>
      <c r="K6" s="0" t="n">
        <f aca="false">J6*(1+K5/100)</f>
        <v>104104.255896635</v>
      </c>
      <c r="L6" s="0" t="n">
        <f aca="false">K6*(1+L5/100)</f>
        <v>106186.341014568</v>
      </c>
    </row>
    <row r="7" customFormat="false" ht="15" hidden="false" customHeight="false" outlineLevel="0" collapsed="false">
      <c r="A7" s="0" t="s">
        <v>104</v>
      </c>
      <c r="C7" s="4" t="n">
        <f aca="false">Assumptions!C14</f>
        <v>28</v>
      </c>
      <c r="D7" s="4" t="n">
        <f aca="false">Assumptions!D14</f>
        <v>25</v>
      </c>
      <c r="E7" s="4" t="n">
        <f aca="false">Assumptions!E14</f>
        <v>26</v>
      </c>
      <c r="F7" s="4" t="n">
        <f aca="false">Assumptions!F14</f>
        <v>27</v>
      </c>
      <c r="G7" s="4" t="n">
        <f aca="false">Assumptions!G14</f>
        <v>27</v>
      </c>
      <c r="H7" s="4" t="n">
        <f aca="false">Assumptions!H14</f>
        <v>28</v>
      </c>
      <c r="I7" s="4" t="n">
        <f aca="false">Assumptions!I14</f>
        <v>28</v>
      </c>
      <c r="J7" s="4" t="n">
        <f aca="false">Assumptions!J14</f>
        <v>28</v>
      </c>
      <c r="K7" s="4" t="n">
        <f aca="false">Assumptions!K14</f>
        <v>28</v>
      </c>
      <c r="L7" s="4" t="n">
        <f aca="false">Assumptions!L14</f>
        <v>28</v>
      </c>
    </row>
    <row r="8" customFormat="false" ht="15" hidden="false" customHeight="false" outlineLevel="0" collapsed="false">
      <c r="A8" s="0" t="s">
        <v>44</v>
      </c>
      <c r="C8" s="0" t="n">
        <f aca="false">C6*C7/100</f>
        <v>28134.4</v>
      </c>
      <c r="D8" s="0" t="n">
        <f aca="false">D6*D7/100</f>
        <v>23110.4</v>
      </c>
      <c r="E8" s="0" t="n">
        <f aca="false">E6*E7/100</f>
        <v>24034.816</v>
      </c>
      <c r="F8" s="0" t="n">
        <f aca="false">F6*F7/100</f>
        <v>25458.41664</v>
      </c>
      <c r="G8" s="0" t="n">
        <f aca="false">G6*G7/100</f>
        <v>25967.5849728</v>
      </c>
      <c r="H8" s="0" t="n">
        <f aca="false">H6*H7/100</f>
        <v>27467.934326784</v>
      </c>
      <c r="I8" s="0" t="n">
        <f aca="false">I6*I7/100</f>
        <v>28017.2930133197</v>
      </c>
      <c r="J8" s="0" t="n">
        <f aca="false">J6*J7/100</f>
        <v>28577.6388735861</v>
      </c>
      <c r="K8" s="0" t="n">
        <f aca="false">K6*K7/100</f>
        <v>29149.1916510578</v>
      </c>
      <c r="L8" s="0" t="n">
        <f aca="false">L6*L7/100</f>
        <v>29732.175484079</v>
      </c>
    </row>
    <row r="9" customFormat="false" ht="15" hidden="false" customHeight="false" outlineLevel="0" collapsed="false">
      <c r="A9" s="0" t="s">
        <v>105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28134.4</v>
      </c>
      <c r="D11" s="0" t="n">
        <f aca="false">D8+D10+D24</f>
        <v>23110.4</v>
      </c>
      <c r="E11" s="0" t="n">
        <f aca="false">E8+E10+E24</f>
        <v>24034.816</v>
      </c>
      <c r="F11" s="0" t="n">
        <f aca="false">F8+F10+F24</f>
        <v>25458.41664</v>
      </c>
      <c r="G11" s="0" t="n">
        <f aca="false">G8+G10+G24</f>
        <v>25967.5849728</v>
      </c>
      <c r="H11" s="0" t="n">
        <f aca="false">H8+H10+H24</f>
        <v>27467.934326784</v>
      </c>
      <c r="I11" s="0" t="n">
        <f aca="false">I8+I10+I24</f>
        <v>28017.2930133197</v>
      </c>
      <c r="J11" s="0" t="n">
        <f aca="false">J8+J10+J24</f>
        <v>28577.6388735861</v>
      </c>
      <c r="K11" s="0" t="n">
        <f aca="false">K8+K10+K24</f>
        <v>29149.1916510578</v>
      </c>
      <c r="L11" s="0" t="n">
        <f aca="false">L8+L10+L24</f>
        <v>29732.175484079</v>
      </c>
    </row>
    <row r="12" customFormat="false" ht="15" hidden="false" customHeight="false" outlineLevel="0" collapsed="false">
      <c r="A12" s="0" t="s">
        <v>122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28134.4</v>
      </c>
      <c r="D13" s="0" t="n">
        <f aca="false">D11+D12</f>
        <v>23110.4</v>
      </c>
      <c r="E13" s="0" t="n">
        <f aca="false">E11+E12</f>
        <v>24034.816</v>
      </c>
      <c r="F13" s="0" t="n">
        <f aca="false">F11+F12</f>
        <v>25458.41664</v>
      </c>
      <c r="G13" s="0" t="n">
        <f aca="false">G11+G12</f>
        <v>25967.5849728</v>
      </c>
      <c r="H13" s="0" t="n">
        <f aca="false">H11+H12</f>
        <v>27467.934326784</v>
      </c>
      <c r="I13" s="0" t="n">
        <f aca="false">I11+I12</f>
        <v>28017.2930133197</v>
      </c>
      <c r="J13" s="0" t="n">
        <f aca="false">J11+J12</f>
        <v>28577.6388735861</v>
      </c>
      <c r="K13" s="0" t="n">
        <f aca="false">K11+K12</f>
        <v>29149.1916510578</v>
      </c>
      <c r="L13" s="0" t="n">
        <f aca="false">L11+L12</f>
        <v>29732.175484079</v>
      </c>
    </row>
    <row r="14" customFormat="false" ht="15" hidden="false" customHeight="false" outlineLevel="0" collapsed="false">
      <c r="A14" s="0" t="s">
        <v>109</v>
      </c>
      <c r="C14" s="4" t="n">
        <f aca="false">Assumptions!C19</f>
        <v>29</v>
      </c>
      <c r="D14" s="4" t="n">
        <f aca="false">Assumptions!D19</f>
        <v>29</v>
      </c>
      <c r="E14" s="4" t="n">
        <f aca="false">Assumptions!E19</f>
        <v>29</v>
      </c>
      <c r="F14" s="4" t="n">
        <f aca="false">Assumptions!F19</f>
        <v>29</v>
      </c>
      <c r="G14" s="4" t="n">
        <f aca="false">Assumptions!G19</f>
        <v>29</v>
      </c>
      <c r="H14" s="4" t="n">
        <f aca="false">Assumptions!H19</f>
        <v>29</v>
      </c>
      <c r="I14" s="4" t="n">
        <f aca="false">Assumptions!I19</f>
        <v>29</v>
      </c>
      <c r="J14" s="4" t="n">
        <f aca="false">Assumptions!J19</f>
        <v>29</v>
      </c>
      <c r="K14" s="4" t="n">
        <f aca="false">Assumptions!K19</f>
        <v>29</v>
      </c>
      <c r="L14" s="4" t="n">
        <f aca="false">Assumptions!L19</f>
        <v>29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19975.424</v>
      </c>
      <c r="D15" s="0" t="n">
        <f aca="false">D13-MAX(0,D13)*D14/100</f>
        <v>16408.384</v>
      </c>
      <c r="E15" s="0" t="n">
        <f aca="false">E13-MAX(0,E13)*E14/100</f>
        <v>17064.71936</v>
      </c>
      <c r="F15" s="0" t="n">
        <f aca="false">F13-MAX(0,F13)*F14/100</f>
        <v>18075.4758144</v>
      </c>
      <c r="G15" s="0" t="n">
        <f aca="false">G13-MAX(0,G13)*G14/100</f>
        <v>18436.985330688</v>
      </c>
      <c r="H15" s="0" t="n">
        <f aca="false">H13-MAX(0,H13)*H14/100</f>
        <v>19502.2333720166</v>
      </c>
      <c r="I15" s="0" t="n">
        <f aca="false">I13-MAX(0,I13)*I14/100</f>
        <v>19892.278039457</v>
      </c>
      <c r="J15" s="0" t="n">
        <f aca="false">J13-MAX(0,J13)*J14/100</f>
        <v>20290.1236002461</v>
      </c>
      <c r="K15" s="0" t="n">
        <f aca="false">K13-MAX(0,K13)*K14/100</f>
        <v>20695.926072251</v>
      </c>
      <c r="L15" s="0" t="n">
        <f aca="false">L13-MAX(0,L13)*L14/100</f>
        <v>21109.8445936961</v>
      </c>
    </row>
    <row r="16" customFormat="false" ht="15" hidden="false" customHeight="false" outlineLevel="0" collapsed="false">
      <c r="A16" s="0" t="s">
        <v>125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126</v>
      </c>
      <c r="C17" s="4" t="n">
        <f aca="false">-C6*Assumptions!C18/100</f>
        <v>-9043.2</v>
      </c>
      <c r="D17" s="4" t="n">
        <f aca="false">-D6*Assumptions!D18/100</f>
        <v>-6933.12</v>
      </c>
      <c r="E17" s="4" t="n">
        <f aca="false">-E6*Assumptions!E18/100</f>
        <v>-6470.912</v>
      </c>
      <c r="F17" s="4" t="n">
        <f aca="false">-F6*Assumptions!F18/100</f>
        <v>-6128.87808</v>
      </c>
      <c r="G17" s="4" t="n">
        <f aca="false">-G6*Assumptions!G18/100</f>
        <v>-6251.4556416</v>
      </c>
      <c r="H17" s="4" t="n">
        <f aca="false">-H6*Assumptions!H18/100</f>
        <v>-6180.2852235264</v>
      </c>
      <c r="I17" s="4" t="n">
        <f aca="false">-I6*Assumptions!I18/100</f>
        <v>-6303.89092799693</v>
      </c>
      <c r="J17" s="4" t="n">
        <f aca="false">-J6*Assumptions!J18/100</f>
        <v>-6429.96874655687</v>
      </c>
      <c r="K17" s="4" t="n">
        <f aca="false">-K6*Assumptions!K18/100</f>
        <v>-6558.568121488</v>
      </c>
      <c r="L17" s="4" t="n">
        <f aca="false">-L6*Assumptions!L18/100</f>
        <v>-6689.73948391776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(C6-B6)*Assumptions!$B$23/100</f>
        <v>-0</v>
      </c>
      <c r="D18" s="4" t="n">
        <f aca="false">(D6-C6)*Assumptions!$B$23/100</f>
        <v>-0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10932.224</v>
      </c>
      <c r="D19" s="0" t="n">
        <f aca="false">D15+D16+D17+D18</f>
        <v>9475.264</v>
      </c>
      <c r="E19" s="0" t="n">
        <f aca="false">E15+E16+E17+E18</f>
        <v>10593.80736</v>
      </c>
      <c r="F19" s="0" t="n">
        <f aca="false">F15+F16+F17+F18</f>
        <v>11946.5977344</v>
      </c>
      <c r="G19" s="0" t="n">
        <f aca="false">G15+G16+G17+G18</f>
        <v>12185.529689088</v>
      </c>
      <c r="H19" s="0" t="n">
        <f aca="false">H15+H16+H17+H18</f>
        <v>13321.9481484902</v>
      </c>
      <c r="I19" s="0" t="n">
        <f aca="false">I15+I16+I17+I18</f>
        <v>13588.38711146</v>
      </c>
      <c r="J19" s="0" t="n">
        <f aca="false">J15+J16+J17+J18</f>
        <v>13860.1548536892</v>
      </c>
      <c r="K19" s="0" t="n">
        <f aca="false">K15+K16+K17+K18</f>
        <v>14137.357950763</v>
      </c>
      <c r="L19" s="0" t="n">
        <f aca="false">L15+L16+L17+L18</f>
        <v>14420.1051097783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9848.85045045045</v>
      </c>
      <c r="D21" s="0" t="n">
        <f aca="false">D19*D20</f>
        <v>7690.3368233098</v>
      </c>
      <c r="E21" s="0" t="n">
        <f aca="false">E19*E20</f>
        <v>7746.10063679458</v>
      </c>
      <c r="F21" s="0" t="n">
        <f aca="false">F19*F20</f>
        <v>7869.59396329977</v>
      </c>
      <c r="G21" s="0" t="n">
        <f aca="false">G19*G20</f>
        <v>7231.51877708627</v>
      </c>
      <c r="H21" s="0" t="n">
        <f aca="false">H19*H20</f>
        <v>7122.45749644035</v>
      </c>
      <c r="I21" s="0" t="n">
        <f aca="false">I19*I20</f>
        <v>6544.96094267492</v>
      </c>
      <c r="J21" s="0" t="n">
        <f aca="false">J19*J20</f>
        <v>6014.28843380938</v>
      </c>
      <c r="K21" s="0" t="n">
        <f aca="false">K19*K20</f>
        <v>5526.64342566267</v>
      </c>
      <c r="L21" s="0" t="n">
        <f aca="false">L19*L20</f>
        <v>5078.5372019603</v>
      </c>
    </row>
    <row r="23" customFormat="false" ht="15" hidden="false" customHeight="false" outlineLevel="0" collapsed="false">
      <c r="A23" s="0" t="s">
        <v>106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Assumptions!$B$20</f>
        <v>11</v>
      </c>
    </row>
    <row r="28" customFormat="false" ht="15" hidden="false" customHeight="false" outlineLevel="0" collapsed="false">
      <c r="A28" s="0" t="s">
        <v>111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112</v>
      </c>
      <c r="B29" s="4" t="n">
        <f aca="false">Assumptions!$B$22</f>
        <v>18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70673.2881514885</v>
      </c>
    </row>
    <row r="31" customFormat="false" ht="15" hidden="false" customHeight="false" outlineLevel="0" collapsed="false">
      <c r="A31" s="0" t="s">
        <v>134</v>
      </c>
      <c r="B31" s="0" t="n">
        <f aca="false">L19</f>
        <v>14420.1051097783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163427.857910821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259561.891976009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163427.857910821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57556.75495555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128230.043107038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128230.043107038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8.60309013160611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-0.348744123269788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8.60309013160611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113142.36316903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5.86874759055065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0" t="s">
        <v>118</v>
      </c>
      <c r="B3" s="0" t="s">
        <v>88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Assumptions!C27</f>
        <v>-6</v>
      </c>
      <c r="D5" s="4" t="n">
        <f aca="false">Assumptions!D27</f>
        <v>-4</v>
      </c>
      <c r="E5" s="4" t="n">
        <f aca="false">Assumptions!E27</f>
        <v>3</v>
      </c>
      <c r="F5" s="4" t="n">
        <f aca="false">Assumptions!F27</f>
        <v>3.5</v>
      </c>
      <c r="G5" s="4" t="n">
        <f aca="false">Assumptions!G27</f>
        <v>3.5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125600</v>
      </c>
      <c r="C6" s="0" t="n">
        <f aca="false">B6*(1+C5/100)</f>
        <v>118064</v>
      </c>
      <c r="D6" s="0" t="n">
        <f aca="false">C6*(1+D5/100)</f>
        <v>113341.44</v>
      </c>
      <c r="E6" s="0" t="n">
        <f aca="false">D6*(1+E5/100)</f>
        <v>116741.6832</v>
      </c>
      <c r="F6" s="0" t="n">
        <f aca="false">E6*(1+F5/100)</f>
        <v>120827.642112</v>
      </c>
      <c r="G6" s="0" t="n">
        <f aca="false">F6*(1+G5/100)</f>
        <v>125056.60958592</v>
      </c>
      <c r="H6" s="0" t="n">
        <f aca="false">G6*(1+H5/100)</f>
        <v>128808.307873498</v>
      </c>
      <c r="I6" s="0" t="n">
        <f aca="false">H6*(1+I5/100)</f>
        <v>132672.557109703</v>
      </c>
      <c r="J6" s="0" t="n">
        <f aca="false">I6*(1+J5/100)</f>
        <v>136652.733822994</v>
      </c>
      <c r="K6" s="0" t="n">
        <f aca="false">J6*(1+K5/100)</f>
        <v>140752.315837683</v>
      </c>
      <c r="L6" s="0" t="n">
        <f aca="false">K6*(1+L5/100)</f>
        <v>144974.885312814</v>
      </c>
    </row>
    <row r="7" customFormat="false" ht="15" hidden="false" customHeight="false" outlineLevel="0" collapsed="false">
      <c r="A7" s="0" t="s">
        <v>104</v>
      </c>
      <c r="C7" s="4" t="n">
        <f aca="false">Assumptions!C28</f>
        <v>36</v>
      </c>
      <c r="D7" s="4" t="n">
        <f aca="false">Assumptions!D28</f>
        <v>33</v>
      </c>
      <c r="E7" s="4" t="n">
        <f aca="false">Assumptions!E28</f>
        <v>33</v>
      </c>
      <c r="F7" s="4" t="n">
        <f aca="false">Assumptions!F28</f>
        <v>33.5</v>
      </c>
      <c r="G7" s="4" t="n">
        <f aca="false">Assumptions!G28</f>
        <v>34</v>
      </c>
      <c r="H7" s="4" t="n">
        <f aca="false">Assumptions!H28</f>
        <v>34</v>
      </c>
      <c r="I7" s="4" t="n">
        <f aca="false">Assumptions!I28</f>
        <v>34</v>
      </c>
      <c r="J7" s="4" t="n">
        <f aca="false">Assumptions!J28</f>
        <v>34</v>
      </c>
      <c r="K7" s="4" t="n">
        <f aca="false">Assumptions!K28</f>
        <v>34</v>
      </c>
      <c r="L7" s="4" t="n">
        <f aca="false">Assumptions!L28</f>
        <v>34</v>
      </c>
    </row>
    <row r="8" customFormat="false" ht="15" hidden="false" customHeight="false" outlineLevel="0" collapsed="false">
      <c r="A8" s="0" t="s">
        <v>44</v>
      </c>
      <c r="C8" s="0" t="n">
        <f aca="false">C6*C7/100</f>
        <v>42503.04</v>
      </c>
      <c r="D8" s="0" t="n">
        <f aca="false">D6*D7/100</f>
        <v>37402.6752</v>
      </c>
      <c r="E8" s="0" t="n">
        <f aca="false">E6*E7/100</f>
        <v>38524.755456</v>
      </c>
      <c r="F8" s="0" t="n">
        <f aca="false">F6*F7/100</f>
        <v>40477.26010752</v>
      </c>
      <c r="G8" s="0" t="n">
        <f aca="false">G6*G7/100</f>
        <v>42519.2472592128</v>
      </c>
      <c r="H8" s="0" t="n">
        <f aca="false">H6*H7/100</f>
        <v>43794.8246769892</v>
      </c>
      <c r="I8" s="0" t="n">
        <f aca="false">I6*I7/100</f>
        <v>45108.6694172988</v>
      </c>
      <c r="J8" s="0" t="n">
        <f aca="false">J6*J7/100</f>
        <v>46461.9294998178</v>
      </c>
      <c r="K8" s="0" t="n">
        <f aca="false">K6*K7/100</f>
        <v>47855.7873848124</v>
      </c>
      <c r="L8" s="0" t="n">
        <f aca="false">L6*L7/100</f>
        <v>49291.4610063567</v>
      </c>
    </row>
    <row r="9" customFormat="false" ht="15" hidden="false" customHeight="false" outlineLevel="0" collapsed="false">
      <c r="A9" s="0" t="s">
        <v>105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42503.04</v>
      </c>
      <c r="D11" s="0" t="n">
        <f aca="false">D8+D10+D24</f>
        <v>37402.6752</v>
      </c>
      <c r="E11" s="0" t="n">
        <f aca="false">E8+E10+E24</f>
        <v>38524.755456</v>
      </c>
      <c r="F11" s="0" t="n">
        <f aca="false">F8+F10+F24</f>
        <v>40477.26010752</v>
      </c>
      <c r="G11" s="0" t="n">
        <f aca="false">G8+G10+G24</f>
        <v>42519.2472592128</v>
      </c>
      <c r="H11" s="0" t="n">
        <f aca="false">H8+H10+H24</f>
        <v>43794.8246769892</v>
      </c>
      <c r="I11" s="0" t="n">
        <f aca="false">I8+I10+I24</f>
        <v>45108.6694172988</v>
      </c>
      <c r="J11" s="0" t="n">
        <f aca="false">J8+J10+J24</f>
        <v>46461.9294998178</v>
      </c>
      <c r="K11" s="0" t="n">
        <f aca="false">K8+K10+K24</f>
        <v>47855.7873848124</v>
      </c>
      <c r="L11" s="0" t="n">
        <f aca="false">L8+L10+L24</f>
        <v>49291.4610063567</v>
      </c>
    </row>
    <row r="12" customFormat="false" ht="15" hidden="false" customHeight="false" outlineLevel="0" collapsed="false">
      <c r="A12" s="0" t="s">
        <v>122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42503.04</v>
      </c>
      <c r="D13" s="0" t="n">
        <f aca="false">D11+D12</f>
        <v>37402.6752</v>
      </c>
      <c r="E13" s="0" t="n">
        <f aca="false">E11+E12</f>
        <v>38524.755456</v>
      </c>
      <c r="F13" s="0" t="n">
        <f aca="false">F11+F12</f>
        <v>40477.26010752</v>
      </c>
      <c r="G13" s="0" t="n">
        <f aca="false">G11+G12</f>
        <v>42519.2472592128</v>
      </c>
      <c r="H13" s="0" t="n">
        <f aca="false">H11+H12</f>
        <v>43794.8246769892</v>
      </c>
      <c r="I13" s="0" t="n">
        <f aca="false">I11+I12</f>
        <v>45108.6694172988</v>
      </c>
      <c r="J13" s="0" t="n">
        <f aca="false">J11+J12</f>
        <v>46461.9294998178</v>
      </c>
      <c r="K13" s="0" t="n">
        <f aca="false">K11+K12</f>
        <v>47855.7873848124</v>
      </c>
      <c r="L13" s="0" t="n">
        <f aca="false">L11+L12</f>
        <v>49291.4610063567</v>
      </c>
    </row>
    <row r="14" customFormat="false" ht="15" hidden="false" customHeight="false" outlineLevel="0" collapsed="false">
      <c r="A14" s="0" t="s">
        <v>109</v>
      </c>
      <c r="C14" s="4" t="n">
        <f aca="false">Assumptions!C33</f>
        <v>27</v>
      </c>
      <c r="D14" s="4" t="n">
        <f aca="false">Assumptions!D33</f>
        <v>27</v>
      </c>
      <c r="E14" s="4" t="n">
        <f aca="false">Assumptions!E33</f>
        <v>27</v>
      </c>
      <c r="F14" s="4" t="n">
        <f aca="false">Assumptions!F33</f>
        <v>27</v>
      </c>
      <c r="G14" s="4" t="n">
        <f aca="false">Assumptions!G33</f>
        <v>27</v>
      </c>
      <c r="H14" s="4" t="n">
        <f aca="false">Assumptions!H33</f>
        <v>27</v>
      </c>
      <c r="I14" s="4" t="n">
        <f aca="false">Assumptions!I33</f>
        <v>27</v>
      </c>
      <c r="J14" s="4" t="n">
        <f aca="false">Assumptions!J33</f>
        <v>27</v>
      </c>
      <c r="K14" s="4" t="n">
        <f aca="false">Assumptions!K33</f>
        <v>27</v>
      </c>
      <c r="L14" s="4" t="n">
        <f aca="false">Assumptions!L33</f>
        <v>27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31027.2192</v>
      </c>
      <c r="D15" s="0" t="n">
        <f aca="false">D13-MAX(0,D13)*D14/100</f>
        <v>27303.952896</v>
      </c>
      <c r="E15" s="0" t="n">
        <f aca="false">E13-MAX(0,E13)*E14/100</f>
        <v>28123.07148288</v>
      </c>
      <c r="F15" s="0" t="n">
        <f aca="false">F13-MAX(0,F13)*F14/100</f>
        <v>29548.3998784896</v>
      </c>
      <c r="G15" s="0" t="n">
        <f aca="false">G13-MAX(0,G13)*G14/100</f>
        <v>31039.0504992253</v>
      </c>
      <c r="H15" s="0" t="n">
        <f aca="false">H13-MAX(0,H13)*H14/100</f>
        <v>31970.2220142021</v>
      </c>
      <c r="I15" s="0" t="n">
        <f aca="false">I13-MAX(0,I13)*I14/100</f>
        <v>32929.3286746282</v>
      </c>
      <c r="J15" s="0" t="n">
        <f aca="false">J13-MAX(0,J13)*J14/100</f>
        <v>33917.208534867</v>
      </c>
      <c r="K15" s="0" t="n">
        <f aca="false">K13-MAX(0,K13)*K14/100</f>
        <v>34934.724790913</v>
      </c>
      <c r="L15" s="0" t="n">
        <f aca="false">L13-MAX(0,L13)*L14/100</f>
        <v>35982.7665346404</v>
      </c>
    </row>
    <row r="16" customFormat="false" ht="15" hidden="false" customHeight="false" outlineLevel="0" collapsed="false">
      <c r="A16" s="0" t="s">
        <v>125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126</v>
      </c>
      <c r="C17" s="4" t="n">
        <f aca="false">-C6*Assumptions!C32/100</f>
        <v>-14758</v>
      </c>
      <c r="D17" s="4" t="n">
        <f aca="false">-D6*Assumptions!D32/100</f>
        <v>-13034.2656</v>
      </c>
      <c r="E17" s="4" t="n">
        <f aca="false">-E6*Assumptions!E32/100</f>
        <v>-12257.876736</v>
      </c>
      <c r="F17" s="4" t="n">
        <f aca="false">-F6*Assumptions!F32/100</f>
        <v>-12082.7642112</v>
      </c>
      <c r="G17" s="4" t="n">
        <f aca="false">-G6*Assumptions!G32/100</f>
        <v>-11880.3779106624</v>
      </c>
      <c r="H17" s="4" t="n">
        <f aca="false">-H6*Assumptions!H32/100</f>
        <v>-11592.7477086148</v>
      </c>
      <c r="I17" s="4" t="n">
        <f aca="false">-I6*Assumptions!I32/100</f>
        <v>-11940.5301398732</v>
      </c>
      <c r="J17" s="4" t="n">
        <f aca="false">-J6*Assumptions!J32/100</f>
        <v>-12298.7460440694</v>
      </c>
      <c r="K17" s="4" t="n">
        <f aca="false">-K6*Assumptions!K32/100</f>
        <v>-12667.7084253915</v>
      </c>
      <c r="L17" s="4" t="n">
        <f aca="false">-L6*Assumptions!L32/100</f>
        <v>-13047.7396781533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(C6-B6)*Assumptions!$B$37/100</f>
        <v>-0</v>
      </c>
      <c r="D18" s="4" t="n">
        <f aca="false">(D6-C6)*Assumptions!$B$37/100</f>
        <v>-0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16269.2192</v>
      </c>
      <c r="D19" s="0" t="n">
        <f aca="false">D15+D16+D17+D18</f>
        <v>14269.687296</v>
      </c>
      <c r="E19" s="0" t="n">
        <f aca="false">E15+E16+E17+E18</f>
        <v>15865.19474688</v>
      </c>
      <c r="F19" s="0" t="n">
        <f aca="false">F15+F16+F17+F18</f>
        <v>17465.6356672896</v>
      </c>
      <c r="G19" s="0" t="n">
        <f aca="false">G15+G16+G17+G18</f>
        <v>19158.6725885629</v>
      </c>
      <c r="H19" s="0" t="n">
        <f aca="false">H15+H16+H17+H18</f>
        <v>20377.4743055873</v>
      </c>
      <c r="I19" s="0" t="n">
        <f aca="false">I15+I16+I17+I18</f>
        <v>20988.7985347549</v>
      </c>
      <c r="J19" s="0" t="n">
        <f aca="false">J15+J16+J17+J18</f>
        <v>21618.4624907976</v>
      </c>
      <c r="K19" s="0" t="n">
        <f aca="false">K15+K16+K17+K18</f>
        <v>22267.0163655215</v>
      </c>
      <c r="L19" s="0" t="n">
        <f aca="false">L15+L16+L17+L18</f>
        <v>22935.0268564872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14656.9542342342</v>
      </c>
      <c r="D21" s="0" t="n">
        <f aca="false">D19*D20</f>
        <v>11581.5983248113</v>
      </c>
      <c r="E21" s="0" t="n">
        <f aca="false">E19*E20</f>
        <v>11600.4936615798</v>
      </c>
      <c r="F21" s="0" t="n">
        <f aca="false">F19*F20</f>
        <v>11505.1551971753</v>
      </c>
      <c r="G21" s="0" t="n">
        <f aca="false">G19*G20</f>
        <v>11369.7396915218</v>
      </c>
      <c r="H21" s="0" t="n">
        <f aca="false">H19*H20</f>
        <v>10894.6299001171</v>
      </c>
      <c r="I21" s="0" t="n">
        <f aca="false">I19*I20</f>
        <v>10109.4313487573</v>
      </c>
      <c r="J21" s="0" t="n">
        <f aca="false">J19*J20</f>
        <v>9380.82368398198</v>
      </c>
      <c r="K21" s="0" t="n">
        <f aca="false">K19*K20</f>
        <v>8704.72828333463</v>
      </c>
      <c r="L21" s="0" t="n">
        <f aca="false">L19*L20</f>
        <v>8077.36047913033</v>
      </c>
    </row>
    <row r="23" customFormat="false" ht="15" hidden="false" customHeight="false" outlineLevel="0" collapsed="false">
      <c r="A23" s="0" t="s">
        <v>106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Assumptions!$B$34</f>
        <v>11</v>
      </c>
    </row>
    <row r="28" customFormat="false" ht="15" hidden="false" customHeight="false" outlineLevel="0" collapsed="false">
      <c r="A28" s="0" t="s">
        <v>111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112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107880.914804644</v>
      </c>
    </row>
    <row r="31" customFormat="false" ht="15" hidden="false" customHeight="false" outlineLevel="0" collapsed="false">
      <c r="A31" s="0" t="s">
        <v>134</v>
      </c>
      <c r="B31" s="0" t="n">
        <f aca="false">L19</f>
        <v>22935.0268564872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295288.470777272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412830.483416769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295288.470777272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103996.016168803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211876.930973447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211876.930973447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14.2150489059034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0.0760824304241752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14.2150489059034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196858.980518181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9.34623496896723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0" t="s">
        <v>118</v>
      </c>
      <c r="B3" s="0" t="s">
        <v>88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Assumptions!C41</f>
        <v>5</v>
      </c>
      <c r="D5" s="4" t="n">
        <f aca="false">Assumptions!D41</f>
        <v>4</v>
      </c>
      <c r="E5" s="4" t="n">
        <f aca="false">Assumptions!E41</f>
        <v>4</v>
      </c>
      <c r="F5" s="4" t="n">
        <f aca="false">Assumptions!F41</f>
        <v>4</v>
      </c>
      <c r="G5" s="4" t="n">
        <f aca="false">Assumptions!G41</f>
        <v>3.5</v>
      </c>
      <c r="H5" s="4" t="n">
        <f aca="false">Assumptions!H41</f>
        <v>3.5</v>
      </c>
      <c r="I5" s="4" t="n">
        <f aca="false">Assumptions!I41</f>
        <v>3.5</v>
      </c>
      <c r="J5" s="4" t="n">
        <f aca="false">Assumptions!J41</f>
        <v>3.5</v>
      </c>
      <c r="K5" s="4" t="n">
        <f aca="false">Assumptions!K41</f>
        <v>3.5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38</v>
      </c>
      <c r="B6" s="3" t="n">
        <v>125600</v>
      </c>
      <c r="C6" s="0" t="n">
        <f aca="false">B6*(1+C5/100)</f>
        <v>131880</v>
      </c>
      <c r="D6" s="0" t="n">
        <f aca="false">C6*(1+D5/100)</f>
        <v>137155.2</v>
      </c>
      <c r="E6" s="0" t="n">
        <f aca="false">D6*(1+E5/100)</f>
        <v>142641.408</v>
      </c>
      <c r="F6" s="0" t="n">
        <f aca="false">E6*(1+F5/100)</f>
        <v>148347.06432</v>
      </c>
      <c r="G6" s="0" t="n">
        <f aca="false">F6*(1+G5/100)</f>
        <v>153539.2115712</v>
      </c>
      <c r="H6" s="0" t="n">
        <f aca="false">G6*(1+H5/100)</f>
        <v>158913.083976192</v>
      </c>
      <c r="I6" s="0" t="n">
        <f aca="false">H6*(1+I5/100)</f>
        <v>164475.041915359</v>
      </c>
      <c r="J6" s="0" t="n">
        <f aca="false">I6*(1+J5/100)</f>
        <v>170231.668382396</v>
      </c>
      <c r="K6" s="0" t="n">
        <f aca="false">J6*(1+K5/100)</f>
        <v>176189.77677578</v>
      </c>
      <c r="L6" s="0" t="n">
        <f aca="false">K6*(1+L5/100)</f>
        <v>182356.418962932</v>
      </c>
    </row>
    <row r="7" customFormat="false" ht="15" hidden="false" customHeight="false" outlineLevel="0" collapsed="false">
      <c r="A7" s="0" t="s">
        <v>104</v>
      </c>
      <c r="C7" s="4" t="n">
        <f aca="false">Assumptions!C42</f>
        <v>38</v>
      </c>
      <c r="D7" s="4" t="n">
        <f aca="false">Assumptions!D42</f>
        <v>38</v>
      </c>
      <c r="E7" s="4" t="n">
        <f aca="false">Assumptions!E42</f>
        <v>38</v>
      </c>
      <c r="F7" s="4" t="n">
        <f aca="false">Assumptions!F42</f>
        <v>38</v>
      </c>
      <c r="G7" s="4" t="n">
        <f aca="false">Assumptions!G42</f>
        <v>38</v>
      </c>
      <c r="H7" s="4" t="n">
        <f aca="false">Assumptions!H42</f>
        <v>38</v>
      </c>
      <c r="I7" s="4" t="n">
        <f aca="false">Assumptions!I42</f>
        <v>38</v>
      </c>
      <c r="J7" s="4" t="n">
        <f aca="false">Assumptions!J42</f>
        <v>38</v>
      </c>
      <c r="K7" s="4" t="n">
        <f aca="false">Assumptions!K42</f>
        <v>38</v>
      </c>
      <c r="L7" s="4" t="n">
        <f aca="false">Assumptions!L42</f>
        <v>38</v>
      </c>
    </row>
    <row r="8" customFormat="false" ht="15" hidden="false" customHeight="false" outlineLevel="0" collapsed="false">
      <c r="A8" s="0" t="s">
        <v>44</v>
      </c>
      <c r="C8" s="0" t="n">
        <f aca="false">C6*C7/100</f>
        <v>50114.4</v>
      </c>
      <c r="D8" s="0" t="n">
        <f aca="false">D6*D7/100</f>
        <v>52118.976</v>
      </c>
      <c r="E8" s="0" t="n">
        <f aca="false">E6*E7/100</f>
        <v>54203.73504</v>
      </c>
      <c r="F8" s="0" t="n">
        <f aca="false">F6*F7/100</f>
        <v>56371.8844416</v>
      </c>
      <c r="G8" s="0" t="n">
        <f aca="false">G6*G7/100</f>
        <v>58344.900397056</v>
      </c>
      <c r="H8" s="0" t="n">
        <f aca="false">H6*H7/100</f>
        <v>60386.971910953</v>
      </c>
      <c r="I8" s="0" t="n">
        <f aca="false">I6*I7/100</f>
        <v>62500.5159278363</v>
      </c>
      <c r="J8" s="0" t="n">
        <f aca="false">J6*J7/100</f>
        <v>64688.0339853106</v>
      </c>
      <c r="K8" s="0" t="n">
        <f aca="false">K6*K7/100</f>
        <v>66952.1151747965</v>
      </c>
      <c r="L8" s="0" t="n">
        <f aca="false">L6*L7/100</f>
        <v>69295.4392059143</v>
      </c>
    </row>
    <row r="9" customFormat="false" ht="15" hidden="false" customHeight="false" outlineLevel="0" collapsed="false">
      <c r="A9" s="0" t="s">
        <v>105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50114.4</v>
      </c>
      <c r="D11" s="0" t="n">
        <f aca="false">D8+D10+D24</f>
        <v>52118.976</v>
      </c>
      <c r="E11" s="0" t="n">
        <f aca="false">E8+E10+E24</f>
        <v>54203.73504</v>
      </c>
      <c r="F11" s="0" t="n">
        <f aca="false">F8+F10+F24</f>
        <v>56371.8844416</v>
      </c>
      <c r="G11" s="0" t="n">
        <f aca="false">G8+G10+G24</f>
        <v>58344.900397056</v>
      </c>
      <c r="H11" s="0" t="n">
        <f aca="false">H8+H10+H24</f>
        <v>60386.971910953</v>
      </c>
      <c r="I11" s="0" t="n">
        <f aca="false">I8+I10+I24</f>
        <v>62500.5159278363</v>
      </c>
      <c r="J11" s="0" t="n">
        <f aca="false">J8+J10+J24</f>
        <v>64688.0339853106</v>
      </c>
      <c r="K11" s="0" t="n">
        <f aca="false">K8+K10+K24</f>
        <v>66952.1151747965</v>
      </c>
      <c r="L11" s="0" t="n">
        <f aca="false">L8+L10+L24</f>
        <v>69295.4392059143</v>
      </c>
    </row>
    <row r="12" customFormat="false" ht="15" hidden="false" customHeight="false" outlineLevel="0" collapsed="false">
      <c r="A12" s="0" t="s">
        <v>122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50114.4</v>
      </c>
      <c r="D13" s="0" t="n">
        <f aca="false">D11+D12</f>
        <v>52118.976</v>
      </c>
      <c r="E13" s="0" t="n">
        <f aca="false">E11+E12</f>
        <v>54203.73504</v>
      </c>
      <c r="F13" s="0" t="n">
        <f aca="false">F11+F12</f>
        <v>56371.8844416</v>
      </c>
      <c r="G13" s="0" t="n">
        <f aca="false">G11+G12</f>
        <v>58344.900397056</v>
      </c>
      <c r="H13" s="0" t="n">
        <f aca="false">H11+H12</f>
        <v>60386.971910953</v>
      </c>
      <c r="I13" s="0" t="n">
        <f aca="false">I11+I12</f>
        <v>62500.5159278363</v>
      </c>
      <c r="J13" s="0" t="n">
        <f aca="false">J11+J12</f>
        <v>64688.0339853106</v>
      </c>
      <c r="K13" s="0" t="n">
        <f aca="false">K11+K12</f>
        <v>66952.1151747965</v>
      </c>
      <c r="L13" s="0" t="n">
        <f aca="false">L11+L12</f>
        <v>69295.4392059143</v>
      </c>
    </row>
    <row r="14" customFormat="false" ht="15" hidden="false" customHeight="false" outlineLevel="0" collapsed="false">
      <c r="A14" s="0" t="s">
        <v>109</v>
      </c>
      <c r="C14" s="4" t="n">
        <f aca="false">Assumptions!C47</f>
        <v>26.5</v>
      </c>
      <c r="D14" s="4" t="n">
        <f aca="false">Assumptions!D47</f>
        <v>26.5</v>
      </c>
      <c r="E14" s="4" t="n">
        <f aca="false">Assumptions!E47</f>
        <v>26.5</v>
      </c>
      <c r="F14" s="4" t="n">
        <f aca="false">Assumptions!F47</f>
        <v>26.5</v>
      </c>
      <c r="G14" s="4" t="n">
        <f aca="false">Assumptions!G47</f>
        <v>26.5</v>
      </c>
      <c r="H14" s="4" t="n">
        <f aca="false">Assumptions!H47</f>
        <v>26.5</v>
      </c>
      <c r="I14" s="4" t="n">
        <f aca="false">Assumptions!I47</f>
        <v>26.5</v>
      </c>
      <c r="J14" s="4" t="n">
        <f aca="false">Assumptions!J47</f>
        <v>26.5</v>
      </c>
      <c r="K14" s="4" t="n">
        <f aca="false">Assumptions!K47</f>
        <v>26.5</v>
      </c>
      <c r="L14" s="4" t="n">
        <f aca="false">Assumptions!L47</f>
        <v>26.5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36834.084</v>
      </c>
      <c r="D15" s="0" t="n">
        <f aca="false">D13-MAX(0,D13)*D14/100</f>
        <v>38307.44736</v>
      </c>
      <c r="E15" s="0" t="n">
        <f aca="false">E13-MAX(0,E13)*E14/100</f>
        <v>39839.7452544</v>
      </c>
      <c r="F15" s="0" t="n">
        <f aca="false">F13-MAX(0,F13)*F14/100</f>
        <v>41433.335064576</v>
      </c>
      <c r="G15" s="0" t="n">
        <f aca="false">G13-MAX(0,G13)*G14/100</f>
        <v>42883.5017918362</v>
      </c>
      <c r="H15" s="0" t="n">
        <f aca="false">H13-MAX(0,H13)*H14/100</f>
        <v>44384.4243545504</v>
      </c>
      <c r="I15" s="0" t="n">
        <f aca="false">I13-MAX(0,I13)*I14/100</f>
        <v>45937.8792069597</v>
      </c>
      <c r="J15" s="0" t="n">
        <f aca="false">J13-MAX(0,J13)*J14/100</f>
        <v>47545.7049792033</v>
      </c>
      <c r="K15" s="0" t="n">
        <f aca="false">K13-MAX(0,K13)*K14/100</f>
        <v>49209.8046534754</v>
      </c>
      <c r="L15" s="0" t="n">
        <f aca="false">L13-MAX(0,L13)*L14/100</f>
        <v>50932.147816347</v>
      </c>
    </row>
    <row r="16" customFormat="false" ht="15" hidden="false" customHeight="false" outlineLevel="0" collapsed="false">
      <c r="A16" s="0" t="s">
        <v>125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126</v>
      </c>
      <c r="C17" s="4" t="n">
        <f aca="false">-C6*Assumptions!C46/100</f>
        <v>-17144.4</v>
      </c>
      <c r="D17" s="4" t="n">
        <f aca="false">-D6*Assumptions!D46/100</f>
        <v>-16458.624</v>
      </c>
      <c r="E17" s="4" t="n">
        <f aca="false">-E6*Assumptions!E46/100</f>
        <v>-15690.55488</v>
      </c>
      <c r="F17" s="4" t="n">
        <f aca="false">-F6*Assumptions!F46/100</f>
        <v>-15576.4417536</v>
      </c>
      <c r="G17" s="4" t="n">
        <f aca="false">-G6*Assumptions!G46/100</f>
        <v>-15353.92115712</v>
      </c>
      <c r="H17" s="4" t="n">
        <f aca="false">-H6*Assumptions!H46/100</f>
        <v>-15891.3083976192</v>
      </c>
      <c r="I17" s="4" t="n">
        <f aca="false">-I6*Assumptions!I46/100</f>
        <v>-16118.5541077052</v>
      </c>
      <c r="J17" s="4" t="n">
        <f aca="false">-J6*Assumptions!J46/100</f>
        <v>-16682.7035014748</v>
      </c>
      <c r="K17" s="4" t="n">
        <f aca="false">-K6*Assumptions!K46/100</f>
        <v>-17266.5981240265</v>
      </c>
      <c r="L17" s="4" t="n">
        <f aca="false">-L6*Assumptions!L46/100</f>
        <v>-17870.9290583674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19689.684</v>
      </c>
      <c r="D19" s="0" t="n">
        <f aca="false">D15+D16+D17+D18</f>
        <v>21848.82336</v>
      </c>
      <c r="E19" s="0" t="n">
        <f aca="false">E15+E16+E17+E18</f>
        <v>24149.1903744</v>
      </c>
      <c r="F19" s="0" t="n">
        <f aca="false">F15+F16+F17+F18</f>
        <v>25856.893310976</v>
      </c>
      <c r="G19" s="0" t="n">
        <f aca="false">G15+G16+G17+G18</f>
        <v>27529.5806347162</v>
      </c>
      <c r="H19" s="0" t="n">
        <f aca="false">H15+H16+H17+H18</f>
        <v>28493.1159569312</v>
      </c>
      <c r="I19" s="0" t="n">
        <f aca="false">I15+I16+I17+I18</f>
        <v>29819.3250992545</v>
      </c>
      <c r="J19" s="0" t="n">
        <f aca="false">J15+J16+J17+J18</f>
        <v>30863.0014777285</v>
      </c>
      <c r="K19" s="0" t="n">
        <f aca="false">K15+K16+K17+K18</f>
        <v>31943.2065294489</v>
      </c>
      <c r="L19" s="0" t="n">
        <f aca="false">L15+L16+L17+L18</f>
        <v>33061.2187579797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17738.4540540541</v>
      </c>
      <c r="D21" s="0" t="n">
        <f aca="false">D19*D20</f>
        <v>17732.9951789628</v>
      </c>
      <c r="E21" s="0" t="n">
        <f aca="false">E19*E20</f>
        <v>17657.6798671572</v>
      </c>
      <c r="F21" s="0" t="n">
        <f aca="false">F19*F20</f>
        <v>17032.7365191026</v>
      </c>
      <c r="G21" s="0" t="n">
        <f aca="false">G19*G20</f>
        <v>16337.4661885675</v>
      </c>
      <c r="H21" s="0" t="n">
        <f aca="false">H19*H20</f>
        <v>15233.5833379886</v>
      </c>
      <c r="I21" s="0" t="n">
        <f aca="false">I19*I20</f>
        <v>14362.7287411432</v>
      </c>
      <c r="J21" s="0" t="n">
        <f aca="false">J19*J20</f>
        <v>13392.2740964713</v>
      </c>
      <c r="K21" s="0" t="n">
        <f aca="false">K19*K20</f>
        <v>12487.3907115746</v>
      </c>
      <c r="L21" s="0" t="n">
        <f aca="false">L19*L20</f>
        <v>11643.6480959277</v>
      </c>
    </row>
    <row r="23" customFormat="false" ht="15" hidden="false" customHeight="false" outlineLevel="0" collapsed="false">
      <c r="A23" s="0" t="s">
        <v>106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Assumptions!$B$48</f>
        <v>11</v>
      </c>
    </row>
    <row r="28" customFormat="false" ht="15" hidden="false" customHeight="false" outlineLevel="0" collapsed="false">
      <c r="A28" s="0" t="s">
        <v>111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112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153618.956790949</v>
      </c>
    </row>
    <row r="31" customFormat="false" ht="15" hidden="false" customHeight="false" outlineLevel="0" collapsed="false">
      <c r="A31" s="0" t="s">
        <v>134</v>
      </c>
      <c r="B31" s="0" t="n">
        <f aca="false">L19</f>
        <v>33061.2187579797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456244.818860119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595101.937643634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456244.818860119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160682.343723802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314301.300514752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314301.300514752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21.0868089200619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0.59627622407736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21.0868089200619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297550.968821817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13.5800283269745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2" t="s">
        <v>151</v>
      </c>
      <c r="B3" s="2" t="s">
        <v>152</v>
      </c>
      <c r="C3" s="2" t="s">
        <v>142</v>
      </c>
      <c r="D3" s="2" t="s">
        <v>153</v>
      </c>
      <c r="E3" s="2" t="s">
        <v>145</v>
      </c>
      <c r="F3" s="2" t="s">
        <v>154</v>
      </c>
    </row>
    <row r="4" customFormat="false" ht="15" hidden="false" customHeight="false" outlineLevel="0" collapsed="false">
      <c r="A4" s="0" t="s">
        <v>155</v>
      </c>
      <c r="B4" s="4" t="n">
        <f aca="false">DCF_Bear!$B$38</f>
        <v>8.60309013160611</v>
      </c>
      <c r="C4" s="0" t="n">
        <f aca="false">B4/Assumptions!$B$2-1</f>
        <v>-0.348744123269788</v>
      </c>
      <c r="D4" s="4" t="n">
        <f aca="false">Assumptions!$B$24</f>
        <v>0.25</v>
      </c>
      <c r="E4" s="4" t="n">
        <f aca="false">DCF_Bear!$B$43</f>
        <v>8.60309013160611</v>
      </c>
      <c r="F4" s="4" t="n">
        <f aca="false">DCF_Bear!$B$47</f>
        <v>5.86874759055065</v>
      </c>
    </row>
    <row r="5" customFormat="false" ht="15" hidden="false" customHeight="false" outlineLevel="0" collapsed="false">
      <c r="A5" s="0" t="s">
        <v>156</v>
      </c>
      <c r="B5" s="4" t="n">
        <f aca="false">DCF_Base!$B$38</f>
        <v>14.2150489059034</v>
      </c>
      <c r="C5" s="0" t="n">
        <f aca="false">B5/Assumptions!$B$2-1</f>
        <v>0.0760824304241752</v>
      </c>
      <c r="D5" s="4" t="n">
        <f aca="false">Assumptions!$B$38</f>
        <v>0.5</v>
      </c>
      <c r="E5" s="4" t="n">
        <f aca="false">DCF_Base!$B$43</f>
        <v>14.2150489059034</v>
      </c>
      <c r="F5" s="4" t="n">
        <f aca="false">DCF_Base!$B$47</f>
        <v>9.34623496896723</v>
      </c>
    </row>
    <row r="6" customFormat="false" ht="15" hidden="false" customHeight="false" outlineLevel="0" collapsed="false">
      <c r="A6" s="0" t="s">
        <v>157</v>
      </c>
      <c r="B6" s="4" t="n">
        <f aca="false">DCF_Bull!$B$38</f>
        <v>21.0868089200619</v>
      </c>
      <c r="C6" s="0" t="n">
        <f aca="false">B6/Assumptions!$B$2-1</f>
        <v>0.59627622407736</v>
      </c>
      <c r="D6" s="4" t="n">
        <f aca="false">Assumptions!$B$52</f>
        <v>0.25</v>
      </c>
      <c r="E6" s="4" t="n">
        <f aca="false">DCF_Bull!$B$43</f>
        <v>21.0868089200619</v>
      </c>
      <c r="F6" s="4" t="n">
        <f aca="false">DCF_Bull!$B$47</f>
        <v>13.5800283269745</v>
      </c>
    </row>
    <row r="8" customFormat="false" ht="15" hidden="false" customHeight="false" outlineLevel="0" collapsed="false">
      <c r="A8" s="0" t="s">
        <v>158</v>
      </c>
      <c r="B8" s="0" t="n">
        <f aca="false">SUMPRODUCT(B4:B6,D4:D6)</f>
        <v>14.5299992158687</v>
      </c>
    </row>
    <row r="9" customFormat="false" ht="15" hidden="false" customHeight="false" outlineLevel="0" collapsed="false">
      <c r="A9" s="0" t="s">
        <v>159</v>
      </c>
      <c r="B9" s="0" t="n">
        <f aca="false">SUMPRODUCT(E4:E6,D4:D6)</f>
        <v>14.5299992158687</v>
      </c>
    </row>
    <row r="10" customFormat="false" ht="15" hidden="false" customHeight="false" outlineLevel="0" collapsed="false">
      <c r="A10" s="0" t="s">
        <v>160</v>
      </c>
      <c r="B10" s="0" t="n">
        <f aca="false">1-Assumptions!$B$2/B8</f>
        <v>0.0908464753684962</v>
      </c>
    </row>
    <row r="11" customFormat="false" ht="15" hidden="false" customHeight="false" outlineLevel="0" collapsed="false">
      <c r="A11" s="0" t="s">
        <v>161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162</v>
      </c>
      <c r="B12" s="0" t="n">
        <f aca="false">SUMPRODUCT(F4:F6,D4:D6)</f>
        <v>9.53531146386489</v>
      </c>
    </row>
    <row r="14" customFormat="false" ht="15" hidden="false" customHeight="false" outlineLevel="0" collapsed="false">
      <c r="A14" s="2" t="s">
        <v>163</v>
      </c>
      <c r="C14" s="0" t="s">
        <v>164</v>
      </c>
    </row>
    <row r="15" customFormat="false" ht="15" hidden="false" customHeight="false" outlineLevel="0" collapsed="false">
      <c r="A15" s="0" t="s">
        <v>165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19.1038337600652</v>
      </c>
      <c r="C15" s="3" t="n">
        <v>9</v>
      </c>
    </row>
    <row r="16" customFormat="false" ht="15" hidden="false" customHeight="false" outlineLevel="0" collapsed="false">
      <c r="A16" s="0" t="s">
        <v>166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16.3086826644548</v>
      </c>
      <c r="C16" s="3" t="n">
        <v>10</v>
      </c>
    </row>
    <row r="17" customFormat="false" ht="15" hidden="false" customHeight="false" outlineLevel="0" collapsed="false">
      <c r="A17" s="0" t="s">
        <v>167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14.2150489059034</v>
      </c>
      <c r="C17" s="3" t="n">
        <v>11</v>
      </c>
    </row>
    <row r="18" customFormat="false" ht="15" hidden="false" customHeight="false" outlineLevel="0" collapsed="false">
      <c r="A18" s="0" t="s">
        <v>168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12.5889631044209</v>
      </c>
      <c r="C18" s="3" t="n">
        <v>12</v>
      </c>
    </row>
    <row r="19" customFormat="false" ht="15" hidden="false" customHeight="false" outlineLevel="0" collapsed="false">
      <c r="A19" s="0" t="s">
        <v>169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9.34623496896723</v>
      </c>
      <c r="C19" s="3" t="n">
        <v>15</v>
      </c>
    </row>
    <row r="21" customFormat="false" ht="15" hidden="false" customHeight="false" outlineLevel="0" collapsed="false">
      <c r="A21" s="2" t="s">
        <v>170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9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17.416984924163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18.1955305407332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19.1038337600652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19.6454824688411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19.6454824688411</v>
      </c>
    </row>
    <row r="24" customFormat="false" ht="15" hidden="false" customHeight="false" outlineLevel="0" collapsed="false">
      <c r="A24" s="3" t="n">
        <v>10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15.1433719376367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15.6871836101518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16.3086826644548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17.0257969578813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17.8624303002122</v>
      </c>
    </row>
    <row r="25" customFormat="false" ht="15" hidden="false" customHeight="false" outlineLevel="0" collapsed="false">
      <c r="A25" s="3" t="n">
        <v>11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13.3795908864344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13.7727476014786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14.2150489059034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14.7163237175847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15.2892092166491</v>
      </c>
    </row>
    <row r="26" customFormat="false" ht="15" hidden="false" customHeight="false" outlineLevel="0" collapsed="false">
      <c r="A26" s="3" t="n">
        <v>12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11.972425991846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12.2644698872762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12.5889631044209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12.9516319941709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13.3596344951395</v>
      </c>
    </row>
    <row r="27" customFormat="false" ht="15" hidden="false" customHeight="false" outlineLevel="0" collapsed="false">
      <c r="A27" s="3" t="n">
        <v>13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10.8243948470146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11.0461358289537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11.2900509090866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11.5596412608125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11.8591860960635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2026-10-22T03:10:43Z</dcterms:created>
  <dc:creator>openpyxl</dc:creator>
  <dc:description/>
  <dc:language>en-NZ</dc:language>
  <cp:lastModifiedBy/>
  <dcterms:modified xsi:type="dcterms:W3CDTF">2026-10-22T03:10:43Z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