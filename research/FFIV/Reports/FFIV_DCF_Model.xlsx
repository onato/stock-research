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<sst xmlns="http://schemas.openxmlformats.org/spreadsheetml/2006/main" count="387" uniqueCount="175">
  <si>
    <t xml:space="preserve">Ticker</t>
  </si>
  <si>
    <t xml:space="preserve">FFIV</t>
  </si>
  <si>
    <t xml:space="preserve">Company</t>
  </si>
  <si>
    <t xml:space="preserve">F5,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</si>
  <si>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</si>
  <si>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</si>
  <si>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</si>
  <si>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</si>
  <si>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2026-09-25T20:00:01Z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</si>
  <si>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</si>
  <si>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</si>
  <si>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</si>
  <si>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</si>
  <si>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</si>
  <si>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</si>
  <si>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</si>
  <si>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</si>
  <si>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</si>
  <si>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</si>
  <si>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</si>
  <si>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</si>
  <si>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2026-09-28T08:15:04Z</t>
  </si>
  <si>
    <t xml:space="preserve">Drivers file</t>
  </si>
  <si>
    <t xml:space="preserve">FFIV_Drivers.json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</si>
  <si>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</si>
  <si>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</si>
  <si>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</si>
  <si>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DCF: SBC fully expensed (share count flat, buybacks value-neutral), interest income on the $1.6bn cash pile stripped and the cash added back once, margins built from components rather than carried forward from a peak year, cash tax at a normalised 22%. Terminal value is the lower of Gordon and a cap multiple (18x base), and the 15% hurdle entry price rebuilds its own terminal value at the hurdle rate.
key_risks_to_valuation: FY2026 growth (9-10%) includes refresh-cycle and post-breach catch-up; if the systems surge is cyclical rather than structural, FY2027-28 growth is at or below the bear path.; Breach long tail: federal re-certification, securities class action and derivative litigation, and reputational damage to a security vendor could depress bookings for longer than guidance implies.; Terminal value is a large share of value in every scenario; each 1pp of WACC or 0.5pp of terminal growth moves the base value materially (see sensitivity grid).; SBC intensity (7.6% of revenue) is the gap between house and street bases; the market price sits above even the street basis, implying it pays for growth beyond the base path.; Distributor concentration (~33% of revenue via two distributors) creates lumpiness in reported growth.</t>
  </si>
  <si>
    <t xml:space="preserve">Data sources</t>
  </si>
  <si>
    <t xml:space="preserve">price: Yahoo Finance chart API at inputs.price_as_of (regular close); 52-week range 223.76-462.0
financials: SEC XBRL companyfacts API (CIK 1048695): 10-K FY2025 (year ended 2025-09-30) and 10-Q Q3 FY2026 (quarter ended 2026-06-30) for revenue, OCF, capex, SBC, interest income, shares, cash, leases, taxes; research/FFIV/Reports/FFIV_Metrics.csv for the FY2008-FY2025 annual history and CAGRs
qualitative: research/FFIV/Reports/FFIV_Analysis.json (2026-09-28): breach timeline, FY2026 guidance progression 0-4% -&gt; 7-8% -&gt; 9-10%, Q4 FY2026 guide $870-890m, AI use-case disclosures, bull/bear points</t>
  </si>
  <si>
    <t xml:space="preserve">Scenario narrative: bear</t>
  </si>
  <si>
    <t xml:space="preserve">The hardware surge reverses in FY2027, the breach's reputational and litigation tail persists, and hyperscaler-native load balancing erodes the on-prem base; revenue is flat for two years and grows 2% thereafter, margin compresses to 32.5%, SBC holds at 7.8% of a stalled revenue base. Terminal growth 2%, cap 15x. No scenario hits the zero terminal floor: the business remains strongly cash-generative even in the bear case.</t>
  </si>
  <si>
    <t xml:space="preserve">Scenario narrative: base</t>
  </si>
  <si>
    <t xml:space="preserve">F5 is a mature, net-cash ADC incumbent converting to subscription software. FY2026's guided 9-10% growth carries breach-recovery and refresh-cycle catch-up; the base case fades growth from 6% in FY2027 to 2.5% by FY2036 while adjusted EBITDA margin settles at 36.5% and SBC glides from 7.5% to 6% of revenue. The axes that matter are the durability of the BIG-IP refresh cycle, whether the AI data-centre insertion points scale beyond ~$100m, and how long the October 2025 nation-state breach weighs on federal and security-conscious buyers.</t>
  </si>
  <si>
    <t xml:space="preserve">Scenario narrative: bull</t>
  </si>
  <si>
    <t xml:space="preserve">AI inference security and data-delivery use cases (200%+ growth in H1 FY2026 off ~$50m) plus competitive displacement from Citrix/VMware sustain high-single-digit growth for four years; the subscription mix pushes adjusted EBITDA margin to 38% and SBC intensity falls to 5.5%. Terminal growth 3%, cap 20x.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</si>
  <si>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</si>
  <si>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</si>
  <si>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</si>
  <si>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</si>
  <si>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</si>
  <si>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</si>
  <si>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</si>
  <si>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</si>
  <si>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</si>
  <si>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</si>
  <si>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</si>
  <si>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</si>
  <si>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</si>
  <si>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</si>
  <si>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</si>
  <si>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</si>
  <si>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</si>
  <si>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</si>
  <si>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</si>
  <si>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</si>
  <si>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</si>
  <si>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</si>
  <si>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</si>
  <si>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</si>
  <si>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</si>
  <si>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</si>
  <si>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</si>
  <si>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</si>
  <si>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</si>
  <si>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</si>
  <si>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</si>
  <si>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</si>
  <si>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</si>
  <si>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</si>
  <si>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</si>
  <si>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</si>
  <si>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</si>
  <si>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</si>
  <si>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</si>
  <si>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</si>
  <si>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</si>
  <si>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</si>
  <si>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</si>
  <si>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</si>
  <si>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</si>
  <si>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</si>
  <si>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</si>
  <si>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</si>
  <si>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</si>
  <si>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</si>
  <si>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</si>
  <si>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</si>
  <si>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</si>
  <si>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</si>
  <si>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</si>
  <si>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</si>
  <si>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</si>
  <si>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</si>
  <si>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</si>
  <si>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</si>
  <si>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</si>
  <si>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</si>
  <si>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</si>
  <si>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</si>
  <si>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</si>
  <si>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</si>
  <si>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</si>
  <si>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</si>
  <si>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</si>
  <si>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</si>
  <si>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</si>
  <si>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</si>
  <si>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</si>
  <si>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</si>
  <si>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</si>
  <si>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</si>
  <si>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</si>
  <si>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</si>
  <si>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</si>
  <si>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</si>
  <si>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</si>
  <si>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</si>
  <si>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</si>
  <si>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</si>
  <si>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FFIV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</si>
  <si>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</si>
  <si>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</si>
  <si>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</si>
  <si>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</si>
  <si>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</si>
  <si>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</si>
  <si>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</si>
  <si>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</si>
  <si>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</si>
  <si>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</si>
  <si>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</si>
  <si>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</si>
  <si>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</si>
  <si>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</si>
  <si>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</si>
  <si>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</si>
  <si>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</si>
  <si>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</si>
  <si>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</si>
  <si>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</si>
  <si>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</si>
  <si>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</si>
  <si>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</si>
  <si>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</si>
  <si>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</si>
  <si>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</si>
  <si>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</si>
  <si>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</si>
  <si>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</si>
  <si>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</si>
  <si>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FFIV owner-FCF component DCF: base case (millions, USD)</t>
  </si>
  <si>
    <t xml:space="preserve">FFIV owner-FCF component DCF: bull case (millions, USD)</t>
  </si>
  <si>
    <t xml:space="preserve">FFIV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</si>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</sst>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443.06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770.577</v>
      </c>
      <c r="S2" s="0" t="n">
        <v>54.296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650.173</v>
      </c>
      <c r="C3" s="0" t="n">
        <v>149.018</v>
      </c>
      <c r="D3" s="0" t="n">
        <v>501.155</v>
      </c>
      <c r="E3" s="0" t="n">
        <v>77.080254024698</v>
      </c>
      <c r="F3" s="0" t="n">
        <v>99.314</v>
      </c>
      <c r="G3" s="0" t="n">
        <v>15.2750114200374</v>
      </c>
      <c r="H3" s="0" t="n">
        <v>75.691</v>
      </c>
      <c r="I3" s="0" t="n">
        <v>74.331</v>
      </c>
      <c r="J3" s="0" t="n">
        <v>11.4324956588477</v>
      </c>
      <c r="K3" s="0" t="n">
        <v>0.9</v>
      </c>
      <c r="L3" s="0" t="n">
        <v>193.692</v>
      </c>
      <c r="M3" s="0" t="n">
        <v>27.923</v>
      </c>
      <c r="N3" s="0" t="n">
        <v>165.769</v>
      </c>
      <c r="O3" s="0" t="n">
        <v>718.259</v>
      </c>
      <c r="S3" s="0" t="n">
        <v>78.303</v>
      </c>
      <c r="T3" s="0" t="n">
        <v>83.428</v>
      </c>
      <c r="U3" s="0" t="n">
        <v>-60.582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653.079</v>
      </c>
      <c r="C4" s="0" t="n">
        <v>142.726</v>
      </c>
      <c r="D4" s="0" t="n">
        <v>510.353</v>
      </c>
      <c r="E4" s="0" t="n">
        <v>78.1456760973787</v>
      </c>
      <c r="F4" s="0" t="n">
        <v>121.924</v>
      </c>
      <c r="G4" s="0" t="n">
        <v>18.669104350316</v>
      </c>
      <c r="H4" s="0" t="n">
        <v>148.331</v>
      </c>
      <c r="I4" s="0" t="n">
        <v>91.535</v>
      </c>
      <c r="J4" s="0" t="n">
        <v>14.0159153793033</v>
      </c>
      <c r="K4" s="0" t="n">
        <v>1.16</v>
      </c>
      <c r="L4" s="0" t="n">
        <v>201.981</v>
      </c>
      <c r="M4" s="0" t="n">
        <v>11.669</v>
      </c>
      <c r="N4" s="0" t="n">
        <v>190.312</v>
      </c>
      <c r="O4" s="0" t="n">
        <v>799.02</v>
      </c>
      <c r="P4" s="0" t="n">
        <v>1068.645</v>
      </c>
      <c r="S4" s="0" t="n">
        <v>110.837</v>
      </c>
      <c r="T4" s="0" t="n">
        <v>80.073</v>
      </c>
      <c r="U4" s="0" t="n">
        <v>56.064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881.972</v>
      </c>
      <c r="C5" s="0" t="n">
        <v>171.952</v>
      </c>
      <c r="D5" s="0" t="n">
        <v>710.02</v>
      </c>
      <c r="E5" s="0" t="n">
        <v>80.5036894595293</v>
      </c>
      <c r="F5" s="0" t="n">
        <v>230.002</v>
      </c>
      <c r="G5" s="0" t="n">
        <v>26.0781521408843</v>
      </c>
      <c r="H5" s="0" t="n">
        <v>253.835</v>
      </c>
      <c r="I5" s="0" t="n">
        <v>151.153</v>
      </c>
      <c r="J5" s="0" t="n">
        <v>17.138072410462</v>
      </c>
      <c r="K5" s="0" t="n">
        <v>1.9</v>
      </c>
      <c r="L5" s="0" t="n">
        <v>313.612</v>
      </c>
      <c r="M5" s="0" t="n">
        <v>12.625</v>
      </c>
      <c r="N5" s="0" t="n">
        <v>300.987</v>
      </c>
      <c r="O5" s="0" t="n">
        <v>1003.698</v>
      </c>
      <c r="P5" s="0" t="n">
        <v>1362.192</v>
      </c>
      <c r="S5" s="0" t="n">
        <v>168.754</v>
      </c>
      <c r="T5" s="0" t="n">
        <v>81.049</v>
      </c>
      <c r="U5" s="0" t="n">
        <v>70.773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1151.834</v>
      </c>
      <c r="C6" s="0" t="n">
        <v>208.004</v>
      </c>
      <c r="D6" s="0" t="n">
        <v>943.83</v>
      </c>
      <c r="E6" s="0" t="n">
        <v>81.9414950418203</v>
      </c>
      <c r="F6" s="0" t="n">
        <v>350.662</v>
      </c>
      <c r="G6" s="0" t="n">
        <v>30.4437965887446</v>
      </c>
      <c r="H6" s="0" t="n">
        <v>371.549</v>
      </c>
      <c r="I6" s="0" t="n">
        <v>241.397</v>
      </c>
      <c r="J6" s="0" t="n">
        <v>20.9576206293615</v>
      </c>
      <c r="K6" s="0" t="n">
        <v>2.99</v>
      </c>
      <c r="L6" s="0" t="n">
        <v>416.938</v>
      </c>
      <c r="M6" s="0" t="n">
        <v>30.445</v>
      </c>
      <c r="N6" s="0" t="n">
        <v>386.493</v>
      </c>
      <c r="O6" s="0" t="n">
        <v>1105.436</v>
      </c>
      <c r="P6" s="0" t="n">
        <v>1568.549</v>
      </c>
      <c r="S6" s="0" t="n">
        <v>216.784</v>
      </c>
      <c r="T6" s="0" t="n">
        <v>81.482</v>
      </c>
      <c r="U6" s="0" t="n">
        <v>89.747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1377.247</v>
      </c>
      <c r="C7" s="0" t="n">
        <v>236.168</v>
      </c>
      <c r="D7" s="0" t="n">
        <v>1141.079</v>
      </c>
      <c r="E7" s="0" t="n">
        <v>82.8521681296093</v>
      </c>
      <c r="F7" s="0" t="n">
        <v>426.303</v>
      </c>
      <c r="G7" s="0" t="n">
        <v>30.9532712723281</v>
      </c>
      <c r="H7" s="0" t="n">
        <v>461.442</v>
      </c>
      <c r="I7" s="0" t="n">
        <v>275.186</v>
      </c>
      <c r="J7" s="0" t="n">
        <v>19.9808748902702</v>
      </c>
      <c r="K7" s="0" t="n">
        <v>3.48</v>
      </c>
      <c r="L7" s="0" t="n">
        <v>495.437</v>
      </c>
      <c r="M7" s="0" t="n">
        <v>29.867</v>
      </c>
      <c r="N7" s="0" t="n">
        <v>465.57</v>
      </c>
      <c r="O7" s="0" t="n">
        <v>1329.4</v>
      </c>
      <c r="P7" s="0" t="n">
        <v>1911.201</v>
      </c>
      <c r="S7" s="0" t="n">
        <v>211.181</v>
      </c>
      <c r="T7" s="0" t="n">
        <v>79.78</v>
      </c>
      <c r="U7" s="0" t="n">
        <v>95.348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1481.314</v>
      </c>
      <c r="C8" s="0" t="n">
        <v>253.047</v>
      </c>
      <c r="D8" s="0" t="n">
        <v>1228.267</v>
      </c>
      <c r="E8" s="0" t="n">
        <v>82.917396311653</v>
      </c>
      <c r="F8" s="0" t="n">
        <v>430.818</v>
      </c>
      <c r="G8" s="0" t="n">
        <v>29.0835028900017</v>
      </c>
      <c r="H8" s="0" t="n">
        <v>470.823</v>
      </c>
      <c r="I8" s="0" t="n">
        <v>277.314</v>
      </c>
      <c r="J8" s="0" t="n">
        <v>18.7208113877274</v>
      </c>
      <c r="K8" s="0" t="n">
        <v>3.53</v>
      </c>
      <c r="L8" s="0" t="n">
        <v>499.693</v>
      </c>
      <c r="M8" s="0" t="n">
        <v>26.583</v>
      </c>
      <c r="N8" s="0" t="n">
        <v>473.11</v>
      </c>
      <c r="O8" s="0" t="n">
        <v>1538.712</v>
      </c>
      <c r="P8" s="0" t="n">
        <v>2230.554</v>
      </c>
      <c r="S8" s="0" t="n">
        <v>189.693</v>
      </c>
      <c r="T8" s="0" t="n">
        <v>79.136</v>
      </c>
      <c r="U8" s="0" t="n">
        <v>104.212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1732.046</v>
      </c>
      <c r="C9" s="0" t="n">
        <v>309.959</v>
      </c>
      <c r="D9" s="0" t="n">
        <v>1422.087</v>
      </c>
      <c r="E9" s="0" t="n">
        <v>82.104459119446</v>
      </c>
      <c r="F9" s="0" t="n">
        <v>493.557</v>
      </c>
      <c r="G9" s="0" t="n">
        <v>28.4956057749044</v>
      </c>
      <c r="H9" s="0" t="n">
        <v>539.678</v>
      </c>
      <c r="I9" s="0" t="n">
        <v>311.183</v>
      </c>
      <c r="J9" s="0" t="n">
        <v>17.9662087496521</v>
      </c>
      <c r="K9" s="0" t="n">
        <v>4.13</v>
      </c>
      <c r="L9" s="0" t="n">
        <v>548.992</v>
      </c>
      <c r="M9" s="0" t="n">
        <v>22.718</v>
      </c>
      <c r="N9" s="0" t="n">
        <v>526.274</v>
      </c>
      <c r="O9" s="0" t="n">
        <v>1369.31</v>
      </c>
      <c r="P9" s="0" t="n">
        <v>2184.95</v>
      </c>
      <c r="S9" s="0" t="n">
        <v>281.502</v>
      </c>
      <c r="T9" s="0" t="n">
        <v>76.092</v>
      </c>
      <c r="U9" s="0" t="n">
        <v>127.2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1919.823</v>
      </c>
      <c r="C10" s="0" t="n">
        <v>332.261</v>
      </c>
      <c r="D10" s="0" t="n">
        <v>1587.562</v>
      </c>
      <c r="E10" s="0" t="n">
        <v>82.6931441075557</v>
      </c>
      <c r="F10" s="0" t="n">
        <v>552.899</v>
      </c>
      <c r="G10" s="0" t="n">
        <v>28.7994778685327</v>
      </c>
      <c r="H10" s="0" t="n">
        <v>605.482</v>
      </c>
      <c r="I10" s="0" t="n">
        <v>365.014</v>
      </c>
      <c r="J10" s="0" t="n">
        <v>19.0128985849216</v>
      </c>
      <c r="K10" s="0" t="n">
        <v>5.07</v>
      </c>
      <c r="L10" s="0" t="n">
        <v>684.541</v>
      </c>
      <c r="M10" s="0" t="n">
        <v>60.307</v>
      </c>
      <c r="N10" s="0" t="n">
        <v>624.234</v>
      </c>
      <c r="O10" s="0" t="n">
        <v>1316.728</v>
      </c>
      <c r="P10" s="0" t="n">
        <v>2312.29</v>
      </c>
      <c r="S10" s="0" t="n">
        <v>390.46</v>
      </c>
      <c r="T10" s="0" t="n">
        <v>72.547</v>
      </c>
      <c r="U10" s="0" t="n">
        <v>145.6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1995.034</v>
      </c>
      <c r="C11" s="0" t="n">
        <v>337.205</v>
      </c>
      <c r="D11" s="0" t="n">
        <v>1657.829</v>
      </c>
      <c r="E11" s="0" t="n">
        <v>83.09778179219</v>
      </c>
      <c r="F11" s="0" t="n">
        <v>547.377</v>
      </c>
      <c r="G11" s="0" t="n">
        <v>27.4369760114364</v>
      </c>
      <c r="H11" s="0" t="n">
        <v>604.153</v>
      </c>
      <c r="I11" s="0" t="n">
        <v>365.855</v>
      </c>
      <c r="J11" s="0" t="n">
        <v>18.3382839590704</v>
      </c>
      <c r="K11" s="0" t="n">
        <v>5.43</v>
      </c>
      <c r="L11" s="0" t="n">
        <v>711.535</v>
      </c>
      <c r="M11" s="0" t="n">
        <v>63.488</v>
      </c>
      <c r="N11" s="0" t="n">
        <v>648.047</v>
      </c>
      <c r="O11" s="0" t="n">
        <v>1185.262</v>
      </c>
      <c r="P11" s="0" t="n">
        <v>2306.323</v>
      </c>
      <c r="S11" s="0" t="n">
        <v>514.571</v>
      </c>
      <c r="T11" s="0" t="n">
        <v>67.984</v>
      </c>
      <c r="U11" s="0" t="n">
        <v>156.8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2090.041</v>
      </c>
      <c r="C12" s="0" t="n">
        <v>353.485</v>
      </c>
      <c r="D12" s="0" t="n">
        <v>1736.556</v>
      </c>
      <c r="E12" s="0" t="n">
        <v>83.0871738879764</v>
      </c>
      <c r="F12" s="0" t="n">
        <v>563.956</v>
      </c>
      <c r="G12" s="0" t="n">
        <v>26.9830113380551</v>
      </c>
      <c r="H12" s="0" t="n">
        <v>625.104</v>
      </c>
      <c r="I12" s="0" t="n">
        <v>420.761</v>
      </c>
      <c r="J12" s="0" t="n">
        <v>20.131710334869</v>
      </c>
      <c r="K12" s="0" t="n">
        <v>6.56</v>
      </c>
      <c r="L12" s="0" t="n">
        <v>740.281</v>
      </c>
      <c r="M12" s="0" t="n">
        <v>38.681</v>
      </c>
      <c r="N12" s="0" t="n">
        <v>701.6</v>
      </c>
      <c r="O12" s="0" t="n">
        <v>1229.392</v>
      </c>
      <c r="P12" s="0" t="n">
        <v>2476.489</v>
      </c>
      <c r="S12" s="0" t="n">
        <v>673.228</v>
      </c>
      <c r="T12" s="0" t="n">
        <v>64.775</v>
      </c>
      <c r="U12" s="0" t="n">
        <v>175.326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2161.407</v>
      </c>
      <c r="C13" s="0" t="n">
        <v>361.481</v>
      </c>
      <c r="D13" s="0" t="n">
        <v>1799.926</v>
      </c>
      <c r="E13" s="0" t="n">
        <v>83.275662566097</v>
      </c>
      <c r="F13" s="0" t="n">
        <v>590.899</v>
      </c>
      <c r="G13" s="0" t="n">
        <v>27.3386271072501</v>
      </c>
      <c r="H13" s="0" t="n">
        <v>650.39</v>
      </c>
      <c r="I13" s="0" t="n">
        <v>453.689</v>
      </c>
      <c r="J13" s="0" t="n">
        <v>20.9904474261442</v>
      </c>
      <c r="K13" s="0" t="n">
        <v>7.41</v>
      </c>
      <c r="L13" s="0" t="n">
        <v>761.068</v>
      </c>
      <c r="M13" s="0" t="n">
        <v>53.465</v>
      </c>
      <c r="N13" s="0" t="n">
        <v>707.603</v>
      </c>
      <c r="O13" s="0" t="n">
        <v>1285.492</v>
      </c>
      <c r="P13" s="0" t="n">
        <v>2605.476</v>
      </c>
      <c r="S13" s="0" t="n">
        <v>424.707</v>
      </c>
      <c r="T13" s="0" t="n">
        <v>62.013</v>
      </c>
      <c r="U13" s="0" t="n">
        <v>157.9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2242.447</v>
      </c>
      <c r="C14" s="0" t="n">
        <v>356.577</v>
      </c>
      <c r="D14" s="0" t="n">
        <v>1885.87</v>
      </c>
      <c r="E14" s="0" t="n">
        <v>84.0987546193957</v>
      </c>
      <c r="F14" s="0" t="n">
        <v>518.463</v>
      </c>
      <c r="G14" s="0" t="n">
        <v>23.1204126563526</v>
      </c>
      <c r="H14" s="0" t="n">
        <v>586.97</v>
      </c>
      <c r="I14" s="0" t="n">
        <v>427.734</v>
      </c>
      <c r="J14" s="0" t="n">
        <v>19.0744307446285</v>
      </c>
      <c r="K14" s="0" t="n">
        <v>7.12</v>
      </c>
      <c r="L14" s="0" t="n">
        <v>747.841</v>
      </c>
      <c r="M14" s="0" t="n">
        <v>103.542</v>
      </c>
      <c r="N14" s="0" t="n">
        <v>644.299</v>
      </c>
      <c r="O14" s="0" t="n">
        <v>1761.497</v>
      </c>
      <c r="P14" s="0" t="n">
        <v>3390.275</v>
      </c>
      <c r="Q14" s="0" t="n">
        <v>1628.778</v>
      </c>
      <c r="R14" s="0" t="n">
        <v>0</v>
      </c>
      <c r="S14" s="0" t="n">
        <v>599.219</v>
      </c>
      <c r="T14" s="0" t="n">
        <v>60.456</v>
      </c>
      <c r="U14" s="0" t="n">
        <v>162.914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2350.822</v>
      </c>
      <c r="C15" s="0" t="n">
        <v>407.887</v>
      </c>
      <c r="D15" s="0" t="n">
        <v>1942.935</v>
      </c>
      <c r="E15" s="0" t="n">
        <v>82.649175479896</v>
      </c>
      <c r="F15" s="0" t="n">
        <v>392.267</v>
      </c>
      <c r="G15" s="0" t="n">
        <v>16.6863760846206</v>
      </c>
      <c r="H15" s="0" t="n">
        <v>488.124</v>
      </c>
      <c r="I15" s="0" t="n">
        <v>307.441</v>
      </c>
      <c r="J15" s="0" t="n">
        <v>13.0780212198116</v>
      </c>
      <c r="K15" s="0" t="n">
        <v>5.05</v>
      </c>
      <c r="L15" s="0" t="n">
        <v>660.898</v>
      </c>
      <c r="M15" s="0" t="n">
        <v>59.94</v>
      </c>
      <c r="N15" s="0" t="n">
        <v>600.958</v>
      </c>
      <c r="O15" s="0" t="n">
        <v>2232.268</v>
      </c>
      <c r="P15" s="0" t="n">
        <v>4677.92</v>
      </c>
      <c r="R15" s="0" t="n">
        <v>388.322</v>
      </c>
      <c r="S15" s="0" t="n">
        <v>849.556</v>
      </c>
      <c r="T15" s="0" t="n">
        <v>61.378</v>
      </c>
      <c r="U15" s="0" t="n">
        <v>201.948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2603.416</v>
      </c>
      <c r="C16" s="0" t="n">
        <v>493.146</v>
      </c>
      <c r="D16" s="0" t="n">
        <v>2110.27</v>
      </c>
      <c r="E16" s="0" t="n">
        <v>81.0577333779926</v>
      </c>
      <c r="F16" s="0" t="n">
        <v>394.025</v>
      </c>
      <c r="G16" s="0" t="n">
        <v>15.1349227322871</v>
      </c>
      <c r="H16" s="0" t="n">
        <v>509.449</v>
      </c>
      <c r="I16" s="0" t="n">
        <v>331.241</v>
      </c>
      <c r="J16" s="0" t="n">
        <v>12.7233219738989</v>
      </c>
      <c r="K16" s="0" t="n">
        <v>5.46</v>
      </c>
      <c r="L16" s="0" t="n">
        <v>645.196</v>
      </c>
      <c r="M16" s="0" t="n">
        <v>30.651</v>
      </c>
      <c r="N16" s="0" t="n">
        <v>614.545</v>
      </c>
      <c r="O16" s="0" t="n">
        <v>2360.213</v>
      </c>
      <c r="P16" s="0" t="n">
        <v>4997.28</v>
      </c>
      <c r="R16" s="0" t="n">
        <v>369.047</v>
      </c>
      <c r="S16" s="0" t="n">
        <v>580.977</v>
      </c>
      <c r="T16" s="0" t="n">
        <v>62.057</v>
      </c>
      <c r="U16" s="0" t="n">
        <v>243.3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2695.845</v>
      </c>
      <c r="C17" s="0" t="n">
        <v>539.627</v>
      </c>
      <c r="D17" s="0" t="n">
        <v>2156.218</v>
      </c>
      <c r="E17" s="0" t="n">
        <v>79.9830108926886</v>
      </c>
      <c r="F17" s="0" t="n">
        <v>403.792</v>
      </c>
      <c r="G17" s="0" t="n">
        <v>14.9783092128813</v>
      </c>
      <c r="H17" s="0" t="n">
        <v>519.401</v>
      </c>
      <c r="I17" s="0" t="n">
        <v>322.16</v>
      </c>
      <c r="J17" s="0" t="n">
        <v>11.9502419464027</v>
      </c>
      <c r="K17" s="0" t="n">
        <v>5.34</v>
      </c>
      <c r="L17" s="0" t="n">
        <v>442.631</v>
      </c>
      <c r="M17" s="0" t="n">
        <v>33.624</v>
      </c>
      <c r="N17" s="0" t="n">
        <v>409.007</v>
      </c>
      <c r="O17" s="0" t="n">
        <v>2468.978</v>
      </c>
      <c r="P17" s="0" t="n">
        <v>5276.194</v>
      </c>
      <c r="R17" s="0" t="n">
        <v>349.772</v>
      </c>
      <c r="S17" s="0" t="n">
        <v>758.012</v>
      </c>
      <c r="T17" s="0" t="n">
        <v>61.097</v>
      </c>
      <c r="U17" s="0" t="n">
        <v>249.216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2813.169</v>
      </c>
      <c r="C18" s="0" t="n">
        <v>593.308</v>
      </c>
      <c r="D18" s="0" t="n">
        <v>2219.861</v>
      </c>
      <c r="E18" s="0" t="n">
        <v>78.909621142562</v>
      </c>
      <c r="F18" s="0" t="n">
        <v>472.568</v>
      </c>
      <c r="G18" s="0" t="n">
        <v>16.798421993133</v>
      </c>
      <c r="H18" s="0" t="n">
        <v>585.27</v>
      </c>
      <c r="I18" s="0" t="n">
        <v>394.948</v>
      </c>
      <c r="J18" s="0" t="n">
        <v>14.0392560845083</v>
      </c>
      <c r="K18" s="0" t="n">
        <v>6.59</v>
      </c>
      <c r="L18" s="0" t="n">
        <v>653.409</v>
      </c>
      <c r="M18" s="0" t="n">
        <v>54.184</v>
      </c>
      <c r="N18" s="0" t="n">
        <v>599.225</v>
      </c>
      <c r="O18" s="0" t="n">
        <v>2800.232</v>
      </c>
      <c r="P18" s="0" t="n">
        <v>5248.333</v>
      </c>
      <c r="R18" s="0" t="n">
        <v>0</v>
      </c>
      <c r="S18" s="0" t="n">
        <v>797.163</v>
      </c>
      <c r="T18" s="0" t="n">
        <v>60.27</v>
      </c>
      <c r="U18" s="0" t="n">
        <v>236.7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2816.12</v>
      </c>
      <c r="C19" s="0" t="n">
        <v>557.647</v>
      </c>
      <c r="D19" s="0" t="n">
        <v>2258.473</v>
      </c>
      <c r="E19" s="0" t="n">
        <v>80.1980384358621</v>
      </c>
      <c r="F19" s="0" t="n">
        <v>658.591</v>
      </c>
      <c r="G19" s="0" t="n">
        <v>23.3864679061972</v>
      </c>
      <c r="H19" s="0" t="n">
        <v>765.582</v>
      </c>
      <c r="I19" s="0" t="n">
        <v>566.778</v>
      </c>
      <c r="J19" s="0" t="n">
        <v>20.1262020084371</v>
      </c>
      <c r="K19" s="0" t="n">
        <v>9.65</v>
      </c>
      <c r="L19" s="0" t="n">
        <v>792.419</v>
      </c>
      <c r="M19" s="0" t="n">
        <v>30.412</v>
      </c>
      <c r="N19" s="0" t="n">
        <v>762.007</v>
      </c>
      <c r="O19" s="0" t="n">
        <v>3129.378</v>
      </c>
      <c r="P19" s="0" t="n">
        <v>5613.004</v>
      </c>
      <c r="S19" s="0" t="n">
        <v>1074.602</v>
      </c>
      <c r="T19" s="0" t="n">
        <v>59.359</v>
      </c>
      <c r="U19" s="0" t="n">
        <v>219.108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3088.072</v>
      </c>
      <c r="C20" s="0" t="n">
        <v>573.978</v>
      </c>
      <c r="D20" s="0" t="n">
        <v>2514.094</v>
      </c>
      <c r="E20" s="0" t="n">
        <v>81.4130629078597</v>
      </c>
      <c r="F20" s="0" t="n">
        <v>765.949</v>
      </c>
      <c r="G20" s="0" t="n">
        <v>24.8034696082216</v>
      </c>
      <c r="H20" s="0" t="n">
        <v>858.348</v>
      </c>
      <c r="I20" s="0" t="n">
        <v>692.38</v>
      </c>
      <c r="J20" s="0" t="n">
        <v>22.4211093523726</v>
      </c>
      <c r="K20" s="0" t="n">
        <v>11.96</v>
      </c>
      <c r="L20" s="0" t="n">
        <v>949.666</v>
      </c>
      <c r="M20" s="0" t="n">
        <v>43.26</v>
      </c>
      <c r="N20" s="0" t="n">
        <v>906.406</v>
      </c>
      <c r="O20" s="0" t="n">
        <v>3591.999</v>
      </c>
      <c r="P20" s="0" t="n">
        <v>6319.492</v>
      </c>
      <c r="S20" s="0" t="n">
        <v>1344.273</v>
      </c>
      <c r="T20" s="0" t="n">
        <v>58.684</v>
      </c>
      <c r="U20" s="0" t="n">
        <v>231.5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443.06</v>
      </c>
    </row>
    <row r="3" customFormat="false" ht="15" hidden="false" customHeight="false" outlineLevel="0" collapsed="false">
      <c r="A3" s="0" t="s">
        <v>85</v>
      </c>
      <c r="B3" s="3" t="n">
        <v>57.55</v>
      </c>
    </row>
    <row r="4" customFormat="false" ht="15" hidden="false" customHeight="false" outlineLevel="0" collapsed="false">
      <c r="A4" s="0" t="s">
        <v>86</v>
      </c>
      <c r="B4" s="3" t="n">
        <v>-1605.782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3379.2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</v>
      </c>
      <c r="D13" s="3" t="n">
        <v>0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34</v>
      </c>
      <c r="D14" s="3" t="n">
        <v>33</v>
      </c>
      <c r="E14" s="3" t="n">
        <v>32.5</v>
      </c>
      <c r="F14" s="3" t="n">
        <v>32.5</v>
      </c>
      <c r="G14" s="3" t="n">
        <v>32.5</v>
      </c>
      <c r="H14" s="3" t="n">
        <v>32.5</v>
      </c>
      <c r="I14" s="3" t="n">
        <v>32.5</v>
      </c>
      <c r="J14" s="3" t="n">
        <v>32.5</v>
      </c>
      <c r="K14" s="3" t="n">
        <v>32.5</v>
      </c>
      <c r="L14" s="3" t="n">
        <v>32.5</v>
      </c>
    </row>
    <row r="15" customFormat="false" ht="15" hidden="false" customHeight="false" outlineLevel="0" collapsed="false">
      <c r="A15" s="0" t="s">
        <v>108</v>
      </c>
      <c r="C15" s="3" t="n">
        <v>7.8</v>
      </c>
      <c r="D15" s="3" t="n">
        <v>7.8</v>
      </c>
      <c r="E15" s="3" t="n">
        <v>7.8</v>
      </c>
      <c r="F15" s="3" t="n">
        <v>7.8</v>
      </c>
      <c r="G15" s="3" t="n">
        <v>7.8</v>
      </c>
      <c r="H15" s="3" t="n">
        <v>7.8</v>
      </c>
      <c r="I15" s="3" t="n">
        <v>7.8</v>
      </c>
      <c r="J15" s="3" t="n">
        <v>7.8</v>
      </c>
      <c r="K15" s="3" t="n">
        <v>7.8</v>
      </c>
      <c r="L15" s="3" t="n">
        <v>7.8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2.9</v>
      </c>
      <c r="D17" s="3" t="n">
        <v>2.8</v>
      </c>
      <c r="E17" s="3" t="n">
        <v>2.7</v>
      </c>
      <c r="F17" s="3" t="n">
        <v>2.6</v>
      </c>
      <c r="G17" s="3" t="n">
        <v>2.5</v>
      </c>
      <c r="H17" s="3" t="n">
        <v>2.5</v>
      </c>
      <c r="I17" s="3" t="n">
        <v>2.5</v>
      </c>
      <c r="J17" s="3" t="n">
        <v>2.5</v>
      </c>
      <c r="K17" s="3" t="n">
        <v>2.5</v>
      </c>
      <c r="L17" s="3" t="n">
        <v>2.5</v>
      </c>
    </row>
    <row r="18" customFormat="false" ht="15" hidden="false" customHeight="false" outlineLevel="0" collapsed="false">
      <c r="A18" s="0" t="s">
        <v>111</v>
      </c>
      <c r="C18" s="3" t="n">
        <v>2.3</v>
      </c>
      <c r="D18" s="3" t="n">
        <v>2.3</v>
      </c>
      <c r="E18" s="3" t="n">
        <v>2.4</v>
      </c>
      <c r="F18" s="3" t="n">
        <v>2.4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112</v>
      </c>
      <c r="C19" s="3" t="n">
        <v>22</v>
      </c>
      <c r="D19" s="3" t="n">
        <v>22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8.5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5.5</v>
      </c>
      <c r="E27" s="3" t="n">
        <v>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35.5</v>
      </c>
      <c r="D28" s="3" t="n">
        <v>36</v>
      </c>
      <c r="E28" s="3" t="n">
        <v>36.3</v>
      </c>
      <c r="F28" s="3" t="n">
        <v>36.5</v>
      </c>
      <c r="G28" s="3" t="n">
        <v>36.5</v>
      </c>
      <c r="H28" s="3" t="n">
        <v>36.5</v>
      </c>
      <c r="I28" s="3" t="n">
        <v>36.5</v>
      </c>
      <c r="J28" s="3" t="n">
        <v>36.5</v>
      </c>
      <c r="K28" s="3" t="n">
        <v>36.5</v>
      </c>
      <c r="L28" s="3" t="n">
        <v>36.5</v>
      </c>
    </row>
    <row r="29" customFormat="false" ht="15" hidden="false" customHeight="false" outlineLevel="0" collapsed="false">
      <c r="A29" s="0" t="s">
        <v>108</v>
      </c>
      <c r="C29" s="3" t="n">
        <v>7.5</v>
      </c>
      <c r="D29" s="3" t="n">
        <v>7.3</v>
      </c>
      <c r="E29" s="3" t="n">
        <v>7.1</v>
      </c>
      <c r="F29" s="3" t="n">
        <v>6.9</v>
      </c>
      <c r="G29" s="3" t="n">
        <v>6.7</v>
      </c>
      <c r="H29" s="3" t="n">
        <v>6.5</v>
      </c>
      <c r="I29" s="3" t="n">
        <v>6.3</v>
      </c>
      <c r="J29" s="3" t="n">
        <v>6.1</v>
      </c>
      <c r="K29" s="3" t="n">
        <v>6</v>
      </c>
      <c r="L29" s="3" t="n">
        <v>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2.9</v>
      </c>
      <c r="D31" s="3" t="n">
        <v>2.8</v>
      </c>
      <c r="E31" s="3" t="n">
        <v>2.7</v>
      </c>
      <c r="F31" s="3" t="n">
        <v>2.6</v>
      </c>
      <c r="G31" s="3" t="n">
        <v>2.5</v>
      </c>
      <c r="H31" s="3" t="n">
        <v>2.5</v>
      </c>
      <c r="I31" s="3" t="n">
        <v>2.5</v>
      </c>
      <c r="J31" s="3" t="n">
        <v>2.5</v>
      </c>
      <c r="K31" s="3" t="n">
        <v>2.5</v>
      </c>
      <c r="L31" s="3" t="n">
        <v>2.5</v>
      </c>
    </row>
    <row r="32" customFormat="false" ht="15" hidden="false" customHeight="false" outlineLevel="0" collapsed="false">
      <c r="A32" s="0" t="s">
        <v>111</v>
      </c>
      <c r="C32" s="3" t="n">
        <v>2.3</v>
      </c>
      <c r="D32" s="3" t="n">
        <v>2.3</v>
      </c>
      <c r="E32" s="3" t="n">
        <v>2.4</v>
      </c>
      <c r="F32" s="3" t="n">
        <v>2.4</v>
      </c>
      <c r="G32" s="3" t="n">
        <v>2.5</v>
      </c>
      <c r="H32" s="3" t="n">
        <v>2.5</v>
      </c>
      <c r="I32" s="3" t="n">
        <v>2.5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8.5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18</v>
      </c>
    </row>
    <row r="37" customFormat="false" ht="15" hidden="false" customHeight="false" outlineLevel="0" collapsed="false">
      <c r="A37" s="0" t="s">
        <v>116</v>
      </c>
      <c r="B37" s="3" t="n">
        <v>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8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36</v>
      </c>
      <c r="D42" s="3" t="n">
        <v>37</v>
      </c>
      <c r="E42" s="3" t="n">
        <v>37.5</v>
      </c>
      <c r="F42" s="3" t="n">
        <v>38</v>
      </c>
      <c r="G42" s="3" t="n">
        <v>38</v>
      </c>
      <c r="H42" s="3" t="n">
        <v>38</v>
      </c>
      <c r="I42" s="3" t="n">
        <v>38</v>
      </c>
      <c r="J42" s="3" t="n">
        <v>38</v>
      </c>
      <c r="K42" s="3" t="n">
        <v>38</v>
      </c>
      <c r="L42" s="3" t="n">
        <v>38</v>
      </c>
    </row>
    <row r="43" customFormat="false" ht="15" hidden="false" customHeight="false" outlineLevel="0" collapsed="false">
      <c r="A43" s="0" t="s">
        <v>108</v>
      </c>
      <c r="C43" s="3" t="n">
        <v>7.4</v>
      </c>
      <c r="D43" s="3" t="n">
        <v>7.1</v>
      </c>
      <c r="E43" s="3" t="n">
        <v>6.8</v>
      </c>
      <c r="F43" s="3" t="n">
        <v>6.5</v>
      </c>
      <c r="G43" s="3" t="n">
        <v>6.2</v>
      </c>
      <c r="H43" s="3" t="n">
        <v>6</v>
      </c>
      <c r="I43" s="3" t="n">
        <v>5.8</v>
      </c>
      <c r="J43" s="3" t="n">
        <v>5.6</v>
      </c>
      <c r="K43" s="3" t="n">
        <v>5.5</v>
      </c>
      <c r="L43" s="3" t="n">
        <v>5.5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2.9</v>
      </c>
      <c r="D45" s="3" t="n">
        <v>2.8</v>
      </c>
      <c r="E45" s="3" t="n">
        <v>2.7</v>
      </c>
      <c r="F45" s="3" t="n">
        <v>2.6</v>
      </c>
      <c r="G45" s="3" t="n">
        <v>2.5</v>
      </c>
      <c r="H45" s="3" t="n">
        <v>2.5</v>
      </c>
      <c r="I45" s="3" t="n">
        <v>2.5</v>
      </c>
      <c r="J45" s="3" t="n">
        <v>2.5</v>
      </c>
      <c r="K45" s="3" t="n">
        <v>2.5</v>
      </c>
      <c r="L45" s="3" t="n">
        <v>2.5</v>
      </c>
    </row>
    <row r="46" customFormat="false" ht="15" hidden="false" customHeight="false" outlineLevel="0" collapsed="false">
      <c r="A46" s="0" t="s">
        <v>111</v>
      </c>
      <c r="C46" s="3" t="n">
        <v>2.3</v>
      </c>
      <c r="D46" s="3" t="n">
        <v>2.3</v>
      </c>
      <c r="E46" s="3" t="n">
        <v>2.4</v>
      </c>
      <c r="F46" s="3" t="n">
        <v>2.4</v>
      </c>
      <c r="G46" s="3" t="n">
        <v>2.5</v>
      </c>
      <c r="H46" s="3" t="n">
        <v>2.5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8.5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20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3379.2</v>
      </c>
      <c r="C6" s="0" t="n">
        <f aca="false">B6*(1+C5/100)</f>
        <v>3412.992</v>
      </c>
      <c r="D6" s="0" t="n">
        <f aca="false">C6*(1+D5/100)</f>
        <v>3412.992</v>
      </c>
      <c r="E6" s="0" t="n">
        <f aca="false">D6*(1+E5/100)</f>
        <v>3447.12192</v>
      </c>
      <c r="F6" s="0" t="n">
        <f aca="false">E6*(1+F5/100)</f>
        <v>3516.0643584</v>
      </c>
      <c r="G6" s="0" t="n">
        <f aca="false">F6*(1+G5/100)</f>
        <v>3586.385645568</v>
      </c>
      <c r="H6" s="0" t="n">
        <f aca="false">G6*(1+H5/100)</f>
        <v>3658.11335847936</v>
      </c>
      <c r="I6" s="0" t="n">
        <f aca="false">H6*(1+I5/100)</f>
        <v>3731.27562564895</v>
      </c>
      <c r="J6" s="0" t="n">
        <f aca="false">I6*(1+J5/100)</f>
        <v>3805.90113816193</v>
      </c>
      <c r="K6" s="0" t="n">
        <f aca="false">J6*(1+K5/100)</f>
        <v>3882.01916092516</v>
      </c>
      <c r="L6" s="0" t="n">
        <f aca="false">K6*(1+L5/100)</f>
        <v>3959.65954414367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34</v>
      </c>
      <c r="D7" s="4" t="n">
        <f aca="false">Assumptions!D14</f>
        <v>33</v>
      </c>
      <c r="E7" s="4" t="n">
        <f aca="false">Assumptions!E14</f>
        <v>32.5</v>
      </c>
      <c r="F7" s="4" t="n">
        <f aca="false">Assumptions!F14</f>
        <v>32.5</v>
      </c>
      <c r="G7" s="4" t="n">
        <f aca="false">Assumptions!G14</f>
        <v>32.5</v>
      </c>
      <c r="H7" s="4" t="n">
        <f aca="false">Assumptions!H14</f>
        <v>32.5</v>
      </c>
      <c r="I7" s="4" t="n">
        <f aca="false">Assumptions!I14</f>
        <v>32.5</v>
      </c>
      <c r="J7" s="4" t="n">
        <f aca="false">Assumptions!J14</f>
        <v>32.5</v>
      </c>
      <c r="K7" s="4" t="n">
        <f aca="false">Assumptions!K14</f>
        <v>32.5</v>
      </c>
      <c r="L7" s="4" t="n">
        <f aca="false">Assumptions!L14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1160.41728</v>
      </c>
      <c r="D8" s="0" t="n">
        <f aca="false">D6*D7/100</f>
        <v>1126.28736</v>
      </c>
      <c r="E8" s="0" t="n">
        <f aca="false">E6*E7/100</f>
        <v>1120.314624</v>
      </c>
      <c r="F8" s="0" t="n">
        <f aca="false">F6*F7/100</f>
        <v>1142.72091648</v>
      </c>
      <c r="G8" s="0" t="n">
        <f aca="false">G6*G7/100</f>
        <v>1165.5753348096</v>
      </c>
      <c r="H8" s="0" t="n">
        <f aca="false">H6*H7/100</f>
        <v>1188.88684150579</v>
      </c>
      <c r="I8" s="0" t="n">
        <f aca="false">I6*I7/100</f>
        <v>1212.66457833591</v>
      </c>
      <c r="J8" s="0" t="n">
        <f aca="false">J6*J7/100</f>
        <v>1236.91786990263</v>
      </c>
      <c r="K8" s="0" t="n">
        <f aca="false">K6*K7/100</f>
        <v>1261.65622730068</v>
      </c>
      <c r="L8" s="0" t="n">
        <f aca="false">L6*L7/100</f>
        <v>1286.88935184669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7.8</v>
      </c>
      <c r="D9" s="4" t="n">
        <f aca="false">Assumptions!D15</f>
        <v>7.8</v>
      </c>
      <c r="E9" s="4" t="n">
        <f aca="false">Assumptions!E15</f>
        <v>7.8</v>
      </c>
      <c r="F9" s="4" t="n">
        <f aca="false">Assumptions!F15</f>
        <v>7.8</v>
      </c>
      <c r="G9" s="4" t="n">
        <f aca="false">Assumptions!G15</f>
        <v>7.8</v>
      </c>
      <c r="H9" s="4" t="n">
        <f aca="false">Assumptions!H15</f>
        <v>7.8</v>
      </c>
      <c r="I9" s="4" t="n">
        <f aca="false">Assumptions!I15</f>
        <v>7.8</v>
      </c>
      <c r="J9" s="4" t="n">
        <f aca="false">Assumptions!J15</f>
        <v>7.8</v>
      </c>
      <c r="K9" s="4" t="n">
        <f aca="false">Assumptions!K15</f>
        <v>7.8</v>
      </c>
      <c r="L9" s="4" t="n">
        <f aca="false">Assumptions!L15</f>
        <v>7.8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-266.213376</v>
      </c>
      <c r="D10" s="0" t="n">
        <f aca="false">-D6*D9/100</f>
        <v>-266.213376</v>
      </c>
      <c r="E10" s="0" t="n">
        <f aca="false">-E6*E9/100</f>
        <v>-268.87550976</v>
      </c>
      <c r="F10" s="0" t="n">
        <f aca="false">-F6*F9/100</f>
        <v>-274.2530199552</v>
      </c>
      <c r="G10" s="0" t="n">
        <f aca="false">-G6*G9/100</f>
        <v>-279.738080354304</v>
      </c>
      <c r="H10" s="0" t="n">
        <f aca="false">-H6*H9/100</f>
        <v>-285.33284196139</v>
      </c>
      <c r="I10" s="0" t="n">
        <f aca="false">-I6*I9/100</f>
        <v>-291.039498800618</v>
      </c>
      <c r="J10" s="0" t="n">
        <f aca="false">-J6*J9/100</f>
        <v>-296.86028877663</v>
      </c>
      <c r="K10" s="0" t="n">
        <f aca="false">-K6*K9/100</f>
        <v>-302.797494552163</v>
      </c>
      <c r="L10" s="0" t="n">
        <f aca="false">-L6*L9/100</f>
        <v>-308.853444443206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894.203904</v>
      </c>
      <c r="D11" s="0" t="n">
        <f aca="false">D8+D10+D24</f>
        <v>860.073984</v>
      </c>
      <c r="E11" s="0" t="n">
        <f aca="false">E8+E10+E24</f>
        <v>851.43911424</v>
      </c>
      <c r="F11" s="0" t="n">
        <f aca="false">F8+F10+F24</f>
        <v>868.4678965248</v>
      </c>
      <c r="G11" s="0" t="n">
        <f aca="false">G8+G10+G24</f>
        <v>885.837254455296</v>
      </c>
      <c r="H11" s="0" t="n">
        <f aca="false">H8+H10+H24</f>
        <v>903.553999544402</v>
      </c>
      <c r="I11" s="0" t="n">
        <f aca="false">I8+I10+I24</f>
        <v>921.62507953529</v>
      </c>
      <c r="J11" s="0" t="n">
        <f aca="false">J8+J10+J24</f>
        <v>940.057581125996</v>
      </c>
      <c r="K11" s="0" t="n">
        <f aca="false">K8+K10+K24</f>
        <v>958.858732748516</v>
      </c>
      <c r="L11" s="0" t="n">
        <f aca="false">L8+L10+L24</f>
        <v>978.035907403486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-98.976768</v>
      </c>
      <c r="D12" s="4" t="n">
        <f aca="false">-D6*Assumptions!D17/100</f>
        <v>-95.563776</v>
      </c>
      <c r="E12" s="4" t="n">
        <f aca="false">-E6*Assumptions!E17/100</f>
        <v>-93.07229184</v>
      </c>
      <c r="F12" s="4" t="n">
        <f aca="false">-F6*Assumptions!F17/100</f>
        <v>-91.4176733184</v>
      </c>
      <c r="G12" s="4" t="n">
        <f aca="false">-G6*Assumptions!G17/100</f>
        <v>-89.6596411392</v>
      </c>
      <c r="H12" s="4" t="n">
        <f aca="false">-H6*Assumptions!H17/100</f>
        <v>-91.452833961984</v>
      </c>
      <c r="I12" s="4" t="n">
        <f aca="false">-I6*Assumptions!I17/100</f>
        <v>-93.2818906412237</v>
      </c>
      <c r="J12" s="4" t="n">
        <f aca="false">-J6*Assumptions!J17/100</f>
        <v>-95.1475284540482</v>
      </c>
      <c r="K12" s="4" t="n">
        <f aca="false">-K6*Assumptions!K17/100</f>
        <v>-97.0504790231291</v>
      </c>
      <c r="L12" s="4" t="n">
        <f aca="false">-L6*Assumptions!L17/100</f>
        <v>-98.9914886035917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795.227136</v>
      </c>
      <c r="D13" s="0" t="n">
        <f aca="false">D11+D12</f>
        <v>764.510208</v>
      </c>
      <c r="E13" s="0" t="n">
        <f aca="false">E11+E12</f>
        <v>758.3668224</v>
      </c>
      <c r="F13" s="0" t="n">
        <f aca="false">F11+F12</f>
        <v>777.0502232064</v>
      </c>
      <c r="G13" s="0" t="n">
        <f aca="false">G11+G12</f>
        <v>796.177613316096</v>
      </c>
      <c r="H13" s="0" t="n">
        <f aca="false">H11+H12</f>
        <v>812.101165582418</v>
      </c>
      <c r="I13" s="0" t="n">
        <f aca="false">I11+I12</f>
        <v>828.343188894066</v>
      </c>
      <c r="J13" s="0" t="n">
        <f aca="false">J11+J12</f>
        <v>844.910052671948</v>
      </c>
      <c r="K13" s="0" t="n">
        <f aca="false">K11+K12</f>
        <v>861.808253725387</v>
      </c>
      <c r="L13" s="0" t="n">
        <f aca="false">L11+L12</f>
        <v>879.044418799894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22</v>
      </c>
      <c r="D14" s="4" t="n">
        <f aca="false">Assumptions!D19</f>
        <v>22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620.27716608</v>
      </c>
      <c r="D15" s="0" t="n">
        <f aca="false">D13-MAX(0,D13)*D14/100</f>
        <v>596.31796224</v>
      </c>
      <c r="E15" s="0" t="n">
        <f aca="false">E13-MAX(0,E13)*E14/100</f>
        <v>591.526121472</v>
      </c>
      <c r="F15" s="0" t="n">
        <f aca="false">F13-MAX(0,F13)*F14/100</f>
        <v>606.099174100992</v>
      </c>
      <c r="G15" s="0" t="n">
        <f aca="false">G13-MAX(0,G13)*G14/100</f>
        <v>621.018538386555</v>
      </c>
      <c r="H15" s="0" t="n">
        <f aca="false">H13-MAX(0,H13)*H14/100</f>
        <v>633.438909154286</v>
      </c>
      <c r="I15" s="0" t="n">
        <f aca="false">I13-MAX(0,I13)*I14/100</f>
        <v>646.107687337372</v>
      </c>
      <c r="J15" s="0" t="n">
        <f aca="false">J13-MAX(0,J13)*J14/100</f>
        <v>659.029841084119</v>
      </c>
      <c r="K15" s="0" t="n">
        <f aca="false">K13-MAX(0,K13)*K14/100</f>
        <v>672.210437905802</v>
      </c>
      <c r="L15" s="0" t="n">
        <f aca="false">L13-MAX(0,L13)*L14/100</f>
        <v>685.654646663917</v>
      </c>
    </row>
    <row r="16" customFormat="false" ht="15" hidden="false" customHeight="false" outlineLevel="0" collapsed="false">
      <c r="A16" s="0" t="s">
        <v>128</v>
      </c>
      <c r="C16" s="0" t="n">
        <f aca="false">-C12</f>
        <v>98.976768</v>
      </c>
      <c r="D16" s="0" t="n">
        <f aca="false">-D12</f>
        <v>95.563776</v>
      </c>
      <c r="E16" s="0" t="n">
        <f aca="false">-E12</f>
        <v>93.07229184</v>
      </c>
      <c r="F16" s="0" t="n">
        <f aca="false">-F12</f>
        <v>91.4176733184</v>
      </c>
      <c r="G16" s="0" t="n">
        <f aca="false">-G12</f>
        <v>89.6596411392</v>
      </c>
      <c r="H16" s="0" t="n">
        <f aca="false">-H12</f>
        <v>91.452833961984</v>
      </c>
      <c r="I16" s="0" t="n">
        <f aca="false">-I12</f>
        <v>93.2818906412237</v>
      </c>
      <c r="J16" s="0" t="n">
        <f aca="false">-J12</f>
        <v>95.1475284540482</v>
      </c>
      <c r="K16" s="0" t="n">
        <f aca="false">-K12</f>
        <v>97.0504790231291</v>
      </c>
      <c r="L16" s="0" t="n">
        <f aca="false">-L12</f>
        <v>98.9914886035917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-78.498816</v>
      </c>
      <c r="D17" s="4" t="n">
        <f aca="false">-D6*Assumptions!D18/100</f>
        <v>-78.498816</v>
      </c>
      <c r="E17" s="4" t="n">
        <f aca="false">-E6*Assumptions!E18/100</f>
        <v>-82.73092608</v>
      </c>
      <c r="F17" s="4" t="n">
        <f aca="false">-F6*Assumptions!F18/100</f>
        <v>-84.3855446016</v>
      </c>
      <c r="G17" s="4" t="n">
        <f aca="false">-G6*Assumptions!G18/100</f>
        <v>-89.6596411392</v>
      </c>
      <c r="H17" s="4" t="n">
        <f aca="false">-H6*Assumptions!H18/100</f>
        <v>-91.452833961984</v>
      </c>
      <c r="I17" s="4" t="n">
        <f aca="false">-I6*Assumptions!I18/100</f>
        <v>-93.2818906412237</v>
      </c>
      <c r="J17" s="4" t="n">
        <f aca="false">-J6*Assumptions!J18/100</f>
        <v>-95.1475284540482</v>
      </c>
      <c r="K17" s="4" t="n">
        <f aca="false">-K6*Assumptions!K18/100</f>
        <v>-97.0504790231291</v>
      </c>
      <c r="L17" s="4" t="n">
        <f aca="false">-L6*Assumptions!L18/100</f>
        <v>-98.9914886035917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640.75511808</v>
      </c>
      <c r="D19" s="0" t="n">
        <f aca="false">D15+D16+D17+D18</f>
        <v>613.38292224</v>
      </c>
      <c r="E19" s="0" t="n">
        <f aca="false">E15+E16+E17+E18</f>
        <v>601.867487232</v>
      </c>
      <c r="F19" s="0" t="n">
        <f aca="false">F15+F16+F17+F18</f>
        <v>613.131302817792</v>
      </c>
      <c r="G19" s="0" t="n">
        <f aca="false">G15+G16+G17+G18</f>
        <v>621.018538386555</v>
      </c>
      <c r="H19" s="0" t="n">
        <f aca="false">H15+H16+H17+H18</f>
        <v>633.438909154286</v>
      </c>
      <c r="I19" s="0" t="n">
        <f aca="false">I15+I16+I17+I18</f>
        <v>646.107687337372</v>
      </c>
      <c r="J19" s="0" t="n">
        <f aca="false">J15+J16+J17+J18</f>
        <v>659.029841084119</v>
      </c>
      <c r="K19" s="0" t="n">
        <f aca="false">K15+K16+K17+K18</f>
        <v>672.210437905802</v>
      </c>
      <c r="L19" s="0" t="n">
        <f aca="false">L15+L16+L17+L18</f>
        <v>685.654646663917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590.557712516129</v>
      </c>
      <c r="D21" s="0" t="n">
        <f aca="false">D19*D20</f>
        <v>521.04136612797</v>
      </c>
      <c r="E21" s="0" t="n">
        <f aca="false">E19*E20</f>
        <v>471.206929936086</v>
      </c>
      <c r="F21" s="0" t="n">
        <f aca="false">F19*F20</f>
        <v>442.419780993026</v>
      </c>
      <c r="G21" s="0" t="n">
        <f aca="false">G19*G20</f>
        <v>413.005536731252</v>
      </c>
      <c r="H21" s="0" t="n">
        <f aca="false">H19*H20</f>
        <v>388.263269553804</v>
      </c>
      <c r="I21" s="0" t="n">
        <f aca="false">I19*I20</f>
        <v>365.003258013714</v>
      </c>
      <c r="J21" s="0" t="n">
        <f aca="false">J19*J20</f>
        <v>343.136703386165</v>
      </c>
      <c r="K21" s="0" t="n">
        <f aca="false">K19*K20</f>
        <v>322.580126685611</v>
      </c>
      <c r="L21" s="0" t="n">
        <f aca="false">L19*L20</f>
        <v>303.255049971727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4160.46973391549</v>
      </c>
    </row>
    <row r="31" customFormat="false" ht="15" hidden="false" customHeight="false" outlineLevel="0" collapsed="false">
      <c r="A31" s="0" t="s">
        <v>137</v>
      </c>
      <c r="B31" s="0" t="n">
        <f aca="false">L19</f>
        <v>685.654646663917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10759.5036861107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10284.8196999588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10284.8196999588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4548.8257495759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8709.29548349138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10315.0774834914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179.236793805237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-0.595457062688492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1841.71464708365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2143.59078982094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248.486236670651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5379.75184305535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106.070655737766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3379.2</v>
      </c>
      <c r="C6" s="0" t="n">
        <f aca="false">B6*(1+C5/100)</f>
        <v>3581.952</v>
      </c>
      <c r="D6" s="0" t="n">
        <f aca="false">C6*(1+D5/100)</f>
        <v>3778.95936</v>
      </c>
      <c r="E6" s="0" t="n">
        <f aca="false">D6*(1+E5/100)</f>
        <v>3967.907328</v>
      </c>
      <c r="F6" s="0" t="n">
        <f aca="false">E6*(1+F5/100)</f>
        <v>4146.46315776</v>
      </c>
      <c r="G6" s="0" t="n">
        <f aca="false">F6*(1+G5/100)</f>
        <v>4312.3216840704</v>
      </c>
      <c r="H6" s="0" t="n">
        <f aca="false">G6*(1+H5/100)</f>
        <v>4463.25294301286</v>
      </c>
      <c r="I6" s="0" t="n">
        <f aca="false">H6*(1+I5/100)</f>
        <v>4597.15053130325</v>
      </c>
      <c r="J6" s="0" t="n">
        <f aca="false">I6*(1+J5/100)</f>
        <v>4735.06504724235</v>
      </c>
      <c r="K6" s="0" t="n">
        <f aca="false">J6*(1+K5/100)</f>
        <v>4853.44167342341</v>
      </c>
      <c r="L6" s="0" t="n">
        <f aca="false">K6*(1+L5/100)</f>
        <v>4974.77771525899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35.5</v>
      </c>
      <c r="D7" s="4" t="n">
        <f aca="false">Assumptions!D28</f>
        <v>36</v>
      </c>
      <c r="E7" s="4" t="n">
        <f aca="false">Assumptions!E28</f>
        <v>36.3</v>
      </c>
      <c r="F7" s="4" t="n">
        <f aca="false">Assumptions!F28</f>
        <v>36.5</v>
      </c>
      <c r="G7" s="4" t="n">
        <f aca="false">Assumptions!G28</f>
        <v>36.5</v>
      </c>
      <c r="H7" s="4" t="n">
        <f aca="false">Assumptions!H28</f>
        <v>36.5</v>
      </c>
      <c r="I7" s="4" t="n">
        <f aca="false">Assumptions!I28</f>
        <v>36.5</v>
      </c>
      <c r="J7" s="4" t="n">
        <f aca="false">Assumptions!J28</f>
        <v>36.5</v>
      </c>
      <c r="K7" s="4" t="n">
        <f aca="false">Assumptions!K28</f>
        <v>36.5</v>
      </c>
      <c r="L7" s="4" t="n">
        <f aca="false">Assumptions!L28</f>
        <v>36.5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1271.59296</v>
      </c>
      <c r="D8" s="0" t="n">
        <f aca="false">D6*D7/100</f>
        <v>1360.4253696</v>
      </c>
      <c r="E8" s="0" t="n">
        <f aca="false">E6*E7/100</f>
        <v>1440.350360064</v>
      </c>
      <c r="F8" s="0" t="n">
        <f aca="false">F6*F7/100</f>
        <v>1513.4590525824</v>
      </c>
      <c r="G8" s="0" t="n">
        <f aca="false">G6*G7/100</f>
        <v>1573.9974146857</v>
      </c>
      <c r="H8" s="0" t="n">
        <f aca="false">H6*H7/100</f>
        <v>1629.0873241997</v>
      </c>
      <c r="I8" s="0" t="n">
        <f aca="false">I6*I7/100</f>
        <v>1677.95994392569</v>
      </c>
      <c r="J8" s="0" t="n">
        <f aca="false">J6*J7/100</f>
        <v>1728.29874224346</v>
      </c>
      <c r="K8" s="0" t="n">
        <f aca="false">K6*K7/100</f>
        <v>1771.50621079954</v>
      </c>
      <c r="L8" s="0" t="n">
        <f aca="false">L6*L7/100</f>
        <v>1815.79386606953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7.5</v>
      </c>
      <c r="D9" s="4" t="n">
        <f aca="false">Assumptions!D29</f>
        <v>7.3</v>
      </c>
      <c r="E9" s="4" t="n">
        <f aca="false">Assumptions!E29</f>
        <v>7.1</v>
      </c>
      <c r="F9" s="4" t="n">
        <f aca="false">Assumptions!F29</f>
        <v>6.9</v>
      </c>
      <c r="G9" s="4" t="n">
        <f aca="false">Assumptions!G29</f>
        <v>6.7</v>
      </c>
      <c r="H9" s="4" t="n">
        <f aca="false">Assumptions!H29</f>
        <v>6.5</v>
      </c>
      <c r="I9" s="4" t="n">
        <f aca="false">Assumptions!I29</f>
        <v>6.3</v>
      </c>
      <c r="J9" s="4" t="n">
        <f aca="false">Assumptions!J29</f>
        <v>6.1</v>
      </c>
      <c r="K9" s="4" t="n">
        <f aca="false">Assumptions!K29</f>
        <v>6</v>
      </c>
      <c r="L9" s="4" t="n">
        <f aca="false">Assumptions!L29</f>
        <v>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-268.6464</v>
      </c>
      <c r="D10" s="0" t="n">
        <f aca="false">-D6*D9/100</f>
        <v>-275.86403328</v>
      </c>
      <c r="E10" s="0" t="n">
        <f aca="false">-E6*E9/100</f>
        <v>-281.721420288</v>
      </c>
      <c r="F10" s="0" t="n">
        <f aca="false">-F6*F9/100</f>
        <v>-286.10595788544</v>
      </c>
      <c r="G10" s="0" t="n">
        <f aca="false">-G6*G9/100</f>
        <v>-288.925552832717</v>
      </c>
      <c r="H10" s="0" t="n">
        <f aca="false">-H6*H9/100</f>
        <v>-290.111441295836</v>
      </c>
      <c r="I10" s="0" t="n">
        <f aca="false">-I6*I9/100</f>
        <v>-289.620483472105</v>
      </c>
      <c r="J10" s="0" t="n">
        <f aca="false">-J6*J9/100</f>
        <v>-288.838967881783</v>
      </c>
      <c r="K10" s="0" t="n">
        <f aca="false">-K6*K9/100</f>
        <v>-291.206500405404</v>
      </c>
      <c r="L10" s="0" t="n">
        <f aca="false">-L6*L9/100</f>
        <v>-298.486662915539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1002.94656</v>
      </c>
      <c r="D11" s="0" t="n">
        <f aca="false">D8+D10+D24</f>
        <v>1084.56133632</v>
      </c>
      <c r="E11" s="0" t="n">
        <f aca="false">E8+E10+E24</f>
        <v>1158.628939776</v>
      </c>
      <c r="F11" s="0" t="n">
        <f aca="false">F8+F10+F24</f>
        <v>1227.35309469696</v>
      </c>
      <c r="G11" s="0" t="n">
        <f aca="false">G8+G10+G24</f>
        <v>1285.07186185298</v>
      </c>
      <c r="H11" s="0" t="n">
        <f aca="false">H8+H10+H24</f>
        <v>1338.97588290386</v>
      </c>
      <c r="I11" s="0" t="n">
        <f aca="false">I8+I10+I24</f>
        <v>1388.33946045358</v>
      </c>
      <c r="J11" s="0" t="n">
        <f aca="false">J8+J10+J24</f>
        <v>1439.45977436167</v>
      </c>
      <c r="K11" s="0" t="n">
        <f aca="false">K8+K10+K24</f>
        <v>1480.29971039414</v>
      </c>
      <c r="L11" s="0" t="n">
        <f aca="false">L8+L10+L24</f>
        <v>1517.30720315399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-103.876608</v>
      </c>
      <c r="D12" s="4" t="n">
        <f aca="false">-D6*Assumptions!D31/100</f>
        <v>-105.81086208</v>
      </c>
      <c r="E12" s="4" t="n">
        <f aca="false">-E6*Assumptions!E31/100</f>
        <v>-107.133497856</v>
      </c>
      <c r="F12" s="4" t="n">
        <f aca="false">-F6*Assumptions!F31/100</f>
        <v>-107.80804210176</v>
      </c>
      <c r="G12" s="4" t="n">
        <f aca="false">-G6*Assumptions!G31/100</f>
        <v>-107.80804210176</v>
      </c>
      <c r="H12" s="4" t="n">
        <f aca="false">-H6*Assumptions!H31/100</f>
        <v>-111.581323575322</v>
      </c>
      <c r="I12" s="4" t="n">
        <f aca="false">-I6*Assumptions!I31/100</f>
        <v>-114.928763282581</v>
      </c>
      <c r="J12" s="4" t="n">
        <f aca="false">-J6*Assumptions!J31/100</f>
        <v>-118.376626181059</v>
      </c>
      <c r="K12" s="4" t="n">
        <f aca="false">-K6*Assumptions!K31/100</f>
        <v>-121.336041835585</v>
      </c>
      <c r="L12" s="4" t="n">
        <f aca="false">-L6*Assumptions!L31/100</f>
        <v>-124.369442881475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899.069952</v>
      </c>
      <c r="D13" s="0" t="n">
        <f aca="false">D11+D12</f>
        <v>978.75047424</v>
      </c>
      <c r="E13" s="0" t="n">
        <f aca="false">E11+E12</f>
        <v>1051.49544192</v>
      </c>
      <c r="F13" s="0" t="n">
        <f aca="false">F11+F12</f>
        <v>1119.5450525952</v>
      </c>
      <c r="G13" s="0" t="n">
        <f aca="false">G11+G12</f>
        <v>1177.26381975122</v>
      </c>
      <c r="H13" s="0" t="n">
        <f aca="false">H11+H12</f>
        <v>1227.39455932854</v>
      </c>
      <c r="I13" s="0" t="n">
        <f aca="false">I11+I12</f>
        <v>1273.410697171</v>
      </c>
      <c r="J13" s="0" t="n">
        <f aca="false">J11+J12</f>
        <v>1321.08314818062</v>
      </c>
      <c r="K13" s="0" t="n">
        <f aca="false">K11+K12</f>
        <v>1358.96366855855</v>
      </c>
      <c r="L13" s="0" t="n">
        <f aca="false">L11+L12</f>
        <v>1392.93776027252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710.26526208</v>
      </c>
      <c r="D15" s="0" t="n">
        <f aca="false">D13-MAX(0,D13)*D14/100</f>
        <v>773.2128746496</v>
      </c>
      <c r="E15" s="0" t="n">
        <f aca="false">E13-MAX(0,E13)*E14/100</f>
        <v>820.1664446976</v>
      </c>
      <c r="F15" s="0" t="n">
        <f aca="false">F13-MAX(0,F13)*F14/100</f>
        <v>873.245141024256</v>
      </c>
      <c r="G15" s="0" t="n">
        <f aca="false">G13-MAX(0,G13)*G14/100</f>
        <v>918.265779405951</v>
      </c>
      <c r="H15" s="0" t="n">
        <f aca="false">H13-MAX(0,H13)*H14/100</f>
        <v>957.367756276259</v>
      </c>
      <c r="I15" s="0" t="n">
        <f aca="false">I13-MAX(0,I13)*I14/100</f>
        <v>993.26034379338</v>
      </c>
      <c r="J15" s="0" t="n">
        <f aca="false">J13-MAX(0,J13)*J14/100</f>
        <v>1030.44485558088</v>
      </c>
      <c r="K15" s="0" t="n">
        <f aca="false">K13-MAX(0,K13)*K14/100</f>
        <v>1059.99166147567</v>
      </c>
      <c r="L15" s="0" t="n">
        <f aca="false">L13-MAX(0,L13)*L14/100</f>
        <v>1086.49145301256</v>
      </c>
    </row>
    <row r="16" customFormat="false" ht="15" hidden="false" customHeight="false" outlineLevel="0" collapsed="false">
      <c r="A16" s="0" t="s">
        <v>128</v>
      </c>
      <c r="C16" s="0" t="n">
        <f aca="false">-C12</f>
        <v>103.876608</v>
      </c>
      <c r="D16" s="0" t="n">
        <f aca="false">-D12</f>
        <v>105.81086208</v>
      </c>
      <c r="E16" s="0" t="n">
        <f aca="false">-E12</f>
        <v>107.133497856</v>
      </c>
      <c r="F16" s="0" t="n">
        <f aca="false">-F12</f>
        <v>107.80804210176</v>
      </c>
      <c r="G16" s="0" t="n">
        <f aca="false">-G12</f>
        <v>107.80804210176</v>
      </c>
      <c r="H16" s="0" t="n">
        <f aca="false">-H12</f>
        <v>111.581323575322</v>
      </c>
      <c r="I16" s="0" t="n">
        <f aca="false">-I12</f>
        <v>114.928763282581</v>
      </c>
      <c r="J16" s="0" t="n">
        <f aca="false">-J12</f>
        <v>118.376626181059</v>
      </c>
      <c r="K16" s="0" t="n">
        <f aca="false">-K12</f>
        <v>121.336041835585</v>
      </c>
      <c r="L16" s="0" t="n">
        <f aca="false">-L12</f>
        <v>124.369442881475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-82.384896</v>
      </c>
      <c r="D17" s="4" t="n">
        <f aca="false">-D6*Assumptions!D32/100</f>
        <v>-86.91606528</v>
      </c>
      <c r="E17" s="4" t="n">
        <f aca="false">-E6*Assumptions!E32/100</f>
        <v>-95.229775872</v>
      </c>
      <c r="F17" s="4" t="n">
        <f aca="false">-F6*Assumptions!F32/100</f>
        <v>-99.51511578624</v>
      </c>
      <c r="G17" s="4" t="n">
        <f aca="false">-G6*Assumptions!G32/100</f>
        <v>-107.80804210176</v>
      </c>
      <c r="H17" s="4" t="n">
        <f aca="false">-H6*Assumptions!H32/100</f>
        <v>-111.581323575322</v>
      </c>
      <c r="I17" s="4" t="n">
        <f aca="false">-I6*Assumptions!I32/100</f>
        <v>-114.928763282581</v>
      </c>
      <c r="J17" s="4" t="n">
        <f aca="false">-J6*Assumptions!J32/100</f>
        <v>-118.376626181059</v>
      </c>
      <c r="K17" s="4" t="n">
        <f aca="false">-K6*Assumptions!K32/100</f>
        <v>-121.336041835585</v>
      </c>
      <c r="L17" s="4" t="n">
        <f aca="false">-L6*Assumptions!L32/100</f>
        <v>-124.369442881475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30.4128</v>
      </c>
      <c r="D18" s="4" t="n">
        <f aca="false">(D6-C6)*Assumptions!$B$37/100</f>
        <v>29.5511039999999</v>
      </c>
      <c r="E18" s="4" t="n">
        <f aca="false">(E6-D6)*Assumptions!$B$37/100</f>
        <v>28.3421952</v>
      </c>
      <c r="F18" s="4" t="n">
        <f aca="false">(F6-E6)*Assumptions!$B$37/100</f>
        <v>26.783374464</v>
      </c>
      <c r="G18" s="4" t="n">
        <f aca="false">(G6-F6)*Assumptions!$B$37/100</f>
        <v>24.8787789465601</v>
      </c>
      <c r="H18" s="4" t="n">
        <f aca="false">(H6-G6)*Assumptions!$B$37/100</f>
        <v>22.6396888413695</v>
      </c>
      <c r="I18" s="4" t="n">
        <f aca="false">(I6-H6)*Assumptions!$B$37/100</f>
        <v>20.0846382435579</v>
      </c>
      <c r="J18" s="4" t="n">
        <f aca="false">(J6-I6)*Assumptions!$B$37/100</f>
        <v>20.6871773908646</v>
      </c>
      <c r="K18" s="4" t="n">
        <f aca="false">(K6-J6)*Assumptions!$B$37/100</f>
        <v>17.7564939271587</v>
      </c>
      <c r="L18" s="4" t="n">
        <f aca="false">(L6-K6)*Assumptions!$B$37/100</f>
        <v>18.2004062753378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762.16977408</v>
      </c>
      <c r="D19" s="0" t="n">
        <f aca="false">D15+D16+D17+D18</f>
        <v>821.6587754496</v>
      </c>
      <c r="E19" s="0" t="n">
        <f aca="false">E15+E16+E17+E18</f>
        <v>860.4123618816</v>
      </c>
      <c r="F19" s="0" t="n">
        <f aca="false">F15+F16+F17+F18</f>
        <v>908.321441803776</v>
      </c>
      <c r="G19" s="0" t="n">
        <f aca="false">G15+G16+G17+G18</f>
        <v>943.144558352511</v>
      </c>
      <c r="H19" s="0" t="n">
        <f aca="false">H15+H16+H17+H18</f>
        <v>980.007445117629</v>
      </c>
      <c r="I19" s="0" t="n">
        <f aca="false">I15+I16+I17+I18</f>
        <v>1013.34498203694</v>
      </c>
      <c r="J19" s="0" t="n">
        <f aca="false">J15+J16+J17+J18</f>
        <v>1051.13203297174</v>
      </c>
      <c r="K19" s="0" t="n">
        <f aca="false">K15+K16+K17+K18</f>
        <v>1077.74815540283</v>
      </c>
      <c r="L19" s="0" t="n">
        <f aca="false">L15+L16+L17+L18</f>
        <v>1104.6918592879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702.460621271889</v>
      </c>
      <c r="D21" s="0" t="n">
        <f aca="false">D19*D20</f>
        <v>697.962390749092</v>
      </c>
      <c r="E21" s="0" t="n">
        <f aca="false">E19*E20</f>
        <v>673.623806107016</v>
      </c>
      <c r="F21" s="0" t="n">
        <f aca="false">F19*F20</f>
        <v>655.421394254795</v>
      </c>
      <c r="G21" s="0" t="n">
        <f aca="false">G19*G20</f>
        <v>627.233972031731</v>
      </c>
      <c r="H21" s="0" t="n">
        <f aca="false">H19*H20</f>
        <v>600.690752224952</v>
      </c>
      <c r="I21" s="0" t="n">
        <f aca="false">I19*I20</f>
        <v>572.465282775993</v>
      </c>
      <c r="J21" s="0" t="n">
        <f aca="false">J19*J20</f>
        <v>547.292335084845</v>
      </c>
      <c r="K21" s="0" t="n">
        <f aca="false">K19*K20</f>
        <v>517.189434886084</v>
      </c>
      <c r="L21" s="0" t="n">
        <f aca="false">L19*L20</f>
        <v>488.589097473029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6082.92908685943</v>
      </c>
    </row>
    <row r="31" customFormat="false" ht="15" hidden="false" customHeight="false" outlineLevel="0" collapsed="false">
      <c r="A31" s="0" t="s">
        <v>137</v>
      </c>
      <c r="B31" s="0" t="n">
        <f aca="false">L19</f>
        <v>1104.6918592879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18871.819262835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19884.4534671822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18871.819262835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8346.73041516425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14429.6595020237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16035.4415020237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278.634952250629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-0.37111237247635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1864.67846082747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2255.27841717236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350.224124761486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9058.47324616079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146.144363792778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3379.2</v>
      </c>
      <c r="C6" s="0" t="n">
        <f aca="false">B6*(1+C5/100)</f>
        <v>3683.328</v>
      </c>
      <c r="D6" s="0" t="n">
        <f aca="false">C6*(1+D5/100)</f>
        <v>3977.99424</v>
      </c>
      <c r="E6" s="0" t="n">
        <f aca="false">D6*(1+E5/100)</f>
        <v>4256.4538368</v>
      </c>
      <c r="F6" s="0" t="n">
        <f aca="false">E6*(1+F5/100)</f>
        <v>4533.123336192</v>
      </c>
      <c r="G6" s="0" t="n">
        <f aca="false">F6*(1+G5/100)</f>
        <v>4805.11073636352</v>
      </c>
      <c r="H6" s="0" t="n">
        <f aca="false">G6*(1+H5/100)</f>
        <v>5045.3662731817</v>
      </c>
      <c r="I6" s="0" t="n">
        <f aca="false">H6*(1+I5/100)</f>
        <v>5272.40775547487</v>
      </c>
      <c r="J6" s="0" t="n">
        <f aca="false">I6*(1+J5/100)</f>
        <v>5483.30406569387</v>
      </c>
      <c r="K6" s="0" t="n">
        <f aca="false">J6*(1+K5/100)</f>
        <v>5675.21970799315</v>
      </c>
      <c r="L6" s="0" t="n">
        <f aca="false">K6*(1+L5/100)</f>
        <v>5845.47629923295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36</v>
      </c>
      <c r="D7" s="4" t="n">
        <f aca="false">Assumptions!D42</f>
        <v>37</v>
      </c>
      <c r="E7" s="4" t="n">
        <f aca="false">Assumptions!E42</f>
        <v>37.5</v>
      </c>
      <c r="F7" s="4" t="n">
        <f aca="false">Assumptions!F42</f>
        <v>38</v>
      </c>
      <c r="G7" s="4" t="n">
        <f aca="false">Assumptions!G42</f>
        <v>38</v>
      </c>
      <c r="H7" s="4" t="n">
        <f aca="false">Assumptions!H42</f>
        <v>38</v>
      </c>
      <c r="I7" s="4" t="n">
        <f aca="false">Assumptions!I42</f>
        <v>38</v>
      </c>
      <c r="J7" s="4" t="n">
        <f aca="false">Assumptions!J42</f>
        <v>38</v>
      </c>
      <c r="K7" s="4" t="n">
        <f aca="false">Assumptions!K42</f>
        <v>38</v>
      </c>
      <c r="L7" s="4" t="n">
        <f aca="false">Assumptions!L42</f>
        <v>38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1325.99808</v>
      </c>
      <c r="D8" s="0" t="n">
        <f aca="false">D6*D7/100</f>
        <v>1471.8578688</v>
      </c>
      <c r="E8" s="0" t="n">
        <f aca="false">E6*E7/100</f>
        <v>1596.1701888</v>
      </c>
      <c r="F8" s="0" t="n">
        <f aca="false">F6*F7/100</f>
        <v>1722.58686775296</v>
      </c>
      <c r="G8" s="0" t="n">
        <f aca="false">G6*G7/100</f>
        <v>1825.94207981814</v>
      </c>
      <c r="H8" s="0" t="n">
        <f aca="false">H6*H7/100</f>
        <v>1917.23918380905</v>
      </c>
      <c r="I8" s="0" t="n">
        <f aca="false">I6*I7/100</f>
        <v>2003.51494708045</v>
      </c>
      <c r="J8" s="0" t="n">
        <f aca="false">J6*J7/100</f>
        <v>2083.65554496367</v>
      </c>
      <c r="K8" s="0" t="n">
        <f aca="false">K6*K7/100</f>
        <v>2156.5834890374</v>
      </c>
      <c r="L8" s="0" t="n">
        <f aca="false">L6*L7/100</f>
        <v>2221.28099370852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7.4</v>
      </c>
      <c r="D9" s="4" t="n">
        <f aca="false">Assumptions!D43</f>
        <v>7.1</v>
      </c>
      <c r="E9" s="4" t="n">
        <f aca="false">Assumptions!E43</f>
        <v>6.8</v>
      </c>
      <c r="F9" s="4" t="n">
        <f aca="false">Assumptions!F43</f>
        <v>6.5</v>
      </c>
      <c r="G9" s="4" t="n">
        <f aca="false">Assumptions!G43</f>
        <v>6.2</v>
      </c>
      <c r="H9" s="4" t="n">
        <f aca="false">Assumptions!H43</f>
        <v>6</v>
      </c>
      <c r="I9" s="4" t="n">
        <f aca="false">Assumptions!I43</f>
        <v>5.8</v>
      </c>
      <c r="J9" s="4" t="n">
        <f aca="false">Assumptions!J43</f>
        <v>5.6</v>
      </c>
      <c r="K9" s="4" t="n">
        <f aca="false">Assumptions!K43</f>
        <v>5.5</v>
      </c>
      <c r="L9" s="4" t="n">
        <f aca="false">Assumptions!L43</f>
        <v>5.5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-272.566272</v>
      </c>
      <c r="D10" s="0" t="n">
        <f aca="false">-D6*D9/100</f>
        <v>-282.43759104</v>
      </c>
      <c r="E10" s="0" t="n">
        <f aca="false">-E6*E9/100</f>
        <v>-289.4388609024</v>
      </c>
      <c r="F10" s="0" t="n">
        <f aca="false">-F6*F9/100</f>
        <v>-294.65301685248</v>
      </c>
      <c r="G10" s="0" t="n">
        <f aca="false">-G6*G9/100</f>
        <v>-297.916865654538</v>
      </c>
      <c r="H10" s="0" t="n">
        <f aca="false">-H6*H9/100</f>
        <v>-302.721976390902</v>
      </c>
      <c r="I10" s="0" t="n">
        <f aca="false">-I6*I9/100</f>
        <v>-305.799649817543</v>
      </c>
      <c r="J10" s="0" t="n">
        <f aca="false">-J6*J9/100</f>
        <v>-307.065027678857</v>
      </c>
      <c r="K10" s="0" t="n">
        <f aca="false">-K6*K9/100</f>
        <v>-312.137083939624</v>
      </c>
      <c r="L10" s="0" t="n">
        <f aca="false">-L6*L9/100</f>
        <v>-321.501196457812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1053.431808</v>
      </c>
      <c r="D11" s="0" t="n">
        <f aca="false">D8+D10+D24</f>
        <v>1189.42027776</v>
      </c>
      <c r="E11" s="0" t="n">
        <f aca="false">E8+E10+E24</f>
        <v>1306.7313278976</v>
      </c>
      <c r="F11" s="0" t="n">
        <f aca="false">F8+F10+F24</f>
        <v>1427.93385090048</v>
      </c>
      <c r="G11" s="0" t="n">
        <f aca="false">G8+G10+G24</f>
        <v>1528.0252141636</v>
      </c>
      <c r="H11" s="0" t="n">
        <f aca="false">H8+H10+H24</f>
        <v>1614.51720741814</v>
      </c>
      <c r="I11" s="0" t="n">
        <f aca="false">I8+I10+I24</f>
        <v>1697.71529726291</v>
      </c>
      <c r="J11" s="0" t="n">
        <f aca="false">J8+J10+J24</f>
        <v>1776.59051728481</v>
      </c>
      <c r="K11" s="0" t="n">
        <f aca="false">K8+K10+K24</f>
        <v>1844.44640509778</v>
      </c>
      <c r="L11" s="0" t="n">
        <f aca="false">L8+L10+L24</f>
        <v>1899.77979725071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-106.816512</v>
      </c>
      <c r="D12" s="4" t="n">
        <f aca="false">-D6*Assumptions!D45/100</f>
        <v>-111.38383872</v>
      </c>
      <c r="E12" s="4" t="n">
        <f aca="false">-E6*Assumptions!E45/100</f>
        <v>-114.9242535936</v>
      </c>
      <c r="F12" s="4" t="n">
        <f aca="false">-F6*Assumptions!F45/100</f>
        <v>-117.861206740992</v>
      </c>
      <c r="G12" s="4" t="n">
        <f aca="false">-G6*Assumptions!G45/100</f>
        <v>-120.127768409088</v>
      </c>
      <c r="H12" s="4" t="n">
        <f aca="false">-H6*Assumptions!H45/100</f>
        <v>-126.134156829542</v>
      </c>
      <c r="I12" s="4" t="n">
        <f aca="false">-I6*Assumptions!I45/100</f>
        <v>-131.810193886872</v>
      </c>
      <c r="J12" s="4" t="n">
        <f aca="false">-J6*Assumptions!J45/100</f>
        <v>-137.082601642347</v>
      </c>
      <c r="K12" s="4" t="n">
        <f aca="false">-K6*Assumptions!K45/100</f>
        <v>-141.880492699829</v>
      </c>
      <c r="L12" s="4" t="n">
        <f aca="false">-L6*Assumptions!L45/100</f>
        <v>-146.136907480824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946.615296</v>
      </c>
      <c r="D13" s="0" t="n">
        <f aca="false">D11+D12</f>
        <v>1078.03643904</v>
      </c>
      <c r="E13" s="0" t="n">
        <f aca="false">E11+E12</f>
        <v>1191.807074304</v>
      </c>
      <c r="F13" s="0" t="n">
        <f aca="false">F11+F12</f>
        <v>1310.07264415949</v>
      </c>
      <c r="G13" s="0" t="n">
        <f aca="false">G11+G12</f>
        <v>1407.89744575451</v>
      </c>
      <c r="H13" s="0" t="n">
        <f aca="false">H11+H12</f>
        <v>1488.3830505886</v>
      </c>
      <c r="I13" s="0" t="n">
        <f aca="false">I11+I12</f>
        <v>1565.90510337604</v>
      </c>
      <c r="J13" s="0" t="n">
        <f aca="false">J11+J12</f>
        <v>1639.50791564247</v>
      </c>
      <c r="K13" s="0" t="n">
        <f aca="false">K11+K12</f>
        <v>1702.56591239795</v>
      </c>
      <c r="L13" s="0" t="n">
        <f aca="false">L11+L12</f>
        <v>1753.64288976988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747.82608384</v>
      </c>
      <c r="D15" s="0" t="n">
        <f aca="false">D13-MAX(0,D13)*D14/100</f>
        <v>851.6487868416</v>
      </c>
      <c r="E15" s="0" t="n">
        <f aca="false">E13-MAX(0,E13)*E14/100</f>
        <v>929.60951795712</v>
      </c>
      <c r="F15" s="0" t="n">
        <f aca="false">F13-MAX(0,F13)*F14/100</f>
        <v>1021.8566624444</v>
      </c>
      <c r="G15" s="0" t="n">
        <f aca="false">G13-MAX(0,G13)*G14/100</f>
        <v>1098.16000768852</v>
      </c>
      <c r="H15" s="0" t="n">
        <f aca="false">H13-MAX(0,H13)*H14/100</f>
        <v>1160.93877945911</v>
      </c>
      <c r="I15" s="0" t="n">
        <f aca="false">I13-MAX(0,I13)*I14/100</f>
        <v>1221.40598063331</v>
      </c>
      <c r="J15" s="0" t="n">
        <f aca="false">J13-MAX(0,J13)*J14/100</f>
        <v>1278.81617420112</v>
      </c>
      <c r="K15" s="0" t="n">
        <f aca="false">K13-MAX(0,K13)*K14/100</f>
        <v>1328.0014116704</v>
      </c>
      <c r="L15" s="0" t="n">
        <f aca="false">L13-MAX(0,L13)*L14/100</f>
        <v>1367.84145402051</v>
      </c>
    </row>
    <row r="16" customFormat="false" ht="15" hidden="false" customHeight="false" outlineLevel="0" collapsed="false">
      <c r="A16" s="0" t="s">
        <v>128</v>
      </c>
      <c r="C16" s="0" t="n">
        <f aca="false">-C12</f>
        <v>106.816512</v>
      </c>
      <c r="D16" s="0" t="n">
        <f aca="false">-D12</f>
        <v>111.38383872</v>
      </c>
      <c r="E16" s="0" t="n">
        <f aca="false">-E12</f>
        <v>114.9242535936</v>
      </c>
      <c r="F16" s="0" t="n">
        <f aca="false">-F12</f>
        <v>117.861206740992</v>
      </c>
      <c r="G16" s="0" t="n">
        <f aca="false">-G12</f>
        <v>120.127768409088</v>
      </c>
      <c r="H16" s="0" t="n">
        <f aca="false">-H12</f>
        <v>126.134156829542</v>
      </c>
      <c r="I16" s="0" t="n">
        <f aca="false">-I12</f>
        <v>131.810193886872</v>
      </c>
      <c r="J16" s="0" t="n">
        <f aca="false">-J12</f>
        <v>137.082601642347</v>
      </c>
      <c r="K16" s="0" t="n">
        <f aca="false">-K12</f>
        <v>141.880492699829</v>
      </c>
      <c r="L16" s="0" t="n">
        <f aca="false">-L12</f>
        <v>146.136907480824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-84.716544</v>
      </c>
      <c r="D17" s="4" t="n">
        <f aca="false">-D6*Assumptions!D46/100</f>
        <v>-91.49386752</v>
      </c>
      <c r="E17" s="4" t="n">
        <f aca="false">-E6*Assumptions!E46/100</f>
        <v>-102.1548920832</v>
      </c>
      <c r="F17" s="4" t="n">
        <f aca="false">-F6*Assumptions!F46/100</f>
        <v>-108.794960068608</v>
      </c>
      <c r="G17" s="4" t="n">
        <f aca="false">-G6*Assumptions!G46/100</f>
        <v>-120.127768409088</v>
      </c>
      <c r="H17" s="4" t="n">
        <f aca="false">-H6*Assumptions!H46/100</f>
        <v>-126.134156829542</v>
      </c>
      <c r="I17" s="4" t="n">
        <f aca="false">-I6*Assumptions!I46/100</f>
        <v>-131.810193886872</v>
      </c>
      <c r="J17" s="4" t="n">
        <f aca="false">-J6*Assumptions!J46/100</f>
        <v>-137.082601642347</v>
      </c>
      <c r="K17" s="4" t="n">
        <f aca="false">-K6*Assumptions!K46/100</f>
        <v>-141.880492699829</v>
      </c>
      <c r="L17" s="4" t="n">
        <f aca="false">-L6*Assumptions!L46/100</f>
        <v>-146.136907480824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60.8256</v>
      </c>
      <c r="D18" s="4" t="n">
        <f aca="false">(D6-C6)*Assumptions!$B$51/100</f>
        <v>58.9332480000001</v>
      </c>
      <c r="E18" s="4" t="n">
        <f aca="false">(E6-D6)*Assumptions!$B$51/100</f>
        <v>55.69191936</v>
      </c>
      <c r="F18" s="4" t="n">
        <f aca="false">(F6-E6)*Assumptions!$B$51/100</f>
        <v>55.3338998784</v>
      </c>
      <c r="G18" s="4" t="n">
        <f aca="false">(G6-F6)*Assumptions!$B$51/100</f>
        <v>54.3974800343041</v>
      </c>
      <c r="H18" s="4" t="n">
        <f aca="false">(H6-G6)*Assumptions!$B$51/100</f>
        <v>48.0511073636353</v>
      </c>
      <c r="I18" s="4" t="n">
        <f aca="false">(I6-H6)*Assumptions!$B$51/100</f>
        <v>45.4082964586352</v>
      </c>
      <c r="J18" s="4" t="n">
        <f aca="false">(J6-I6)*Assumptions!$B$51/100</f>
        <v>42.1792620437991</v>
      </c>
      <c r="K18" s="4" t="n">
        <f aca="false">(K6-J6)*Assumptions!$B$51/100</f>
        <v>38.3831284598569</v>
      </c>
      <c r="L18" s="4" t="n">
        <f aca="false">(L6-K6)*Assumptions!$B$51/100</f>
        <v>34.051318247959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830.75165184</v>
      </c>
      <c r="D19" s="0" t="n">
        <f aca="false">D15+D16+D17+D18</f>
        <v>930.4720060416</v>
      </c>
      <c r="E19" s="0" t="n">
        <f aca="false">E15+E16+E17+E18</f>
        <v>998.07079882752</v>
      </c>
      <c r="F19" s="0" t="n">
        <f aca="false">F15+F16+F17+F18</f>
        <v>1086.25680899518</v>
      </c>
      <c r="G19" s="0" t="n">
        <f aca="false">G15+G16+G17+G18</f>
        <v>1152.55748772282</v>
      </c>
      <c r="H19" s="0" t="n">
        <f aca="false">H15+H16+H17+H18</f>
        <v>1208.98988682274</v>
      </c>
      <c r="I19" s="0" t="n">
        <f aca="false">I15+I16+I17+I18</f>
        <v>1266.81427709195</v>
      </c>
      <c r="J19" s="0" t="n">
        <f aca="false">J15+J16+J17+J18</f>
        <v>1320.99543624492</v>
      </c>
      <c r="K19" s="0" t="n">
        <f aca="false">K15+K16+K17+K18</f>
        <v>1366.38454013025</v>
      </c>
      <c r="L19" s="0" t="n">
        <f aca="false">L15+L16+L17+L18</f>
        <v>1401.89277226847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765.669725198157</v>
      </c>
      <c r="D21" s="0" t="n">
        <f aca="false">D19*D20</f>
        <v>790.394364748965</v>
      </c>
      <c r="E21" s="0" t="n">
        <f aca="false">E19*E20</f>
        <v>781.397711209293</v>
      </c>
      <c r="F21" s="0" t="n">
        <f aca="false">F19*F20</f>
        <v>783.814979481891</v>
      </c>
      <c r="G21" s="0" t="n">
        <f aca="false">G19*G20</f>
        <v>766.503082286882</v>
      </c>
      <c r="H21" s="0" t="n">
        <f aca="false">H19*H20</f>
        <v>741.044415699051</v>
      </c>
      <c r="I21" s="0" t="n">
        <f aca="false">I19*I20</f>
        <v>715.656766664356</v>
      </c>
      <c r="J21" s="0" t="n">
        <f aca="false">J19*J20</f>
        <v>687.80196422607</v>
      </c>
      <c r="K21" s="0" t="n">
        <f aca="false">K19*K20</f>
        <v>655.700169473185</v>
      </c>
      <c r="L21" s="0" t="n">
        <f aca="false">L19*L20</f>
        <v>620.036726619984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7308.01990560783</v>
      </c>
    </row>
    <row r="31" customFormat="false" ht="15" hidden="false" customHeight="false" outlineLevel="0" collapsed="false">
      <c r="A31" s="0" t="s">
        <v>137</v>
      </c>
      <c r="B31" s="0" t="n">
        <f aca="false">L19</f>
        <v>1401.89277226847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26253.6282806641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28037.8554453694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26253.6282806641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11611.5968803379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18919.6167859457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20525.3987859457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356.653323821819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-0.195022516539928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1938.64671524471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2662.92997842742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436.611215979458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12032.912961971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174.146598723899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179.236793805237</v>
      </c>
      <c r="C4" s="0" t="n">
        <f aca="false">B4/Assumptions!$B$2-1</f>
        <v>-0.595457062688492</v>
      </c>
      <c r="D4" s="4" t="n">
        <f aca="false">Assumptions!$B$24</f>
        <v>0.25</v>
      </c>
      <c r="E4" s="4" t="n">
        <f aca="false">DCF_Bear!$B$43</f>
        <v>248.486236670651</v>
      </c>
      <c r="F4" s="4" t="n">
        <f aca="false">DCF_Bear!$B$47</f>
        <v>106.070655737766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278.634952250629</v>
      </c>
      <c r="C5" s="0" t="n">
        <f aca="false">B5/Assumptions!$B$2-1</f>
        <v>-0.37111237247635</v>
      </c>
      <c r="D5" s="4" t="n">
        <f aca="false">Assumptions!$B$38</f>
        <v>0.5</v>
      </c>
      <c r="E5" s="4" t="n">
        <f aca="false">DCF_Base!$B$43</f>
        <v>350.224124761486</v>
      </c>
      <c r="F5" s="4" t="n">
        <f aca="false">DCF_Base!$B$47</f>
        <v>146.144363792778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356.653323821819</v>
      </c>
      <c r="C6" s="0" t="n">
        <f aca="false">B6/Assumptions!$B$2-1</f>
        <v>-0.195022516539928</v>
      </c>
      <c r="D6" s="4" t="n">
        <f aca="false">Assumptions!$B$52</f>
        <v>0.25</v>
      </c>
      <c r="E6" s="4" t="n">
        <f aca="false">DCF_Bull!$B$43</f>
        <v>436.611215979458</v>
      </c>
      <c r="F6" s="4" t="n">
        <f aca="false">DCF_Bull!$B$47</f>
        <v>174.146598723899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273.290005532078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346.38642554327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-0.621208207513444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232.254868900458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143.126495511805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278.634952250629</v>
      </c>
      <c r="C15" s="3" t="n">
        <v>8.5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258.991670269129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227.583503337167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203.589045564968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184.665866475567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146.144363792778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328.486057021327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328.486057021327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328.486057021327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328.486057021327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328.486057021327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296.367577827126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306.457162501347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306.457162501347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306.457162501347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306.457162501347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256.702919204489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266.825395995015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278.634952250629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286.417286557323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286.417286557323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227.01678050612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234.084633485154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242.162179746907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251.482425433545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262.356045401289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203.979090556275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209.08700827329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214.833415704932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221.346010794127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228.788976610349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2026-09-28T08:15:04Z</dcterms:created>
  <dc:creator>openpyxl</dc:creator>
  <dc:description/>
  <dc:language>en-NZ</dc:language>
  <cp:lastModifiedBy/>
  <dcterms:modified xsi:type="dcterms:W3CDTF">2026-09-28T08:15:04Z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