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<sst xmlns="http://schemas.openxmlformats.org/spreadsheetml/2006/main" count="344" uniqueCount="162">
  <si>
    <t xml:space="preserve">Ticker</t>
  </si>
  <si>
    <t xml:space="preserve">0666.HK</t>
  </si>
  <si>
    <t xml:space="preserve">Company</t>
  </si>
  <si>
    <t xml:space="preserve">REPT BATTERO Energy Co., Ltd.</t>
  </si>
  <si>
    <t xml:space="preserve">Valuation date</t>
  </si>
  <si>
    <t xml:space="preserve">2026-10-11</t>
  </si>
  <si>
    <t xml:space="preserve">Current price</t>
  </si>
  <si>
    <t xml:space="preserve">Price as of</t>
  </si>
  <si>
    <t xml:space="preserve">2026-10-09T08:08:06Z regular close (HKEX), Yahoo chart API regularMarketTime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</si>
  <si>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</si>
  <si>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</si>
  <si>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</si>
  <si>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</si>
  <si>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</si>
  <si>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</si>
  <si>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</si>
  <si>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</si>
  <si>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</si>
  <si>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</si>
  <si>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</si>
  <si>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</si>
  <si>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</si>
  <si>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2026-10-11T03:22:34Z</t>
  </si>
  <si>
    <t xml:space="preserve">Drivers file</t>
  </si>
  <si>
    <t xml:space="preserve">0666.HK_Drivers.json</t>
  </si>
  <si>
    <t xml:space="preserve">Convention</t>
  </si>
  <si>
    <t xml:space="preserve">Percents stored as percents; formulas divide by 100. Blue = input, green = link, black = formula.</t>
  </si>
  <si>
    <t xml:space="preserve">Methodology</t>
  </si>
  <si>
    <t xml:space="preserve">summary: A recent turnaround in a commoditising, overcapacity industry is valued on mid-cycle component margins, not on the latest cash flow. Reported FCF is thin and depends on working capital, and every year of history is a build-out or a loss, so nothing in the past is a steady state to extrapolate. The model charges SBC, NCI leakage and a normal cash tax once each. Pledged deposits are excluded from cash because the bills they secure are treated as operating payables. The H1 FY2026 supplier-financed cash inflow is reversed.
key_risks_to_valuation: EBITDA margin: each 1pp of mid-cycle margin is worth roughly RMB1.6 (HK$1.9) per share in the base case; the FY2024 margin was ~2.4%.; Working-capital unwind: trade and bills payables of RMB23.9bn (~337 days of cost of sales) against restricted cash of RMB9.6bn; a faster normalisation than assumed is a direct cash cost.; Restricted-cash treatment: counting the RMB9.6bn pledged deposits as cash would add ~HK$4.8/share, but only if the bills they secure are not debt.; Tariff and trade action on Chinese ESS/EV batteries in the US and EU markets that REPT is targeting for margin.; Related-party and governance concentration under Tsingshan Group (~57.5% effective control).
bear_negative_equity_memo: The bear scenario returns negative equity (EV below net debt plus the working-capital unwind): on that path the equity is wiped out. The scenario's terminal value is positive and capped, not floored, so the negative figure comes from the explicit-year flows and the balance sheet, not from the terminal value. The headline weighted IV includes the negative bear value. Under limited liability with the bear floored at zero, the weighted IV would be about HK$5.11 instead of HK$4.79. Neither figure is near the current price.</t>
  </si>
  <si>
    <t xml:space="preserve">Data sources</t>
  </si>
  <si>
    <t xml:space="preserve">price: Yahoo Finance chart API at inputs.price_as_of; 52-week range HK$8.095-18.87. FX from Yahoo CNYHKD=X (see inputs.fx_note).
financials: 0666.HK_Metrics.csv (FY2022-H1 FY2026); H1 FY2026 interim report balance sheet, income statement, cash flow statement and notes 4, 7, 12; FY2023-FY2025 annual reports for NCI, lease and interest lines.
qualitative: 0666.HK_Analysis.json (2026-10-11): segment mix, competitive position, sell-side consensus FY2026 revenue ~RMB30.6bn, management commentary that competition will intensify in 2026.</t>
  </si>
  <si>
    <t xml:space="preserve">Scenario narrative: bear</t>
  </si>
  <si>
    <t xml:space="preserve">The two risks the filings already show come back together. A renewed Chinese cell price war (utility-scale cells near RMB0.3/Wh in 2024-25) takes margins back to 8-8.5% EBITDA: still well above the FY2024 trough of ~2.4%, but on a capacity base built for growth that does not arrive. US and EU tariff action on Chinese batteries, already seen in the 76% collapse of 'other businesses' revenue in FY2025, caps ESS exports, so revenue goes flat to down after FY2026. Working capital consumes more cash as customers stretch terms, and leverage (gearing 77.1%) limits flexibility.</t>
  </si>
  <si>
    <t xml:space="preserve">Scenario narrative: base</t>
  </si>
  <si>
    <t xml:space="preserve">ESS (62% of H1 FY2026 revenue) keeps riding the global storage build-out, so FY2026 revenue rises ~33% to ~RMB32bn, then growth fades through 18%/12%/9% to 2% by FY2035 as cell prices keep falling and capacity across China catches up with demand. REPT stays a top-6 ESS supplier and #1 in household cells but remains a price-taker: EBITDA margin edges from the 11.6% H1 FY2026 run-rate to 13% and holds there, roughly half CATL's profitability. Capex peaks in FY2026 (100GWh+ and Indonesia phase 1) and tapers to maintenance. Tax losses shelter early profits, then cash tax plus the ~7pp NCI share settle at 26% leakage. The H1 FY2026 supplier-funded working-capital inflow is reversed once in the bridge.</t>
  </si>
  <si>
    <t xml:space="preserve">Scenario narrative: bull</t>
  </si>
  <si>
    <t xml:space="preserve">The bull case from the analysis plays out: household-ESS leadership, a rising share of higher-margin overseas ESS orders (Energy Vault, Europe, Australia), and #2 position in battery-swap heavy trucks lift growth to 38%/25%/16% and EBITDA margin to 15%, close to EVE Energy. Industry consolidation squeezes out weaker second- and third-tier makers and Tsingshan's raw-material access widens the cost advantage. Growth still has to fund capex, so FCF lags revenue for several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</si>
  <si>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</si>
  <si>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</si>
  <si>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</si>
  <si>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</si>
  <si>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</si>
  <si>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</si>
  <si>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</si>
  <si>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</si>
  <si>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</si>
  <si>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</si>
  <si>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</si>
  <si>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</si>
  <si>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</si>
  <si>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</si>
  <si>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</si>
  <si>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</si>
  <si>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</si>
  <si>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</si>
  <si>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</si>
  <si>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</si>
  <si>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</si>
  <si>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</si>
  <si>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</si>
  <si>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</si>
  <si>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</si>
  <si>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</si>
  <si>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</si>
  <si>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</si>
  <si>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ShareIssuanceProceeds</t>
  </si>
  <si>
    <t xml:space="preserve">TotalEquityInclNCI</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</si>
  <si>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</si>
  <si>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</si>
  <si>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</si>
  <si>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</si>
  <si>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</si>
  <si>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</si>
  <si>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</si>
  <si>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</si>
  <si>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</si>
  <si>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</si>
  <si>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</si>
  <si>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</si>
  <si>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</si>
  <si>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</si>
  <si>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</si>
  <si>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</si>
  <si>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</si>
  <si>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</si>
  <si>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</si>
  <si>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</si>
  <si>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</si>
  <si>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</si>
  <si>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</si>
  <si>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</si>
  <si>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</si>
  <si>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</si>
  <si>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</si>
  <si>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</si>
  <si>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</si>
  <si>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</si>
  <si>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</si>
  <si>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</si>
  <si>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</si>
  <si>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</si>
  <si>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</si>
  <si>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</si>
  <si>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</si>
  <si>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</si>
  <si>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</si>
  <si>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</si>
  <si>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</si>
  <si>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0666.HK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</si>
  <si>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</si>
  <si>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</si>
  <si>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</si>
  <si>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</si>
  <si>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</si>
  <si>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</si>
  <si>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</si>
  <si>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</si>
  <si>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</si>
  <si>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</si>
  <si>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</si>
  <si>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</si>
  <si>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</si>
  <si>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</si>
  <si>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</si>
  <si>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</si>
  <si>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</si>
  <si>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</si>
  <si>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</si>
  <si>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</si>
  <si>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</si>
  <si>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</si>
  <si>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</si>
  <si>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</si>
  <si>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</si>
  <si>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</si>
  <si>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</si>
  <si>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</si>
  <si>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</si>
  <si>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</si>
  <si>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0666.HK owner-FCF component DCF: base case (millions, CNY)</t>
  </si>
  <si>
    <t xml:space="preserve">0666.HK owner-FCF component DCF: bull case (millions, CNY)</t>
  </si>
  <si>
    <t xml:space="preserve">0666.HK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</si>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</sst>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8.605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35.0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14647.778</v>
      </c>
      <c r="C2" s="0" t="n">
        <v>13559.49</v>
      </c>
      <c r="D2" s="0" t="n">
        <v>1088.288</v>
      </c>
      <c r="E2" s="0" t="n">
        <v>7.4</v>
      </c>
      <c r="F2" s="0" t="n">
        <v>-261.873</v>
      </c>
      <c r="G2" s="0" t="n">
        <v>-1.8</v>
      </c>
      <c r="H2" s="0" t="n">
        <v>252.407</v>
      </c>
      <c r="I2" s="0" t="n">
        <v>-354.121</v>
      </c>
      <c r="J2" s="0" t="n">
        <v>-2.4</v>
      </c>
      <c r="K2" s="0" t="n">
        <v>-0.2</v>
      </c>
      <c r="L2" s="0" t="n">
        <v>-2230.473</v>
      </c>
      <c r="M2" s="0" t="n">
        <v>3738.24</v>
      </c>
      <c r="N2" s="0" t="n">
        <v>-5968.713</v>
      </c>
      <c r="O2" s="0" t="n">
        <v>10748.947</v>
      </c>
      <c r="P2" s="0" t="n">
        <v>26441.403</v>
      </c>
      <c r="Q2" s="0" t="n">
        <v>14989.83</v>
      </c>
      <c r="R2" s="0" t="n">
        <v>4651.174</v>
      </c>
      <c r="S2" s="0" t="n">
        <v>4901.062</v>
      </c>
      <c r="T2" s="0" t="n">
        <v>2160.804</v>
      </c>
      <c r="U2" s="0" t="n">
        <v>133.637</v>
      </c>
      <c r="AA2" s="0" t="s">
        <v>18</v>
      </c>
      <c r="AB2" s="0" t="s">
        <v>14</v>
      </c>
      <c r="AC2" s="0" t="n">
        <v>-450.823</v>
      </c>
      <c r="AD2" s="0" t="n">
        <v>8940.779</v>
      </c>
      <c r="AE2" s="0" t="n">
        <v>11451.573</v>
      </c>
    </row>
    <row r="3" customFormat="false" ht="15" hidden="false" customHeight="false" outlineLevel="0" collapsed="false">
      <c r="A3" s="0" t="s">
        <v>68</v>
      </c>
      <c r="B3" s="0" t="n">
        <v>13748.914</v>
      </c>
      <c r="C3" s="0" t="n">
        <v>13455.565</v>
      </c>
      <c r="D3" s="0" t="n">
        <v>293.349</v>
      </c>
      <c r="E3" s="0" t="n">
        <v>2.1</v>
      </c>
      <c r="F3" s="0" t="n">
        <v>-1684.013</v>
      </c>
      <c r="G3" s="0" t="n">
        <v>-12.2</v>
      </c>
      <c r="H3" s="0" t="n">
        <v>-732.738</v>
      </c>
      <c r="I3" s="0" t="n">
        <v>-1471.802</v>
      </c>
      <c r="J3" s="0" t="n">
        <v>-10.7</v>
      </c>
      <c r="K3" s="0" t="n">
        <v>-0.68</v>
      </c>
      <c r="L3" s="0" t="n">
        <v>1074.606</v>
      </c>
      <c r="M3" s="0" t="n">
        <v>5216.141</v>
      </c>
      <c r="N3" s="0" t="n">
        <v>-4141.535</v>
      </c>
      <c r="O3" s="0" t="n">
        <v>11311.319</v>
      </c>
      <c r="P3" s="0" t="n">
        <v>36020.782</v>
      </c>
      <c r="Q3" s="0" t="n">
        <v>24478.335</v>
      </c>
      <c r="R3" s="0" t="n">
        <v>9627.84</v>
      </c>
      <c r="S3" s="0" t="n">
        <v>8379.47</v>
      </c>
      <c r="T3" s="0" t="n">
        <v>2276.874</v>
      </c>
      <c r="U3" s="0" t="n">
        <v>147.992</v>
      </c>
      <c r="AA3" s="0" t="s">
        <v>18</v>
      </c>
      <c r="AB3" s="0" t="s">
        <v>14</v>
      </c>
      <c r="AC3" s="0" t="n">
        <v>-1943.3</v>
      </c>
      <c r="AD3" s="0" t="n">
        <v>1931.218</v>
      </c>
      <c r="AE3" s="0" t="n">
        <v>11542.447</v>
      </c>
    </row>
    <row r="4" customFormat="false" ht="15" hidden="false" customHeight="false" outlineLevel="0" collapsed="false">
      <c r="A4" s="0" t="s">
        <v>69</v>
      </c>
      <c r="B4" s="0" t="n">
        <v>17795.914</v>
      </c>
      <c r="C4" s="0" t="n">
        <v>17058.984</v>
      </c>
      <c r="D4" s="0" t="n">
        <v>736.93</v>
      </c>
      <c r="E4" s="0" t="n">
        <v>4.1</v>
      </c>
      <c r="F4" s="0" t="n">
        <v>-1011.722</v>
      </c>
      <c r="G4" s="0" t="n">
        <v>-5.7</v>
      </c>
      <c r="H4" s="0" t="n">
        <v>419.09</v>
      </c>
      <c r="I4" s="0" t="n">
        <v>-1163.089</v>
      </c>
      <c r="J4" s="0" t="n">
        <v>-6.5</v>
      </c>
      <c r="K4" s="0" t="n">
        <v>-0.51</v>
      </c>
      <c r="L4" s="0" t="n">
        <v>1156.914</v>
      </c>
      <c r="M4" s="0" t="n">
        <v>3828.28</v>
      </c>
      <c r="N4" s="0" t="n">
        <v>-2671.366</v>
      </c>
      <c r="O4" s="0" t="n">
        <v>10271.968</v>
      </c>
      <c r="P4" s="0" t="n">
        <v>38539.48</v>
      </c>
      <c r="Q4" s="0" t="n">
        <v>28217.284</v>
      </c>
      <c r="R4" s="0" t="n">
        <v>9999.665</v>
      </c>
      <c r="S4" s="0" t="n">
        <v>4285.731</v>
      </c>
      <c r="T4" s="0" t="n">
        <v>2276.874</v>
      </c>
      <c r="U4" s="0" t="n">
        <v>123.074</v>
      </c>
      <c r="AA4" s="0" t="s">
        <v>18</v>
      </c>
      <c r="AB4" s="0" t="s">
        <v>14</v>
      </c>
      <c r="AC4" s="0" t="n">
        <v>-1352.609</v>
      </c>
      <c r="AE4" s="0" t="n">
        <v>10322.196</v>
      </c>
    </row>
    <row r="5" customFormat="false" ht="15" hidden="false" customHeight="false" outlineLevel="0" collapsed="false">
      <c r="A5" s="0" t="s">
        <v>70</v>
      </c>
      <c r="B5" s="0" t="n">
        <v>24333.984</v>
      </c>
      <c r="C5" s="0" t="n">
        <v>21612.93</v>
      </c>
      <c r="D5" s="0" t="n">
        <v>2721.054</v>
      </c>
      <c r="E5" s="0" t="n">
        <v>11.2</v>
      </c>
      <c r="F5" s="0" t="n">
        <v>1022.714</v>
      </c>
      <c r="G5" s="0" t="n">
        <v>4.2</v>
      </c>
      <c r="H5" s="0" t="n">
        <v>2588.613</v>
      </c>
      <c r="I5" s="0" t="n">
        <v>622.992</v>
      </c>
      <c r="J5" s="0" t="n">
        <v>2.6</v>
      </c>
      <c r="K5" s="0" t="n">
        <v>0.27</v>
      </c>
      <c r="L5" s="0" t="n">
        <v>3135.85</v>
      </c>
      <c r="M5" s="0" t="n">
        <v>3044.761</v>
      </c>
      <c r="N5" s="0" t="n">
        <v>91.089</v>
      </c>
      <c r="O5" s="0" t="n">
        <v>11747.532</v>
      </c>
      <c r="P5" s="0" t="n">
        <v>46472.198</v>
      </c>
      <c r="Q5" s="0" t="n">
        <v>34616.691</v>
      </c>
      <c r="R5" s="0" t="n">
        <v>9691.18</v>
      </c>
      <c r="S5" s="0" t="n">
        <v>4783.361</v>
      </c>
      <c r="T5" s="0" t="n">
        <v>2336.874</v>
      </c>
      <c r="U5" s="0" t="n">
        <v>126.921</v>
      </c>
      <c r="AA5" s="0" t="s">
        <v>18</v>
      </c>
      <c r="AB5" s="0" t="s">
        <v>14</v>
      </c>
      <c r="AC5" s="0" t="n">
        <v>680.92</v>
      </c>
      <c r="AD5" s="0" t="n">
        <v>724.342</v>
      </c>
      <c r="AE5" s="0" t="n">
        <v>11855.507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8.605</v>
      </c>
    </row>
    <row r="3" customFormat="false" ht="15" hidden="false" customHeight="false" outlineLevel="0" collapsed="false">
      <c r="A3" s="0" t="s">
        <v>74</v>
      </c>
      <c r="B3" s="3" t="n">
        <v>2336.874</v>
      </c>
    </row>
    <row r="4" customFormat="false" ht="15" hidden="false" customHeight="false" outlineLevel="0" collapsed="false">
      <c r="A4" s="0" t="s">
        <v>75</v>
      </c>
      <c r="B4" s="3" t="n">
        <v>3041.3</v>
      </c>
    </row>
    <row r="5" customFormat="false" ht="15" hidden="false" customHeight="false" outlineLevel="0" collapsed="false">
      <c r="A5" s="0" t="s">
        <v>76</v>
      </c>
      <c r="B5" s="3" t="n">
        <v>-1490.8</v>
      </c>
    </row>
    <row r="6" customFormat="false" ht="15" hidden="false" customHeight="false" outlineLevel="0" collapsed="false">
      <c r="A6" s="0" t="s">
        <v>77</v>
      </c>
      <c r="B6" s="3" t="n">
        <v>15</v>
      </c>
    </row>
    <row r="7" customFormat="false" ht="15" hidden="false" customHeight="false" outlineLevel="0" collapsed="false">
      <c r="A7" s="0" t="s">
        <v>78</v>
      </c>
      <c r="B7" s="3" t="n">
        <v>24333.984</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1.1721</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25</v>
      </c>
      <c r="D13" s="3" t="n">
        <v>0</v>
      </c>
      <c r="E13" s="3" t="n">
        <v>-3</v>
      </c>
      <c r="F13" s="3" t="n">
        <v>2</v>
      </c>
      <c r="G13" s="3" t="n">
        <v>2</v>
      </c>
      <c r="H13" s="3" t="n">
        <v>2</v>
      </c>
      <c r="I13" s="3" t="n">
        <v>2</v>
      </c>
      <c r="J13" s="3" t="n">
        <v>2</v>
      </c>
      <c r="K13" s="3" t="n">
        <v>2</v>
      </c>
      <c r="L13" s="3" t="n">
        <v>2</v>
      </c>
    </row>
    <row r="14" customFormat="false" ht="15" hidden="false" customHeight="false" outlineLevel="0" collapsed="false">
      <c r="A14" s="0" t="s">
        <v>95</v>
      </c>
      <c r="C14" s="3" t="n">
        <v>11</v>
      </c>
      <c r="D14" s="3" t="n">
        <v>9</v>
      </c>
      <c r="E14" s="3" t="n">
        <v>8</v>
      </c>
      <c r="F14" s="3" t="n">
        <v>8</v>
      </c>
      <c r="G14" s="3" t="n">
        <v>8.5</v>
      </c>
      <c r="H14" s="3" t="n">
        <v>8.5</v>
      </c>
      <c r="I14" s="3" t="n">
        <v>8.5</v>
      </c>
      <c r="J14" s="3" t="n">
        <v>8.5</v>
      </c>
      <c r="K14" s="3" t="n">
        <v>8.5</v>
      </c>
      <c r="L14" s="3" t="n">
        <v>8.5</v>
      </c>
    </row>
    <row r="15" customFormat="false" ht="15" hidden="false" customHeight="false" outlineLevel="0" collapsed="false">
      <c r="A15" s="0" t="s">
        <v>96</v>
      </c>
      <c r="C15" s="3" t="n">
        <v>0.45</v>
      </c>
      <c r="D15" s="3" t="n">
        <v>0.45</v>
      </c>
      <c r="E15" s="3" t="n">
        <v>0.45</v>
      </c>
      <c r="F15" s="3" t="n">
        <v>0.45</v>
      </c>
      <c r="G15" s="3" t="n">
        <v>0.45</v>
      </c>
      <c r="H15" s="3" t="n">
        <v>0.45</v>
      </c>
      <c r="I15" s="3" t="n">
        <v>0.45</v>
      </c>
      <c r="J15" s="3" t="n">
        <v>0.45</v>
      </c>
      <c r="K15" s="3" t="n">
        <v>0.45</v>
      </c>
      <c r="L15" s="3" t="n">
        <v>0.45</v>
      </c>
    </row>
    <row r="16" customFormat="false" ht="15" hidden="false" customHeight="false" outlineLevel="0" collapsed="false">
      <c r="A16" s="0" t="s">
        <v>97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98</v>
      </c>
      <c r="C17" s="3" t="n">
        <v>6</v>
      </c>
      <c r="D17" s="3" t="n">
        <v>7</v>
      </c>
      <c r="E17" s="3" t="n">
        <v>7.4</v>
      </c>
      <c r="F17" s="3" t="n">
        <v>7.4</v>
      </c>
      <c r="G17" s="3" t="n">
        <v>7.2</v>
      </c>
      <c r="H17" s="3" t="n">
        <v>7</v>
      </c>
      <c r="I17" s="3" t="n">
        <v>6.8</v>
      </c>
      <c r="J17" s="3" t="n">
        <v>6.6</v>
      </c>
      <c r="K17" s="3" t="n">
        <v>6.5</v>
      </c>
      <c r="L17" s="3" t="n">
        <v>6.5</v>
      </c>
    </row>
    <row r="18" customFormat="false" ht="15" hidden="false" customHeight="false" outlineLevel="0" collapsed="false">
      <c r="A18" s="0" t="s">
        <v>99</v>
      </c>
      <c r="C18" s="3" t="n">
        <v>15.5</v>
      </c>
      <c r="D18" s="3" t="n">
        <v>8</v>
      </c>
      <c r="E18" s="3" t="n">
        <v>6</v>
      </c>
      <c r="F18" s="3" t="n">
        <v>5.5</v>
      </c>
      <c r="G18" s="3" t="n">
        <v>5.5</v>
      </c>
      <c r="H18" s="3" t="n">
        <v>6</v>
      </c>
      <c r="I18" s="3" t="n">
        <v>6</v>
      </c>
      <c r="J18" s="3" t="n">
        <v>6</v>
      </c>
      <c r="K18" s="3" t="n">
        <v>6</v>
      </c>
      <c r="L18" s="3" t="n">
        <v>6</v>
      </c>
    </row>
    <row r="19" customFormat="false" ht="15" hidden="false" customHeight="false" outlineLevel="0" collapsed="false">
      <c r="A19" s="0" t="s">
        <v>100</v>
      </c>
      <c r="C19" s="3" t="n">
        <v>15</v>
      </c>
      <c r="D19" s="3" t="n">
        <v>15</v>
      </c>
      <c r="E19" s="3" t="n">
        <v>18</v>
      </c>
      <c r="F19" s="3" t="n">
        <v>22</v>
      </c>
      <c r="G19" s="3" t="n">
        <v>25</v>
      </c>
      <c r="H19" s="3" t="n">
        <v>26</v>
      </c>
      <c r="I19" s="3" t="n">
        <v>26</v>
      </c>
      <c r="J19" s="3" t="n">
        <v>26</v>
      </c>
      <c r="K19" s="3" t="n">
        <v>26</v>
      </c>
      <c r="L19" s="3" t="n">
        <v>26</v>
      </c>
    </row>
    <row r="20" customFormat="false" ht="15" hidden="false" customHeight="false" outlineLevel="0" collapsed="false">
      <c r="A20" s="0" t="s">
        <v>101</v>
      </c>
      <c r="B20" s="3" t="n">
        <v>9</v>
      </c>
    </row>
    <row r="21" customFormat="false" ht="15" hidden="false" customHeight="false" outlineLevel="0" collapsed="false">
      <c r="A21" s="0" t="s">
        <v>102</v>
      </c>
      <c r="B21" s="3" t="n">
        <v>1.5</v>
      </c>
    </row>
    <row r="22" customFormat="false" ht="15" hidden="false" customHeight="false" outlineLevel="0" collapsed="false">
      <c r="A22" s="0" t="s">
        <v>103</v>
      </c>
      <c r="B22" s="3" t="n">
        <v>12</v>
      </c>
    </row>
    <row r="23" customFormat="false" ht="15" hidden="false" customHeight="false" outlineLevel="0" collapsed="false">
      <c r="A23" s="0" t="s">
        <v>104</v>
      </c>
      <c r="B23" s="3" t="n">
        <v>-15</v>
      </c>
    </row>
    <row r="24" customFormat="false" ht="15" hidden="false" customHeight="false" outlineLevel="0" collapsed="false">
      <c r="A24" s="0" t="s">
        <v>105</v>
      </c>
      <c r="B24" s="3" t="n">
        <v>0.3</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33</v>
      </c>
      <c r="D27" s="3" t="n">
        <v>18</v>
      </c>
      <c r="E27" s="3" t="n">
        <v>12</v>
      </c>
      <c r="F27" s="3" t="n">
        <v>9</v>
      </c>
      <c r="G27" s="3" t="n">
        <v>7</v>
      </c>
      <c r="H27" s="3" t="n">
        <v>5</v>
      </c>
      <c r="I27" s="3" t="n">
        <v>4</v>
      </c>
      <c r="J27" s="3" t="n">
        <v>3</v>
      </c>
      <c r="K27" s="3" t="n">
        <v>2.5</v>
      </c>
      <c r="L27" s="3" t="n">
        <v>2</v>
      </c>
    </row>
    <row r="28" customFormat="false" ht="15" hidden="false" customHeight="false" outlineLevel="0" collapsed="false">
      <c r="A28" s="0" t="s">
        <v>95</v>
      </c>
      <c r="C28" s="3" t="n">
        <v>11.8</v>
      </c>
      <c r="D28" s="3" t="n">
        <v>12.3</v>
      </c>
      <c r="E28" s="3" t="n">
        <v>12.6</v>
      </c>
      <c r="F28" s="3" t="n">
        <v>12.8</v>
      </c>
      <c r="G28" s="3" t="n">
        <v>13</v>
      </c>
      <c r="H28" s="3" t="n">
        <v>13</v>
      </c>
      <c r="I28" s="3" t="n">
        <v>13</v>
      </c>
      <c r="J28" s="3" t="n">
        <v>13</v>
      </c>
      <c r="K28" s="3" t="n">
        <v>13</v>
      </c>
      <c r="L28" s="3" t="n">
        <v>13</v>
      </c>
    </row>
    <row r="29" customFormat="false" ht="15" hidden="false" customHeight="false" outlineLevel="0" collapsed="false">
      <c r="A29" s="0" t="s">
        <v>96</v>
      </c>
      <c r="C29" s="3" t="n">
        <v>0.45</v>
      </c>
      <c r="D29" s="3" t="n">
        <v>0.43</v>
      </c>
      <c r="E29" s="3" t="n">
        <v>0.41</v>
      </c>
      <c r="F29" s="3" t="n">
        <v>0.4</v>
      </c>
      <c r="G29" s="3" t="n">
        <v>0.38</v>
      </c>
      <c r="H29" s="3" t="n">
        <v>0.37</v>
      </c>
      <c r="I29" s="3" t="n">
        <v>0.36</v>
      </c>
      <c r="J29" s="3" t="n">
        <v>0.35</v>
      </c>
      <c r="K29" s="3" t="n">
        <v>0.35</v>
      </c>
      <c r="L29" s="3" t="n">
        <v>0.35</v>
      </c>
    </row>
    <row r="30" customFormat="false" ht="15" hidden="false" customHeight="false" outlineLevel="0" collapsed="false">
      <c r="A30" s="0" t="s">
        <v>97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98</v>
      </c>
      <c r="C31" s="3" t="n">
        <v>5.6</v>
      </c>
      <c r="D31" s="3" t="n">
        <v>6</v>
      </c>
      <c r="E31" s="3" t="n">
        <v>6.3</v>
      </c>
      <c r="F31" s="3" t="n">
        <v>6.5</v>
      </c>
      <c r="G31" s="3" t="n">
        <v>6.6</v>
      </c>
      <c r="H31" s="3" t="n">
        <v>6.6</v>
      </c>
      <c r="I31" s="3" t="n">
        <v>6.6</v>
      </c>
      <c r="J31" s="3" t="n">
        <v>6.6</v>
      </c>
      <c r="K31" s="3" t="n">
        <v>6.6</v>
      </c>
      <c r="L31" s="3" t="n">
        <v>6.6</v>
      </c>
    </row>
    <row r="32" customFormat="false" ht="15" hidden="false" customHeight="false" outlineLevel="0" collapsed="false">
      <c r="A32" s="0" t="s">
        <v>99</v>
      </c>
      <c r="C32" s="3" t="n">
        <v>15.5</v>
      </c>
      <c r="D32" s="3" t="n">
        <v>12</v>
      </c>
      <c r="E32" s="3" t="n">
        <v>10</v>
      </c>
      <c r="F32" s="3" t="n">
        <v>8.5</v>
      </c>
      <c r="G32" s="3" t="n">
        <v>7.5</v>
      </c>
      <c r="H32" s="3" t="n">
        <v>7</v>
      </c>
      <c r="I32" s="3" t="n">
        <v>7</v>
      </c>
      <c r="J32" s="3" t="n">
        <v>7</v>
      </c>
      <c r="K32" s="3" t="n">
        <v>7</v>
      </c>
      <c r="L32" s="3" t="n">
        <v>7</v>
      </c>
    </row>
    <row r="33" customFormat="false" ht="15" hidden="false" customHeight="false" outlineLevel="0" collapsed="false">
      <c r="A33" s="0" t="s">
        <v>100</v>
      </c>
      <c r="C33" s="3" t="n">
        <v>17</v>
      </c>
      <c r="D33" s="3" t="n">
        <v>19</v>
      </c>
      <c r="E33" s="3" t="n">
        <v>21</v>
      </c>
      <c r="F33" s="3" t="n">
        <v>23</v>
      </c>
      <c r="G33" s="3" t="n">
        <v>25</v>
      </c>
      <c r="H33" s="3" t="n">
        <v>26</v>
      </c>
      <c r="I33" s="3" t="n">
        <v>26</v>
      </c>
      <c r="J33" s="3" t="n">
        <v>26</v>
      </c>
      <c r="K33" s="3" t="n">
        <v>26</v>
      </c>
      <c r="L33" s="3" t="n">
        <v>26</v>
      </c>
    </row>
    <row r="34" customFormat="false" ht="15" hidden="false" customHeight="false" outlineLevel="0" collapsed="false">
      <c r="A34" s="0" t="s">
        <v>101</v>
      </c>
      <c r="B34" s="3" t="n">
        <v>9</v>
      </c>
    </row>
    <row r="35" customFormat="false" ht="15" hidden="false" customHeight="false" outlineLevel="0" collapsed="false">
      <c r="A35" s="0" t="s">
        <v>102</v>
      </c>
      <c r="B35" s="3" t="n">
        <v>2</v>
      </c>
    </row>
    <row r="36" customFormat="false" ht="15" hidden="false" customHeight="false" outlineLevel="0" collapsed="false">
      <c r="A36" s="0" t="s">
        <v>103</v>
      </c>
      <c r="B36" s="3" t="n">
        <v>12</v>
      </c>
    </row>
    <row r="37" customFormat="false" ht="15" hidden="false" customHeight="false" outlineLevel="0" collapsed="false">
      <c r="A37" s="0" t="s">
        <v>104</v>
      </c>
      <c r="B37" s="3" t="n">
        <v>-10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38</v>
      </c>
      <c r="D41" s="3" t="n">
        <v>25</v>
      </c>
      <c r="E41" s="3" t="n">
        <v>16</v>
      </c>
      <c r="F41" s="3" t="n">
        <v>12</v>
      </c>
      <c r="G41" s="3" t="n">
        <v>9</v>
      </c>
      <c r="H41" s="3" t="n">
        <v>7</v>
      </c>
      <c r="I41" s="3" t="n">
        <v>5</v>
      </c>
      <c r="J41" s="3" t="n">
        <v>4</v>
      </c>
      <c r="K41" s="3" t="n">
        <v>3</v>
      </c>
      <c r="L41" s="3" t="n">
        <v>2.5</v>
      </c>
    </row>
    <row r="42" customFormat="false" ht="15" hidden="false" customHeight="false" outlineLevel="0" collapsed="false">
      <c r="A42" s="0" t="s">
        <v>95</v>
      </c>
      <c r="C42" s="3" t="n">
        <v>12.2</v>
      </c>
      <c r="D42" s="3" t="n">
        <v>13.2</v>
      </c>
      <c r="E42" s="3" t="n">
        <v>14</v>
      </c>
      <c r="F42" s="3" t="n">
        <v>14.6</v>
      </c>
      <c r="G42" s="3" t="n">
        <v>15</v>
      </c>
      <c r="H42" s="3" t="n">
        <v>15</v>
      </c>
      <c r="I42" s="3" t="n">
        <v>15</v>
      </c>
      <c r="J42" s="3" t="n">
        <v>15</v>
      </c>
      <c r="K42" s="3" t="n">
        <v>15</v>
      </c>
      <c r="L42" s="3" t="n">
        <v>15</v>
      </c>
    </row>
    <row r="43" customFormat="false" ht="15" hidden="false" customHeight="false" outlineLevel="0" collapsed="false">
      <c r="A43" s="0" t="s">
        <v>96</v>
      </c>
      <c r="C43" s="3" t="n">
        <v>0.45</v>
      </c>
      <c r="D43" s="3" t="n">
        <v>0.43</v>
      </c>
      <c r="E43" s="3" t="n">
        <v>0.41</v>
      </c>
      <c r="F43" s="3" t="n">
        <v>0.4</v>
      </c>
      <c r="G43" s="3" t="n">
        <v>0.38</v>
      </c>
      <c r="H43" s="3" t="n">
        <v>0.37</v>
      </c>
      <c r="I43" s="3" t="n">
        <v>0.36</v>
      </c>
      <c r="J43" s="3" t="n">
        <v>0.35</v>
      </c>
      <c r="K43" s="3" t="n">
        <v>0.35</v>
      </c>
      <c r="L43" s="3" t="n">
        <v>0.35</v>
      </c>
    </row>
    <row r="44" customFormat="false" ht="15" hidden="false" customHeight="false" outlineLevel="0" collapsed="false">
      <c r="A44" s="0" t="s">
        <v>97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98</v>
      </c>
      <c r="C45" s="3" t="n">
        <v>5.4</v>
      </c>
      <c r="D45" s="3" t="n">
        <v>5.7</v>
      </c>
      <c r="E45" s="3" t="n">
        <v>5.9</v>
      </c>
      <c r="F45" s="3" t="n">
        <v>6</v>
      </c>
      <c r="G45" s="3" t="n">
        <v>6</v>
      </c>
      <c r="H45" s="3" t="n">
        <v>6</v>
      </c>
      <c r="I45" s="3" t="n">
        <v>6</v>
      </c>
      <c r="J45" s="3" t="n">
        <v>6</v>
      </c>
      <c r="K45" s="3" t="n">
        <v>6</v>
      </c>
      <c r="L45" s="3" t="n">
        <v>6</v>
      </c>
    </row>
    <row r="46" customFormat="false" ht="15" hidden="false" customHeight="false" outlineLevel="0" collapsed="false">
      <c r="A46" s="0" t="s">
        <v>99</v>
      </c>
      <c r="C46" s="3" t="n">
        <v>15</v>
      </c>
      <c r="D46" s="3" t="n">
        <v>13</v>
      </c>
      <c r="E46" s="3" t="n">
        <v>11</v>
      </c>
      <c r="F46" s="3" t="n">
        <v>9.5</v>
      </c>
      <c r="G46" s="3" t="n">
        <v>8.5</v>
      </c>
      <c r="H46" s="3" t="n">
        <v>7.5</v>
      </c>
      <c r="I46" s="3" t="n">
        <v>7</v>
      </c>
      <c r="J46" s="3" t="n">
        <v>6.8</v>
      </c>
      <c r="K46" s="3" t="n">
        <v>6.6</v>
      </c>
      <c r="L46" s="3" t="n">
        <v>6.5</v>
      </c>
    </row>
    <row r="47" customFormat="false" ht="15" hidden="false" customHeight="false" outlineLevel="0" collapsed="false">
      <c r="A47" s="0" t="s">
        <v>100</v>
      </c>
      <c r="C47" s="3" t="n">
        <v>17</v>
      </c>
      <c r="D47" s="3" t="n">
        <v>19</v>
      </c>
      <c r="E47" s="3" t="n">
        <v>21</v>
      </c>
      <c r="F47" s="3" t="n">
        <v>23</v>
      </c>
      <c r="G47" s="3" t="n">
        <v>25</v>
      </c>
      <c r="H47" s="3" t="n">
        <v>26</v>
      </c>
      <c r="I47" s="3" t="n">
        <v>26</v>
      </c>
      <c r="J47" s="3" t="n">
        <v>26</v>
      </c>
      <c r="K47" s="3" t="n">
        <v>26</v>
      </c>
      <c r="L47" s="3" t="n">
        <v>26</v>
      </c>
    </row>
    <row r="48" customFormat="false" ht="15" hidden="false" customHeight="false" outlineLevel="0" collapsed="false">
      <c r="A48" s="0" t="s">
        <v>101</v>
      </c>
      <c r="B48" s="3" t="n">
        <v>9</v>
      </c>
    </row>
    <row r="49" customFormat="false" ht="15" hidden="false" customHeight="false" outlineLevel="0" collapsed="false">
      <c r="A49" s="0" t="s">
        <v>102</v>
      </c>
      <c r="B49" s="3" t="n">
        <v>2.5</v>
      </c>
    </row>
    <row r="50" customFormat="false" ht="15" hidden="false" customHeight="false" outlineLevel="0" collapsed="false">
      <c r="A50" s="0" t="s">
        <v>103</v>
      </c>
      <c r="B50" s="3" t="n">
        <v>12</v>
      </c>
    </row>
    <row r="51" customFormat="false" ht="15" hidden="false" customHeight="false" outlineLevel="0" collapsed="false">
      <c r="A51" s="0" t="s">
        <v>104</v>
      </c>
      <c r="B51" s="3" t="n">
        <v>-8</v>
      </c>
    </row>
    <row r="52" customFormat="false" ht="15" hidden="false" customHeight="false" outlineLevel="0" collapsed="false">
      <c r="A52" s="0" t="s">
        <v>105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25</v>
      </c>
      <c r="D5" s="4" t="n">
        <f aca="false">Assumptions!D13</f>
        <v>0</v>
      </c>
      <c r="E5" s="4" t="n">
        <f aca="false">Assumptions!E13</f>
        <v>-3</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24333.984</v>
      </c>
      <c r="C6" s="0" t="n">
        <f aca="false">B6*(1+C5/100)</f>
        <v>30417.48</v>
      </c>
      <c r="D6" s="0" t="n">
        <f aca="false">C6*(1+D5/100)</f>
        <v>30417.48</v>
      </c>
      <c r="E6" s="0" t="n">
        <f aca="false">D6*(1+E5/100)</f>
        <v>29504.9556</v>
      </c>
      <c r="F6" s="0" t="n">
        <f aca="false">E6*(1+F5/100)</f>
        <v>30095.054712</v>
      </c>
      <c r="G6" s="0" t="n">
        <f aca="false">F6*(1+G5/100)</f>
        <v>30696.95580624</v>
      </c>
      <c r="H6" s="0" t="n">
        <f aca="false">G6*(1+H5/100)</f>
        <v>31310.8949223648</v>
      </c>
      <c r="I6" s="0" t="n">
        <f aca="false">H6*(1+I5/100)</f>
        <v>31937.1128208121</v>
      </c>
      <c r="J6" s="0" t="n">
        <f aca="false">I6*(1+J5/100)</f>
        <v>32575.8550772283</v>
      </c>
      <c r="K6" s="0" t="n">
        <f aca="false">J6*(1+K5/100)</f>
        <v>33227.3721787729</v>
      </c>
      <c r="L6" s="0" t="n">
        <f aca="false">K6*(1+L5/100)</f>
        <v>33891.9196223484</v>
      </c>
    </row>
    <row r="7" customFormat="false" ht="15" hidden="false" customHeight="false" outlineLevel="0" collapsed="false">
      <c r="A7" s="0" t="s">
        <v>95</v>
      </c>
      <c r="C7" s="4" t="n">
        <f aca="false">Assumptions!C14</f>
        <v>11</v>
      </c>
      <c r="D7" s="4" t="n">
        <f aca="false">Assumptions!D14</f>
        <v>9</v>
      </c>
      <c r="E7" s="4" t="n">
        <f aca="false">Assumptions!E14</f>
        <v>8</v>
      </c>
      <c r="F7" s="4" t="n">
        <f aca="false">Assumptions!F14</f>
        <v>8</v>
      </c>
      <c r="G7" s="4" t="n">
        <f aca="false">Assumptions!G14</f>
        <v>8.5</v>
      </c>
      <c r="H7" s="4" t="n">
        <f aca="false">Assumptions!H14</f>
        <v>8.5</v>
      </c>
      <c r="I7" s="4" t="n">
        <f aca="false">Assumptions!I14</f>
        <v>8.5</v>
      </c>
      <c r="J7" s="4" t="n">
        <f aca="false">Assumptions!J14</f>
        <v>8.5</v>
      </c>
      <c r="K7" s="4" t="n">
        <f aca="false">Assumptions!K14</f>
        <v>8.5</v>
      </c>
      <c r="L7" s="4" t="n">
        <f aca="false">Assumptions!L14</f>
        <v>8.5</v>
      </c>
    </row>
    <row r="8" customFormat="false" ht="15" hidden="false" customHeight="false" outlineLevel="0" collapsed="false">
      <c r="A8" s="0" t="s">
        <v>44</v>
      </c>
      <c r="C8" s="0" t="n">
        <f aca="false">C6*C7/100</f>
        <v>3345.9228</v>
      </c>
      <c r="D8" s="0" t="n">
        <f aca="false">D6*D7/100</f>
        <v>2737.5732</v>
      </c>
      <c r="E8" s="0" t="n">
        <f aca="false">E6*E7/100</f>
        <v>2360.396448</v>
      </c>
      <c r="F8" s="0" t="n">
        <f aca="false">F6*F7/100</f>
        <v>2407.60437696</v>
      </c>
      <c r="G8" s="0" t="n">
        <f aca="false">G6*G7/100</f>
        <v>2609.2412435304</v>
      </c>
      <c r="H8" s="0" t="n">
        <f aca="false">H6*H7/100</f>
        <v>2661.42606840101</v>
      </c>
      <c r="I8" s="0" t="n">
        <f aca="false">I6*I7/100</f>
        <v>2714.65458976903</v>
      </c>
      <c r="J8" s="0" t="n">
        <f aca="false">J6*J7/100</f>
        <v>2768.94768156441</v>
      </c>
      <c r="K8" s="0" t="n">
        <f aca="false">K6*K7/100</f>
        <v>2824.3266351957</v>
      </c>
      <c r="L8" s="0" t="n">
        <f aca="false">L6*L7/100</f>
        <v>2880.81316789961</v>
      </c>
    </row>
    <row r="9" customFormat="false" ht="15" hidden="false" customHeight="false" outlineLevel="0" collapsed="false">
      <c r="A9" s="0" t="s">
        <v>96</v>
      </c>
      <c r="C9" s="4" t="n">
        <f aca="false">Assumptions!C15</f>
        <v>0.45</v>
      </c>
      <c r="D9" s="4" t="n">
        <f aca="false">Assumptions!D15</f>
        <v>0.45</v>
      </c>
      <c r="E9" s="4" t="n">
        <f aca="false">Assumptions!E15</f>
        <v>0.45</v>
      </c>
      <c r="F9" s="4" t="n">
        <f aca="false">Assumptions!F15</f>
        <v>0.45</v>
      </c>
      <c r="G9" s="4" t="n">
        <f aca="false">Assumptions!G15</f>
        <v>0.45</v>
      </c>
      <c r="H9" s="4" t="n">
        <f aca="false">Assumptions!H15</f>
        <v>0.45</v>
      </c>
      <c r="I9" s="4" t="n">
        <f aca="false">Assumptions!I15</f>
        <v>0.45</v>
      </c>
      <c r="J9" s="4" t="n">
        <f aca="false">Assumptions!J15</f>
        <v>0.45</v>
      </c>
      <c r="K9" s="4" t="n">
        <f aca="false">Assumptions!K15</f>
        <v>0.45</v>
      </c>
      <c r="L9" s="4" t="n">
        <f aca="false">Assumptions!L15</f>
        <v>0.45</v>
      </c>
    </row>
    <row r="10" customFormat="false" ht="15" hidden="false" customHeight="false" outlineLevel="0" collapsed="false">
      <c r="A10" s="0" t="s">
        <v>111</v>
      </c>
      <c r="C10" s="0" t="n">
        <f aca="false">-C6*C9/100</f>
        <v>-136.87866</v>
      </c>
      <c r="D10" s="0" t="n">
        <f aca="false">-D6*D9/100</f>
        <v>-136.87866</v>
      </c>
      <c r="E10" s="0" t="n">
        <f aca="false">-E6*E9/100</f>
        <v>-132.7723002</v>
      </c>
      <c r="F10" s="0" t="n">
        <f aca="false">-F6*F9/100</f>
        <v>-135.427746204</v>
      </c>
      <c r="G10" s="0" t="n">
        <f aca="false">-G6*G9/100</f>
        <v>-138.13630112808</v>
      </c>
      <c r="H10" s="0" t="n">
        <f aca="false">-H6*H9/100</f>
        <v>-140.899027150642</v>
      </c>
      <c r="I10" s="0" t="n">
        <f aca="false">-I6*I9/100</f>
        <v>-143.717007693654</v>
      </c>
      <c r="J10" s="0" t="n">
        <f aca="false">-J6*J9/100</f>
        <v>-146.591347847528</v>
      </c>
      <c r="K10" s="0" t="n">
        <f aca="false">-K6*K9/100</f>
        <v>-149.523174804478</v>
      </c>
      <c r="L10" s="0" t="n">
        <f aca="false">-L6*L9/100</f>
        <v>-152.513638300568</v>
      </c>
    </row>
    <row r="11" customFormat="false" ht="15" hidden="false" customHeight="false" outlineLevel="0" collapsed="false">
      <c r="A11" s="0" t="s">
        <v>112</v>
      </c>
      <c r="C11" s="0" t="n">
        <f aca="false">C8+C10+C24</f>
        <v>3209.04414</v>
      </c>
      <c r="D11" s="0" t="n">
        <f aca="false">D8+D10+D24</f>
        <v>2600.69454</v>
      </c>
      <c r="E11" s="0" t="n">
        <f aca="false">E8+E10+E24</f>
        <v>2227.6241478</v>
      </c>
      <c r="F11" s="0" t="n">
        <f aca="false">F8+F10+F24</f>
        <v>2272.176630756</v>
      </c>
      <c r="G11" s="0" t="n">
        <f aca="false">G8+G10+G24</f>
        <v>2471.10494240232</v>
      </c>
      <c r="H11" s="0" t="n">
        <f aca="false">H8+H10+H24</f>
        <v>2520.52704125037</v>
      </c>
      <c r="I11" s="0" t="n">
        <f aca="false">I8+I10+I24</f>
        <v>2570.93758207537</v>
      </c>
      <c r="J11" s="0" t="n">
        <f aca="false">J8+J10+J24</f>
        <v>2622.35633371688</v>
      </c>
      <c r="K11" s="0" t="n">
        <f aca="false">K8+K10+K24</f>
        <v>2674.80346039122</v>
      </c>
      <c r="L11" s="0" t="n">
        <f aca="false">L8+L10+L24</f>
        <v>2728.29952959904</v>
      </c>
    </row>
    <row r="12" customFormat="false" ht="15" hidden="false" customHeight="false" outlineLevel="0" collapsed="false">
      <c r="A12" s="0" t="s">
        <v>113</v>
      </c>
      <c r="C12" s="4" t="n">
        <f aca="false">-C6*Assumptions!C17/100</f>
        <v>-1825.0488</v>
      </c>
      <c r="D12" s="4" t="n">
        <f aca="false">-D6*Assumptions!D17/100</f>
        <v>-2129.2236</v>
      </c>
      <c r="E12" s="4" t="n">
        <f aca="false">-E6*Assumptions!E17/100</f>
        <v>-2183.3667144</v>
      </c>
      <c r="F12" s="4" t="n">
        <f aca="false">-F6*Assumptions!F17/100</f>
        <v>-2227.034048688</v>
      </c>
      <c r="G12" s="4" t="n">
        <f aca="false">-G6*Assumptions!G17/100</f>
        <v>-2210.18081804928</v>
      </c>
      <c r="H12" s="4" t="n">
        <f aca="false">-H6*Assumptions!H17/100</f>
        <v>-2191.76264456554</v>
      </c>
      <c r="I12" s="4" t="n">
        <f aca="false">-I6*Assumptions!I17/100</f>
        <v>-2171.72367181522</v>
      </c>
      <c r="J12" s="4" t="n">
        <f aca="false">-J6*Assumptions!J17/100</f>
        <v>-2150.00643509707</v>
      </c>
      <c r="K12" s="4" t="n">
        <f aca="false">-K6*Assumptions!K17/100</f>
        <v>-2159.77919162024</v>
      </c>
      <c r="L12" s="4" t="n">
        <f aca="false">-L6*Assumptions!L17/100</f>
        <v>-2202.97477545264</v>
      </c>
    </row>
    <row r="13" customFormat="false" ht="15" hidden="false" customHeight="false" outlineLevel="0" collapsed="false">
      <c r="A13" s="0" t="s">
        <v>114</v>
      </c>
      <c r="C13" s="0" t="n">
        <f aca="false">C11+C12</f>
        <v>1383.99534</v>
      </c>
      <c r="D13" s="0" t="n">
        <f aca="false">D11+D12</f>
        <v>471.470940000001</v>
      </c>
      <c r="E13" s="0" t="n">
        <f aca="false">E11+E12</f>
        <v>44.2574334000001</v>
      </c>
      <c r="F13" s="0" t="n">
        <f aca="false">F11+F12</f>
        <v>45.1425820679997</v>
      </c>
      <c r="G13" s="0" t="n">
        <f aca="false">G11+G12</f>
        <v>260.92412435304</v>
      </c>
      <c r="H13" s="0" t="n">
        <f aca="false">H11+H12</f>
        <v>328.76439668483</v>
      </c>
      <c r="I13" s="0" t="n">
        <f aca="false">I11+I12</f>
        <v>399.213910260151</v>
      </c>
      <c r="J13" s="0" t="n">
        <f aca="false">J11+J12</f>
        <v>472.349898619811</v>
      </c>
      <c r="K13" s="0" t="n">
        <f aca="false">K11+K12</f>
        <v>515.02426877098</v>
      </c>
      <c r="L13" s="0" t="n">
        <f aca="false">L11+L12</f>
        <v>525.3247541464</v>
      </c>
    </row>
    <row r="14" customFormat="false" ht="15" hidden="false" customHeight="false" outlineLevel="0" collapsed="false">
      <c r="A14" s="0" t="s">
        <v>100</v>
      </c>
      <c r="C14" s="4" t="n">
        <f aca="false">Assumptions!C19</f>
        <v>15</v>
      </c>
      <c r="D14" s="4" t="n">
        <f aca="false">Assumptions!D19</f>
        <v>15</v>
      </c>
      <c r="E14" s="4" t="n">
        <f aca="false">Assumptions!E19</f>
        <v>18</v>
      </c>
      <c r="F14" s="4" t="n">
        <f aca="false">Assumptions!F19</f>
        <v>22</v>
      </c>
      <c r="G14" s="4" t="n">
        <f aca="false">Assumptions!G19</f>
        <v>25</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115</v>
      </c>
      <c r="C15" s="0" t="n">
        <f aca="false">C13-MAX(0,C13)*C14/100</f>
        <v>1176.396039</v>
      </c>
      <c r="D15" s="0" t="n">
        <f aca="false">D13-MAX(0,D13)*D14/100</f>
        <v>400.750299000001</v>
      </c>
      <c r="E15" s="0" t="n">
        <f aca="false">E13-MAX(0,E13)*E14/100</f>
        <v>36.2910953880001</v>
      </c>
      <c r="F15" s="0" t="n">
        <f aca="false">F13-MAX(0,F13)*F14/100</f>
        <v>35.2112140130398</v>
      </c>
      <c r="G15" s="0" t="n">
        <f aca="false">G13-MAX(0,G13)*G14/100</f>
        <v>195.69309326478</v>
      </c>
      <c r="H15" s="0" t="n">
        <f aca="false">H13-MAX(0,H13)*H14/100</f>
        <v>243.285653546775</v>
      </c>
      <c r="I15" s="0" t="n">
        <f aca="false">I13-MAX(0,I13)*I14/100</f>
        <v>295.418293592512</v>
      </c>
      <c r="J15" s="0" t="n">
        <f aca="false">J13-MAX(0,J13)*J14/100</f>
        <v>349.53892497866</v>
      </c>
      <c r="K15" s="0" t="n">
        <f aca="false">K13-MAX(0,K13)*K14/100</f>
        <v>381.117958890525</v>
      </c>
      <c r="L15" s="0" t="n">
        <f aca="false">L13-MAX(0,L13)*L14/100</f>
        <v>388.740318068336</v>
      </c>
    </row>
    <row r="16" customFormat="false" ht="15" hidden="false" customHeight="false" outlineLevel="0" collapsed="false">
      <c r="A16" s="0" t="s">
        <v>116</v>
      </c>
      <c r="C16" s="0" t="n">
        <f aca="false">-C12</f>
        <v>1825.0488</v>
      </c>
      <c r="D16" s="0" t="n">
        <f aca="false">-D12</f>
        <v>2129.2236</v>
      </c>
      <c r="E16" s="0" t="n">
        <f aca="false">-E12</f>
        <v>2183.3667144</v>
      </c>
      <c r="F16" s="0" t="n">
        <f aca="false">-F12</f>
        <v>2227.034048688</v>
      </c>
      <c r="G16" s="0" t="n">
        <f aca="false">-G12</f>
        <v>2210.18081804928</v>
      </c>
      <c r="H16" s="0" t="n">
        <f aca="false">-H12</f>
        <v>2191.76264456554</v>
      </c>
      <c r="I16" s="0" t="n">
        <f aca="false">-I12</f>
        <v>2171.72367181522</v>
      </c>
      <c r="J16" s="0" t="n">
        <f aca="false">-J12</f>
        <v>2150.00643509707</v>
      </c>
      <c r="K16" s="0" t="n">
        <f aca="false">-K12</f>
        <v>2159.77919162024</v>
      </c>
      <c r="L16" s="0" t="n">
        <f aca="false">-L12</f>
        <v>2202.97477545264</v>
      </c>
    </row>
    <row r="17" customFormat="false" ht="15" hidden="false" customHeight="false" outlineLevel="0" collapsed="false">
      <c r="A17" s="0" t="s">
        <v>117</v>
      </c>
      <c r="C17" s="4" t="n">
        <f aca="false">-C6*Assumptions!C18/100</f>
        <v>-4714.7094</v>
      </c>
      <c r="D17" s="4" t="n">
        <f aca="false">-D6*Assumptions!D18/100</f>
        <v>-2433.3984</v>
      </c>
      <c r="E17" s="4" t="n">
        <f aca="false">-E6*Assumptions!E18/100</f>
        <v>-1770.297336</v>
      </c>
      <c r="F17" s="4" t="n">
        <f aca="false">-F6*Assumptions!F18/100</f>
        <v>-1655.22800916</v>
      </c>
      <c r="G17" s="4" t="n">
        <f aca="false">-G6*Assumptions!G18/100</f>
        <v>-1688.3325693432</v>
      </c>
      <c r="H17" s="4" t="n">
        <f aca="false">-H6*Assumptions!H18/100</f>
        <v>-1878.65369534189</v>
      </c>
      <c r="I17" s="4" t="n">
        <f aca="false">-I6*Assumptions!I18/100</f>
        <v>-1916.22676924873</v>
      </c>
      <c r="J17" s="4" t="n">
        <f aca="false">-J6*Assumptions!J18/100</f>
        <v>-1954.5513046337</v>
      </c>
      <c r="K17" s="4" t="n">
        <f aca="false">-K6*Assumptions!K18/100</f>
        <v>-1993.64233072637</v>
      </c>
      <c r="L17" s="4" t="n">
        <f aca="false">-L6*Assumptions!L18/100</f>
        <v>-2033.5151773409</v>
      </c>
    </row>
    <row r="18" customFormat="false" ht="15" hidden="false" customHeight="false" outlineLevel="0" collapsed="false">
      <c r="A18" s="0" t="s">
        <v>118</v>
      </c>
      <c r="C18" s="4" t="n">
        <f aca="false">(C6-B6)*Assumptions!$B$23/100</f>
        <v>-912.5244</v>
      </c>
      <c r="D18" s="4" t="n">
        <f aca="false">(D6-C6)*Assumptions!$B$23/100</f>
        <v>-0</v>
      </c>
      <c r="E18" s="4" t="n">
        <f aca="false">(E6-D6)*Assumptions!$B$23/100</f>
        <v>136.87866</v>
      </c>
      <c r="F18" s="4" t="n">
        <f aca="false">(F6-E6)*Assumptions!$B$23/100</f>
        <v>-88.5148668</v>
      </c>
      <c r="G18" s="4" t="n">
        <f aca="false">(G6-F6)*Assumptions!$B$23/100</f>
        <v>-90.2851641360003</v>
      </c>
      <c r="H18" s="4" t="n">
        <f aca="false">(H6-G6)*Assumptions!$B$23/100</f>
        <v>-92.0908674187203</v>
      </c>
      <c r="I18" s="4" t="n">
        <f aca="false">(I6-H6)*Assumptions!$B$23/100</f>
        <v>-93.9326847670944</v>
      </c>
      <c r="J18" s="4" t="n">
        <f aca="false">(J6-I6)*Assumptions!$B$23/100</f>
        <v>-95.8113384624361</v>
      </c>
      <c r="K18" s="4" t="n">
        <f aca="false">(K6-J6)*Assumptions!$B$23/100</f>
        <v>-97.7275652316856</v>
      </c>
      <c r="L18" s="4" t="n">
        <f aca="false">(L6-K6)*Assumptions!$B$23/100</f>
        <v>-99.6821165363188</v>
      </c>
    </row>
    <row r="19" customFormat="false" ht="15" hidden="false" customHeight="false" outlineLevel="0" collapsed="false">
      <c r="A19" s="0" t="s">
        <v>119</v>
      </c>
      <c r="C19" s="0" t="n">
        <f aca="false">C15+C16+C17+C18</f>
        <v>-2625.788961</v>
      </c>
      <c r="D19" s="0" t="n">
        <f aca="false">D15+D16+D17+D18</f>
        <v>96.5754990000005</v>
      </c>
      <c r="E19" s="0" t="n">
        <f aca="false">E15+E16+E17+E18</f>
        <v>586.239133788001</v>
      </c>
      <c r="F19" s="0" t="n">
        <f aca="false">F15+F16+F17+F18</f>
        <v>518.50238674104</v>
      </c>
      <c r="G19" s="0" t="n">
        <f aca="false">G15+G16+G17+G18</f>
        <v>627.25617783486</v>
      </c>
      <c r="H19" s="0" t="n">
        <f aca="false">H15+H16+H17+H18</f>
        <v>464.303735351702</v>
      </c>
      <c r="I19" s="0" t="n">
        <f aca="false">I15+I16+I17+I18</f>
        <v>456.982511391914</v>
      </c>
      <c r="J19" s="0" t="n">
        <f aca="false">J15+J16+J17+J18</f>
        <v>449.182716979594</v>
      </c>
      <c r="K19" s="0" t="n">
        <f aca="false">K15+K16+K17+K18</f>
        <v>449.527254552704</v>
      </c>
      <c r="L19" s="0" t="n">
        <f aca="false">L15+L16+L17+L18</f>
        <v>458.517799643759</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-2408.98069816514</v>
      </c>
      <c r="D21" s="0" t="n">
        <f aca="false">D19*D20</f>
        <v>81.2856653480351</v>
      </c>
      <c r="E21" s="0" t="n">
        <f aca="false">E19*E20</f>
        <v>452.684174476402</v>
      </c>
      <c r="F21" s="0" t="n">
        <f aca="false">F19*F20</f>
        <v>367.320162764829</v>
      </c>
      <c r="G21" s="0" t="n">
        <f aca="false">G19*G20</f>
        <v>407.673477224412</v>
      </c>
      <c r="H21" s="0" t="n">
        <f aca="false">H19*H20</f>
        <v>276.849147138194</v>
      </c>
      <c r="I21" s="0" t="n">
        <f aca="false">I19*I20</f>
        <v>249.985083025878</v>
      </c>
      <c r="J21" s="0" t="n">
        <f aca="false">J19*J20</f>
        <v>225.429659063855</v>
      </c>
      <c r="K21" s="0" t="n">
        <f aca="false">K19*K20</f>
        <v>206.97483564576</v>
      </c>
      <c r="L21" s="0" t="n">
        <f aca="false">L19*L20</f>
        <v>193.682873723556</v>
      </c>
    </row>
    <row r="23" customFormat="false" ht="15" hidden="false" customHeight="false" outlineLevel="0" collapsed="false">
      <c r="A23" s="0" t="s">
        <v>97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Assumptions!$B$20</f>
        <v>9</v>
      </c>
    </row>
    <row r="28" customFormat="false" ht="15" hidden="false" customHeight="false" outlineLevel="0" collapsed="false">
      <c r="A28" s="0" t="s">
        <v>102</v>
      </c>
      <c r="B28" s="4" t="n">
        <f aca="false">Assumptions!$B$21</f>
        <v>1.5</v>
      </c>
    </row>
    <row r="29" customFormat="false" ht="15" hidden="false" customHeight="false" outlineLevel="0" collapsed="false">
      <c r="A29" s="0" t="s">
        <v>103</v>
      </c>
      <c r="B29" s="4" t="n">
        <f aca="false">Assumptions!$B$22</f>
        <v>12</v>
      </c>
    </row>
    <row r="30" customFormat="false" ht="15" hidden="false" customHeight="false" outlineLevel="0" collapsed="false">
      <c r="A30" s="0" t="s">
        <v>124</v>
      </c>
      <c r="B30" s="0" t="n">
        <f aca="false">SUM(C21:L21)</f>
        <v>52.9043802457846</v>
      </c>
    </row>
    <row r="31" customFormat="false" ht="15" hidden="false" customHeight="false" outlineLevel="0" collapsed="false">
      <c r="A31" s="0" t="s">
        <v>125</v>
      </c>
      <c r="B31" s="0" t="n">
        <f aca="false">L19</f>
        <v>458.517799643759</v>
      </c>
    </row>
    <row r="32" customFormat="false" ht="15" hidden="false" customHeight="false" outlineLevel="0" collapsed="false">
      <c r="A32" s="0" t="s">
        <v>126</v>
      </c>
      <c r="B32" s="0" t="n">
        <f aca="false">IF(B27&gt;B28,B31*(1+B28/100)/((B27-B28)/100),B31*B29)</f>
        <v>6205.27422184554</v>
      </c>
    </row>
    <row r="33" customFormat="false" ht="15" hidden="false" customHeight="false" outlineLevel="0" collapsed="false">
      <c r="A33" s="0" t="s">
        <v>127</v>
      </c>
      <c r="B33" s="0" t="n">
        <f aca="false">B31*B29</f>
        <v>5502.21359572511</v>
      </c>
    </row>
    <row r="34" customFormat="false" ht="15" hidden="false" customHeight="false" outlineLevel="0" collapsed="false">
      <c r="A34" s="0" t="s">
        <v>128</v>
      </c>
      <c r="B34" s="0" t="n">
        <f aca="false">MAX(0,MIN(B32,B33))</f>
        <v>5502.21359572511</v>
      </c>
    </row>
    <row r="35" customFormat="false" ht="15" hidden="false" customHeight="false" outlineLevel="0" collapsed="false">
      <c r="A35" s="0" t="s">
        <v>129</v>
      </c>
      <c r="B35" s="0" t="n">
        <f aca="false">B34/(1+B27/100)^L4</f>
        <v>2324.19448468267</v>
      </c>
    </row>
    <row r="36" customFormat="false" ht="15" hidden="false" customHeight="false" outlineLevel="0" collapsed="false">
      <c r="A36" s="0" t="s">
        <v>130</v>
      </c>
      <c r="B36" s="0" t="n">
        <f aca="false">B30+B35</f>
        <v>2377.09886492846</v>
      </c>
    </row>
    <row r="37" customFormat="false" ht="15" hidden="false" customHeight="false" outlineLevel="0" collapsed="false">
      <c r="A37" s="0" t="s">
        <v>131</v>
      </c>
      <c r="B37" s="0" t="n">
        <f aca="false">B36+Assumptions!$B$5-Assumptions!$B$4</f>
        <v>-2155.00113507154</v>
      </c>
    </row>
    <row r="38" customFormat="false" ht="15" hidden="false" customHeight="false" outlineLevel="0" collapsed="false">
      <c r="A38" s="0" t="s">
        <v>132</v>
      </c>
      <c r="B38" s="0" t="n">
        <f aca="false">B37/Assumptions!$B$3*Assumptions!$B$10</f>
        <v>-1.08087848571098</v>
      </c>
    </row>
    <row r="39" customFormat="false" ht="15" hidden="false" customHeight="false" outlineLevel="0" collapsed="false">
      <c r="A39" s="0" t="s">
        <v>133</v>
      </c>
      <c r="B39" s="4" t="n">
        <f aca="false">B38/Assumptions!$B$2-1</f>
        <v>-1.12561051548065</v>
      </c>
    </row>
    <row r="41" customFormat="false" ht="15" hidden="false" customHeight="false" outlineLevel="0" collapsed="false">
      <c r="A41" s="0" t="s">
        <v>134</v>
      </c>
      <c r="B41" s="0" t="n">
        <f aca="false">SUMPRODUCT(-C10:L10/(1+$B$27/100)^C4:L4)</f>
        <v>898.497803932697</v>
      </c>
    </row>
    <row r="42" customFormat="false" ht="15" hidden="false" customHeight="false" outlineLevel="0" collapsed="false">
      <c r="A42" s="0" t="s">
        <v>135</v>
      </c>
      <c r="B42" s="0" t="n">
        <f aca="false">IF(B27&gt;B28,-L10*(1+B28/100)/((B27-B28)/100),-L10*20)/(1+B27/100)^L4</f>
        <v>871.863468698628</v>
      </c>
    </row>
    <row r="43" customFormat="false" ht="15" hidden="false" customHeight="false" outlineLevel="0" collapsed="false">
      <c r="A43" s="0" t="s">
        <v>136</v>
      </c>
      <c r="B43" s="0" t="n">
        <f aca="false">(B37+B41+B42)/Assumptions!$B$3*Assumptions!$B$10</f>
        <v>-0.192922845975513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3447.37456769197</v>
      </c>
    </row>
    <row r="47" customFormat="false" ht="15" hidden="false" customHeight="false" outlineLevel="0" collapsed="false">
      <c r="A47" s="0" t="s">
        <v>138</v>
      </c>
      <c r="B47" s="0" t="n">
        <f aca="false">(SUMPRODUCT(C19:L19/(1+B45/100)^C4:L4)+B46/(1+B45/100)^L4+Assumptions!$B$5-Assumptions!$B$4)/Assumptions!$B$3*Assumptions!$B$10</f>
        <v>-2.07446718837018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33</v>
      </c>
      <c r="D5" s="4" t="n">
        <f aca="false">Assumptions!D27</f>
        <v>18</v>
      </c>
      <c r="E5" s="4" t="n">
        <f aca="false">Assumptions!E27</f>
        <v>12</v>
      </c>
      <c r="F5" s="4" t="n">
        <f aca="false">Assumptions!F27</f>
        <v>9</v>
      </c>
      <c r="G5" s="4" t="n">
        <f aca="false">Assumptions!G27</f>
        <v>7</v>
      </c>
      <c r="H5" s="4" t="n">
        <f aca="false">Assumptions!H27</f>
        <v>5</v>
      </c>
      <c r="I5" s="4" t="n">
        <f aca="false">Assumptions!I27</f>
        <v>4</v>
      </c>
      <c r="J5" s="4" t="n">
        <f aca="false">Assumptions!J27</f>
        <v>3</v>
      </c>
      <c r="K5" s="4" t="n">
        <f aca="false">Assumptions!K27</f>
        <v>2.5</v>
      </c>
      <c r="L5" s="4" t="n">
        <f aca="false">Assumptions!L27</f>
        <v>2</v>
      </c>
    </row>
    <row r="6" customFormat="false" ht="15" hidden="false" customHeight="false" outlineLevel="0" collapsed="false">
      <c r="A6" s="0" t="s">
        <v>38</v>
      </c>
      <c r="B6" s="3" t="n">
        <v>24333.984</v>
      </c>
      <c r="C6" s="0" t="n">
        <f aca="false">B6*(1+C5/100)</f>
        <v>32364.19872</v>
      </c>
      <c r="D6" s="0" t="n">
        <f aca="false">C6*(1+D5/100)</f>
        <v>38189.7544896</v>
      </c>
      <c r="E6" s="0" t="n">
        <f aca="false">D6*(1+E5/100)</f>
        <v>42772.525028352</v>
      </c>
      <c r="F6" s="0" t="n">
        <f aca="false">E6*(1+F5/100)</f>
        <v>46622.0522809037</v>
      </c>
      <c r="G6" s="0" t="n">
        <f aca="false">F6*(1+G5/100)</f>
        <v>49885.595940567</v>
      </c>
      <c r="H6" s="0" t="n">
        <f aca="false">G6*(1+H5/100)</f>
        <v>52379.8757375953</v>
      </c>
      <c r="I6" s="0" t="n">
        <f aca="false">H6*(1+I5/100)</f>
        <v>54475.0707670991</v>
      </c>
      <c r="J6" s="0" t="n">
        <f aca="false">I6*(1+J5/100)</f>
        <v>56109.3228901121</v>
      </c>
      <c r="K6" s="0" t="n">
        <f aca="false">J6*(1+K5/100)</f>
        <v>57512.0559623649</v>
      </c>
      <c r="L6" s="0" t="n">
        <f aca="false">K6*(1+L5/100)</f>
        <v>58662.2970816122</v>
      </c>
    </row>
    <row r="7" customFormat="false" ht="15" hidden="false" customHeight="false" outlineLevel="0" collapsed="false">
      <c r="A7" s="0" t="s">
        <v>95</v>
      </c>
      <c r="C7" s="4" t="n">
        <f aca="false">Assumptions!C28</f>
        <v>11.8</v>
      </c>
      <c r="D7" s="4" t="n">
        <f aca="false">Assumptions!D28</f>
        <v>12.3</v>
      </c>
      <c r="E7" s="4" t="n">
        <f aca="false">Assumptions!E28</f>
        <v>12.6</v>
      </c>
      <c r="F7" s="4" t="n">
        <f aca="false">Assumptions!F28</f>
        <v>12.8</v>
      </c>
      <c r="G7" s="4" t="n">
        <f aca="false">Assumptions!G28</f>
        <v>13</v>
      </c>
      <c r="H7" s="4" t="n">
        <f aca="false">Assumptions!H28</f>
        <v>13</v>
      </c>
      <c r="I7" s="4" t="n">
        <f aca="false">Assumptions!I28</f>
        <v>13</v>
      </c>
      <c r="J7" s="4" t="n">
        <f aca="false">Assumptions!J28</f>
        <v>13</v>
      </c>
      <c r="K7" s="4" t="n">
        <f aca="false">Assumptions!K28</f>
        <v>13</v>
      </c>
      <c r="L7" s="4" t="n">
        <f aca="false">Assumptions!L28</f>
        <v>13</v>
      </c>
    </row>
    <row r="8" customFormat="false" ht="15" hidden="false" customHeight="false" outlineLevel="0" collapsed="false">
      <c r="A8" s="0" t="s">
        <v>44</v>
      </c>
      <c r="C8" s="0" t="n">
        <f aca="false">C6*C7/100</f>
        <v>3818.97544896</v>
      </c>
      <c r="D8" s="0" t="n">
        <f aca="false">D6*D7/100</f>
        <v>4697.3398022208</v>
      </c>
      <c r="E8" s="0" t="n">
        <f aca="false">E6*E7/100</f>
        <v>5389.33815357235</v>
      </c>
      <c r="F8" s="0" t="n">
        <f aca="false">F6*F7/100</f>
        <v>5967.62269195567</v>
      </c>
      <c r="G8" s="0" t="n">
        <f aca="false">G6*G7/100</f>
        <v>6485.1274722737</v>
      </c>
      <c r="H8" s="0" t="n">
        <f aca="false">H6*H7/100</f>
        <v>6809.38384588739</v>
      </c>
      <c r="I8" s="0" t="n">
        <f aca="false">I6*I7/100</f>
        <v>7081.75919972289</v>
      </c>
      <c r="J8" s="0" t="n">
        <f aca="false">J6*J7/100</f>
        <v>7294.21197571457</v>
      </c>
      <c r="K8" s="0" t="n">
        <f aca="false">K6*K7/100</f>
        <v>7476.56727510744</v>
      </c>
      <c r="L8" s="0" t="n">
        <f aca="false">L6*L7/100</f>
        <v>7626.09862060958</v>
      </c>
    </row>
    <row r="9" customFormat="false" ht="15" hidden="false" customHeight="false" outlineLevel="0" collapsed="false">
      <c r="A9" s="0" t="s">
        <v>96</v>
      </c>
      <c r="C9" s="4" t="n">
        <f aca="false">Assumptions!C29</f>
        <v>0.45</v>
      </c>
      <c r="D9" s="4" t="n">
        <f aca="false">Assumptions!D29</f>
        <v>0.43</v>
      </c>
      <c r="E9" s="4" t="n">
        <f aca="false">Assumptions!E29</f>
        <v>0.41</v>
      </c>
      <c r="F9" s="4" t="n">
        <f aca="false">Assumptions!F29</f>
        <v>0.4</v>
      </c>
      <c r="G9" s="4" t="n">
        <f aca="false">Assumptions!G29</f>
        <v>0.38</v>
      </c>
      <c r="H9" s="4" t="n">
        <f aca="false">Assumptions!H29</f>
        <v>0.37</v>
      </c>
      <c r="I9" s="4" t="n">
        <f aca="false">Assumptions!I29</f>
        <v>0.36</v>
      </c>
      <c r="J9" s="4" t="n">
        <f aca="false">Assumptions!J29</f>
        <v>0.35</v>
      </c>
      <c r="K9" s="4" t="n">
        <f aca="false">Assumptions!K29</f>
        <v>0.35</v>
      </c>
      <c r="L9" s="4" t="n">
        <f aca="false">Assumptions!L29</f>
        <v>0.35</v>
      </c>
    </row>
    <row r="10" customFormat="false" ht="15" hidden="false" customHeight="false" outlineLevel="0" collapsed="false">
      <c r="A10" s="0" t="s">
        <v>111</v>
      </c>
      <c r="C10" s="0" t="n">
        <f aca="false">-C6*C9/100</f>
        <v>-145.63889424</v>
      </c>
      <c r="D10" s="0" t="n">
        <f aca="false">-D6*D9/100</f>
        <v>-164.21594430528</v>
      </c>
      <c r="E10" s="0" t="n">
        <f aca="false">-E6*E9/100</f>
        <v>-175.367352616243</v>
      </c>
      <c r="F10" s="0" t="n">
        <f aca="false">-F6*F9/100</f>
        <v>-186.488209123615</v>
      </c>
      <c r="G10" s="0" t="n">
        <f aca="false">-G6*G9/100</f>
        <v>-189.565264574154</v>
      </c>
      <c r="H10" s="0" t="n">
        <f aca="false">-H6*H9/100</f>
        <v>-193.805540229103</v>
      </c>
      <c r="I10" s="0" t="n">
        <f aca="false">-I6*I9/100</f>
        <v>-196.110254761557</v>
      </c>
      <c r="J10" s="0" t="n">
        <f aca="false">-J6*J9/100</f>
        <v>-196.382630115392</v>
      </c>
      <c r="K10" s="0" t="n">
        <f aca="false">-K6*K9/100</f>
        <v>-201.292195868277</v>
      </c>
      <c r="L10" s="0" t="n">
        <f aca="false">-L6*L9/100</f>
        <v>-205.318039785643</v>
      </c>
    </row>
    <row r="11" customFormat="false" ht="15" hidden="false" customHeight="false" outlineLevel="0" collapsed="false">
      <c r="A11" s="0" t="s">
        <v>112</v>
      </c>
      <c r="C11" s="0" t="n">
        <f aca="false">C8+C10+C24</f>
        <v>3673.33655472</v>
      </c>
      <c r="D11" s="0" t="n">
        <f aca="false">D8+D10+D24</f>
        <v>4533.12385791552</v>
      </c>
      <c r="E11" s="0" t="n">
        <f aca="false">E8+E10+E24</f>
        <v>5213.97080095611</v>
      </c>
      <c r="F11" s="0" t="n">
        <f aca="false">F8+F10+F24</f>
        <v>5781.13448283206</v>
      </c>
      <c r="G11" s="0" t="n">
        <f aca="false">G8+G10+G24</f>
        <v>6295.56220769955</v>
      </c>
      <c r="H11" s="0" t="n">
        <f aca="false">H8+H10+H24</f>
        <v>6615.57830565829</v>
      </c>
      <c r="I11" s="0" t="n">
        <f aca="false">I8+I10+I24</f>
        <v>6885.64894496133</v>
      </c>
      <c r="J11" s="0" t="n">
        <f aca="false">J8+J10+J24</f>
        <v>7097.82934559918</v>
      </c>
      <c r="K11" s="0" t="n">
        <f aca="false">K8+K10+K24</f>
        <v>7275.27507923916</v>
      </c>
      <c r="L11" s="0" t="n">
        <f aca="false">L8+L10+L24</f>
        <v>7420.78058082394</v>
      </c>
    </row>
    <row r="12" customFormat="false" ht="15" hidden="false" customHeight="false" outlineLevel="0" collapsed="false">
      <c r="A12" s="0" t="s">
        <v>113</v>
      </c>
      <c r="C12" s="4" t="n">
        <f aca="false">-C6*Assumptions!C31/100</f>
        <v>-1812.39512832</v>
      </c>
      <c r="D12" s="4" t="n">
        <f aca="false">-D6*Assumptions!D31/100</f>
        <v>-2291.385269376</v>
      </c>
      <c r="E12" s="4" t="n">
        <f aca="false">-E6*Assumptions!E31/100</f>
        <v>-2694.66907678618</v>
      </c>
      <c r="F12" s="4" t="n">
        <f aca="false">-F6*Assumptions!F31/100</f>
        <v>-3030.43339825874</v>
      </c>
      <c r="G12" s="4" t="n">
        <f aca="false">-G6*Assumptions!G31/100</f>
        <v>-3292.44933207742</v>
      </c>
      <c r="H12" s="4" t="n">
        <f aca="false">-H6*Assumptions!H31/100</f>
        <v>-3457.07179868129</v>
      </c>
      <c r="I12" s="4" t="n">
        <f aca="false">-I6*Assumptions!I31/100</f>
        <v>-3595.35467062854</v>
      </c>
      <c r="J12" s="4" t="n">
        <f aca="false">-J6*Assumptions!J31/100</f>
        <v>-3703.2153107474</v>
      </c>
      <c r="K12" s="4" t="n">
        <f aca="false">-K6*Assumptions!K31/100</f>
        <v>-3795.79569351608</v>
      </c>
      <c r="L12" s="4" t="n">
        <f aca="false">-L6*Assumptions!L31/100</f>
        <v>-3871.7116073864</v>
      </c>
    </row>
    <row r="13" customFormat="false" ht="15" hidden="false" customHeight="false" outlineLevel="0" collapsed="false">
      <c r="A13" s="0" t="s">
        <v>114</v>
      </c>
      <c r="C13" s="0" t="n">
        <f aca="false">C11+C12</f>
        <v>1860.9414264</v>
      </c>
      <c r="D13" s="0" t="n">
        <f aca="false">D11+D12</f>
        <v>2241.73858853952</v>
      </c>
      <c r="E13" s="0" t="n">
        <f aca="false">E11+E12</f>
        <v>2519.30172416993</v>
      </c>
      <c r="F13" s="0" t="n">
        <f aca="false">F11+F12</f>
        <v>2750.70108457332</v>
      </c>
      <c r="G13" s="0" t="n">
        <f aca="false">G11+G12</f>
        <v>3003.11287562213</v>
      </c>
      <c r="H13" s="0" t="n">
        <f aca="false">H11+H12</f>
        <v>3158.506506977</v>
      </c>
      <c r="I13" s="0" t="n">
        <f aca="false">I11+I12</f>
        <v>3290.29427433279</v>
      </c>
      <c r="J13" s="0" t="n">
        <f aca="false">J11+J12</f>
        <v>3394.61403485178</v>
      </c>
      <c r="K13" s="0" t="n">
        <f aca="false">K11+K12</f>
        <v>3479.47938572308</v>
      </c>
      <c r="L13" s="0" t="n">
        <f aca="false">L11+L12</f>
        <v>3549.06897343754</v>
      </c>
    </row>
    <row r="14" customFormat="false" ht="15" hidden="false" customHeight="false" outlineLevel="0" collapsed="false">
      <c r="A14" s="0" t="s">
        <v>100</v>
      </c>
      <c r="C14" s="4" t="n">
        <f aca="false">Assumptions!C33</f>
        <v>17</v>
      </c>
      <c r="D14" s="4" t="n">
        <f aca="false">Assumptions!D33</f>
        <v>19</v>
      </c>
      <c r="E14" s="4" t="n">
        <f aca="false">Assumptions!E33</f>
        <v>21</v>
      </c>
      <c r="F14" s="4" t="n">
        <f aca="false">Assumptions!F33</f>
        <v>23</v>
      </c>
      <c r="G14" s="4" t="n">
        <f aca="false">Assumptions!G33</f>
        <v>25</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115</v>
      </c>
      <c r="C15" s="0" t="n">
        <f aca="false">C13-MAX(0,C13)*C14/100</f>
        <v>1544.581383912</v>
      </c>
      <c r="D15" s="0" t="n">
        <f aca="false">D13-MAX(0,D13)*D14/100</f>
        <v>1815.80825671701</v>
      </c>
      <c r="E15" s="0" t="n">
        <f aca="false">E13-MAX(0,E13)*E14/100</f>
        <v>1990.24836209425</v>
      </c>
      <c r="F15" s="0" t="n">
        <f aca="false">F13-MAX(0,F13)*F14/100</f>
        <v>2118.03983512145</v>
      </c>
      <c r="G15" s="0" t="n">
        <f aca="false">G13-MAX(0,G13)*G14/100</f>
        <v>2252.3346567166</v>
      </c>
      <c r="H15" s="0" t="n">
        <f aca="false">H13-MAX(0,H13)*H14/100</f>
        <v>2337.29481516298</v>
      </c>
      <c r="I15" s="0" t="n">
        <f aca="false">I13-MAX(0,I13)*I14/100</f>
        <v>2434.81776300626</v>
      </c>
      <c r="J15" s="0" t="n">
        <f aca="false">J13-MAX(0,J13)*J14/100</f>
        <v>2512.01438579032</v>
      </c>
      <c r="K15" s="0" t="n">
        <f aca="false">K13-MAX(0,K13)*K14/100</f>
        <v>2574.81474543508</v>
      </c>
      <c r="L15" s="0" t="n">
        <f aca="false">L13-MAX(0,L13)*L14/100</f>
        <v>2626.31104034378</v>
      </c>
    </row>
    <row r="16" customFormat="false" ht="15" hidden="false" customHeight="false" outlineLevel="0" collapsed="false">
      <c r="A16" s="0" t="s">
        <v>116</v>
      </c>
      <c r="C16" s="0" t="n">
        <f aca="false">-C12</f>
        <v>1812.39512832</v>
      </c>
      <c r="D16" s="0" t="n">
        <f aca="false">-D12</f>
        <v>2291.385269376</v>
      </c>
      <c r="E16" s="0" t="n">
        <f aca="false">-E12</f>
        <v>2694.66907678618</v>
      </c>
      <c r="F16" s="0" t="n">
        <f aca="false">-F12</f>
        <v>3030.43339825874</v>
      </c>
      <c r="G16" s="0" t="n">
        <f aca="false">-G12</f>
        <v>3292.44933207742</v>
      </c>
      <c r="H16" s="0" t="n">
        <f aca="false">-H12</f>
        <v>3457.07179868129</v>
      </c>
      <c r="I16" s="0" t="n">
        <f aca="false">-I12</f>
        <v>3595.35467062854</v>
      </c>
      <c r="J16" s="0" t="n">
        <f aca="false">-J12</f>
        <v>3703.2153107474</v>
      </c>
      <c r="K16" s="0" t="n">
        <f aca="false">-K12</f>
        <v>3795.79569351608</v>
      </c>
      <c r="L16" s="0" t="n">
        <f aca="false">-L12</f>
        <v>3871.7116073864</v>
      </c>
    </row>
    <row r="17" customFormat="false" ht="15" hidden="false" customHeight="false" outlineLevel="0" collapsed="false">
      <c r="A17" s="0" t="s">
        <v>117</v>
      </c>
      <c r="C17" s="4" t="n">
        <f aca="false">-C6*Assumptions!C32/100</f>
        <v>-5016.4508016</v>
      </c>
      <c r="D17" s="4" t="n">
        <f aca="false">-D6*Assumptions!D32/100</f>
        <v>-4582.770538752</v>
      </c>
      <c r="E17" s="4" t="n">
        <f aca="false">-E6*Assumptions!E32/100</f>
        <v>-4277.2525028352</v>
      </c>
      <c r="F17" s="4" t="n">
        <f aca="false">-F6*Assumptions!F32/100</f>
        <v>-3962.87444387681</v>
      </c>
      <c r="G17" s="4" t="n">
        <f aca="false">-G6*Assumptions!G32/100</f>
        <v>-3741.41969554252</v>
      </c>
      <c r="H17" s="4" t="n">
        <f aca="false">-H6*Assumptions!H32/100</f>
        <v>-3666.59130163167</v>
      </c>
      <c r="I17" s="4" t="n">
        <f aca="false">-I6*Assumptions!I32/100</f>
        <v>-3813.25495369694</v>
      </c>
      <c r="J17" s="4" t="n">
        <f aca="false">-J6*Assumptions!J32/100</f>
        <v>-3927.65260230785</v>
      </c>
      <c r="K17" s="4" t="n">
        <f aca="false">-K6*Assumptions!K32/100</f>
        <v>-4025.84391736554</v>
      </c>
      <c r="L17" s="4" t="n">
        <f aca="false">-L6*Assumptions!L32/100</f>
        <v>-4106.36079571285</v>
      </c>
    </row>
    <row r="18" customFormat="false" ht="15" hidden="false" customHeight="false" outlineLevel="0" collapsed="false">
      <c r="A18" s="0" t="s">
        <v>118</v>
      </c>
      <c r="C18" s="4" t="n">
        <f aca="false">(C6-B6)*Assumptions!$B$37/100</f>
        <v>-803.021472</v>
      </c>
      <c r="D18" s="4" t="n">
        <f aca="false">(D6-C6)*Assumptions!$B$37/100</f>
        <v>-582.55557696</v>
      </c>
      <c r="E18" s="4" t="n">
        <f aca="false">(E6-D6)*Assumptions!$B$37/100</f>
        <v>-458.2770538752</v>
      </c>
      <c r="F18" s="4" t="n">
        <f aca="false">(F6-E6)*Assumptions!$B$37/100</f>
        <v>-384.952725255169</v>
      </c>
      <c r="G18" s="4" t="n">
        <f aca="false">(G6-F6)*Assumptions!$B$37/100</f>
        <v>-326.354365966326</v>
      </c>
      <c r="H18" s="4" t="n">
        <f aca="false">(H6-G6)*Assumptions!$B$37/100</f>
        <v>-249.427979702835</v>
      </c>
      <c r="I18" s="4" t="n">
        <f aca="false">(I6-H6)*Assumptions!$B$37/100</f>
        <v>-209.519502950381</v>
      </c>
      <c r="J18" s="4" t="n">
        <f aca="false">(J6-I6)*Assumptions!$B$37/100</f>
        <v>-163.425212301297</v>
      </c>
      <c r="K18" s="4" t="n">
        <f aca="false">(K6-J6)*Assumptions!$B$37/100</f>
        <v>-140.27330722528</v>
      </c>
      <c r="L18" s="4" t="n">
        <f aca="false">(L6-K6)*Assumptions!$B$37/100</f>
        <v>-115.02411192473</v>
      </c>
    </row>
    <row r="19" customFormat="false" ht="15" hidden="false" customHeight="false" outlineLevel="0" collapsed="false">
      <c r="A19" s="0" t="s">
        <v>119</v>
      </c>
      <c r="C19" s="0" t="n">
        <f aca="false">C15+C16+C17+C18</f>
        <v>-2462.495761368</v>
      </c>
      <c r="D19" s="0" t="n">
        <f aca="false">D15+D16+D17+D18</f>
        <v>-1058.13258961899</v>
      </c>
      <c r="E19" s="0" t="n">
        <f aca="false">E15+E16+E17+E18</f>
        <v>-50.6121178299774</v>
      </c>
      <c r="F19" s="0" t="n">
        <f aca="false">F15+F16+F17+F18</f>
        <v>800.646064248213</v>
      </c>
      <c r="G19" s="0" t="n">
        <f aca="false">G15+G16+G17+G18</f>
        <v>1477.00992728517</v>
      </c>
      <c r="H19" s="0" t="n">
        <f aca="false">H15+H16+H17+H18</f>
        <v>1878.34733250976</v>
      </c>
      <c r="I19" s="0" t="n">
        <f aca="false">I15+I16+I17+I18</f>
        <v>2007.39797698748</v>
      </c>
      <c r="J19" s="0" t="n">
        <f aca="false">J15+J16+J17+J18</f>
        <v>2124.15188192857</v>
      </c>
      <c r="K19" s="0" t="n">
        <f aca="false">K15+K16+K17+K18</f>
        <v>2204.49321436034</v>
      </c>
      <c r="L19" s="0" t="n">
        <f aca="false">L15+L16+L17+L18</f>
        <v>2276.6377400926</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-2259.1704232734</v>
      </c>
      <c r="D21" s="0" t="n">
        <f aca="false">D19*D20</f>
        <v>-890.609030905637</v>
      </c>
      <c r="E21" s="0" t="n">
        <f aca="false">E19*E20</f>
        <v>-39.0818412792126</v>
      </c>
      <c r="F21" s="0" t="n">
        <f aca="false">F19*F20</f>
        <v>567.197857053559</v>
      </c>
      <c r="G21" s="0" t="n">
        <f aca="false">G19*G20</f>
        <v>959.955109616867</v>
      </c>
      <c r="H21" s="0" t="n">
        <f aca="false">H19*H20</f>
        <v>1119.9971429063</v>
      </c>
      <c r="I21" s="0" t="n">
        <f aca="false">I19*I20</f>
        <v>1098.11543644135</v>
      </c>
      <c r="J21" s="0" t="n">
        <f aca="false">J19*J20</f>
        <v>1066.0402024434</v>
      </c>
      <c r="K21" s="0" t="n">
        <f aca="false">K19*K20</f>
        <v>1015.00991564668</v>
      </c>
      <c r="L21" s="0" t="n">
        <f aca="false">L19*L20</f>
        <v>961.676384801692</v>
      </c>
    </row>
    <row r="23" customFormat="false" ht="15" hidden="false" customHeight="false" outlineLevel="0" collapsed="false">
      <c r="A23" s="0" t="s">
        <v>97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Assumptions!$B$34</f>
        <v>9</v>
      </c>
    </row>
    <row r="28" customFormat="false" ht="15" hidden="false" customHeight="false" outlineLevel="0" collapsed="false">
      <c r="A28" s="0" t="s">
        <v>102</v>
      </c>
      <c r="B28" s="4" t="n">
        <f aca="false">Assumptions!$B$35</f>
        <v>2</v>
      </c>
    </row>
    <row r="29" customFormat="false" ht="15" hidden="false" customHeight="false" outlineLevel="0" collapsed="false">
      <c r="A29" s="0" t="s">
        <v>103</v>
      </c>
      <c r="B29" s="4" t="n">
        <f aca="false">Assumptions!$B$36</f>
        <v>12</v>
      </c>
    </row>
    <row r="30" customFormat="false" ht="15" hidden="false" customHeight="false" outlineLevel="0" collapsed="false">
      <c r="A30" s="0" t="s">
        <v>124</v>
      </c>
      <c r="B30" s="0" t="n">
        <f aca="false">SUM(C21:L21)</f>
        <v>3599.13075345161</v>
      </c>
    </row>
    <row r="31" customFormat="false" ht="15" hidden="false" customHeight="false" outlineLevel="0" collapsed="false">
      <c r="A31" s="0" t="s">
        <v>125</v>
      </c>
      <c r="B31" s="0" t="n">
        <f aca="false">L19</f>
        <v>2276.6377400926</v>
      </c>
    </row>
    <row r="32" customFormat="false" ht="15" hidden="false" customHeight="false" outlineLevel="0" collapsed="false">
      <c r="A32" s="0" t="s">
        <v>126</v>
      </c>
      <c r="B32" s="0" t="n">
        <f aca="false">IF(B27&gt;B28,B31*(1+B28/100)/((B27-B28)/100),B31*B29)</f>
        <v>33173.8642127779</v>
      </c>
    </row>
    <row r="33" customFormat="false" ht="15" hidden="false" customHeight="false" outlineLevel="0" collapsed="false">
      <c r="A33" s="0" t="s">
        <v>127</v>
      </c>
      <c r="B33" s="0" t="n">
        <f aca="false">B31*B29</f>
        <v>27319.6528811112</v>
      </c>
    </row>
    <row r="34" customFormat="false" ht="15" hidden="false" customHeight="false" outlineLevel="0" collapsed="false">
      <c r="A34" s="0" t="s">
        <v>128</v>
      </c>
      <c r="B34" s="0" t="n">
        <f aca="false">MAX(0,MIN(B32,B33))</f>
        <v>27319.6528811112</v>
      </c>
    </row>
    <row r="35" customFormat="false" ht="15" hidden="false" customHeight="false" outlineLevel="0" collapsed="false">
      <c r="A35" s="0" t="s">
        <v>129</v>
      </c>
      <c r="B35" s="0" t="n">
        <f aca="false">B34/(1+B27/100)^L4</f>
        <v>11540.1166176203</v>
      </c>
    </row>
    <row r="36" customFormat="false" ht="15" hidden="false" customHeight="false" outlineLevel="0" collapsed="false">
      <c r="A36" s="0" t="s">
        <v>130</v>
      </c>
      <c r="B36" s="0" t="n">
        <f aca="false">B30+B35</f>
        <v>15139.2473710719</v>
      </c>
    </row>
    <row r="37" customFormat="false" ht="15" hidden="false" customHeight="false" outlineLevel="0" collapsed="false">
      <c r="A37" s="0" t="s">
        <v>131</v>
      </c>
      <c r="B37" s="0" t="n">
        <f aca="false">B36+Assumptions!$B$5-Assumptions!$B$4</f>
        <v>10607.1473710719</v>
      </c>
    </row>
    <row r="38" customFormat="false" ht="15" hidden="false" customHeight="false" outlineLevel="0" collapsed="false">
      <c r="A38" s="0" t="s">
        <v>132</v>
      </c>
      <c r="B38" s="0" t="n">
        <f aca="false">B37/Assumptions!$B$3*Assumptions!$B$10</f>
        <v>5.32020016211118</v>
      </c>
    </row>
    <row r="39" customFormat="false" ht="15" hidden="false" customHeight="false" outlineLevel="0" collapsed="false">
      <c r="A39" s="0" t="s">
        <v>133</v>
      </c>
      <c r="B39" s="4" t="n">
        <f aca="false">B38/Assumptions!$B$2-1</f>
        <v>-0.381731532584407</v>
      </c>
    </row>
    <row r="41" customFormat="false" ht="15" hidden="false" customHeight="false" outlineLevel="0" collapsed="false">
      <c r="A41" s="0" t="s">
        <v>134</v>
      </c>
      <c r="B41" s="0" t="n">
        <f aca="false">SUMPRODUCT(-C10:L10/(1+$B$27/100)^C4:L4)</f>
        <v>1163.36991020642</v>
      </c>
    </row>
    <row r="42" customFormat="false" ht="15" hidden="false" customHeight="false" outlineLevel="0" collapsed="false">
      <c r="A42" s="0" t="s">
        <v>135</v>
      </c>
      <c r="B42" s="0" t="n">
        <f aca="false">IF(B27&gt;B28,-L10*(1+B28/100)/((B27-B28)/100),-L10*20)/(1+B27/100)^L4</f>
        <v>1263.75900047452</v>
      </c>
    </row>
    <row r="43" customFormat="false" ht="15" hidden="false" customHeight="false" outlineLevel="0" collapsed="false">
      <c r="A43" s="0" t="s">
        <v>136</v>
      </c>
      <c r="B43" s="0" t="n">
        <f aca="false">(B37+B41+B42)/Assumptions!$B$3*Assumptions!$B$10</f>
        <v>6.53756909009323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17862.8499607265</v>
      </c>
    </row>
    <row r="47" customFormat="false" ht="15" hidden="false" customHeight="false" outlineLevel="0" collapsed="false">
      <c r="A47" s="0" t="s">
        <v>138</v>
      </c>
      <c r="B47" s="0" t="n">
        <f aca="false">(SUMPRODUCT(C19:L19/(1+B45/100)^C4:L4)+B46/(1+B45/100)^L4+Assumptions!$B$5-Assumptions!$B$4)/Assumptions!$B$3*Assumptions!$B$10</f>
        <v>0.778062227359311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38</v>
      </c>
      <c r="D5" s="4" t="n">
        <f aca="false">Assumptions!D41</f>
        <v>25</v>
      </c>
      <c r="E5" s="4" t="n">
        <f aca="false">Assumptions!E41</f>
        <v>16</v>
      </c>
      <c r="F5" s="4" t="n">
        <f aca="false">Assumptions!F41</f>
        <v>12</v>
      </c>
      <c r="G5" s="4" t="n">
        <f aca="false">Assumptions!G41</f>
        <v>9</v>
      </c>
      <c r="H5" s="4" t="n">
        <f aca="false">Assumptions!H41</f>
        <v>7</v>
      </c>
      <c r="I5" s="4" t="n">
        <f aca="false">Assumptions!I41</f>
        <v>5</v>
      </c>
      <c r="J5" s="4" t="n">
        <f aca="false">Assumptions!J41</f>
        <v>4</v>
      </c>
      <c r="K5" s="4" t="n">
        <f aca="false">Assumptions!K41</f>
        <v>3</v>
      </c>
      <c r="L5" s="4" t="n">
        <f aca="false">Assumptions!L41</f>
        <v>2.5</v>
      </c>
    </row>
    <row r="6" customFormat="false" ht="15" hidden="false" customHeight="false" outlineLevel="0" collapsed="false">
      <c r="A6" s="0" t="s">
        <v>38</v>
      </c>
      <c r="B6" s="3" t="n">
        <v>24333.984</v>
      </c>
      <c r="C6" s="0" t="n">
        <f aca="false">B6*(1+C5/100)</f>
        <v>33580.89792</v>
      </c>
      <c r="D6" s="0" t="n">
        <f aca="false">C6*(1+D5/100)</f>
        <v>41976.1224</v>
      </c>
      <c r="E6" s="0" t="n">
        <f aca="false">D6*(1+E5/100)</f>
        <v>48692.301984</v>
      </c>
      <c r="F6" s="0" t="n">
        <f aca="false">E6*(1+F5/100)</f>
        <v>54535.37822208</v>
      </c>
      <c r="G6" s="0" t="n">
        <f aca="false">F6*(1+G5/100)</f>
        <v>59443.5622620672</v>
      </c>
      <c r="H6" s="0" t="n">
        <f aca="false">G6*(1+H5/100)</f>
        <v>63604.6116204119</v>
      </c>
      <c r="I6" s="0" t="n">
        <f aca="false">H6*(1+I5/100)</f>
        <v>66784.8422014325</v>
      </c>
      <c r="J6" s="0" t="n">
        <f aca="false">I6*(1+J5/100)</f>
        <v>69456.2358894898</v>
      </c>
      <c r="K6" s="0" t="n">
        <f aca="false">J6*(1+K5/100)</f>
        <v>71539.9229661745</v>
      </c>
      <c r="L6" s="0" t="n">
        <f aca="false">K6*(1+L5/100)</f>
        <v>73328.4210403289</v>
      </c>
    </row>
    <row r="7" customFormat="false" ht="15" hidden="false" customHeight="false" outlineLevel="0" collapsed="false">
      <c r="A7" s="0" t="s">
        <v>95</v>
      </c>
      <c r="C7" s="4" t="n">
        <f aca="false">Assumptions!C42</f>
        <v>12.2</v>
      </c>
      <c r="D7" s="4" t="n">
        <f aca="false">Assumptions!D42</f>
        <v>13.2</v>
      </c>
      <c r="E7" s="4" t="n">
        <f aca="false">Assumptions!E42</f>
        <v>14</v>
      </c>
      <c r="F7" s="4" t="n">
        <f aca="false">Assumptions!F42</f>
        <v>14.6</v>
      </c>
      <c r="G7" s="4" t="n">
        <f aca="false">Assumptions!G42</f>
        <v>15</v>
      </c>
      <c r="H7" s="4" t="n">
        <f aca="false">Assumptions!H42</f>
        <v>15</v>
      </c>
      <c r="I7" s="4" t="n">
        <f aca="false">Assumptions!I42</f>
        <v>15</v>
      </c>
      <c r="J7" s="4" t="n">
        <f aca="false">Assumptions!J42</f>
        <v>15</v>
      </c>
      <c r="K7" s="4" t="n">
        <f aca="false">Assumptions!K42</f>
        <v>15</v>
      </c>
      <c r="L7" s="4" t="n">
        <f aca="false">Assumptions!L42</f>
        <v>15</v>
      </c>
    </row>
    <row r="8" customFormat="false" ht="15" hidden="false" customHeight="false" outlineLevel="0" collapsed="false">
      <c r="A8" s="0" t="s">
        <v>44</v>
      </c>
      <c r="C8" s="0" t="n">
        <f aca="false">C6*C7/100</f>
        <v>4096.86954624</v>
      </c>
      <c r="D8" s="0" t="n">
        <f aca="false">D6*D7/100</f>
        <v>5540.8481568</v>
      </c>
      <c r="E8" s="0" t="n">
        <f aca="false">E6*E7/100</f>
        <v>6816.92227776</v>
      </c>
      <c r="F8" s="0" t="n">
        <f aca="false">F6*F7/100</f>
        <v>7962.16522042368</v>
      </c>
      <c r="G8" s="0" t="n">
        <f aca="false">G6*G7/100</f>
        <v>8916.53433931008</v>
      </c>
      <c r="H8" s="0" t="n">
        <f aca="false">H6*H7/100</f>
        <v>9540.69174306179</v>
      </c>
      <c r="I8" s="0" t="n">
        <f aca="false">I6*I7/100</f>
        <v>10017.7263302149</v>
      </c>
      <c r="J8" s="0" t="n">
        <f aca="false">J6*J7/100</f>
        <v>10418.4353834235</v>
      </c>
      <c r="K8" s="0" t="n">
        <f aca="false">K6*K7/100</f>
        <v>10730.9884449262</v>
      </c>
      <c r="L8" s="0" t="n">
        <f aca="false">L6*L7/100</f>
        <v>10999.2631560493</v>
      </c>
    </row>
    <row r="9" customFormat="false" ht="15" hidden="false" customHeight="false" outlineLevel="0" collapsed="false">
      <c r="A9" s="0" t="s">
        <v>96</v>
      </c>
      <c r="C9" s="4" t="n">
        <f aca="false">Assumptions!C43</f>
        <v>0.45</v>
      </c>
      <c r="D9" s="4" t="n">
        <f aca="false">Assumptions!D43</f>
        <v>0.43</v>
      </c>
      <c r="E9" s="4" t="n">
        <f aca="false">Assumptions!E43</f>
        <v>0.41</v>
      </c>
      <c r="F9" s="4" t="n">
        <f aca="false">Assumptions!F43</f>
        <v>0.4</v>
      </c>
      <c r="G9" s="4" t="n">
        <f aca="false">Assumptions!G43</f>
        <v>0.38</v>
      </c>
      <c r="H9" s="4" t="n">
        <f aca="false">Assumptions!H43</f>
        <v>0.37</v>
      </c>
      <c r="I9" s="4" t="n">
        <f aca="false">Assumptions!I43</f>
        <v>0.36</v>
      </c>
      <c r="J9" s="4" t="n">
        <f aca="false">Assumptions!J43</f>
        <v>0.35</v>
      </c>
      <c r="K9" s="4" t="n">
        <f aca="false">Assumptions!K43</f>
        <v>0.35</v>
      </c>
      <c r="L9" s="4" t="n">
        <f aca="false">Assumptions!L43</f>
        <v>0.35</v>
      </c>
    </row>
    <row r="10" customFormat="false" ht="15" hidden="false" customHeight="false" outlineLevel="0" collapsed="false">
      <c r="A10" s="0" t="s">
        <v>111</v>
      </c>
      <c r="C10" s="0" t="n">
        <f aca="false">-C6*C9/100</f>
        <v>-151.11404064</v>
      </c>
      <c r="D10" s="0" t="n">
        <f aca="false">-D6*D9/100</f>
        <v>-180.49732632</v>
      </c>
      <c r="E10" s="0" t="n">
        <f aca="false">-E6*E9/100</f>
        <v>-199.6384381344</v>
      </c>
      <c r="F10" s="0" t="n">
        <f aca="false">-F6*F9/100</f>
        <v>-218.14151288832</v>
      </c>
      <c r="G10" s="0" t="n">
        <f aca="false">-G6*G9/100</f>
        <v>-225.885536595855</v>
      </c>
      <c r="H10" s="0" t="n">
        <f aca="false">-H6*H9/100</f>
        <v>-235.337062995524</v>
      </c>
      <c r="I10" s="0" t="n">
        <f aca="false">-I6*I9/100</f>
        <v>-240.425431925157</v>
      </c>
      <c r="J10" s="0" t="n">
        <f aca="false">-J6*J9/100</f>
        <v>-243.096825613214</v>
      </c>
      <c r="K10" s="0" t="n">
        <f aca="false">-K6*K9/100</f>
        <v>-250.389730381611</v>
      </c>
      <c r="L10" s="0" t="n">
        <f aca="false">-L6*L9/100</f>
        <v>-256.649473641151</v>
      </c>
    </row>
    <row r="11" customFormat="false" ht="15" hidden="false" customHeight="false" outlineLevel="0" collapsed="false">
      <c r="A11" s="0" t="s">
        <v>112</v>
      </c>
      <c r="C11" s="0" t="n">
        <f aca="false">C8+C10+C24</f>
        <v>3945.7555056</v>
      </c>
      <c r="D11" s="0" t="n">
        <f aca="false">D8+D10+D24</f>
        <v>5360.35083048</v>
      </c>
      <c r="E11" s="0" t="n">
        <f aca="false">E8+E10+E24</f>
        <v>6617.2838396256</v>
      </c>
      <c r="F11" s="0" t="n">
        <f aca="false">F8+F10+F24</f>
        <v>7744.02370753536</v>
      </c>
      <c r="G11" s="0" t="n">
        <f aca="false">G8+G10+G24</f>
        <v>8690.64880271422</v>
      </c>
      <c r="H11" s="0" t="n">
        <f aca="false">H8+H10+H24</f>
        <v>9305.35468006626</v>
      </c>
      <c r="I11" s="0" t="n">
        <f aca="false">I8+I10+I24</f>
        <v>9777.30089828972</v>
      </c>
      <c r="J11" s="0" t="n">
        <f aca="false">J8+J10+J24</f>
        <v>10175.3385578103</v>
      </c>
      <c r="K11" s="0" t="n">
        <f aca="false">K8+K10+K24</f>
        <v>10480.5987145446</v>
      </c>
      <c r="L11" s="0" t="n">
        <f aca="false">L8+L10+L24</f>
        <v>10742.6136824082</v>
      </c>
    </row>
    <row r="12" customFormat="false" ht="15" hidden="false" customHeight="false" outlineLevel="0" collapsed="false">
      <c r="A12" s="0" t="s">
        <v>113</v>
      </c>
      <c r="C12" s="4" t="n">
        <f aca="false">-C6*Assumptions!C45/100</f>
        <v>-1813.36848768</v>
      </c>
      <c r="D12" s="4" t="n">
        <f aca="false">-D6*Assumptions!D45/100</f>
        <v>-2392.6389768</v>
      </c>
      <c r="E12" s="4" t="n">
        <f aca="false">-E6*Assumptions!E45/100</f>
        <v>-2872.845817056</v>
      </c>
      <c r="F12" s="4" t="n">
        <f aca="false">-F6*Assumptions!F45/100</f>
        <v>-3272.1226933248</v>
      </c>
      <c r="G12" s="4" t="n">
        <f aca="false">-G6*Assumptions!G45/100</f>
        <v>-3566.61373572403</v>
      </c>
      <c r="H12" s="4" t="n">
        <f aca="false">-H6*Assumptions!H45/100</f>
        <v>-3816.27669722471</v>
      </c>
      <c r="I12" s="4" t="n">
        <f aca="false">-I6*Assumptions!I45/100</f>
        <v>-4007.09053208595</v>
      </c>
      <c r="J12" s="4" t="n">
        <f aca="false">-J6*Assumptions!J45/100</f>
        <v>-4167.37415336939</v>
      </c>
      <c r="K12" s="4" t="n">
        <f aca="false">-K6*Assumptions!K45/100</f>
        <v>-4292.39537797047</v>
      </c>
      <c r="L12" s="4" t="n">
        <f aca="false">-L6*Assumptions!L45/100</f>
        <v>-4399.70526241973</v>
      </c>
    </row>
    <row r="13" customFormat="false" ht="15" hidden="false" customHeight="false" outlineLevel="0" collapsed="false">
      <c r="A13" s="0" t="s">
        <v>114</v>
      </c>
      <c r="C13" s="0" t="n">
        <f aca="false">C11+C12</f>
        <v>2132.38701792</v>
      </c>
      <c r="D13" s="0" t="n">
        <f aca="false">D11+D12</f>
        <v>2967.71185368</v>
      </c>
      <c r="E13" s="0" t="n">
        <f aca="false">E11+E12</f>
        <v>3744.4380225696</v>
      </c>
      <c r="F13" s="0" t="n">
        <f aca="false">F11+F12</f>
        <v>4471.90101421056</v>
      </c>
      <c r="G13" s="0" t="n">
        <f aca="false">G11+G12</f>
        <v>5124.03506699019</v>
      </c>
      <c r="H13" s="0" t="n">
        <f aca="false">H11+H12</f>
        <v>5489.07798284155</v>
      </c>
      <c r="I13" s="0" t="n">
        <f aca="false">I11+I12</f>
        <v>5770.21036620377</v>
      </c>
      <c r="J13" s="0" t="n">
        <f aca="false">J11+J12</f>
        <v>6007.96440444087</v>
      </c>
      <c r="K13" s="0" t="n">
        <f aca="false">K11+K12</f>
        <v>6188.20333657409</v>
      </c>
      <c r="L13" s="0" t="n">
        <f aca="false">L11+L12</f>
        <v>6342.90841998845</v>
      </c>
    </row>
    <row r="14" customFormat="false" ht="15" hidden="false" customHeight="false" outlineLevel="0" collapsed="false">
      <c r="A14" s="0" t="s">
        <v>100</v>
      </c>
      <c r="C14" s="4" t="n">
        <f aca="false">Assumptions!C47</f>
        <v>17</v>
      </c>
      <c r="D14" s="4" t="n">
        <f aca="false">Assumptions!D47</f>
        <v>19</v>
      </c>
      <c r="E14" s="4" t="n">
        <f aca="false">Assumptions!E47</f>
        <v>21</v>
      </c>
      <c r="F14" s="4" t="n">
        <f aca="false">Assumptions!F47</f>
        <v>23</v>
      </c>
      <c r="G14" s="4" t="n">
        <f aca="false">Assumptions!G47</f>
        <v>25</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115</v>
      </c>
      <c r="C15" s="0" t="n">
        <f aca="false">C13-MAX(0,C13)*C14/100</f>
        <v>1769.8812248736</v>
      </c>
      <c r="D15" s="0" t="n">
        <f aca="false">D13-MAX(0,D13)*D14/100</f>
        <v>2403.8466014808</v>
      </c>
      <c r="E15" s="0" t="n">
        <f aca="false">E13-MAX(0,E13)*E14/100</f>
        <v>2958.10603782998</v>
      </c>
      <c r="F15" s="0" t="n">
        <f aca="false">F13-MAX(0,F13)*F14/100</f>
        <v>3443.36378094213</v>
      </c>
      <c r="G15" s="0" t="n">
        <f aca="false">G13-MAX(0,G13)*G14/100</f>
        <v>3843.02630024264</v>
      </c>
      <c r="H15" s="0" t="n">
        <f aca="false">H13-MAX(0,H13)*H14/100</f>
        <v>4061.91770730275</v>
      </c>
      <c r="I15" s="0" t="n">
        <f aca="false">I13-MAX(0,I13)*I14/100</f>
        <v>4269.95567099079</v>
      </c>
      <c r="J15" s="0" t="n">
        <f aca="false">J13-MAX(0,J13)*J14/100</f>
        <v>4445.89365928624</v>
      </c>
      <c r="K15" s="0" t="n">
        <f aca="false">K13-MAX(0,K13)*K14/100</f>
        <v>4579.27046906483</v>
      </c>
      <c r="L15" s="0" t="n">
        <f aca="false">L13-MAX(0,L13)*L14/100</f>
        <v>4693.75223079145</v>
      </c>
    </row>
    <row r="16" customFormat="false" ht="15" hidden="false" customHeight="false" outlineLevel="0" collapsed="false">
      <c r="A16" s="0" t="s">
        <v>116</v>
      </c>
      <c r="C16" s="0" t="n">
        <f aca="false">-C12</f>
        <v>1813.36848768</v>
      </c>
      <c r="D16" s="0" t="n">
        <f aca="false">-D12</f>
        <v>2392.6389768</v>
      </c>
      <c r="E16" s="0" t="n">
        <f aca="false">-E12</f>
        <v>2872.845817056</v>
      </c>
      <c r="F16" s="0" t="n">
        <f aca="false">-F12</f>
        <v>3272.1226933248</v>
      </c>
      <c r="G16" s="0" t="n">
        <f aca="false">-G12</f>
        <v>3566.61373572403</v>
      </c>
      <c r="H16" s="0" t="n">
        <f aca="false">-H12</f>
        <v>3816.27669722471</v>
      </c>
      <c r="I16" s="0" t="n">
        <f aca="false">-I12</f>
        <v>4007.09053208595</v>
      </c>
      <c r="J16" s="0" t="n">
        <f aca="false">-J12</f>
        <v>4167.37415336939</v>
      </c>
      <c r="K16" s="0" t="n">
        <f aca="false">-K12</f>
        <v>4292.39537797047</v>
      </c>
      <c r="L16" s="0" t="n">
        <f aca="false">-L12</f>
        <v>4399.70526241973</v>
      </c>
    </row>
    <row r="17" customFormat="false" ht="15" hidden="false" customHeight="false" outlineLevel="0" collapsed="false">
      <c r="A17" s="0" t="s">
        <v>117</v>
      </c>
      <c r="C17" s="4" t="n">
        <f aca="false">-C6*Assumptions!C46/100</f>
        <v>-5037.134688</v>
      </c>
      <c r="D17" s="4" t="n">
        <f aca="false">-D6*Assumptions!D46/100</f>
        <v>-5456.895912</v>
      </c>
      <c r="E17" s="4" t="n">
        <f aca="false">-E6*Assumptions!E46/100</f>
        <v>-5356.15321824</v>
      </c>
      <c r="F17" s="4" t="n">
        <f aca="false">-F6*Assumptions!F46/100</f>
        <v>-5180.8609310976</v>
      </c>
      <c r="G17" s="4" t="n">
        <f aca="false">-G6*Assumptions!G46/100</f>
        <v>-5052.70279227571</v>
      </c>
      <c r="H17" s="4" t="n">
        <f aca="false">-H6*Assumptions!H46/100</f>
        <v>-4770.34587153089</v>
      </c>
      <c r="I17" s="4" t="n">
        <f aca="false">-I6*Assumptions!I46/100</f>
        <v>-4674.93895410028</v>
      </c>
      <c r="J17" s="4" t="n">
        <f aca="false">-J6*Assumptions!J46/100</f>
        <v>-4723.02404048531</v>
      </c>
      <c r="K17" s="4" t="n">
        <f aca="false">-K6*Assumptions!K46/100</f>
        <v>-4721.63491576752</v>
      </c>
      <c r="L17" s="4" t="n">
        <f aca="false">-L6*Assumptions!L46/100</f>
        <v>-4766.34736762138</v>
      </c>
    </row>
    <row r="18" customFormat="false" ht="15" hidden="false" customHeight="false" outlineLevel="0" collapsed="false">
      <c r="A18" s="0" t="s">
        <v>118</v>
      </c>
      <c r="C18" s="4" t="n">
        <f aca="false">(C6-B6)*Assumptions!$B$51/100</f>
        <v>-739.7531136</v>
      </c>
      <c r="D18" s="4" t="n">
        <f aca="false">(D6-C6)*Assumptions!$B$51/100</f>
        <v>-671.6179584</v>
      </c>
      <c r="E18" s="4" t="n">
        <f aca="false">(E6-D6)*Assumptions!$B$51/100</f>
        <v>-537.29436672</v>
      </c>
      <c r="F18" s="4" t="n">
        <f aca="false">(F6-E6)*Assumptions!$B$51/100</f>
        <v>-467.4460990464</v>
      </c>
      <c r="G18" s="4" t="n">
        <f aca="false">(G6-F6)*Assumptions!$B$51/100</f>
        <v>-392.654723198976</v>
      </c>
      <c r="H18" s="4" t="n">
        <f aca="false">(H6-G6)*Assumptions!$B$51/100</f>
        <v>-332.883948667577</v>
      </c>
      <c r="I18" s="4" t="n">
        <f aca="false">(I6-H6)*Assumptions!$B$51/100</f>
        <v>-254.418446481648</v>
      </c>
      <c r="J18" s="4" t="n">
        <f aca="false">(J6-I6)*Assumptions!$B$51/100</f>
        <v>-213.711495044584</v>
      </c>
      <c r="K18" s="4" t="n">
        <f aca="false">(K6-J6)*Assumptions!$B$51/100</f>
        <v>-166.694966134776</v>
      </c>
      <c r="L18" s="4" t="n">
        <f aca="false">(L6-K6)*Assumptions!$B$51/100</f>
        <v>-143.079845932348</v>
      </c>
    </row>
    <row r="19" customFormat="false" ht="15" hidden="false" customHeight="false" outlineLevel="0" collapsed="false">
      <c r="A19" s="0" t="s">
        <v>119</v>
      </c>
      <c r="C19" s="0" t="n">
        <f aca="false">C15+C16+C17+C18</f>
        <v>-2193.6380890464</v>
      </c>
      <c r="D19" s="0" t="n">
        <f aca="false">D15+D16+D17+D18</f>
        <v>-1332.0282921192</v>
      </c>
      <c r="E19" s="0" t="n">
        <f aca="false">E15+E16+E17+E18</f>
        <v>-62.4957300740153</v>
      </c>
      <c r="F19" s="0" t="n">
        <f aca="false">F15+F16+F17+F18</f>
        <v>1067.17944412293</v>
      </c>
      <c r="G19" s="0" t="n">
        <f aca="false">G15+G16+G17+G18</f>
        <v>1964.28252049199</v>
      </c>
      <c r="H19" s="0" t="n">
        <f aca="false">H15+H16+H17+H18</f>
        <v>2774.96458432899</v>
      </c>
      <c r="I19" s="0" t="n">
        <f aca="false">I15+I16+I17+I18</f>
        <v>3347.68880249482</v>
      </c>
      <c r="J19" s="0" t="n">
        <f aca="false">J15+J16+J17+J18</f>
        <v>3676.53227712574</v>
      </c>
      <c r="K19" s="0" t="n">
        <f aca="false">K15+K16+K17+K18</f>
        <v>3983.33596513301</v>
      </c>
      <c r="L19" s="0" t="n">
        <f aca="false">L15+L16+L17+L18</f>
        <v>4184.03027965746</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-2012.51200829945</v>
      </c>
      <c r="D21" s="0" t="n">
        <f aca="false">D19*D20</f>
        <v>-1121.14156394176</v>
      </c>
      <c r="E21" s="0" t="n">
        <f aca="false">E19*E20</f>
        <v>-48.2581703375101</v>
      </c>
      <c r="F21" s="0" t="n">
        <f aca="false">F19*F20</f>
        <v>756.016822947226</v>
      </c>
      <c r="G21" s="0" t="n">
        <f aca="false">G19*G20</f>
        <v>1276.64886162497</v>
      </c>
      <c r="H21" s="0" t="n">
        <f aca="false">H19*H20</f>
        <v>1654.62071488234</v>
      </c>
      <c r="I21" s="0" t="n">
        <f aca="false">I19*I20</f>
        <v>1831.30041604318</v>
      </c>
      <c r="J21" s="0" t="n">
        <f aca="false">J19*J20</f>
        <v>1845.12757601795</v>
      </c>
      <c r="K21" s="0" t="n">
        <f aca="false">K19*K20</f>
        <v>1834.03853349361</v>
      </c>
      <c r="L21" s="0" t="n">
        <f aca="false">L19*L20</f>
        <v>1767.3796065061</v>
      </c>
    </row>
    <row r="23" customFormat="false" ht="15" hidden="false" customHeight="false" outlineLevel="0" collapsed="false">
      <c r="A23" s="0" t="s">
        <v>97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Assumptions!$B$48</f>
        <v>9</v>
      </c>
    </row>
    <row r="28" customFormat="false" ht="15" hidden="false" customHeight="false" outlineLevel="0" collapsed="false">
      <c r="A28" s="0" t="s">
        <v>102</v>
      </c>
      <c r="B28" s="4" t="n">
        <f aca="false">Assumptions!$B$49</f>
        <v>2.5</v>
      </c>
    </row>
    <row r="29" customFormat="false" ht="15" hidden="false" customHeight="false" outlineLevel="0" collapsed="false">
      <c r="A29" s="0" t="s">
        <v>103</v>
      </c>
      <c r="B29" s="4" t="n">
        <f aca="false">Assumptions!$B$50</f>
        <v>12</v>
      </c>
    </row>
    <row r="30" customFormat="false" ht="15" hidden="false" customHeight="false" outlineLevel="0" collapsed="false">
      <c r="A30" s="0" t="s">
        <v>124</v>
      </c>
      <c r="B30" s="0" t="n">
        <f aca="false">SUM(C21:L21)</f>
        <v>7783.22078893666</v>
      </c>
    </row>
    <row r="31" customFormat="false" ht="15" hidden="false" customHeight="false" outlineLevel="0" collapsed="false">
      <c r="A31" s="0" t="s">
        <v>125</v>
      </c>
      <c r="B31" s="0" t="n">
        <f aca="false">L19</f>
        <v>4184.03027965746</v>
      </c>
    </row>
    <row r="32" customFormat="false" ht="15" hidden="false" customHeight="false" outlineLevel="0" collapsed="false">
      <c r="A32" s="0" t="s">
        <v>126</v>
      </c>
      <c r="B32" s="0" t="n">
        <f aca="false">IF(B27&gt;B28,B31*(1+B28/100)/((B27-B28)/100),B31*B29)</f>
        <v>65978.9390253676</v>
      </c>
    </row>
    <row r="33" customFormat="false" ht="15" hidden="false" customHeight="false" outlineLevel="0" collapsed="false">
      <c r="A33" s="0" t="s">
        <v>127</v>
      </c>
      <c r="B33" s="0" t="n">
        <f aca="false">B31*B29</f>
        <v>50208.3633558895</v>
      </c>
    </row>
    <row r="34" customFormat="false" ht="15" hidden="false" customHeight="false" outlineLevel="0" collapsed="false">
      <c r="A34" s="0" t="s">
        <v>128</v>
      </c>
      <c r="B34" s="0" t="n">
        <f aca="false">MAX(0,MIN(B32,B33))</f>
        <v>50208.3633558895</v>
      </c>
    </row>
    <row r="35" customFormat="false" ht="15" hidden="false" customHeight="false" outlineLevel="0" collapsed="false">
      <c r="A35" s="0" t="s">
        <v>129</v>
      </c>
      <c r="B35" s="0" t="n">
        <f aca="false">B34/(1+B27/100)^L4</f>
        <v>21208.5552780732</v>
      </c>
    </row>
    <row r="36" customFormat="false" ht="15" hidden="false" customHeight="false" outlineLevel="0" collapsed="false">
      <c r="A36" s="0" t="s">
        <v>130</v>
      </c>
      <c r="B36" s="0" t="n">
        <f aca="false">B30+B35</f>
        <v>28991.7760670099</v>
      </c>
    </row>
    <row r="37" customFormat="false" ht="15" hidden="false" customHeight="false" outlineLevel="0" collapsed="false">
      <c r="A37" s="0" t="s">
        <v>131</v>
      </c>
      <c r="B37" s="0" t="n">
        <f aca="false">B36+Assumptions!$B$5-Assumptions!$B$4</f>
        <v>24459.6760670099</v>
      </c>
    </row>
    <row r="38" customFormat="false" ht="15" hidden="false" customHeight="false" outlineLevel="0" collapsed="false">
      <c r="A38" s="0" t="s">
        <v>132</v>
      </c>
      <c r="B38" s="0" t="n">
        <f aca="false">B37/Assumptions!$B$3*Assumptions!$B$10</f>
        <v>12.2681780524505</v>
      </c>
    </row>
    <row r="39" customFormat="false" ht="15" hidden="false" customHeight="false" outlineLevel="0" collapsed="false">
      <c r="A39" s="0" t="s">
        <v>133</v>
      </c>
      <c r="B39" s="4" t="n">
        <f aca="false">B38/Assumptions!$B$2-1</f>
        <v>0.42570343433475</v>
      </c>
    </row>
    <row r="41" customFormat="false" ht="15" hidden="false" customHeight="false" outlineLevel="0" collapsed="false">
      <c r="A41" s="0" t="s">
        <v>134</v>
      </c>
      <c r="B41" s="0" t="n">
        <f aca="false">SUMPRODUCT(-C10:L10/(1+$B$27/100)^C4:L4)</f>
        <v>1363.60701845724</v>
      </c>
    </row>
    <row r="42" customFormat="false" ht="15" hidden="false" customHeight="false" outlineLevel="0" collapsed="false">
      <c r="A42" s="0" t="s">
        <v>135</v>
      </c>
      <c r="B42" s="0" t="n">
        <f aca="false">IF(B27&gt;B28,-L10*(1+B28/100)/((B27-B28)/100),-L10*20)/(1+B27/100)^L4</f>
        <v>1709.56613894408</v>
      </c>
    </row>
    <row r="43" customFormat="false" ht="15" hidden="false" customHeight="false" outlineLevel="0" collapsed="false">
      <c r="A43" s="0" t="s">
        <v>136</v>
      </c>
      <c r="B43" s="0" t="n">
        <f aca="false">(B37+B41+B42)/Assumptions!$B$3*Assumptions!$B$10</f>
        <v>13.809581764328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34309.0482931911</v>
      </c>
    </row>
    <row r="47" customFormat="false" ht="15" hidden="false" customHeight="false" outlineLevel="0" collapsed="false">
      <c r="A47" s="0" t="s">
        <v>138</v>
      </c>
      <c r="B47" s="0" t="n">
        <f aca="false">(SUMPRODUCT(C19:L19/(1+B45/100)^C4:L4)+B46/(1+B45/100)^L4+Assumptions!$B$5-Assumptions!$B$4)/Assumptions!$B$3*Assumptions!$B$10</f>
        <v>4.21624779818148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-1.08087848571098</v>
      </c>
      <c r="C4" s="0" t="n">
        <f aca="false">B4/Assumptions!$B$2-1</f>
        <v>-1.12561051548065</v>
      </c>
      <c r="D4" s="4" t="n">
        <f aca="false">Assumptions!$B$24</f>
        <v>0.3</v>
      </c>
      <c r="E4" s="4" t="n">
        <f aca="false">DCF_Bear!$B$43</f>
        <v>-0.192922845975513</v>
      </c>
      <c r="F4" s="4" t="n">
        <f aca="false">DCF_Bear!$B$47</f>
        <v>-2.07446718837018</v>
      </c>
    </row>
    <row r="5" customFormat="false" ht="15" hidden="false" customHeight="false" outlineLevel="0" collapsed="false">
      <c r="A5" s="0" t="s">
        <v>147</v>
      </c>
      <c r="B5" s="4" t="n">
        <f aca="false">DCF_Base!$B$38</f>
        <v>5.32020016211118</v>
      </c>
      <c r="C5" s="0" t="n">
        <f aca="false">B5/Assumptions!$B$2-1</f>
        <v>-0.381731532584407</v>
      </c>
      <c r="D5" s="4" t="n">
        <f aca="false">Assumptions!$B$38</f>
        <v>0.5</v>
      </c>
      <c r="E5" s="4" t="n">
        <f aca="false">DCF_Base!$B$43</f>
        <v>6.53756909009323</v>
      </c>
      <c r="F5" s="4" t="n">
        <f aca="false">DCF_Base!$B$47</f>
        <v>0.778062227359311</v>
      </c>
    </row>
    <row r="6" customFormat="false" ht="15" hidden="false" customHeight="false" outlineLevel="0" collapsed="false">
      <c r="A6" s="0" t="s">
        <v>148</v>
      </c>
      <c r="B6" s="4" t="n">
        <f aca="false">DCF_Bull!$B$38</f>
        <v>12.2681780524505</v>
      </c>
      <c r="C6" s="0" t="n">
        <f aca="false">B6/Assumptions!$B$2-1</f>
        <v>0.42570343433475</v>
      </c>
      <c r="D6" s="4" t="n">
        <f aca="false">Assumptions!$B$52</f>
        <v>0.2</v>
      </c>
      <c r="E6" s="4" t="n">
        <f aca="false">DCF_Bull!$B$43</f>
        <v>13.809581764328</v>
      </c>
      <c r="F6" s="4" t="n">
        <f aca="false">DCF_Bull!$B$47</f>
        <v>4.21624779818148</v>
      </c>
    </row>
    <row r="8" customFormat="false" ht="15" hidden="false" customHeight="false" outlineLevel="0" collapsed="false">
      <c r="A8" s="0" t="s">
        <v>149</v>
      </c>
      <c r="B8" s="0" t="n">
        <f aca="false">SUMPRODUCT(B4:B6,D4:D6)</f>
        <v>4.7894721458324</v>
      </c>
    </row>
    <row r="9" customFormat="false" ht="15" hidden="false" customHeight="false" outlineLevel="0" collapsed="false">
      <c r="A9" s="0" t="s">
        <v>150</v>
      </c>
      <c r="B9" s="0" t="n">
        <f aca="false">SUMPRODUCT(E4:E6,D4:D6)</f>
        <v>5.97282404411957</v>
      </c>
    </row>
    <row r="10" customFormat="false" ht="15" hidden="false" customHeight="false" outlineLevel="0" collapsed="false">
      <c r="A10" s="0" t="s">
        <v>151</v>
      </c>
      <c r="B10" s="0" t="n">
        <f aca="false">1-Assumptions!$B$2/B8</f>
        <v>-0.79664892873168</v>
      </c>
    </row>
    <row r="11" customFormat="false" ht="15" hidden="false" customHeight="false" outlineLevel="0" collapsed="false">
      <c r="A11" s="0" t="s">
        <v>152</v>
      </c>
      <c r="B11" s="0" t="n">
        <f aca="false">IF(ABS(B9-B8)&gt;0.01*ABS(B8),(Assumptions!$B$2-B8)/(B9-B8)*100,"n/a")</f>
        <v>322.433915024799</v>
      </c>
    </row>
    <row r="12" customFormat="false" ht="15" hidden="false" customHeight="false" outlineLevel="0" collapsed="false">
      <c r="A12" s="0" t="s">
        <v>153</v>
      </c>
      <c r="B12" s="0" t="n">
        <f aca="false">SUMPRODUCT(F4:F6,D4:D6)</f>
        <v>0.609940516804898</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5.32020016211118</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4.61823565910096</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3.71211556659986</v>
      </c>
      <c r="C17" s="3" t="n">
        <v>11</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2.7380224579121</v>
      </c>
      <c r="C18" s="3" t="n">
        <v>12</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0.778062227359311</v>
      </c>
      <c r="C19" s="3" t="n">
        <v>15</v>
      </c>
    </row>
    <row r="21" customFormat="false" ht="15" hidden="false" customHeight="false" outlineLevel="0" collapsed="false">
      <c r="A21" s="2" t="s">
        <v>161</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6.94531839884795</v>
      </c>
      <c r="C23" s="0" t="n">
        <f aca="false">(SUMPRODUCT(DCF_Base!$C$19:$L$19/(1+$A$23/100)^DCF_Base!$C$4:$L$4)+MAX(0,MIN(IF($A$23&gt;$C$22,DCF_Base!$L$19*(1+$C$22/100)/(($A$23-$C$22)/100),DCF_Base!$L$19*DCF_Base!$B$29),DCF_Base!$L$19*DCF_Base!$B$29))/(1+$A$23/100)^DCF_Base!$L$4+Assumptions!$B$5-Assumptions!$B$4)/Assumptions!$B$3*Assumptions!$B$10</f>
        <v>6.94531839884795</v>
      </c>
      <c r="D23" s="0" t="n">
        <f aca="false">(SUMPRODUCT(DCF_Base!$C$19:$L$19/(1+$A$23/100)^DCF_Base!$C$4:$L$4)+MAX(0,MIN(IF($A$23&gt;$D$22,DCF_Base!$L$19*(1+$D$22/100)/(($A$23-$D$22)/100),DCF_Base!$L$19*DCF_Base!$B$29),DCF_Base!$L$19*DCF_Base!$B$29))/(1+$A$23/100)^DCF_Base!$L$4+Assumptions!$B$5-Assumptions!$B$4)/Assumptions!$B$3*Assumptions!$B$10</f>
        <v>6.94531839884795</v>
      </c>
      <c r="E23" s="0" t="n">
        <f aca="false">(SUMPRODUCT(DCF_Base!$C$19:$L$19/(1+$A$23/100)^DCF_Base!$C$4:$L$4)+MAX(0,MIN(IF($A$23&gt;$E$22,DCF_Base!$L$19*(1+$E$22/100)/(($A$23-$E$22)/100),DCF_Base!$L$19*DCF_Base!$B$29),DCF_Base!$L$19*DCF_Base!$B$29))/(1+$A$23/100)^DCF_Base!$L$4+Assumptions!$B$5-Assumptions!$B$4)/Assumptions!$B$3*Assumptions!$B$10</f>
        <v>6.94531839884795</v>
      </c>
      <c r="F23" s="0" t="n">
        <f aca="false">(SUMPRODUCT(DCF_Base!$C$19:$L$19/(1+$A$23/100)^DCF_Base!$C$4:$L$4)+MAX(0,MIN(IF($A$23&gt;$F$22,DCF_Base!$L$19*(1+$F$22/100)/(($A$23-$F$22)/100),DCF_Base!$L$19*DCF_Base!$B$29),DCF_Base!$L$19*DCF_Base!$B$29))/(1+$A$23/100)^DCF_Base!$L$4+Assumptions!$B$5-Assumptions!$B$4)/Assumptions!$B$3*Assumptions!$B$10</f>
        <v>6.94531839884795</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6.09322988681194</v>
      </c>
      <c r="C24" s="0" t="n">
        <f aca="false">(SUMPRODUCT(DCF_Base!$C$19:$L$19/(1+$A$24/100)^DCF_Base!$C$4:$L$4)+MAX(0,MIN(IF($A$24&gt;$C$22,DCF_Base!$L$19*(1+$C$22/100)/(($A$24-$C$22)/100),DCF_Base!$L$19*DCF_Base!$B$29),DCF_Base!$L$19*DCF_Base!$B$29))/(1+$A$24/100)^DCF_Base!$L$4+Assumptions!$B$5-Assumptions!$B$4)/Assumptions!$B$3*Assumptions!$B$10</f>
        <v>6.09322988681194</v>
      </c>
      <c r="D24" s="0" t="n">
        <f aca="false">(SUMPRODUCT(DCF_Base!$C$19:$L$19/(1+$A$24/100)^DCF_Base!$C$4:$L$4)+MAX(0,MIN(IF($A$24&gt;$D$22,DCF_Base!$L$19*(1+$D$22/100)/(($A$24-$D$22)/100),DCF_Base!$L$19*DCF_Base!$B$29),DCF_Base!$L$19*DCF_Base!$B$29))/(1+$A$24/100)^DCF_Base!$L$4+Assumptions!$B$5-Assumptions!$B$4)/Assumptions!$B$3*Assumptions!$B$10</f>
        <v>6.09322988681194</v>
      </c>
      <c r="E24" s="0" t="n">
        <f aca="false">(SUMPRODUCT(DCF_Base!$C$19:$L$19/(1+$A$24/100)^DCF_Base!$C$4:$L$4)+MAX(0,MIN(IF($A$24&gt;$E$22,DCF_Base!$L$19*(1+$E$22/100)/(($A$24-$E$22)/100),DCF_Base!$L$19*DCF_Base!$B$29),DCF_Base!$L$19*DCF_Base!$B$29))/(1+$A$24/100)^DCF_Base!$L$4+Assumptions!$B$5-Assumptions!$B$4)/Assumptions!$B$3*Assumptions!$B$10</f>
        <v>6.09322988681194</v>
      </c>
      <c r="F24" s="0" t="n">
        <f aca="false">(SUMPRODUCT(DCF_Base!$C$19:$L$19/(1+$A$24/100)^DCF_Base!$C$4:$L$4)+MAX(0,MIN(IF($A$24&gt;$F$22,DCF_Base!$L$19*(1+$F$22/100)/(($A$24-$F$22)/100),DCF_Base!$L$19*DCF_Base!$B$29),DCF_Base!$L$19*DCF_Base!$B$29))/(1+$A$24/100)^DCF_Base!$L$4+Assumptions!$B$5-Assumptions!$B$4)/Assumptions!$B$3*Assumptions!$B$10</f>
        <v>6.09322988681194</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5.32020016211118</v>
      </c>
      <c r="C25" s="0" t="n">
        <f aca="false">(SUMPRODUCT(DCF_Base!$C$19:$L$19/(1+$A$25/100)^DCF_Base!$C$4:$L$4)+MAX(0,MIN(IF($A$25&gt;$C$22,DCF_Base!$L$19*(1+$C$22/100)/(($A$25-$C$22)/100),DCF_Base!$L$19*DCF_Base!$B$29),DCF_Base!$L$19*DCF_Base!$B$29))/(1+$A$25/100)^DCF_Base!$L$4+Assumptions!$B$5-Assumptions!$B$4)/Assumptions!$B$3*Assumptions!$B$10</f>
        <v>5.32020016211118</v>
      </c>
      <c r="D25" s="0" t="n">
        <f aca="false">(SUMPRODUCT(DCF_Base!$C$19:$L$19/(1+$A$25/100)^DCF_Base!$C$4:$L$4)+MAX(0,MIN(IF($A$25&gt;$D$22,DCF_Base!$L$19*(1+$D$22/100)/(($A$25-$D$22)/100),DCF_Base!$L$19*DCF_Base!$B$29),DCF_Base!$L$19*DCF_Base!$B$29))/(1+$A$25/100)^DCF_Base!$L$4+Assumptions!$B$5-Assumptions!$B$4)/Assumptions!$B$3*Assumptions!$B$10</f>
        <v>5.32020016211118</v>
      </c>
      <c r="E25" s="0" t="n">
        <f aca="false">(SUMPRODUCT(DCF_Base!$C$19:$L$19/(1+$A$25/100)^DCF_Base!$C$4:$L$4)+MAX(0,MIN(IF($A$25&gt;$E$22,DCF_Base!$L$19*(1+$E$22/100)/(($A$25-$E$22)/100),DCF_Base!$L$19*DCF_Base!$B$29),DCF_Base!$L$19*DCF_Base!$B$29))/(1+$A$25/100)^DCF_Base!$L$4+Assumptions!$B$5-Assumptions!$B$4)/Assumptions!$B$3*Assumptions!$B$10</f>
        <v>5.32020016211118</v>
      </c>
      <c r="F25" s="0" t="n">
        <f aca="false">(SUMPRODUCT(DCF_Base!$C$19:$L$19/(1+$A$25/100)^DCF_Base!$C$4:$L$4)+MAX(0,MIN(IF($A$25&gt;$F$22,DCF_Base!$L$19*(1+$F$22/100)/(($A$25-$F$22)/100),DCF_Base!$L$19*DCF_Base!$B$29),DCF_Base!$L$19*DCF_Base!$B$29))/(1+$A$25/100)^DCF_Base!$L$4+Assumptions!$B$5-Assumptions!$B$4)/Assumptions!$B$3*Assumptions!$B$10</f>
        <v>5.32020016211118</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4.27582129153302</v>
      </c>
      <c r="C26" s="0" t="n">
        <f aca="false">(SUMPRODUCT(DCF_Base!$C$19:$L$19/(1+$A$26/100)^DCF_Base!$C$4:$L$4)+MAX(0,MIN(IF($A$26&gt;$C$22,DCF_Base!$L$19*(1+$C$22/100)/(($A$26-$C$22)/100),DCF_Base!$L$19*DCF_Base!$B$29),DCF_Base!$L$19*DCF_Base!$B$29))/(1+$A$26/100)^DCF_Base!$L$4+Assumptions!$B$5-Assumptions!$B$4)/Assumptions!$B$3*Assumptions!$B$10</f>
        <v>4.59233877415884</v>
      </c>
      <c r="D26" s="0" t="n">
        <f aca="false">(SUMPRODUCT(DCF_Base!$C$19:$L$19/(1+$A$26/100)^DCF_Base!$C$4:$L$4)+MAX(0,MIN(IF($A$26&gt;$D$22,DCF_Base!$L$19*(1+$D$22/100)/(($A$26-$D$22)/100),DCF_Base!$L$19*DCF_Base!$B$29),DCF_Base!$L$19*DCF_Base!$B$29))/(1+$A$26/100)^DCF_Base!$L$4+Assumptions!$B$5-Assumptions!$B$4)/Assumptions!$B$3*Assumptions!$B$10</f>
        <v>4.61823565910096</v>
      </c>
      <c r="E26" s="0" t="n">
        <f aca="false">(SUMPRODUCT(DCF_Base!$C$19:$L$19/(1+$A$26/100)^DCF_Base!$C$4:$L$4)+MAX(0,MIN(IF($A$26&gt;$E$22,DCF_Base!$L$19*(1+$E$22/100)/(($A$26-$E$22)/100),DCF_Base!$L$19*DCF_Base!$B$29),DCF_Base!$L$19*DCF_Base!$B$29))/(1+$A$26/100)^DCF_Base!$L$4+Assumptions!$B$5-Assumptions!$B$4)/Assumptions!$B$3*Assumptions!$B$10</f>
        <v>4.61823565910096</v>
      </c>
      <c r="F26" s="0" t="n">
        <f aca="false">(SUMPRODUCT(DCF_Base!$C$19:$L$19/(1+$A$26/100)^DCF_Base!$C$4:$L$4)+MAX(0,MIN(IF($A$26&gt;$F$22,DCF_Base!$L$19*(1+$F$22/100)/(($A$26-$F$22)/100),DCF_Base!$L$19*DCF_Base!$B$29),DCF_Base!$L$19*DCF_Base!$B$29))/(1+$A$26/100)^DCF_Base!$L$4+Assumptions!$B$5-Assumptions!$B$4)/Assumptions!$B$3*Assumptions!$B$10</f>
        <v>4.61823565910096</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3.21612435460981</v>
      </c>
      <c r="C27" s="0" t="n">
        <f aca="false">(SUMPRODUCT(DCF_Base!$C$19:$L$19/(1+$A$27/100)^DCF_Base!$C$4:$L$4)+MAX(0,MIN(IF($A$27&gt;$C$22,DCF_Base!$L$19*(1+$C$22/100)/(($A$27-$C$22)/100),DCF_Base!$L$19*DCF_Base!$B$29),DCF_Base!$L$19*DCF_Base!$B$29))/(1+$A$27/100)^DCF_Base!$L$4+Assumptions!$B$5-Assumptions!$B$4)/Assumptions!$B$3*Assumptions!$B$10</f>
        <v>3.45106756028931</v>
      </c>
      <c r="D27" s="0" t="n">
        <f aca="false">(SUMPRODUCT(DCF_Base!$C$19:$L$19/(1+$A$27/100)^DCF_Base!$C$4:$L$4)+MAX(0,MIN(IF($A$27&gt;$D$22,DCF_Base!$L$19*(1+$D$22/100)/(($A$27-$D$22)/100),DCF_Base!$L$19*DCF_Base!$B$29),DCF_Base!$L$19*DCF_Base!$B$29))/(1+$A$27/100)^DCF_Base!$L$4+Assumptions!$B$5-Assumptions!$B$4)/Assumptions!$B$3*Assumptions!$B$10</f>
        <v>3.71211556659986</v>
      </c>
      <c r="E27" s="0" t="n">
        <f aca="false">(SUMPRODUCT(DCF_Base!$C$19:$L$19/(1+$A$27/100)^DCF_Base!$C$4:$L$4)+MAX(0,MIN(IF($A$27&gt;$E$22,DCF_Base!$L$19*(1+$E$22/100)/(($A$27-$E$22)/100),DCF_Base!$L$19*DCF_Base!$B$29),DCF_Base!$L$19*DCF_Base!$B$29))/(1+$A$27/100)^DCF_Base!$L$4+Assumptions!$B$5-Assumptions!$B$4)/Assumptions!$B$3*Assumptions!$B$10</f>
        <v>3.98021892443232</v>
      </c>
      <c r="F27" s="0" t="n">
        <f aca="false">(SUMPRODUCT(DCF_Base!$C$19:$L$19/(1+$A$27/100)^DCF_Base!$C$4:$L$4)+MAX(0,MIN(IF($A$27&gt;$F$22,DCF_Base!$L$19*(1+$F$22/100)/(($A$27-$F$22)/100),DCF_Base!$L$19*DCF_Base!$B$29),DCF_Base!$L$19*DCF_Base!$B$29))/(1+$A$27/100)^DCF_Base!$L$4+Assumptions!$B$5-Assumptions!$B$4)/Assumptions!$B$3*Assumptions!$B$10</f>
        <v>3.98021892443232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2026-10-11T03:22:34Z</dcterms:created>
  <dc:creator>openpyxl</dc:creator>
  <dc:description/>
  <dc:language>en-NZ</dc:language>
  <cp:lastModifiedBy/>
  <dcterms:modified xsi:type="dcterms:W3CDTF">2026-10-11T03:22:34Z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