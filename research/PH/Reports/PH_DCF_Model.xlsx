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<sst xmlns="http://schemas.openxmlformats.org/spreadsheetml/2006/main" count="389" uniqueCount="174">
  <si>
    <t xml:space="preserve">Ticker</t>
  </si>
  <si>
    <t xml:space="preserve">PH</t>
  </si>
  <si>
    <t xml:space="preserve">Company</t>
  </si>
  <si>
    <t xml:space="preserve">Parker-Hannifin Corporation</t>
  </si>
  <si>
    <t xml:space="preserve">Valuation date</t>
  </si>
  <si>
    <t xml:space="preserve">2026-10-02</t>
  </si>
  <si>
    <t xml:space="preserve">Current price</t>
  </si>
  <si>
    <t xml:space="preserve">Price as of</t>
  </si>
  <si>
    <t xml:space="preserve">2026-10-01T20:00:02Z regular close (Yahoo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</si>
  <si>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</si>
  <si>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</si>
  <si>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</si>
  <si>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</si>
  <si>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</si>
  <si>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</si>
  <si>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</si>
  <si>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</si>
  <si>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</si>
  <si>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</si>
  <si>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</si>
  <si>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</si>
  <si>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2026-10-02T07:28:58Z</t>
  </si>
  <si>
    <t xml:space="preserve">Drivers file</t>
  </si>
  <si>
    <t xml:space="preserve">PH_Drivers.json</t>
  </si>
  <si>
    <t xml:space="preserve">Convention</t>
  </si>
  <si>
    <t xml:space="preserve">Percents stored as percents; formulas divide by 100. Blue = input, green = link, black = formula.</t>
  </si>
  <si>
    <t xml:space="preserve">Methodology</t>
  </si>
  <si>
    <t xml:space="preserve">summary: Parker is valued as a high-quality cyclical industrial on a strict owner-FCF basis: SBC expensed, share count flat, Filtration Group consolidated pro forma in both flows and net debt, and cyclicality carried in the bear scenario's flows rather than a discount-rate premium. The market price capitalises a premium industrial multiple that the 9% WACC owner-FCF build does not reach without bull-case margins.
key_risks_to_valuation: Filtration Group revenue/EBITDA (~$1.9B / ~24%) are assumptions, not filed figures; the Q1 FY27 10-Q (Nov 2026) will give the first consolidated read; Pro-forma net debt assumes the full $9.25B was debt-funded; any cash or CP mix changes the bridge dollar-for-dollar ($1B = ~$7.8/share); Industrial cycle timing: the bear case's FY29 downturn is a timing judgment; CIRCOR Aerospace excluded; at ~23x EBITDA it is mildly value-dilutive to this model if it closes; Terminal value is the majority of EV; WACC +/-1pp moves value ~15-20%</t>
  </si>
  <si>
    <t xml:space="preserve">Data sources</t>
  </si>
  <si>
    <t xml:space="preserve">price: Yahoo Finance chart API at inputs.price_as_of; 52-week range 715.37-1099.94
financials: PH_Metrics.csv (SEC XBRL core_metrics) plus SEC XBRL companyfacts (CIK 76334) for FY2026 10-K D&amp;A, interest, cash taxes, debt split, diluted shares and buybacks
qualitative: PH_Analysis.json (2026-10-02): FY27 guidance, FY31 framework, Filtration Group close 2026-08-13, pending CIRCOR Aerospace</t>
  </si>
  <si>
    <t xml:space="preserve">Scenario narrative: bear</t>
  </si>
  <si>
    <t xml:space="preserve">Diversified Industrial (67% of sales) rolls over: agriculture/off-highway weakness spreads to construction and general industrial capex, tariffs and input inflation squeeze price-cost, and a commercial aerospace build-rate setback hits just as two large debt-funded integrations stretch management. Revenue falls ~6% in FY29, margins drop to ~26% before recovering to the FY26 level, synergies slip, and the exit multiple compresses to a cyclical 14x.</t>
  </si>
  <si>
    <t xml:space="preserve">Scenario narrative: base</t>
  </si>
  <si>
    <t xml:space="preserve">Parker executes the FY27 guide (7% organic midpoint) and consolidates Filtration Group, then grows mid-single-digit organically through the industrial and aerospace cycles. The Win Strategy and ~$220M of Filtration Group synergies lift EBITDA margin ~200bp to 30.5%, short of a full hit on the 30% adjusted-segment-margin target. Leverage from the $9.25B deal is serviced from ~$4.5-5B of annual owner FCF; CIRCOR Aerospace is treated as value-neutral.</t>
  </si>
  <si>
    <t xml:space="preserve">Scenario narrative: bull</t>
  </si>
  <si>
    <t xml:space="preserve">The broad-based recovery management guided to (every vertical positive in FY27 for the first time in years) runs for several years while commercial aerospace OEM rates and defense budgets lift the record $8.5B aerospace backlog into aftermarket annuity revenue. Data-centre liquid cooling and electromechanical actuation become real growth vectors, organic growth runs above the 4-6% framework, and margins beat the 30% target to ~32% EBITDA.</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</si>
  <si>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</si>
  <si>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</si>
  <si>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</si>
  <si>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</si>
  <si>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</si>
  <si>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</si>
  <si>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</si>
  <si>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</si>
  <si>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</si>
  <si>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</si>
  <si>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</si>
  <si>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</si>
  <si>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</si>
  <si>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</si>
  <si>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</si>
  <si>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</si>
  <si>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</si>
  <si>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</si>
  <si>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</si>
  <si>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</si>
  <si>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</si>
  <si>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</si>
  <si>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</si>
  <si>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</si>
  <si>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</si>
  <si>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</si>
  <si>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</si>
  <si>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</si>
  <si>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</si>
  <si>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</si>
  <si>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</si>
  <si>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</si>
  <si>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</si>
  <si>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</si>
  <si>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</si>
  <si>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</si>
  <si>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</si>
  <si>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</si>
  <si>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</si>
  <si>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</si>
  <si>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</si>
  <si>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</si>
  <si>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</si>
  <si>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</si>
  <si>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</si>
  <si>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</si>
  <si>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</si>
  <si>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</si>
  <si>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</si>
  <si>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</si>
  <si>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</si>
  <si>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</si>
  <si>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</si>
  <si>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</si>
  <si>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</si>
  <si>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</si>
  <si>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</si>
  <si>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</si>
  <si>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</si>
  <si>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</si>
  <si>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</si>
  <si>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</si>
  <si>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</si>
  <si>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</si>
  <si>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</si>
  <si>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</si>
  <si>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</si>
  <si>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</si>
  <si>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</si>
  <si>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</si>
  <si>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</si>
  <si>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</si>
  <si>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</si>
  <si>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</si>
  <si>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</si>
  <si>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</si>
  <si>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</si>
  <si>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</si>
  <si>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</si>
  <si>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</si>
  <si>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</si>
  <si>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</si>
  <si>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</si>
  <si>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</si>
  <si>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PH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</si>
  <si>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</si>
  <si>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</si>
  <si>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</si>
  <si>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</si>
  <si>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</si>
  <si>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</si>
  <si>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</si>
  <si>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</si>
  <si>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</si>
  <si>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</si>
  <si>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</si>
  <si>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</si>
  <si>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</si>
  <si>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</si>
  <si>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</si>
  <si>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</si>
  <si>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</si>
  <si>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</si>
  <si>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</si>
  <si>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</si>
  <si>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</si>
  <si>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</si>
  <si>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</si>
  <si>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</si>
  <si>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</si>
  <si>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</si>
  <si>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</si>
  <si>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</si>
  <si>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</si>
  <si>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</si>
  <si>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PH owner-FCF component DCF: base case (millions, USD)</t>
  </si>
  <si>
    <t xml:space="preserve">PH owner-FCF component DCF: bull case (millions, USD)</t>
  </si>
  <si>
    <t xml:space="preserve">PH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</si>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</sst>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965.88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4774.497</v>
      </c>
      <c r="S2" s="0" t="n">
        <v>172.706</v>
      </c>
      <c r="AA2" s="0" t="s">
        <v>17</v>
      </c>
      <c r="AB2" s="0" t="s">
        <v>14</v>
      </c>
    </row>
    <row r="3" customFormat="false" ht="15" hidden="false" customHeight="false" outlineLevel="0" collapsed="false">
      <c r="A3" s="0" t="s">
        <v>64</v>
      </c>
      <c r="B3" s="0" t="n">
        <v>12145.605</v>
      </c>
      <c r="C3" s="0" t="n">
        <v>9339.072</v>
      </c>
      <c r="D3" s="0" t="n">
        <v>2806.533</v>
      </c>
      <c r="E3" s="0" t="n">
        <v>23.1073956381753</v>
      </c>
      <c r="I3" s="0" t="n">
        <v>957.513</v>
      </c>
      <c r="J3" s="0" t="n">
        <v>7.88361716028144</v>
      </c>
      <c r="K3" s="0" t="n">
        <v>5.64</v>
      </c>
      <c r="L3" s="0" t="n">
        <v>1316.61</v>
      </c>
      <c r="M3" s="0" t="n">
        <v>280.327</v>
      </c>
      <c r="N3" s="0" t="n">
        <v>1036.283</v>
      </c>
      <c r="O3" s="0" t="n">
        <v>5330.142</v>
      </c>
      <c r="P3" s="0" t="n">
        <v>10386.854</v>
      </c>
      <c r="S3" s="0" t="n">
        <v>326.048</v>
      </c>
      <c r="T3" s="0" t="n">
        <v>171.643835</v>
      </c>
      <c r="U3" s="0" t="n">
        <v>44.947</v>
      </c>
      <c r="AA3" s="0" t="s">
        <v>17</v>
      </c>
      <c r="AB3" s="0" t="s">
        <v>14</v>
      </c>
    </row>
    <row r="4" customFormat="false" ht="15" hidden="false" customHeight="false" outlineLevel="0" collapsed="false">
      <c r="A4" s="0" t="s">
        <v>65</v>
      </c>
      <c r="B4" s="0" t="n">
        <v>10309.015</v>
      </c>
      <c r="C4" s="0" t="n">
        <v>8181.348</v>
      </c>
      <c r="D4" s="0" t="n">
        <v>2127.667</v>
      </c>
      <c r="E4" s="0" t="n">
        <v>20.638897120627</v>
      </c>
      <c r="F4" s="0" t="n">
        <v>1003.801</v>
      </c>
      <c r="G4" s="0" t="n">
        <v>9.73711843469042</v>
      </c>
      <c r="I4" s="0" t="n">
        <v>510.144</v>
      </c>
      <c r="J4" s="0" t="n">
        <v>4.9485232100254</v>
      </c>
      <c r="K4" s="0" t="n">
        <v>3.15</v>
      </c>
      <c r="L4" s="0" t="n">
        <v>1129.192</v>
      </c>
      <c r="M4" s="0" t="n">
        <v>270.733</v>
      </c>
      <c r="N4" s="0" t="n">
        <v>858.459</v>
      </c>
      <c r="O4" s="0" t="n">
        <v>4350.44</v>
      </c>
      <c r="P4" s="0" t="n">
        <v>9855.902</v>
      </c>
      <c r="Q4" s="0" t="n">
        <v>5505.462</v>
      </c>
      <c r="R4" s="0" t="n">
        <v>2371.311</v>
      </c>
      <c r="S4" s="0" t="n">
        <v>187.611</v>
      </c>
      <c r="T4" s="0" t="n">
        <v>162.719148</v>
      </c>
      <c r="U4" s="0" t="n">
        <v>47.215</v>
      </c>
      <c r="AA4" s="0" t="s">
        <v>17</v>
      </c>
      <c r="AB4" s="0" t="s">
        <v>14</v>
      </c>
    </row>
    <row r="5" customFormat="false" ht="15" hidden="false" customHeight="false" outlineLevel="0" collapsed="false">
      <c r="A5" s="0" t="s">
        <v>66</v>
      </c>
      <c r="B5" s="0" t="n">
        <v>9993.166</v>
      </c>
      <c r="C5" s="0" t="n">
        <v>7847.067</v>
      </c>
      <c r="D5" s="0" t="n">
        <v>2146.099</v>
      </c>
      <c r="E5" s="0" t="n">
        <v>21.4756664704659</v>
      </c>
      <c r="F5" s="0" t="n">
        <v>1142.68</v>
      </c>
      <c r="G5" s="0" t="n">
        <v>11.4346144154916</v>
      </c>
      <c r="I5" s="0" t="n">
        <v>556.365</v>
      </c>
      <c r="J5" s="0" t="n">
        <v>5.56745479860937</v>
      </c>
      <c r="K5" s="0" t="n">
        <v>3.44</v>
      </c>
      <c r="L5" s="0" t="n">
        <v>1218.822</v>
      </c>
      <c r="M5" s="0" t="n">
        <v>129.222</v>
      </c>
      <c r="N5" s="0" t="n">
        <v>1089.6</v>
      </c>
      <c r="O5" s="0" t="n">
        <v>4459.4</v>
      </c>
      <c r="P5" s="0" t="n">
        <v>9910.382</v>
      </c>
      <c r="Q5" s="0" t="n">
        <v>5450.982</v>
      </c>
      <c r="R5" s="0" t="n">
        <v>2122.117</v>
      </c>
      <c r="S5" s="0" t="n">
        <v>575.526</v>
      </c>
      <c r="T5" s="0" t="n">
        <v>162.901717</v>
      </c>
      <c r="U5" s="0" t="n">
        <v>59.318</v>
      </c>
      <c r="AA5" s="0" t="s">
        <v>17</v>
      </c>
      <c r="AB5" s="0" t="s">
        <v>14</v>
      </c>
    </row>
    <row r="6" customFormat="false" ht="15" hidden="false" customHeight="false" outlineLevel="0" collapsed="false">
      <c r="A6" s="0" t="s">
        <v>67</v>
      </c>
      <c r="B6" s="0" t="n">
        <v>12345.87</v>
      </c>
      <c r="C6" s="0" t="n">
        <v>9387.457</v>
      </c>
      <c r="D6" s="0" t="n">
        <v>2958.413</v>
      </c>
      <c r="E6" s="0" t="n">
        <v>23.962774595877</v>
      </c>
      <c r="F6" s="0" t="n">
        <v>1823.026</v>
      </c>
      <c r="G6" s="0" t="n">
        <v>14.7662821656149</v>
      </c>
      <c r="I6" s="0" t="n">
        <v>1057.15</v>
      </c>
      <c r="J6" s="0" t="n">
        <v>8.5627825337542</v>
      </c>
      <c r="K6" s="0" t="n">
        <v>6.51</v>
      </c>
      <c r="L6" s="0" t="n">
        <v>1166.933</v>
      </c>
      <c r="M6" s="0" t="n">
        <v>207.294</v>
      </c>
      <c r="N6" s="0" t="n">
        <v>959.639</v>
      </c>
      <c r="O6" s="0" t="n">
        <v>5488.336</v>
      </c>
      <c r="P6" s="0" t="n">
        <v>10886.805</v>
      </c>
      <c r="Q6" s="0" t="n">
        <v>5398.469</v>
      </c>
      <c r="R6" s="0" t="n">
        <v>1841.163</v>
      </c>
      <c r="S6" s="0" t="n">
        <v>657.466</v>
      </c>
      <c r="T6" s="0" t="n">
        <v>164.798221</v>
      </c>
      <c r="U6" s="0" t="n">
        <v>73.238</v>
      </c>
      <c r="AA6" s="0" t="s">
        <v>17</v>
      </c>
      <c r="AB6" s="0" t="s">
        <v>14</v>
      </c>
    </row>
    <row r="7" customFormat="false" ht="15" hidden="false" customHeight="false" outlineLevel="0" collapsed="false">
      <c r="A7" s="0" t="s">
        <v>68</v>
      </c>
      <c r="B7" s="0" t="n">
        <v>13145.942</v>
      </c>
      <c r="C7" s="0" t="n">
        <v>9958.337</v>
      </c>
      <c r="D7" s="0" t="n">
        <v>3187.605</v>
      </c>
      <c r="E7" s="0" t="n">
        <v>24.2478249181382</v>
      </c>
      <c r="F7" s="0" t="n">
        <v>2002.542</v>
      </c>
      <c r="G7" s="0" t="n">
        <v>15.2331571217947</v>
      </c>
      <c r="I7" s="0" t="n">
        <v>1155.492</v>
      </c>
      <c r="J7" s="0" t="n">
        <v>8.7897238554681</v>
      </c>
      <c r="K7" s="0" t="n">
        <v>7.62</v>
      </c>
      <c r="L7" s="0" t="n">
        <v>1530.385</v>
      </c>
      <c r="M7" s="0" t="n">
        <v>218.817</v>
      </c>
      <c r="N7" s="0" t="n">
        <v>1311.568</v>
      </c>
      <c r="O7" s="0" t="n">
        <v>4905.73</v>
      </c>
      <c r="P7" s="0" t="n">
        <v>11170.282</v>
      </c>
      <c r="Q7" s="0" t="n">
        <v>6264.552</v>
      </c>
      <c r="R7" s="0" t="n">
        <v>1954.572</v>
      </c>
      <c r="S7" s="0" t="n">
        <v>838.317</v>
      </c>
      <c r="T7" s="0" t="n">
        <v>154.66451</v>
      </c>
      <c r="U7" s="0" t="n">
        <v>80.935</v>
      </c>
      <c r="AA7" s="0" t="s">
        <v>17</v>
      </c>
      <c r="AB7" s="0" t="s">
        <v>14</v>
      </c>
    </row>
    <row r="8" customFormat="false" ht="15" hidden="false" customHeight="false" outlineLevel="0" collapsed="false">
      <c r="A8" s="0" t="s">
        <v>69</v>
      </c>
      <c r="B8" s="0" t="n">
        <v>13015.704</v>
      </c>
      <c r="C8" s="0" t="n">
        <v>10086.675</v>
      </c>
      <c r="D8" s="0" t="n">
        <v>2929.029</v>
      </c>
      <c r="E8" s="0" t="n">
        <v>22.5038077079811</v>
      </c>
      <c r="F8" s="0" t="n">
        <v>1791.485</v>
      </c>
      <c r="G8" s="0" t="n">
        <v>13.7640269016567</v>
      </c>
      <c r="I8" s="0" t="n">
        <v>948.784</v>
      </c>
      <c r="J8" s="0" t="n">
        <v>7.28953270602958</v>
      </c>
      <c r="K8" s="0" t="n">
        <v>6.36</v>
      </c>
      <c r="L8" s="0" t="n">
        <v>1190.935</v>
      </c>
      <c r="M8" s="0" t="n">
        <v>265.896</v>
      </c>
      <c r="N8" s="0" t="n">
        <v>925.039</v>
      </c>
      <c r="O8" s="0" t="n">
        <v>5741.481</v>
      </c>
      <c r="P8" s="0" t="n">
        <v>12540.898</v>
      </c>
      <c r="Q8" s="0" t="n">
        <v>6799.417</v>
      </c>
      <c r="R8" s="0" t="n">
        <v>2831.851</v>
      </c>
      <c r="S8" s="0" t="n">
        <v>1781.412</v>
      </c>
      <c r="T8" s="0" t="n">
        <v>151.588031</v>
      </c>
      <c r="U8" s="0" t="n">
        <v>84.996</v>
      </c>
      <c r="AA8" s="0" t="s">
        <v>17</v>
      </c>
      <c r="AB8" s="0" t="s">
        <v>14</v>
      </c>
    </row>
    <row r="9" customFormat="false" ht="15" hidden="false" customHeight="false" outlineLevel="0" collapsed="false">
      <c r="A9" s="0" t="s">
        <v>70</v>
      </c>
      <c r="B9" s="0" t="n">
        <v>13215.971</v>
      </c>
      <c r="C9" s="0" t="n">
        <v>10188.227</v>
      </c>
      <c r="D9" s="0" t="n">
        <v>3027.744</v>
      </c>
      <c r="E9" s="0" t="n">
        <v>22.9097355010843</v>
      </c>
      <c r="F9" s="0" t="n">
        <v>1790.207</v>
      </c>
      <c r="G9" s="0" t="n">
        <v>13.5457848689287</v>
      </c>
      <c r="I9" s="0" t="n">
        <v>1041.418</v>
      </c>
      <c r="J9" s="0" t="n">
        <v>7.879996104713</v>
      </c>
      <c r="K9" s="0" t="n">
        <v>6.98</v>
      </c>
      <c r="L9" s="0" t="n">
        <v>1387.893</v>
      </c>
      <c r="M9" s="0" t="n">
        <v>216.34</v>
      </c>
      <c r="N9" s="0" t="n">
        <v>1171.553</v>
      </c>
      <c r="O9" s="0" t="n">
        <v>6662.808</v>
      </c>
      <c r="P9" s="0" t="n">
        <v>13259.815</v>
      </c>
      <c r="Q9" s="0" t="n">
        <v>6611.554</v>
      </c>
      <c r="R9" s="0" t="n">
        <v>2325.042</v>
      </c>
      <c r="S9" s="0" t="n">
        <v>1613.555</v>
      </c>
      <c r="T9" s="0" t="n">
        <v>151.444103</v>
      </c>
      <c r="U9" s="0" t="n">
        <v>103.161</v>
      </c>
      <c r="AA9" s="0" t="s">
        <v>17</v>
      </c>
      <c r="AB9" s="0" t="s">
        <v>14</v>
      </c>
    </row>
    <row r="10" customFormat="false" ht="15" hidden="false" customHeight="false" outlineLevel="0" collapsed="false">
      <c r="A10" s="0" t="s">
        <v>71</v>
      </c>
      <c r="B10" s="0" t="n">
        <v>12711.744</v>
      </c>
      <c r="C10" s="0" t="n">
        <v>9655.245</v>
      </c>
      <c r="D10" s="0" t="n">
        <v>3056.499</v>
      </c>
      <c r="E10" s="0" t="n">
        <v>24.044686551271</v>
      </c>
      <c r="F10" s="0" t="n">
        <v>1838.432</v>
      </c>
      <c r="G10" s="0" t="n">
        <v>14.4624687218371</v>
      </c>
      <c r="I10" s="0" t="n">
        <v>1012.553</v>
      </c>
      <c r="J10" s="0" t="n">
        <v>7.96549238247718</v>
      </c>
      <c r="K10" s="0" t="n">
        <v>7.08</v>
      </c>
      <c r="L10" s="0" t="n">
        <v>1363.233</v>
      </c>
      <c r="M10" s="0" t="n">
        <v>215.527</v>
      </c>
      <c r="N10" s="0" t="n">
        <v>1147.706</v>
      </c>
      <c r="O10" s="0" t="n">
        <v>5107.569</v>
      </c>
      <c r="P10" s="0" t="n">
        <v>12254.279</v>
      </c>
      <c r="Q10" s="0" t="n">
        <v>7171.713</v>
      </c>
      <c r="R10" s="0" t="n">
        <v>3170.244</v>
      </c>
      <c r="S10" s="0" t="n">
        <v>1180.584</v>
      </c>
      <c r="T10" s="0" t="n">
        <v>145.11215</v>
      </c>
      <c r="U10" s="0" t="n">
        <v>96.093</v>
      </c>
      <c r="AA10" s="0" t="s">
        <v>17</v>
      </c>
      <c r="AB10" s="0" t="s">
        <v>14</v>
      </c>
    </row>
    <row r="11" customFormat="false" ht="15" hidden="false" customHeight="false" outlineLevel="0" collapsed="false">
      <c r="A11" s="0" t="s">
        <v>72</v>
      </c>
      <c r="B11" s="0" t="n">
        <v>11360.753</v>
      </c>
      <c r="C11" s="0" t="n">
        <v>8823.384</v>
      </c>
      <c r="D11" s="0" t="n">
        <v>2537.369</v>
      </c>
      <c r="E11" s="0" t="n">
        <v>22.3345142703129</v>
      </c>
      <c r="F11" s="0" t="n">
        <v>1575.655</v>
      </c>
      <c r="G11" s="0" t="n">
        <v>13.8692831364259</v>
      </c>
      <c r="I11" s="0" t="n">
        <v>807.216</v>
      </c>
      <c r="J11" s="0" t="n">
        <v>7.10530367133235</v>
      </c>
      <c r="K11" s="0" t="n">
        <v>5.96</v>
      </c>
      <c r="L11" s="0" t="n">
        <v>1210.778</v>
      </c>
      <c r="M11" s="0" t="n">
        <v>149.407</v>
      </c>
      <c r="N11" s="0" t="n">
        <v>1061.371</v>
      </c>
      <c r="O11" s="0" t="n">
        <v>4578.678</v>
      </c>
      <c r="P11" s="0" t="n">
        <v>12034.142</v>
      </c>
      <c r="Q11" s="0" t="n">
        <v>7455.464</v>
      </c>
      <c r="R11" s="0" t="n">
        <v>3094.927</v>
      </c>
      <c r="S11" s="0" t="n">
        <v>1221.653</v>
      </c>
      <c r="T11" s="0" t="n">
        <v>136.91169</v>
      </c>
      <c r="U11" s="0" t="n">
        <v>71.293</v>
      </c>
      <c r="AA11" s="0" t="s">
        <v>17</v>
      </c>
      <c r="AB11" s="0" t="s">
        <v>14</v>
      </c>
    </row>
    <row r="12" customFormat="false" ht="15" hidden="false" customHeight="false" outlineLevel="0" collapsed="false">
      <c r="A12" s="0" t="s">
        <v>73</v>
      </c>
      <c r="B12" s="0" t="n">
        <v>12029.312</v>
      </c>
      <c r="C12" s="0" t="n">
        <v>9119.029</v>
      </c>
      <c r="D12" s="0" t="n">
        <v>2840.35</v>
      </c>
      <c r="E12" s="0" t="n">
        <v>23.6119073144</v>
      </c>
      <c r="F12" s="0" t="n">
        <v>1790.255</v>
      </c>
      <c r="G12" s="0" t="n">
        <v>14.8824388294193</v>
      </c>
      <c r="I12" s="0" t="n">
        <v>983.844</v>
      </c>
      <c r="J12" s="0" t="n">
        <v>8.17872210813054</v>
      </c>
      <c r="K12" s="0" t="n">
        <v>7.37</v>
      </c>
      <c r="L12" s="0" t="n">
        <v>1300.563</v>
      </c>
      <c r="M12" s="0" t="n">
        <v>203.748</v>
      </c>
      <c r="N12" s="0" t="n">
        <v>1096.815</v>
      </c>
      <c r="O12" s="0" t="n">
        <v>5267.346</v>
      </c>
      <c r="P12" s="0" t="n">
        <v>15489.904</v>
      </c>
      <c r="Q12" s="0" t="n">
        <v>10222.558</v>
      </c>
      <c r="R12" s="0" t="n">
        <v>6344.625</v>
      </c>
      <c r="S12" s="0" t="n">
        <v>884.886</v>
      </c>
      <c r="T12" s="0" t="n">
        <v>135.559764</v>
      </c>
      <c r="U12" s="0" t="n">
        <v>80.339</v>
      </c>
      <c r="AA12" s="0" t="s">
        <v>17</v>
      </c>
      <c r="AB12" s="0" t="s">
        <v>14</v>
      </c>
    </row>
    <row r="13" customFormat="false" ht="15" hidden="false" customHeight="false" outlineLevel="0" collapsed="false">
      <c r="A13" s="0" t="s">
        <v>74</v>
      </c>
      <c r="B13" s="0" t="n">
        <v>14302.392</v>
      </c>
      <c r="C13" s="0" t="n">
        <v>10737.745</v>
      </c>
      <c r="F13" s="0" t="n">
        <v>2038.278</v>
      </c>
      <c r="G13" s="0" t="n">
        <v>14.2513084524603</v>
      </c>
      <c r="I13" s="0" t="n">
        <v>1061.315</v>
      </c>
      <c r="J13" s="0" t="n">
        <v>7.42054196249131</v>
      </c>
      <c r="K13" s="0" t="n">
        <v>7.98</v>
      </c>
      <c r="L13" s="0" t="n">
        <v>1596.7</v>
      </c>
      <c r="M13" s="0" t="n">
        <v>247.667</v>
      </c>
      <c r="N13" s="0" t="n">
        <v>1349.033</v>
      </c>
      <c r="O13" s="0" t="n">
        <v>5970.953</v>
      </c>
      <c r="P13" s="0" t="n">
        <v>15320.087</v>
      </c>
      <c r="Q13" s="0" t="n">
        <v>9454.594</v>
      </c>
      <c r="R13" s="0" t="n">
        <v>5057.436</v>
      </c>
      <c r="S13" s="0" t="n">
        <v>822.137</v>
      </c>
      <c r="T13" s="0" t="n">
        <v>135.426834</v>
      </c>
      <c r="U13" s="0" t="n">
        <v>118.831</v>
      </c>
      <c r="AA13" s="0" t="s">
        <v>17</v>
      </c>
      <c r="AB13" s="0" t="s">
        <v>14</v>
      </c>
    </row>
    <row r="14" customFormat="false" ht="15" hidden="false" customHeight="false" outlineLevel="0" collapsed="false">
      <c r="A14" s="0" t="s">
        <v>75</v>
      </c>
      <c r="B14" s="0" t="n">
        <v>14320.324</v>
      </c>
      <c r="C14" s="0" t="n">
        <v>10688.97</v>
      </c>
      <c r="F14" s="0" t="n">
        <v>2236.239</v>
      </c>
      <c r="G14" s="0" t="n">
        <v>15.6158408147749</v>
      </c>
      <c r="I14" s="0" t="n">
        <v>1525.083</v>
      </c>
      <c r="J14" s="0" t="n">
        <v>10.6497799910114</v>
      </c>
      <c r="K14" s="0" t="n">
        <v>11.73</v>
      </c>
      <c r="L14" s="0" t="n">
        <v>1730.14</v>
      </c>
      <c r="M14" s="0" t="n">
        <v>195.089</v>
      </c>
      <c r="N14" s="0" t="n">
        <v>1535.051</v>
      </c>
      <c r="O14" s="0" t="n">
        <v>6085.764</v>
      </c>
      <c r="P14" s="0" t="n">
        <v>17732.028</v>
      </c>
      <c r="Q14" s="0" t="n">
        <v>11608.538</v>
      </c>
      <c r="R14" s="0" t="n">
        <v>7108.073</v>
      </c>
      <c r="S14" s="0" t="n">
        <v>3219.767</v>
      </c>
      <c r="T14" s="0" t="n">
        <v>131.781617</v>
      </c>
      <c r="U14" s="0" t="n">
        <v>104.078</v>
      </c>
      <c r="AA14" s="0" t="s">
        <v>17</v>
      </c>
      <c r="AB14" s="0" t="s">
        <v>14</v>
      </c>
    </row>
    <row r="15" customFormat="false" ht="15" hidden="false" customHeight="false" outlineLevel="0" collapsed="false">
      <c r="A15" s="0" t="s">
        <v>76</v>
      </c>
      <c r="B15" s="0" t="n">
        <v>13695.52</v>
      </c>
      <c r="C15" s="0" t="n">
        <v>10292.291</v>
      </c>
      <c r="F15" s="0" t="n">
        <v>1966.704</v>
      </c>
      <c r="G15" s="0" t="n">
        <v>14.3601995397035</v>
      </c>
      <c r="I15" s="0" t="n">
        <v>1202.332</v>
      </c>
      <c r="J15" s="0" t="n">
        <v>8.77901678797154</v>
      </c>
      <c r="K15" s="0" t="n">
        <v>9.36</v>
      </c>
      <c r="L15" s="0" t="n">
        <v>2070.949</v>
      </c>
      <c r="M15" s="0" t="n">
        <v>232.591</v>
      </c>
      <c r="N15" s="0" t="n">
        <v>1838.358</v>
      </c>
      <c r="O15" s="0" t="n">
        <v>6241.77</v>
      </c>
      <c r="P15" s="0" t="n">
        <v>19887.753</v>
      </c>
      <c r="Q15" s="0" t="n">
        <v>13645.983</v>
      </c>
      <c r="R15" s="0" t="n">
        <v>8547.814</v>
      </c>
      <c r="S15" s="0" t="n">
        <v>685.514</v>
      </c>
      <c r="T15" s="0" t="n">
        <v>129.805034</v>
      </c>
      <c r="U15" s="0" t="n">
        <v>111.375</v>
      </c>
      <c r="AA15" s="0" t="s">
        <v>17</v>
      </c>
      <c r="AB15" s="0" t="s">
        <v>14</v>
      </c>
    </row>
    <row r="16" customFormat="false" ht="15" hidden="false" customHeight="false" outlineLevel="0" collapsed="false">
      <c r="A16" s="0" t="s">
        <v>77</v>
      </c>
      <c r="B16" s="0" t="n">
        <v>14347.64</v>
      </c>
      <c r="C16" s="0" t="n">
        <v>9604.522</v>
      </c>
      <c r="F16" s="0" t="n">
        <v>2459.941</v>
      </c>
      <c r="G16" s="0" t="n">
        <v>17.145265702234</v>
      </c>
      <c r="I16" s="0" t="n">
        <v>1746.861</v>
      </c>
      <c r="J16" s="0" t="n">
        <v>12.1752497274813</v>
      </c>
      <c r="K16" s="0" t="n">
        <v>13.54</v>
      </c>
      <c r="L16" s="0" t="n">
        <v>2575.001</v>
      </c>
      <c r="M16" s="0" t="n">
        <v>209.957</v>
      </c>
      <c r="N16" s="0" t="n">
        <v>2365.044</v>
      </c>
      <c r="O16" s="0" t="n">
        <v>8413.67</v>
      </c>
      <c r="P16" s="0" t="n">
        <v>20341.2</v>
      </c>
      <c r="Q16" s="0" t="n">
        <v>11927.53</v>
      </c>
      <c r="R16" s="0" t="n">
        <v>6587.696</v>
      </c>
      <c r="S16" s="0" t="n">
        <v>733.117</v>
      </c>
      <c r="T16" s="0" t="n">
        <v>130.834478</v>
      </c>
      <c r="U16" s="0" t="n">
        <v>121.483</v>
      </c>
      <c r="AA16" s="0" t="s">
        <v>17</v>
      </c>
      <c r="AB16" s="0" t="s">
        <v>14</v>
      </c>
    </row>
    <row r="17" customFormat="false" ht="15" hidden="false" customHeight="false" outlineLevel="0" collapsed="false">
      <c r="A17" s="0" t="s">
        <v>78</v>
      </c>
      <c r="B17" s="0" t="n">
        <v>15861.608</v>
      </c>
      <c r="C17" s="0" t="n">
        <v>10550.309</v>
      </c>
      <c r="F17" s="0" t="n">
        <v>2975.035</v>
      </c>
      <c r="G17" s="0" t="n">
        <v>18.7562005062791</v>
      </c>
      <c r="I17" s="0" t="n">
        <v>1316.186</v>
      </c>
      <c r="J17" s="0" t="n">
        <v>8.29793549304711</v>
      </c>
      <c r="K17" s="0" t="n">
        <v>10.24</v>
      </c>
      <c r="L17" s="0" t="n">
        <v>2441.73</v>
      </c>
      <c r="M17" s="0" t="n">
        <v>230.044</v>
      </c>
      <c r="N17" s="0" t="n">
        <v>2211.686</v>
      </c>
      <c r="O17" s="0" t="n">
        <v>8860</v>
      </c>
      <c r="P17" s="0" t="n">
        <v>25943.943</v>
      </c>
      <c r="Q17" s="0" t="n">
        <v>17084.023</v>
      </c>
      <c r="R17" s="0" t="n">
        <v>11782.415</v>
      </c>
      <c r="S17" s="0" t="n">
        <v>535.799</v>
      </c>
      <c r="T17" s="0" t="n">
        <v>130.355943</v>
      </c>
      <c r="U17" s="0" t="n">
        <v>137.093</v>
      </c>
      <c r="AA17" s="0" t="s">
        <v>17</v>
      </c>
      <c r="AB17" s="0" t="s">
        <v>14</v>
      </c>
    </row>
    <row r="18" customFormat="false" ht="15" hidden="false" customHeight="false" outlineLevel="0" collapsed="false">
      <c r="A18" s="0" t="s">
        <v>79</v>
      </c>
      <c r="B18" s="0" t="n">
        <v>19065</v>
      </c>
      <c r="C18" s="0" t="n">
        <v>12636</v>
      </c>
      <c r="F18" s="0" t="n">
        <v>3404</v>
      </c>
      <c r="G18" s="0" t="n">
        <v>17.8547075793339</v>
      </c>
      <c r="I18" s="0" t="n">
        <v>2084</v>
      </c>
      <c r="J18" s="0" t="n">
        <v>10.9310254392867</v>
      </c>
      <c r="K18" s="0" t="n">
        <v>16.23</v>
      </c>
      <c r="L18" s="0" t="n">
        <v>2980</v>
      </c>
      <c r="M18" s="0" t="n">
        <v>381</v>
      </c>
      <c r="N18" s="0" t="n">
        <v>2599</v>
      </c>
      <c r="O18" s="0" t="n">
        <v>10338</v>
      </c>
      <c r="P18" s="0" t="n">
        <v>29964</v>
      </c>
      <c r="Q18" s="0" t="n">
        <v>19626.193</v>
      </c>
      <c r="R18" s="0" t="n">
        <v>14533.83</v>
      </c>
      <c r="S18" s="0" t="n">
        <v>475.182</v>
      </c>
      <c r="T18" s="0" t="n">
        <v>129.9</v>
      </c>
      <c r="U18" s="0" t="n">
        <v>143</v>
      </c>
      <c r="V18" s="0" t="n">
        <v>5.47</v>
      </c>
      <c r="AA18" s="0" t="s">
        <v>17</v>
      </c>
      <c r="AB18" s="0" t="s">
        <v>14</v>
      </c>
    </row>
    <row r="19" customFormat="false" ht="15" hidden="false" customHeight="false" outlineLevel="0" collapsed="false">
      <c r="A19" s="0" t="s">
        <v>80</v>
      </c>
      <c r="B19" s="0" t="n">
        <v>19930</v>
      </c>
      <c r="C19" s="0" t="n">
        <v>12802</v>
      </c>
      <c r="F19" s="0" t="n">
        <v>4069</v>
      </c>
      <c r="G19" s="0" t="n">
        <v>20.4164576016056</v>
      </c>
      <c r="I19" s="0" t="n">
        <v>2845</v>
      </c>
      <c r="J19" s="0" t="n">
        <v>14.274962368289</v>
      </c>
      <c r="K19" s="0" t="n">
        <v>22.13</v>
      </c>
      <c r="L19" s="0" t="n">
        <v>3384</v>
      </c>
      <c r="M19" s="0" t="n">
        <v>400</v>
      </c>
      <c r="N19" s="0" t="n">
        <v>2984</v>
      </c>
      <c r="O19" s="0" t="n">
        <v>12081</v>
      </c>
      <c r="P19" s="0" t="n">
        <v>29298</v>
      </c>
      <c r="Q19" s="0" t="n">
        <v>17217</v>
      </c>
      <c r="R19" s="0" t="n">
        <v>11815</v>
      </c>
      <c r="S19" s="0" t="n">
        <v>422</v>
      </c>
      <c r="T19" s="0" t="n">
        <v>130.2</v>
      </c>
      <c r="U19" s="0" t="n">
        <v>156</v>
      </c>
      <c r="V19" s="0" t="n">
        <v>6.07</v>
      </c>
      <c r="AA19" s="0" t="s">
        <v>17</v>
      </c>
      <c r="AB19" s="0" t="s">
        <v>14</v>
      </c>
    </row>
    <row r="20" customFormat="false" ht="15" hidden="false" customHeight="false" outlineLevel="0" collapsed="false">
      <c r="A20" s="0" t="s">
        <v>81</v>
      </c>
      <c r="B20" s="0" t="n">
        <v>19850</v>
      </c>
      <c r="C20" s="0" t="n">
        <v>12535</v>
      </c>
      <c r="F20" s="0" t="n">
        <v>4347</v>
      </c>
      <c r="G20" s="0" t="n">
        <v>21.8992443324937</v>
      </c>
      <c r="I20" s="0" t="n">
        <v>3532</v>
      </c>
      <c r="J20" s="0" t="n">
        <v>17.7934508816121</v>
      </c>
      <c r="K20" s="0" t="n">
        <v>27.52</v>
      </c>
      <c r="L20" s="0" t="n">
        <v>3776</v>
      </c>
      <c r="M20" s="0" t="n">
        <v>435</v>
      </c>
      <c r="N20" s="0" t="n">
        <v>3341</v>
      </c>
      <c r="O20" s="0" t="n">
        <v>13691</v>
      </c>
      <c r="P20" s="0" t="n">
        <v>29494</v>
      </c>
      <c r="Q20" s="0" t="n">
        <v>15803</v>
      </c>
      <c r="R20" s="0" t="n">
        <v>9292</v>
      </c>
      <c r="S20" s="0" t="n">
        <v>467</v>
      </c>
      <c r="T20" s="0" t="n">
        <v>130.2</v>
      </c>
      <c r="U20" s="0" t="n">
        <v>159</v>
      </c>
      <c r="V20" s="0" t="n">
        <v>6.69</v>
      </c>
      <c r="AA20" s="0" t="s">
        <v>17</v>
      </c>
      <c r="AB20" s="0" t="s">
        <v>14</v>
      </c>
    </row>
    <row r="21" customFormat="false" ht="15" hidden="false" customHeight="false" outlineLevel="0" collapsed="false">
      <c r="A21" s="0" t="s">
        <v>82</v>
      </c>
      <c r="B21" s="0" t="n">
        <v>21499</v>
      </c>
      <c r="C21" s="0" t="n">
        <v>13397</v>
      </c>
      <c r="F21" s="0" t="n">
        <v>5068</v>
      </c>
      <c r="G21" s="0" t="n">
        <v>23.5731894506721</v>
      </c>
      <c r="I21" s="0" t="n">
        <v>3649</v>
      </c>
      <c r="J21" s="0" t="n">
        <v>16.9728824596493</v>
      </c>
      <c r="K21" s="0" t="n">
        <v>28.89</v>
      </c>
      <c r="L21" s="0" t="n">
        <v>4364</v>
      </c>
      <c r="M21" s="0" t="n">
        <v>459</v>
      </c>
      <c r="N21" s="0" t="n">
        <v>3905</v>
      </c>
      <c r="O21" s="0" t="n">
        <v>15413</v>
      </c>
      <c r="P21" s="0" t="n">
        <v>30877</v>
      </c>
      <c r="Q21" s="0" t="n">
        <v>15464</v>
      </c>
      <c r="R21" s="0" t="n">
        <v>9226</v>
      </c>
      <c r="S21" s="0" t="n">
        <v>501</v>
      </c>
      <c r="T21" s="0" t="n">
        <v>128.1</v>
      </c>
      <c r="U21" s="0" t="n">
        <v>179</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965.88</v>
      </c>
    </row>
    <row r="3" customFormat="false" ht="15" hidden="false" customHeight="false" outlineLevel="0" collapsed="false">
      <c r="A3" s="0" t="s">
        <v>86</v>
      </c>
      <c r="B3" s="3" t="n">
        <v>127.9</v>
      </c>
    </row>
    <row r="4" customFormat="false" ht="15" hidden="false" customHeight="false" outlineLevel="0" collapsed="false">
      <c r="A4" s="0" t="s">
        <v>87</v>
      </c>
      <c r="B4" s="3" t="n">
        <v>17269</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21499</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13</v>
      </c>
      <c r="D13" s="3" t="n">
        <v>3</v>
      </c>
      <c r="E13" s="3" t="n">
        <v>-6</v>
      </c>
      <c r="F13" s="3" t="n">
        <v>2</v>
      </c>
      <c r="G13" s="3" t="n">
        <v>5</v>
      </c>
      <c r="H13" s="3" t="n">
        <v>4</v>
      </c>
      <c r="I13" s="3" t="n">
        <v>3</v>
      </c>
      <c r="J13" s="3" t="n">
        <v>3</v>
      </c>
      <c r="K13" s="3" t="n">
        <v>2.5</v>
      </c>
      <c r="L13" s="3" t="n">
        <v>2.5</v>
      </c>
    </row>
    <row r="14" customFormat="false" ht="15" hidden="false" customHeight="false" outlineLevel="0" collapsed="false">
      <c r="A14" s="0" t="s">
        <v>107</v>
      </c>
      <c r="C14" s="3" t="n">
        <v>28</v>
      </c>
      <c r="D14" s="3" t="n">
        <v>27.8</v>
      </c>
      <c r="E14" s="3" t="n">
        <v>26</v>
      </c>
      <c r="F14" s="3" t="n">
        <v>26.8</v>
      </c>
      <c r="G14" s="3" t="n">
        <v>27.5</v>
      </c>
      <c r="H14" s="3" t="n">
        <v>27.8</v>
      </c>
      <c r="I14" s="3" t="n">
        <v>28</v>
      </c>
      <c r="J14" s="3" t="n">
        <v>28</v>
      </c>
      <c r="K14" s="3" t="n">
        <v>28</v>
      </c>
      <c r="L14" s="3" t="n">
        <v>28</v>
      </c>
    </row>
    <row r="15" customFormat="false" ht="15" hidden="false" customHeight="false" outlineLevel="0" collapsed="false">
      <c r="A15" s="0" t="s">
        <v>108</v>
      </c>
      <c r="C15" s="3" t="n">
        <v>0.83</v>
      </c>
      <c r="D15" s="3" t="n">
        <v>0.83</v>
      </c>
      <c r="E15" s="3" t="n">
        <v>0.85</v>
      </c>
      <c r="F15" s="3" t="n">
        <v>0.83</v>
      </c>
      <c r="G15" s="3" t="n">
        <v>0.82</v>
      </c>
      <c r="H15" s="3" t="n">
        <v>0.8</v>
      </c>
      <c r="I15" s="3" t="n">
        <v>0.8</v>
      </c>
      <c r="J15" s="3" t="n">
        <v>0.8</v>
      </c>
      <c r="K15" s="3" t="n">
        <v>0.8</v>
      </c>
      <c r="L15" s="3" t="n">
        <v>0.8</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5</v>
      </c>
      <c r="D17" s="3" t="n">
        <v>4.8</v>
      </c>
      <c r="E17" s="3" t="n">
        <v>4.8</v>
      </c>
      <c r="F17" s="3" t="n">
        <v>4.5</v>
      </c>
      <c r="G17" s="3" t="n">
        <v>4.2</v>
      </c>
      <c r="H17" s="3" t="n">
        <v>3.8</v>
      </c>
      <c r="I17" s="3" t="n">
        <v>3.5</v>
      </c>
      <c r="J17" s="3" t="n">
        <v>3.2</v>
      </c>
      <c r="K17" s="3" t="n">
        <v>2.9</v>
      </c>
      <c r="L17" s="3" t="n">
        <v>2.7</v>
      </c>
    </row>
    <row r="18" customFormat="false" ht="15" hidden="false" customHeight="false" outlineLevel="0" collapsed="false">
      <c r="A18" s="0" t="s">
        <v>111</v>
      </c>
      <c r="C18" s="3" t="n">
        <v>2.2</v>
      </c>
      <c r="D18" s="3" t="n">
        <v>2.3</v>
      </c>
      <c r="E18" s="3" t="n">
        <v>2.2</v>
      </c>
      <c r="F18" s="3" t="n">
        <v>2.2</v>
      </c>
      <c r="G18" s="3" t="n">
        <v>2.3</v>
      </c>
      <c r="H18" s="3" t="n">
        <v>2.3</v>
      </c>
      <c r="I18" s="3" t="n">
        <v>2.3</v>
      </c>
      <c r="J18" s="3" t="n">
        <v>2.3</v>
      </c>
      <c r="K18" s="3" t="n">
        <v>2.3</v>
      </c>
      <c r="L18" s="3" t="n">
        <v>2.3</v>
      </c>
    </row>
    <row r="19" customFormat="false" ht="15" hidden="false" customHeight="false" outlineLevel="0" collapsed="false">
      <c r="A19" s="0" t="s">
        <v>112</v>
      </c>
      <c r="C19" s="3" t="n">
        <v>22.5</v>
      </c>
      <c r="D19" s="3" t="n">
        <v>22.5</v>
      </c>
      <c r="E19" s="3" t="n">
        <v>22.5</v>
      </c>
      <c r="F19" s="3" t="n">
        <v>22.5</v>
      </c>
      <c r="G19" s="3" t="n">
        <v>22.5</v>
      </c>
      <c r="H19" s="3" t="n">
        <v>22.5</v>
      </c>
      <c r="I19" s="3" t="n">
        <v>22.5</v>
      </c>
      <c r="J19" s="3" t="n">
        <v>22.5</v>
      </c>
      <c r="K19" s="3" t="n">
        <v>22.5</v>
      </c>
      <c r="L19" s="3" t="n">
        <v>22.5</v>
      </c>
    </row>
    <row r="20" customFormat="false" ht="15" hidden="false" customHeight="false" outlineLevel="0" collapsed="false">
      <c r="A20" s="0" t="s">
        <v>113</v>
      </c>
      <c r="B20" s="3" t="n">
        <v>9</v>
      </c>
    </row>
    <row r="21" customFormat="false" ht="15" hidden="false" customHeight="false" outlineLevel="0" collapsed="false">
      <c r="A21" s="0" t="s">
        <v>114</v>
      </c>
      <c r="B21" s="3" t="n">
        <v>2.5</v>
      </c>
    </row>
    <row r="22" customFormat="false" ht="15" hidden="false" customHeight="false" outlineLevel="0" collapsed="false">
      <c r="A22" s="0" t="s">
        <v>115</v>
      </c>
      <c r="B22" s="3" t="n">
        <v>14</v>
      </c>
    </row>
    <row r="23" customFormat="false" ht="15" hidden="false" customHeight="false" outlineLevel="0" collapsed="false">
      <c r="A23" s="0" t="s">
        <v>116</v>
      </c>
      <c r="B23" s="3" t="n">
        <v>-12</v>
      </c>
    </row>
    <row r="24" customFormat="false" ht="15" hidden="false" customHeight="false" outlineLevel="0" collapsed="false">
      <c r="A24" s="0" t="s">
        <v>117</v>
      </c>
      <c r="B24" s="3" t="n">
        <v>0.2</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15</v>
      </c>
      <c r="D27" s="3" t="n">
        <v>6.5</v>
      </c>
      <c r="E27" s="3" t="n">
        <v>5</v>
      </c>
      <c r="F27" s="3" t="n">
        <v>4.5</v>
      </c>
      <c r="G27" s="3" t="n">
        <v>4.5</v>
      </c>
      <c r="H27" s="3" t="n">
        <v>4</v>
      </c>
      <c r="I27" s="3" t="n">
        <v>4</v>
      </c>
      <c r="J27" s="3" t="n">
        <v>3.5</v>
      </c>
      <c r="K27" s="3" t="n">
        <v>3.5</v>
      </c>
      <c r="L27" s="3" t="n">
        <v>3</v>
      </c>
    </row>
    <row r="28" customFormat="false" ht="15" hidden="false" customHeight="false" outlineLevel="0" collapsed="false">
      <c r="A28" s="0" t="s">
        <v>107</v>
      </c>
      <c r="C28" s="3" t="n">
        <v>28.4</v>
      </c>
      <c r="D28" s="3" t="n">
        <v>29</v>
      </c>
      <c r="E28" s="3" t="n">
        <v>29.5</v>
      </c>
      <c r="F28" s="3" t="n">
        <v>29.9</v>
      </c>
      <c r="G28" s="3" t="n">
        <v>30.2</v>
      </c>
      <c r="H28" s="3" t="n">
        <v>30.4</v>
      </c>
      <c r="I28" s="3" t="n">
        <v>30.5</v>
      </c>
      <c r="J28" s="3" t="n">
        <v>30.5</v>
      </c>
      <c r="K28" s="3" t="n">
        <v>30.5</v>
      </c>
      <c r="L28" s="3" t="n">
        <v>30.5</v>
      </c>
    </row>
    <row r="29" customFormat="false" ht="15" hidden="false" customHeight="false" outlineLevel="0" collapsed="false">
      <c r="A29" s="0" t="s">
        <v>108</v>
      </c>
      <c r="C29" s="3" t="n">
        <v>0.83</v>
      </c>
      <c r="D29" s="3" t="n">
        <v>0.83</v>
      </c>
      <c r="E29" s="3" t="n">
        <v>0.82</v>
      </c>
      <c r="F29" s="3" t="n">
        <v>0.81</v>
      </c>
      <c r="G29" s="3" t="n">
        <v>0.8</v>
      </c>
      <c r="H29" s="3" t="n">
        <v>0.8</v>
      </c>
      <c r="I29" s="3" t="n">
        <v>0.8</v>
      </c>
      <c r="J29" s="3" t="n">
        <v>0.8</v>
      </c>
      <c r="K29" s="3" t="n">
        <v>0.8</v>
      </c>
      <c r="L29" s="3" t="n">
        <v>0.8</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5</v>
      </c>
      <c r="D31" s="3" t="n">
        <v>4.8</v>
      </c>
      <c r="E31" s="3" t="n">
        <v>4.6</v>
      </c>
      <c r="F31" s="3" t="n">
        <v>4.3</v>
      </c>
      <c r="G31" s="3" t="n">
        <v>4</v>
      </c>
      <c r="H31" s="3" t="n">
        <v>3.7</v>
      </c>
      <c r="I31" s="3" t="n">
        <v>3.4</v>
      </c>
      <c r="J31" s="3" t="n">
        <v>3.1</v>
      </c>
      <c r="K31" s="3" t="n">
        <v>2.8</v>
      </c>
      <c r="L31" s="3" t="n">
        <v>2.6</v>
      </c>
    </row>
    <row r="32" customFormat="false" ht="15" hidden="false" customHeight="false" outlineLevel="0" collapsed="false">
      <c r="A32" s="0" t="s">
        <v>111</v>
      </c>
      <c r="C32" s="3" t="n">
        <v>2.2</v>
      </c>
      <c r="D32" s="3" t="n">
        <v>2.3</v>
      </c>
      <c r="E32" s="3" t="n">
        <v>2.3</v>
      </c>
      <c r="F32" s="3" t="n">
        <v>2.3</v>
      </c>
      <c r="G32" s="3" t="n">
        <v>2.4</v>
      </c>
      <c r="H32" s="3" t="n">
        <v>2.4</v>
      </c>
      <c r="I32" s="3" t="n">
        <v>2.4</v>
      </c>
      <c r="J32" s="3" t="n">
        <v>2.4</v>
      </c>
      <c r="K32" s="3" t="n">
        <v>2.4</v>
      </c>
      <c r="L32" s="3" t="n">
        <v>2.4</v>
      </c>
    </row>
    <row r="33" customFormat="false" ht="15" hidden="false" customHeight="false" outlineLevel="0" collapsed="false">
      <c r="A33" s="0" t="s">
        <v>112</v>
      </c>
      <c r="C33" s="3" t="n">
        <v>22.5</v>
      </c>
      <c r="D33" s="3" t="n">
        <v>22.5</v>
      </c>
      <c r="E33" s="3" t="n">
        <v>22.5</v>
      </c>
      <c r="F33" s="3" t="n">
        <v>22.5</v>
      </c>
      <c r="G33" s="3" t="n">
        <v>22.5</v>
      </c>
      <c r="H33" s="3" t="n">
        <v>22.5</v>
      </c>
      <c r="I33" s="3" t="n">
        <v>22.5</v>
      </c>
      <c r="J33" s="3" t="n">
        <v>22.5</v>
      </c>
      <c r="K33" s="3" t="n">
        <v>22.5</v>
      </c>
      <c r="L33" s="3" t="n">
        <v>22.5</v>
      </c>
    </row>
    <row r="34" customFormat="false" ht="15" hidden="false" customHeight="false" outlineLevel="0" collapsed="false">
      <c r="A34" s="0" t="s">
        <v>113</v>
      </c>
      <c r="B34" s="3" t="n">
        <v>9</v>
      </c>
    </row>
    <row r="35" customFormat="false" ht="15" hidden="false" customHeight="false" outlineLevel="0" collapsed="false">
      <c r="A35" s="0" t="s">
        <v>114</v>
      </c>
      <c r="B35" s="3" t="n">
        <v>3</v>
      </c>
    </row>
    <row r="36" customFormat="false" ht="15" hidden="false" customHeight="false" outlineLevel="0" collapsed="false">
      <c r="A36" s="0" t="s">
        <v>115</v>
      </c>
      <c r="B36" s="3" t="n">
        <v>18</v>
      </c>
    </row>
    <row r="37" customFormat="false" ht="15" hidden="false" customHeight="false" outlineLevel="0" collapsed="false">
      <c r="A37" s="0" t="s">
        <v>116</v>
      </c>
      <c r="B37" s="3" t="n">
        <v>-12</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16.5</v>
      </c>
      <c r="D41" s="3" t="n">
        <v>8.5</v>
      </c>
      <c r="E41" s="3" t="n">
        <v>7.5</v>
      </c>
      <c r="F41" s="3" t="n">
        <v>7</v>
      </c>
      <c r="G41" s="3" t="n">
        <v>6.5</v>
      </c>
      <c r="H41" s="3" t="n">
        <v>6</v>
      </c>
      <c r="I41" s="3" t="n">
        <v>5</v>
      </c>
      <c r="J41" s="3" t="n">
        <v>4.5</v>
      </c>
      <c r="K41" s="3" t="n">
        <v>4</v>
      </c>
      <c r="L41" s="3" t="n">
        <v>3.5</v>
      </c>
    </row>
    <row r="42" customFormat="false" ht="15" hidden="false" customHeight="false" outlineLevel="0" collapsed="false">
      <c r="A42" s="0" t="s">
        <v>107</v>
      </c>
      <c r="C42" s="3" t="n">
        <v>28.7</v>
      </c>
      <c r="D42" s="3" t="n">
        <v>29.6</v>
      </c>
      <c r="E42" s="3" t="n">
        <v>30.4</v>
      </c>
      <c r="F42" s="3" t="n">
        <v>31</v>
      </c>
      <c r="G42" s="3" t="n">
        <v>31.5</v>
      </c>
      <c r="H42" s="3" t="n">
        <v>31.8</v>
      </c>
      <c r="I42" s="3" t="n">
        <v>32</v>
      </c>
      <c r="J42" s="3" t="n">
        <v>32</v>
      </c>
      <c r="K42" s="3" t="n">
        <v>32</v>
      </c>
      <c r="L42" s="3" t="n">
        <v>32</v>
      </c>
    </row>
    <row r="43" customFormat="false" ht="15" hidden="false" customHeight="false" outlineLevel="0" collapsed="false">
      <c r="A43" s="0" t="s">
        <v>108</v>
      </c>
      <c r="C43" s="3" t="n">
        <v>0.83</v>
      </c>
      <c r="D43" s="3" t="n">
        <v>0.83</v>
      </c>
      <c r="E43" s="3" t="n">
        <v>0.82</v>
      </c>
      <c r="F43" s="3" t="n">
        <v>0.81</v>
      </c>
      <c r="G43" s="3" t="n">
        <v>0.8</v>
      </c>
      <c r="H43" s="3" t="n">
        <v>0.8</v>
      </c>
      <c r="I43" s="3" t="n">
        <v>0.8</v>
      </c>
      <c r="J43" s="3" t="n">
        <v>0.8</v>
      </c>
      <c r="K43" s="3" t="n">
        <v>0.8</v>
      </c>
      <c r="L43" s="3" t="n">
        <v>0.8</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5</v>
      </c>
      <c r="D45" s="3" t="n">
        <v>4.8</v>
      </c>
      <c r="E45" s="3" t="n">
        <v>4.6</v>
      </c>
      <c r="F45" s="3" t="n">
        <v>4.3</v>
      </c>
      <c r="G45" s="3" t="n">
        <v>4</v>
      </c>
      <c r="H45" s="3" t="n">
        <v>3.7</v>
      </c>
      <c r="I45" s="3" t="n">
        <v>3.4</v>
      </c>
      <c r="J45" s="3" t="n">
        <v>3.1</v>
      </c>
      <c r="K45" s="3" t="n">
        <v>2.8</v>
      </c>
      <c r="L45" s="3" t="n">
        <v>2.6</v>
      </c>
    </row>
    <row r="46" customFormat="false" ht="15" hidden="false" customHeight="false" outlineLevel="0" collapsed="false">
      <c r="A46" s="0" t="s">
        <v>111</v>
      </c>
      <c r="C46" s="3" t="n">
        <v>2.2</v>
      </c>
      <c r="D46" s="3" t="n">
        <v>2.3</v>
      </c>
      <c r="E46" s="3" t="n">
        <v>2.3</v>
      </c>
      <c r="F46" s="3" t="n">
        <v>2.3</v>
      </c>
      <c r="G46" s="3" t="n">
        <v>2.4</v>
      </c>
      <c r="H46" s="3" t="n">
        <v>2.4</v>
      </c>
      <c r="I46" s="3" t="n">
        <v>2.4</v>
      </c>
      <c r="J46" s="3" t="n">
        <v>2.4</v>
      </c>
      <c r="K46" s="3" t="n">
        <v>2.4</v>
      </c>
      <c r="L46" s="3" t="n">
        <v>2.4</v>
      </c>
    </row>
    <row r="47" customFormat="false" ht="15" hidden="false" customHeight="false" outlineLevel="0" collapsed="false">
      <c r="A47" s="0" t="s">
        <v>112</v>
      </c>
      <c r="C47" s="3" t="n">
        <v>22.5</v>
      </c>
      <c r="D47" s="3" t="n">
        <v>22.5</v>
      </c>
      <c r="E47" s="3" t="n">
        <v>22.5</v>
      </c>
      <c r="F47" s="3" t="n">
        <v>22.5</v>
      </c>
      <c r="G47" s="3" t="n">
        <v>22.5</v>
      </c>
      <c r="H47" s="3" t="n">
        <v>22.5</v>
      </c>
      <c r="I47" s="3" t="n">
        <v>22.5</v>
      </c>
      <c r="J47" s="3" t="n">
        <v>22.5</v>
      </c>
      <c r="K47" s="3" t="n">
        <v>22.5</v>
      </c>
      <c r="L47" s="3" t="n">
        <v>22.5</v>
      </c>
    </row>
    <row r="48" customFormat="false" ht="15" hidden="false" customHeight="false" outlineLevel="0" collapsed="false">
      <c r="A48" s="0" t="s">
        <v>113</v>
      </c>
      <c r="B48" s="3" t="n">
        <v>9</v>
      </c>
    </row>
    <row r="49" customFormat="false" ht="15" hidden="false" customHeight="false" outlineLevel="0" collapsed="false">
      <c r="A49" s="0" t="s">
        <v>114</v>
      </c>
      <c r="B49" s="3" t="n">
        <v>3</v>
      </c>
    </row>
    <row r="50" customFormat="false" ht="15" hidden="false" customHeight="false" outlineLevel="0" collapsed="false">
      <c r="A50" s="0" t="s">
        <v>115</v>
      </c>
      <c r="B50" s="3" t="n">
        <v>20</v>
      </c>
    </row>
    <row r="51" customFormat="false" ht="15" hidden="false" customHeight="false" outlineLevel="0" collapsed="false">
      <c r="A51" s="0" t="s">
        <v>116</v>
      </c>
      <c r="B51" s="3" t="n">
        <v>-12</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13</v>
      </c>
      <c r="D5" s="4" t="n">
        <f aca="false">Assumptions!D13</f>
        <v>3</v>
      </c>
      <c r="E5" s="4" t="n">
        <f aca="false">Assumptions!E13</f>
        <v>-6</v>
      </c>
      <c r="F5" s="4" t="n">
        <f aca="false">Assumptions!F13</f>
        <v>2</v>
      </c>
      <c r="G5" s="4" t="n">
        <f aca="false">Assumptions!G13</f>
        <v>5</v>
      </c>
      <c r="H5" s="4" t="n">
        <f aca="false">Assumptions!H13</f>
        <v>4</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21499</v>
      </c>
      <c r="C6" s="0" t="n">
        <f aca="false">B6*(1+C5/100)</f>
        <v>24293.87</v>
      </c>
      <c r="D6" s="0" t="n">
        <f aca="false">C6*(1+D5/100)</f>
        <v>25022.6861</v>
      </c>
      <c r="E6" s="0" t="n">
        <f aca="false">D6*(1+E5/100)</f>
        <v>23521.324934</v>
      </c>
      <c r="F6" s="0" t="n">
        <f aca="false">E6*(1+F5/100)</f>
        <v>23991.75143268</v>
      </c>
      <c r="G6" s="0" t="n">
        <f aca="false">F6*(1+G5/100)</f>
        <v>25191.339004314</v>
      </c>
      <c r="H6" s="0" t="n">
        <f aca="false">G6*(1+H5/100)</f>
        <v>26198.9925644866</v>
      </c>
      <c r="I6" s="0" t="n">
        <f aca="false">H6*(1+I5/100)</f>
        <v>26984.9623414212</v>
      </c>
      <c r="J6" s="0" t="n">
        <f aca="false">I6*(1+J5/100)</f>
        <v>27794.5112116638</v>
      </c>
      <c r="K6" s="0" t="n">
        <f aca="false">J6*(1+K5/100)</f>
        <v>28489.3739919554</v>
      </c>
      <c r="L6" s="0" t="n">
        <f aca="false">K6*(1+L5/100)</f>
        <v>29201.6083417543</v>
      </c>
    </row>
    <row r="7" customFormat="false" ht="15" hidden="false" customHeight="false" outlineLevel="0" collapsed="false">
      <c r="A7" s="0" t="s">
        <v>107</v>
      </c>
      <c r="C7" s="4" t="n">
        <f aca="false">Assumptions!C14</f>
        <v>28</v>
      </c>
      <c r="D7" s="4" t="n">
        <f aca="false">Assumptions!D14</f>
        <v>27.8</v>
      </c>
      <c r="E7" s="4" t="n">
        <f aca="false">Assumptions!E14</f>
        <v>26</v>
      </c>
      <c r="F7" s="4" t="n">
        <f aca="false">Assumptions!F14</f>
        <v>26.8</v>
      </c>
      <c r="G7" s="4" t="n">
        <f aca="false">Assumptions!G14</f>
        <v>27.5</v>
      </c>
      <c r="H7" s="4" t="n">
        <f aca="false">Assumptions!H14</f>
        <v>27.8</v>
      </c>
      <c r="I7" s="4" t="n">
        <f aca="false">Assumptions!I14</f>
        <v>28</v>
      </c>
      <c r="J7" s="4" t="n">
        <f aca="false">Assumptions!J14</f>
        <v>28</v>
      </c>
      <c r="K7" s="4" t="n">
        <f aca="false">Assumptions!K14</f>
        <v>28</v>
      </c>
      <c r="L7" s="4" t="n">
        <f aca="false">Assumptions!L14</f>
        <v>28</v>
      </c>
    </row>
    <row r="8" customFormat="false" ht="15" hidden="false" customHeight="false" outlineLevel="0" collapsed="false">
      <c r="A8" s="0" t="s">
        <v>43</v>
      </c>
      <c r="C8" s="0" t="n">
        <f aca="false">C6*C7/100</f>
        <v>6802.2836</v>
      </c>
      <c r="D8" s="0" t="n">
        <f aca="false">D6*D7/100</f>
        <v>6956.3067358</v>
      </c>
      <c r="E8" s="0" t="n">
        <f aca="false">E6*E7/100</f>
        <v>6115.54448284</v>
      </c>
      <c r="F8" s="0" t="n">
        <f aca="false">F6*F7/100</f>
        <v>6429.78938395824</v>
      </c>
      <c r="G8" s="0" t="n">
        <f aca="false">G6*G7/100</f>
        <v>6927.61822618635</v>
      </c>
      <c r="H8" s="0" t="n">
        <f aca="false">H6*H7/100</f>
        <v>7283.31993292726</v>
      </c>
      <c r="I8" s="0" t="n">
        <f aca="false">I6*I7/100</f>
        <v>7555.78945559792</v>
      </c>
      <c r="J8" s="0" t="n">
        <f aca="false">J6*J7/100</f>
        <v>7782.46313926586</v>
      </c>
      <c r="K8" s="0" t="n">
        <f aca="false">K6*K7/100</f>
        <v>7977.02471774751</v>
      </c>
      <c r="L8" s="0" t="n">
        <f aca="false">L6*L7/100</f>
        <v>8176.45033569119</v>
      </c>
    </row>
    <row r="9" customFormat="false" ht="15" hidden="false" customHeight="false" outlineLevel="0" collapsed="false">
      <c r="A9" s="0" t="s">
        <v>108</v>
      </c>
      <c r="C9" s="4" t="n">
        <f aca="false">Assumptions!C15</f>
        <v>0.83</v>
      </c>
      <c r="D9" s="4" t="n">
        <f aca="false">Assumptions!D15</f>
        <v>0.83</v>
      </c>
      <c r="E9" s="4" t="n">
        <f aca="false">Assumptions!E15</f>
        <v>0.85</v>
      </c>
      <c r="F9" s="4" t="n">
        <f aca="false">Assumptions!F15</f>
        <v>0.83</v>
      </c>
      <c r="G9" s="4" t="n">
        <f aca="false">Assumptions!G15</f>
        <v>0.82</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123</v>
      </c>
      <c r="C10" s="0" t="n">
        <f aca="false">-C6*C9/100</f>
        <v>-201.639121</v>
      </c>
      <c r="D10" s="0" t="n">
        <f aca="false">-D6*D9/100</f>
        <v>-207.68829463</v>
      </c>
      <c r="E10" s="0" t="n">
        <f aca="false">-E6*E9/100</f>
        <v>-199.931261939</v>
      </c>
      <c r="F10" s="0" t="n">
        <f aca="false">-F6*F9/100</f>
        <v>-199.131536891244</v>
      </c>
      <c r="G10" s="0" t="n">
        <f aca="false">-G6*G9/100</f>
        <v>-206.568979835375</v>
      </c>
      <c r="H10" s="0" t="n">
        <f aca="false">-H6*H9/100</f>
        <v>-209.591940515893</v>
      </c>
      <c r="I10" s="0" t="n">
        <f aca="false">-I6*I9/100</f>
        <v>-215.879698731369</v>
      </c>
      <c r="J10" s="0" t="n">
        <f aca="false">-J6*J9/100</f>
        <v>-222.35608969331</v>
      </c>
      <c r="K10" s="0" t="n">
        <f aca="false">-K6*K9/100</f>
        <v>-227.914991935643</v>
      </c>
      <c r="L10" s="0" t="n">
        <f aca="false">-L6*L9/100</f>
        <v>-233.612866734034</v>
      </c>
    </row>
    <row r="11" customFormat="false" ht="15" hidden="false" customHeight="false" outlineLevel="0" collapsed="false">
      <c r="A11" s="0" t="s">
        <v>124</v>
      </c>
      <c r="C11" s="0" t="n">
        <f aca="false">C8+C10+C24</f>
        <v>6600.644479</v>
      </c>
      <c r="D11" s="0" t="n">
        <f aca="false">D8+D10+D24</f>
        <v>6748.61844117</v>
      </c>
      <c r="E11" s="0" t="n">
        <f aca="false">E8+E10+E24</f>
        <v>5915.613220901</v>
      </c>
      <c r="F11" s="0" t="n">
        <f aca="false">F8+F10+F24</f>
        <v>6230.657847067</v>
      </c>
      <c r="G11" s="0" t="n">
        <f aca="false">G8+G10+G24</f>
        <v>6721.04924635098</v>
      </c>
      <c r="H11" s="0" t="n">
        <f aca="false">H8+H10+H24</f>
        <v>7073.72799241137</v>
      </c>
      <c r="I11" s="0" t="n">
        <f aca="false">I8+I10+I24</f>
        <v>7339.90975686656</v>
      </c>
      <c r="J11" s="0" t="n">
        <f aca="false">J8+J10+J24</f>
        <v>7560.10704957255</v>
      </c>
      <c r="K11" s="0" t="n">
        <f aca="false">K8+K10+K24</f>
        <v>7749.10972581186</v>
      </c>
      <c r="L11" s="0" t="n">
        <f aca="false">L8+L10+L24</f>
        <v>7942.83746895716</v>
      </c>
    </row>
    <row r="12" customFormat="false" ht="15" hidden="false" customHeight="false" outlineLevel="0" collapsed="false">
      <c r="A12" s="0" t="s">
        <v>125</v>
      </c>
      <c r="C12" s="4" t="n">
        <f aca="false">-C6*Assumptions!C17/100</f>
        <v>-1214.6935</v>
      </c>
      <c r="D12" s="4" t="n">
        <f aca="false">-D6*Assumptions!D17/100</f>
        <v>-1201.0889328</v>
      </c>
      <c r="E12" s="4" t="n">
        <f aca="false">-E6*Assumptions!E17/100</f>
        <v>-1129.023596832</v>
      </c>
      <c r="F12" s="4" t="n">
        <f aca="false">-F6*Assumptions!F17/100</f>
        <v>-1079.6288144706</v>
      </c>
      <c r="G12" s="4" t="n">
        <f aca="false">-G6*Assumptions!G17/100</f>
        <v>-1058.03623818119</v>
      </c>
      <c r="H12" s="4" t="n">
        <f aca="false">-H6*Assumptions!H17/100</f>
        <v>-995.561717450489</v>
      </c>
      <c r="I12" s="4" t="n">
        <f aca="false">-I6*Assumptions!I17/100</f>
        <v>-944.473681949741</v>
      </c>
      <c r="J12" s="4" t="n">
        <f aca="false">-J6*Assumptions!J17/100</f>
        <v>-889.424358773241</v>
      </c>
      <c r="K12" s="4" t="n">
        <f aca="false">-K6*Assumptions!K17/100</f>
        <v>-826.191845766706</v>
      </c>
      <c r="L12" s="4" t="n">
        <f aca="false">-L6*Assumptions!L17/100</f>
        <v>-788.443425227365</v>
      </c>
    </row>
    <row r="13" customFormat="false" ht="15" hidden="false" customHeight="false" outlineLevel="0" collapsed="false">
      <c r="A13" s="0" t="s">
        <v>126</v>
      </c>
      <c r="C13" s="0" t="n">
        <f aca="false">C11+C12</f>
        <v>5385.950979</v>
      </c>
      <c r="D13" s="0" t="n">
        <f aca="false">D11+D12</f>
        <v>5547.52950837</v>
      </c>
      <c r="E13" s="0" t="n">
        <f aca="false">E11+E12</f>
        <v>4786.589624069</v>
      </c>
      <c r="F13" s="0" t="n">
        <f aca="false">F11+F12</f>
        <v>5151.0290325964</v>
      </c>
      <c r="G13" s="0" t="n">
        <f aca="false">G11+G12</f>
        <v>5663.01300816979</v>
      </c>
      <c r="H13" s="0" t="n">
        <f aca="false">H11+H12</f>
        <v>6078.16627496088</v>
      </c>
      <c r="I13" s="0" t="n">
        <f aca="false">I11+I12</f>
        <v>6395.43607491681</v>
      </c>
      <c r="J13" s="0" t="n">
        <f aca="false">J11+J12</f>
        <v>6670.68269079931</v>
      </c>
      <c r="K13" s="0" t="n">
        <f aca="false">K11+K12</f>
        <v>6922.91788004516</v>
      </c>
      <c r="L13" s="0" t="n">
        <f aca="false">L11+L12</f>
        <v>7154.39404372979</v>
      </c>
    </row>
    <row r="14" customFormat="false" ht="15" hidden="false" customHeight="false" outlineLevel="0" collapsed="false">
      <c r="A14" s="0" t="s">
        <v>112</v>
      </c>
      <c r="C14" s="4" t="n">
        <f aca="false">Assumptions!C19</f>
        <v>22.5</v>
      </c>
      <c r="D14" s="4" t="n">
        <f aca="false">Assumptions!D19</f>
        <v>22.5</v>
      </c>
      <c r="E14" s="4" t="n">
        <f aca="false">Assumptions!E19</f>
        <v>22.5</v>
      </c>
      <c r="F14" s="4" t="n">
        <f aca="false">Assumptions!F19</f>
        <v>22.5</v>
      </c>
      <c r="G14" s="4" t="n">
        <f aca="false">Assumptions!G19</f>
        <v>22.5</v>
      </c>
      <c r="H14" s="4" t="n">
        <f aca="false">Assumptions!H19</f>
        <v>22.5</v>
      </c>
      <c r="I14" s="4" t="n">
        <f aca="false">Assumptions!I19</f>
        <v>22.5</v>
      </c>
      <c r="J14" s="4" t="n">
        <f aca="false">Assumptions!J19</f>
        <v>22.5</v>
      </c>
      <c r="K14" s="4" t="n">
        <f aca="false">Assumptions!K19</f>
        <v>22.5</v>
      </c>
      <c r="L14" s="4" t="n">
        <f aca="false">Assumptions!L19</f>
        <v>22.5</v>
      </c>
    </row>
    <row r="15" customFormat="false" ht="15" hidden="false" customHeight="false" outlineLevel="0" collapsed="false">
      <c r="A15" s="0" t="s">
        <v>127</v>
      </c>
      <c r="C15" s="0" t="n">
        <f aca="false">C13-MAX(0,C13)*C14/100</f>
        <v>4174.112008725</v>
      </c>
      <c r="D15" s="0" t="n">
        <f aca="false">D13-MAX(0,D13)*D14/100</f>
        <v>4299.33536898675</v>
      </c>
      <c r="E15" s="0" t="n">
        <f aca="false">E13-MAX(0,E13)*E14/100</f>
        <v>3709.60695865348</v>
      </c>
      <c r="F15" s="0" t="n">
        <f aca="false">F13-MAX(0,F13)*F14/100</f>
        <v>3992.04750026221</v>
      </c>
      <c r="G15" s="0" t="n">
        <f aca="false">G13-MAX(0,G13)*G14/100</f>
        <v>4388.83508133159</v>
      </c>
      <c r="H15" s="0" t="n">
        <f aca="false">H13-MAX(0,H13)*H14/100</f>
        <v>4710.57886309468</v>
      </c>
      <c r="I15" s="0" t="n">
        <f aca="false">I13-MAX(0,I13)*I14/100</f>
        <v>4956.46295806053</v>
      </c>
      <c r="J15" s="0" t="n">
        <f aca="false">J13-MAX(0,J13)*J14/100</f>
        <v>5169.77908536947</v>
      </c>
      <c r="K15" s="0" t="n">
        <f aca="false">K13-MAX(0,K13)*K14/100</f>
        <v>5365.261357035</v>
      </c>
      <c r="L15" s="0" t="n">
        <f aca="false">L13-MAX(0,L13)*L14/100</f>
        <v>5544.65538389059</v>
      </c>
    </row>
    <row r="16" customFormat="false" ht="15" hidden="false" customHeight="false" outlineLevel="0" collapsed="false">
      <c r="A16" s="0" t="s">
        <v>128</v>
      </c>
      <c r="C16" s="0" t="n">
        <f aca="false">-C12</f>
        <v>1214.6935</v>
      </c>
      <c r="D16" s="0" t="n">
        <f aca="false">-D12</f>
        <v>1201.0889328</v>
      </c>
      <c r="E16" s="0" t="n">
        <f aca="false">-E12</f>
        <v>1129.023596832</v>
      </c>
      <c r="F16" s="0" t="n">
        <f aca="false">-F12</f>
        <v>1079.6288144706</v>
      </c>
      <c r="G16" s="0" t="n">
        <f aca="false">-G12</f>
        <v>1058.03623818119</v>
      </c>
      <c r="H16" s="0" t="n">
        <f aca="false">-H12</f>
        <v>995.561717450489</v>
      </c>
      <c r="I16" s="0" t="n">
        <f aca="false">-I12</f>
        <v>944.473681949741</v>
      </c>
      <c r="J16" s="0" t="n">
        <f aca="false">-J12</f>
        <v>889.424358773241</v>
      </c>
      <c r="K16" s="0" t="n">
        <f aca="false">-K12</f>
        <v>826.191845766706</v>
      </c>
      <c r="L16" s="0" t="n">
        <f aca="false">-L12</f>
        <v>788.443425227365</v>
      </c>
    </row>
    <row r="17" customFormat="false" ht="15" hidden="false" customHeight="false" outlineLevel="0" collapsed="false">
      <c r="A17" s="0" t="s">
        <v>129</v>
      </c>
      <c r="C17" s="4" t="n">
        <f aca="false">-C6*Assumptions!C18/100</f>
        <v>-534.46514</v>
      </c>
      <c r="D17" s="4" t="n">
        <f aca="false">-D6*Assumptions!D18/100</f>
        <v>-575.5217803</v>
      </c>
      <c r="E17" s="4" t="n">
        <f aca="false">-E6*Assumptions!E18/100</f>
        <v>-517.469148548</v>
      </c>
      <c r="F17" s="4" t="n">
        <f aca="false">-F6*Assumptions!F18/100</f>
        <v>-527.81853151896</v>
      </c>
      <c r="G17" s="4" t="n">
        <f aca="false">-G6*Assumptions!G18/100</f>
        <v>-579.400797099222</v>
      </c>
      <c r="H17" s="4" t="n">
        <f aca="false">-H6*Assumptions!H18/100</f>
        <v>-602.576828983191</v>
      </c>
      <c r="I17" s="4" t="n">
        <f aca="false">-I6*Assumptions!I18/100</f>
        <v>-620.654133852687</v>
      </c>
      <c r="J17" s="4" t="n">
        <f aca="false">-J6*Assumptions!J18/100</f>
        <v>-639.273757868267</v>
      </c>
      <c r="K17" s="4" t="n">
        <f aca="false">-K6*Assumptions!K18/100</f>
        <v>-655.255601814974</v>
      </c>
      <c r="L17" s="4" t="n">
        <f aca="false">-L6*Assumptions!L18/100</f>
        <v>-671.636991860348</v>
      </c>
    </row>
    <row r="18" customFormat="false" ht="15" hidden="false" customHeight="false" outlineLevel="0" collapsed="false">
      <c r="A18" s="0" t="s">
        <v>130</v>
      </c>
      <c r="C18" s="4" t="n">
        <f aca="false">(C6-B6)*Assumptions!$B$23/100</f>
        <v>-335.3844</v>
      </c>
      <c r="D18" s="4" t="n">
        <f aca="false">(D6-C6)*Assumptions!$B$23/100</f>
        <v>-87.457932</v>
      </c>
      <c r="E18" s="4" t="n">
        <f aca="false">(E6-D6)*Assumptions!$B$23/100</f>
        <v>180.16333992</v>
      </c>
      <c r="F18" s="4" t="n">
        <f aca="false">(F6-E6)*Assumptions!$B$23/100</f>
        <v>-56.4511798416001</v>
      </c>
      <c r="G18" s="4" t="n">
        <f aca="false">(G6-F6)*Assumptions!$B$23/100</f>
        <v>-143.95050859608</v>
      </c>
      <c r="H18" s="4" t="n">
        <f aca="false">(H6-G6)*Assumptions!$B$23/100</f>
        <v>-120.918427220707</v>
      </c>
      <c r="I18" s="4" t="n">
        <f aca="false">(I6-H6)*Assumptions!$B$23/100</f>
        <v>-94.3163732321518</v>
      </c>
      <c r="J18" s="4" t="n">
        <f aca="false">(J6-I6)*Assumptions!$B$23/100</f>
        <v>-97.1458644291161</v>
      </c>
      <c r="K18" s="4" t="n">
        <f aca="false">(K6-J6)*Assumptions!$B$23/100</f>
        <v>-83.3835336349909</v>
      </c>
      <c r="L18" s="4" t="n">
        <f aca="false">(L6-K6)*Assumptions!$B$23/100</f>
        <v>-85.4681219758657</v>
      </c>
    </row>
    <row r="19" customFormat="false" ht="15" hidden="false" customHeight="false" outlineLevel="0" collapsed="false">
      <c r="A19" s="0" t="s">
        <v>131</v>
      </c>
      <c r="C19" s="0" t="n">
        <f aca="false">C15+C16+C17+C18</f>
        <v>4518.955968725</v>
      </c>
      <c r="D19" s="0" t="n">
        <f aca="false">D15+D16+D17+D18</f>
        <v>4837.44458948675</v>
      </c>
      <c r="E19" s="0" t="n">
        <f aca="false">E15+E16+E17+E18</f>
        <v>4501.32474685748</v>
      </c>
      <c r="F19" s="0" t="n">
        <f aca="false">F15+F16+F17+F18</f>
        <v>4487.40660337225</v>
      </c>
      <c r="G19" s="0" t="n">
        <f aca="false">G15+G16+G17+G18</f>
        <v>4723.52001381747</v>
      </c>
      <c r="H19" s="0" t="n">
        <f aca="false">H15+H16+H17+H18</f>
        <v>4982.64532434128</v>
      </c>
      <c r="I19" s="0" t="n">
        <f aca="false">I15+I16+I17+I18</f>
        <v>5185.96613292543</v>
      </c>
      <c r="J19" s="0" t="n">
        <f aca="false">J15+J16+J17+J18</f>
        <v>5322.78382184532</v>
      </c>
      <c r="K19" s="0" t="n">
        <f aca="false">K15+K16+K17+K18</f>
        <v>5452.81406735174</v>
      </c>
      <c r="L19" s="0" t="n">
        <f aca="false">L15+L16+L17+L18</f>
        <v>5575.99369528174</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4145.83116396789</v>
      </c>
      <c r="D21" s="0" t="n">
        <f aca="false">D19*D20</f>
        <v>4071.58032950657</v>
      </c>
      <c r="E21" s="0" t="n">
        <f aca="false">E19*E20</f>
        <v>3475.84860791339</v>
      </c>
      <c r="F21" s="0" t="n">
        <f aca="false">F19*F20</f>
        <v>3178.99197012934</v>
      </c>
      <c r="G21" s="0" t="n">
        <f aca="false">G19*G20</f>
        <v>3069.96391078837</v>
      </c>
      <c r="H21" s="0" t="n">
        <f aca="false">H19*H20</f>
        <v>2970.9886083322</v>
      </c>
      <c r="I21" s="0" t="n">
        <f aca="false">I19*I20</f>
        <v>2836.90106730788</v>
      </c>
      <c r="J21" s="0" t="n">
        <f aca="false">J19*J20</f>
        <v>2671.32571417191</v>
      </c>
      <c r="K21" s="0" t="n">
        <f aca="false">K19*K20</f>
        <v>2510.62707314601</v>
      </c>
      <c r="L21" s="0" t="n">
        <f aca="false">L19*L20</f>
        <v>2355.35999606923</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9</v>
      </c>
    </row>
    <row r="28" customFormat="false" ht="15" hidden="false" customHeight="false" outlineLevel="0" collapsed="false">
      <c r="A28" s="0" t="s">
        <v>114</v>
      </c>
      <c r="B28" s="4" t="n">
        <f aca="false">Assumptions!$B$21</f>
        <v>2.5</v>
      </c>
    </row>
    <row r="29" customFormat="false" ht="15" hidden="false" customHeight="false" outlineLevel="0" collapsed="false">
      <c r="A29" s="0" t="s">
        <v>115</v>
      </c>
      <c r="B29" s="4" t="n">
        <f aca="false">Assumptions!$B$22</f>
        <v>14</v>
      </c>
    </row>
    <row r="30" customFormat="false" ht="15" hidden="false" customHeight="false" outlineLevel="0" collapsed="false">
      <c r="A30" s="0" t="s">
        <v>136</v>
      </c>
      <c r="B30" s="0" t="n">
        <f aca="false">SUM(C21:L21)</f>
        <v>31287.4184413328</v>
      </c>
    </row>
    <row r="31" customFormat="false" ht="15" hidden="false" customHeight="false" outlineLevel="0" collapsed="false">
      <c r="A31" s="0" t="s">
        <v>137</v>
      </c>
      <c r="B31" s="0" t="n">
        <f aca="false">L19</f>
        <v>5575.99369528174</v>
      </c>
    </row>
    <row r="32" customFormat="false" ht="15" hidden="false" customHeight="false" outlineLevel="0" collapsed="false">
      <c r="A32" s="0" t="s">
        <v>138</v>
      </c>
      <c r="B32" s="0" t="n">
        <f aca="false">IF(B27&gt;B28,B31*(1+B28/100)/((B27-B28)/100),B31*B29)</f>
        <v>87929.1313486736</v>
      </c>
    </row>
    <row r="33" customFormat="false" ht="15" hidden="false" customHeight="false" outlineLevel="0" collapsed="false">
      <c r="A33" s="0" t="s">
        <v>139</v>
      </c>
      <c r="B33" s="0" t="n">
        <f aca="false">B31*B29</f>
        <v>78063.9117339444</v>
      </c>
    </row>
    <row r="34" customFormat="false" ht="15" hidden="false" customHeight="false" outlineLevel="0" collapsed="false">
      <c r="A34" s="0" t="s">
        <v>140</v>
      </c>
      <c r="B34" s="0" t="n">
        <f aca="false">MAX(0,MIN(B32,B33))</f>
        <v>78063.9117339444</v>
      </c>
    </row>
    <row r="35" customFormat="false" ht="15" hidden="false" customHeight="false" outlineLevel="0" collapsed="false">
      <c r="A35" s="0" t="s">
        <v>141</v>
      </c>
      <c r="B35" s="0" t="n">
        <f aca="false">B34/(1+B27/100)^L4</f>
        <v>32975.0399449693</v>
      </c>
    </row>
    <row r="36" customFormat="false" ht="15" hidden="false" customHeight="false" outlineLevel="0" collapsed="false">
      <c r="A36" s="0" t="s">
        <v>142</v>
      </c>
      <c r="B36" s="0" t="n">
        <f aca="false">B30+B35</f>
        <v>64262.4583863021</v>
      </c>
    </row>
    <row r="37" customFormat="false" ht="15" hidden="false" customHeight="false" outlineLevel="0" collapsed="false">
      <c r="A37" s="0" t="s">
        <v>143</v>
      </c>
      <c r="B37" s="0" t="n">
        <f aca="false">B36+Assumptions!$B$5-Assumptions!$B$4</f>
        <v>46993.4583863021</v>
      </c>
    </row>
    <row r="38" customFormat="false" ht="15" hidden="false" customHeight="false" outlineLevel="0" collapsed="false">
      <c r="A38" s="0" t="s">
        <v>144</v>
      </c>
      <c r="B38" s="0" t="n">
        <f aca="false">B37/Assumptions!$B$3*Assumptions!$B$10</f>
        <v>367.423443207991</v>
      </c>
    </row>
    <row r="39" customFormat="false" ht="15" hidden="false" customHeight="false" outlineLevel="0" collapsed="false">
      <c r="A39" s="0" t="s">
        <v>145</v>
      </c>
      <c r="B39" s="4" t="n">
        <f aca="false">B38/Assumptions!$B$2-1</f>
        <v>-0.619597213724281</v>
      </c>
    </row>
    <row r="41" customFormat="false" ht="15" hidden="false" customHeight="false" outlineLevel="0" collapsed="false">
      <c r="A41" s="0" t="s">
        <v>146</v>
      </c>
      <c r="B41" s="0" t="n">
        <f aca="false">SUMPRODUCT(-C10:L10/(1+$B$27/100)^C4:L4)</f>
        <v>1347.78461456145</v>
      </c>
    </row>
    <row r="42" customFormat="false" ht="15" hidden="false" customHeight="false" outlineLevel="0" collapsed="false">
      <c r="A42" s="0" t="s">
        <v>147</v>
      </c>
      <c r="B42" s="0" t="n">
        <f aca="false">IF(B27&gt;B28,-L10*(1+B28/100)/((B27-B28)/100),-L10*20)/(1+B27/100)^L4</f>
        <v>1556.11714656611</v>
      </c>
    </row>
    <row r="43" customFormat="false" ht="15" hidden="false" customHeight="false" outlineLevel="0" collapsed="false">
      <c r="A43" s="0" t="s">
        <v>148</v>
      </c>
      <c r="B43" s="0" t="n">
        <f aca="false">(B37+B41+B42)/Assumptions!$B$3*Assumptions!$B$10</f>
        <v>390.127913584282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45723.1483013103</v>
      </c>
    </row>
    <row r="47" customFormat="false" ht="15" hidden="false" customHeight="false" outlineLevel="0" collapsed="false">
      <c r="A47" s="0" t="s">
        <v>150</v>
      </c>
      <c r="B47" s="0" t="n">
        <f aca="false">(SUMPRODUCT(C19:L19/(1+B45/100)^C4:L4)+B46/(1+B45/100)^L4+Assumptions!$B$5-Assumptions!$B$4)/Assumptions!$B$3*Assumptions!$B$10</f>
        <v>142.816969366863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15</v>
      </c>
      <c r="D5" s="4" t="n">
        <f aca="false">Assumptions!D27</f>
        <v>6.5</v>
      </c>
      <c r="E5" s="4" t="n">
        <f aca="false">Assumptions!E27</f>
        <v>5</v>
      </c>
      <c r="F5" s="4" t="n">
        <f aca="false">Assumptions!F27</f>
        <v>4.5</v>
      </c>
      <c r="G5" s="4" t="n">
        <f aca="false">Assumptions!G27</f>
        <v>4.5</v>
      </c>
      <c r="H5" s="4" t="n">
        <f aca="false">Assumptions!H27</f>
        <v>4</v>
      </c>
      <c r="I5" s="4" t="n">
        <f aca="false">Assumptions!I27</f>
        <v>4</v>
      </c>
      <c r="J5" s="4" t="n">
        <f aca="false">Assumptions!J27</f>
        <v>3.5</v>
      </c>
      <c r="K5" s="4" t="n">
        <f aca="false">Assumptions!K27</f>
        <v>3.5</v>
      </c>
      <c r="L5" s="4" t="n">
        <f aca="false">Assumptions!L27</f>
        <v>3</v>
      </c>
    </row>
    <row r="6" customFormat="false" ht="15" hidden="false" customHeight="false" outlineLevel="0" collapsed="false">
      <c r="A6" s="0" t="s">
        <v>37</v>
      </c>
      <c r="B6" s="3" t="n">
        <v>21499</v>
      </c>
      <c r="C6" s="0" t="n">
        <f aca="false">B6*(1+C5/100)</f>
        <v>24723.85</v>
      </c>
      <c r="D6" s="0" t="n">
        <f aca="false">C6*(1+D5/100)</f>
        <v>26330.90025</v>
      </c>
      <c r="E6" s="0" t="n">
        <f aca="false">D6*(1+E5/100)</f>
        <v>27647.4452625</v>
      </c>
      <c r="F6" s="0" t="n">
        <f aca="false">E6*(1+F5/100)</f>
        <v>28891.5802993125</v>
      </c>
      <c r="G6" s="0" t="n">
        <f aca="false">F6*(1+G5/100)</f>
        <v>30191.7014127816</v>
      </c>
      <c r="H6" s="0" t="n">
        <f aca="false">G6*(1+H5/100)</f>
        <v>31399.3694692928</v>
      </c>
      <c r="I6" s="0" t="n">
        <f aca="false">H6*(1+I5/100)</f>
        <v>32655.3442480645</v>
      </c>
      <c r="J6" s="0" t="n">
        <f aca="false">I6*(1+J5/100)</f>
        <v>33798.2812967468</v>
      </c>
      <c r="K6" s="0" t="n">
        <f aca="false">J6*(1+K5/100)</f>
        <v>34981.2211421329</v>
      </c>
      <c r="L6" s="0" t="n">
        <f aca="false">K6*(1+L5/100)</f>
        <v>36030.6577763969</v>
      </c>
    </row>
    <row r="7" customFormat="false" ht="15" hidden="false" customHeight="false" outlineLevel="0" collapsed="false">
      <c r="A7" s="0" t="s">
        <v>107</v>
      </c>
      <c r="C7" s="4" t="n">
        <f aca="false">Assumptions!C28</f>
        <v>28.4</v>
      </c>
      <c r="D7" s="4" t="n">
        <f aca="false">Assumptions!D28</f>
        <v>29</v>
      </c>
      <c r="E7" s="4" t="n">
        <f aca="false">Assumptions!E28</f>
        <v>29.5</v>
      </c>
      <c r="F7" s="4" t="n">
        <f aca="false">Assumptions!F28</f>
        <v>29.9</v>
      </c>
      <c r="G7" s="4" t="n">
        <f aca="false">Assumptions!G28</f>
        <v>30.2</v>
      </c>
      <c r="H7" s="4" t="n">
        <f aca="false">Assumptions!H28</f>
        <v>30.4</v>
      </c>
      <c r="I7" s="4" t="n">
        <f aca="false">Assumptions!I28</f>
        <v>30.5</v>
      </c>
      <c r="J7" s="4" t="n">
        <f aca="false">Assumptions!J28</f>
        <v>30.5</v>
      </c>
      <c r="K7" s="4" t="n">
        <f aca="false">Assumptions!K28</f>
        <v>30.5</v>
      </c>
      <c r="L7" s="4" t="n">
        <f aca="false">Assumptions!L28</f>
        <v>30.5</v>
      </c>
    </row>
    <row r="8" customFormat="false" ht="15" hidden="false" customHeight="false" outlineLevel="0" collapsed="false">
      <c r="A8" s="0" t="s">
        <v>43</v>
      </c>
      <c r="C8" s="0" t="n">
        <f aca="false">C6*C7/100</f>
        <v>7021.5734</v>
      </c>
      <c r="D8" s="0" t="n">
        <f aca="false">D6*D7/100</f>
        <v>7635.9610725</v>
      </c>
      <c r="E8" s="0" t="n">
        <f aca="false">E6*E7/100</f>
        <v>8155.9963524375</v>
      </c>
      <c r="F8" s="0" t="n">
        <f aca="false">F6*F7/100</f>
        <v>8638.58250949444</v>
      </c>
      <c r="G8" s="0" t="n">
        <f aca="false">G6*G7/100</f>
        <v>9117.89382666003</v>
      </c>
      <c r="H8" s="0" t="n">
        <f aca="false">H6*H7/100</f>
        <v>9545.40831866502</v>
      </c>
      <c r="I8" s="0" t="n">
        <f aca="false">I6*I7/100</f>
        <v>9959.87999565968</v>
      </c>
      <c r="J8" s="0" t="n">
        <f aca="false">J6*J7/100</f>
        <v>10308.4757955078</v>
      </c>
      <c r="K8" s="0" t="n">
        <f aca="false">K6*K7/100</f>
        <v>10669.2724483505</v>
      </c>
      <c r="L8" s="0" t="n">
        <f aca="false">L6*L7/100</f>
        <v>10989.3506218011</v>
      </c>
    </row>
    <row r="9" customFormat="false" ht="15" hidden="false" customHeight="false" outlineLevel="0" collapsed="false">
      <c r="A9" s="0" t="s">
        <v>108</v>
      </c>
      <c r="C9" s="4" t="n">
        <f aca="false">Assumptions!C29</f>
        <v>0.83</v>
      </c>
      <c r="D9" s="4" t="n">
        <f aca="false">Assumptions!D29</f>
        <v>0.83</v>
      </c>
      <c r="E9" s="4" t="n">
        <f aca="false">Assumptions!E29</f>
        <v>0.82</v>
      </c>
      <c r="F9" s="4" t="n">
        <f aca="false">Assumptions!F29</f>
        <v>0.81</v>
      </c>
      <c r="G9" s="4" t="n">
        <f aca="false">Assumptions!G29</f>
        <v>0.8</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123</v>
      </c>
      <c r="C10" s="0" t="n">
        <f aca="false">-C6*C9/100</f>
        <v>-205.207955</v>
      </c>
      <c r="D10" s="0" t="n">
        <f aca="false">-D6*D9/100</f>
        <v>-218.546472075</v>
      </c>
      <c r="E10" s="0" t="n">
        <f aca="false">-E6*E9/100</f>
        <v>-226.7090511525</v>
      </c>
      <c r="F10" s="0" t="n">
        <f aca="false">-F6*F9/100</f>
        <v>-234.021800424431</v>
      </c>
      <c r="G10" s="0" t="n">
        <f aca="false">-G6*G9/100</f>
        <v>-241.533611302253</v>
      </c>
      <c r="H10" s="0" t="n">
        <f aca="false">-H6*H9/100</f>
        <v>-251.194955754343</v>
      </c>
      <c r="I10" s="0" t="n">
        <f aca="false">-I6*I9/100</f>
        <v>-261.242753984516</v>
      </c>
      <c r="J10" s="0" t="n">
        <f aca="false">-J6*J9/100</f>
        <v>-270.386250373974</v>
      </c>
      <c r="K10" s="0" t="n">
        <f aca="false">-K6*K9/100</f>
        <v>-279.849769137063</v>
      </c>
      <c r="L10" s="0" t="n">
        <f aca="false">-L6*L9/100</f>
        <v>-288.245262211175</v>
      </c>
    </row>
    <row r="11" customFormat="false" ht="15" hidden="false" customHeight="false" outlineLevel="0" collapsed="false">
      <c r="A11" s="0" t="s">
        <v>124</v>
      </c>
      <c r="C11" s="0" t="n">
        <f aca="false">C8+C10+C24</f>
        <v>6816.365445</v>
      </c>
      <c r="D11" s="0" t="n">
        <f aca="false">D8+D10+D24</f>
        <v>7417.414600425</v>
      </c>
      <c r="E11" s="0" t="n">
        <f aca="false">E8+E10+E24</f>
        <v>7929.287301285</v>
      </c>
      <c r="F11" s="0" t="n">
        <f aca="false">F8+F10+F24</f>
        <v>8404.56070907001</v>
      </c>
      <c r="G11" s="0" t="n">
        <f aca="false">G8+G10+G24</f>
        <v>8876.36021535778</v>
      </c>
      <c r="H11" s="0" t="n">
        <f aca="false">H8+H10+H24</f>
        <v>9294.21336291067</v>
      </c>
      <c r="I11" s="0" t="n">
        <f aca="false">I8+I10+I24</f>
        <v>9698.63724167517</v>
      </c>
      <c r="J11" s="0" t="n">
        <f aca="false">J8+J10+J24</f>
        <v>10038.0895451338</v>
      </c>
      <c r="K11" s="0" t="n">
        <f aca="false">K8+K10+K24</f>
        <v>10389.4226792135</v>
      </c>
      <c r="L11" s="0" t="n">
        <f aca="false">L8+L10+L24</f>
        <v>10701.1053595899</v>
      </c>
    </row>
    <row r="12" customFormat="false" ht="15" hidden="false" customHeight="false" outlineLevel="0" collapsed="false">
      <c r="A12" s="0" t="s">
        <v>125</v>
      </c>
      <c r="C12" s="4" t="n">
        <f aca="false">-C6*Assumptions!C31/100</f>
        <v>-1236.1925</v>
      </c>
      <c r="D12" s="4" t="n">
        <f aca="false">-D6*Assumptions!D31/100</f>
        <v>-1263.883212</v>
      </c>
      <c r="E12" s="4" t="n">
        <f aca="false">-E6*Assumptions!E31/100</f>
        <v>-1271.782482075</v>
      </c>
      <c r="F12" s="4" t="n">
        <f aca="false">-F6*Assumptions!F31/100</f>
        <v>-1242.33795287044</v>
      </c>
      <c r="G12" s="4" t="n">
        <f aca="false">-G6*Assumptions!G31/100</f>
        <v>-1207.66805651126</v>
      </c>
      <c r="H12" s="4" t="n">
        <f aca="false">-H6*Assumptions!H31/100</f>
        <v>-1161.77667036383</v>
      </c>
      <c r="I12" s="4" t="n">
        <f aca="false">-I6*Assumptions!I31/100</f>
        <v>-1110.28170443419</v>
      </c>
      <c r="J12" s="4" t="n">
        <f aca="false">-J6*Assumptions!J31/100</f>
        <v>-1047.74672019915</v>
      </c>
      <c r="K12" s="4" t="n">
        <f aca="false">-K6*Assumptions!K31/100</f>
        <v>-979.474191979722</v>
      </c>
      <c r="L12" s="4" t="n">
        <f aca="false">-L6*Assumptions!L31/100</f>
        <v>-936.79710218632</v>
      </c>
    </row>
    <row r="13" customFormat="false" ht="15" hidden="false" customHeight="false" outlineLevel="0" collapsed="false">
      <c r="A13" s="0" t="s">
        <v>126</v>
      </c>
      <c r="C13" s="0" t="n">
        <f aca="false">C11+C12</f>
        <v>5580.172945</v>
      </c>
      <c r="D13" s="0" t="n">
        <f aca="false">D11+D12</f>
        <v>6153.531388425</v>
      </c>
      <c r="E13" s="0" t="n">
        <f aca="false">E11+E12</f>
        <v>6657.50481921</v>
      </c>
      <c r="F13" s="0" t="n">
        <f aca="false">F11+F12</f>
        <v>7162.22275619957</v>
      </c>
      <c r="G13" s="0" t="n">
        <f aca="false">G11+G12</f>
        <v>7668.69215884652</v>
      </c>
      <c r="H13" s="0" t="n">
        <f aca="false">H11+H12</f>
        <v>8132.43669254684</v>
      </c>
      <c r="I13" s="0" t="n">
        <f aca="false">I11+I12</f>
        <v>8588.35553724097</v>
      </c>
      <c r="J13" s="0" t="n">
        <f aca="false">J11+J12</f>
        <v>8990.34282493465</v>
      </c>
      <c r="K13" s="0" t="n">
        <f aca="false">K11+K12</f>
        <v>9409.94848723376</v>
      </c>
      <c r="L13" s="0" t="n">
        <f aca="false">L11+L12</f>
        <v>9764.30825740357</v>
      </c>
    </row>
    <row r="14" customFormat="false" ht="15" hidden="false" customHeight="false" outlineLevel="0" collapsed="false">
      <c r="A14" s="0" t="s">
        <v>112</v>
      </c>
      <c r="C14" s="4" t="n">
        <f aca="false">Assumptions!C33</f>
        <v>22.5</v>
      </c>
      <c r="D14" s="4" t="n">
        <f aca="false">Assumptions!D33</f>
        <v>22.5</v>
      </c>
      <c r="E14" s="4" t="n">
        <f aca="false">Assumptions!E33</f>
        <v>22.5</v>
      </c>
      <c r="F14" s="4" t="n">
        <f aca="false">Assumptions!F33</f>
        <v>22.5</v>
      </c>
      <c r="G14" s="4" t="n">
        <f aca="false">Assumptions!G33</f>
        <v>22.5</v>
      </c>
      <c r="H14" s="4" t="n">
        <f aca="false">Assumptions!H33</f>
        <v>22.5</v>
      </c>
      <c r="I14" s="4" t="n">
        <f aca="false">Assumptions!I33</f>
        <v>22.5</v>
      </c>
      <c r="J14" s="4" t="n">
        <f aca="false">Assumptions!J33</f>
        <v>22.5</v>
      </c>
      <c r="K14" s="4" t="n">
        <f aca="false">Assumptions!K33</f>
        <v>22.5</v>
      </c>
      <c r="L14" s="4" t="n">
        <f aca="false">Assumptions!L33</f>
        <v>22.5</v>
      </c>
    </row>
    <row r="15" customFormat="false" ht="15" hidden="false" customHeight="false" outlineLevel="0" collapsed="false">
      <c r="A15" s="0" t="s">
        <v>127</v>
      </c>
      <c r="C15" s="0" t="n">
        <f aca="false">C13-MAX(0,C13)*C14/100</f>
        <v>4324.634032375</v>
      </c>
      <c r="D15" s="0" t="n">
        <f aca="false">D13-MAX(0,D13)*D14/100</f>
        <v>4768.98682602938</v>
      </c>
      <c r="E15" s="0" t="n">
        <f aca="false">E13-MAX(0,E13)*E14/100</f>
        <v>5159.56623488775</v>
      </c>
      <c r="F15" s="0" t="n">
        <f aca="false">F13-MAX(0,F13)*F14/100</f>
        <v>5550.72263605467</v>
      </c>
      <c r="G15" s="0" t="n">
        <f aca="false">G13-MAX(0,G13)*G14/100</f>
        <v>5943.23642310605</v>
      </c>
      <c r="H15" s="0" t="n">
        <f aca="false">H13-MAX(0,H13)*H14/100</f>
        <v>6302.6384367238</v>
      </c>
      <c r="I15" s="0" t="n">
        <f aca="false">I13-MAX(0,I13)*I14/100</f>
        <v>6655.97554136176</v>
      </c>
      <c r="J15" s="0" t="n">
        <f aca="false">J13-MAX(0,J13)*J14/100</f>
        <v>6967.51568932435</v>
      </c>
      <c r="K15" s="0" t="n">
        <f aca="false">K13-MAX(0,K13)*K14/100</f>
        <v>7292.71007760616</v>
      </c>
      <c r="L15" s="0" t="n">
        <f aca="false">L13-MAX(0,L13)*L14/100</f>
        <v>7567.33889948776</v>
      </c>
    </row>
    <row r="16" customFormat="false" ht="15" hidden="false" customHeight="false" outlineLevel="0" collapsed="false">
      <c r="A16" s="0" t="s">
        <v>128</v>
      </c>
      <c r="C16" s="0" t="n">
        <f aca="false">-C12</f>
        <v>1236.1925</v>
      </c>
      <c r="D16" s="0" t="n">
        <f aca="false">-D12</f>
        <v>1263.883212</v>
      </c>
      <c r="E16" s="0" t="n">
        <f aca="false">-E12</f>
        <v>1271.782482075</v>
      </c>
      <c r="F16" s="0" t="n">
        <f aca="false">-F12</f>
        <v>1242.33795287044</v>
      </c>
      <c r="G16" s="0" t="n">
        <f aca="false">-G12</f>
        <v>1207.66805651126</v>
      </c>
      <c r="H16" s="0" t="n">
        <f aca="false">-H12</f>
        <v>1161.77667036383</v>
      </c>
      <c r="I16" s="0" t="n">
        <f aca="false">-I12</f>
        <v>1110.28170443419</v>
      </c>
      <c r="J16" s="0" t="n">
        <f aca="false">-J12</f>
        <v>1047.74672019915</v>
      </c>
      <c r="K16" s="0" t="n">
        <f aca="false">-K12</f>
        <v>979.474191979722</v>
      </c>
      <c r="L16" s="0" t="n">
        <f aca="false">-L12</f>
        <v>936.79710218632</v>
      </c>
    </row>
    <row r="17" customFormat="false" ht="15" hidden="false" customHeight="false" outlineLevel="0" collapsed="false">
      <c r="A17" s="0" t="s">
        <v>129</v>
      </c>
      <c r="C17" s="4" t="n">
        <f aca="false">-C6*Assumptions!C32/100</f>
        <v>-543.9247</v>
      </c>
      <c r="D17" s="4" t="n">
        <f aca="false">-D6*Assumptions!D32/100</f>
        <v>-605.61070575</v>
      </c>
      <c r="E17" s="4" t="n">
        <f aca="false">-E6*Assumptions!E32/100</f>
        <v>-635.8912410375</v>
      </c>
      <c r="F17" s="4" t="n">
        <f aca="false">-F6*Assumptions!F32/100</f>
        <v>-664.506346884188</v>
      </c>
      <c r="G17" s="4" t="n">
        <f aca="false">-G6*Assumptions!G32/100</f>
        <v>-724.600833906757</v>
      </c>
      <c r="H17" s="4" t="n">
        <f aca="false">-H6*Assumptions!H32/100</f>
        <v>-753.584867263028</v>
      </c>
      <c r="I17" s="4" t="n">
        <f aca="false">-I6*Assumptions!I32/100</f>
        <v>-783.728261953549</v>
      </c>
      <c r="J17" s="4" t="n">
        <f aca="false">-J6*Assumptions!J32/100</f>
        <v>-811.158751121923</v>
      </c>
      <c r="K17" s="4" t="n">
        <f aca="false">-K6*Assumptions!K32/100</f>
        <v>-839.54930741119</v>
      </c>
      <c r="L17" s="4" t="n">
        <f aca="false">-L6*Assumptions!L32/100</f>
        <v>-864.735786633526</v>
      </c>
    </row>
    <row r="18" customFormat="false" ht="15" hidden="false" customHeight="false" outlineLevel="0" collapsed="false">
      <c r="A18" s="0" t="s">
        <v>130</v>
      </c>
      <c r="C18" s="4" t="n">
        <f aca="false">(C6-B6)*Assumptions!$B$37/100</f>
        <v>-386.982</v>
      </c>
      <c r="D18" s="4" t="n">
        <f aca="false">(D6-C6)*Assumptions!$B$37/100</f>
        <v>-192.84603</v>
      </c>
      <c r="E18" s="4" t="n">
        <f aca="false">(E6-D6)*Assumptions!$B$37/100</f>
        <v>-157.9854015</v>
      </c>
      <c r="F18" s="4" t="n">
        <f aca="false">(F6-E6)*Assumptions!$B$37/100</f>
        <v>-149.2962044175</v>
      </c>
      <c r="G18" s="4" t="n">
        <f aca="false">(G6-F6)*Assumptions!$B$37/100</f>
        <v>-156.014533616287</v>
      </c>
      <c r="H18" s="4" t="n">
        <f aca="false">(H6-G6)*Assumptions!$B$37/100</f>
        <v>-144.920166781351</v>
      </c>
      <c r="I18" s="4" t="n">
        <f aca="false">(I6-H6)*Assumptions!$B$37/100</f>
        <v>-150.716973452606</v>
      </c>
      <c r="J18" s="4" t="n">
        <f aca="false">(J6-I6)*Assumptions!$B$37/100</f>
        <v>-137.152445841871</v>
      </c>
      <c r="K18" s="4" t="n">
        <f aca="false">(K6-J6)*Assumptions!$B$37/100</f>
        <v>-141.952781446336</v>
      </c>
      <c r="L18" s="4" t="n">
        <f aca="false">(L6-K6)*Assumptions!$B$37/100</f>
        <v>-125.932396111679</v>
      </c>
    </row>
    <row r="19" customFormat="false" ht="15" hidden="false" customHeight="false" outlineLevel="0" collapsed="false">
      <c r="A19" s="0" t="s">
        <v>131</v>
      </c>
      <c r="C19" s="0" t="n">
        <f aca="false">C15+C16+C17+C18</f>
        <v>4629.919832375</v>
      </c>
      <c r="D19" s="0" t="n">
        <f aca="false">D15+D16+D17+D18</f>
        <v>5234.41330227938</v>
      </c>
      <c r="E19" s="0" t="n">
        <f aca="false">E15+E16+E17+E18</f>
        <v>5637.47207442525</v>
      </c>
      <c r="F19" s="0" t="n">
        <f aca="false">F15+F16+F17+F18</f>
        <v>5979.25803762342</v>
      </c>
      <c r="G19" s="0" t="n">
        <f aca="false">G15+G16+G17+G18</f>
        <v>6270.28911209427</v>
      </c>
      <c r="H19" s="0" t="n">
        <f aca="false">H15+H16+H17+H18</f>
        <v>6565.91007304326</v>
      </c>
      <c r="I19" s="0" t="n">
        <f aca="false">I15+I16+I17+I18</f>
        <v>6831.81201038979</v>
      </c>
      <c r="J19" s="0" t="n">
        <f aca="false">J15+J16+J17+J18</f>
        <v>7066.95121255971</v>
      </c>
      <c r="K19" s="0" t="n">
        <f aca="false">K15+K16+K17+K18</f>
        <v>7290.68218072836</v>
      </c>
      <c r="L19" s="0" t="n">
        <f aca="false">L15+L16+L17+L18</f>
        <v>7513.46781892888</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4247.63287373853</v>
      </c>
      <c r="D21" s="0" t="n">
        <f aca="false">D19*D20</f>
        <v>4405.7009530169</v>
      </c>
      <c r="E21" s="0" t="n">
        <f aca="false">E19*E20</f>
        <v>4353.16280517676</v>
      </c>
      <c r="F21" s="0" t="n">
        <f aca="false">F19*F20</f>
        <v>4235.85713731664</v>
      </c>
      <c r="G21" s="0" t="n">
        <f aca="false">G19*G20</f>
        <v>4075.25769511485</v>
      </c>
      <c r="H21" s="0" t="n">
        <f aca="false">H19*H20</f>
        <v>3915.03764778282</v>
      </c>
      <c r="I21" s="0" t="n">
        <f aca="false">I19*I20</f>
        <v>3737.23512401509</v>
      </c>
      <c r="J21" s="0" t="n">
        <f aca="false">J19*J20</f>
        <v>3546.6645136763</v>
      </c>
      <c r="K21" s="0" t="n">
        <f aca="false">K19*K20</f>
        <v>3356.83260763182</v>
      </c>
      <c r="L21" s="0" t="n">
        <f aca="false">L19*L20</f>
        <v>3173.77000397854</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9</v>
      </c>
    </row>
    <row r="28" customFormat="false" ht="15" hidden="false" customHeight="false" outlineLevel="0" collapsed="false">
      <c r="A28" s="0" t="s">
        <v>114</v>
      </c>
      <c r="B28" s="4" t="n">
        <f aca="false">Assumptions!$B$35</f>
        <v>3</v>
      </c>
    </row>
    <row r="29" customFormat="false" ht="15" hidden="false" customHeight="false" outlineLevel="0" collapsed="false">
      <c r="A29" s="0" t="s">
        <v>115</v>
      </c>
      <c r="B29" s="4" t="n">
        <f aca="false">Assumptions!$B$36</f>
        <v>18</v>
      </c>
    </row>
    <row r="30" customFormat="false" ht="15" hidden="false" customHeight="false" outlineLevel="0" collapsed="false">
      <c r="A30" s="0" t="s">
        <v>136</v>
      </c>
      <c r="B30" s="0" t="n">
        <f aca="false">SUM(C21:L21)</f>
        <v>39047.1513614482</v>
      </c>
    </row>
    <row r="31" customFormat="false" ht="15" hidden="false" customHeight="false" outlineLevel="0" collapsed="false">
      <c r="A31" s="0" t="s">
        <v>137</v>
      </c>
      <c r="B31" s="0" t="n">
        <f aca="false">L19</f>
        <v>7513.46781892888</v>
      </c>
    </row>
    <row r="32" customFormat="false" ht="15" hidden="false" customHeight="false" outlineLevel="0" collapsed="false">
      <c r="A32" s="0" t="s">
        <v>138</v>
      </c>
      <c r="B32" s="0" t="n">
        <f aca="false">IF(B27&gt;B28,B31*(1+B28/100)/((B27-B28)/100),B31*B29)</f>
        <v>128981.197558279</v>
      </c>
    </row>
    <row r="33" customFormat="false" ht="15" hidden="false" customHeight="false" outlineLevel="0" collapsed="false">
      <c r="A33" s="0" t="s">
        <v>139</v>
      </c>
      <c r="B33" s="0" t="n">
        <f aca="false">B31*B29</f>
        <v>135242.42074072</v>
      </c>
    </row>
    <row r="34" customFormat="false" ht="15" hidden="false" customHeight="false" outlineLevel="0" collapsed="false">
      <c r="A34" s="0" t="s">
        <v>140</v>
      </c>
      <c r="B34" s="0" t="n">
        <f aca="false">MAX(0,MIN(B32,B33))</f>
        <v>128981.197558279</v>
      </c>
    </row>
    <row r="35" customFormat="false" ht="15" hidden="false" customHeight="false" outlineLevel="0" collapsed="false">
      <c r="A35" s="0" t="s">
        <v>141</v>
      </c>
      <c r="B35" s="0" t="n">
        <f aca="false">B34/(1+B27/100)^L4</f>
        <v>54483.0517349649</v>
      </c>
    </row>
    <row r="36" customFormat="false" ht="15" hidden="false" customHeight="false" outlineLevel="0" collapsed="false">
      <c r="A36" s="0" t="s">
        <v>142</v>
      </c>
      <c r="B36" s="0" t="n">
        <f aca="false">B30+B35</f>
        <v>93530.2030964132</v>
      </c>
    </row>
    <row r="37" customFormat="false" ht="15" hidden="false" customHeight="false" outlineLevel="0" collapsed="false">
      <c r="A37" s="0" t="s">
        <v>143</v>
      </c>
      <c r="B37" s="0" t="n">
        <f aca="false">B36+Assumptions!$B$5-Assumptions!$B$4</f>
        <v>76261.2030964132</v>
      </c>
    </row>
    <row r="38" customFormat="false" ht="15" hidden="false" customHeight="false" outlineLevel="0" collapsed="false">
      <c r="A38" s="0" t="s">
        <v>144</v>
      </c>
      <c r="B38" s="0" t="n">
        <f aca="false">B37/Assumptions!$B$3*Assumptions!$B$10</f>
        <v>596.256474561479</v>
      </c>
    </row>
    <row r="39" customFormat="false" ht="15" hidden="false" customHeight="false" outlineLevel="0" collapsed="false">
      <c r="A39" s="0" t="s">
        <v>145</v>
      </c>
      <c r="B39" s="4" t="n">
        <f aca="false">B38/Assumptions!$B$2-1</f>
        <v>-0.382680587069326</v>
      </c>
    </row>
    <row r="41" customFormat="false" ht="15" hidden="false" customHeight="false" outlineLevel="0" collapsed="false">
      <c r="A41" s="0" t="s">
        <v>146</v>
      </c>
      <c r="B41" s="0" t="n">
        <f aca="false">SUMPRODUCT(-C10:L10/(1+$B$27/100)^C4:L4)</f>
        <v>1549.03291490089</v>
      </c>
    </row>
    <row r="42" customFormat="false" ht="15" hidden="false" customHeight="false" outlineLevel="0" collapsed="false">
      <c r="A42" s="0" t="s">
        <v>147</v>
      </c>
      <c r="B42" s="0" t="n">
        <f aca="false">IF(B27&gt;B28,-L10*(1+B28/100)/((B27-B28)/100),-L10*20)/(1+B27/100)^L4</f>
        <v>2090.17752013861</v>
      </c>
    </row>
    <row r="43" customFormat="false" ht="15" hidden="false" customHeight="false" outlineLevel="0" collapsed="false">
      <c r="A43" s="0" t="s">
        <v>148</v>
      </c>
      <c r="B43" s="0" t="n">
        <f aca="false">(B37+B41+B42)/Assumptions!$B$3*Assumptions!$B$10</f>
        <v>624.710035429653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64490.5987791396</v>
      </c>
    </row>
    <row r="47" customFormat="false" ht="15" hidden="false" customHeight="false" outlineLevel="0" collapsed="false">
      <c r="A47" s="0" t="s">
        <v>150</v>
      </c>
      <c r="B47" s="0" t="n">
        <f aca="false">(SUMPRODUCT(C19:L19/(1+B45/100)^C4:L4)+B46/(1+B45/100)^L4+Assumptions!$B$5-Assumptions!$B$4)/Assumptions!$B$3*Assumptions!$B$10</f>
        <v>223.187977376244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16.5</v>
      </c>
      <c r="D5" s="4" t="n">
        <f aca="false">Assumptions!D41</f>
        <v>8.5</v>
      </c>
      <c r="E5" s="4" t="n">
        <f aca="false">Assumptions!E41</f>
        <v>7.5</v>
      </c>
      <c r="F5" s="4" t="n">
        <f aca="false">Assumptions!F41</f>
        <v>7</v>
      </c>
      <c r="G5" s="4" t="n">
        <f aca="false">Assumptions!G41</f>
        <v>6.5</v>
      </c>
      <c r="H5" s="4" t="n">
        <f aca="false">Assumptions!H41</f>
        <v>6</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21499</v>
      </c>
      <c r="C6" s="0" t="n">
        <f aca="false">B6*(1+C5/100)</f>
        <v>25046.335</v>
      </c>
      <c r="D6" s="0" t="n">
        <f aca="false">C6*(1+D5/100)</f>
        <v>27175.273475</v>
      </c>
      <c r="E6" s="0" t="n">
        <f aca="false">D6*(1+E5/100)</f>
        <v>29213.418985625</v>
      </c>
      <c r="F6" s="0" t="n">
        <f aca="false">E6*(1+F5/100)</f>
        <v>31258.3583146188</v>
      </c>
      <c r="G6" s="0" t="n">
        <f aca="false">F6*(1+G5/100)</f>
        <v>33290.151605069</v>
      </c>
      <c r="H6" s="0" t="n">
        <f aca="false">G6*(1+H5/100)</f>
        <v>35287.5607013731</v>
      </c>
      <c r="I6" s="0" t="n">
        <f aca="false">H6*(1+I5/100)</f>
        <v>37051.9387364418</v>
      </c>
      <c r="J6" s="0" t="n">
        <f aca="false">I6*(1+J5/100)</f>
        <v>38719.2759795816</v>
      </c>
      <c r="K6" s="0" t="n">
        <f aca="false">J6*(1+K5/100)</f>
        <v>40268.0470187649</v>
      </c>
      <c r="L6" s="0" t="n">
        <f aca="false">K6*(1+L5/100)</f>
        <v>41677.4286644217</v>
      </c>
    </row>
    <row r="7" customFormat="false" ht="15" hidden="false" customHeight="false" outlineLevel="0" collapsed="false">
      <c r="A7" s="0" t="s">
        <v>107</v>
      </c>
      <c r="C7" s="4" t="n">
        <f aca="false">Assumptions!C42</f>
        <v>28.7</v>
      </c>
      <c r="D7" s="4" t="n">
        <f aca="false">Assumptions!D42</f>
        <v>29.6</v>
      </c>
      <c r="E7" s="4" t="n">
        <f aca="false">Assumptions!E42</f>
        <v>30.4</v>
      </c>
      <c r="F7" s="4" t="n">
        <f aca="false">Assumptions!F42</f>
        <v>31</v>
      </c>
      <c r="G7" s="4" t="n">
        <f aca="false">Assumptions!G42</f>
        <v>31.5</v>
      </c>
      <c r="H7" s="4" t="n">
        <f aca="false">Assumptions!H42</f>
        <v>31.8</v>
      </c>
      <c r="I7" s="4" t="n">
        <f aca="false">Assumptions!I42</f>
        <v>32</v>
      </c>
      <c r="J7" s="4" t="n">
        <f aca="false">Assumptions!J42</f>
        <v>32</v>
      </c>
      <c r="K7" s="4" t="n">
        <f aca="false">Assumptions!K42</f>
        <v>32</v>
      </c>
      <c r="L7" s="4" t="n">
        <f aca="false">Assumptions!L42</f>
        <v>32</v>
      </c>
    </row>
    <row r="8" customFormat="false" ht="15" hidden="false" customHeight="false" outlineLevel="0" collapsed="false">
      <c r="A8" s="0" t="s">
        <v>43</v>
      </c>
      <c r="C8" s="0" t="n">
        <f aca="false">C6*C7/100</f>
        <v>7188.298145</v>
      </c>
      <c r="D8" s="0" t="n">
        <f aca="false">D6*D7/100</f>
        <v>8043.8809486</v>
      </c>
      <c r="E8" s="0" t="n">
        <f aca="false">E6*E7/100</f>
        <v>8880.87937163</v>
      </c>
      <c r="F8" s="0" t="n">
        <f aca="false">F6*F7/100</f>
        <v>9690.09107753181</v>
      </c>
      <c r="G8" s="0" t="n">
        <f aca="false">G6*G7/100</f>
        <v>10486.3977555967</v>
      </c>
      <c r="H8" s="0" t="n">
        <f aca="false">H6*H7/100</f>
        <v>11221.4443030367</v>
      </c>
      <c r="I8" s="0" t="n">
        <f aca="false">I6*I7/100</f>
        <v>11856.6203956614</v>
      </c>
      <c r="J8" s="0" t="n">
        <f aca="false">J6*J7/100</f>
        <v>12390.1683134661</v>
      </c>
      <c r="K8" s="0" t="n">
        <f aca="false">K6*K7/100</f>
        <v>12885.7750460048</v>
      </c>
      <c r="L8" s="0" t="n">
        <f aca="false">L6*L7/100</f>
        <v>13336.7771726149</v>
      </c>
    </row>
    <row r="9" customFormat="false" ht="15" hidden="false" customHeight="false" outlineLevel="0" collapsed="false">
      <c r="A9" s="0" t="s">
        <v>108</v>
      </c>
      <c r="C9" s="4" t="n">
        <f aca="false">Assumptions!C43</f>
        <v>0.83</v>
      </c>
      <c r="D9" s="4" t="n">
        <f aca="false">Assumptions!D43</f>
        <v>0.83</v>
      </c>
      <c r="E9" s="4" t="n">
        <f aca="false">Assumptions!E43</f>
        <v>0.82</v>
      </c>
      <c r="F9" s="4" t="n">
        <f aca="false">Assumptions!F43</f>
        <v>0.81</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123</v>
      </c>
      <c r="C10" s="0" t="n">
        <f aca="false">-C6*C9/100</f>
        <v>-207.8845805</v>
      </c>
      <c r="D10" s="0" t="n">
        <f aca="false">-D6*D9/100</f>
        <v>-225.5547698425</v>
      </c>
      <c r="E10" s="0" t="n">
        <f aca="false">-E6*E9/100</f>
        <v>-239.550035682125</v>
      </c>
      <c r="F10" s="0" t="n">
        <f aca="false">-F6*F9/100</f>
        <v>-253.192702348412</v>
      </c>
      <c r="G10" s="0" t="n">
        <f aca="false">-G6*G9/100</f>
        <v>-266.321212840552</v>
      </c>
      <c r="H10" s="0" t="n">
        <f aca="false">-H6*H9/100</f>
        <v>-282.300485610985</v>
      </c>
      <c r="I10" s="0" t="n">
        <f aca="false">-I6*I9/100</f>
        <v>-296.415509891534</v>
      </c>
      <c r="J10" s="0" t="n">
        <f aca="false">-J6*J9/100</f>
        <v>-309.754207836653</v>
      </c>
      <c r="K10" s="0" t="n">
        <f aca="false">-K6*K9/100</f>
        <v>-322.144376150119</v>
      </c>
      <c r="L10" s="0" t="n">
        <f aca="false">-L6*L9/100</f>
        <v>-333.419429315373</v>
      </c>
    </row>
    <row r="11" customFormat="false" ht="15" hidden="false" customHeight="false" outlineLevel="0" collapsed="false">
      <c r="A11" s="0" t="s">
        <v>124</v>
      </c>
      <c r="C11" s="0" t="n">
        <f aca="false">C8+C10+C24</f>
        <v>6980.4135645</v>
      </c>
      <c r="D11" s="0" t="n">
        <f aca="false">D8+D10+D24</f>
        <v>7818.3261787575</v>
      </c>
      <c r="E11" s="0" t="n">
        <f aca="false">E8+E10+E24</f>
        <v>8641.32933594787</v>
      </c>
      <c r="F11" s="0" t="n">
        <f aca="false">F8+F10+F24</f>
        <v>9436.8983751834</v>
      </c>
      <c r="G11" s="0" t="n">
        <f aca="false">G8+G10+G24</f>
        <v>10220.0765427562</v>
      </c>
      <c r="H11" s="0" t="n">
        <f aca="false">H8+H10+H24</f>
        <v>10939.1438174257</v>
      </c>
      <c r="I11" s="0" t="n">
        <f aca="false">I8+I10+I24</f>
        <v>11560.2048857698</v>
      </c>
      <c r="J11" s="0" t="n">
        <f aca="false">J8+J10+J24</f>
        <v>12080.4141056295</v>
      </c>
      <c r="K11" s="0" t="n">
        <f aca="false">K8+K10+K24</f>
        <v>12563.6306698547</v>
      </c>
      <c r="L11" s="0" t="n">
        <f aca="false">L8+L10+L24</f>
        <v>13003.3577432996</v>
      </c>
    </row>
    <row r="12" customFormat="false" ht="15" hidden="false" customHeight="false" outlineLevel="0" collapsed="false">
      <c r="A12" s="0" t="s">
        <v>125</v>
      </c>
      <c r="C12" s="4" t="n">
        <f aca="false">-C6*Assumptions!C45/100</f>
        <v>-1252.31675</v>
      </c>
      <c r="D12" s="4" t="n">
        <f aca="false">-D6*Assumptions!D45/100</f>
        <v>-1304.4131268</v>
      </c>
      <c r="E12" s="4" t="n">
        <f aca="false">-E6*Assumptions!E45/100</f>
        <v>-1343.81727333875</v>
      </c>
      <c r="F12" s="4" t="n">
        <f aca="false">-F6*Assumptions!F45/100</f>
        <v>-1344.10940752861</v>
      </c>
      <c r="G12" s="4" t="n">
        <f aca="false">-G6*Assumptions!G45/100</f>
        <v>-1331.60606420276</v>
      </c>
      <c r="H12" s="4" t="n">
        <f aca="false">-H6*Assumptions!H45/100</f>
        <v>-1305.63974595081</v>
      </c>
      <c r="I12" s="4" t="n">
        <f aca="false">-I6*Assumptions!I45/100</f>
        <v>-1259.76591703902</v>
      </c>
      <c r="J12" s="4" t="n">
        <f aca="false">-J6*Assumptions!J45/100</f>
        <v>-1200.29755536703</v>
      </c>
      <c r="K12" s="4" t="n">
        <f aca="false">-K6*Assumptions!K45/100</f>
        <v>-1127.50531652542</v>
      </c>
      <c r="L12" s="4" t="n">
        <f aca="false">-L6*Assumptions!L45/100</f>
        <v>-1083.61314527496</v>
      </c>
    </row>
    <row r="13" customFormat="false" ht="15" hidden="false" customHeight="false" outlineLevel="0" collapsed="false">
      <c r="A13" s="0" t="s">
        <v>126</v>
      </c>
      <c r="C13" s="0" t="n">
        <f aca="false">C11+C12</f>
        <v>5728.0968145</v>
      </c>
      <c r="D13" s="0" t="n">
        <f aca="false">D11+D12</f>
        <v>6513.9130519575</v>
      </c>
      <c r="E13" s="0" t="n">
        <f aca="false">E11+E12</f>
        <v>7297.51206260913</v>
      </c>
      <c r="F13" s="0" t="n">
        <f aca="false">F11+F12</f>
        <v>8092.78896765479</v>
      </c>
      <c r="G13" s="0" t="n">
        <f aca="false">G11+G12</f>
        <v>8888.47047855341</v>
      </c>
      <c r="H13" s="0" t="n">
        <f aca="false">H11+H12</f>
        <v>9633.50407147486</v>
      </c>
      <c r="I13" s="0" t="n">
        <f aca="false">I11+I12</f>
        <v>10300.4389687308</v>
      </c>
      <c r="J13" s="0" t="n">
        <f aca="false">J11+J12</f>
        <v>10880.1165502624</v>
      </c>
      <c r="K13" s="0" t="n">
        <f aca="false">K11+K12</f>
        <v>11436.1253533292</v>
      </c>
      <c r="L13" s="0" t="n">
        <f aca="false">L11+L12</f>
        <v>11919.7445980246</v>
      </c>
    </row>
    <row r="14" customFormat="false" ht="15" hidden="false" customHeight="false" outlineLevel="0" collapsed="false">
      <c r="A14" s="0" t="s">
        <v>112</v>
      </c>
      <c r="C14" s="4" t="n">
        <f aca="false">Assumptions!C47</f>
        <v>22.5</v>
      </c>
      <c r="D14" s="4" t="n">
        <f aca="false">Assumptions!D47</f>
        <v>22.5</v>
      </c>
      <c r="E14" s="4" t="n">
        <f aca="false">Assumptions!E47</f>
        <v>22.5</v>
      </c>
      <c r="F14" s="4" t="n">
        <f aca="false">Assumptions!F47</f>
        <v>22.5</v>
      </c>
      <c r="G14" s="4" t="n">
        <f aca="false">Assumptions!G47</f>
        <v>22.5</v>
      </c>
      <c r="H14" s="4" t="n">
        <f aca="false">Assumptions!H47</f>
        <v>22.5</v>
      </c>
      <c r="I14" s="4" t="n">
        <f aca="false">Assumptions!I47</f>
        <v>22.5</v>
      </c>
      <c r="J14" s="4" t="n">
        <f aca="false">Assumptions!J47</f>
        <v>22.5</v>
      </c>
      <c r="K14" s="4" t="n">
        <f aca="false">Assumptions!K47</f>
        <v>22.5</v>
      </c>
      <c r="L14" s="4" t="n">
        <f aca="false">Assumptions!L47</f>
        <v>22.5</v>
      </c>
    </row>
    <row r="15" customFormat="false" ht="15" hidden="false" customHeight="false" outlineLevel="0" collapsed="false">
      <c r="A15" s="0" t="s">
        <v>127</v>
      </c>
      <c r="C15" s="0" t="n">
        <f aca="false">C13-MAX(0,C13)*C14/100</f>
        <v>4439.2750312375</v>
      </c>
      <c r="D15" s="0" t="n">
        <f aca="false">D13-MAX(0,D13)*D14/100</f>
        <v>5048.28261526706</v>
      </c>
      <c r="E15" s="0" t="n">
        <f aca="false">E13-MAX(0,E13)*E14/100</f>
        <v>5655.57184852207</v>
      </c>
      <c r="F15" s="0" t="n">
        <f aca="false">F13-MAX(0,F13)*F14/100</f>
        <v>6271.91144993247</v>
      </c>
      <c r="G15" s="0" t="n">
        <f aca="false">G13-MAX(0,G13)*G14/100</f>
        <v>6888.5646208789</v>
      </c>
      <c r="H15" s="0" t="n">
        <f aca="false">H13-MAX(0,H13)*H14/100</f>
        <v>7465.96565539302</v>
      </c>
      <c r="I15" s="0" t="n">
        <f aca="false">I13-MAX(0,I13)*I14/100</f>
        <v>7982.84020076638</v>
      </c>
      <c r="J15" s="0" t="n">
        <f aca="false">J13-MAX(0,J13)*J14/100</f>
        <v>8432.09032645339</v>
      </c>
      <c r="K15" s="0" t="n">
        <f aca="false">K13-MAX(0,K13)*K14/100</f>
        <v>8862.99714883016</v>
      </c>
      <c r="L15" s="0" t="n">
        <f aca="false">L13-MAX(0,L13)*L14/100</f>
        <v>9237.80206346906</v>
      </c>
    </row>
    <row r="16" customFormat="false" ht="15" hidden="false" customHeight="false" outlineLevel="0" collapsed="false">
      <c r="A16" s="0" t="s">
        <v>128</v>
      </c>
      <c r="C16" s="0" t="n">
        <f aca="false">-C12</f>
        <v>1252.31675</v>
      </c>
      <c r="D16" s="0" t="n">
        <f aca="false">-D12</f>
        <v>1304.4131268</v>
      </c>
      <c r="E16" s="0" t="n">
        <f aca="false">-E12</f>
        <v>1343.81727333875</v>
      </c>
      <c r="F16" s="0" t="n">
        <f aca="false">-F12</f>
        <v>1344.10940752861</v>
      </c>
      <c r="G16" s="0" t="n">
        <f aca="false">-G12</f>
        <v>1331.60606420276</v>
      </c>
      <c r="H16" s="0" t="n">
        <f aca="false">-H12</f>
        <v>1305.63974595081</v>
      </c>
      <c r="I16" s="0" t="n">
        <f aca="false">-I12</f>
        <v>1259.76591703902</v>
      </c>
      <c r="J16" s="0" t="n">
        <f aca="false">-J12</f>
        <v>1200.29755536703</v>
      </c>
      <c r="K16" s="0" t="n">
        <f aca="false">-K12</f>
        <v>1127.50531652542</v>
      </c>
      <c r="L16" s="0" t="n">
        <f aca="false">-L12</f>
        <v>1083.61314527496</v>
      </c>
    </row>
    <row r="17" customFormat="false" ht="15" hidden="false" customHeight="false" outlineLevel="0" collapsed="false">
      <c r="A17" s="0" t="s">
        <v>129</v>
      </c>
      <c r="C17" s="4" t="n">
        <f aca="false">-C6*Assumptions!C46/100</f>
        <v>-551.01937</v>
      </c>
      <c r="D17" s="4" t="n">
        <f aca="false">-D6*Assumptions!D46/100</f>
        <v>-625.031289925</v>
      </c>
      <c r="E17" s="4" t="n">
        <f aca="false">-E6*Assumptions!E46/100</f>
        <v>-671.908636669375</v>
      </c>
      <c r="F17" s="4" t="n">
        <f aca="false">-F6*Assumptions!F46/100</f>
        <v>-718.942241236231</v>
      </c>
      <c r="G17" s="4" t="n">
        <f aca="false">-G6*Assumptions!G46/100</f>
        <v>-798.963638521655</v>
      </c>
      <c r="H17" s="4" t="n">
        <f aca="false">-H6*Assumptions!H46/100</f>
        <v>-846.901456832955</v>
      </c>
      <c r="I17" s="4" t="n">
        <f aca="false">-I6*Assumptions!I46/100</f>
        <v>-889.246529674602</v>
      </c>
      <c r="J17" s="4" t="n">
        <f aca="false">-J6*Assumptions!J46/100</f>
        <v>-929.262623509959</v>
      </c>
      <c r="K17" s="4" t="n">
        <f aca="false">-K6*Assumptions!K46/100</f>
        <v>-966.433128450358</v>
      </c>
      <c r="L17" s="4" t="n">
        <f aca="false">-L6*Assumptions!L46/100</f>
        <v>-1000.25828794612</v>
      </c>
    </row>
    <row r="18" customFormat="false" ht="15" hidden="false" customHeight="false" outlineLevel="0" collapsed="false">
      <c r="A18" s="0" t="s">
        <v>130</v>
      </c>
      <c r="C18" s="4" t="n">
        <f aca="false">(C6-B6)*Assumptions!$B$51/100</f>
        <v>-425.6802</v>
      </c>
      <c r="D18" s="4" t="n">
        <f aca="false">(D6-C6)*Assumptions!$B$51/100</f>
        <v>-255.472617</v>
      </c>
      <c r="E18" s="4" t="n">
        <f aca="false">(E6-D6)*Assumptions!$B$51/100</f>
        <v>-244.577461275</v>
      </c>
      <c r="F18" s="4" t="n">
        <f aca="false">(F6-E6)*Assumptions!$B$51/100</f>
        <v>-245.39271947925</v>
      </c>
      <c r="G18" s="4" t="n">
        <f aca="false">(G6-F6)*Assumptions!$B$51/100</f>
        <v>-243.815194854026</v>
      </c>
      <c r="H18" s="4" t="n">
        <f aca="false">(H6-G6)*Assumptions!$B$51/100</f>
        <v>-239.689091556497</v>
      </c>
      <c r="I18" s="4" t="n">
        <f aca="false">(I6-H6)*Assumptions!$B$51/100</f>
        <v>-211.725364208239</v>
      </c>
      <c r="J18" s="4" t="n">
        <f aca="false">(J6-I6)*Assumptions!$B$51/100</f>
        <v>-200.080469176785</v>
      </c>
      <c r="K18" s="4" t="n">
        <f aca="false">(K6-J6)*Assumptions!$B$51/100</f>
        <v>-185.852524701992</v>
      </c>
      <c r="L18" s="4" t="n">
        <f aca="false">(L6-K6)*Assumptions!$B$51/100</f>
        <v>-169.125797478812</v>
      </c>
    </row>
    <row r="19" customFormat="false" ht="15" hidden="false" customHeight="false" outlineLevel="0" collapsed="false">
      <c r="A19" s="0" t="s">
        <v>131</v>
      </c>
      <c r="C19" s="0" t="n">
        <f aca="false">C15+C16+C17+C18</f>
        <v>4714.8922112375</v>
      </c>
      <c r="D19" s="0" t="n">
        <f aca="false">D15+D16+D17+D18</f>
        <v>5472.19183514206</v>
      </c>
      <c r="E19" s="0" t="n">
        <f aca="false">E15+E16+E17+E18</f>
        <v>6082.90302391645</v>
      </c>
      <c r="F19" s="0" t="n">
        <f aca="false">F15+F16+F17+F18</f>
        <v>6651.68589674559</v>
      </c>
      <c r="G19" s="0" t="n">
        <f aca="false">G15+G16+G17+G18</f>
        <v>7177.39185170597</v>
      </c>
      <c r="H19" s="0" t="n">
        <f aca="false">H15+H16+H17+H18</f>
        <v>7685.01485295437</v>
      </c>
      <c r="I19" s="0" t="n">
        <f aca="false">I15+I16+I17+I18</f>
        <v>8141.63422392256</v>
      </c>
      <c r="J19" s="0" t="n">
        <f aca="false">J15+J16+J17+J18</f>
        <v>8503.04478913368</v>
      </c>
      <c r="K19" s="0" t="n">
        <f aca="false">K15+K16+K17+K18</f>
        <v>8838.21681220323</v>
      </c>
      <c r="L19" s="0" t="n">
        <f aca="false">L15+L16+L17+L18</f>
        <v>9152.0311233191</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4325.58918462156</v>
      </c>
      <c r="D21" s="0" t="n">
        <f aca="false">D19*D20</f>
        <v>4605.8343869557</v>
      </c>
      <c r="E21" s="0" t="n">
        <f aca="false">E19*E20</f>
        <v>4697.11722588177</v>
      </c>
      <c r="F21" s="0" t="n">
        <f aca="false">F19*F20</f>
        <v>4712.22198534138</v>
      </c>
      <c r="G21" s="0" t="n">
        <f aca="false">G19*G20</f>
        <v>4664.81223618571</v>
      </c>
      <c r="H21" s="0" t="n">
        <f aca="false">H19*H20</f>
        <v>4582.32326339817</v>
      </c>
      <c r="I21" s="0" t="n">
        <f aca="false">I19*I20</f>
        <v>4453.75272947398</v>
      </c>
      <c r="J21" s="0" t="n">
        <f aca="false">J19*J20</f>
        <v>4267.39145421343</v>
      </c>
      <c r="K21" s="0" t="n">
        <f aca="false">K19*K20</f>
        <v>4069.36054172637</v>
      </c>
      <c r="L21" s="0" t="n">
        <f aca="false">L19*L20</f>
        <v>3865.91685153568</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9</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44244.3198593338</v>
      </c>
    </row>
    <row r="31" customFormat="false" ht="15" hidden="false" customHeight="false" outlineLevel="0" collapsed="false">
      <c r="A31" s="0" t="s">
        <v>137</v>
      </c>
      <c r="B31" s="0" t="n">
        <f aca="false">L19</f>
        <v>9152.0311233191</v>
      </c>
    </row>
    <row r="32" customFormat="false" ht="15" hidden="false" customHeight="false" outlineLevel="0" collapsed="false">
      <c r="A32" s="0" t="s">
        <v>138</v>
      </c>
      <c r="B32" s="0" t="n">
        <f aca="false">IF(B27&gt;B28,B31*(1+B28/100)/((B27-B28)/100),B31*B29)</f>
        <v>157109.867616978</v>
      </c>
    </row>
    <row r="33" customFormat="false" ht="15" hidden="false" customHeight="false" outlineLevel="0" collapsed="false">
      <c r="A33" s="0" t="s">
        <v>139</v>
      </c>
      <c r="B33" s="0" t="n">
        <f aca="false">B31*B29</f>
        <v>183040.622466382</v>
      </c>
    </row>
    <row r="34" customFormat="false" ht="15" hidden="false" customHeight="false" outlineLevel="0" collapsed="false">
      <c r="A34" s="0" t="s">
        <v>140</v>
      </c>
      <c r="B34" s="0" t="n">
        <f aca="false">MAX(0,MIN(B32,B33))</f>
        <v>157109.867616978</v>
      </c>
    </row>
    <row r="35" customFormat="false" ht="15" hidden="false" customHeight="false" outlineLevel="0" collapsed="false">
      <c r="A35" s="0" t="s">
        <v>141</v>
      </c>
      <c r="B35" s="0" t="n">
        <f aca="false">B34/(1+B27/100)^L4</f>
        <v>66364.9059513625</v>
      </c>
    </row>
    <row r="36" customFormat="false" ht="15" hidden="false" customHeight="false" outlineLevel="0" collapsed="false">
      <c r="A36" s="0" t="s">
        <v>142</v>
      </c>
      <c r="B36" s="0" t="n">
        <f aca="false">B30+B35</f>
        <v>110609.225810696</v>
      </c>
    </row>
    <row r="37" customFormat="false" ht="15" hidden="false" customHeight="false" outlineLevel="0" collapsed="false">
      <c r="A37" s="0" t="s">
        <v>143</v>
      </c>
      <c r="B37" s="0" t="n">
        <f aca="false">B36+Assumptions!$B$5-Assumptions!$B$4</f>
        <v>93340.2258106962</v>
      </c>
    </row>
    <row r="38" customFormat="false" ht="15" hidden="false" customHeight="false" outlineLevel="0" collapsed="false">
      <c r="A38" s="0" t="s">
        <v>144</v>
      </c>
      <c r="B38" s="0" t="n">
        <f aca="false">B37/Assumptions!$B$3*Assumptions!$B$10</f>
        <v>729.790663101612</v>
      </c>
    </row>
    <row r="39" customFormat="false" ht="15" hidden="false" customHeight="false" outlineLevel="0" collapsed="false">
      <c r="A39" s="0" t="s">
        <v>145</v>
      </c>
      <c r="B39" s="4" t="n">
        <f aca="false">B38/Assumptions!$B$2-1</f>
        <v>-0.24442926336438</v>
      </c>
    </row>
    <row r="41" customFormat="false" ht="15" hidden="false" customHeight="false" outlineLevel="0" collapsed="false">
      <c r="A41" s="0" t="s">
        <v>146</v>
      </c>
      <c r="B41" s="0" t="n">
        <f aca="false">SUMPRODUCT(-C10:L10/(1+$B$27/100)^C4:L4)</f>
        <v>1693.09529706293</v>
      </c>
    </row>
    <row r="42" customFormat="false" ht="15" hidden="false" customHeight="false" outlineLevel="0" collapsed="false">
      <c r="A42" s="0" t="s">
        <v>147</v>
      </c>
      <c r="B42" s="0" t="n">
        <f aca="false">IF(B27&gt;B28,-L10*(1+B28/100)/((B27-B28)/100),-L10*20)/(1+B27/100)^L4</f>
        <v>2417.75282128269</v>
      </c>
    </row>
    <row r="43" customFormat="false" ht="15" hidden="false" customHeight="false" outlineLevel="0" collapsed="false">
      <c r="A43" s="0" t="s">
        <v>148</v>
      </c>
      <c r="B43" s="0" t="n">
        <f aca="false">(B37+B41+B42)/Assumptions!$B$3*Assumptions!$B$10</f>
        <v>761.931774269287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78554.9338084889</v>
      </c>
    </row>
    <row r="47" customFormat="false" ht="15" hidden="false" customHeight="false" outlineLevel="0" collapsed="false">
      <c r="A47" s="0" t="s">
        <v>150</v>
      </c>
      <c r="B47" s="0" t="n">
        <f aca="false">(SUMPRODUCT(C19:L19/(1+B45/100)^C4:L4)+B46/(1+B45/100)^L4+Assumptions!$B$5-Assumptions!$B$4)/Assumptions!$B$3*Assumptions!$B$10</f>
        <v>279.08421948406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367.423443207991</v>
      </c>
      <c r="C4" s="0" t="n">
        <f aca="false">B4/Assumptions!$B$2-1</f>
        <v>-0.619597213724281</v>
      </c>
      <c r="D4" s="4" t="n">
        <f aca="false">Assumptions!$B$24</f>
        <v>0.2</v>
      </c>
      <c r="E4" s="4" t="n">
        <f aca="false">DCF_Bear!$B$43</f>
        <v>390.127913584282</v>
      </c>
      <c r="F4" s="4" t="n">
        <f aca="false">DCF_Bear!$B$47</f>
        <v>142.816969366863</v>
      </c>
    </row>
    <row r="5" customFormat="false" ht="15" hidden="false" customHeight="false" outlineLevel="0" collapsed="false">
      <c r="A5" s="0" t="s">
        <v>159</v>
      </c>
      <c r="B5" s="4" t="n">
        <f aca="false">DCF_Base!$B$38</f>
        <v>596.256474561479</v>
      </c>
      <c r="C5" s="0" t="n">
        <f aca="false">B5/Assumptions!$B$2-1</f>
        <v>-0.382680587069326</v>
      </c>
      <c r="D5" s="4" t="n">
        <f aca="false">Assumptions!$B$38</f>
        <v>0.5</v>
      </c>
      <c r="E5" s="4" t="n">
        <f aca="false">DCF_Base!$B$43</f>
        <v>624.710035429653</v>
      </c>
      <c r="F5" s="4" t="n">
        <f aca="false">DCF_Base!$B$47</f>
        <v>223.187977376244</v>
      </c>
    </row>
    <row r="6" customFormat="false" ht="15" hidden="false" customHeight="false" outlineLevel="0" collapsed="false">
      <c r="A6" s="0" t="s">
        <v>160</v>
      </c>
      <c r="B6" s="4" t="n">
        <f aca="false">DCF_Bull!$B$38</f>
        <v>729.790663101612</v>
      </c>
      <c r="C6" s="0" t="n">
        <f aca="false">B6/Assumptions!$B$2-1</f>
        <v>-0.24442926336438</v>
      </c>
      <c r="D6" s="4" t="n">
        <f aca="false">Assumptions!$B$52</f>
        <v>0.3</v>
      </c>
      <c r="E6" s="4" t="n">
        <f aca="false">DCF_Bull!$B$43</f>
        <v>761.931774269287</v>
      </c>
      <c r="F6" s="4" t="n">
        <f aca="false">DCF_Bull!$B$47</f>
        <v>279.08421948406</v>
      </c>
    </row>
    <row r="8" customFormat="false" ht="15" hidden="false" customHeight="false" outlineLevel="0" collapsed="false">
      <c r="A8" s="0" t="s">
        <v>161</v>
      </c>
      <c r="B8" s="0" t="n">
        <f aca="false">SUMPRODUCT(B4:B6,D4:D6)</f>
        <v>590.550124852821</v>
      </c>
    </row>
    <row r="9" customFormat="false" ht="15" hidden="false" customHeight="false" outlineLevel="0" collapsed="false">
      <c r="A9" s="0" t="s">
        <v>162</v>
      </c>
      <c r="B9" s="0" t="n">
        <f aca="false">SUMPRODUCT(E4:E6,D4:D6)</f>
        <v>618.960132712469</v>
      </c>
    </row>
    <row r="10" customFormat="false" ht="15" hidden="false" customHeight="false" outlineLevel="0" collapsed="false">
      <c r="A10" s="0" t="s">
        <v>163</v>
      </c>
      <c r="B10" s="0" t="n">
        <f aca="false">1-Assumptions!$B$2/B8</f>
        <v>-0.635559725333594</v>
      </c>
    </row>
    <row r="11" customFormat="false" ht="15" hidden="false" customHeight="false" outlineLevel="0" collapsed="false">
      <c r="A11" s="0" t="s">
        <v>164</v>
      </c>
      <c r="B11" s="0" t="n">
        <f aca="false">IF(ABS(B9-B8)&gt;0.01*ABS(B8),(Assumptions!$B$2-B8)/(B9-B8)*100,"n/a")</f>
        <v>1321.11851922533</v>
      </c>
    </row>
    <row r="12" customFormat="false" ht="15" hidden="false" customHeight="false" outlineLevel="0" collapsed="false">
      <c r="A12" s="0" t="s">
        <v>165</v>
      </c>
      <c r="B12" s="0" t="n">
        <f aca="false">SUMPRODUCT(F4:F6,D4:D6)</f>
        <v>223.882648406713</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596.256474561479</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489.446615155789</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409.421647456668</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347.249185502547</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223.187977376244</v>
      </c>
      <c r="C19" s="3" t="n">
        <v>15</v>
      </c>
    </row>
    <row r="21" customFormat="false" ht="15" hidden="false" customHeight="false" outlineLevel="0" collapsed="false">
      <c r="A21" s="2" t="s">
        <v>173</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739.188316228031</v>
      </c>
      <c r="C23" s="0" t="n">
        <f aca="false">(SUMPRODUCT(DCF_Base!$C$19:$L$19/(1+$A$23/100)^DCF_Base!$C$4:$L$4)+MAX(0,MIN(IF($A$23&gt;$C$22,DCF_Base!$L$19*(1+$C$22/100)/(($A$23-$C$22)/100),DCF_Base!$L$19*DCF_Base!$B$29),DCF_Base!$L$19*DCF_Base!$B$29))/(1+$A$23/100)^DCF_Base!$L$4+Assumptions!$B$5-Assumptions!$B$4)/Assumptions!$B$3*Assumptions!$B$10</f>
        <v>739.188316228031</v>
      </c>
      <c r="D23" s="0" t="n">
        <f aca="false">(SUMPRODUCT(DCF_Base!$C$19:$L$19/(1+$A$23/100)^DCF_Base!$C$4:$L$4)+MAX(0,MIN(IF($A$23&gt;$D$22,DCF_Base!$L$19*(1+$D$22/100)/(($A$23-$D$22)/100),DCF_Base!$L$19*DCF_Base!$B$29),DCF_Base!$L$19*DCF_Base!$B$29))/(1+$A$23/100)^DCF_Base!$L$4+Assumptions!$B$5-Assumptions!$B$4)/Assumptions!$B$3*Assumptions!$B$10</f>
        <v>739.188316228031</v>
      </c>
      <c r="E23" s="0" t="n">
        <f aca="false">(SUMPRODUCT(DCF_Base!$C$19:$L$19/(1+$A$23/100)^DCF_Base!$C$4:$L$4)+MAX(0,MIN(IF($A$23&gt;$E$22,DCF_Base!$L$19*(1+$E$22/100)/(($A$23-$E$22)/100),DCF_Base!$L$19*DCF_Base!$B$29),DCF_Base!$L$19*DCF_Base!$B$29))/(1+$A$23/100)^DCF_Base!$L$4+Assumptions!$B$5-Assumptions!$B$4)/Assumptions!$B$3*Assumptions!$B$10</f>
        <v>739.188316228031</v>
      </c>
      <c r="F23" s="0" t="n">
        <f aca="false">(SUMPRODUCT(DCF_Base!$C$19:$L$19/(1+$A$23/100)^DCF_Base!$C$4:$L$4)+MAX(0,MIN(IF($A$23&gt;$F$22,DCF_Base!$L$19*(1+$F$22/100)/(($A$23-$F$22)/100),DCF_Base!$L$19*DCF_Base!$B$29),DCF_Base!$L$19*DCF_Base!$B$29))/(1+$A$23/100)^DCF_Base!$L$4+Assumptions!$B$5-Assumptions!$B$4)/Assumptions!$B$3*Assumptions!$B$10</f>
        <v>739.188316228031</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647.973218603702</v>
      </c>
      <c r="C24" s="0" t="n">
        <f aca="false">(SUMPRODUCT(DCF_Base!$C$19:$L$19/(1+$A$24/100)^DCF_Base!$C$4:$L$4)+MAX(0,MIN(IF($A$24&gt;$C$22,DCF_Base!$L$19*(1+$C$22/100)/(($A$24-$C$22)/100),DCF_Base!$L$19*DCF_Base!$B$29),DCF_Base!$L$19*DCF_Base!$B$29))/(1+$A$24/100)^DCF_Base!$L$4+Assumptions!$B$5-Assumptions!$B$4)/Assumptions!$B$3*Assumptions!$B$10</f>
        <v>675.183456028735</v>
      </c>
      <c r="D24" s="0" t="n">
        <f aca="false">(SUMPRODUCT(DCF_Base!$C$19:$L$19/(1+$A$24/100)^DCF_Base!$C$4:$L$4)+MAX(0,MIN(IF($A$24&gt;$D$22,DCF_Base!$L$19*(1+$D$22/100)/(($A$24-$D$22)/100),DCF_Base!$L$19*DCF_Base!$B$29),DCF_Base!$L$19*DCF_Base!$B$29))/(1+$A$24/100)^DCF_Base!$L$4+Assumptions!$B$5-Assumptions!$B$4)/Assumptions!$B$3*Assumptions!$B$10</f>
        <v>675.183456028735</v>
      </c>
      <c r="E24" s="0" t="n">
        <f aca="false">(SUMPRODUCT(DCF_Base!$C$19:$L$19/(1+$A$24/100)^DCF_Base!$C$4:$L$4)+MAX(0,MIN(IF($A$24&gt;$E$22,DCF_Base!$L$19*(1+$E$22/100)/(($A$24-$E$22)/100),DCF_Base!$L$19*DCF_Base!$B$29),DCF_Base!$L$19*DCF_Base!$B$29))/(1+$A$24/100)^DCF_Base!$L$4+Assumptions!$B$5-Assumptions!$B$4)/Assumptions!$B$3*Assumptions!$B$10</f>
        <v>675.183456028735</v>
      </c>
      <c r="F24" s="0" t="n">
        <f aca="false">(SUMPRODUCT(DCF_Base!$C$19:$L$19/(1+$A$24/100)^DCF_Base!$C$4:$L$4)+MAX(0,MIN(IF($A$24&gt;$F$22,DCF_Base!$L$19*(1+$F$22/100)/(($A$24-$F$22)/100),DCF_Base!$L$19*DCF_Base!$B$29),DCF_Base!$L$19*DCF_Base!$B$29))/(1+$A$24/100)^DCF_Base!$L$4+Assumptions!$B$5-Assumptions!$B$4)/Assumptions!$B$3*Assumptions!$B$10</f>
        <v>675.183456028735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531.857031091197</v>
      </c>
      <c r="C25" s="0" t="n">
        <f aca="false">(SUMPRODUCT(DCF_Base!$C$19:$L$19/(1+$A$25/100)^DCF_Base!$C$4:$L$4)+MAX(0,MIN(IF($A$25&gt;$C$22,DCF_Base!$L$19*(1+$C$22/100)/(($A$25-$C$22)/100),DCF_Base!$L$19*DCF_Base!$B$29),DCF_Base!$L$19*DCF_Base!$B$29))/(1+$A$25/100)^DCF_Base!$L$4+Assumptions!$B$5-Assumptions!$B$4)/Assumptions!$B$3*Assumptions!$B$10</f>
        <v>561.579851154404</v>
      </c>
      <c r="D25" s="0" t="n">
        <f aca="false">(SUMPRODUCT(DCF_Base!$C$19:$L$19/(1+$A$25/100)^DCF_Base!$C$4:$L$4)+MAX(0,MIN(IF($A$25&gt;$D$22,DCF_Base!$L$19*(1+$D$22/100)/(($A$25-$D$22)/100),DCF_Base!$L$19*DCF_Base!$B$29),DCF_Base!$L$19*DCF_Base!$B$29))/(1+$A$25/100)^DCF_Base!$L$4+Assumptions!$B$5-Assumptions!$B$4)/Assumptions!$B$3*Assumptions!$B$10</f>
        <v>596.256474561479</v>
      </c>
      <c r="E25" s="0" t="n">
        <f aca="false">(SUMPRODUCT(DCF_Base!$C$19:$L$19/(1+$A$25/100)^DCF_Base!$C$4:$L$4)+MAX(0,MIN(IF($A$25&gt;$E$22,DCF_Base!$L$19*(1+$E$22/100)/(($A$25-$E$22)/100),DCF_Base!$L$19*DCF_Base!$B$29),DCF_Base!$L$19*DCF_Base!$B$29))/(1+$A$25/100)^DCF_Base!$L$4+Assumptions!$B$5-Assumptions!$B$4)/Assumptions!$B$3*Assumptions!$B$10</f>
        <v>616.935194941845</v>
      </c>
      <c r="F25" s="0" t="n">
        <f aca="false">(SUMPRODUCT(DCF_Base!$C$19:$L$19/(1+$A$25/100)^DCF_Base!$C$4:$L$4)+MAX(0,MIN(IF($A$25&gt;$F$22,DCF_Base!$L$19*(1+$F$22/100)/(($A$25-$F$22)/100),DCF_Base!$L$19*DCF_Base!$B$29),DCF_Base!$L$19*DCF_Base!$B$29))/(1+$A$25/100)^DCF_Base!$L$4+Assumptions!$B$5-Assumptions!$B$4)/Assumptions!$B$3*Assumptions!$B$10</f>
        <v>616.935194941845</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444.958122363903</v>
      </c>
      <c r="C26" s="0" t="n">
        <f aca="false">(SUMPRODUCT(DCF_Base!$C$19:$L$19/(1+$A$26/100)^DCF_Base!$C$4:$L$4)+MAX(0,MIN(IF($A$26&gt;$C$22,DCF_Base!$L$19*(1+$C$22/100)/(($A$26-$C$22)/100),DCF_Base!$L$19*DCF_Base!$B$29),DCF_Base!$L$19*DCF_Base!$B$29))/(1+$A$26/100)^DCF_Base!$L$4+Assumptions!$B$5-Assumptions!$B$4)/Assumptions!$B$3*Assumptions!$B$10</f>
        <v>465.719419000116</v>
      </c>
      <c r="D26" s="0" t="n">
        <f aca="false">(SUMPRODUCT(DCF_Base!$C$19:$L$19/(1+$A$26/100)^DCF_Base!$C$4:$L$4)+MAX(0,MIN(IF($A$26&gt;$D$22,DCF_Base!$L$19*(1+$D$22/100)/(($A$26-$D$22)/100),DCF_Base!$L$19*DCF_Base!$B$29),DCF_Base!$L$19*DCF_Base!$B$29))/(1+$A$26/100)^DCF_Base!$L$4+Assumptions!$B$5-Assumptions!$B$4)/Assumptions!$B$3*Assumptions!$B$10</f>
        <v>489.446615155789</v>
      </c>
      <c r="E26" s="0" t="n">
        <f aca="false">(SUMPRODUCT(DCF_Base!$C$19:$L$19/(1+$A$26/100)^DCF_Base!$C$4:$L$4)+MAX(0,MIN(IF($A$26&gt;$E$22,DCF_Base!$L$19*(1+$E$22/100)/(($A$26-$E$22)/100),DCF_Base!$L$19*DCF_Base!$B$29),DCF_Base!$L$19*DCF_Base!$B$29))/(1+$A$26/100)^DCF_Base!$L$4+Assumptions!$B$5-Assumptions!$B$4)/Assumptions!$B$3*Assumptions!$B$10</f>
        <v>516.824149181565</v>
      </c>
      <c r="F26" s="0" t="n">
        <f aca="false">(SUMPRODUCT(DCF_Base!$C$19:$L$19/(1+$A$26/100)^DCF_Base!$C$4:$L$4)+MAX(0,MIN(IF($A$26&gt;$F$22,DCF_Base!$L$19*(1+$F$22/100)/(($A$26-$F$22)/100),DCF_Base!$L$19*DCF_Base!$B$29),DCF_Base!$L$19*DCF_Base!$B$29))/(1+$A$26/100)^DCF_Base!$L$4+Assumptions!$B$5-Assumptions!$B$4)/Assumptions!$B$3*Assumptions!$B$10</f>
        <v>548.76460554497</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377.526061822991</v>
      </c>
      <c r="C27" s="0" t="n">
        <f aca="false">(SUMPRODUCT(DCF_Base!$C$19:$L$19/(1+$A$27/100)^DCF_Base!$C$4:$L$4)+MAX(0,MIN(IF($A$27&gt;$C$22,DCF_Base!$L$19*(1+$C$22/100)/(($A$27-$C$22)/100),DCF_Base!$L$19*DCF_Base!$B$29),DCF_Base!$L$19*DCF_Base!$B$29))/(1+$A$27/100)^DCF_Base!$L$4+Assumptions!$B$5-Assumptions!$B$4)/Assumptions!$B$3*Assumptions!$B$10</f>
        <v>392.535749180016</v>
      </c>
      <c r="D27" s="0" t="n">
        <f aca="false">(SUMPRODUCT(DCF_Base!$C$19:$L$19/(1+$A$27/100)^DCF_Base!$C$4:$L$4)+MAX(0,MIN(IF($A$27&gt;$D$22,DCF_Base!$L$19*(1+$D$22/100)/(($A$27-$D$22)/100),DCF_Base!$L$19*DCF_Base!$B$29),DCF_Base!$L$19*DCF_Base!$B$29))/(1+$A$27/100)^DCF_Base!$L$4+Assumptions!$B$5-Assumptions!$B$4)/Assumptions!$B$3*Assumptions!$B$10</f>
        <v>409.421647456668</v>
      </c>
      <c r="E27" s="0" t="n">
        <f aca="false">(SUMPRODUCT(DCF_Base!$C$19:$L$19/(1+$A$27/100)^DCF_Base!$C$4:$L$4)+MAX(0,MIN(IF($A$27&gt;$E$22,DCF_Base!$L$19*(1+$E$22/100)/(($A$27-$E$22)/100),DCF_Base!$L$19*DCF_Base!$B$29),DCF_Base!$L$19*DCF_Base!$B$29))/(1+$A$27/100)^DCF_Base!$L$4+Assumptions!$B$5-Assumptions!$B$4)/Assumptions!$B$3*Assumptions!$B$10</f>
        <v>428.558998836874</v>
      </c>
      <c r="F27" s="0" t="n">
        <f aca="false">(SUMPRODUCT(DCF_Base!$C$19:$L$19/(1+$A$27/100)^DCF_Base!$C$4:$L$4)+MAX(0,MIN(IF($A$27&gt;$F$22,DCF_Base!$L$19*(1+$F$22/100)/(($A$27-$F$22)/100),DCF_Base!$L$19*DCF_Base!$B$29),DCF_Base!$L$19*DCF_Base!$B$29))/(1+$A$27/100)^DCF_Base!$L$4+Assumptions!$B$5-Assumptions!$B$4)/Assumptions!$B$3*Assumptions!$B$10</f>
        <v>450.430257557109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2026-10-02T07:28:58Z</dcterms:created>
  <dc:creator>openpyxl</dc:creator>
  <dc:description/>
  <dc:language>en-NZ</dc:language>
  <cp:lastModifiedBy/>
  <dcterms:modified xsi:type="dcterms:W3CDTF">2026-10-02T07:28:58Z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