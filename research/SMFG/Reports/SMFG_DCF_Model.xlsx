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<sst xmlns="http://schemas.openxmlformats.org/spreadsheetml/2006/main" count="360" uniqueCount="166">
  <si>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</si>
  <si>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SMFG</t>
  </si>
  <si>
    <t xml:space="preserve">Company</t>
  </si>
  <si>
    <t xml:space="preserve">Sumitomo Mitsui Financial Group,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</si>
  <si>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</si>
  <si>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</si>
  <si>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</si>
  <si>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</si>
  <si>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2026-10-02T20:00:03Z NYSE regular close (Friday); Yahoo chart API</t>
  </si>
  <si>
    <t xml:space="preserve">Balance sheet date</t>
  </si>
  <si>
    <t xml:space="preserve">2026-03-31</t>
  </si>
  <si>
    <t xml:space="preserve">Model</t>
  </si>
  <si>
    <t xml:space="preserve">Bank FCFE at cost of equity (J-GAAP profit attributable less book-growth retention, net debt zero, per ADS; engine route)</t>
  </si>
  <si>
    <t xml:space="preserve">Currency (model)</t>
  </si>
  <si>
    <t xml:space="preserve">JPY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</si>
  <si>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</si>
  <si>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</si>
  <si>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</si>
  <si>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</si>
  <si>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</si>
  <si>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</si>
  <si>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</si>
  <si>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2026-10-04T08:24:56Z</t>
  </si>
  <si>
    <t xml:space="preserve">Drivers file</t>
  </si>
  <si>
    <t xml:space="preserve">SMFG_Drivers.json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</si>
  <si>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</si>
  <si>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</si>
  <si>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</si>
  <si>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the equity cash flow it can distribute while funding its own balance-sheet growth, discounted at the cost of equity in the currency of the flows (JPY), with no net-debt bridge because deposits and wholesale funding are operating liabilities. SMFG's earnings have been re-based by BOJ normalisation; the question is how much of that is run-rate versus still-to-come, and whether a ~12% incremental ROE deserves ~1.6x book. The market's current multiple needs roughly the bull case (13-14% ROTE, plan delivered) to be fair value.
key_risks_to_valuation: BOJ pauses or reverses: the Y1-Y3 earnings step is the largest value driver and depends on policy continuing toward ~1.25%.; Overseas/global-corporate credit costs normalise faster than NIM expands (US tariffs, geopolitics); the bear case carries this, the base only partly.; J-GAAP profit includes realised cross-shareholding gains (~JPY 0.3-0.4tn/yr) that are finite; if they fade faster the base path is too high by low single digits.; Earnings-basis gap: IFRS attributable profit is 28% below J-GAAP; a reader who anchors on the 20-F EPS will see ~22x, not ~16x.; ADS bridge: the valuation is per ADS = 1.2 post-split / 0.6 pre-split shares at 157.83 JPY/USD; a 10% yen move is a ~10% USD move in IV with no change in the JPY business.; Guidance and buyback-progress anchors are from the Analysis JSON (web), not an extracted filing; the Nov-2026 1H results should be checked against them.; Securities portfolio mark-to-market (JGBs as rates rise) and Basel III finalisation could absorb the CET1 surplus assumed distributable.</t>
  </si>
  <si>
    <t xml:space="preserve">Data sources</t>
  </si>
  <si>
    <t xml:space="preserve">price: Yahoo Finance chart API (NYSE ADS) at inputs.price_as_of; 52-week range 15.18-27.62. FX Yahoo JPY=X at the time in fx_note. Parity against Tokyo 8316.T (post-split) in fx_note.
financials: SMFG 20-F FY2026 (IFRS, year to 31-Mar-2026): J-GAAP reconciliation (Item 5), cover share count, Note 25 (2026 Stock Split, buybacks), Note 42 (dividends), goodwill note; SMFG_Metrics.csv / core_metrics (IFRS, JPY millions, FY2017-FY2026); kpis (DividendsPaid, ShareRepurchases, ProfitBeforeTax).
qualitative: SMFG_Analysis.json (2026-10-04): medium-term plan targets, FY2027 JPY 1.7tn guide, DPS JPY 157, CET1 12.41%, YES Bank stake, Jenius wind-down, buyback progress to 30-Jun-2026.</t>
  </si>
  <si>
    <t xml:space="preserve">Scenario narrative: bear</t>
  </si>
  <si>
    <t xml:space="preserve">The rate step is already in the run-rate; the BOJ pauses, overseas credit costs rise, and cross-shareholding gains thin. Profit slips to JPY 1.55tn and grows 1-2%. A 10% ROE bank in a shrinking market is worth ~1.2x book, roughly a quarter below the current price.</t>
  </si>
  <si>
    <t xml:space="preserve">Scenario narrative: base</t>
  </si>
  <si>
    <t xml:space="preserve">SMFG earns the JPY 1.7tn FY2027 guide as the BOJ's move to 1.00% feeds through its JPY ~190tn deposit base, reaches ~JPY 1.9tn by Mar-2029 as credit costs normalise and disposal gains fade, then compounds at 1.5-3.5% balance-sheet growth. Incremental ROE ~12% against an 8.5% JPY cost of equity supports a fair value of ~1.43x book, below the ~1.6x the market pays after an ~80% re-rating in twelve months.</t>
  </si>
  <si>
    <t xml:space="preserve">Scenario narrative: bull</t>
  </si>
  <si>
    <t xml:space="preserve">Management delivers the medium-term plan on time -- JPY 2tn profit and 13% ROTE by Mar-2029 -- with the BOJ at 1.25-1.5%, sticky deposit pricing, a strong wealth/capital-markets cycle from governance reform, and a disciplined Asia build (YES Bank) after exiting Jenius. ROE 14% justifies ~1.6x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</si>
  <si>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</si>
  <si>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</si>
  <si>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</si>
  <si>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</si>
  <si>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</si>
  <si>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</si>
  <si>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</si>
  <si>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</si>
  <si>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</si>
  <si>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</si>
  <si>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</si>
  <si>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</si>
  <si>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</si>
  <si>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</si>
  <si>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</si>
  <si>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</si>
  <si>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</si>
  <si>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</si>
  <si>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</si>
  <si>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</si>
  <si>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</si>
  <si>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</si>
  <si>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</si>
  <si>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</si>
  <si>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</si>
  <si>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</si>
  <si>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</si>
  <si>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</si>
  <si>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</si>
  <si>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</si>
  <si>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</si>
  <si>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</si>
  <si>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</si>
  <si>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</si>
  <si>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</si>
  <si>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</si>
  <si>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</si>
  <si>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</si>
  <si>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</si>
  <si>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</si>
  <si>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</si>
  <si>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</si>
  <si>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</si>
  <si>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</si>
  <si>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</si>
  <si>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</si>
  <si>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</si>
  <si>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</si>
  <si>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</si>
  <si>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</si>
  <si>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</si>
  <si>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</si>
  <si>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</si>
  <si>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</si>
  <si>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</si>
  <si>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</si>
  <si>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</si>
  <si>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</si>
  <si>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</si>
  <si>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</si>
  <si>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</si>
  <si>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</si>
  <si>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</si>
  <si>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</si>
  <si>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</si>
  <si>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</si>
  <si>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</si>
  <si>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</si>
  <si>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</si>
  <si>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</si>
  <si>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</si>
  <si>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</si>
  <si>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</si>
  <si>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</si>
  <si>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SMFG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</si>
  <si>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</si>
  <si>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</si>
  <si>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</si>
  <si>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</si>
  <si>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</si>
  <si>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</si>
  <si>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</si>
  <si>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</si>
  <si>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</si>
  <si>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</si>
  <si>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</si>
  <si>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</si>
  <si>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</si>
  <si>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</si>
  <si>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</si>
  <si>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</si>
  <si>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</si>
  <si>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</si>
  <si>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</si>
  <si>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</si>
  <si>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</si>
  <si>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</si>
  <si>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</si>
  <si>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</si>
  <si>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</si>
  <si>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</si>
  <si>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</si>
  <si>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</si>
  <si>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</si>
  <si>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</si>
  <si>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SMFG owner-FCF component DCF: base case (millions, JPY)</t>
  </si>
  <si>
    <t xml:space="preserve">SMFG owner-FCF component DCF: bull case (millions, JPY)</t>
  </si>
  <si>
    <t xml:space="preserve">SMFG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</si>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</sst>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25.4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3347895</v>
      </c>
      <c r="I2" s="0" t="n">
        <v>627870</v>
      </c>
      <c r="J2" s="0" t="n">
        <v>18.8</v>
      </c>
      <c r="K2" s="0" t="n">
        <v>152.73</v>
      </c>
      <c r="L2" s="0" t="n">
        <v>3740599</v>
      </c>
      <c r="M2" s="0" t="n">
        <v>636445</v>
      </c>
      <c r="O2" s="0" t="n">
        <v>9932573</v>
      </c>
      <c r="P2" s="0" t="n">
        <v>191150981</v>
      </c>
      <c r="Q2" s="0" t="n">
        <v>179263698</v>
      </c>
      <c r="R2" s="0" t="n">
        <v>23411566</v>
      </c>
      <c r="S2" s="0" t="n">
        <v>46244819</v>
      </c>
      <c r="T2" s="0" t="n">
        <v>4111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3774409</v>
      </c>
      <c r="I3" s="0" t="n">
        <v>759998</v>
      </c>
      <c r="J3" s="0" t="n">
        <v>20.1</v>
      </c>
      <c r="K3" s="0" t="n">
        <v>179.48</v>
      </c>
      <c r="L3" s="0" t="n">
        <v>11171981</v>
      </c>
      <c r="M3" s="0" t="n">
        <v>846938</v>
      </c>
      <c r="O3" s="0" t="n">
        <v>10663297</v>
      </c>
      <c r="P3" s="0" t="n">
        <v>192175566</v>
      </c>
      <c r="Q3" s="0" t="n">
        <v>179679767</v>
      </c>
      <c r="R3" s="0" t="n">
        <v>21221598</v>
      </c>
      <c r="S3" s="0" t="n">
        <v>53416456</v>
      </c>
      <c r="T3" s="0" t="n">
        <v>4234.4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3166891</v>
      </c>
      <c r="I4" s="0" t="n">
        <v>541932</v>
      </c>
      <c r="J4" s="0" t="n">
        <v>17.1</v>
      </c>
      <c r="K4" s="0" t="n">
        <v>129.16</v>
      </c>
      <c r="L4" s="0" t="n">
        <v>2785833</v>
      </c>
      <c r="M4" s="0" t="n">
        <v>648140</v>
      </c>
      <c r="O4" s="0" t="n">
        <v>10680620</v>
      </c>
      <c r="P4" s="0" t="n">
        <v>195503623</v>
      </c>
      <c r="Q4" s="0" t="n">
        <v>183730177</v>
      </c>
      <c r="R4" s="0" t="n">
        <v>23339067</v>
      </c>
      <c r="S4" s="0" t="n">
        <v>56716529</v>
      </c>
      <c r="T4" s="0" t="n">
        <v>4195.8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2703850</v>
      </c>
      <c r="I5" s="0" t="n">
        <v>200052</v>
      </c>
      <c r="J5" s="0" t="n">
        <v>7.4</v>
      </c>
      <c r="K5" s="0" t="n">
        <v>48.46</v>
      </c>
      <c r="L5" s="0" t="n">
        <v>8883234</v>
      </c>
      <c r="M5" s="0" t="n">
        <v>231888</v>
      </c>
      <c r="O5" s="0" t="n">
        <v>10190106</v>
      </c>
      <c r="P5" s="0" t="n">
        <v>212158463</v>
      </c>
      <c r="Q5" s="0" t="n">
        <v>201223585</v>
      </c>
      <c r="R5" s="0" t="n">
        <v>28106410</v>
      </c>
      <c r="S5" s="0" t="n">
        <v>61203541</v>
      </c>
      <c r="T5" s="0" t="n">
        <v>4128.2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3165585</v>
      </c>
      <c r="I6" s="0" t="n">
        <v>687483</v>
      </c>
      <c r="J6" s="0" t="n">
        <v>21.7</v>
      </c>
      <c r="K6" s="0" t="n">
        <v>167.16</v>
      </c>
      <c r="L6" s="0" t="n">
        <v>18322359</v>
      </c>
      <c r="M6" s="0" t="n">
        <v>289923</v>
      </c>
      <c r="O6" s="0" t="n">
        <v>11559235</v>
      </c>
      <c r="P6" s="0" t="n">
        <v>235024987</v>
      </c>
      <c r="Q6" s="0" t="n">
        <v>222748837</v>
      </c>
      <c r="R6" s="0" t="n">
        <v>30651955</v>
      </c>
      <c r="S6" s="0" t="n">
        <v>71548697</v>
      </c>
      <c r="T6" s="0" t="n">
        <v>4112.7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3137460</v>
      </c>
      <c r="I7" s="0" t="n">
        <v>499573</v>
      </c>
      <c r="J7" s="0" t="n">
        <v>15.9</v>
      </c>
      <c r="K7" s="0" t="n">
        <v>121.44</v>
      </c>
      <c r="L7" s="0" t="n">
        <v>5101193</v>
      </c>
      <c r="M7" s="0" t="n">
        <v>276203</v>
      </c>
      <c r="O7" s="0" t="n">
        <v>11954756</v>
      </c>
      <c r="P7" s="0" t="n">
        <v>248160847</v>
      </c>
      <c r="Q7" s="0" t="n">
        <v>235379155</v>
      </c>
      <c r="R7" s="0" t="n">
        <v>32013088</v>
      </c>
      <c r="S7" s="0" t="n">
        <v>74343953</v>
      </c>
      <c r="T7" s="0" t="n">
        <v>4113.7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3790676</v>
      </c>
      <c r="I8" s="0" t="n">
        <v>911831</v>
      </c>
      <c r="J8" s="0" t="n">
        <v>24.1</v>
      </c>
      <c r="K8" s="0" t="n">
        <v>222.63</v>
      </c>
      <c r="L8" s="0" t="n">
        <v>-5239906</v>
      </c>
      <c r="M8" s="0" t="n">
        <v>287111</v>
      </c>
      <c r="O8" s="0" t="n">
        <v>12664991</v>
      </c>
      <c r="P8" s="0" t="n">
        <v>257687038</v>
      </c>
      <c r="Q8" s="0" t="n">
        <v>244150073</v>
      </c>
      <c r="R8" s="0" t="n">
        <v>27356795</v>
      </c>
      <c r="S8" s="0" t="n">
        <v>75344235</v>
      </c>
      <c r="T8" s="0" t="n">
        <v>4095.7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3943234</v>
      </c>
      <c r="I9" s="0" t="n">
        <v>873346</v>
      </c>
      <c r="J9" s="0" t="n">
        <v>22.1</v>
      </c>
      <c r="K9" s="0" t="n">
        <v>218.98</v>
      </c>
      <c r="L9" s="0" t="n">
        <v>1036630</v>
      </c>
      <c r="M9" s="0" t="n">
        <v>362587</v>
      </c>
      <c r="O9" s="0" t="n">
        <v>14679688</v>
      </c>
      <c r="P9" s="0" t="n">
        <v>281271637</v>
      </c>
      <c r="Q9" s="0" t="n">
        <v>264992539</v>
      </c>
      <c r="R9" s="0" t="n">
        <v>30182242</v>
      </c>
      <c r="S9" s="0" t="n">
        <v>77437806</v>
      </c>
      <c r="T9" s="0" t="n">
        <v>3988.2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3840165</v>
      </c>
      <c r="I10" s="0" t="n">
        <v>478132</v>
      </c>
      <c r="J10" s="0" t="n">
        <v>12.5</v>
      </c>
      <c r="K10" s="0" t="n">
        <v>122.36</v>
      </c>
      <c r="L10" s="0" t="n">
        <v>3066127</v>
      </c>
      <c r="M10" s="0" t="n">
        <v>354944</v>
      </c>
      <c r="O10" s="0" t="n">
        <v>14470195</v>
      </c>
      <c r="P10" s="0" t="n">
        <v>292165070</v>
      </c>
      <c r="Q10" s="0" t="n">
        <v>275676476</v>
      </c>
      <c r="R10" s="0" t="n">
        <v>27085114</v>
      </c>
      <c r="S10" s="0" t="n">
        <v>75250124</v>
      </c>
      <c r="T10" s="0" t="n">
        <v>3907.6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4841783</v>
      </c>
      <c r="I11" s="0" t="n">
        <v>1137557</v>
      </c>
      <c r="J11" s="0" t="n">
        <v>23.5</v>
      </c>
      <c r="K11" s="0" t="n">
        <v>295.99</v>
      </c>
      <c r="L11" s="0" t="n">
        <v>-6461096</v>
      </c>
      <c r="M11" s="0" t="n">
        <v>459404</v>
      </c>
      <c r="O11" s="0" t="n">
        <v>15856895</v>
      </c>
      <c r="P11" s="0" t="n">
        <v>309203641</v>
      </c>
      <c r="Q11" s="0" t="n">
        <v>290914647</v>
      </c>
      <c r="R11" s="0" t="n">
        <v>27128080</v>
      </c>
      <c r="S11" s="0" t="n">
        <v>72637222</v>
      </c>
      <c r="T11" s="0" t="n">
        <v>3843.2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25.4</v>
      </c>
    </row>
    <row r="3" customFormat="false" ht="15" hidden="false" customHeight="false" outlineLevel="0" collapsed="false">
      <c r="A3" s="0" t="s">
        <v>77</v>
      </c>
      <c r="B3" s="3" t="n">
        <v>6315.7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1583000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0.0063359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-2</v>
      </c>
      <c r="D13" s="3" t="n">
        <v>1</v>
      </c>
      <c r="E13" s="3" t="n">
        <v>2</v>
      </c>
      <c r="F13" s="3" t="n">
        <v>2</v>
      </c>
      <c r="G13" s="3" t="n">
        <v>2</v>
      </c>
      <c r="H13" s="3" t="n">
        <v>1.5</v>
      </c>
      <c r="I13" s="3" t="n">
        <v>1.5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98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25</v>
      </c>
      <c r="D18" s="3" t="n">
        <v>25</v>
      </c>
      <c r="E18" s="3" t="n">
        <v>20</v>
      </c>
      <c r="F18" s="3" t="n">
        <v>20</v>
      </c>
      <c r="G18" s="3" t="n">
        <v>20</v>
      </c>
      <c r="H18" s="3" t="n">
        <v>15</v>
      </c>
      <c r="I18" s="3" t="n">
        <v>15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103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16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7.4</v>
      </c>
      <c r="D27" s="3" t="n">
        <v>6</v>
      </c>
      <c r="E27" s="3" t="n">
        <v>5</v>
      </c>
      <c r="F27" s="3" t="n">
        <v>3.5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1.5</v>
      </c>
    </row>
    <row r="28" customFormat="false" ht="15" hidden="false" customHeight="false" outlineLevel="0" collapsed="false">
      <c r="A28" s="0" t="s">
        <v>98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29.2</v>
      </c>
      <c r="D32" s="3" t="n">
        <v>29.2</v>
      </c>
      <c r="E32" s="3" t="n">
        <v>25</v>
      </c>
      <c r="F32" s="3" t="n">
        <v>25</v>
      </c>
      <c r="G32" s="3" t="n">
        <v>20.8</v>
      </c>
      <c r="H32" s="3" t="n">
        <v>20.8</v>
      </c>
      <c r="I32" s="3" t="n">
        <v>16.7</v>
      </c>
      <c r="J32" s="3" t="n">
        <v>16.7</v>
      </c>
      <c r="K32" s="3" t="n">
        <v>16.7</v>
      </c>
      <c r="L32" s="3" t="n">
        <v>12.5</v>
      </c>
    </row>
    <row r="33" customFormat="false" ht="15" hidden="false" customHeight="false" outlineLevel="0" collapsed="false">
      <c r="A33" s="0" t="s">
        <v>103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1.5</v>
      </c>
    </row>
    <row r="36" customFormat="false" ht="15" hidden="false" customHeight="false" outlineLevel="0" collapsed="false">
      <c r="A36" s="0" t="s">
        <v>106</v>
      </c>
      <c r="B36" s="3" t="n">
        <v>16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10.5</v>
      </c>
      <c r="D41" s="3" t="n">
        <v>8</v>
      </c>
      <c r="E41" s="3" t="n">
        <v>6.5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28.6</v>
      </c>
      <c r="D46" s="3" t="n">
        <v>28.6</v>
      </c>
      <c r="E46" s="3" t="n">
        <v>25</v>
      </c>
      <c r="F46" s="3" t="n">
        <v>25</v>
      </c>
      <c r="G46" s="3" t="n">
        <v>21.4</v>
      </c>
      <c r="H46" s="3" t="n">
        <v>21.4</v>
      </c>
      <c r="I46" s="3" t="n">
        <v>17.9</v>
      </c>
      <c r="J46" s="3" t="n">
        <v>17.9</v>
      </c>
      <c r="K46" s="3" t="n">
        <v>17.9</v>
      </c>
      <c r="L46" s="3" t="n">
        <v>14.3</v>
      </c>
    </row>
    <row r="47" customFormat="false" ht="15" hidden="false" customHeight="false" outlineLevel="0" collapsed="false">
      <c r="A47" s="0" t="s">
        <v>103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-2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1583000</v>
      </c>
      <c r="C6" s="0" t="n">
        <f aca="false">B6*(1+C5/100)</f>
        <v>1551340</v>
      </c>
      <c r="D6" s="0" t="n">
        <f aca="false">C6*(1+D5/100)</f>
        <v>1566853.4</v>
      </c>
      <c r="E6" s="0" t="n">
        <f aca="false">D6*(1+E5/100)</f>
        <v>1598190.468</v>
      </c>
      <c r="F6" s="0" t="n">
        <f aca="false">E6*(1+F5/100)</f>
        <v>1630154.27736</v>
      </c>
      <c r="G6" s="0" t="n">
        <f aca="false">F6*(1+G5/100)</f>
        <v>1662757.3629072</v>
      </c>
      <c r="H6" s="0" t="n">
        <f aca="false">G6*(1+H5/100)</f>
        <v>1687698.72335081</v>
      </c>
      <c r="I6" s="0" t="n">
        <f aca="false">H6*(1+I5/100)</f>
        <v>1713014.20420107</v>
      </c>
      <c r="J6" s="0" t="n">
        <f aca="false">I6*(1+J5/100)</f>
        <v>1730144.34624308</v>
      </c>
      <c r="K6" s="0" t="n">
        <f aca="false">J6*(1+K5/100)</f>
        <v>1747445.78970551</v>
      </c>
      <c r="L6" s="0" t="n">
        <f aca="false">K6*(1+L5/100)</f>
        <v>1764920.24760257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1551340</v>
      </c>
      <c r="D8" s="0" t="n">
        <f aca="false">D6*D7/100</f>
        <v>1566853.4</v>
      </c>
      <c r="E8" s="0" t="n">
        <f aca="false">E6*E7/100</f>
        <v>1598190.468</v>
      </c>
      <c r="F8" s="0" t="n">
        <f aca="false">F6*F7/100</f>
        <v>1630154.27736</v>
      </c>
      <c r="G8" s="0" t="n">
        <f aca="false">G6*G7/100</f>
        <v>1662757.3629072</v>
      </c>
      <c r="H8" s="0" t="n">
        <f aca="false">H6*H7/100</f>
        <v>1687698.72335081</v>
      </c>
      <c r="I8" s="0" t="n">
        <f aca="false">I6*I7/100</f>
        <v>1713014.20420107</v>
      </c>
      <c r="J8" s="0" t="n">
        <f aca="false">J6*J7/100</f>
        <v>1730144.34624308</v>
      </c>
      <c r="K8" s="0" t="n">
        <f aca="false">K6*K7/100</f>
        <v>1747445.78970551</v>
      </c>
      <c r="L8" s="0" t="n">
        <f aca="false">L6*L7/100</f>
        <v>1764920.24760257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1551340</v>
      </c>
      <c r="D11" s="0" t="n">
        <f aca="false">D8+D10+D24</f>
        <v>1566853.4</v>
      </c>
      <c r="E11" s="0" t="n">
        <f aca="false">E8+E10+E24</f>
        <v>1598190.468</v>
      </c>
      <c r="F11" s="0" t="n">
        <f aca="false">F8+F10+F24</f>
        <v>1630154.27736</v>
      </c>
      <c r="G11" s="0" t="n">
        <f aca="false">G8+G10+G24</f>
        <v>1662757.3629072</v>
      </c>
      <c r="H11" s="0" t="n">
        <f aca="false">H8+H10+H24</f>
        <v>1687698.72335081</v>
      </c>
      <c r="I11" s="0" t="n">
        <f aca="false">I8+I10+I24</f>
        <v>1713014.20420107</v>
      </c>
      <c r="J11" s="0" t="n">
        <f aca="false">J8+J10+J24</f>
        <v>1730144.34624308</v>
      </c>
      <c r="K11" s="0" t="n">
        <f aca="false">K8+K10+K24</f>
        <v>1747445.78970551</v>
      </c>
      <c r="L11" s="0" t="n">
        <f aca="false">L8+L10+L24</f>
        <v>1764920.24760257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1551340</v>
      </c>
      <c r="D13" s="0" t="n">
        <f aca="false">D11+D12</f>
        <v>1566853.4</v>
      </c>
      <c r="E13" s="0" t="n">
        <f aca="false">E11+E12</f>
        <v>1598190.468</v>
      </c>
      <c r="F13" s="0" t="n">
        <f aca="false">F11+F12</f>
        <v>1630154.27736</v>
      </c>
      <c r="G13" s="0" t="n">
        <f aca="false">G11+G12</f>
        <v>1662757.3629072</v>
      </c>
      <c r="H13" s="0" t="n">
        <f aca="false">H11+H12</f>
        <v>1687698.72335081</v>
      </c>
      <c r="I13" s="0" t="n">
        <f aca="false">I11+I12</f>
        <v>1713014.20420107</v>
      </c>
      <c r="J13" s="0" t="n">
        <f aca="false">J11+J12</f>
        <v>1730144.34624308</v>
      </c>
      <c r="K13" s="0" t="n">
        <f aca="false">K11+K12</f>
        <v>1747445.78970551</v>
      </c>
      <c r="L13" s="0" t="n">
        <f aca="false">L11+L12</f>
        <v>1764920.24760257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1551340</v>
      </c>
      <c r="D15" s="0" t="n">
        <f aca="false">D13-MAX(0,D13)*D14/100</f>
        <v>1566853.4</v>
      </c>
      <c r="E15" s="0" t="n">
        <f aca="false">E13-MAX(0,E13)*E14/100</f>
        <v>1598190.468</v>
      </c>
      <c r="F15" s="0" t="n">
        <f aca="false">F13-MAX(0,F13)*F14/100</f>
        <v>1630154.27736</v>
      </c>
      <c r="G15" s="0" t="n">
        <f aca="false">G13-MAX(0,G13)*G14/100</f>
        <v>1662757.3629072</v>
      </c>
      <c r="H15" s="0" t="n">
        <f aca="false">H13-MAX(0,H13)*H14/100</f>
        <v>1687698.72335081</v>
      </c>
      <c r="I15" s="0" t="n">
        <f aca="false">I13-MAX(0,I13)*I14/100</f>
        <v>1713014.20420107</v>
      </c>
      <c r="J15" s="0" t="n">
        <f aca="false">J13-MAX(0,J13)*J14/100</f>
        <v>1730144.34624308</v>
      </c>
      <c r="K15" s="0" t="n">
        <f aca="false">K13-MAX(0,K13)*K14/100</f>
        <v>1747445.78970551</v>
      </c>
      <c r="L15" s="0" t="n">
        <f aca="false">L13-MAX(0,L13)*L14/100</f>
        <v>1764920.24760257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-387835</v>
      </c>
      <c r="D17" s="4" t="n">
        <f aca="false">-D6*Assumptions!D18/100</f>
        <v>-391713.35</v>
      </c>
      <c r="E17" s="4" t="n">
        <f aca="false">-E6*Assumptions!E18/100</f>
        <v>-319638.0936</v>
      </c>
      <c r="F17" s="4" t="n">
        <f aca="false">-F6*Assumptions!F18/100</f>
        <v>-326030.855472</v>
      </c>
      <c r="G17" s="4" t="n">
        <f aca="false">-G6*Assumptions!G18/100</f>
        <v>-332551.47258144</v>
      </c>
      <c r="H17" s="4" t="n">
        <f aca="false">-H6*Assumptions!H18/100</f>
        <v>-253154.808502621</v>
      </c>
      <c r="I17" s="4" t="n">
        <f aca="false">-I6*Assumptions!I18/100</f>
        <v>-256952.13063016</v>
      </c>
      <c r="J17" s="4" t="n">
        <f aca="false">-J6*Assumptions!J18/100</f>
        <v>-173014.434624308</v>
      </c>
      <c r="K17" s="4" t="n">
        <f aca="false">-K6*Assumptions!K18/100</f>
        <v>-174744.578970551</v>
      </c>
      <c r="L17" s="4" t="n">
        <f aca="false">-L6*Assumptions!L18/100</f>
        <v>-176492.024760257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1163505</v>
      </c>
      <c r="D19" s="0" t="n">
        <f aca="false">D15+D16+D17+D18</f>
        <v>1175140.05</v>
      </c>
      <c r="E19" s="0" t="n">
        <f aca="false">E15+E16+E17+E18</f>
        <v>1278552.3744</v>
      </c>
      <c r="F19" s="0" t="n">
        <f aca="false">F15+F16+F17+F18</f>
        <v>1304123.421888</v>
      </c>
      <c r="G19" s="0" t="n">
        <f aca="false">G15+G16+G17+G18</f>
        <v>1330205.89032576</v>
      </c>
      <c r="H19" s="0" t="n">
        <f aca="false">H15+H16+H17+H18</f>
        <v>1434543.91484819</v>
      </c>
      <c r="I19" s="0" t="n">
        <f aca="false">I15+I16+I17+I18</f>
        <v>1456062.07357091</v>
      </c>
      <c r="J19" s="0" t="n">
        <f aca="false">J15+J16+J17+J18</f>
        <v>1557129.91161877</v>
      </c>
      <c r="K19" s="0" t="n">
        <f aca="false">K15+K16+K17+K18</f>
        <v>1572701.21073496</v>
      </c>
      <c r="L19" s="0" t="n">
        <f aca="false">L15+L16+L17+L18</f>
        <v>1588428.22284231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1072354.83870968</v>
      </c>
      <c r="D21" s="0" t="n">
        <f aca="false">D19*D20</f>
        <v>998228.928199792</v>
      </c>
      <c r="E21" s="0" t="n">
        <f aca="false">E19*E20</f>
        <v>1000989.0081856</v>
      </c>
      <c r="F21" s="0" t="n">
        <f aca="false">F19*F20</f>
        <v>941021.924745908</v>
      </c>
      <c r="G21" s="0" t="n">
        <f aca="false">G19*G20</f>
        <v>884647.339392466</v>
      </c>
      <c r="H21" s="0" t="n">
        <f aca="false">H19*H20</f>
        <v>879296.649839689</v>
      </c>
      <c r="I21" s="0" t="n">
        <f aca="false">I19*I20</f>
        <v>822567.833720999</v>
      </c>
      <c r="J21" s="0" t="n">
        <f aca="false">J19*J20</f>
        <v>810749.97110587</v>
      </c>
      <c r="K21" s="0" t="n">
        <f aca="false">K19*K20</f>
        <v>754707.34637505</v>
      </c>
      <c r="L21" s="0" t="n">
        <f aca="false">L19*L20</f>
        <v>702538.635796129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8867102.47607118</v>
      </c>
    </row>
    <row r="31" customFormat="false" ht="15" hidden="false" customHeight="false" outlineLevel="0" collapsed="false">
      <c r="A31" s="0" t="s">
        <v>128</v>
      </c>
      <c r="B31" s="0" t="n">
        <f aca="false">L19</f>
        <v>1588428.22284231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21390833.4009431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25414851.565477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21390833.4009431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9460853.62872121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18327956.1047924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18327956.1047924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18.3865758481806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-0.276119061095253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18.3865758481806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11459375.0362195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9.52723226503522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7.4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1583000</v>
      </c>
      <c r="C6" s="0" t="n">
        <f aca="false">B6*(1+C5/100)</f>
        <v>1700142</v>
      </c>
      <c r="D6" s="0" t="n">
        <f aca="false">C6*(1+D5/100)</f>
        <v>1802150.52</v>
      </c>
      <c r="E6" s="0" t="n">
        <f aca="false">D6*(1+E5/100)</f>
        <v>1892258.046</v>
      </c>
      <c r="F6" s="0" t="n">
        <f aca="false">E6*(1+F5/100)</f>
        <v>1958487.07761</v>
      </c>
      <c r="G6" s="0" t="n">
        <f aca="false">F6*(1+G5/100)</f>
        <v>2017241.6899383</v>
      </c>
      <c r="H6" s="0" t="n">
        <f aca="false">G6*(1+H5/100)</f>
        <v>2067672.73218676</v>
      </c>
      <c r="I6" s="0" t="n">
        <f aca="false">H6*(1+I5/100)</f>
        <v>2119364.55049143</v>
      </c>
      <c r="J6" s="0" t="n">
        <f aca="false">I6*(1+J5/100)</f>
        <v>2161751.84150125</v>
      </c>
      <c r="K6" s="0" t="n">
        <f aca="false">J6*(1+K5/100)</f>
        <v>2204986.87833128</v>
      </c>
      <c r="L6" s="0" t="n">
        <f aca="false">K6*(1+L5/100)</f>
        <v>2238061.68150625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1700142</v>
      </c>
      <c r="D8" s="0" t="n">
        <f aca="false">D6*D7/100</f>
        <v>1802150.52</v>
      </c>
      <c r="E8" s="0" t="n">
        <f aca="false">E6*E7/100</f>
        <v>1892258.046</v>
      </c>
      <c r="F8" s="0" t="n">
        <f aca="false">F6*F7/100</f>
        <v>1958487.07761</v>
      </c>
      <c r="G8" s="0" t="n">
        <f aca="false">G6*G7/100</f>
        <v>2017241.6899383</v>
      </c>
      <c r="H8" s="0" t="n">
        <f aca="false">H6*H7/100</f>
        <v>2067672.73218676</v>
      </c>
      <c r="I8" s="0" t="n">
        <f aca="false">I6*I7/100</f>
        <v>2119364.55049143</v>
      </c>
      <c r="J8" s="0" t="n">
        <f aca="false">J6*J7/100</f>
        <v>2161751.84150125</v>
      </c>
      <c r="K8" s="0" t="n">
        <f aca="false">K6*K7/100</f>
        <v>2204986.87833128</v>
      </c>
      <c r="L8" s="0" t="n">
        <f aca="false">L6*L7/100</f>
        <v>2238061.68150625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1700142</v>
      </c>
      <c r="D11" s="0" t="n">
        <f aca="false">D8+D10+D24</f>
        <v>1802150.52</v>
      </c>
      <c r="E11" s="0" t="n">
        <f aca="false">E8+E10+E24</f>
        <v>1892258.046</v>
      </c>
      <c r="F11" s="0" t="n">
        <f aca="false">F8+F10+F24</f>
        <v>1958487.07761</v>
      </c>
      <c r="G11" s="0" t="n">
        <f aca="false">G8+G10+G24</f>
        <v>2017241.6899383</v>
      </c>
      <c r="H11" s="0" t="n">
        <f aca="false">H8+H10+H24</f>
        <v>2067672.73218676</v>
      </c>
      <c r="I11" s="0" t="n">
        <f aca="false">I8+I10+I24</f>
        <v>2119364.55049143</v>
      </c>
      <c r="J11" s="0" t="n">
        <f aca="false">J8+J10+J24</f>
        <v>2161751.84150125</v>
      </c>
      <c r="K11" s="0" t="n">
        <f aca="false">K8+K10+K24</f>
        <v>2204986.87833128</v>
      </c>
      <c r="L11" s="0" t="n">
        <f aca="false">L8+L10+L24</f>
        <v>2238061.68150625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1700142</v>
      </c>
      <c r="D13" s="0" t="n">
        <f aca="false">D11+D12</f>
        <v>1802150.52</v>
      </c>
      <c r="E13" s="0" t="n">
        <f aca="false">E11+E12</f>
        <v>1892258.046</v>
      </c>
      <c r="F13" s="0" t="n">
        <f aca="false">F11+F12</f>
        <v>1958487.07761</v>
      </c>
      <c r="G13" s="0" t="n">
        <f aca="false">G11+G12</f>
        <v>2017241.6899383</v>
      </c>
      <c r="H13" s="0" t="n">
        <f aca="false">H11+H12</f>
        <v>2067672.73218676</v>
      </c>
      <c r="I13" s="0" t="n">
        <f aca="false">I11+I12</f>
        <v>2119364.55049143</v>
      </c>
      <c r="J13" s="0" t="n">
        <f aca="false">J11+J12</f>
        <v>2161751.84150125</v>
      </c>
      <c r="K13" s="0" t="n">
        <f aca="false">K11+K12</f>
        <v>2204986.87833128</v>
      </c>
      <c r="L13" s="0" t="n">
        <f aca="false">L11+L12</f>
        <v>2238061.68150625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1700142</v>
      </c>
      <c r="D15" s="0" t="n">
        <f aca="false">D13-MAX(0,D13)*D14/100</f>
        <v>1802150.52</v>
      </c>
      <c r="E15" s="0" t="n">
        <f aca="false">E13-MAX(0,E13)*E14/100</f>
        <v>1892258.046</v>
      </c>
      <c r="F15" s="0" t="n">
        <f aca="false">F13-MAX(0,F13)*F14/100</f>
        <v>1958487.07761</v>
      </c>
      <c r="G15" s="0" t="n">
        <f aca="false">G13-MAX(0,G13)*G14/100</f>
        <v>2017241.6899383</v>
      </c>
      <c r="H15" s="0" t="n">
        <f aca="false">H13-MAX(0,H13)*H14/100</f>
        <v>2067672.73218676</v>
      </c>
      <c r="I15" s="0" t="n">
        <f aca="false">I13-MAX(0,I13)*I14/100</f>
        <v>2119364.55049143</v>
      </c>
      <c r="J15" s="0" t="n">
        <f aca="false">J13-MAX(0,J13)*J14/100</f>
        <v>2161751.84150125</v>
      </c>
      <c r="K15" s="0" t="n">
        <f aca="false">K13-MAX(0,K13)*K14/100</f>
        <v>2204986.87833128</v>
      </c>
      <c r="L15" s="0" t="n">
        <f aca="false">L13-MAX(0,L13)*L14/100</f>
        <v>2238061.68150625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-496441.464</v>
      </c>
      <c r="D17" s="4" t="n">
        <f aca="false">-D6*Assumptions!D32/100</f>
        <v>-526227.95184</v>
      </c>
      <c r="E17" s="4" t="n">
        <f aca="false">-E6*Assumptions!E32/100</f>
        <v>-473064.5115</v>
      </c>
      <c r="F17" s="4" t="n">
        <f aca="false">-F6*Assumptions!F32/100</f>
        <v>-489621.7694025</v>
      </c>
      <c r="G17" s="4" t="n">
        <f aca="false">-G6*Assumptions!G32/100</f>
        <v>-419586.271507166</v>
      </c>
      <c r="H17" s="4" t="n">
        <f aca="false">-H6*Assumptions!H32/100</f>
        <v>-430075.928294846</v>
      </c>
      <c r="I17" s="4" t="n">
        <f aca="false">-I6*Assumptions!I32/100</f>
        <v>-353933.879932068</v>
      </c>
      <c r="J17" s="4" t="n">
        <f aca="false">-J6*Assumptions!J32/100</f>
        <v>-361012.55753071</v>
      </c>
      <c r="K17" s="4" t="n">
        <f aca="false">-K6*Assumptions!K32/100</f>
        <v>-368232.808681324</v>
      </c>
      <c r="L17" s="4" t="n">
        <f aca="false">-L6*Assumptions!L32/100</f>
        <v>-279757.710188281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1203700.536</v>
      </c>
      <c r="D19" s="0" t="n">
        <f aca="false">D15+D16+D17+D18</f>
        <v>1275922.56816</v>
      </c>
      <c r="E19" s="0" t="n">
        <f aca="false">E15+E16+E17+E18</f>
        <v>1419193.5345</v>
      </c>
      <c r="F19" s="0" t="n">
        <f aca="false">F15+F16+F17+F18</f>
        <v>1468865.3082075</v>
      </c>
      <c r="G19" s="0" t="n">
        <f aca="false">G15+G16+G17+G18</f>
        <v>1597655.41843113</v>
      </c>
      <c r="H19" s="0" t="n">
        <f aca="false">H15+H16+H17+H18</f>
        <v>1637596.80389191</v>
      </c>
      <c r="I19" s="0" t="n">
        <f aca="false">I15+I16+I17+I18</f>
        <v>1765430.67055936</v>
      </c>
      <c r="J19" s="0" t="n">
        <f aca="false">J15+J16+J17+J18</f>
        <v>1800739.28397055</v>
      </c>
      <c r="K19" s="0" t="n">
        <f aca="false">K15+K16+K17+K18</f>
        <v>1836754.06964996</v>
      </c>
      <c r="L19" s="0" t="n">
        <f aca="false">L15+L16+L17+L18</f>
        <v>1958303.97131797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1109401.4156682</v>
      </c>
      <c r="D21" s="0" t="n">
        <f aca="false">D19*D20</f>
        <v>1083839.17106755</v>
      </c>
      <c r="E21" s="0" t="n">
        <f aca="false">E19*E20</f>
        <v>1111098.11140058</v>
      </c>
      <c r="F21" s="0" t="n">
        <f aca="false">F19*F20</f>
        <v>1059895.43345585</v>
      </c>
      <c r="G21" s="0" t="n">
        <f aca="false">G19*G20</f>
        <v>1062513.4240196</v>
      </c>
      <c r="H21" s="0" t="n">
        <f aca="false">H19*H20</f>
        <v>1003756.92130884</v>
      </c>
      <c r="I21" s="0" t="n">
        <f aca="false">I19*I20</f>
        <v>997338.306261366</v>
      </c>
      <c r="J21" s="0" t="n">
        <f aca="false">J19*J20</f>
        <v>937589.928466906</v>
      </c>
      <c r="K21" s="0" t="n">
        <f aca="false">K19*K20</f>
        <v>881420.946577184</v>
      </c>
      <c r="L21" s="0" t="n">
        <f aca="false">L19*L20</f>
        <v>866129.284722768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10112982.9429488</v>
      </c>
    </row>
    <row r="31" customFormat="false" ht="15" hidden="false" customHeight="false" outlineLevel="0" collapsed="false">
      <c r="A31" s="0" t="s">
        <v>128</v>
      </c>
      <c r="B31" s="0" t="n">
        <f aca="false">L19</f>
        <v>1958303.97131797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28395407.5841105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31332863.5410875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28395407.5841105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12558874.6284801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22671857.571429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22671857.571429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22.7443707564984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-0.104552332421323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22.7443707564984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14723544.6732425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11.2204901799776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10.5</v>
      </c>
      <c r="D5" s="4" t="n">
        <f aca="false">Assumptions!D41</f>
        <v>8</v>
      </c>
      <c r="E5" s="4" t="n">
        <f aca="false">Assumptions!E41</f>
        <v>6.5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1583000</v>
      </c>
      <c r="C6" s="0" t="n">
        <f aca="false">B6*(1+C5/100)</f>
        <v>1749215</v>
      </c>
      <c r="D6" s="0" t="n">
        <f aca="false">C6*(1+D5/100)</f>
        <v>1889152.2</v>
      </c>
      <c r="E6" s="0" t="n">
        <f aca="false">D6*(1+E5/100)</f>
        <v>2011947.093</v>
      </c>
      <c r="F6" s="0" t="n">
        <f aca="false">E6*(1+F5/100)</f>
        <v>2092424.97672</v>
      </c>
      <c r="G6" s="0" t="n">
        <f aca="false">F6*(1+G5/100)</f>
        <v>2165659.8509052</v>
      </c>
      <c r="H6" s="0" t="n">
        <f aca="false">G6*(1+H5/100)</f>
        <v>2230629.64643236</v>
      </c>
      <c r="I6" s="0" t="n">
        <f aca="false">H6*(1+I5/100)</f>
        <v>2297548.53582533</v>
      </c>
      <c r="J6" s="0" t="n">
        <f aca="false">I6*(1+J5/100)</f>
        <v>2354987.24922096</v>
      </c>
      <c r="K6" s="0" t="n">
        <f aca="false">J6*(1+K5/100)</f>
        <v>2413861.93045148</v>
      </c>
      <c r="L6" s="0" t="n">
        <f aca="false">K6*(1+L5/100)</f>
        <v>2462139.16906051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1749215</v>
      </c>
      <c r="D8" s="0" t="n">
        <f aca="false">D6*D7/100</f>
        <v>1889152.2</v>
      </c>
      <c r="E8" s="0" t="n">
        <f aca="false">E6*E7/100</f>
        <v>2011947.093</v>
      </c>
      <c r="F8" s="0" t="n">
        <f aca="false">F6*F7/100</f>
        <v>2092424.97672</v>
      </c>
      <c r="G8" s="0" t="n">
        <f aca="false">G6*G7/100</f>
        <v>2165659.8509052</v>
      </c>
      <c r="H8" s="0" t="n">
        <f aca="false">H6*H7/100</f>
        <v>2230629.64643236</v>
      </c>
      <c r="I8" s="0" t="n">
        <f aca="false">I6*I7/100</f>
        <v>2297548.53582533</v>
      </c>
      <c r="J8" s="0" t="n">
        <f aca="false">J6*J7/100</f>
        <v>2354987.24922096</v>
      </c>
      <c r="K8" s="0" t="n">
        <f aca="false">K6*K7/100</f>
        <v>2413861.93045148</v>
      </c>
      <c r="L8" s="0" t="n">
        <f aca="false">L6*L7/100</f>
        <v>2462139.16906051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1749215</v>
      </c>
      <c r="D11" s="0" t="n">
        <f aca="false">D8+D10+D24</f>
        <v>1889152.2</v>
      </c>
      <c r="E11" s="0" t="n">
        <f aca="false">E8+E10+E24</f>
        <v>2011947.093</v>
      </c>
      <c r="F11" s="0" t="n">
        <f aca="false">F8+F10+F24</f>
        <v>2092424.97672</v>
      </c>
      <c r="G11" s="0" t="n">
        <f aca="false">G8+G10+G24</f>
        <v>2165659.8509052</v>
      </c>
      <c r="H11" s="0" t="n">
        <f aca="false">H8+H10+H24</f>
        <v>2230629.64643236</v>
      </c>
      <c r="I11" s="0" t="n">
        <f aca="false">I8+I10+I24</f>
        <v>2297548.53582533</v>
      </c>
      <c r="J11" s="0" t="n">
        <f aca="false">J8+J10+J24</f>
        <v>2354987.24922096</v>
      </c>
      <c r="K11" s="0" t="n">
        <f aca="false">K8+K10+K24</f>
        <v>2413861.93045148</v>
      </c>
      <c r="L11" s="0" t="n">
        <f aca="false">L8+L10+L24</f>
        <v>2462139.16906051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1749215</v>
      </c>
      <c r="D13" s="0" t="n">
        <f aca="false">D11+D12</f>
        <v>1889152.2</v>
      </c>
      <c r="E13" s="0" t="n">
        <f aca="false">E11+E12</f>
        <v>2011947.093</v>
      </c>
      <c r="F13" s="0" t="n">
        <f aca="false">F11+F12</f>
        <v>2092424.97672</v>
      </c>
      <c r="G13" s="0" t="n">
        <f aca="false">G11+G12</f>
        <v>2165659.8509052</v>
      </c>
      <c r="H13" s="0" t="n">
        <f aca="false">H11+H12</f>
        <v>2230629.64643236</v>
      </c>
      <c r="I13" s="0" t="n">
        <f aca="false">I11+I12</f>
        <v>2297548.53582533</v>
      </c>
      <c r="J13" s="0" t="n">
        <f aca="false">J11+J12</f>
        <v>2354987.24922096</v>
      </c>
      <c r="K13" s="0" t="n">
        <f aca="false">K11+K12</f>
        <v>2413861.93045148</v>
      </c>
      <c r="L13" s="0" t="n">
        <f aca="false">L11+L12</f>
        <v>2462139.16906051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1749215</v>
      </c>
      <c r="D15" s="0" t="n">
        <f aca="false">D13-MAX(0,D13)*D14/100</f>
        <v>1889152.2</v>
      </c>
      <c r="E15" s="0" t="n">
        <f aca="false">E13-MAX(0,E13)*E14/100</f>
        <v>2011947.093</v>
      </c>
      <c r="F15" s="0" t="n">
        <f aca="false">F13-MAX(0,F13)*F14/100</f>
        <v>2092424.97672</v>
      </c>
      <c r="G15" s="0" t="n">
        <f aca="false">G13-MAX(0,G13)*G14/100</f>
        <v>2165659.8509052</v>
      </c>
      <c r="H15" s="0" t="n">
        <f aca="false">H13-MAX(0,H13)*H14/100</f>
        <v>2230629.64643236</v>
      </c>
      <c r="I15" s="0" t="n">
        <f aca="false">I13-MAX(0,I13)*I14/100</f>
        <v>2297548.53582533</v>
      </c>
      <c r="J15" s="0" t="n">
        <f aca="false">J13-MAX(0,J13)*J14/100</f>
        <v>2354987.24922096</v>
      </c>
      <c r="K15" s="0" t="n">
        <f aca="false">K13-MAX(0,K13)*K14/100</f>
        <v>2413861.93045148</v>
      </c>
      <c r="L15" s="0" t="n">
        <f aca="false">L13-MAX(0,L13)*L14/100</f>
        <v>2462139.16906051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-500275.49</v>
      </c>
      <c r="D17" s="4" t="n">
        <f aca="false">-D6*Assumptions!D46/100</f>
        <v>-540297.5292</v>
      </c>
      <c r="E17" s="4" t="n">
        <f aca="false">-E6*Assumptions!E46/100</f>
        <v>-502986.77325</v>
      </c>
      <c r="F17" s="4" t="n">
        <f aca="false">-F6*Assumptions!F46/100</f>
        <v>-523106.24418</v>
      </c>
      <c r="G17" s="4" t="n">
        <f aca="false">-G6*Assumptions!G46/100</f>
        <v>-463451.208093713</v>
      </c>
      <c r="H17" s="4" t="n">
        <f aca="false">-H6*Assumptions!H46/100</f>
        <v>-477354.744336524</v>
      </c>
      <c r="I17" s="4" t="n">
        <f aca="false">-I6*Assumptions!I46/100</f>
        <v>-411261.187912733</v>
      </c>
      <c r="J17" s="4" t="n">
        <f aca="false">-J6*Assumptions!J46/100</f>
        <v>-421542.717610552</v>
      </c>
      <c r="K17" s="4" t="n">
        <f aca="false">-K6*Assumptions!K46/100</f>
        <v>-432081.285550815</v>
      </c>
      <c r="L17" s="4" t="n">
        <f aca="false">-L6*Assumptions!L46/100</f>
        <v>-352085.901175653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1248939.51</v>
      </c>
      <c r="D19" s="0" t="n">
        <f aca="false">D15+D16+D17+D18</f>
        <v>1348854.6708</v>
      </c>
      <c r="E19" s="0" t="n">
        <f aca="false">E15+E16+E17+E18</f>
        <v>1508960.31975</v>
      </c>
      <c r="F19" s="0" t="n">
        <f aca="false">F15+F16+F17+F18</f>
        <v>1569318.73254</v>
      </c>
      <c r="G19" s="0" t="n">
        <f aca="false">G15+G16+G17+G18</f>
        <v>1702208.64281149</v>
      </c>
      <c r="H19" s="0" t="n">
        <f aca="false">H15+H16+H17+H18</f>
        <v>1753274.90209583</v>
      </c>
      <c r="I19" s="0" t="n">
        <f aca="false">I15+I16+I17+I18</f>
        <v>1886287.34791259</v>
      </c>
      <c r="J19" s="0" t="n">
        <f aca="false">J15+J16+J17+J18</f>
        <v>1933444.53161041</v>
      </c>
      <c r="K19" s="0" t="n">
        <f aca="false">K15+K16+K17+K18</f>
        <v>1981780.64490067</v>
      </c>
      <c r="L19" s="0" t="n">
        <f aca="false">L15+L16+L17+L18</f>
        <v>2110053.26788486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1151096.32258065</v>
      </c>
      <c r="D21" s="0" t="n">
        <f aca="false">D19*D20</f>
        <v>1145791.73123235</v>
      </c>
      <c r="E21" s="0" t="n">
        <f aca="false">E19*E20</f>
        <v>1181377.2545429</v>
      </c>
      <c r="F21" s="0" t="n">
        <f aca="false">F19*F20</f>
        <v>1132380.04122084</v>
      </c>
      <c r="G21" s="0" t="n">
        <f aca="false">G19*G20</f>
        <v>1132046.0673838</v>
      </c>
      <c r="H21" s="0" t="n">
        <f aca="false">H19*H20</f>
        <v>1074661.24369153</v>
      </c>
      <c r="I21" s="0" t="n">
        <f aca="false">I19*I20</f>
        <v>1065613.42796505</v>
      </c>
      <c r="J21" s="0" t="n">
        <f aca="false">J19*J20</f>
        <v>1006685.49646468</v>
      </c>
      <c r="K21" s="0" t="n">
        <f aca="false">K19*K20</f>
        <v>951016.252420546</v>
      </c>
      <c r="L21" s="0" t="n">
        <f aca="false">L19*L20</f>
        <v>933245.785336413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10773913.6228387</v>
      </c>
    </row>
    <row r="31" customFormat="false" ht="15" hidden="false" customHeight="false" outlineLevel="0" collapsed="false">
      <c r="A31" s="0" t="s">
        <v>128</v>
      </c>
      <c r="B31" s="0" t="n">
        <f aca="false">L19</f>
        <v>2110053.26788486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33111605.1268086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33760852.2861578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33111605.1268086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14644780.0160483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25418693.6388871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25418693.6388871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25.4999922457724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0.00393670258946344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25.4999922457724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16555802.5634043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12.1568687854263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18.3865758481806</v>
      </c>
      <c r="C4" s="0" t="n">
        <f aca="false">B4/Assumptions!$B$2-1</f>
        <v>-0.276119061095253</v>
      </c>
      <c r="D4" s="4" t="n">
        <f aca="false">Assumptions!$B$24</f>
        <v>0.25</v>
      </c>
      <c r="E4" s="4" t="n">
        <f aca="false">DCF_Bear!$B$43</f>
        <v>18.3865758481806</v>
      </c>
      <c r="F4" s="4" t="n">
        <f aca="false">DCF_Bear!$B$47</f>
        <v>9.52723226503522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22.7443707564984</v>
      </c>
      <c r="C5" s="0" t="n">
        <f aca="false">B5/Assumptions!$B$2-1</f>
        <v>-0.104552332421323</v>
      </c>
      <c r="D5" s="4" t="n">
        <f aca="false">Assumptions!$B$38</f>
        <v>0.5</v>
      </c>
      <c r="E5" s="4" t="n">
        <f aca="false">DCF_Base!$B$43</f>
        <v>22.7443707564984</v>
      </c>
      <c r="F5" s="4" t="n">
        <f aca="false">DCF_Base!$B$47</f>
        <v>11.2204901799776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25.4999922457724</v>
      </c>
      <c r="C6" s="0" t="n">
        <f aca="false">B6/Assumptions!$B$2-1</f>
        <v>0.00393670258946344</v>
      </c>
      <c r="D6" s="4" t="n">
        <f aca="false">Assumptions!$B$52</f>
        <v>0.25</v>
      </c>
      <c r="E6" s="4" t="n">
        <f aca="false">DCF_Bull!$B$43</f>
        <v>25.4999922457724</v>
      </c>
      <c r="F6" s="4" t="n">
        <f aca="false">DCF_Bull!$B$47</f>
        <v>12.1568687854263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22.3438274017374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22.3438274017374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-0.136779278827804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11.0312703526042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22.7443707564984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21.1341559444408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18.4893131381515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16.4094163017034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14.7325085014165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11.2204901799776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27.9506244060654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27.9506244060654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27.9506244060654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27.9506244060654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27.9506244060654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24.3411862015628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25.4672146313138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25.9071513201468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25.9071513201468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25.9071513201468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21.0608779866221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21.8465079458977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22.7443707564984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23.7803663071915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24.047719997693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18.5222167212452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19.0895632771663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19.7278281525775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20.4511950113768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21.2778999928618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16.5018393242422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16.9228109485316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17.3905571977421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17.9133324174479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18.501454539617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2026-10-04T08:24:56Z</dcterms:created>
  <dc:creator>openpyxl</dc:creator>
  <dc:description/>
  <dc:language>en-NZ</dc:language>
  <cp:lastModifiedBy/>
  <dcterms:modified xsi:type="dcterms:W3CDTF">2026-10-04T08:24:56Z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