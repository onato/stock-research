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<sst xmlns="http://schemas.openxmlformats.org/spreadsheetml/2006/main" count="360" uniqueCount="172">
  <si>
    <t xml:space="preserve">Ticker</t>
  </si>
  <si>
    <t xml:space="preserve">9961.HK</t>
  </si>
  <si>
    <t xml:space="preserve">Company</t>
  </si>
  <si>
    <t xml:space="preserve">Trip.com Group Limited</t>
  </si>
  <si>
    <t xml:space="preserve">Valuation date</t>
  </si>
  <si>
    <t xml:space="preserve">2026-10-24</t>
  </si>
  <si>
    <t xml:space="preserve">Current price</t>
  </si>
  <si>
    <t xml:space="preserve">Price as of</t>
  </si>
  <si>
    <t xml:space="preserve">2026-10-23T08:08:08Z HKEX regular close (Thursday 16:08 HKT); 52-week range 294.6-613.0, price sits in the bottom tenth of the range</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</si>
  <si>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</si>
  <si>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</si>
  <si>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</si>
  <si>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</si>
  <si>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</si>
  <si>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</si>
  <si>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</si>
  <si>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</si>
  <si>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</si>
  <si>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</si>
  <si>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</si>
  <si>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</si>
  <si>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</si>
  <si>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2026-10-23T21:12:43Z</t>
  </si>
  <si>
    <t xml:space="preserve">Drivers file</t>
  </si>
  <si>
    <t xml:space="preserve">9961.HK_Drivers.json</t>
  </si>
  <si>
    <t xml:space="preserve">Convention</t>
  </si>
  <si>
    <t xml:space="preserve">Percents stored as percents; formulas divide by 100. Blue = input, green = link, black = formula.</t>
  </si>
  <si>
    <t xml:space="preserve">Methodology</t>
  </si>
  <si>
    <t xml:space="preserve">summary: Trip.com is valued as an operating cash-flow stream in RMB on a strict owner-FCF basis (SBC expensed, interest income stripped, share count flat), discounted at a CNY-built 10% WACC, with the RMB74bn broad net cash, the investment portfolio at 80% of book, the accrued SAMR fine and NCI bridged to equity, then translated to HKD per share at the live CNY-&gt;HKD rate. The three scenarios are the axes the Analysis JSON identifies: durability of the domestic take-rate after the antitrust remedy, the pace of the international/inbound build-out, and whether platform regulation recurs. Risk is charged once -- in the flows and the 30% bear weight -- not stacked into the discount rate. Terminal value is capped at 15x owner FCF because travel is discretionary and the regulatory regime is restrictive. The 9961.HK and TCOM builds share one RMB model; they differ only by the quote currency.
key_risks_to_valuation: Recurring PRC platform antitrust action or a sector-wide price war compressing accommodation take-rate below the bear path; VIE contractual-structure invalidation or HFCAA-driven Nasdaq delisting (the HK listing mitigates liquidity, not VIE risk) -- a binary tail outside the cash-flow model; RMB depreciation versus the USD-pegged HKD: every 5% move in CNY/HKD moves the HKD per-share value ~5% with no change in the RMB business; The investment portfolio (RMB30bn book) is added at 80% of book; listed stakes could trade below carrying value and unlisted stakes could be impaired; H1-2026 owner FCF (~RMB4-5bn) is counted in both the June-30 net cash and the FY2026 Y1 flow (~HK$8/share overstatement, partly offset by full-period discounting of a 3/4-earned year); Travel demand shock (pandemic, geopolitics, energy) -- FY2020 showed owner FCF can swing to -RMB8bn in a year</t>
  </si>
  <si>
    <t xml:space="preserve">Data sources</t>
  </si>
  <si>
    <t xml:space="preserve">price: Yahoo Finance chart API at inputs.price_as_of (HKEX regular close); 52-week range 294.6-613.0; Nasdaq TCOM ADR parity check in inputs.fx_note
financials: research/9961.HK/Reports/9961.HK_Metrics.csv (core_metrics, CNY millions, FY2019-FY2025, parsed from the HKEX annual reports in Extracted/); 2026-06-30 balance sheet, SAMR accrual and diluted share count from the Q2/H1-2026 results announcement (6-K 2026-09-15, as used by the TCOM build); FY2025 cash flow statement and adjusted-EBITDA reconciliation from 9961.HK_Annual_FY2025.txt
qualitative: research/9961.HK/Reports/9961.HK_Analysis.json (2026-10-24): SAMR fine, Q2-2026 guidance, competitive and regulatory risk set, bull/bear axes; driver judgments carried from research/TCOM/Reports/TCOM_Drivers.json (2026-10-04)</t>
  </si>
  <si>
    <t xml:space="preserve">Scenario narrative: bear</t>
  </si>
  <si>
    <t xml:space="preserve">The remedy is not one-and-done: regulators keep pressing dominant platforms, the loss of exclusivity compresses accommodation take-rate, Meituan's bundling triggers a price war, and consumer travel spend stalls on energy prices and the property-sector overhang. Group growth 2-3% from FY2027, adjusted EBITDA margin falls to 24% (the FY2023 level) and stays there, SBC % drifts up. International decelerates to 20-25% against Booking/Agoda. Net cash and investments still floor the value well above zero -- this bear is a stagnant cash box, not a solvency case. The VIE/HFCAA binary tail (contract invalidation, forced Nasdaq delisting -- the HK line mitigates liquidity, not VIE risk) is not modelled as a cash flow; it is the reason the bear weight is 30%, not 15%.</t>
  </si>
  <si>
    <t xml:space="preserve">Scenario narrative: base</t>
  </si>
  <si>
    <t xml:space="preserve">The SAMR remedy (no exclusivity, no lowest-price clauses, refunded deposits) is a one-time reset of domestic take-rate and growth rather than a structural collapse: domestic accommodation and ticketing grow low-single-digit from FY2026, while the Trip.com international platform (+50% YoY) and inbound travel (high double-digit) keep the group at 7-8% through FY2029 before decelerating to 3%. Adjusted EBITDA margin sits at 29% for two years and drifts to 31% as international scales, never regaining the FY2024 32% peak. SBC is charged at 4% of revenue declining to 3%. The RMB74bn net cash and the ~RMB24bn investment portfolio are added at the bridge; the RMB5.2bn fine is deducted. No further antitrust action, and the VIE structure holds.</t>
  </si>
  <si>
    <t xml:space="preserve">Scenario narrative: bull</t>
  </si>
  <si>
    <t xml:space="preserve">Beijing's anti-involution campaign bites rivals as hard as Trip.com, the remedy normalises the whole OTA market instead of singling out the leader, and domestic growth recovers to high-single-digit. International sustains 40%+ growth and reaches margin breakeven, inbound compounds toward the 200m-traveller target, outbound holds above 140% of 2019. Group growth 11-12% in FY2027-28, adjusted EBITDA margin to 33.5%, terminal growth 3%. The US$5bn buyback at a 5x EV/EBITDA entry point adds to per-share value but is value-neutral in the model.</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</si>
  <si>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</si>
  <si>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</si>
  <si>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</si>
  <si>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</si>
  <si>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</si>
  <si>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</si>
  <si>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</si>
  <si>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</si>
  <si>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</si>
  <si>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</si>
  <si>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</si>
  <si>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</si>
  <si>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</si>
  <si>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</si>
  <si>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</si>
  <si>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</si>
  <si>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</si>
  <si>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</si>
  <si>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</si>
  <si>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</si>
  <si>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</si>
  <si>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</si>
  <si>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</si>
  <si>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</si>
  <si>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</si>
  <si>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</si>
  <si>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</si>
  <si>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Amortisation</t>
  </si>
  <si>
    <t xml:space="preserve">CashOnly</t>
  </si>
  <si>
    <t xml:space="preserve">EPSBasic</t>
  </si>
  <si>
    <t xml:space="preserve">EffectiveCashTaxRate</t>
  </si>
  <si>
    <t xml:space="preserve">InterestPaid</t>
  </si>
  <si>
    <t xml:space="preserve">NetIncomeInclNCI</t>
  </si>
  <si>
    <t xml:space="preserve">OrdinaryShareholdersEquity</t>
  </si>
  <si>
    <t xml:space="preserve">SegmentRevenueOthers</t>
  </si>
  <si>
    <t xml:space="preserve">SharesInIssuePeriodEnd</t>
  </si>
  <si>
    <t xml:space="preserve">ShortTermInvestments</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</si>
  <si>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</si>
  <si>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</si>
  <si>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</si>
  <si>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</si>
  <si>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</si>
  <si>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</si>
  <si>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</si>
  <si>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</si>
  <si>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</si>
  <si>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</si>
  <si>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</si>
  <si>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</si>
  <si>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</si>
  <si>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</si>
  <si>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</si>
  <si>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</si>
  <si>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</si>
  <si>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</si>
  <si>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</si>
  <si>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</si>
  <si>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</si>
  <si>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</si>
  <si>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</si>
  <si>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</si>
  <si>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</si>
  <si>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</si>
  <si>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</si>
  <si>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</si>
  <si>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</si>
  <si>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</si>
  <si>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</si>
  <si>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</si>
  <si>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</si>
  <si>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</si>
  <si>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</si>
  <si>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</si>
  <si>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</si>
  <si>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</si>
  <si>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</si>
  <si>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</si>
  <si>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</si>
  <si>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</si>
  <si>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</si>
  <si>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</si>
  <si>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9961.HK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</si>
  <si>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</si>
  <si>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</si>
  <si>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</si>
  <si>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</si>
  <si>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</si>
  <si>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</si>
  <si>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</si>
  <si>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</si>
  <si>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</si>
  <si>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</si>
  <si>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</si>
  <si>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</si>
  <si>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</si>
  <si>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</si>
  <si>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</si>
  <si>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</si>
  <si>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</si>
  <si>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</si>
  <si>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</si>
  <si>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</si>
  <si>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</si>
  <si>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</si>
  <si>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</si>
  <si>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</si>
  <si>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</si>
  <si>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</si>
  <si>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</si>
  <si>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</si>
  <si>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</si>
  <si>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</si>
  <si>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9961.HK owner-FCF component DCF: base case (millions, CNY)</t>
  </si>
  <si>
    <t xml:space="preserve">9961.HK owner-FCF component DCF: bull case (millions, CNY)</t>
  </si>
  <si>
    <t xml:space="preserve">9961.HK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</si>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</sst>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314.8</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c r="AI1" s="2" t="s">
        <v>70</v>
      </c>
      <c r="AJ1" s="2" t="s">
        <v>71</v>
      </c>
      <c r="AK1" s="2" t="s">
        <v>72</v>
      </c>
      <c r="AL1" s="2" t="s">
        <v>73</v>
      </c>
    </row>
    <row r="2" customFormat="false" ht="15" hidden="false" customHeight="false" outlineLevel="0" collapsed="false">
      <c r="A2" s="0" t="s">
        <v>74</v>
      </c>
      <c r="B2" s="0" t="n">
        <v>35666</v>
      </c>
      <c r="C2" s="0" t="n">
        <v>7372</v>
      </c>
      <c r="D2" s="0" t="n">
        <v>28294</v>
      </c>
      <c r="E2" s="0" t="n">
        <v>79.3</v>
      </c>
      <c r="F2" s="0" t="n">
        <v>5040</v>
      </c>
      <c r="G2" s="0" t="n">
        <v>14.1</v>
      </c>
      <c r="H2" s="0" t="n">
        <v>6136</v>
      </c>
      <c r="I2" s="0" t="n">
        <v>7011</v>
      </c>
      <c r="J2" s="0" t="n">
        <v>19.7</v>
      </c>
      <c r="K2" s="0" t="n">
        <v>11.5</v>
      </c>
      <c r="L2" s="0" t="n">
        <v>7333</v>
      </c>
      <c r="M2" s="0" t="n">
        <v>823</v>
      </c>
      <c r="N2" s="0" t="n">
        <v>6510</v>
      </c>
      <c r="T2" s="0" t="n">
        <v>641.952112</v>
      </c>
      <c r="U2" s="0" t="n">
        <v>1714</v>
      </c>
      <c r="AA2" s="0" t="s">
        <v>18</v>
      </c>
      <c r="AB2" s="0" t="s">
        <v>14</v>
      </c>
      <c r="AC2" s="0" t="n">
        <v>440</v>
      </c>
      <c r="AE2" s="0" t="n">
        <v>12.35</v>
      </c>
      <c r="AG2" s="0" t="n">
        <v>1637</v>
      </c>
      <c r="AH2" s="0" t="n">
        <v>6998</v>
      </c>
    </row>
    <row r="3" customFormat="false" ht="15" hidden="false" customHeight="false" outlineLevel="0" collapsed="false">
      <c r="A3" s="0" t="s">
        <v>75</v>
      </c>
      <c r="B3" s="0" t="n">
        <v>18316</v>
      </c>
      <c r="C3" s="0" t="n">
        <v>4031</v>
      </c>
      <c r="D3" s="0" t="n">
        <v>14285</v>
      </c>
      <c r="E3" s="0" t="n">
        <v>78</v>
      </c>
      <c r="F3" s="0" t="n">
        <v>-1423</v>
      </c>
      <c r="G3" s="0" t="n">
        <v>-7.8</v>
      </c>
      <c r="H3" s="0" t="n">
        <v>-206</v>
      </c>
      <c r="I3" s="0" t="n">
        <v>-3247</v>
      </c>
      <c r="J3" s="0" t="n">
        <v>-17.7</v>
      </c>
      <c r="K3" s="0" t="n">
        <v>-5.4</v>
      </c>
      <c r="L3" s="0" t="n">
        <v>-3823</v>
      </c>
      <c r="M3" s="0" t="n">
        <v>532</v>
      </c>
      <c r="N3" s="0" t="n">
        <v>-4355</v>
      </c>
      <c r="O3" s="0" t="n">
        <v>101567</v>
      </c>
      <c r="P3" s="0" t="n">
        <v>187249</v>
      </c>
      <c r="Q3" s="0" t="n">
        <v>85682</v>
      </c>
      <c r="R3" s="0" t="n">
        <v>56383</v>
      </c>
      <c r="S3" s="0" t="n">
        <v>42916</v>
      </c>
      <c r="T3" s="0" t="n">
        <v>600.888208</v>
      </c>
      <c r="U3" s="0" t="n">
        <v>1873</v>
      </c>
      <c r="AA3" s="0" t="s">
        <v>18</v>
      </c>
      <c r="AB3" s="0" t="s">
        <v>14</v>
      </c>
      <c r="AC3" s="0" t="n">
        <v>427</v>
      </c>
      <c r="AD3" s="0" t="n">
        <v>18096</v>
      </c>
      <c r="AE3" s="0" t="n">
        <v>-5.4</v>
      </c>
      <c r="AG3" s="0" t="n">
        <v>1642</v>
      </c>
      <c r="AH3" s="0" t="n">
        <v>-3269</v>
      </c>
      <c r="AI3" s="0" t="n">
        <v>100354</v>
      </c>
      <c r="AL3" s="0" t="n">
        <v>24820</v>
      </c>
    </row>
    <row r="4" customFormat="false" ht="15" hidden="false" customHeight="false" outlineLevel="0" collapsed="false">
      <c r="A4" s="0" t="s">
        <v>76</v>
      </c>
      <c r="B4" s="0" t="n">
        <v>20023</v>
      </c>
      <c r="C4" s="0" t="n">
        <v>4598</v>
      </c>
      <c r="D4" s="0" t="n">
        <v>15425</v>
      </c>
      <c r="E4" s="0" t="n">
        <v>77</v>
      </c>
      <c r="F4" s="0" t="n">
        <v>-1411</v>
      </c>
      <c r="G4" s="0" t="n">
        <v>-7</v>
      </c>
      <c r="H4" s="0" t="n">
        <v>-390</v>
      </c>
      <c r="I4" s="0" t="n">
        <v>-550</v>
      </c>
      <c r="J4" s="0" t="n">
        <v>-2.7</v>
      </c>
      <c r="K4" s="0" t="n">
        <v>-0.87</v>
      </c>
      <c r="L4" s="0" t="n">
        <v>2475</v>
      </c>
      <c r="M4" s="0" t="n">
        <v>570</v>
      </c>
      <c r="N4" s="0" t="n">
        <v>1905</v>
      </c>
      <c r="O4" s="0" t="n">
        <v>110456</v>
      </c>
      <c r="P4" s="0" t="n">
        <v>191859</v>
      </c>
      <c r="Q4" s="0" t="n">
        <v>81403</v>
      </c>
      <c r="R4" s="0" t="n">
        <v>50959</v>
      </c>
      <c r="S4" s="0" t="n">
        <v>49384</v>
      </c>
      <c r="T4" s="0" t="n">
        <v>634.109233</v>
      </c>
      <c r="U4" s="0" t="n">
        <v>1681</v>
      </c>
      <c r="AA4" s="0" t="s">
        <v>18</v>
      </c>
      <c r="AB4" s="0" t="s">
        <v>14</v>
      </c>
      <c r="AC4" s="0" t="n">
        <v>298</v>
      </c>
      <c r="AD4" s="0" t="n">
        <v>19818</v>
      </c>
      <c r="AE4" s="0" t="n">
        <v>-0.87</v>
      </c>
      <c r="AG4" s="0" t="n">
        <v>1498</v>
      </c>
      <c r="AH4" s="0" t="n">
        <v>-645</v>
      </c>
      <c r="AI4" s="0" t="n">
        <v>109677</v>
      </c>
      <c r="AJ4" s="0" t="n">
        <v>2524</v>
      </c>
      <c r="AL4" s="0" t="n">
        <v>29566</v>
      </c>
    </row>
    <row r="5" customFormat="false" ht="15" hidden="false" customHeight="false" outlineLevel="0" collapsed="false">
      <c r="A5" s="0" t="s">
        <v>77</v>
      </c>
      <c r="B5" s="0" t="n">
        <v>20039</v>
      </c>
      <c r="C5" s="0" t="n">
        <v>4513</v>
      </c>
      <c r="D5" s="0" t="n">
        <v>15526</v>
      </c>
      <c r="E5" s="0" t="n">
        <v>77.5</v>
      </c>
      <c r="F5" s="0" t="n">
        <v>88</v>
      </c>
      <c r="G5" s="0" t="n">
        <v>0.4</v>
      </c>
      <c r="H5" s="0" t="n">
        <v>963</v>
      </c>
      <c r="I5" s="0" t="n">
        <v>1403</v>
      </c>
      <c r="J5" s="0" t="n">
        <v>7</v>
      </c>
      <c r="K5" s="0" t="n">
        <v>2.14</v>
      </c>
      <c r="L5" s="0" t="n">
        <v>2641</v>
      </c>
      <c r="M5" s="0" t="n">
        <v>497</v>
      </c>
      <c r="N5" s="0" t="n">
        <v>2144</v>
      </c>
      <c r="O5" s="0" t="n">
        <v>113019</v>
      </c>
      <c r="P5" s="0" t="n">
        <v>191691</v>
      </c>
      <c r="Q5" s="0" t="n">
        <v>78672</v>
      </c>
      <c r="R5" s="0" t="n">
        <v>45851</v>
      </c>
      <c r="S5" s="0" t="n">
        <v>42545</v>
      </c>
      <c r="T5" s="0" t="n">
        <v>657.092826</v>
      </c>
      <c r="U5" s="0" t="n">
        <v>1188</v>
      </c>
      <c r="AA5" s="0" t="s">
        <v>18</v>
      </c>
      <c r="AB5" s="0" t="s">
        <v>14</v>
      </c>
      <c r="AC5" s="0" t="n">
        <v>243</v>
      </c>
      <c r="AD5" s="0" t="n">
        <v>17000</v>
      </c>
      <c r="AE5" s="0" t="n">
        <v>2.17</v>
      </c>
      <c r="AF5" s="0" t="n">
        <v>17.9</v>
      </c>
      <c r="AG5" s="0" t="n">
        <v>1444</v>
      </c>
      <c r="AH5" s="0" t="n">
        <v>1367</v>
      </c>
      <c r="AI5" s="0" t="n">
        <v>112283</v>
      </c>
      <c r="AJ5" s="0" t="n">
        <v>2526</v>
      </c>
      <c r="AK5" s="0" t="n">
        <v>646.06683</v>
      </c>
      <c r="AL5" s="0" t="n">
        <v>25545</v>
      </c>
    </row>
    <row r="6" customFormat="false" ht="15" hidden="false" customHeight="false" outlineLevel="0" collapsed="false">
      <c r="A6" s="0" t="s">
        <v>78</v>
      </c>
      <c r="B6" s="0" t="n">
        <v>44510</v>
      </c>
      <c r="C6" s="0" t="n">
        <v>8121</v>
      </c>
      <c r="D6" s="0" t="n">
        <v>36389</v>
      </c>
      <c r="E6" s="0" t="n">
        <v>81.8</v>
      </c>
      <c r="F6" s="0" t="n">
        <v>11324</v>
      </c>
      <c r="G6" s="0" t="n">
        <v>25.4</v>
      </c>
      <c r="H6" s="0" t="n">
        <v>12141</v>
      </c>
      <c r="I6" s="0" t="n">
        <v>9918</v>
      </c>
      <c r="J6" s="0" t="n">
        <v>22.3</v>
      </c>
      <c r="K6" s="0" t="n">
        <v>14.78</v>
      </c>
      <c r="L6" s="0" t="n">
        <v>22004</v>
      </c>
      <c r="M6" s="0" t="n">
        <v>606</v>
      </c>
      <c r="N6" s="0" t="n">
        <v>21398</v>
      </c>
      <c r="O6" s="0" t="n">
        <v>123006</v>
      </c>
      <c r="P6" s="0" t="n">
        <v>219137</v>
      </c>
      <c r="Q6" s="0" t="n">
        <v>96131</v>
      </c>
      <c r="R6" s="0" t="n">
        <v>44956</v>
      </c>
      <c r="S6" s="0" t="n">
        <v>59340</v>
      </c>
      <c r="T6" s="0" t="n">
        <v>671.06224</v>
      </c>
      <c r="U6" s="0" t="n">
        <v>1834</v>
      </c>
      <c r="AA6" s="0" t="s">
        <v>18</v>
      </c>
      <c r="AB6" s="0" t="s">
        <v>14</v>
      </c>
      <c r="AC6" s="0" t="n">
        <v>190</v>
      </c>
      <c r="AD6" s="0" t="n">
        <v>41592</v>
      </c>
      <c r="AE6" s="0" t="n">
        <v>15.19</v>
      </c>
      <c r="AF6" s="0" t="n">
        <v>12.1</v>
      </c>
      <c r="AG6" s="0" t="n">
        <v>1889</v>
      </c>
      <c r="AH6" s="0" t="n">
        <v>10002</v>
      </c>
      <c r="AI6" s="0" t="n">
        <v>122184</v>
      </c>
      <c r="AJ6" s="0" t="n">
        <v>3468</v>
      </c>
      <c r="AK6" s="0" t="n">
        <v>644.08905</v>
      </c>
      <c r="AL6" s="0" t="n">
        <v>17748</v>
      </c>
    </row>
    <row r="7" customFormat="false" ht="15" hidden="false" customHeight="false" outlineLevel="0" collapsed="false">
      <c r="A7" s="0" t="s">
        <v>79</v>
      </c>
      <c r="B7" s="0" t="n">
        <v>53294</v>
      </c>
      <c r="C7" s="0" t="n">
        <v>9990</v>
      </c>
      <c r="D7" s="0" t="n">
        <v>43304</v>
      </c>
      <c r="E7" s="0" t="n">
        <v>81.3</v>
      </c>
      <c r="F7" s="0" t="n">
        <v>14177</v>
      </c>
      <c r="G7" s="0" t="n">
        <v>26.6</v>
      </c>
      <c r="H7" s="0" t="n">
        <v>15028</v>
      </c>
      <c r="I7" s="0" t="n">
        <v>17067</v>
      </c>
      <c r="J7" s="0" t="n">
        <v>32</v>
      </c>
      <c r="K7" s="0" t="n">
        <v>24.78</v>
      </c>
      <c r="L7" s="0" t="n">
        <v>19625</v>
      </c>
      <c r="M7" s="0" t="n">
        <v>591</v>
      </c>
      <c r="N7" s="0" t="n">
        <v>19034</v>
      </c>
      <c r="O7" s="0" t="n">
        <v>142739</v>
      </c>
      <c r="P7" s="0" t="n">
        <v>242581</v>
      </c>
      <c r="Q7" s="0" t="n">
        <v>99099</v>
      </c>
      <c r="R7" s="0" t="n">
        <v>39567</v>
      </c>
      <c r="S7" s="0" t="n">
        <v>76914</v>
      </c>
      <c r="T7" s="0" t="n">
        <v>688.704882</v>
      </c>
      <c r="U7" s="0" t="n">
        <v>2042</v>
      </c>
      <c r="AA7" s="0" t="s">
        <v>18</v>
      </c>
      <c r="AB7" s="0" t="s">
        <v>14</v>
      </c>
      <c r="AC7" s="0" t="n">
        <v>196</v>
      </c>
      <c r="AD7" s="0" t="n">
        <v>48439</v>
      </c>
      <c r="AE7" s="0" t="n">
        <v>26.1</v>
      </c>
      <c r="AF7" s="0" t="n">
        <v>15.9</v>
      </c>
      <c r="AG7" s="0" t="n">
        <v>1653</v>
      </c>
      <c r="AH7" s="0" t="n">
        <v>17227</v>
      </c>
      <c r="AI7" s="0" t="n">
        <v>141807</v>
      </c>
      <c r="AJ7" s="0" t="n">
        <v>4626</v>
      </c>
      <c r="AK7" s="0" t="n">
        <v>653.270717</v>
      </c>
      <c r="AL7" s="0" t="n">
        <v>28475</v>
      </c>
    </row>
    <row r="8" customFormat="false" ht="15" hidden="false" customHeight="false" outlineLevel="0" collapsed="false">
      <c r="A8" s="0" t="s">
        <v>80</v>
      </c>
      <c r="B8" s="0" t="n">
        <v>62409</v>
      </c>
      <c r="C8" s="0" t="n">
        <v>12122</v>
      </c>
      <c r="D8" s="0" t="n">
        <v>50287</v>
      </c>
      <c r="E8" s="0" t="n">
        <v>80.6</v>
      </c>
      <c r="F8" s="0" t="n">
        <v>15773</v>
      </c>
      <c r="G8" s="0" t="n">
        <v>25.3</v>
      </c>
      <c r="H8" s="0" t="n">
        <v>16618</v>
      </c>
      <c r="I8" s="0" t="n">
        <v>33294</v>
      </c>
      <c r="J8" s="0" t="n">
        <v>53.3</v>
      </c>
      <c r="K8" s="0" t="n">
        <v>47.67</v>
      </c>
      <c r="L8" s="0" t="n">
        <v>14379</v>
      </c>
      <c r="M8" s="0" t="n">
        <v>797</v>
      </c>
      <c r="N8" s="0" t="n">
        <v>13582</v>
      </c>
      <c r="O8" s="0" t="n">
        <v>172469</v>
      </c>
      <c r="P8" s="0" t="n">
        <v>267387</v>
      </c>
      <c r="Q8" s="0" t="n">
        <v>94787</v>
      </c>
      <c r="R8" s="0" t="n">
        <v>30765</v>
      </c>
      <c r="S8" s="0" t="n">
        <v>71855</v>
      </c>
      <c r="T8" s="0" t="n">
        <v>698.378891</v>
      </c>
      <c r="U8" s="0" t="n">
        <v>2270</v>
      </c>
      <c r="AA8" s="0" t="s">
        <v>18</v>
      </c>
      <c r="AB8" s="0" t="s">
        <v>14</v>
      </c>
      <c r="AC8" s="0" t="n">
        <v>198</v>
      </c>
      <c r="AD8" s="0" t="n">
        <v>39848</v>
      </c>
      <c r="AE8" s="0" t="n">
        <v>50.62</v>
      </c>
      <c r="AF8" s="0" t="n">
        <v>14.8</v>
      </c>
      <c r="AG8" s="0" t="n">
        <v>854</v>
      </c>
      <c r="AH8" s="0" t="n">
        <v>33386</v>
      </c>
      <c r="AI8" s="0" t="n">
        <v>170818</v>
      </c>
      <c r="AJ8" s="0" t="n">
        <v>6404</v>
      </c>
      <c r="AK8" s="0" t="n">
        <v>649.583574</v>
      </c>
      <c r="AL8" s="0" t="n">
        <v>32007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81</v>
      </c>
      <c r="B1" s="2" t="s">
        <v>82</v>
      </c>
    </row>
    <row r="2" customFormat="false" ht="15" hidden="false" customHeight="false" outlineLevel="0" collapsed="false">
      <c r="A2" s="0" t="s">
        <v>83</v>
      </c>
      <c r="B2" s="3" t="n">
        <v>314.8</v>
      </c>
    </row>
    <row r="3" customFormat="false" ht="15" hidden="false" customHeight="false" outlineLevel="0" collapsed="false">
      <c r="A3" s="0" t="s">
        <v>84</v>
      </c>
      <c r="B3" s="3" t="n">
        <v>659.356</v>
      </c>
    </row>
    <row r="4" customFormat="false" ht="15" hidden="false" customHeight="false" outlineLevel="0" collapsed="false">
      <c r="A4" s="0" t="s">
        <v>85</v>
      </c>
      <c r="B4" s="3" t="n">
        <v>-74119</v>
      </c>
    </row>
    <row r="5" customFormat="false" ht="15" hidden="false" customHeight="false" outlineLevel="0" collapsed="false">
      <c r="A5" s="0" t="s">
        <v>86</v>
      </c>
      <c r="B5" s="3" t="n">
        <v>17353</v>
      </c>
    </row>
    <row r="6" customFormat="false" ht="15" hidden="false" customHeight="false" outlineLevel="0" collapsed="false">
      <c r="A6" s="0" t="s">
        <v>87</v>
      </c>
      <c r="B6" s="3" t="n">
        <v>15</v>
      </c>
    </row>
    <row r="7" customFormat="false" ht="15" hidden="false" customHeight="false" outlineLevel="0" collapsed="false">
      <c r="A7" s="0" t="s">
        <v>88</v>
      </c>
      <c r="B7" s="3" t="n">
        <v>62409</v>
      </c>
    </row>
    <row r="8" customFormat="false" ht="15" hidden="false" customHeight="false" outlineLevel="0" collapsed="false">
      <c r="A8" s="0" t="s">
        <v>89</v>
      </c>
      <c r="B8" s="3" t="s">
        <v>80</v>
      </c>
    </row>
    <row r="9" customFormat="false" ht="15" hidden="false" customHeight="false" outlineLevel="0" collapsed="false">
      <c r="A9" s="0" t="s">
        <v>90</v>
      </c>
      <c r="B9" s="3" t="s">
        <v>91</v>
      </c>
    </row>
    <row r="10" customFormat="false" ht="15" hidden="false" customHeight="false" outlineLevel="0" collapsed="false">
      <c r="A10" s="0" t="s">
        <v>92</v>
      </c>
      <c r="B10" s="3" t="n">
        <v>1.1755</v>
      </c>
    </row>
    <row r="12" customFormat="false" ht="15" hidden="false" customHeight="false" outlineLevel="0" collapsed="false">
      <c r="A12" s="2" t="s">
        <v>93</v>
      </c>
      <c r="C12" s="2" t="s">
        <v>94</v>
      </c>
      <c r="D12" s="2" t="s">
        <v>95</v>
      </c>
      <c r="E12" s="2" t="s">
        <v>96</v>
      </c>
      <c r="F12" s="2" t="s">
        <v>97</v>
      </c>
      <c r="G12" s="2" t="s">
        <v>98</v>
      </c>
      <c r="H12" s="2" t="s">
        <v>99</v>
      </c>
      <c r="I12" s="2" t="s">
        <v>100</v>
      </c>
      <c r="J12" s="2" t="s">
        <v>101</v>
      </c>
      <c r="K12" s="2" t="s">
        <v>102</v>
      </c>
      <c r="L12" s="2" t="s">
        <v>103</v>
      </c>
    </row>
    <row r="13" customFormat="false" ht="15" hidden="false" customHeight="false" outlineLevel="0" collapsed="false">
      <c r="A13" s="0" t="s">
        <v>104</v>
      </c>
      <c r="C13" s="3" t="n">
        <v>5</v>
      </c>
      <c r="D13" s="3" t="n">
        <v>2</v>
      </c>
      <c r="E13" s="3" t="n">
        <v>2</v>
      </c>
      <c r="F13" s="3" t="n">
        <v>3</v>
      </c>
      <c r="G13" s="3" t="n">
        <v>3</v>
      </c>
      <c r="H13" s="3" t="n">
        <v>3</v>
      </c>
      <c r="I13" s="3" t="n">
        <v>3</v>
      </c>
      <c r="J13" s="3" t="n">
        <v>2.5</v>
      </c>
      <c r="K13" s="3" t="n">
        <v>2.5</v>
      </c>
      <c r="L13" s="3" t="n">
        <v>2.5</v>
      </c>
    </row>
    <row r="14" customFormat="false" ht="15" hidden="false" customHeight="false" outlineLevel="0" collapsed="false">
      <c r="A14" s="0" t="s">
        <v>105</v>
      </c>
      <c r="C14" s="3" t="n">
        <v>28</v>
      </c>
      <c r="D14" s="3" t="n">
        <v>26</v>
      </c>
      <c r="E14" s="3" t="n">
        <v>25</v>
      </c>
      <c r="F14" s="3" t="n">
        <v>24.5</v>
      </c>
      <c r="G14" s="3" t="n">
        <v>24</v>
      </c>
      <c r="H14" s="3" t="n">
        <v>24</v>
      </c>
      <c r="I14" s="3" t="n">
        <v>24</v>
      </c>
      <c r="J14" s="3" t="n">
        <v>24</v>
      </c>
      <c r="K14" s="3" t="n">
        <v>24</v>
      </c>
      <c r="L14" s="3" t="n">
        <v>24</v>
      </c>
    </row>
    <row r="15" customFormat="false" ht="15" hidden="false" customHeight="false" outlineLevel="0" collapsed="false">
      <c r="A15" s="0" t="s">
        <v>106</v>
      </c>
      <c r="C15" s="3" t="n">
        <v>4.2</v>
      </c>
      <c r="D15" s="3" t="n">
        <v>4.2</v>
      </c>
      <c r="E15" s="3" t="n">
        <v>4.1</v>
      </c>
      <c r="F15" s="3" t="n">
        <v>4</v>
      </c>
      <c r="G15" s="3" t="n">
        <v>3.9</v>
      </c>
      <c r="H15" s="3" t="n">
        <v>3.8</v>
      </c>
      <c r="I15" s="3" t="n">
        <v>3.7</v>
      </c>
      <c r="J15" s="3" t="n">
        <v>3.6</v>
      </c>
      <c r="K15" s="3" t="n">
        <v>3.5</v>
      </c>
      <c r="L15" s="3" t="n">
        <v>3.5</v>
      </c>
    </row>
    <row r="16" customFormat="false" ht="15" hidden="false" customHeight="false" outlineLevel="0" collapsed="false">
      <c r="A16" s="0" t="s">
        <v>107</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108</v>
      </c>
      <c r="C17" s="3" t="n">
        <v>1.4</v>
      </c>
      <c r="D17" s="3" t="n">
        <v>1.4</v>
      </c>
      <c r="E17" s="3" t="n">
        <v>1.4</v>
      </c>
      <c r="F17" s="3" t="n">
        <v>1.4</v>
      </c>
      <c r="G17" s="3" t="n">
        <v>1.4</v>
      </c>
      <c r="H17" s="3" t="n">
        <v>1.4</v>
      </c>
      <c r="I17" s="3" t="n">
        <v>1.4</v>
      </c>
      <c r="J17" s="3" t="n">
        <v>1.4</v>
      </c>
      <c r="K17" s="3" t="n">
        <v>1.4</v>
      </c>
      <c r="L17" s="3" t="n">
        <v>1.4</v>
      </c>
    </row>
    <row r="18" customFormat="false" ht="15" hidden="false" customHeight="false" outlineLevel="0" collapsed="false">
      <c r="A18" s="0" t="s">
        <v>109</v>
      </c>
      <c r="C18" s="3" t="n">
        <v>1.3</v>
      </c>
      <c r="D18" s="3" t="n">
        <v>1.3</v>
      </c>
      <c r="E18" s="3" t="n">
        <v>1.3</v>
      </c>
      <c r="F18" s="3" t="n">
        <v>1.3</v>
      </c>
      <c r="G18" s="3" t="n">
        <v>1.3</v>
      </c>
      <c r="H18" s="3" t="n">
        <v>1.3</v>
      </c>
      <c r="I18" s="3" t="n">
        <v>1.3</v>
      </c>
      <c r="J18" s="3" t="n">
        <v>1.3</v>
      </c>
      <c r="K18" s="3" t="n">
        <v>1.3</v>
      </c>
      <c r="L18" s="3" t="n">
        <v>1.3</v>
      </c>
    </row>
    <row r="19" customFormat="false" ht="15" hidden="false" customHeight="false" outlineLevel="0" collapsed="false">
      <c r="A19" s="0" t="s">
        <v>110</v>
      </c>
      <c r="C19" s="3" t="n">
        <v>22</v>
      </c>
      <c r="D19" s="3" t="n">
        <v>22</v>
      </c>
      <c r="E19" s="3" t="n">
        <v>22</v>
      </c>
      <c r="F19" s="3" t="n">
        <v>22</v>
      </c>
      <c r="G19" s="3" t="n">
        <v>22</v>
      </c>
      <c r="H19" s="3" t="n">
        <v>22</v>
      </c>
      <c r="I19" s="3" t="n">
        <v>22</v>
      </c>
      <c r="J19" s="3" t="n">
        <v>22</v>
      </c>
      <c r="K19" s="3" t="n">
        <v>22</v>
      </c>
      <c r="L19" s="3" t="n">
        <v>22</v>
      </c>
    </row>
    <row r="20" customFormat="false" ht="15" hidden="false" customHeight="false" outlineLevel="0" collapsed="false">
      <c r="A20" s="0" t="s">
        <v>111</v>
      </c>
      <c r="B20" s="3" t="n">
        <v>10</v>
      </c>
    </row>
    <row r="21" customFormat="false" ht="15" hidden="false" customHeight="false" outlineLevel="0" collapsed="false">
      <c r="A21" s="0" t="s">
        <v>112</v>
      </c>
      <c r="B21" s="3" t="n">
        <v>2</v>
      </c>
    </row>
    <row r="22" customFormat="false" ht="15" hidden="false" customHeight="false" outlineLevel="0" collapsed="false">
      <c r="A22" s="0" t="s">
        <v>113</v>
      </c>
      <c r="B22" s="3" t="n">
        <v>15</v>
      </c>
    </row>
    <row r="23" customFormat="false" ht="15" hidden="false" customHeight="false" outlineLevel="0" collapsed="false">
      <c r="A23" s="0" t="s">
        <v>114</v>
      </c>
      <c r="B23" s="3" t="n">
        <v>0</v>
      </c>
    </row>
    <row r="24" customFormat="false" ht="15" hidden="false" customHeight="false" outlineLevel="0" collapsed="false">
      <c r="A24" s="0" t="s">
        <v>115</v>
      </c>
      <c r="B24" s="3" t="n">
        <v>0.3</v>
      </c>
    </row>
    <row r="26" customFormat="false" ht="15" hidden="false" customHeight="false" outlineLevel="0" collapsed="false">
      <c r="A26" s="2" t="s">
        <v>116</v>
      </c>
      <c r="C26" s="2" t="s">
        <v>94</v>
      </c>
      <c r="D26" s="2" t="s">
        <v>95</v>
      </c>
      <c r="E26" s="2" t="s">
        <v>96</v>
      </c>
      <c r="F26" s="2" t="s">
        <v>97</v>
      </c>
      <c r="G26" s="2" t="s">
        <v>98</v>
      </c>
      <c r="H26" s="2" t="s">
        <v>99</v>
      </c>
      <c r="I26" s="2" t="s">
        <v>100</v>
      </c>
      <c r="J26" s="2" t="s">
        <v>101</v>
      </c>
      <c r="K26" s="2" t="s">
        <v>102</v>
      </c>
      <c r="L26" s="2" t="s">
        <v>103</v>
      </c>
    </row>
    <row r="27" customFormat="false" ht="15" hidden="false" customHeight="false" outlineLevel="0" collapsed="false">
      <c r="A27" s="0" t="s">
        <v>104</v>
      </c>
      <c r="C27" s="3" t="n">
        <v>7</v>
      </c>
      <c r="D27" s="3" t="n">
        <v>7</v>
      </c>
      <c r="E27" s="3" t="n">
        <v>8</v>
      </c>
      <c r="F27" s="3" t="n">
        <v>8</v>
      </c>
      <c r="G27" s="3" t="n">
        <v>7</v>
      </c>
      <c r="H27" s="3" t="n">
        <v>6</v>
      </c>
      <c r="I27" s="3" t="n">
        <v>5</v>
      </c>
      <c r="J27" s="3" t="n">
        <v>4</v>
      </c>
      <c r="K27" s="3" t="n">
        <v>3.5</v>
      </c>
      <c r="L27" s="3" t="n">
        <v>3</v>
      </c>
    </row>
    <row r="28" customFormat="false" ht="15" hidden="false" customHeight="false" outlineLevel="0" collapsed="false">
      <c r="A28" s="0" t="s">
        <v>105</v>
      </c>
      <c r="C28" s="3" t="n">
        <v>29</v>
      </c>
      <c r="D28" s="3" t="n">
        <v>29</v>
      </c>
      <c r="E28" s="3" t="n">
        <v>29.5</v>
      </c>
      <c r="F28" s="3" t="n">
        <v>30</v>
      </c>
      <c r="G28" s="3" t="n">
        <v>30</v>
      </c>
      <c r="H28" s="3" t="n">
        <v>30.5</v>
      </c>
      <c r="I28" s="3" t="n">
        <v>30.5</v>
      </c>
      <c r="J28" s="3" t="n">
        <v>31</v>
      </c>
      <c r="K28" s="3" t="n">
        <v>31</v>
      </c>
      <c r="L28" s="3" t="n">
        <v>31</v>
      </c>
    </row>
    <row r="29" customFormat="false" ht="15" hidden="false" customHeight="false" outlineLevel="0" collapsed="false">
      <c r="A29" s="0" t="s">
        <v>106</v>
      </c>
      <c r="C29" s="3" t="n">
        <v>4</v>
      </c>
      <c r="D29" s="3" t="n">
        <v>3.9</v>
      </c>
      <c r="E29" s="3" t="n">
        <v>3.8</v>
      </c>
      <c r="F29" s="3" t="n">
        <v>3.7</v>
      </c>
      <c r="G29" s="3" t="n">
        <v>3.6</v>
      </c>
      <c r="H29" s="3" t="n">
        <v>3.5</v>
      </c>
      <c r="I29" s="3" t="n">
        <v>3.4</v>
      </c>
      <c r="J29" s="3" t="n">
        <v>3.3</v>
      </c>
      <c r="K29" s="3" t="n">
        <v>3.2</v>
      </c>
      <c r="L29" s="3" t="n">
        <v>3</v>
      </c>
    </row>
    <row r="30" customFormat="false" ht="15" hidden="false" customHeight="false" outlineLevel="0" collapsed="false">
      <c r="A30" s="0" t="s">
        <v>107</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108</v>
      </c>
      <c r="C31" s="3" t="n">
        <v>1.4</v>
      </c>
      <c r="D31" s="3" t="n">
        <v>1.4</v>
      </c>
      <c r="E31" s="3" t="n">
        <v>1.4</v>
      </c>
      <c r="F31" s="3" t="n">
        <v>1.4</v>
      </c>
      <c r="G31" s="3" t="n">
        <v>1.4</v>
      </c>
      <c r="H31" s="3" t="n">
        <v>1.4</v>
      </c>
      <c r="I31" s="3" t="n">
        <v>1.4</v>
      </c>
      <c r="J31" s="3" t="n">
        <v>1.4</v>
      </c>
      <c r="K31" s="3" t="n">
        <v>1.4</v>
      </c>
      <c r="L31" s="3" t="n">
        <v>1.4</v>
      </c>
    </row>
    <row r="32" customFormat="false" ht="15" hidden="false" customHeight="false" outlineLevel="0" collapsed="false">
      <c r="A32" s="0" t="s">
        <v>109</v>
      </c>
      <c r="C32" s="3" t="n">
        <v>1.4</v>
      </c>
      <c r="D32" s="3" t="n">
        <v>1.4</v>
      </c>
      <c r="E32" s="3" t="n">
        <v>1.4</v>
      </c>
      <c r="F32" s="3" t="n">
        <v>1.4</v>
      </c>
      <c r="G32" s="3" t="n">
        <v>1.4</v>
      </c>
      <c r="H32" s="3" t="n">
        <v>1.4</v>
      </c>
      <c r="I32" s="3" t="n">
        <v>1.4</v>
      </c>
      <c r="J32" s="3" t="n">
        <v>1.4</v>
      </c>
      <c r="K32" s="3" t="n">
        <v>1.4</v>
      </c>
      <c r="L32" s="3" t="n">
        <v>1.4</v>
      </c>
    </row>
    <row r="33" customFormat="false" ht="15" hidden="false" customHeight="false" outlineLevel="0" collapsed="false">
      <c r="A33" s="0" t="s">
        <v>110</v>
      </c>
      <c r="C33" s="3" t="n">
        <v>21</v>
      </c>
      <c r="D33" s="3" t="n">
        <v>21</v>
      </c>
      <c r="E33" s="3" t="n">
        <v>21</v>
      </c>
      <c r="F33" s="3" t="n">
        <v>21</v>
      </c>
      <c r="G33" s="3" t="n">
        <v>21</v>
      </c>
      <c r="H33" s="3" t="n">
        <v>21</v>
      </c>
      <c r="I33" s="3" t="n">
        <v>21</v>
      </c>
      <c r="J33" s="3" t="n">
        <v>21</v>
      </c>
      <c r="K33" s="3" t="n">
        <v>21</v>
      </c>
      <c r="L33" s="3" t="n">
        <v>21</v>
      </c>
    </row>
    <row r="34" customFormat="false" ht="15" hidden="false" customHeight="false" outlineLevel="0" collapsed="false">
      <c r="A34" s="0" t="s">
        <v>111</v>
      </c>
      <c r="B34" s="3" t="n">
        <v>10</v>
      </c>
    </row>
    <row r="35" customFormat="false" ht="15" hidden="false" customHeight="false" outlineLevel="0" collapsed="false">
      <c r="A35" s="0" t="s">
        <v>112</v>
      </c>
      <c r="B35" s="3" t="n">
        <v>2.5</v>
      </c>
    </row>
    <row r="36" customFormat="false" ht="15" hidden="false" customHeight="false" outlineLevel="0" collapsed="false">
      <c r="A36" s="0" t="s">
        <v>113</v>
      </c>
      <c r="B36" s="3" t="n">
        <v>15</v>
      </c>
    </row>
    <row r="37" customFormat="false" ht="15" hidden="false" customHeight="false" outlineLevel="0" collapsed="false">
      <c r="A37" s="0" t="s">
        <v>114</v>
      </c>
      <c r="B37" s="3" t="n">
        <v>5</v>
      </c>
    </row>
    <row r="38" customFormat="false" ht="15" hidden="false" customHeight="false" outlineLevel="0" collapsed="false">
      <c r="A38" s="0" t="s">
        <v>115</v>
      </c>
      <c r="B38" s="3" t="n">
        <v>0.5</v>
      </c>
    </row>
    <row r="40" customFormat="false" ht="15" hidden="false" customHeight="false" outlineLevel="0" collapsed="false">
      <c r="A40" s="2" t="s">
        <v>117</v>
      </c>
      <c r="C40" s="2" t="s">
        <v>94</v>
      </c>
      <c r="D40" s="2" t="s">
        <v>95</v>
      </c>
      <c r="E40" s="2" t="s">
        <v>96</v>
      </c>
      <c r="F40" s="2" t="s">
        <v>97</v>
      </c>
      <c r="G40" s="2" t="s">
        <v>98</v>
      </c>
      <c r="H40" s="2" t="s">
        <v>99</v>
      </c>
      <c r="I40" s="2" t="s">
        <v>100</v>
      </c>
      <c r="J40" s="2" t="s">
        <v>101</v>
      </c>
      <c r="K40" s="2" t="s">
        <v>102</v>
      </c>
      <c r="L40" s="2" t="s">
        <v>103</v>
      </c>
    </row>
    <row r="41" customFormat="false" ht="15" hidden="false" customHeight="false" outlineLevel="0" collapsed="false">
      <c r="A41" s="0" t="s">
        <v>104</v>
      </c>
      <c r="C41" s="3" t="n">
        <v>8</v>
      </c>
      <c r="D41" s="3" t="n">
        <v>11</v>
      </c>
      <c r="E41" s="3" t="n">
        <v>12</v>
      </c>
      <c r="F41" s="3" t="n">
        <v>11</v>
      </c>
      <c r="G41" s="3" t="n">
        <v>10</v>
      </c>
      <c r="H41" s="3" t="n">
        <v>8</v>
      </c>
      <c r="I41" s="3" t="n">
        <v>7</v>
      </c>
      <c r="J41" s="3" t="n">
        <v>6</v>
      </c>
      <c r="K41" s="3" t="n">
        <v>5</v>
      </c>
      <c r="L41" s="3" t="n">
        <v>4</v>
      </c>
    </row>
    <row r="42" customFormat="false" ht="15" hidden="false" customHeight="false" outlineLevel="0" collapsed="false">
      <c r="A42" s="0" t="s">
        <v>105</v>
      </c>
      <c r="C42" s="3" t="n">
        <v>29.5</v>
      </c>
      <c r="D42" s="3" t="n">
        <v>30.5</v>
      </c>
      <c r="E42" s="3" t="n">
        <v>31.5</v>
      </c>
      <c r="F42" s="3" t="n">
        <v>32</v>
      </c>
      <c r="G42" s="3" t="n">
        <v>32.5</v>
      </c>
      <c r="H42" s="3" t="n">
        <v>33</v>
      </c>
      <c r="I42" s="3" t="n">
        <v>33</v>
      </c>
      <c r="J42" s="3" t="n">
        <v>33.5</v>
      </c>
      <c r="K42" s="3" t="n">
        <v>33.5</v>
      </c>
      <c r="L42" s="3" t="n">
        <v>33.5</v>
      </c>
    </row>
    <row r="43" customFormat="false" ht="15" hidden="false" customHeight="false" outlineLevel="0" collapsed="false">
      <c r="A43" s="0" t="s">
        <v>106</v>
      </c>
      <c r="C43" s="3" t="n">
        <v>4</v>
      </c>
      <c r="D43" s="3" t="n">
        <v>3.9</v>
      </c>
      <c r="E43" s="3" t="n">
        <v>3.8</v>
      </c>
      <c r="F43" s="3" t="n">
        <v>3.7</v>
      </c>
      <c r="G43" s="3" t="n">
        <v>3.6</v>
      </c>
      <c r="H43" s="3" t="n">
        <v>3.5</v>
      </c>
      <c r="I43" s="3" t="n">
        <v>3.4</v>
      </c>
      <c r="J43" s="3" t="n">
        <v>3.3</v>
      </c>
      <c r="K43" s="3" t="n">
        <v>3.2</v>
      </c>
      <c r="L43" s="3" t="n">
        <v>3</v>
      </c>
    </row>
    <row r="44" customFormat="false" ht="15" hidden="false" customHeight="false" outlineLevel="0" collapsed="false">
      <c r="A44" s="0" t="s">
        <v>107</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108</v>
      </c>
      <c r="C45" s="3" t="n">
        <v>1.4</v>
      </c>
      <c r="D45" s="3" t="n">
        <v>1.4</v>
      </c>
      <c r="E45" s="3" t="n">
        <v>1.4</v>
      </c>
      <c r="F45" s="3" t="n">
        <v>1.4</v>
      </c>
      <c r="G45" s="3" t="n">
        <v>1.4</v>
      </c>
      <c r="H45" s="3" t="n">
        <v>1.4</v>
      </c>
      <c r="I45" s="3" t="n">
        <v>1.4</v>
      </c>
      <c r="J45" s="3" t="n">
        <v>1.4</v>
      </c>
      <c r="K45" s="3" t="n">
        <v>1.4</v>
      </c>
      <c r="L45" s="3" t="n">
        <v>1.4</v>
      </c>
    </row>
    <row r="46" customFormat="false" ht="15" hidden="false" customHeight="false" outlineLevel="0" collapsed="false">
      <c r="A46" s="0" t="s">
        <v>109</v>
      </c>
      <c r="C46" s="3" t="n">
        <v>1.5</v>
      </c>
      <c r="D46" s="3" t="n">
        <v>1.5</v>
      </c>
      <c r="E46" s="3" t="n">
        <v>1.5</v>
      </c>
      <c r="F46" s="3" t="n">
        <v>1.5</v>
      </c>
      <c r="G46" s="3" t="n">
        <v>1.5</v>
      </c>
      <c r="H46" s="3" t="n">
        <v>1.4</v>
      </c>
      <c r="I46" s="3" t="n">
        <v>1.4</v>
      </c>
      <c r="J46" s="3" t="n">
        <v>1.4</v>
      </c>
      <c r="K46" s="3" t="n">
        <v>1.4</v>
      </c>
      <c r="L46" s="3" t="n">
        <v>1.4</v>
      </c>
    </row>
    <row r="47" customFormat="false" ht="15" hidden="false" customHeight="false" outlineLevel="0" collapsed="false">
      <c r="A47" s="0" t="s">
        <v>110</v>
      </c>
      <c r="C47" s="3" t="n">
        <v>21</v>
      </c>
      <c r="D47" s="3" t="n">
        <v>21</v>
      </c>
      <c r="E47" s="3" t="n">
        <v>21</v>
      </c>
      <c r="F47" s="3" t="n">
        <v>21</v>
      </c>
      <c r="G47" s="3" t="n">
        <v>21</v>
      </c>
      <c r="H47" s="3" t="n">
        <v>21</v>
      </c>
      <c r="I47" s="3" t="n">
        <v>21</v>
      </c>
      <c r="J47" s="3" t="n">
        <v>21</v>
      </c>
      <c r="K47" s="3" t="n">
        <v>21</v>
      </c>
      <c r="L47" s="3" t="n">
        <v>21</v>
      </c>
    </row>
    <row r="48" customFormat="false" ht="15" hidden="false" customHeight="false" outlineLevel="0" collapsed="false">
      <c r="A48" s="0" t="s">
        <v>111</v>
      </c>
      <c r="B48" s="3" t="n">
        <v>10</v>
      </c>
    </row>
    <row r="49" customFormat="false" ht="15" hidden="false" customHeight="false" outlineLevel="0" collapsed="false">
      <c r="A49" s="0" t="s">
        <v>112</v>
      </c>
      <c r="B49" s="3" t="n">
        <v>3</v>
      </c>
    </row>
    <row r="50" customFormat="false" ht="15" hidden="false" customHeight="false" outlineLevel="0" collapsed="false">
      <c r="A50" s="0" t="s">
        <v>113</v>
      </c>
      <c r="B50" s="3" t="n">
        <v>15</v>
      </c>
    </row>
    <row r="51" customFormat="false" ht="15" hidden="false" customHeight="false" outlineLevel="0" collapsed="false">
      <c r="A51" s="0" t="s">
        <v>114</v>
      </c>
      <c r="B51" s="3" t="n">
        <v>10</v>
      </c>
    </row>
    <row r="52" customFormat="false" ht="15" hidden="false" customHeight="false" outlineLevel="0" collapsed="false">
      <c r="A52" s="0" t="s">
        <v>115</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118</v>
      </c>
    </row>
    <row r="3" customFormat="false" ht="15" hidden="false" customHeight="false" outlineLevel="0" collapsed="false">
      <c r="A3" s="0" t="s">
        <v>119</v>
      </c>
      <c r="B3" s="0" t="s">
        <v>80</v>
      </c>
      <c r="C3" s="2" t="s">
        <v>94</v>
      </c>
      <c r="D3" s="2" t="s">
        <v>95</v>
      </c>
      <c r="E3" s="2" t="s">
        <v>96</v>
      </c>
      <c r="F3" s="2" t="s">
        <v>97</v>
      </c>
      <c r="G3" s="2" t="s">
        <v>98</v>
      </c>
      <c r="H3" s="2" t="s">
        <v>99</v>
      </c>
      <c r="I3" s="2" t="s">
        <v>100</v>
      </c>
      <c r="J3" s="2" t="s">
        <v>101</v>
      </c>
      <c r="K3" s="2" t="s">
        <v>102</v>
      </c>
      <c r="L3" s="2" t="s">
        <v>103</v>
      </c>
    </row>
    <row r="4" customFormat="false" ht="15" hidden="false" customHeight="false" outlineLevel="0" collapsed="false">
      <c r="A4" s="0" t="s">
        <v>120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104</v>
      </c>
      <c r="C5" s="4" t="n">
        <f aca="false">Assumptions!C13</f>
        <v>5</v>
      </c>
      <c r="D5" s="4" t="n">
        <f aca="false">Assumptions!D13</f>
        <v>2</v>
      </c>
      <c r="E5" s="4" t="n">
        <f aca="false">Assumptions!E13</f>
        <v>2</v>
      </c>
      <c r="F5" s="4" t="n">
        <f aca="false">Assumptions!F13</f>
        <v>3</v>
      </c>
      <c r="G5" s="4" t="n">
        <f aca="false">Assumptions!G13</f>
        <v>3</v>
      </c>
      <c r="H5" s="4" t="n">
        <f aca="false">Assumptions!H13</f>
        <v>3</v>
      </c>
      <c r="I5" s="4" t="n">
        <f aca="false">Assumptions!I13</f>
        <v>3</v>
      </c>
      <c r="J5" s="4" t="n">
        <f aca="false">Assumptions!J13</f>
        <v>2.5</v>
      </c>
      <c r="K5" s="4" t="n">
        <f aca="false">Assumptions!K13</f>
        <v>2.5</v>
      </c>
      <c r="L5" s="4" t="n">
        <f aca="false">Assumptions!L13</f>
        <v>2.5</v>
      </c>
    </row>
    <row r="6" customFormat="false" ht="15" hidden="false" customHeight="false" outlineLevel="0" collapsed="false">
      <c r="A6" s="0" t="s">
        <v>38</v>
      </c>
      <c r="B6" s="3" t="n">
        <v>62409</v>
      </c>
      <c r="C6" s="0" t="n">
        <f aca="false">B6*(1+C5/100)</f>
        <v>65529.45</v>
      </c>
      <c r="D6" s="0" t="n">
        <f aca="false">C6*(1+D5/100)</f>
        <v>66840.039</v>
      </c>
      <c r="E6" s="0" t="n">
        <f aca="false">D6*(1+E5/100)</f>
        <v>68176.83978</v>
      </c>
      <c r="F6" s="0" t="n">
        <f aca="false">E6*(1+F5/100)</f>
        <v>70222.1449734</v>
      </c>
      <c r="G6" s="0" t="n">
        <f aca="false">F6*(1+G5/100)</f>
        <v>72328.809322602</v>
      </c>
      <c r="H6" s="0" t="n">
        <f aca="false">G6*(1+H5/100)</f>
        <v>74498.6736022801</v>
      </c>
      <c r="I6" s="0" t="n">
        <f aca="false">H6*(1+I5/100)</f>
        <v>76733.6338103485</v>
      </c>
      <c r="J6" s="0" t="n">
        <f aca="false">I6*(1+J5/100)</f>
        <v>78651.9746556072</v>
      </c>
      <c r="K6" s="0" t="n">
        <f aca="false">J6*(1+K5/100)</f>
        <v>80618.2740219974</v>
      </c>
      <c r="L6" s="0" t="n">
        <f aca="false">K6*(1+L5/100)</f>
        <v>82633.7308725473</v>
      </c>
    </row>
    <row r="7" customFormat="false" ht="15" hidden="false" customHeight="false" outlineLevel="0" collapsed="false">
      <c r="A7" s="0" t="s">
        <v>105</v>
      </c>
      <c r="C7" s="4" t="n">
        <f aca="false">Assumptions!C14</f>
        <v>28</v>
      </c>
      <c r="D7" s="4" t="n">
        <f aca="false">Assumptions!D14</f>
        <v>26</v>
      </c>
      <c r="E7" s="4" t="n">
        <f aca="false">Assumptions!E14</f>
        <v>25</v>
      </c>
      <c r="F7" s="4" t="n">
        <f aca="false">Assumptions!F14</f>
        <v>24.5</v>
      </c>
      <c r="G7" s="4" t="n">
        <f aca="false">Assumptions!G14</f>
        <v>24</v>
      </c>
      <c r="H7" s="4" t="n">
        <f aca="false">Assumptions!H14</f>
        <v>24</v>
      </c>
      <c r="I7" s="4" t="n">
        <f aca="false">Assumptions!I14</f>
        <v>24</v>
      </c>
      <c r="J7" s="4" t="n">
        <f aca="false">Assumptions!J14</f>
        <v>24</v>
      </c>
      <c r="K7" s="4" t="n">
        <f aca="false">Assumptions!K14</f>
        <v>24</v>
      </c>
      <c r="L7" s="4" t="n">
        <f aca="false">Assumptions!L14</f>
        <v>24</v>
      </c>
    </row>
    <row r="8" customFormat="false" ht="15" hidden="false" customHeight="false" outlineLevel="0" collapsed="false">
      <c r="A8" s="0" t="s">
        <v>44</v>
      </c>
      <c r="C8" s="0" t="n">
        <f aca="false">C6*C7/100</f>
        <v>18348.246</v>
      </c>
      <c r="D8" s="0" t="n">
        <f aca="false">D6*D7/100</f>
        <v>17378.41014</v>
      </c>
      <c r="E8" s="0" t="n">
        <f aca="false">E6*E7/100</f>
        <v>17044.209945</v>
      </c>
      <c r="F8" s="0" t="n">
        <f aca="false">F6*F7/100</f>
        <v>17204.425518483</v>
      </c>
      <c r="G8" s="0" t="n">
        <f aca="false">G6*G7/100</f>
        <v>17358.9142374245</v>
      </c>
      <c r="H8" s="0" t="n">
        <f aca="false">H6*H7/100</f>
        <v>17879.6816645472</v>
      </c>
      <c r="I8" s="0" t="n">
        <f aca="false">I6*I7/100</f>
        <v>18416.0721144836</v>
      </c>
      <c r="J8" s="0" t="n">
        <f aca="false">J6*J7/100</f>
        <v>18876.4739173457</v>
      </c>
      <c r="K8" s="0" t="n">
        <f aca="false">K6*K7/100</f>
        <v>19348.3857652794</v>
      </c>
      <c r="L8" s="0" t="n">
        <f aca="false">L6*L7/100</f>
        <v>19832.0954094113</v>
      </c>
    </row>
    <row r="9" customFormat="false" ht="15" hidden="false" customHeight="false" outlineLevel="0" collapsed="false">
      <c r="A9" s="0" t="s">
        <v>106</v>
      </c>
      <c r="C9" s="4" t="n">
        <f aca="false">Assumptions!C15</f>
        <v>4.2</v>
      </c>
      <c r="D9" s="4" t="n">
        <f aca="false">Assumptions!D15</f>
        <v>4.2</v>
      </c>
      <c r="E9" s="4" t="n">
        <f aca="false">Assumptions!E15</f>
        <v>4.1</v>
      </c>
      <c r="F9" s="4" t="n">
        <f aca="false">Assumptions!F15</f>
        <v>4</v>
      </c>
      <c r="G9" s="4" t="n">
        <f aca="false">Assumptions!G15</f>
        <v>3.9</v>
      </c>
      <c r="H9" s="4" t="n">
        <f aca="false">Assumptions!H15</f>
        <v>3.8</v>
      </c>
      <c r="I9" s="4" t="n">
        <f aca="false">Assumptions!I15</f>
        <v>3.7</v>
      </c>
      <c r="J9" s="4" t="n">
        <f aca="false">Assumptions!J15</f>
        <v>3.6</v>
      </c>
      <c r="K9" s="4" t="n">
        <f aca="false">Assumptions!K15</f>
        <v>3.5</v>
      </c>
      <c r="L9" s="4" t="n">
        <f aca="false">Assumptions!L15</f>
        <v>3.5</v>
      </c>
    </row>
    <row r="10" customFormat="false" ht="15" hidden="false" customHeight="false" outlineLevel="0" collapsed="false">
      <c r="A10" s="0" t="s">
        <v>121</v>
      </c>
      <c r="C10" s="0" t="n">
        <f aca="false">-C6*C9/100</f>
        <v>-2752.2369</v>
      </c>
      <c r="D10" s="0" t="n">
        <f aca="false">-D6*D9/100</f>
        <v>-2807.281638</v>
      </c>
      <c r="E10" s="0" t="n">
        <f aca="false">-E6*E9/100</f>
        <v>-2795.25043098</v>
      </c>
      <c r="F10" s="0" t="n">
        <f aca="false">-F6*F9/100</f>
        <v>-2808.885798936</v>
      </c>
      <c r="G10" s="0" t="n">
        <f aca="false">-G6*G9/100</f>
        <v>-2820.82356358148</v>
      </c>
      <c r="H10" s="0" t="n">
        <f aca="false">-H6*H9/100</f>
        <v>-2830.94959688664</v>
      </c>
      <c r="I10" s="0" t="n">
        <f aca="false">-I6*I9/100</f>
        <v>-2839.14445098289</v>
      </c>
      <c r="J10" s="0" t="n">
        <f aca="false">-J6*J9/100</f>
        <v>-2831.47108760186</v>
      </c>
      <c r="K10" s="0" t="n">
        <f aca="false">-K6*K9/100</f>
        <v>-2821.63959076991</v>
      </c>
      <c r="L10" s="0" t="n">
        <f aca="false">-L6*L9/100</f>
        <v>-2892.18058053916</v>
      </c>
    </row>
    <row r="11" customFormat="false" ht="15" hidden="false" customHeight="false" outlineLevel="0" collapsed="false">
      <c r="A11" s="0" t="s">
        <v>122</v>
      </c>
      <c r="C11" s="0" t="n">
        <f aca="false">C8+C10+C24</f>
        <v>15596.0091</v>
      </c>
      <c r="D11" s="0" t="n">
        <f aca="false">D8+D10+D24</f>
        <v>14571.128502</v>
      </c>
      <c r="E11" s="0" t="n">
        <f aca="false">E8+E10+E24</f>
        <v>14248.95951402</v>
      </c>
      <c r="F11" s="0" t="n">
        <f aca="false">F8+F10+F24</f>
        <v>14395.539719547</v>
      </c>
      <c r="G11" s="0" t="n">
        <f aca="false">G8+G10+G24</f>
        <v>14538.090673843</v>
      </c>
      <c r="H11" s="0" t="n">
        <f aca="false">H8+H10+H24</f>
        <v>15048.7320676606</v>
      </c>
      <c r="I11" s="0" t="n">
        <f aca="false">I8+I10+I24</f>
        <v>15576.9276635007</v>
      </c>
      <c r="J11" s="0" t="n">
        <f aca="false">J8+J10+J24</f>
        <v>16045.0028297439</v>
      </c>
      <c r="K11" s="0" t="n">
        <f aca="false">K8+K10+K24</f>
        <v>16526.7461745095</v>
      </c>
      <c r="L11" s="0" t="n">
        <f aca="false">L8+L10+L24</f>
        <v>16939.9148288722</v>
      </c>
    </row>
    <row r="12" customFormat="false" ht="15" hidden="false" customHeight="false" outlineLevel="0" collapsed="false">
      <c r="A12" s="0" t="s">
        <v>123</v>
      </c>
      <c r="C12" s="4" t="n">
        <f aca="false">-C6*Assumptions!C17/100</f>
        <v>-917.4123</v>
      </c>
      <c r="D12" s="4" t="n">
        <f aca="false">-D6*Assumptions!D17/100</f>
        <v>-935.760546</v>
      </c>
      <c r="E12" s="4" t="n">
        <f aca="false">-E6*Assumptions!E17/100</f>
        <v>-954.47575692</v>
      </c>
      <c r="F12" s="4" t="n">
        <f aca="false">-F6*Assumptions!F17/100</f>
        <v>-983.1100296276</v>
      </c>
      <c r="G12" s="4" t="n">
        <f aca="false">-G6*Assumptions!G17/100</f>
        <v>-1012.60333051643</v>
      </c>
      <c r="H12" s="4" t="n">
        <f aca="false">-H6*Assumptions!H17/100</f>
        <v>-1042.98143043192</v>
      </c>
      <c r="I12" s="4" t="n">
        <f aca="false">-I6*Assumptions!I17/100</f>
        <v>-1074.27087334488</v>
      </c>
      <c r="J12" s="4" t="n">
        <f aca="false">-J6*Assumptions!J17/100</f>
        <v>-1101.1276451785</v>
      </c>
      <c r="K12" s="4" t="n">
        <f aca="false">-K6*Assumptions!K17/100</f>
        <v>-1128.65583630796</v>
      </c>
      <c r="L12" s="4" t="n">
        <f aca="false">-L6*Assumptions!L17/100</f>
        <v>-1156.87223221566</v>
      </c>
    </row>
    <row r="13" customFormat="false" ht="15" hidden="false" customHeight="false" outlineLevel="0" collapsed="false">
      <c r="A13" s="0" t="s">
        <v>124</v>
      </c>
      <c r="C13" s="0" t="n">
        <f aca="false">C11+C12</f>
        <v>14678.5968</v>
      </c>
      <c r="D13" s="0" t="n">
        <f aca="false">D11+D12</f>
        <v>13635.367956</v>
      </c>
      <c r="E13" s="0" t="n">
        <f aca="false">E11+E12</f>
        <v>13294.4837571</v>
      </c>
      <c r="F13" s="0" t="n">
        <f aca="false">F11+F12</f>
        <v>13412.4296899194</v>
      </c>
      <c r="G13" s="0" t="n">
        <f aca="false">G11+G12</f>
        <v>13525.4873433266</v>
      </c>
      <c r="H13" s="0" t="n">
        <f aca="false">H11+H12</f>
        <v>14005.7506372287</v>
      </c>
      <c r="I13" s="0" t="n">
        <f aca="false">I11+I12</f>
        <v>14502.6567901559</v>
      </c>
      <c r="J13" s="0" t="n">
        <f aca="false">J11+J12</f>
        <v>14943.8751845654</v>
      </c>
      <c r="K13" s="0" t="n">
        <f aca="false">K11+K12</f>
        <v>15398.0903382015</v>
      </c>
      <c r="L13" s="0" t="n">
        <f aca="false">L11+L12</f>
        <v>15783.0425966565</v>
      </c>
    </row>
    <row r="14" customFormat="false" ht="15" hidden="false" customHeight="false" outlineLevel="0" collapsed="false">
      <c r="A14" s="0" t="s">
        <v>110</v>
      </c>
      <c r="C14" s="4" t="n">
        <f aca="false">Assumptions!C19</f>
        <v>22</v>
      </c>
      <c r="D14" s="4" t="n">
        <f aca="false">Assumptions!D19</f>
        <v>22</v>
      </c>
      <c r="E14" s="4" t="n">
        <f aca="false">Assumptions!E19</f>
        <v>22</v>
      </c>
      <c r="F14" s="4" t="n">
        <f aca="false">Assumptions!F19</f>
        <v>22</v>
      </c>
      <c r="G14" s="4" t="n">
        <f aca="false">Assumptions!G19</f>
        <v>22</v>
      </c>
      <c r="H14" s="4" t="n">
        <f aca="false">Assumptions!H19</f>
        <v>22</v>
      </c>
      <c r="I14" s="4" t="n">
        <f aca="false">Assumptions!I19</f>
        <v>22</v>
      </c>
      <c r="J14" s="4" t="n">
        <f aca="false">Assumptions!J19</f>
        <v>22</v>
      </c>
      <c r="K14" s="4" t="n">
        <f aca="false">Assumptions!K19</f>
        <v>22</v>
      </c>
      <c r="L14" s="4" t="n">
        <f aca="false">Assumptions!L19</f>
        <v>22</v>
      </c>
    </row>
    <row r="15" customFormat="false" ht="15" hidden="false" customHeight="false" outlineLevel="0" collapsed="false">
      <c r="A15" s="0" t="s">
        <v>125</v>
      </c>
      <c r="C15" s="0" t="n">
        <f aca="false">C13-MAX(0,C13)*C14/100</f>
        <v>11449.305504</v>
      </c>
      <c r="D15" s="0" t="n">
        <f aca="false">D13-MAX(0,D13)*D14/100</f>
        <v>10635.58700568</v>
      </c>
      <c r="E15" s="0" t="n">
        <f aca="false">E13-MAX(0,E13)*E14/100</f>
        <v>10369.697330538</v>
      </c>
      <c r="F15" s="0" t="n">
        <f aca="false">F13-MAX(0,F13)*F14/100</f>
        <v>10461.6951581371</v>
      </c>
      <c r="G15" s="0" t="n">
        <f aca="false">G13-MAX(0,G13)*G14/100</f>
        <v>10549.8801277947</v>
      </c>
      <c r="H15" s="0" t="n">
        <f aca="false">H13-MAX(0,H13)*H14/100</f>
        <v>10924.4854970384</v>
      </c>
      <c r="I15" s="0" t="n">
        <f aca="false">I13-MAX(0,I13)*I14/100</f>
        <v>11312.0722963216</v>
      </c>
      <c r="J15" s="0" t="n">
        <f aca="false">J13-MAX(0,J13)*J14/100</f>
        <v>11656.222643961</v>
      </c>
      <c r="K15" s="0" t="n">
        <f aca="false">K13-MAX(0,K13)*K14/100</f>
        <v>12010.5104637972</v>
      </c>
      <c r="L15" s="0" t="n">
        <f aca="false">L13-MAX(0,L13)*L14/100</f>
        <v>12310.7732253921</v>
      </c>
    </row>
    <row r="16" customFormat="false" ht="15" hidden="false" customHeight="false" outlineLevel="0" collapsed="false">
      <c r="A16" s="0" t="s">
        <v>126</v>
      </c>
      <c r="C16" s="0" t="n">
        <f aca="false">-C12</f>
        <v>917.4123</v>
      </c>
      <c r="D16" s="0" t="n">
        <f aca="false">-D12</f>
        <v>935.760546</v>
      </c>
      <c r="E16" s="0" t="n">
        <f aca="false">-E12</f>
        <v>954.47575692</v>
      </c>
      <c r="F16" s="0" t="n">
        <f aca="false">-F12</f>
        <v>983.1100296276</v>
      </c>
      <c r="G16" s="0" t="n">
        <f aca="false">-G12</f>
        <v>1012.60333051643</v>
      </c>
      <c r="H16" s="0" t="n">
        <f aca="false">-H12</f>
        <v>1042.98143043192</v>
      </c>
      <c r="I16" s="0" t="n">
        <f aca="false">-I12</f>
        <v>1074.27087334488</v>
      </c>
      <c r="J16" s="0" t="n">
        <f aca="false">-J12</f>
        <v>1101.1276451785</v>
      </c>
      <c r="K16" s="0" t="n">
        <f aca="false">-K12</f>
        <v>1128.65583630796</v>
      </c>
      <c r="L16" s="0" t="n">
        <f aca="false">-L12</f>
        <v>1156.87223221566</v>
      </c>
    </row>
    <row r="17" customFormat="false" ht="15" hidden="false" customHeight="false" outlineLevel="0" collapsed="false">
      <c r="A17" s="0" t="s">
        <v>127</v>
      </c>
      <c r="C17" s="4" t="n">
        <f aca="false">-C6*Assumptions!C18/100</f>
        <v>-851.88285</v>
      </c>
      <c r="D17" s="4" t="n">
        <f aca="false">-D6*Assumptions!D18/100</f>
        <v>-868.920507</v>
      </c>
      <c r="E17" s="4" t="n">
        <f aca="false">-E6*Assumptions!E18/100</f>
        <v>-886.29891714</v>
      </c>
      <c r="F17" s="4" t="n">
        <f aca="false">-F6*Assumptions!F18/100</f>
        <v>-912.8878846542</v>
      </c>
      <c r="G17" s="4" t="n">
        <f aca="false">-G6*Assumptions!G18/100</f>
        <v>-940.274521193826</v>
      </c>
      <c r="H17" s="4" t="n">
        <f aca="false">-H6*Assumptions!H18/100</f>
        <v>-968.482756829641</v>
      </c>
      <c r="I17" s="4" t="n">
        <f aca="false">-I6*Assumptions!I18/100</f>
        <v>-997.53723953453</v>
      </c>
      <c r="J17" s="4" t="n">
        <f aca="false">-J6*Assumptions!J18/100</f>
        <v>-1022.47567052289</v>
      </c>
      <c r="K17" s="4" t="n">
        <f aca="false">-K6*Assumptions!K18/100</f>
        <v>-1048.03756228597</v>
      </c>
      <c r="L17" s="4" t="n">
        <f aca="false">-L6*Assumptions!L18/100</f>
        <v>-1074.23850134311</v>
      </c>
    </row>
    <row r="18" customFormat="false" ht="15" hidden="false" customHeight="false" outlineLevel="0" collapsed="false">
      <c r="A18" s="0" t="s">
        <v>128</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129</v>
      </c>
      <c r="C19" s="0" t="n">
        <f aca="false">C15+C16+C17+C18</f>
        <v>11514.834954</v>
      </c>
      <c r="D19" s="0" t="n">
        <f aca="false">D15+D16+D17+D18</f>
        <v>10702.42704468</v>
      </c>
      <c r="E19" s="0" t="n">
        <f aca="false">E15+E16+E17+E18</f>
        <v>10437.874170318</v>
      </c>
      <c r="F19" s="0" t="n">
        <f aca="false">F15+F16+F17+F18</f>
        <v>10531.9173031105</v>
      </c>
      <c r="G19" s="0" t="n">
        <f aca="false">G15+G16+G17+G18</f>
        <v>10622.2089371173</v>
      </c>
      <c r="H19" s="0" t="n">
        <f aca="false">H15+H16+H17+H18</f>
        <v>10998.9841706406</v>
      </c>
      <c r="I19" s="0" t="n">
        <f aca="false">I15+I16+I17+I18</f>
        <v>11388.8059301319</v>
      </c>
      <c r="J19" s="0" t="n">
        <f aca="false">J15+J16+J17+J18</f>
        <v>11734.8746186166</v>
      </c>
      <c r="K19" s="0" t="n">
        <f aca="false">K15+K16+K17+K18</f>
        <v>12091.1287378192</v>
      </c>
      <c r="L19" s="0" t="n">
        <f aca="false">L15+L16+L17+L18</f>
        <v>12393.4069562646</v>
      </c>
    </row>
    <row r="20" customFormat="false" ht="15" hidden="false" customHeight="false" outlineLevel="0" collapsed="false">
      <c r="A20" s="0" t="s">
        <v>130</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131</v>
      </c>
      <c r="C21" s="0" t="n">
        <f aca="false">C19*C20</f>
        <v>10468.0317763636</v>
      </c>
      <c r="D21" s="0" t="n">
        <f aca="false">D19*D20</f>
        <v>8844.98102866116</v>
      </c>
      <c r="E21" s="0" t="n">
        <f aca="false">E19*E20</f>
        <v>7842.12935410819</v>
      </c>
      <c r="F21" s="0" t="n">
        <f aca="false">F19*F20</f>
        <v>7193.4412288167</v>
      </c>
      <c r="G21" s="0" t="n">
        <f aca="false">G19*G20</f>
        <v>6595.55602704567</v>
      </c>
      <c r="H21" s="0" t="n">
        <f aca="false">H19*H20</f>
        <v>6208.6398214008</v>
      </c>
      <c r="I21" s="0" t="n">
        <f aca="false">I19*I20</f>
        <v>5844.25822000121</v>
      </c>
      <c r="J21" s="0" t="n">
        <f aca="false">J19*J20</f>
        <v>5474.40561542052</v>
      </c>
      <c r="K21" s="0" t="n">
        <f aca="false">K19*K20</f>
        <v>5127.81890114421</v>
      </c>
      <c r="L21" s="0" t="n">
        <f aca="false">L19*L20</f>
        <v>4778.19488515711</v>
      </c>
    </row>
    <row r="23" customFormat="false" ht="15" hidden="false" customHeight="false" outlineLevel="0" collapsed="false">
      <c r="A23" s="0" t="s">
        <v>107</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132</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133</v>
      </c>
    </row>
    <row r="27" customFormat="false" ht="15" hidden="false" customHeight="false" outlineLevel="0" collapsed="false">
      <c r="A27" s="0" t="s">
        <v>111</v>
      </c>
      <c r="B27" s="4" t="n">
        <f aca="false">Assumptions!$B$20</f>
        <v>10</v>
      </c>
    </row>
    <row r="28" customFormat="false" ht="15" hidden="false" customHeight="false" outlineLevel="0" collapsed="false">
      <c r="A28" s="0" t="s">
        <v>112</v>
      </c>
      <c r="B28" s="4" t="n">
        <f aca="false">Assumptions!$B$21</f>
        <v>2</v>
      </c>
    </row>
    <row r="29" customFormat="false" ht="15" hidden="false" customHeight="false" outlineLevel="0" collapsed="false">
      <c r="A29" s="0" t="s">
        <v>113</v>
      </c>
      <c r="B29" s="4" t="n">
        <f aca="false">Assumptions!$B$22</f>
        <v>15</v>
      </c>
    </row>
    <row r="30" customFormat="false" ht="15" hidden="false" customHeight="false" outlineLevel="0" collapsed="false">
      <c r="A30" s="0" t="s">
        <v>134</v>
      </c>
      <c r="B30" s="0" t="n">
        <f aca="false">SUM(C21:L21)</f>
        <v>68377.4568581192</v>
      </c>
    </row>
    <row r="31" customFormat="false" ht="15" hidden="false" customHeight="false" outlineLevel="0" collapsed="false">
      <c r="A31" s="0" t="s">
        <v>135</v>
      </c>
      <c r="B31" s="0" t="n">
        <f aca="false">L19</f>
        <v>12393.4069562646</v>
      </c>
    </row>
    <row r="32" customFormat="false" ht="15" hidden="false" customHeight="false" outlineLevel="0" collapsed="false">
      <c r="A32" s="0" t="s">
        <v>136</v>
      </c>
      <c r="B32" s="0" t="n">
        <f aca="false">IF(B27&gt;B28,B31*(1+B28/100)/((B27-B28)/100),B31*B29)</f>
        <v>158015.938692374</v>
      </c>
    </row>
    <row r="33" customFormat="false" ht="15" hidden="false" customHeight="false" outlineLevel="0" collapsed="false">
      <c r="A33" s="0" t="s">
        <v>137</v>
      </c>
      <c r="B33" s="0" t="n">
        <f aca="false">B31*B29</f>
        <v>185901.10434397</v>
      </c>
    </row>
    <row r="34" customFormat="false" ht="15" hidden="false" customHeight="false" outlineLevel="0" collapsed="false">
      <c r="A34" s="0" t="s">
        <v>138</v>
      </c>
      <c r="B34" s="0" t="n">
        <f aca="false">MAX(0,MIN(B32,B33))</f>
        <v>158015.938692374</v>
      </c>
    </row>
    <row r="35" customFormat="false" ht="15" hidden="false" customHeight="false" outlineLevel="0" collapsed="false">
      <c r="A35" s="0" t="s">
        <v>139</v>
      </c>
      <c r="B35" s="0" t="n">
        <f aca="false">B34/(1+B27/100)^L4</f>
        <v>60921.9847857531</v>
      </c>
    </row>
    <row r="36" customFormat="false" ht="15" hidden="false" customHeight="false" outlineLevel="0" collapsed="false">
      <c r="A36" s="0" t="s">
        <v>140</v>
      </c>
      <c r="B36" s="0" t="n">
        <f aca="false">B30+B35</f>
        <v>129299.441643872</v>
      </c>
    </row>
    <row r="37" customFormat="false" ht="15" hidden="false" customHeight="false" outlineLevel="0" collapsed="false">
      <c r="A37" s="0" t="s">
        <v>141</v>
      </c>
      <c r="B37" s="0" t="n">
        <f aca="false">B36+Assumptions!$B$5-Assumptions!$B$4</f>
        <v>220771.441643872</v>
      </c>
    </row>
    <row r="38" customFormat="false" ht="15" hidden="false" customHeight="false" outlineLevel="0" collapsed="false">
      <c r="A38" s="0" t="s">
        <v>142</v>
      </c>
      <c r="B38" s="0" t="n">
        <f aca="false">B37/Assumptions!$B$3*Assumptions!$B$10</f>
        <v>393.591367413616</v>
      </c>
    </row>
    <row r="39" customFormat="false" ht="15" hidden="false" customHeight="false" outlineLevel="0" collapsed="false">
      <c r="A39" s="0" t="s">
        <v>143</v>
      </c>
      <c r="B39" s="4" t="n">
        <f aca="false">B38/Assumptions!$B$2-1</f>
        <v>0.250290239560405</v>
      </c>
    </row>
    <row r="41" customFormat="false" ht="15" hidden="false" customHeight="false" outlineLevel="0" collapsed="false">
      <c r="A41" s="0" t="s">
        <v>144</v>
      </c>
      <c r="B41" s="0" t="n">
        <f aca="false">SUMPRODUCT(-C10:L10/(1+$B$27/100)^C4:L4)</f>
        <v>17279.7712031738</v>
      </c>
    </row>
    <row r="42" customFormat="false" ht="15" hidden="false" customHeight="false" outlineLevel="0" collapsed="false">
      <c r="A42" s="0" t="s">
        <v>145</v>
      </c>
      <c r="B42" s="0" t="n">
        <f aca="false">IF(B27&gt;B28,-L10*(1+B28/100)/((B27-B28)/100),-L10*20)/(1+B27/100)^L4</f>
        <v>14217.0253867273</v>
      </c>
    </row>
    <row r="43" customFormat="false" ht="15" hidden="false" customHeight="false" outlineLevel="0" collapsed="false">
      <c r="A43" s="0" t="s">
        <v>146</v>
      </c>
      <c r="B43" s="0" t="n">
        <f aca="false">(B37+B41+B42)/Assumptions!$B$3*Assumptions!$B$10</f>
        <v>449.743862259236</v>
      </c>
    </row>
    <row r="45" customFormat="false" ht="15" hidden="false" customHeight="false" outlineLevel="0" collapsed="false">
      <c r="A45" s="0" t="s">
        <v>87</v>
      </c>
      <c r="B45" s="4" t="n">
        <f aca="false">Assumptions!$B$6</f>
        <v>15</v>
      </c>
    </row>
    <row r="46" customFormat="false" ht="15" hidden="false" customHeight="false" outlineLevel="0" collapsed="false">
      <c r="A46" s="0" t="s">
        <v>147</v>
      </c>
      <c r="B46" s="0" t="n">
        <f aca="false">MAX(0,MIN(IF(B45&gt;B28,B31*(1+B28/100)/((B45-B28)/100),B31*B29),B31*B29))</f>
        <v>97240.5776568456</v>
      </c>
    </row>
    <row r="47" customFormat="false" ht="15" hidden="false" customHeight="false" outlineLevel="0" collapsed="false">
      <c r="A47" s="0" t="s">
        <v>148</v>
      </c>
      <c r="B47" s="0" t="n">
        <f aca="false">(SUMPRODUCT(C19:L19/(1+B45/100)^C4:L4)+B46/(1+B45/100)^L4+Assumptions!$B$5-Assumptions!$B$4)/Assumptions!$B$3*Assumptions!$B$10</f>
        <v>305.131608481048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149</v>
      </c>
    </row>
    <row r="3" customFormat="false" ht="15" hidden="false" customHeight="false" outlineLevel="0" collapsed="false">
      <c r="A3" s="0" t="s">
        <v>119</v>
      </c>
      <c r="B3" s="0" t="s">
        <v>80</v>
      </c>
      <c r="C3" s="2" t="s">
        <v>94</v>
      </c>
      <c r="D3" s="2" t="s">
        <v>95</v>
      </c>
      <c r="E3" s="2" t="s">
        <v>96</v>
      </c>
      <c r="F3" s="2" t="s">
        <v>97</v>
      </c>
      <c r="G3" s="2" t="s">
        <v>98</v>
      </c>
      <c r="H3" s="2" t="s">
        <v>99</v>
      </c>
      <c r="I3" s="2" t="s">
        <v>100</v>
      </c>
      <c r="J3" s="2" t="s">
        <v>101</v>
      </c>
      <c r="K3" s="2" t="s">
        <v>102</v>
      </c>
      <c r="L3" s="2" t="s">
        <v>103</v>
      </c>
    </row>
    <row r="4" customFormat="false" ht="15" hidden="false" customHeight="false" outlineLevel="0" collapsed="false">
      <c r="A4" s="0" t="s">
        <v>120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104</v>
      </c>
      <c r="C5" s="4" t="n">
        <f aca="false">Assumptions!C27</f>
        <v>7</v>
      </c>
      <c r="D5" s="4" t="n">
        <f aca="false">Assumptions!D27</f>
        <v>7</v>
      </c>
      <c r="E5" s="4" t="n">
        <f aca="false">Assumptions!E27</f>
        <v>8</v>
      </c>
      <c r="F5" s="4" t="n">
        <f aca="false">Assumptions!F27</f>
        <v>8</v>
      </c>
      <c r="G5" s="4" t="n">
        <f aca="false">Assumptions!G27</f>
        <v>7</v>
      </c>
      <c r="H5" s="4" t="n">
        <f aca="false">Assumptions!H27</f>
        <v>6</v>
      </c>
      <c r="I5" s="4" t="n">
        <f aca="false">Assumptions!I27</f>
        <v>5</v>
      </c>
      <c r="J5" s="4" t="n">
        <f aca="false">Assumptions!J27</f>
        <v>4</v>
      </c>
      <c r="K5" s="4" t="n">
        <f aca="false">Assumptions!K27</f>
        <v>3.5</v>
      </c>
      <c r="L5" s="4" t="n">
        <f aca="false">Assumptions!L27</f>
        <v>3</v>
      </c>
    </row>
    <row r="6" customFormat="false" ht="15" hidden="false" customHeight="false" outlineLevel="0" collapsed="false">
      <c r="A6" s="0" t="s">
        <v>38</v>
      </c>
      <c r="B6" s="3" t="n">
        <v>62409</v>
      </c>
      <c r="C6" s="0" t="n">
        <f aca="false">B6*(1+C5/100)</f>
        <v>66777.63</v>
      </c>
      <c r="D6" s="0" t="n">
        <f aca="false">C6*(1+D5/100)</f>
        <v>71452.0641</v>
      </c>
      <c r="E6" s="0" t="n">
        <f aca="false">D6*(1+E5/100)</f>
        <v>77168.229228</v>
      </c>
      <c r="F6" s="0" t="n">
        <f aca="false">E6*(1+F5/100)</f>
        <v>83341.68756624</v>
      </c>
      <c r="G6" s="0" t="n">
        <f aca="false">F6*(1+G5/100)</f>
        <v>89175.6056958768</v>
      </c>
      <c r="H6" s="0" t="n">
        <f aca="false">G6*(1+H5/100)</f>
        <v>94526.1420376294</v>
      </c>
      <c r="I6" s="0" t="n">
        <f aca="false">H6*(1+I5/100)</f>
        <v>99252.4491395109</v>
      </c>
      <c r="J6" s="0" t="n">
        <f aca="false">I6*(1+J5/100)</f>
        <v>103222.547105091</v>
      </c>
      <c r="K6" s="0" t="n">
        <f aca="false">J6*(1+K5/100)</f>
        <v>106835.33625377</v>
      </c>
      <c r="L6" s="0" t="n">
        <f aca="false">K6*(1+L5/100)</f>
        <v>110040.396341383</v>
      </c>
    </row>
    <row r="7" customFormat="false" ht="15" hidden="false" customHeight="false" outlineLevel="0" collapsed="false">
      <c r="A7" s="0" t="s">
        <v>105</v>
      </c>
      <c r="C7" s="4" t="n">
        <f aca="false">Assumptions!C28</f>
        <v>29</v>
      </c>
      <c r="D7" s="4" t="n">
        <f aca="false">Assumptions!D28</f>
        <v>29</v>
      </c>
      <c r="E7" s="4" t="n">
        <f aca="false">Assumptions!E28</f>
        <v>29.5</v>
      </c>
      <c r="F7" s="4" t="n">
        <f aca="false">Assumptions!F28</f>
        <v>30</v>
      </c>
      <c r="G7" s="4" t="n">
        <f aca="false">Assumptions!G28</f>
        <v>30</v>
      </c>
      <c r="H7" s="4" t="n">
        <f aca="false">Assumptions!H28</f>
        <v>30.5</v>
      </c>
      <c r="I7" s="4" t="n">
        <f aca="false">Assumptions!I28</f>
        <v>30.5</v>
      </c>
      <c r="J7" s="4" t="n">
        <f aca="false">Assumptions!J28</f>
        <v>31</v>
      </c>
      <c r="K7" s="4" t="n">
        <f aca="false">Assumptions!K28</f>
        <v>31</v>
      </c>
      <c r="L7" s="4" t="n">
        <f aca="false">Assumptions!L28</f>
        <v>31</v>
      </c>
    </row>
    <row r="8" customFormat="false" ht="15" hidden="false" customHeight="false" outlineLevel="0" collapsed="false">
      <c r="A8" s="0" t="s">
        <v>44</v>
      </c>
      <c r="C8" s="0" t="n">
        <f aca="false">C6*C7/100</f>
        <v>19365.5127</v>
      </c>
      <c r="D8" s="0" t="n">
        <f aca="false">D6*D7/100</f>
        <v>20721.098589</v>
      </c>
      <c r="E8" s="0" t="n">
        <f aca="false">E6*E7/100</f>
        <v>22764.62762226</v>
      </c>
      <c r="F8" s="0" t="n">
        <f aca="false">F6*F7/100</f>
        <v>25002.506269872</v>
      </c>
      <c r="G8" s="0" t="n">
        <f aca="false">G6*G7/100</f>
        <v>26752.681708763</v>
      </c>
      <c r="H8" s="0" t="n">
        <f aca="false">H6*H7/100</f>
        <v>28830.473321477</v>
      </c>
      <c r="I8" s="0" t="n">
        <f aca="false">I6*I7/100</f>
        <v>30271.9969875508</v>
      </c>
      <c r="J8" s="0" t="n">
        <f aca="false">J6*J7/100</f>
        <v>31998.9896025783</v>
      </c>
      <c r="K8" s="0" t="n">
        <f aca="false">K6*K7/100</f>
        <v>33118.9542386686</v>
      </c>
      <c r="L8" s="0" t="n">
        <f aca="false">L6*L7/100</f>
        <v>34112.5228658286</v>
      </c>
    </row>
    <row r="9" customFormat="false" ht="15" hidden="false" customHeight="false" outlineLevel="0" collapsed="false">
      <c r="A9" s="0" t="s">
        <v>106</v>
      </c>
      <c r="C9" s="4" t="n">
        <f aca="false">Assumptions!C29</f>
        <v>4</v>
      </c>
      <c r="D9" s="4" t="n">
        <f aca="false">Assumptions!D29</f>
        <v>3.9</v>
      </c>
      <c r="E9" s="4" t="n">
        <f aca="false">Assumptions!E29</f>
        <v>3.8</v>
      </c>
      <c r="F9" s="4" t="n">
        <f aca="false">Assumptions!F29</f>
        <v>3.7</v>
      </c>
      <c r="G9" s="4" t="n">
        <f aca="false">Assumptions!G29</f>
        <v>3.6</v>
      </c>
      <c r="H9" s="4" t="n">
        <f aca="false">Assumptions!H29</f>
        <v>3.5</v>
      </c>
      <c r="I9" s="4" t="n">
        <f aca="false">Assumptions!I29</f>
        <v>3.4</v>
      </c>
      <c r="J9" s="4" t="n">
        <f aca="false">Assumptions!J29</f>
        <v>3.3</v>
      </c>
      <c r="K9" s="4" t="n">
        <f aca="false">Assumptions!K29</f>
        <v>3.2</v>
      </c>
      <c r="L9" s="4" t="n">
        <f aca="false">Assumptions!L29</f>
        <v>3</v>
      </c>
    </row>
    <row r="10" customFormat="false" ht="15" hidden="false" customHeight="false" outlineLevel="0" collapsed="false">
      <c r="A10" s="0" t="s">
        <v>121</v>
      </c>
      <c r="C10" s="0" t="n">
        <f aca="false">-C6*C9/100</f>
        <v>-2671.1052</v>
      </c>
      <c r="D10" s="0" t="n">
        <f aca="false">-D6*D9/100</f>
        <v>-2786.6304999</v>
      </c>
      <c r="E10" s="0" t="n">
        <f aca="false">-E6*E9/100</f>
        <v>-2932.392710664</v>
      </c>
      <c r="F10" s="0" t="n">
        <f aca="false">-F6*F9/100</f>
        <v>-3083.64243995088</v>
      </c>
      <c r="G10" s="0" t="n">
        <f aca="false">-G6*G9/100</f>
        <v>-3210.32180505157</v>
      </c>
      <c r="H10" s="0" t="n">
        <f aca="false">-H6*H9/100</f>
        <v>-3308.41497131703</v>
      </c>
      <c r="I10" s="0" t="n">
        <f aca="false">-I6*I9/100</f>
        <v>-3374.58327074337</v>
      </c>
      <c r="J10" s="0" t="n">
        <f aca="false">-J6*J9/100</f>
        <v>-3406.34405446801</v>
      </c>
      <c r="K10" s="0" t="n">
        <f aca="false">-K6*K9/100</f>
        <v>-3418.73076012063</v>
      </c>
      <c r="L10" s="0" t="n">
        <f aca="false">-L6*L9/100</f>
        <v>-3301.21189024148</v>
      </c>
    </row>
    <row r="11" customFormat="false" ht="15" hidden="false" customHeight="false" outlineLevel="0" collapsed="false">
      <c r="A11" s="0" t="s">
        <v>122</v>
      </c>
      <c r="C11" s="0" t="n">
        <f aca="false">C8+C10+C24</f>
        <v>16694.4075</v>
      </c>
      <c r="D11" s="0" t="n">
        <f aca="false">D8+D10+D24</f>
        <v>17934.4680891</v>
      </c>
      <c r="E11" s="0" t="n">
        <f aca="false">E8+E10+E24</f>
        <v>19832.234911596</v>
      </c>
      <c r="F11" s="0" t="n">
        <f aca="false">F8+F10+F24</f>
        <v>21918.8638299211</v>
      </c>
      <c r="G11" s="0" t="n">
        <f aca="false">G8+G10+G24</f>
        <v>23542.3599037115</v>
      </c>
      <c r="H11" s="0" t="n">
        <f aca="false">H8+H10+H24</f>
        <v>25522.0583501599</v>
      </c>
      <c r="I11" s="0" t="n">
        <f aca="false">I8+I10+I24</f>
        <v>26897.4137168075</v>
      </c>
      <c r="J11" s="0" t="n">
        <f aca="false">J8+J10+J24</f>
        <v>28592.6455481103</v>
      </c>
      <c r="K11" s="0" t="n">
        <f aca="false">K8+K10+K24</f>
        <v>29700.2234785479</v>
      </c>
      <c r="L11" s="0" t="n">
        <f aca="false">L8+L10+L24</f>
        <v>30811.3109755871</v>
      </c>
    </row>
    <row r="12" customFormat="false" ht="15" hidden="false" customHeight="false" outlineLevel="0" collapsed="false">
      <c r="A12" s="0" t="s">
        <v>123</v>
      </c>
      <c r="C12" s="4" t="n">
        <f aca="false">-C6*Assumptions!C31/100</f>
        <v>-934.88682</v>
      </c>
      <c r="D12" s="4" t="n">
        <f aca="false">-D6*Assumptions!D31/100</f>
        <v>-1000.3288974</v>
      </c>
      <c r="E12" s="4" t="n">
        <f aca="false">-E6*Assumptions!E31/100</f>
        <v>-1080.355209192</v>
      </c>
      <c r="F12" s="4" t="n">
        <f aca="false">-F6*Assumptions!F31/100</f>
        <v>-1166.78362592736</v>
      </c>
      <c r="G12" s="4" t="n">
        <f aca="false">-G6*Assumptions!G31/100</f>
        <v>-1248.45847974228</v>
      </c>
      <c r="H12" s="4" t="n">
        <f aca="false">-H6*Assumptions!H31/100</f>
        <v>-1323.36598852681</v>
      </c>
      <c r="I12" s="4" t="n">
        <f aca="false">-I6*Assumptions!I31/100</f>
        <v>-1389.53428795315</v>
      </c>
      <c r="J12" s="4" t="n">
        <f aca="false">-J6*Assumptions!J31/100</f>
        <v>-1445.11565947128</v>
      </c>
      <c r="K12" s="4" t="n">
        <f aca="false">-K6*Assumptions!K31/100</f>
        <v>-1495.69470755277</v>
      </c>
      <c r="L12" s="4" t="n">
        <f aca="false">-L6*Assumptions!L31/100</f>
        <v>-1540.56554877936</v>
      </c>
    </row>
    <row r="13" customFormat="false" ht="15" hidden="false" customHeight="false" outlineLevel="0" collapsed="false">
      <c r="A13" s="0" t="s">
        <v>124</v>
      </c>
      <c r="C13" s="0" t="n">
        <f aca="false">C11+C12</f>
        <v>15759.52068</v>
      </c>
      <c r="D13" s="0" t="n">
        <f aca="false">D11+D12</f>
        <v>16934.1391917</v>
      </c>
      <c r="E13" s="0" t="n">
        <f aca="false">E11+E12</f>
        <v>18751.879702404</v>
      </c>
      <c r="F13" s="0" t="n">
        <f aca="false">F11+F12</f>
        <v>20752.0802039938</v>
      </c>
      <c r="G13" s="0" t="n">
        <f aca="false">G11+G12</f>
        <v>22293.9014239692</v>
      </c>
      <c r="H13" s="0" t="n">
        <f aca="false">H11+H12</f>
        <v>24198.6923616331</v>
      </c>
      <c r="I13" s="0" t="n">
        <f aca="false">I11+I12</f>
        <v>25507.8794288543</v>
      </c>
      <c r="J13" s="0" t="n">
        <f aca="false">J11+J12</f>
        <v>27147.529888639</v>
      </c>
      <c r="K13" s="0" t="n">
        <f aca="false">K11+K12</f>
        <v>28204.5287709952</v>
      </c>
      <c r="L13" s="0" t="n">
        <f aca="false">L11+L12</f>
        <v>29270.7454268078</v>
      </c>
    </row>
    <row r="14" customFormat="false" ht="15" hidden="false" customHeight="false" outlineLevel="0" collapsed="false">
      <c r="A14" s="0" t="s">
        <v>110</v>
      </c>
      <c r="C14" s="4" t="n">
        <f aca="false">Assumptions!C33</f>
        <v>21</v>
      </c>
      <c r="D14" s="4" t="n">
        <f aca="false">Assumptions!D33</f>
        <v>21</v>
      </c>
      <c r="E14" s="4" t="n">
        <f aca="false">Assumptions!E33</f>
        <v>21</v>
      </c>
      <c r="F14" s="4" t="n">
        <f aca="false">Assumptions!F33</f>
        <v>21</v>
      </c>
      <c r="G14" s="4" t="n">
        <f aca="false">Assumptions!G33</f>
        <v>21</v>
      </c>
      <c r="H14" s="4" t="n">
        <f aca="false">Assumptions!H33</f>
        <v>21</v>
      </c>
      <c r="I14" s="4" t="n">
        <f aca="false">Assumptions!I33</f>
        <v>21</v>
      </c>
      <c r="J14" s="4" t="n">
        <f aca="false">Assumptions!J33</f>
        <v>21</v>
      </c>
      <c r="K14" s="4" t="n">
        <f aca="false">Assumptions!K33</f>
        <v>21</v>
      </c>
      <c r="L14" s="4" t="n">
        <f aca="false">Assumptions!L33</f>
        <v>21</v>
      </c>
    </row>
    <row r="15" customFormat="false" ht="15" hidden="false" customHeight="false" outlineLevel="0" collapsed="false">
      <c r="A15" s="0" t="s">
        <v>125</v>
      </c>
      <c r="C15" s="0" t="n">
        <f aca="false">C13-MAX(0,C13)*C14/100</f>
        <v>12450.0213372</v>
      </c>
      <c r="D15" s="0" t="n">
        <f aca="false">D13-MAX(0,D13)*D14/100</f>
        <v>13377.969961443</v>
      </c>
      <c r="E15" s="0" t="n">
        <f aca="false">E13-MAX(0,E13)*E14/100</f>
        <v>14813.9849648992</v>
      </c>
      <c r="F15" s="0" t="n">
        <f aca="false">F13-MAX(0,F13)*F14/100</f>
        <v>16394.1433611551</v>
      </c>
      <c r="G15" s="0" t="n">
        <f aca="false">G13-MAX(0,G13)*G14/100</f>
        <v>17612.1821249357</v>
      </c>
      <c r="H15" s="0" t="n">
        <f aca="false">H13-MAX(0,H13)*H14/100</f>
        <v>19116.9669656902</v>
      </c>
      <c r="I15" s="0" t="n">
        <f aca="false">I13-MAX(0,I13)*I14/100</f>
        <v>20151.2247487949</v>
      </c>
      <c r="J15" s="0" t="n">
        <f aca="false">J13-MAX(0,J13)*J14/100</f>
        <v>21446.5486120248</v>
      </c>
      <c r="K15" s="0" t="n">
        <f aca="false">K13-MAX(0,K13)*K14/100</f>
        <v>22281.5777290862</v>
      </c>
      <c r="L15" s="0" t="n">
        <f aca="false">L13-MAX(0,L13)*L14/100</f>
        <v>23123.8888871781</v>
      </c>
    </row>
    <row r="16" customFormat="false" ht="15" hidden="false" customHeight="false" outlineLevel="0" collapsed="false">
      <c r="A16" s="0" t="s">
        <v>126</v>
      </c>
      <c r="C16" s="0" t="n">
        <f aca="false">-C12</f>
        <v>934.88682</v>
      </c>
      <c r="D16" s="0" t="n">
        <f aca="false">-D12</f>
        <v>1000.3288974</v>
      </c>
      <c r="E16" s="0" t="n">
        <f aca="false">-E12</f>
        <v>1080.355209192</v>
      </c>
      <c r="F16" s="0" t="n">
        <f aca="false">-F12</f>
        <v>1166.78362592736</v>
      </c>
      <c r="G16" s="0" t="n">
        <f aca="false">-G12</f>
        <v>1248.45847974228</v>
      </c>
      <c r="H16" s="0" t="n">
        <f aca="false">-H12</f>
        <v>1323.36598852681</v>
      </c>
      <c r="I16" s="0" t="n">
        <f aca="false">-I12</f>
        <v>1389.53428795315</v>
      </c>
      <c r="J16" s="0" t="n">
        <f aca="false">-J12</f>
        <v>1445.11565947128</v>
      </c>
      <c r="K16" s="0" t="n">
        <f aca="false">-K12</f>
        <v>1495.69470755277</v>
      </c>
      <c r="L16" s="0" t="n">
        <f aca="false">-L12</f>
        <v>1540.56554877936</v>
      </c>
    </row>
    <row r="17" customFormat="false" ht="15" hidden="false" customHeight="false" outlineLevel="0" collapsed="false">
      <c r="A17" s="0" t="s">
        <v>127</v>
      </c>
      <c r="C17" s="4" t="n">
        <f aca="false">-C6*Assumptions!C32/100</f>
        <v>-934.88682</v>
      </c>
      <c r="D17" s="4" t="n">
        <f aca="false">-D6*Assumptions!D32/100</f>
        <v>-1000.3288974</v>
      </c>
      <c r="E17" s="4" t="n">
        <f aca="false">-E6*Assumptions!E32/100</f>
        <v>-1080.355209192</v>
      </c>
      <c r="F17" s="4" t="n">
        <f aca="false">-F6*Assumptions!F32/100</f>
        <v>-1166.78362592736</v>
      </c>
      <c r="G17" s="4" t="n">
        <f aca="false">-G6*Assumptions!G32/100</f>
        <v>-1248.45847974228</v>
      </c>
      <c r="H17" s="4" t="n">
        <f aca="false">-H6*Assumptions!H32/100</f>
        <v>-1323.36598852681</v>
      </c>
      <c r="I17" s="4" t="n">
        <f aca="false">-I6*Assumptions!I32/100</f>
        <v>-1389.53428795315</v>
      </c>
      <c r="J17" s="4" t="n">
        <f aca="false">-J6*Assumptions!J32/100</f>
        <v>-1445.11565947128</v>
      </c>
      <c r="K17" s="4" t="n">
        <f aca="false">-K6*Assumptions!K32/100</f>
        <v>-1495.69470755277</v>
      </c>
      <c r="L17" s="4" t="n">
        <f aca="false">-L6*Assumptions!L32/100</f>
        <v>-1540.56554877936</v>
      </c>
    </row>
    <row r="18" customFormat="false" ht="15" hidden="false" customHeight="false" outlineLevel="0" collapsed="false">
      <c r="A18" s="0" t="s">
        <v>128</v>
      </c>
      <c r="C18" s="4" t="n">
        <f aca="false">(C6-B6)*Assumptions!$B$37/100</f>
        <v>218.4315</v>
      </c>
      <c r="D18" s="4" t="n">
        <f aca="false">(D6-C6)*Assumptions!$B$37/100</f>
        <v>233.721705</v>
      </c>
      <c r="E18" s="4" t="n">
        <f aca="false">(E6-D6)*Assumptions!$B$37/100</f>
        <v>285.8082564</v>
      </c>
      <c r="F18" s="4" t="n">
        <f aca="false">(F6-E6)*Assumptions!$B$37/100</f>
        <v>308.672916912</v>
      </c>
      <c r="G18" s="4" t="n">
        <f aca="false">(G6-F6)*Assumptions!$B$37/100</f>
        <v>291.69590648184</v>
      </c>
      <c r="H18" s="4" t="n">
        <f aca="false">(H6-G6)*Assumptions!$B$37/100</f>
        <v>267.526817087631</v>
      </c>
      <c r="I18" s="4" t="n">
        <f aca="false">(I6-H6)*Assumptions!$B$37/100</f>
        <v>236.315355094074</v>
      </c>
      <c r="J18" s="4" t="n">
        <f aca="false">(J6-I6)*Assumptions!$B$37/100</f>
        <v>198.504898279022</v>
      </c>
      <c r="K18" s="4" t="n">
        <f aca="false">(K6-J6)*Assumptions!$B$37/100</f>
        <v>180.639457433909</v>
      </c>
      <c r="L18" s="4" t="n">
        <f aca="false">(L6-K6)*Assumptions!$B$37/100</f>
        <v>160.253004380655</v>
      </c>
    </row>
    <row r="19" customFormat="false" ht="15" hidden="false" customHeight="false" outlineLevel="0" collapsed="false">
      <c r="A19" s="0" t="s">
        <v>129</v>
      </c>
      <c r="C19" s="0" t="n">
        <f aca="false">C15+C16+C17+C18</f>
        <v>12668.4528372</v>
      </c>
      <c r="D19" s="0" t="n">
        <f aca="false">D15+D16+D17+D18</f>
        <v>13611.691666443</v>
      </c>
      <c r="E19" s="0" t="n">
        <f aca="false">E15+E16+E17+E18</f>
        <v>15099.7932212992</v>
      </c>
      <c r="F19" s="0" t="n">
        <f aca="false">F15+F16+F17+F18</f>
        <v>16702.8162780671</v>
      </c>
      <c r="G19" s="0" t="n">
        <f aca="false">G15+G16+G17+G18</f>
        <v>17903.8780314175</v>
      </c>
      <c r="H19" s="0" t="n">
        <f aca="false">H15+H16+H17+H18</f>
        <v>19384.4937827778</v>
      </c>
      <c r="I19" s="0" t="n">
        <f aca="false">I15+I16+I17+I18</f>
        <v>20387.540103889</v>
      </c>
      <c r="J19" s="0" t="n">
        <f aca="false">J15+J16+J17+J18</f>
        <v>21645.0535103039</v>
      </c>
      <c r="K19" s="0" t="n">
        <f aca="false">K15+K16+K17+K18</f>
        <v>22462.2171865201</v>
      </c>
      <c r="L19" s="0" t="n">
        <f aca="false">L15+L16+L17+L18</f>
        <v>23284.1418915588</v>
      </c>
    </row>
    <row r="20" customFormat="false" ht="15" hidden="false" customHeight="false" outlineLevel="0" collapsed="false">
      <c r="A20" s="0" t="s">
        <v>130</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131</v>
      </c>
      <c r="C21" s="0" t="n">
        <f aca="false">C19*C20</f>
        <v>11516.7753065455</v>
      </c>
      <c r="D21" s="0" t="n">
        <f aca="false">D19*D20</f>
        <v>11249.331955738</v>
      </c>
      <c r="E21" s="0" t="n">
        <f aca="false">E19*E20</f>
        <v>11344.6981377154</v>
      </c>
      <c r="F21" s="0" t="n">
        <f aca="false">F19*F20</f>
        <v>11408.2482604105</v>
      </c>
      <c r="G21" s="0" t="n">
        <f aca="false">G19*G20</f>
        <v>11116.8996351575</v>
      </c>
      <c r="H21" s="0" t="n">
        <f aca="false">H19*H20</f>
        <v>10942.0413876676</v>
      </c>
      <c r="I21" s="0" t="n">
        <f aca="false">I19*I20</f>
        <v>10462.0317150647</v>
      </c>
      <c r="J21" s="0" t="n">
        <f aca="false">J19*J20</f>
        <v>10097.5772075913</v>
      </c>
      <c r="K21" s="0" t="n">
        <f aca="false">K19*K20</f>
        <v>9526.17281216866</v>
      </c>
      <c r="L21" s="0" t="n">
        <f aca="false">L19*L20</f>
        <v>8977.04465641553</v>
      </c>
    </row>
    <row r="23" customFormat="false" ht="15" hidden="false" customHeight="false" outlineLevel="0" collapsed="false">
      <c r="A23" s="0" t="s">
        <v>107</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132</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133</v>
      </c>
    </row>
    <row r="27" customFormat="false" ht="15" hidden="false" customHeight="false" outlineLevel="0" collapsed="false">
      <c r="A27" s="0" t="s">
        <v>111</v>
      </c>
      <c r="B27" s="4" t="n">
        <f aca="false">Assumptions!$B$34</f>
        <v>10</v>
      </c>
    </row>
    <row r="28" customFormat="false" ht="15" hidden="false" customHeight="false" outlineLevel="0" collapsed="false">
      <c r="A28" s="0" t="s">
        <v>112</v>
      </c>
      <c r="B28" s="4" t="n">
        <f aca="false">Assumptions!$B$35</f>
        <v>2.5</v>
      </c>
    </row>
    <row r="29" customFormat="false" ht="15" hidden="false" customHeight="false" outlineLevel="0" collapsed="false">
      <c r="A29" s="0" t="s">
        <v>113</v>
      </c>
      <c r="B29" s="4" t="n">
        <f aca="false">Assumptions!$B$36</f>
        <v>15</v>
      </c>
    </row>
    <row r="30" customFormat="false" ht="15" hidden="false" customHeight="false" outlineLevel="0" collapsed="false">
      <c r="A30" s="0" t="s">
        <v>134</v>
      </c>
      <c r="B30" s="0" t="n">
        <f aca="false">SUM(C21:L21)</f>
        <v>106640.821074475</v>
      </c>
    </row>
    <row r="31" customFormat="false" ht="15" hidden="false" customHeight="false" outlineLevel="0" collapsed="false">
      <c r="A31" s="0" t="s">
        <v>135</v>
      </c>
      <c r="B31" s="0" t="n">
        <f aca="false">L19</f>
        <v>23284.1418915588</v>
      </c>
    </row>
    <row r="32" customFormat="false" ht="15" hidden="false" customHeight="false" outlineLevel="0" collapsed="false">
      <c r="A32" s="0" t="s">
        <v>136</v>
      </c>
      <c r="B32" s="0" t="n">
        <f aca="false">IF(B27&gt;B28,B31*(1+B28/100)/((B27-B28)/100),B31*B29)</f>
        <v>318216.605851304</v>
      </c>
    </row>
    <row r="33" customFormat="false" ht="15" hidden="false" customHeight="false" outlineLevel="0" collapsed="false">
      <c r="A33" s="0" t="s">
        <v>137</v>
      </c>
      <c r="B33" s="0" t="n">
        <f aca="false">B31*B29</f>
        <v>349262.128373382</v>
      </c>
    </row>
    <row r="34" customFormat="false" ht="15" hidden="false" customHeight="false" outlineLevel="0" collapsed="false">
      <c r="A34" s="0" t="s">
        <v>138</v>
      </c>
      <c r="B34" s="0" t="n">
        <f aca="false">MAX(0,MIN(B32,B33))</f>
        <v>318216.605851304</v>
      </c>
    </row>
    <row r="35" customFormat="false" ht="15" hidden="false" customHeight="false" outlineLevel="0" collapsed="false">
      <c r="A35" s="0" t="s">
        <v>139</v>
      </c>
      <c r="B35" s="0" t="n">
        <f aca="false">B34/(1+B27/100)^L4</f>
        <v>122686.276971012</v>
      </c>
    </row>
    <row r="36" customFormat="false" ht="15" hidden="false" customHeight="false" outlineLevel="0" collapsed="false">
      <c r="A36" s="0" t="s">
        <v>140</v>
      </c>
      <c r="B36" s="0" t="n">
        <f aca="false">B30+B35</f>
        <v>229327.098045487</v>
      </c>
    </row>
    <row r="37" customFormat="false" ht="15" hidden="false" customHeight="false" outlineLevel="0" collapsed="false">
      <c r="A37" s="0" t="s">
        <v>141</v>
      </c>
      <c r="B37" s="0" t="n">
        <f aca="false">B36+Assumptions!$B$5-Assumptions!$B$4</f>
        <v>320799.098045487</v>
      </c>
    </row>
    <row r="38" customFormat="false" ht="15" hidden="false" customHeight="false" outlineLevel="0" collapsed="false">
      <c r="A38" s="0" t="s">
        <v>142</v>
      </c>
      <c r="B38" s="0" t="n">
        <f aca="false">B37/Assumptions!$B$3*Assumptions!$B$10</f>
        <v>571.92069193648</v>
      </c>
    </row>
    <row r="39" customFormat="false" ht="15" hidden="false" customHeight="false" outlineLevel="0" collapsed="false">
      <c r="A39" s="0" t="s">
        <v>143</v>
      </c>
      <c r="B39" s="4" t="n">
        <f aca="false">B38/Assumptions!$B$2-1</f>
        <v>0.816774752021856</v>
      </c>
    </row>
    <row r="41" customFormat="false" ht="15" hidden="false" customHeight="false" outlineLevel="0" collapsed="false">
      <c r="A41" s="0" t="s">
        <v>144</v>
      </c>
      <c r="B41" s="0" t="n">
        <f aca="false">SUMPRODUCT(-C10:L10/(1+$B$27/100)^C4:L4)</f>
        <v>18944.8835614931</v>
      </c>
    </row>
    <row r="42" customFormat="false" ht="15" hidden="false" customHeight="false" outlineLevel="0" collapsed="false">
      <c r="A42" s="0" t="s">
        <v>145</v>
      </c>
      <c r="B42" s="0" t="n">
        <f aca="false">IF(B27&gt;B28,-L10*(1+B28/100)/((B27-B28)/100),-L10*20)/(1+B27/100)^L4</f>
        <v>17394.3879139903</v>
      </c>
    </row>
    <row r="43" customFormat="false" ht="15" hidden="false" customHeight="false" outlineLevel="0" collapsed="false">
      <c r="A43" s="0" t="s">
        <v>146</v>
      </c>
      <c r="B43" s="0" t="n">
        <f aca="false">(B37+B41+B42)/Assumptions!$B$3*Assumptions!$B$10</f>
        <v>636.706351912928</v>
      </c>
    </row>
    <row r="45" customFormat="false" ht="15" hidden="false" customHeight="false" outlineLevel="0" collapsed="false">
      <c r="A45" s="0" t="s">
        <v>87</v>
      </c>
      <c r="B45" s="4" t="n">
        <f aca="false">Assumptions!$B$6</f>
        <v>15</v>
      </c>
    </row>
    <row r="46" customFormat="false" ht="15" hidden="false" customHeight="false" outlineLevel="0" collapsed="false">
      <c r="A46" s="0" t="s">
        <v>147</v>
      </c>
      <c r="B46" s="0" t="n">
        <f aca="false">MAX(0,MIN(IF(B45&gt;B28,B31*(1+B28/100)/((B45-B28)/100),B31*B29),B31*B29))</f>
        <v>190929.963510782</v>
      </c>
    </row>
    <row r="47" customFormat="false" ht="15" hidden="false" customHeight="false" outlineLevel="0" collapsed="false">
      <c r="A47" s="0" t="s">
        <v>148</v>
      </c>
      <c r="B47" s="0" t="n">
        <f aca="false">(SUMPRODUCT(C19:L19/(1+B45/100)^C4:L4)+B46/(1+B45/100)^L4+Assumptions!$B$5-Assumptions!$B$4)/Assumptions!$B$3*Assumptions!$B$10</f>
        <v>398.66333257667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150</v>
      </c>
    </row>
    <row r="3" customFormat="false" ht="15" hidden="false" customHeight="false" outlineLevel="0" collapsed="false">
      <c r="A3" s="0" t="s">
        <v>119</v>
      </c>
      <c r="B3" s="0" t="s">
        <v>80</v>
      </c>
      <c r="C3" s="2" t="s">
        <v>94</v>
      </c>
      <c r="D3" s="2" t="s">
        <v>95</v>
      </c>
      <c r="E3" s="2" t="s">
        <v>96</v>
      </c>
      <c r="F3" s="2" t="s">
        <v>97</v>
      </c>
      <c r="G3" s="2" t="s">
        <v>98</v>
      </c>
      <c r="H3" s="2" t="s">
        <v>99</v>
      </c>
      <c r="I3" s="2" t="s">
        <v>100</v>
      </c>
      <c r="J3" s="2" t="s">
        <v>101</v>
      </c>
      <c r="K3" s="2" t="s">
        <v>102</v>
      </c>
      <c r="L3" s="2" t="s">
        <v>103</v>
      </c>
    </row>
    <row r="4" customFormat="false" ht="15" hidden="false" customHeight="false" outlineLevel="0" collapsed="false">
      <c r="A4" s="0" t="s">
        <v>120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104</v>
      </c>
      <c r="C5" s="4" t="n">
        <f aca="false">Assumptions!C41</f>
        <v>8</v>
      </c>
      <c r="D5" s="4" t="n">
        <f aca="false">Assumptions!D41</f>
        <v>11</v>
      </c>
      <c r="E5" s="4" t="n">
        <f aca="false">Assumptions!E41</f>
        <v>12</v>
      </c>
      <c r="F5" s="4" t="n">
        <f aca="false">Assumptions!F41</f>
        <v>11</v>
      </c>
      <c r="G5" s="4" t="n">
        <f aca="false">Assumptions!G41</f>
        <v>10</v>
      </c>
      <c r="H5" s="4" t="n">
        <f aca="false">Assumptions!H41</f>
        <v>8</v>
      </c>
      <c r="I5" s="4" t="n">
        <f aca="false">Assumptions!I41</f>
        <v>7</v>
      </c>
      <c r="J5" s="4" t="n">
        <f aca="false">Assumptions!J41</f>
        <v>6</v>
      </c>
      <c r="K5" s="4" t="n">
        <f aca="false">Assumptions!K41</f>
        <v>5</v>
      </c>
      <c r="L5" s="4" t="n">
        <f aca="false">Assumptions!L41</f>
        <v>4</v>
      </c>
    </row>
    <row r="6" customFormat="false" ht="15" hidden="false" customHeight="false" outlineLevel="0" collapsed="false">
      <c r="A6" s="0" t="s">
        <v>38</v>
      </c>
      <c r="B6" s="3" t="n">
        <v>62409</v>
      </c>
      <c r="C6" s="0" t="n">
        <f aca="false">B6*(1+C5/100)</f>
        <v>67401.72</v>
      </c>
      <c r="D6" s="0" t="n">
        <f aca="false">C6*(1+D5/100)</f>
        <v>74815.9092</v>
      </c>
      <c r="E6" s="0" t="n">
        <f aca="false">D6*(1+E5/100)</f>
        <v>83793.818304</v>
      </c>
      <c r="F6" s="0" t="n">
        <f aca="false">E6*(1+F5/100)</f>
        <v>93011.13831744</v>
      </c>
      <c r="G6" s="0" t="n">
        <f aca="false">F6*(1+G5/100)</f>
        <v>102312.252149184</v>
      </c>
      <c r="H6" s="0" t="n">
        <f aca="false">G6*(1+H5/100)</f>
        <v>110497.232321119</v>
      </c>
      <c r="I6" s="0" t="n">
        <f aca="false">H6*(1+I5/100)</f>
        <v>118232.038583597</v>
      </c>
      <c r="J6" s="0" t="n">
        <f aca="false">I6*(1+J5/100)</f>
        <v>125325.960898613</v>
      </c>
      <c r="K6" s="0" t="n">
        <f aca="false">J6*(1+K5/100)</f>
        <v>131592.258943544</v>
      </c>
      <c r="L6" s="0" t="n">
        <f aca="false">K6*(1+L5/100)</f>
        <v>136855.949301285</v>
      </c>
    </row>
    <row r="7" customFormat="false" ht="15" hidden="false" customHeight="false" outlineLevel="0" collapsed="false">
      <c r="A7" s="0" t="s">
        <v>105</v>
      </c>
      <c r="C7" s="4" t="n">
        <f aca="false">Assumptions!C42</f>
        <v>29.5</v>
      </c>
      <c r="D7" s="4" t="n">
        <f aca="false">Assumptions!D42</f>
        <v>30.5</v>
      </c>
      <c r="E7" s="4" t="n">
        <f aca="false">Assumptions!E42</f>
        <v>31.5</v>
      </c>
      <c r="F7" s="4" t="n">
        <f aca="false">Assumptions!F42</f>
        <v>32</v>
      </c>
      <c r="G7" s="4" t="n">
        <f aca="false">Assumptions!G42</f>
        <v>32.5</v>
      </c>
      <c r="H7" s="4" t="n">
        <f aca="false">Assumptions!H42</f>
        <v>33</v>
      </c>
      <c r="I7" s="4" t="n">
        <f aca="false">Assumptions!I42</f>
        <v>33</v>
      </c>
      <c r="J7" s="4" t="n">
        <f aca="false">Assumptions!J42</f>
        <v>33.5</v>
      </c>
      <c r="K7" s="4" t="n">
        <f aca="false">Assumptions!K42</f>
        <v>33.5</v>
      </c>
      <c r="L7" s="4" t="n">
        <f aca="false">Assumptions!L42</f>
        <v>33.5</v>
      </c>
    </row>
    <row r="8" customFormat="false" ht="15" hidden="false" customHeight="false" outlineLevel="0" collapsed="false">
      <c r="A8" s="0" t="s">
        <v>44</v>
      </c>
      <c r="C8" s="0" t="n">
        <f aca="false">C6*C7/100</f>
        <v>19883.5074</v>
      </c>
      <c r="D8" s="0" t="n">
        <f aca="false">D6*D7/100</f>
        <v>22818.852306</v>
      </c>
      <c r="E8" s="0" t="n">
        <f aca="false">E6*E7/100</f>
        <v>26395.05276576</v>
      </c>
      <c r="F8" s="0" t="n">
        <f aca="false">F6*F7/100</f>
        <v>29763.5642615808</v>
      </c>
      <c r="G8" s="0" t="n">
        <f aca="false">G6*G7/100</f>
        <v>33251.4819484848</v>
      </c>
      <c r="H8" s="0" t="n">
        <f aca="false">H6*H7/100</f>
        <v>36464.0866659692</v>
      </c>
      <c r="I8" s="0" t="n">
        <f aca="false">I6*I7/100</f>
        <v>39016.572732587</v>
      </c>
      <c r="J8" s="0" t="n">
        <f aca="false">J6*J7/100</f>
        <v>41984.1969010353</v>
      </c>
      <c r="K8" s="0" t="n">
        <f aca="false">K6*K7/100</f>
        <v>44083.4067460871</v>
      </c>
      <c r="L8" s="0" t="n">
        <f aca="false">L6*L7/100</f>
        <v>45846.7430159306</v>
      </c>
    </row>
    <row r="9" customFormat="false" ht="15" hidden="false" customHeight="false" outlineLevel="0" collapsed="false">
      <c r="A9" s="0" t="s">
        <v>106</v>
      </c>
      <c r="C9" s="4" t="n">
        <f aca="false">Assumptions!C43</f>
        <v>4</v>
      </c>
      <c r="D9" s="4" t="n">
        <f aca="false">Assumptions!D43</f>
        <v>3.9</v>
      </c>
      <c r="E9" s="4" t="n">
        <f aca="false">Assumptions!E43</f>
        <v>3.8</v>
      </c>
      <c r="F9" s="4" t="n">
        <f aca="false">Assumptions!F43</f>
        <v>3.7</v>
      </c>
      <c r="G9" s="4" t="n">
        <f aca="false">Assumptions!G43</f>
        <v>3.6</v>
      </c>
      <c r="H9" s="4" t="n">
        <f aca="false">Assumptions!H43</f>
        <v>3.5</v>
      </c>
      <c r="I9" s="4" t="n">
        <f aca="false">Assumptions!I43</f>
        <v>3.4</v>
      </c>
      <c r="J9" s="4" t="n">
        <f aca="false">Assumptions!J43</f>
        <v>3.3</v>
      </c>
      <c r="K9" s="4" t="n">
        <f aca="false">Assumptions!K43</f>
        <v>3.2</v>
      </c>
      <c r="L9" s="4" t="n">
        <f aca="false">Assumptions!L43</f>
        <v>3</v>
      </c>
    </row>
    <row r="10" customFormat="false" ht="15" hidden="false" customHeight="false" outlineLevel="0" collapsed="false">
      <c r="A10" s="0" t="s">
        <v>121</v>
      </c>
      <c r="C10" s="0" t="n">
        <f aca="false">-C6*C9/100</f>
        <v>-2696.0688</v>
      </c>
      <c r="D10" s="0" t="n">
        <f aca="false">-D6*D9/100</f>
        <v>-2917.8204588</v>
      </c>
      <c r="E10" s="0" t="n">
        <f aca="false">-E6*E9/100</f>
        <v>-3184.165095552</v>
      </c>
      <c r="F10" s="0" t="n">
        <f aca="false">-F6*F9/100</f>
        <v>-3441.41211774528</v>
      </c>
      <c r="G10" s="0" t="n">
        <f aca="false">-G6*G9/100</f>
        <v>-3683.24107737063</v>
      </c>
      <c r="H10" s="0" t="n">
        <f aca="false">-H6*H9/100</f>
        <v>-3867.40313123916</v>
      </c>
      <c r="I10" s="0" t="n">
        <f aca="false">-I6*I9/100</f>
        <v>-4019.8893118423</v>
      </c>
      <c r="J10" s="0" t="n">
        <f aca="false">-J6*J9/100</f>
        <v>-4135.75670965423</v>
      </c>
      <c r="K10" s="0" t="n">
        <f aca="false">-K6*K9/100</f>
        <v>-4210.95228619339</v>
      </c>
      <c r="L10" s="0" t="n">
        <f aca="false">-L6*L9/100</f>
        <v>-4105.67847903856</v>
      </c>
    </row>
    <row r="11" customFormat="false" ht="15" hidden="false" customHeight="false" outlineLevel="0" collapsed="false">
      <c r="A11" s="0" t="s">
        <v>122</v>
      </c>
      <c r="C11" s="0" t="n">
        <f aca="false">C8+C10+C24</f>
        <v>17187.4386</v>
      </c>
      <c r="D11" s="0" t="n">
        <f aca="false">D8+D10+D24</f>
        <v>19901.0318472</v>
      </c>
      <c r="E11" s="0" t="n">
        <f aca="false">E8+E10+E24</f>
        <v>23210.887670208</v>
      </c>
      <c r="F11" s="0" t="n">
        <f aca="false">F8+F10+F24</f>
        <v>26322.1521438355</v>
      </c>
      <c r="G11" s="0" t="n">
        <f aca="false">G8+G10+G24</f>
        <v>29568.2408711142</v>
      </c>
      <c r="H11" s="0" t="n">
        <f aca="false">H8+H10+H24</f>
        <v>32596.68353473</v>
      </c>
      <c r="I11" s="0" t="n">
        <f aca="false">I8+I10+I24</f>
        <v>34996.6834207447</v>
      </c>
      <c r="J11" s="0" t="n">
        <f aca="false">J8+J10+J24</f>
        <v>37848.4401913811</v>
      </c>
      <c r="K11" s="0" t="n">
        <f aca="false">K8+K10+K24</f>
        <v>39872.4544598937</v>
      </c>
      <c r="L11" s="0" t="n">
        <f aca="false">L8+L10+L24</f>
        <v>41741.064536892</v>
      </c>
    </row>
    <row r="12" customFormat="false" ht="15" hidden="false" customHeight="false" outlineLevel="0" collapsed="false">
      <c r="A12" s="0" t="s">
        <v>123</v>
      </c>
      <c r="C12" s="4" t="n">
        <f aca="false">-C6*Assumptions!C45/100</f>
        <v>-943.62408</v>
      </c>
      <c r="D12" s="4" t="n">
        <f aca="false">-D6*Assumptions!D45/100</f>
        <v>-1047.4227288</v>
      </c>
      <c r="E12" s="4" t="n">
        <f aca="false">-E6*Assumptions!E45/100</f>
        <v>-1173.113456256</v>
      </c>
      <c r="F12" s="4" t="n">
        <f aca="false">-F6*Assumptions!F45/100</f>
        <v>-1302.15593644416</v>
      </c>
      <c r="G12" s="4" t="n">
        <f aca="false">-G6*Assumptions!G45/100</f>
        <v>-1432.37153008858</v>
      </c>
      <c r="H12" s="4" t="n">
        <f aca="false">-H6*Assumptions!H45/100</f>
        <v>-1546.96125249566</v>
      </c>
      <c r="I12" s="4" t="n">
        <f aca="false">-I6*Assumptions!I45/100</f>
        <v>-1655.24854017036</v>
      </c>
      <c r="J12" s="4" t="n">
        <f aca="false">-J6*Assumptions!J45/100</f>
        <v>-1754.56345258058</v>
      </c>
      <c r="K12" s="4" t="n">
        <f aca="false">-K6*Assumptions!K45/100</f>
        <v>-1842.29162520961</v>
      </c>
      <c r="L12" s="4" t="n">
        <f aca="false">-L6*Assumptions!L45/100</f>
        <v>-1915.98329021799</v>
      </c>
    </row>
    <row r="13" customFormat="false" ht="15" hidden="false" customHeight="false" outlineLevel="0" collapsed="false">
      <c r="A13" s="0" t="s">
        <v>124</v>
      </c>
      <c r="C13" s="0" t="n">
        <f aca="false">C11+C12</f>
        <v>16243.81452</v>
      </c>
      <c r="D13" s="0" t="n">
        <f aca="false">D11+D12</f>
        <v>18853.6091184</v>
      </c>
      <c r="E13" s="0" t="n">
        <f aca="false">E11+E12</f>
        <v>22037.774213952</v>
      </c>
      <c r="F13" s="0" t="n">
        <f aca="false">F11+F12</f>
        <v>25019.9962073914</v>
      </c>
      <c r="G13" s="0" t="n">
        <f aca="false">G11+G12</f>
        <v>28135.8693410256</v>
      </c>
      <c r="H13" s="0" t="n">
        <f aca="false">H11+H12</f>
        <v>31049.7222822344</v>
      </c>
      <c r="I13" s="0" t="n">
        <f aca="false">I11+I12</f>
        <v>33341.4348805744</v>
      </c>
      <c r="J13" s="0" t="n">
        <f aca="false">J11+J12</f>
        <v>36093.8767388005</v>
      </c>
      <c r="K13" s="0" t="n">
        <f aca="false">K11+K12</f>
        <v>38030.1628346841</v>
      </c>
      <c r="L13" s="0" t="n">
        <f aca="false">L11+L12</f>
        <v>39825.081246674</v>
      </c>
    </row>
    <row r="14" customFormat="false" ht="15" hidden="false" customHeight="false" outlineLevel="0" collapsed="false">
      <c r="A14" s="0" t="s">
        <v>110</v>
      </c>
      <c r="C14" s="4" t="n">
        <f aca="false">Assumptions!C47</f>
        <v>21</v>
      </c>
      <c r="D14" s="4" t="n">
        <f aca="false">Assumptions!D47</f>
        <v>21</v>
      </c>
      <c r="E14" s="4" t="n">
        <f aca="false">Assumptions!E47</f>
        <v>21</v>
      </c>
      <c r="F14" s="4" t="n">
        <f aca="false">Assumptions!F47</f>
        <v>21</v>
      </c>
      <c r="G14" s="4" t="n">
        <f aca="false">Assumptions!G47</f>
        <v>21</v>
      </c>
      <c r="H14" s="4" t="n">
        <f aca="false">Assumptions!H47</f>
        <v>21</v>
      </c>
      <c r="I14" s="4" t="n">
        <f aca="false">Assumptions!I47</f>
        <v>21</v>
      </c>
      <c r="J14" s="4" t="n">
        <f aca="false">Assumptions!J47</f>
        <v>21</v>
      </c>
      <c r="K14" s="4" t="n">
        <f aca="false">Assumptions!K47</f>
        <v>21</v>
      </c>
      <c r="L14" s="4" t="n">
        <f aca="false">Assumptions!L47</f>
        <v>21</v>
      </c>
    </row>
    <row r="15" customFormat="false" ht="15" hidden="false" customHeight="false" outlineLevel="0" collapsed="false">
      <c r="A15" s="0" t="s">
        <v>125</v>
      </c>
      <c r="C15" s="0" t="n">
        <f aca="false">C13-MAX(0,C13)*C14/100</f>
        <v>12832.6134708</v>
      </c>
      <c r="D15" s="0" t="n">
        <f aca="false">D13-MAX(0,D13)*D14/100</f>
        <v>14894.351203536</v>
      </c>
      <c r="E15" s="0" t="n">
        <f aca="false">E13-MAX(0,E13)*E14/100</f>
        <v>17409.8416290221</v>
      </c>
      <c r="F15" s="0" t="n">
        <f aca="false">F13-MAX(0,F13)*F14/100</f>
        <v>19765.7970038392</v>
      </c>
      <c r="G15" s="0" t="n">
        <f aca="false">G13-MAX(0,G13)*G14/100</f>
        <v>22227.3367794102</v>
      </c>
      <c r="H15" s="0" t="n">
        <f aca="false">H13-MAX(0,H13)*H14/100</f>
        <v>24529.2806029652</v>
      </c>
      <c r="I15" s="0" t="n">
        <f aca="false">I13-MAX(0,I13)*I14/100</f>
        <v>26339.7335556538</v>
      </c>
      <c r="J15" s="0" t="n">
        <f aca="false">J13-MAX(0,J13)*J14/100</f>
        <v>28514.1626236524</v>
      </c>
      <c r="K15" s="0" t="n">
        <f aca="false">K13-MAX(0,K13)*K14/100</f>
        <v>30043.8286394004</v>
      </c>
      <c r="L15" s="0" t="n">
        <f aca="false">L13-MAX(0,L13)*L14/100</f>
        <v>31461.8141848725</v>
      </c>
    </row>
    <row r="16" customFormat="false" ht="15" hidden="false" customHeight="false" outlineLevel="0" collapsed="false">
      <c r="A16" s="0" t="s">
        <v>126</v>
      </c>
      <c r="C16" s="0" t="n">
        <f aca="false">-C12</f>
        <v>943.62408</v>
      </c>
      <c r="D16" s="0" t="n">
        <f aca="false">-D12</f>
        <v>1047.4227288</v>
      </c>
      <c r="E16" s="0" t="n">
        <f aca="false">-E12</f>
        <v>1173.113456256</v>
      </c>
      <c r="F16" s="0" t="n">
        <f aca="false">-F12</f>
        <v>1302.15593644416</v>
      </c>
      <c r="G16" s="0" t="n">
        <f aca="false">-G12</f>
        <v>1432.37153008858</v>
      </c>
      <c r="H16" s="0" t="n">
        <f aca="false">-H12</f>
        <v>1546.96125249566</v>
      </c>
      <c r="I16" s="0" t="n">
        <f aca="false">-I12</f>
        <v>1655.24854017036</v>
      </c>
      <c r="J16" s="0" t="n">
        <f aca="false">-J12</f>
        <v>1754.56345258058</v>
      </c>
      <c r="K16" s="0" t="n">
        <f aca="false">-K12</f>
        <v>1842.29162520961</v>
      </c>
      <c r="L16" s="0" t="n">
        <f aca="false">-L12</f>
        <v>1915.98329021799</v>
      </c>
    </row>
    <row r="17" customFormat="false" ht="15" hidden="false" customHeight="false" outlineLevel="0" collapsed="false">
      <c r="A17" s="0" t="s">
        <v>127</v>
      </c>
      <c r="C17" s="4" t="n">
        <f aca="false">-C6*Assumptions!C46/100</f>
        <v>-1011.0258</v>
      </c>
      <c r="D17" s="4" t="n">
        <f aca="false">-D6*Assumptions!D46/100</f>
        <v>-1122.238638</v>
      </c>
      <c r="E17" s="4" t="n">
        <f aca="false">-E6*Assumptions!E46/100</f>
        <v>-1256.90727456</v>
      </c>
      <c r="F17" s="4" t="n">
        <f aca="false">-F6*Assumptions!F46/100</f>
        <v>-1395.1670747616</v>
      </c>
      <c r="G17" s="4" t="n">
        <f aca="false">-G6*Assumptions!G46/100</f>
        <v>-1534.68378223776</v>
      </c>
      <c r="H17" s="4" t="n">
        <f aca="false">-H6*Assumptions!H46/100</f>
        <v>-1546.96125249566</v>
      </c>
      <c r="I17" s="4" t="n">
        <f aca="false">-I6*Assumptions!I46/100</f>
        <v>-1655.24854017036</v>
      </c>
      <c r="J17" s="4" t="n">
        <f aca="false">-J6*Assumptions!J46/100</f>
        <v>-1754.56345258058</v>
      </c>
      <c r="K17" s="4" t="n">
        <f aca="false">-K6*Assumptions!K46/100</f>
        <v>-1842.29162520961</v>
      </c>
      <c r="L17" s="4" t="n">
        <f aca="false">-L6*Assumptions!L46/100</f>
        <v>-1915.98329021799</v>
      </c>
    </row>
    <row r="18" customFormat="false" ht="15" hidden="false" customHeight="false" outlineLevel="0" collapsed="false">
      <c r="A18" s="0" t="s">
        <v>128</v>
      </c>
      <c r="C18" s="4" t="n">
        <f aca="false">(C6-B6)*Assumptions!$B$51/100</f>
        <v>499.272</v>
      </c>
      <c r="D18" s="4" t="n">
        <f aca="false">(D6-C6)*Assumptions!$B$51/100</f>
        <v>741.418920000001</v>
      </c>
      <c r="E18" s="4" t="n">
        <f aca="false">(E6-D6)*Assumptions!$B$51/100</f>
        <v>897.790910400001</v>
      </c>
      <c r="F18" s="4" t="n">
        <f aca="false">(F6-E6)*Assumptions!$B$51/100</f>
        <v>921.732001344001</v>
      </c>
      <c r="G18" s="4" t="n">
        <f aca="false">(G6-F6)*Assumptions!$B$51/100</f>
        <v>930.111383174401</v>
      </c>
      <c r="H18" s="4" t="n">
        <f aca="false">(H6-G6)*Assumptions!$B$51/100</f>
        <v>818.498017193473</v>
      </c>
      <c r="I18" s="4" t="n">
        <f aca="false">(I6-H6)*Assumptions!$B$51/100</f>
        <v>773.480626247832</v>
      </c>
      <c r="J18" s="4" t="n">
        <f aca="false">(J6-I6)*Assumptions!$B$51/100</f>
        <v>709.392231501584</v>
      </c>
      <c r="K18" s="4" t="n">
        <f aca="false">(K6-J6)*Assumptions!$B$51/100</f>
        <v>626.629804493065</v>
      </c>
      <c r="L18" s="4" t="n">
        <f aca="false">(L6-K6)*Assumptions!$B$51/100</f>
        <v>526.369035774176</v>
      </c>
    </row>
    <row r="19" customFormat="false" ht="15" hidden="false" customHeight="false" outlineLevel="0" collapsed="false">
      <c r="A19" s="0" t="s">
        <v>129</v>
      </c>
      <c r="C19" s="0" t="n">
        <f aca="false">C15+C16+C17+C18</f>
        <v>13264.4837508</v>
      </c>
      <c r="D19" s="0" t="n">
        <f aca="false">D15+D16+D17+D18</f>
        <v>15560.954214336</v>
      </c>
      <c r="E19" s="0" t="n">
        <f aca="false">E15+E16+E17+E18</f>
        <v>18223.8387211181</v>
      </c>
      <c r="F19" s="0" t="n">
        <f aca="false">F15+F16+F17+F18</f>
        <v>20594.5178668657</v>
      </c>
      <c r="G19" s="0" t="n">
        <f aca="false">G15+G16+G17+G18</f>
        <v>23055.1359104355</v>
      </c>
      <c r="H19" s="0" t="n">
        <f aca="false">H15+H16+H17+H18</f>
        <v>25347.7786201586</v>
      </c>
      <c r="I19" s="0" t="n">
        <f aca="false">I15+I16+I17+I18</f>
        <v>27113.2141819016</v>
      </c>
      <c r="J19" s="0" t="n">
        <f aca="false">J15+J16+J17+J18</f>
        <v>29223.554855154</v>
      </c>
      <c r="K19" s="0" t="n">
        <f aca="false">K15+K16+K17+K18</f>
        <v>30670.4584438935</v>
      </c>
      <c r="L19" s="0" t="n">
        <f aca="false">L15+L16+L17+L18</f>
        <v>31988.1832206467</v>
      </c>
    </row>
    <row r="20" customFormat="false" ht="15" hidden="false" customHeight="false" outlineLevel="0" collapsed="false">
      <c r="A20" s="0" t="s">
        <v>130</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131</v>
      </c>
      <c r="C21" s="0" t="n">
        <f aca="false">C19*C20</f>
        <v>12058.6215916364</v>
      </c>
      <c r="D21" s="0" t="n">
        <f aca="false">D19*D20</f>
        <v>12860.2927391207</v>
      </c>
      <c r="E21" s="0" t="n">
        <f aca="false">E19*E20</f>
        <v>13691.8397604193</v>
      </c>
      <c r="F21" s="0" t="n">
        <f aca="false">F19*F20</f>
        <v>14066.3328098257</v>
      </c>
      <c r="G21" s="0" t="n">
        <f aca="false">G19*G20</f>
        <v>14315.4254928162</v>
      </c>
      <c r="H21" s="0" t="n">
        <f aca="false">H19*H20</f>
        <v>14308.1602158541</v>
      </c>
      <c r="I21" s="0" t="n">
        <f aca="false">I19*I20</f>
        <v>13913.3659687707</v>
      </c>
      <c r="J21" s="0" t="n">
        <f aca="false">J19*J20</f>
        <v>13633.0040158933</v>
      </c>
      <c r="K21" s="0" t="n">
        <f aca="false">K19*K20</f>
        <v>13007.2683804475</v>
      </c>
      <c r="L21" s="0" t="n">
        <f aca="false">L19*L20</f>
        <v>12332.8293817627</v>
      </c>
    </row>
    <row r="23" customFormat="false" ht="15" hidden="false" customHeight="false" outlineLevel="0" collapsed="false">
      <c r="A23" s="0" t="s">
        <v>107</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132</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133</v>
      </c>
    </row>
    <row r="27" customFormat="false" ht="15" hidden="false" customHeight="false" outlineLevel="0" collapsed="false">
      <c r="A27" s="0" t="s">
        <v>111</v>
      </c>
      <c r="B27" s="4" t="n">
        <f aca="false">Assumptions!$B$48</f>
        <v>10</v>
      </c>
    </row>
    <row r="28" customFormat="false" ht="15" hidden="false" customHeight="false" outlineLevel="0" collapsed="false">
      <c r="A28" s="0" t="s">
        <v>112</v>
      </c>
      <c r="B28" s="4" t="n">
        <f aca="false">Assumptions!$B$49</f>
        <v>3</v>
      </c>
    </row>
    <row r="29" customFormat="false" ht="15" hidden="false" customHeight="false" outlineLevel="0" collapsed="false">
      <c r="A29" s="0" t="s">
        <v>113</v>
      </c>
      <c r="B29" s="4" t="n">
        <f aca="false">Assumptions!$B$50</f>
        <v>15</v>
      </c>
    </row>
    <row r="30" customFormat="false" ht="15" hidden="false" customHeight="false" outlineLevel="0" collapsed="false">
      <c r="A30" s="0" t="s">
        <v>134</v>
      </c>
      <c r="B30" s="0" t="n">
        <f aca="false">SUM(C21:L21)</f>
        <v>134187.140356546</v>
      </c>
    </row>
    <row r="31" customFormat="false" ht="15" hidden="false" customHeight="false" outlineLevel="0" collapsed="false">
      <c r="A31" s="0" t="s">
        <v>135</v>
      </c>
      <c r="B31" s="0" t="n">
        <f aca="false">L19</f>
        <v>31988.1832206467</v>
      </c>
    </row>
    <row r="32" customFormat="false" ht="15" hidden="false" customHeight="false" outlineLevel="0" collapsed="false">
      <c r="A32" s="0" t="s">
        <v>136</v>
      </c>
      <c r="B32" s="0" t="n">
        <f aca="false">IF(B27&gt;B28,B31*(1+B28/100)/((B27-B28)/100),B31*B29)</f>
        <v>470683.267389515</v>
      </c>
    </row>
    <row r="33" customFormat="false" ht="15" hidden="false" customHeight="false" outlineLevel="0" collapsed="false">
      <c r="A33" s="0" t="s">
        <v>137</v>
      </c>
      <c r="B33" s="0" t="n">
        <f aca="false">B31*B29</f>
        <v>479822.7483097</v>
      </c>
    </row>
    <row r="34" customFormat="false" ht="15" hidden="false" customHeight="false" outlineLevel="0" collapsed="false">
      <c r="A34" s="0" t="s">
        <v>138</v>
      </c>
      <c r="B34" s="0" t="n">
        <f aca="false">MAX(0,MIN(B32,B33))</f>
        <v>470683.267389515</v>
      </c>
    </row>
    <row r="35" customFormat="false" ht="15" hidden="false" customHeight="false" outlineLevel="0" collapsed="false">
      <c r="A35" s="0" t="s">
        <v>139</v>
      </c>
      <c r="B35" s="0" t="n">
        <f aca="false">B34/(1+B27/100)^L4</f>
        <v>181468.775188793</v>
      </c>
    </row>
    <row r="36" customFormat="false" ht="15" hidden="false" customHeight="false" outlineLevel="0" collapsed="false">
      <c r="A36" s="0" t="s">
        <v>140</v>
      </c>
      <c r="B36" s="0" t="n">
        <f aca="false">B30+B35</f>
        <v>315655.91554534</v>
      </c>
    </row>
    <row r="37" customFormat="false" ht="15" hidden="false" customHeight="false" outlineLevel="0" collapsed="false">
      <c r="A37" s="0" t="s">
        <v>141</v>
      </c>
      <c r="B37" s="0" t="n">
        <f aca="false">B36+Assumptions!$B$5-Assumptions!$B$4</f>
        <v>407127.91554534</v>
      </c>
    </row>
    <row r="38" customFormat="false" ht="15" hidden="false" customHeight="false" outlineLevel="0" collapsed="false">
      <c r="A38" s="0" t="s">
        <v>142</v>
      </c>
      <c r="B38" s="0" t="n">
        <f aca="false">B37/Assumptions!$B$3*Assumptions!$B$10</f>
        <v>725.82772390567</v>
      </c>
    </row>
    <row r="39" customFormat="false" ht="15" hidden="false" customHeight="false" outlineLevel="0" collapsed="false">
      <c r="A39" s="0" t="s">
        <v>143</v>
      </c>
      <c r="B39" s="4" t="n">
        <f aca="false">B38/Assumptions!$B$2-1</f>
        <v>1.30567891964952</v>
      </c>
    </row>
    <row r="41" customFormat="false" ht="15" hidden="false" customHeight="false" outlineLevel="0" collapsed="false">
      <c r="A41" s="0" t="s">
        <v>144</v>
      </c>
      <c r="B41" s="0" t="n">
        <f aca="false">SUMPRODUCT(-C10:L10/(1+$B$27/100)^C4:L4)</f>
        <v>21436.2573016887</v>
      </c>
    </row>
    <row r="42" customFormat="false" ht="15" hidden="false" customHeight="false" outlineLevel="0" collapsed="false">
      <c r="A42" s="0" t="s">
        <v>145</v>
      </c>
      <c r="B42" s="0" t="n">
        <f aca="false">IF(B27&gt;B28,-L10*(1+B28/100)/((B27-B28)/100),-L10*20)/(1+B27/100)^L4</f>
        <v>23291.4898533288</v>
      </c>
    </row>
    <row r="43" customFormat="false" ht="15" hidden="false" customHeight="false" outlineLevel="0" collapsed="false">
      <c r="A43" s="0" t="s">
        <v>146</v>
      </c>
      <c r="B43" s="0" t="n">
        <f aca="false">(B37+B41+B42)/Assumptions!$B$3*Assumptions!$B$10</f>
        <v>805.568359890969</v>
      </c>
    </row>
    <row r="45" customFormat="false" ht="15" hidden="false" customHeight="false" outlineLevel="0" collapsed="false">
      <c r="A45" s="0" t="s">
        <v>87</v>
      </c>
      <c r="B45" s="4" t="n">
        <f aca="false">Assumptions!$B$6</f>
        <v>15</v>
      </c>
    </row>
    <row r="46" customFormat="false" ht="15" hidden="false" customHeight="false" outlineLevel="0" collapsed="false">
      <c r="A46" s="0" t="s">
        <v>147</v>
      </c>
      <c r="B46" s="0" t="n">
        <f aca="false">MAX(0,MIN(IF(B45&gt;B28,B31*(1+B28/100)/((B45-B28)/100),B31*B29),B31*B29))</f>
        <v>274565.239310551</v>
      </c>
    </row>
    <row r="47" customFormat="false" ht="15" hidden="false" customHeight="false" outlineLevel="0" collapsed="false">
      <c r="A47" s="0" t="s">
        <v>148</v>
      </c>
      <c r="B47" s="0" t="n">
        <f aca="false">(SUMPRODUCT(C19:L19/(1+B45/100)^C4:L4)+B46/(1+B45/100)^L4+Assumptions!$B$5-Assumptions!$B$4)/Assumptions!$B$3*Assumptions!$B$10</f>
        <v>472.782553376438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151</v>
      </c>
    </row>
    <row r="3" customFormat="false" ht="15" hidden="false" customHeight="false" outlineLevel="0" collapsed="false">
      <c r="A3" s="2" t="s">
        <v>152</v>
      </c>
      <c r="B3" s="2" t="s">
        <v>153</v>
      </c>
      <c r="C3" s="2" t="s">
        <v>143</v>
      </c>
      <c r="D3" s="2" t="s">
        <v>154</v>
      </c>
      <c r="E3" s="2" t="s">
        <v>146</v>
      </c>
      <c r="F3" s="2" t="s">
        <v>155</v>
      </c>
    </row>
    <row r="4" customFormat="false" ht="15" hidden="false" customHeight="false" outlineLevel="0" collapsed="false">
      <c r="A4" s="0" t="s">
        <v>156</v>
      </c>
      <c r="B4" s="4" t="n">
        <f aca="false">DCF_Bear!$B$38</f>
        <v>393.591367413616</v>
      </c>
      <c r="C4" s="0" t="n">
        <f aca="false">B4/Assumptions!$B$2-1</f>
        <v>0.250290239560405</v>
      </c>
      <c r="D4" s="4" t="n">
        <f aca="false">Assumptions!$B$24</f>
        <v>0.3</v>
      </c>
      <c r="E4" s="4" t="n">
        <f aca="false">DCF_Bear!$B$43</f>
        <v>449.743862259236</v>
      </c>
      <c r="F4" s="4" t="n">
        <f aca="false">DCF_Bear!$B$47</f>
        <v>305.131608481048</v>
      </c>
    </row>
    <row r="5" customFormat="false" ht="15" hidden="false" customHeight="false" outlineLevel="0" collapsed="false">
      <c r="A5" s="0" t="s">
        <v>157</v>
      </c>
      <c r="B5" s="4" t="n">
        <f aca="false">DCF_Base!$B$38</f>
        <v>571.92069193648</v>
      </c>
      <c r="C5" s="0" t="n">
        <f aca="false">B5/Assumptions!$B$2-1</f>
        <v>0.816774752021856</v>
      </c>
      <c r="D5" s="4" t="n">
        <f aca="false">Assumptions!$B$38</f>
        <v>0.5</v>
      </c>
      <c r="E5" s="4" t="n">
        <f aca="false">DCF_Base!$B$43</f>
        <v>636.706351912928</v>
      </c>
      <c r="F5" s="4" t="n">
        <f aca="false">DCF_Base!$B$47</f>
        <v>398.66333257667</v>
      </c>
    </row>
    <row r="6" customFormat="false" ht="15" hidden="false" customHeight="false" outlineLevel="0" collapsed="false">
      <c r="A6" s="0" t="s">
        <v>158</v>
      </c>
      <c r="B6" s="4" t="n">
        <f aca="false">DCF_Bull!$B$38</f>
        <v>725.82772390567</v>
      </c>
      <c r="C6" s="0" t="n">
        <f aca="false">B6/Assumptions!$B$2-1</f>
        <v>1.30567891964952</v>
      </c>
      <c r="D6" s="4" t="n">
        <f aca="false">Assumptions!$B$52</f>
        <v>0.2</v>
      </c>
      <c r="E6" s="4" t="n">
        <f aca="false">DCF_Bull!$B$43</f>
        <v>805.568359890969</v>
      </c>
      <c r="F6" s="4" t="n">
        <f aca="false">DCF_Bull!$B$47</f>
        <v>472.782553376438</v>
      </c>
    </row>
    <row r="8" customFormat="false" ht="15" hidden="false" customHeight="false" outlineLevel="0" collapsed="false">
      <c r="A8" s="0" t="s">
        <v>159</v>
      </c>
      <c r="B8" s="0" t="n">
        <f aca="false">SUMPRODUCT(B4:B6,D4:D6)</f>
        <v>549.203300973459</v>
      </c>
    </row>
    <row r="9" customFormat="false" ht="15" hidden="false" customHeight="false" outlineLevel="0" collapsed="false">
      <c r="A9" s="0" t="s">
        <v>160</v>
      </c>
      <c r="B9" s="0" t="n">
        <f aca="false">SUMPRODUCT(E4:E6,D4:D6)</f>
        <v>614.390006612429</v>
      </c>
    </row>
    <row r="10" customFormat="false" ht="15" hidden="false" customHeight="false" outlineLevel="0" collapsed="false">
      <c r="A10" s="0" t="s">
        <v>161</v>
      </c>
      <c r="B10" s="0" t="n">
        <f aca="false">1-Assumptions!$B$2/B8</f>
        <v>0.426806067184922</v>
      </c>
    </row>
    <row r="11" customFormat="false" ht="15" hidden="false" customHeight="false" outlineLevel="0" collapsed="false">
      <c r="A11" s="0" t="s">
        <v>162</v>
      </c>
      <c r="B11" s="0" t="n">
        <f aca="false">IF(ABS(B9-B8)&gt;0.01*ABS(B8),(Assumptions!$B$2-B8)/(B9-B8)*100,"n/a")</f>
        <v>-359.587585652323</v>
      </c>
    </row>
    <row r="12" customFormat="false" ht="15" hidden="false" customHeight="false" outlineLevel="0" collapsed="false">
      <c r="A12" s="0" t="s">
        <v>163</v>
      </c>
      <c r="B12" s="0" t="n">
        <f aca="false">SUMPRODUCT(F4:F6,D4:D6)</f>
        <v>385.427659507937</v>
      </c>
    </row>
    <row r="14" customFormat="false" ht="15" hidden="false" customHeight="false" outlineLevel="0" collapsed="false">
      <c r="A14" s="2" t="s">
        <v>164</v>
      </c>
      <c r="C14" s="0" t="s">
        <v>165</v>
      </c>
    </row>
    <row r="15" customFormat="false" ht="15" hidden="false" customHeight="false" outlineLevel="0" collapsed="false">
      <c r="A15" s="0" t="s">
        <v>166</v>
      </c>
      <c r="B15" s="0" t="n">
        <f aca="false">(SUMPRODUCT(DCF_Base!$C$19:$L$19/(1+$C$15/100)^DCF_Base!$C$4:$L$4)+MAX(0,MIN(IF($C$15&gt;DCF_Base!$B$28,DCF_Base!$L$19*(1+DCF_Base!$B$28/100)/(($C$15-DCF_Base!$B$28)/100),DCF_Base!$L$19*DCF_Base!$B$29),DCF_Base!$L$19*DCF_Base!$B$29))/(1+$C$15/100)^DCF_Base!$L$4+Assumptions!$B$5-Assumptions!$B$4)/Assumptions!$B$3*Assumptions!$B$10</f>
        <v>625.698090079455</v>
      </c>
      <c r="C15" s="3" t="n">
        <v>9</v>
      </c>
    </row>
    <row r="16" customFormat="false" ht="15" hidden="false" customHeight="false" outlineLevel="0" collapsed="false">
      <c r="A16" s="0" t="s">
        <v>167</v>
      </c>
      <c r="B16" s="0" t="n">
        <f aca="false">(SUMPRODUCT(DCF_Base!$C$19:$L$19/(1+$C$16/100)^DCF_Base!$C$4:$L$4)+MAX(0,MIN(IF($C$16&gt;DCF_Base!$B$28,DCF_Base!$L$19*(1+DCF_Base!$B$28/100)/(($C$16-DCF_Base!$B$28)/100),DCF_Base!$L$19*DCF_Base!$B$29),DCF_Base!$L$19*DCF_Base!$B$29))/(1+$C$16/100)^DCF_Base!$L$4+Assumptions!$B$5-Assumptions!$B$4)/Assumptions!$B$3*Assumptions!$B$10</f>
        <v>571.92069193648</v>
      </c>
      <c r="C16" s="3" t="n">
        <v>10</v>
      </c>
    </row>
    <row r="17" customFormat="false" ht="15" hidden="false" customHeight="false" outlineLevel="0" collapsed="false">
      <c r="A17" s="0" t="s">
        <v>168</v>
      </c>
      <c r="B17" s="0" t="n">
        <f aca="false">(SUMPRODUCT(DCF_Base!$C$19:$L$19/(1+$C$17/100)^DCF_Base!$C$4:$L$4)+MAX(0,MIN(IF($C$17&gt;DCF_Base!$B$28,DCF_Base!$L$19*(1+DCF_Base!$B$28/100)/(($C$17-DCF_Base!$B$28)/100),DCF_Base!$L$19*DCF_Base!$B$29),DCF_Base!$L$19*DCF_Base!$B$29))/(1+$C$17/100)^DCF_Base!$L$4+Assumptions!$B$5-Assumptions!$B$4)/Assumptions!$B$3*Assumptions!$B$10</f>
        <v>520.657119177532</v>
      </c>
      <c r="C17" s="3" t="n">
        <v>11</v>
      </c>
    </row>
    <row r="18" customFormat="false" ht="15" hidden="false" customHeight="false" outlineLevel="0" collapsed="false">
      <c r="A18" s="0" t="s">
        <v>169</v>
      </c>
      <c r="B18" s="0" t="n">
        <f aca="false">(SUMPRODUCT(DCF_Base!$C$19:$L$19/(1+$C$18/100)^DCF_Base!$C$4:$L$4)+MAX(0,MIN(IF($C$18&gt;DCF_Base!$B$28,DCF_Base!$L$19*(1+DCF_Base!$B$28/100)/(($C$18-DCF_Base!$B$28)/100),DCF_Base!$L$19*DCF_Base!$B$29),DCF_Base!$L$19*DCF_Base!$B$29))/(1+$C$18/100)^DCF_Base!$L$4+Assumptions!$B$5-Assumptions!$B$4)/Assumptions!$B$3*Assumptions!$B$10</f>
        <v>480.331834411206</v>
      </c>
      <c r="C18" s="3" t="n">
        <v>12</v>
      </c>
    </row>
    <row r="19" customFormat="false" ht="15" hidden="false" customHeight="false" outlineLevel="0" collapsed="false">
      <c r="A19" s="0" t="s">
        <v>170</v>
      </c>
      <c r="B19" s="0" t="n">
        <f aca="false">(SUMPRODUCT(DCF_Base!$C$19:$L$19/(1+$C$19/100)^DCF_Base!$C$4:$L$4)+MAX(0,MIN(IF($C$19&gt;DCF_Base!$B$28,DCF_Base!$L$19*(1+DCF_Base!$B$28/100)/(($C$19-DCF_Base!$B$28)/100),DCF_Base!$L$19*DCF_Base!$B$29),DCF_Base!$L$19*DCF_Base!$B$29))/(1+$C$19/100)^DCF_Base!$L$4+Assumptions!$B$5-Assumptions!$B$4)/Assumptions!$B$3*Assumptions!$B$10</f>
        <v>398.66333257667</v>
      </c>
      <c r="C19" s="3" t="n">
        <v>15</v>
      </c>
    </row>
    <row r="21" customFormat="false" ht="15" hidden="false" customHeight="false" outlineLevel="0" collapsed="false">
      <c r="A21" s="2" t="s">
        <v>171</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661.283447351477</v>
      </c>
      <c r="C23" s="0" t="n">
        <f aca="false">(SUMPRODUCT(DCF_Base!$C$19:$L$19/(1+$A$23/100)^DCF_Base!$C$4:$L$4)+MAX(0,MIN(IF($A$23&gt;$C$22,DCF_Base!$L$19*(1+$C$22/100)/(($A$23-$C$22)/100),DCF_Base!$L$19*DCF_Base!$B$29),DCF_Base!$L$19*DCF_Base!$B$29))/(1+$A$23/100)^DCF_Base!$L$4+Assumptions!$B$5-Assumptions!$B$4)/Assumptions!$B$3*Assumptions!$B$10</f>
        <v>661.283447351477</v>
      </c>
      <c r="D23" s="0" t="n">
        <f aca="false">(SUMPRODUCT(DCF_Base!$C$19:$L$19/(1+$A$23/100)^DCF_Base!$C$4:$L$4)+MAX(0,MIN(IF($A$23&gt;$D$22,DCF_Base!$L$19*(1+$D$22/100)/(($A$23-$D$22)/100),DCF_Base!$L$19*DCF_Base!$B$29),DCF_Base!$L$19*DCF_Base!$B$29))/(1+$A$23/100)^DCF_Base!$L$4+Assumptions!$B$5-Assumptions!$B$4)/Assumptions!$B$3*Assumptions!$B$10</f>
        <v>661.283447351477</v>
      </c>
      <c r="E23" s="0" t="n">
        <f aca="false">(SUMPRODUCT(DCF_Base!$C$19:$L$19/(1+$A$23/100)^DCF_Base!$C$4:$L$4)+MAX(0,MIN(IF($A$23&gt;$E$22,DCF_Base!$L$19*(1+$E$22/100)/(($A$23-$E$22)/100),DCF_Base!$L$19*DCF_Base!$B$29),DCF_Base!$L$19*DCF_Base!$B$29))/(1+$A$23/100)^DCF_Base!$L$4+Assumptions!$B$5-Assumptions!$B$4)/Assumptions!$B$3*Assumptions!$B$10</f>
        <v>661.283447351477</v>
      </c>
      <c r="F23" s="0" t="n">
        <f aca="false">(SUMPRODUCT(DCF_Base!$C$19:$L$19/(1+$A$23/100)^DCF_Base!$C$4:$L$4)+MAX(0,MIN(IF($A$23&gt;$F$22,DCF_Base!$L$19*(1+$F$22/100)/(($A$23-$F$22)/100),DCF_Base!$L$19*DCF_Base!$B$29),DCF_Base!$L$19*DCF_Base!$B$29))/(1+$A$23/100)^DCF_Base!$L$4+Assumptions!$B$5-Assumptions!$B$4)/Assumptions!$B$3*Assumptions!$B$10</f>
        <v>661.283447351477</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599.980554433398</v>
      </c>
      <c r="C24" s="0" t="n">
        <f aca="false">(SUMPRODUCT(DCF_Base!$C$19:$L$19/(1+$A$24/100)^DCF_Base!$C$4:$L$4)+MAX(0,MIN(IF($A$24&gt;$C$22,DCF_Base!$L$19*(1+$C$22/100)/(($A$24-$C$22)/100),DCF_Base!$L$19*DCF_Base!$B$29),DCF_Base!$L$19*DCF_Base!$B$29))/(1+$A$24/100)^DCF_Base!$L$4+Assumptions!$B$5-Assumptions!$B$4)/Assumptions!$B$3*Assumptions!$B$10</f>
        <v>618.183225767295</v>
      </c>
      <c r="D24" s="0" t="n">
        <f aca="false">(SUMPRODUCT(DCF_Base!$C$19:$L$19/(1+$A$24/100)^DCF_Base!$C$4:$L$4)+MAX(0,MIN(IF($A$24&gt;$D$22,DCF_Base!$L$19*(1+$D$22/100)/(($A$24-$D$22)/100),DCF_Base!$L$19*DCF_Base!$B$29),DCF_Base!$L$19*DCF_Base!$B$29))/(1+$A$24/100)^DCF_Base!$L$4+Assumptions!$B$5-Assumptions!$B$4)/Assumptions!$B$3*Assumptions!$B$10</f>
        <v>625.698090079455</v>
      </c>
      <c r="E24" s="0" t="n">
        <f aca="false">(SUMPRODUCT(DCF_Base!$C$19:$L$19/(1+$A$24/100)^DCF_Base!$C$4:$L$4)+MAX(0,MIN(IF($A$24&gt;$E$22,DCF_Base!$L$19*(1+$E$22/100)/(($A$24-$E$22)/100),DCF_Base!$L$19*DCF_Base!$B$29),DCF_Base!$L$19*DCF_Base!$B$29))/(1+$A$24/100)^DCF_Base!$L$4+Assumptions!$B$5-Assumptions!$B$4)/Assumptions!$B$3*Assumptions!$B$10</f>
        <v>625.698090079455</v>
      </c>
      <c r="F24" s="0" t="n">
        <f aca="false">(SUMPRODUCT(DCF_Base!$C$19:$L$19/(1+$A$24/100)^DCF_Base!$C$4:$L$4)+MAX(0,MIN(IF($A$24&gt;$F$22,DCF_Base!$L$19*(1+$F$22/100)/(($A$24-$F$22)/100),DCF_Base!$L$19*DCF_Base!$B$29),DCF_Base!$L$19*DCF_Base!$B$29))/(1+$A$24/100)^DCF_Base!$L$4+Assumptions!$B$5-Assumptions!$B$4)/Assumptions!$B$3*Assumptions!$B$10</f>
        <v>625.698090079455</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544.305469066064</v>
      </c>
      <c r="C25" s="0" t="n">
        <f aca="false">(SUMPRODUCT(DCF_Base!$C$19:$L$19/(1+$A$25/100)^DCF_Base!$C$4:$L$4)+MAX(0,MIN(IF($A$25&gt;$C$22,DCF_Base!$L$19*(1+$C$22/100)/(($A$25-$C$22)/100),DCF_Base!$L$19*DCF_Base!$B$29),DCF_Base!$L$19*DCF_Base!$B$29))/(1+$A$25/100)^DCF_Base!$L$4+Assumptions!$B$5-Assumptions!$B$4)/Assumptions!$B$3*Assumptions!$B$10</f>
        <v>557.250104786572</v>
      </c>
      <c r="D25" s="0" t="n">
        <f aca="false">(SUMPRODUCT(DCF_Base!$C$19:$L$19/(1+$A$25/100)^DCF_Base!$C$4:$L$4)+MAX(0,MIN(IF($A$25&gt;$D$22,DCF_Base!$L$19*(1+$D$22/100)/(($A$25-$D$22)/100),DCF_Base!$L$19*DCF_Base!$B$29),DCF_Base!$L$19*DCF_Base!$B$29))/(1+$A$25/100)^DCF_Base!$L$4+Assumptions!$B$5-Assumptions!$B$4)/Assumptions!$B$3*Assumptions!$B$10</f>
        <v>571.92069193648</v>
      </c>
      <c r="E25" s="0" t="n">
        <f aca="false">(SUMPRODUCT(DCF_Base!$C$19:$L$19/(1+$A$25/100)^DCF_Base!$C$4:$L$4)+MAX(0,MIN(IF($A$25&gt;$E$22,DCF_Base!$L$19*(1+$E$22/100)/(($A$25-$E$22)/100),DCF_Base!$L$19*DCF_Base!$B$29),DCF_Base!$L$19*DCF_Base!$B$29))/(1+$A$25/100)^DCF_Base!$L$4+Assumptions!$B$5-Assumptions!$B$4)/Assumptions!$B$3*Assumptions!$B$10</f>
        <v>588.687077250662</v>
      </c>
      <c r="F25" s="0" t="n">
        <f aca="false">(SUMPRODUCT(DCF_Base!$C$19:$L$19/(1+$A$25/100)^DCF_Base!$C$4:$L$4)+MAX(0,MIN(IF($A$25&gt;$F$22,DCF_Base!$L$19*(1+$F$22/100)/(($A$25-$F$22)/100),DCF_Base!$L$19*DCF_Base!$B$29),DCF_Base!$L$19*DCF_Base!$B$29))/(1+$A$25/100)^DCF_Base!$L$4+Assumptions!$B$5-Assumptions!$B$4)/Assumptions!$B$3*Assumptions!$B$10</f>
        <v>593.259727790893</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500.56093658605</v>
      </c>
      <c r="C26" s="0" t="n">
        <f aca="false">(SUMPRODUCT(DCF_Base!$C$19:$L$19/(1+$A$26/100)^DCF_Base!$C$4:$L$4)+MAX(0,MIN(IF($A$26&gt;$C$22,DCF_Base!$L$19*(1+$C$22/100)/(($A$26-$C$22)/100),DCF_Base!$L$19*DCF_Base!$B$29),DCF_Base!$L$19*DCF_Base!$B$29))/(1+$A$26/100)^DCF_Base!$L$4+Assumptions!$B$5-Assumptions!$B$4)/Assumptions!$B$3*Assumptions!$B$10</f>
        <v>510.050800587583</v>
      </c>
      <c r="D26" s="0" t="n">
        <f aca="false">(SUMPRODUCT(DCF_Base!$C$19:$L$19/(1+$A$26/100)^DCF_Base!$C$4:$L$4)+MAX(0,MIN(IF($A$26&gt;$D$22,DCF_Base!$L$19*(1+$D$22/100)/(($A$26-$D$22)/100),DCF_Base!$L$19*DCF_Base!$B$29),DCF_Base!$L$19*DCF_Base!$B$29))/(1+$A$26/100)^DCF_Base!$L$4+Assumptions!$B$5-Assumptions!$B$4)/Assumptions!$B$3*Assumptions!$B$10</f>
        <v>520.657119177532</v>
      </c>
      <c r="E26" s="0" t="n">
        <f aca="false">(SUMPRODUCT(DCF_Base!$C$19:$L$19/(1+$A$26/100)^DCF_Base!$C$4:$L$4)+MAX(0,MIN(IF($A$26&gt;$E$22,DCF_Base!$L$19*(1+$E$22/100)/(($A$26-$E$22)/100),DCF_Base!$L$19*DCF_Base!$B$29),DCF_Base!$L$19*DCF_Base!$B$29))/(1+$A$26/100)^DCF_Base!$L$4+Assumptions!$B$5-Assumptions!$B$4)/Assumptions!$B$3*Assumptions!$B$10</f>
        <v>532.589227591223</v>
      </c>
      <c r="F26" s="0" t="n">
        <f aca="false">(SUMPRODUCT(DCF_Base!$C$19:$L$19/(1+$A$26/100)^DCF_Base!$C$4:$L$4)+MAX(0,MIN(IF($A$26&gt;$F$22,DCF_Base!$L$19*(1+$F$22/100)/(($A$26-$F$22)/100),DCF_Base!$L$19*DCF_Base!$B$29),DCF_Base!$L$19*DCF_Base!$B$29))/(1+$A$26/100)^DCF_Base!$L$4+Assumptions!$B$5-Assumptions!$B$4)/Assumptions!$B$3*Assumptions!$B$10</f>
        <v>546.112283793408</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465.325044601076</v>
      </c>
      <c r="C27" s="0" t="n">
        <f aca="false">(SUMPRODUCT(DCF_Base!$C$19:$L$19/(1+$A$27/100)^DCF_Base!$C$4:$L$4)+MAX(0,MIN(IF($A$27&gt;$C$22,DCF_Base!$L$19*(1+$C$22/100)/(($A$27-$C$22)/100),DCF_Base!$L$19*DCF_Base!$B$29),DCF_Base!$L$19*DCF_Base!$B$29))/(1+$A$27/100)^DCF_Base!$L$4+Assumptions!$B$5-Assumptions!$B$4)/Assumptions!$B$3*Assumptions!$B$10</f>
        <v>472.453269760888</v>
      </c>
      <c r="D27" s="0" t="n">
        <f aca="false">(SUMPRODUCT(DCF_Base!$C$19:$L$19/(1+$A$27/100)^DCF_Base!$C$4:$L$4)+MAX(0,MIN(IF($A$27&gt;$D$22,DCF_Base!$L$19*(1+$D$22/100)/(($A$27-$D$22)/100),DCF_Base!$L$19*DCF_Base!$B$29),DCF_Base!$L$19*DCF_Base!$B$29))/(1+$A$27/100)^DCF_Base!$L$4+Assumptions!$B$5-Assumptions!$B$4)/Assumptions!$B$3*Assumptions!$B$10</f>
        <v>480.331834411206</v>
      </c>
      <c r="E27" s="0" t="n">
        <f aca="false">(SUMPRODUCT(DCF_Base!$C$19:$L$19/(1+$A$27/100)^DCF_Base!$C$4:$L$4)+MAX(0,MIN(IF($A$27&gt;$E$22,DCF_Base!$L$19*(1+$E$22/100)/(($A$27-$E$22)/100),DCF_Base!$L$19*DCF_Base!$B$29),DCF_Base!$L$19*DCF_Base!$B$29))/(1+$A$27/100)^DCF_Base!$L$4+Assumptions!$B$5-Assumptions!$B$4)/Assumptions!$B$3*Assumptions!$B$10</f>
        <v>489.085795133781</v>
      </c>
      <c r="F27" s="0" t="n">
        <f aca="false">(SUMPRODUCT(DCF_Base!$C$19:$L$19/(1+$A$27/100)^DCF_Base!$C$4:$L$4)+MAX(0,MIN(IF($A$27&gt;$F$22,DCF_Base!$L$19*(1+$F$22/100)/(($A$27-$F$22)/100),DCF_Base!$L$19*DCF_Base!$B$29),DCF_Base!$L$19*DCF_Base!$B$29))/(1+$A$27/100)^DCF_Base!$L$4+Assumptions!$B$5-Assumptions!$B$4)/Assumptions!$B$3*Assumptions!$B$10</f>
        <v>498.869633588424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2026-10-23T21:12:43Z</dcterms:created>
  <dc:creator>openpyxl</dc:creator>
  <dc:description/>
  <dc:language>en-NZ</dc:language>
  <cp:lastModifiedBy/>
  <dcterms:modified xsi:type="dcterms:W3CDTF">2026-10-23T21:12:43Z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