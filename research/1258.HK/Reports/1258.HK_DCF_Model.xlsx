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<sst xmlns="http://schemas.openxmlformats.org/spreadsheetml/2006/main" count="357" uniqueCount="166">
  <si>
    <t xml:space="preserve">Ticker</t>
  </si>
  <si>
    <t xml:space="preserve">1258.HK</t>
  </si>
  <si>
    <t xml:space="preserve">Company</t>
  </si>
  <si>
    <t xml:space="preserve">China Nonferrous Mining Corporation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</si>
  <si>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</si>
  <si>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</si>
  <si>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</si>
  <si>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</si>
  <si>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2026-10-16T06:47:53Z (HKEX regular session; 52-week range 10.31-19.05)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</si>
  <si>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</si>
  <si>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</si>
  <si>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</si>
  <si>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</si>
  <si>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</si>
  <si>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</si>
  <si>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</si>
  <si>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</si>
  <si>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</si>
  <si>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</si>
  <si>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</si>
  <si>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</si>
  <si>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</si>
  <si>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2026-10-16T07:10:21Z</t>
  </si>
  <si>
    <t xml:space="preserve">Drivers file</t>
  </si>
  <si>
    <t xml:space="preserve">1258.HK_Drivers.json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</si>
  <si>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</si>
  <si>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</si>
  <si>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</si>
  <si>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on attributable flows for a cyclical copper miner-smelter valued at a cycle peak. The flows are normalised to a US$10.5k/t copper price and a 28% EBITDA margin rather than capitalising the H1 2026 43.7% margin; the ~30% minority leakage and the ~29% cash tax are charged in the flows at a combined 51% of EBIT; interest income is stripped and the US$2.0bn cash, the US$346m related-party deposits and the dividends already paid are bridged explicitly, with an estimated US$300m of subsidiary cash reserved for the minorities. The USD valuation is converted to the HKD quote at 7.8475. Terminal multiples are capped at cyclical levels (10x/12x/14x).
key_risks_to_valuation: Copper price: every US$1,000/t on ~143kt of owned-mine copper plus the margin on ~400kt of processed concentrate is worth roughly US$150-200m of EBITDA, so the mid-cycle price assumption (US$10.5k/t base) drives most of the gap between the scenarios.; The NCI cash estimate (US$300m) is derived from the interest-income split, not disclosed; if most group cash sits at the holding companies the deduction is too large by up to ~US$0.05/share (HK$0.4), and vice versa.; Combined 51% leakage assumes NCI stays ~30% of profit; a shift of profit toward the 85%-owned NFCA (Chambishi SE Phase II) lowers leakage, a shift toward the 55-57%-owned DRC smelter/Kambove raises it.; Zambian fiscal regime (sliding royalty up to 10% at current prices, periodic rewrites) and DRC export-quota policy can move margins by several points with no notice.; Power: Zambia's hydropower deficit forces diesel generation and production stoppages; a multi-year dry cycle would push the base margin toward the bear path.; Related-party deposits (US$346m with the CNMC Group finance company) and the acquisition of Benkala from a related party are captive-capital exposures carried at book.; Deposits, timing of tax payable (US$362m at 30 June) and provisional-pricing receivables/payables make reported FCF swing by hundreds of millions between halves; the component build ignores these timing effects.</t>
  </si>
  <si>
    <t xml:space="preserve">Data sources</t>
  </si>
  <si>
    <t xml:space="preserve">price: Yahoo Finance chart API at inputs.price_as_of; 52-week range 10.31-19.05 HKD; USD/HKD from Yahoo HKD=X at the same time.
financials: 1258.HK_Metrics.csv (core_metrics, USD millions, FY2017-FY2025 + H1 2023-H1 2026); FY2025 annual report (dividends, tax, leases, subsidiary ownership note 15, company-level balance sheet note 36, cash note 21); 2026 interim report (balance sheet at 30 June 2026, cash-flow statement, note 12 deposits, note 17 dividends, segment note interest-income split); COMEX HG=F for the spot copper reference.
qualitative: 1258.HK_Analysis.json (business model, revenue mix, cobalt suspension, project pipeline, FY2026 production targets, risks).</t>
  </si>
  <si>
    <t xml:space="preserve">Scenario narrative: bear</t>
  </si>
  <si>
    <t xml:space="preserve">Copper mean-reverts and the jurisdictions bite. A supply response and a global industrial slowdown take LME back to US$8.5-9k/t by 2027, the range of FY2021-24; revenue falls ~25% from the year-1 level and margins revert to the ~21% FY2020-23 band because the sliding Zambian royalty gives nothing back on the way down while diesel back-up for the hydropower deficit (707MW short in 2025 and widening) lifts unit costs. The DRC cobalt quota is never restored and permit-style controls spread to copper; SML or Lualaba suffer further suspensions. Capex for the TBM, Samba and Benkala continues into the downturn, so free cash flow is thin, and the market applies a 10x trough multiple to a SASAC-controlled African miner.</t>
  </si>
  <si>
    <t xml:space="preserve">Scenario narrative: base</t>
  </si>
  <si>
    <t xml:space="preserve">A through-cycle valuation at a cycle peak. H2 2026 is largely locked in near spot (LME ~US$14k/t, FY2026 volume targets on track: 56% of cathode and 52-53% of blister/anode and mine-copper targets achieved in H1), so year 1 carries a 41% operating EBITDA margin on ~US$4.6bn revenue. From there copper normalises to a US$10.5k/t mid-cycle over two years and the margin settles at 28%, FY2025's level plus the mix shift toward higher-margin tolling (55.9% margin), copper cathodes and sulphuric acid. Volume grows ~2-3% a year from Luanshya New Mine, Chambishi SE Phase II (TBM trial excavation began April 2026), Kambove MSESA, Samba and, from ~2029-30, the 70%-owned Benkala project. Cobalt is zero throughout (suspended since March 2026 on the DRC quota miss). Tax and the ~30% NCI leakage are charged in the flows at a combined 51% of EBIT; the group's US$2.0bn cash is added net of US$205m of dividends already paid, plus US$346m of deposits with the parent's finance company, less a ~US$300m estimate of the minorities' share of subsidiary cash.</t>
  </si>
  <si>
    <t xml:space="preserve">Scenario narrative: bull</t>
  </si>
  <si>
    <t xml:space="preserve">The structural-deficit thesis holds: constrained mine supply against grid, EV and AI data-centre demand keeps LME copper at US$13-14k/t nominal through the decade, so the current 43% margin only fades to 34% as costs inflate and royalties step up. Brownfield projects and Benkala add ~2-3% volume a year on top of inflation, tolling volumes keep rising as the Zambian/DRC concentrate market tightens, SML remains stable, Zambian power is secured under contract, and cobalt exports resume under a 2027 ARECOMS allocation (not separately modelled, so this case is still conservative on cobalt). The market pays a 14x terminal multiple for a net-cash, 40%-payout copper producer inside the MSCI China Index.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</si>
  <si>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</si>
  <si>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</si>
  <si>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</si>
  <si>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</si>
  <si>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</si>
  <si>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</si>
  <si>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</si>
  <si>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</si>
  <si>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</si>
  <si>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</si>
  <si>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</si>
  <si>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</si>
  <si>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</si>
  <si>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</si>
  <si>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</si>
  <si>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</si>
  <si>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</si>
  <si>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</si>
  <si>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</si>
  <si>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</si>
  <si>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</si>
  <si>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</si>
  <si>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</si>
  <si>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</si>
  <si>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</si>
  <si>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</si>
  <si>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</si>
  <si>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</si>
  <si>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</si>
  <si>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</si>
  <si>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</si>
  <si>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</si>
  <si>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</si>
  <si>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</si>
  <si>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</si>
  <si>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</si>
  <si>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</si>
  <si>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</si>
  <si>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</si>
  <si>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</si>
  <si>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</si>
  <si>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</si>
  <si>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</si>
  <si>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</si>
  <si>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</si>
  <si>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</si>
  <si>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</si>
  <si>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</si>
  <si>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</si>
  <si>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</si>
  <si>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</si>
  <si>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</si>
  <si>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</si>
  <si>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</si>
  <si>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</si>
  <si>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</si>
  <si>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</si>
  <si>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</si>
  <si>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</si>
  <si>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</si>
  <si>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</si>
  <si>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</si>
  <si>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</si>
  <si>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</si>
  <si>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</si>
  <si>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</si>
  <si>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</si>
  <si>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</si>
  <si>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</si>
  <si>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</si>
  <si>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</si>
  <si>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</si>
  <si>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</si>
  <si>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</si>
  <si>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</si>
  <si>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1258.HK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</si>
  <si>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</si>
  <si>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</si>
  <si>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</si>
  <si>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</si>
  <si>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</si>
  <si>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</si>
  <si>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</si>
  <si>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</si>
  <si>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</si>
  <si>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</si>
  <si>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</si>
  <si>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</si>
  <si>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</si>
  <si>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</si>
  <si>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</si>
  <si>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</si>
  <si>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</si>
  <si>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</si>
  <si>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</si>
  <si>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</si>
  <si>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</si>
  <si>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</si>
  <si>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</si>
  <si>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</si>
  <si>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</si>
  <si>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</si>
  <si>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</si>
  <si>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</si>
  <si>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</si>
  <si>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</si>
  <si>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1258.HK owner-FCF component DCF: base case (millions, USD)</t>
  </si>
  <si>
    <t xml:space="preserve">1258.HK owner-FCF component DCF: bull case (millions, USD)</t>
  </si>
  <si>
    <t xml:space="preserve">1258.HK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</si>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</sst>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14.05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1838.731</v>
      </c>
      <c r="C2" s="0" t="n">
        <v>1406.783</v>
      </c>
      <c r="D2" s="0" t="n">
        <v>431.948</v>
      </c>
      <c r="E2" s="0" t="n">
        <v>23.5</v>
      </c>
      <c r="F2" s="0" t="n">
        <v>342.344</v>
      </c>
      <c r="G2" s="0" t="n">
        <v>18.6</v>
      </c>
      <c r="H2" s="0" t="n">
        <v>458.864</v>
      </c>
      <c r="I2" s="0" t="n">
        <v>142.428</v>
      </c>
      <c r="J2" s="0" t="n">
        <v>7.7</v>
      </c>
      <c r="K2" s="0" t="n">
        <v>0.0408</v>
      </c>
      <c r="L2" s="0" t="n">
        <v>335.782</v>
      </c>
      <c r="M2" s="0" t="n">
        <v>205.868</v>
      </c>
      <c r="N2" s="0" t="n">
        <v>129.914</v>
      </c>
      <c r="O2" s="0" t="n">
        <v>787.075</v>
      </c>
      <c r="P2" s="0" t="n">
        <v>2803.197</v>
      </c>
      <c r="Q2" s="0" t="n">
        <v>1763.113</v>
      </c>
      <c r="R2" s="0" t="n">
        <v>1268.737</v>
      </c>
      <c r="S2" s="0" t="n">
        <v>854.984</v>
      </c>
      <c r="T2" s="0" t="n">
        <v>3489.036</v>
      </c>
      <c r="U2" s="0" t="n">
        <v>0</v>
      </c>
      <c r="AA2" s="0" t="s">
        <v>18</v>
      </c>
      <c r="AB2" s="0" t="s">
        <v>14</v>
      </c>
      <c r="AC2" s="0" t="n">
        <v>233.859</v>
      </c>
    </row>
    <row r="3" customFormat="false" ht="15" hidden="false" customHeight="false" outlineLevel="0" collapsed="false">
      <c r="A3" s="0" t="s">
        <v>66</v>
      </c>
      <c r="B3" s="0" t="n">
        <v>2053.32</v>
      </c>
      <c r="C3" s="0" t="n">
        <v>1552.788</v>
      </c>
      <c r="D3" s="0" t="n">
        <v>500.532</v>
      </c>
      <c r="E3" s="0" t="n">
        <v>24.4</v>
      </c>
      <c r="F3" s="0" t="n">
        <v>348.441</v>
      </c>
      <c r="G3" s="0" t="n">
        <v>17</v>
      </c>
      <c r="H3" s="0" t="n">
        <v>458.119</v>
      </c>
      <c r="I3" s="0" t="n">
        <v>146.26</v>
      </c>
      <c r="J3" s="0" t="n">
        <v>7.1</v>
      </c>
      <c r="K3" s="0" t="n">
        <v>0.0419</v>
      </c>
      <c r="L3" s="0" t="n">
        <v>205.729</v>
      </c>
      <c r="M3" s="0" t="n">
        <v>356.094</v>
      </c>
      <c r="N3" s="0" t="n">
        <v>-150.365</v>
      </c>
      <c r="O3" s="0" t="n">
        <v>908.182</v>
      </c>
      <c r="P3" s="0" t="n">
        <v>2833.005</v>
      </c>
      <c r="Q3" s="0" t="n">
        <v>1536.45</v>
      </c>
      <c r="R3" s="0" t="n">
        <v>1062.481</v>
      </c>
      <c r="S3" s="0" t="n">
        <v>505.091</v>
      </c>
      <c r="T3" s="0" t="n">
        <v>3489.036</v>
      </c>
      <c r="U3" s="0" t="n">
        <v>0</v>
      </c>
      <c r="AA3" s="0" t="s">
        <v>18</v>
      </c>
      <c r="AB3" s="0" t="s">
        <v>14</v>
      </c>
      <c r="AC3" s="0" t="n">
        <v>243.978</v>
      </c>
    </row>
    <row r="4" customFormat="false" ht="15" hidden="false" customHeight="false" outlineLevel="0" collapsed="false">
      <c r="A4" s="0" t="s">
        <v>67</v>
      </c>
      <c r="B4" s="0" t="n">
        <v>2008.719</v>
      </c>
      <c r="C4" s="0" t="n">
        <v>1540.246</v>
      </c>
      <c r="D4" s="0" t="n">
        <v>468.473</v>
      </c>
      <c r="E4" s="0" t="n">
        <v>23.3</v>
      </c>
      <c r="F4" s="0" t="n">
        <v>340.691</v>
      </c>
      <c r="G4" s="0" t="n">
        <v>17</v>
      </c>
      <c r="H4" s="0" t="n">
        <v>450.94</v>
      </c>
      <c r="I4" s="0" t="n">
        <v>134.874</v>
      </c>
      <c r="J4" s="0" t="n">
        <v>6.7</v>
      </c>
      <c r="K4" s="0" t="n">
        <v>0.0387</v>
      </c>
      <c r="L4" s="0" t="n">
        <v>368.736</v>
      </c>
      <c r="M4" s="0" t="n">
        <v>428.585</v>
      </c>
      <c r="N4" s="0" t="n">
        <v>-59.849</v>
      </c>
      <c r="O4" s="0" t="n">
        <v>1013.804</v>
      </c>
      <c r="P4" s="0" t="n">
        <v>3315.531</v>
      </c>
      <c r="Q4" s="0" t="n">
        <v>1779.455</v>
      </c>
      <c r="R4" s="0" t="n">
        <v>1195.778</v>
      </c>
      <c r="S4" s="0" t="n">
        <v>481.21</v>
      </c>
      <c r="T4" s="0" t="n">
        <v>3489.036</v>
      </c>
      <c r="U4" s="0" t="n">
        <v>0</v>
      </c>
      <c r="AA4" s="0" t="s">
        <v>18</v>
      </c>
      <c r="AB4" s="0" t="s">
        <v>14</v>
      </c>
      <c r="AC4" s="0" t="n">
        <v>224.514</v>
      </c>
    </row>
    <row r="5" customFormat="false" ht="15" hidden="false" customHeight="false" outlineLevel="0" collapsed="false">
      <c r="A5" s="0" t="s">
        <v>68</v>
      </c>
      <c r="B5" s="0" t="n">
        <v>2597.213</v>
      </c>
      <c r="C5" s="0" t="n">
        <v>1967.771</v>
      </c>
      <c r="D5" s="0" t="n">
        <v>629.442</v>
      </c>
      <c r="E5" s="0" t="n">
        <v>24.2</v>
      </c>
      <c r="F5" s="0" t="n">
        <v>346.877</v>
      </c>
      <c r="G5" s="0" t="n">
        <v>13.4</v>
      </c>
      <c r="H5" s="0" t="n">
        <v>501.235</v>
      </c>
      <c r="I5" s="0" t="n">
        <v>124.965</v>
      </c>
      <c r="J5" s="0" t="n">
        <v>4.8</v>
      </c>
      <c r="K5" s="0" t="n">
        <v>0.0358</v>
      </c>
      <c r="L5" s="0" t="n">
        <v>482.454</v>
      </c>
      <c r="M5" s="0" t="n">
        <v>217.418</v>
      </c>
      <c r="N5" s="0" t="n">
        <v>265.036</v>
      </c>
      <c r="O5" s="0" t="n">
        <v>1111.764</v>
      </c>
      <c r="P5" s="0" t="n">
        <v>3533.359</v>
      </c>
      <c r="Q5" s="0" t="n">
        <v>1874.417</v>
      </c>
      <c r="R5" s="0" t="n">
        <v>1061.442</v>
      </c>
      <c r="S5" s="0" t="n">
        <v>497.829</v>
      </c>
      <c r="T5" s="0" t="n">
        <v>3489.036</v>
      </c>
      <c r="U5" s="0" t="n">
        <v>0</v>
      </c>
      <c r="AA5" s="0" t="s">
        <v>18</v>
      </c>
      <c r="AB5" s="0" t="s">
        <v>14</v>
      </c>
      <c r="AC5" s="0" t="n">
        <v>196.94</v>
      </c>
    </row>
    <row r="6" customFormat="false" ht="15" hidden="false" customHeight="false" outlineLevel="0" collapsed="false">
      <c r="A6" s="0" t="s">
        <v>69</v>
      </c>
      <c r="B6" s="0" t="n">
        <v>4050.588</v>
      </c>
      <c r="C6" s="0" t="n">
        <v>2965.553</v>
      </c>
      <c r="D6" s="0" t="n">
        <v>1085.035</v>
      </c>
      <c r="E6" s="0" t="n">
        <v>26.8</v>
      </c>
      <c r="F6" s="0" t="n">
        <v>844.352</v>
      </c>
      <c r="G6" s="0" t="n">
        <v>20.8</v>
      </c>
      <c r="H6" s="0" t="n">
        <v>1054.214</v>
      </c>
      <c r="I6" s="0" t="n">
        <v>357.121</v>
      </c>
      <c r="J6" s="0" t="n">
        <v>8.8</v>
      </c>
      <c r="K6" s="0" t="n">
        <v>0.0978</v>
      </c>
      <c r="L6" s="0" t="n">
        <v>536.383</v>
      </c>
      <c r="M6" s="0" t="n">
        <v>204.501</v>
      </c>
      <c r="N6" s="0" t="n">
        <v>331.882</v>
      </c>
      <c r="O6" s="0" t="n">
        <v>1542.202</v>
      </c>
      <c r="P6" s="0" t="n">
        <v>4163.984</v>
      </c>
      <c r="Q6" s="0" t="n">
        <v>1992.1</v>
      </c>
      <c r="R6" s="0" t="n">
        <v>872.358</v>
      </c>
      <c r="S6" s="0" t="n">
        <v>606.746</v>
      </c>
      <c r="T6" s="0" t="n">
        <v>3650</v>
      </c>
      <c r="U6" s="0" t="n">
        <v>0</v>
      </c>
      <c r="AA6" s="0" t="s">
        <v>18</v>
      </c>
      <c r="AB6" s="0" t="s">
        <v>14</v>
      </c>
      <c r="AC6" s="0" t="n">
        <v>515.395</v>
      </c>
    </row>
    <row r="7" customFormat="false" ht="15" hidden="false" customHeight="false" outlineLevel="0" collapsed="false">
      <c r="A7" s="0" t="s">
        <v>70</v>
      </c>
      <c r="B7" s="0" t="n">
        <v>4094.716</v>
      </c>
      <c r="C7" s="0" t="n">
        <v>3287.495</v>
      </c>
      <c r="D7" s="0" t="n">
        <v>807.221</v>
      </c>
      <c r="E7" s="0" t="n">
        <v>19.7</v>
      </c>
      <c r="F7" s="0" t="n">
        <v>586.426</v>
      </c>
      <c r="G7" s="0" t="n">
        <v>14.3</v>
      </c>
      <c r="H7" s="0" t="n">
        <v>823.724</v>
      </c>
      <c r="I7" s="0" t="n">
        <v>263.694</v>
      </c>
      <c r="J7" s="0" t="n">
        <v>6.4</v>
      </c>
      <c r="K7" s="0" t="n">
        <v>0.0705</v>
      </c>
      <c r="L7" s="0" t="n">
        <v>782.522</v>
      </c>
      <c r="M7" s="0" t="n">
        <v>50.142</v>
      </c>
      <c r="N7" s="0" t="n">
        <v>732.38</v>
      </c>
      <c r="O7" s="0" t="n">
        <v>1663.046</v>
      </c>
      <c r="P7" s="0" t="n">
        <v>4021.016</v>
      </c>
      <c r="Q7" s="0" t="n">
        <v>1688.08</v>
      </c>
      <c r="R7" s="0" t="n">
        <v>529.109</v>
      </c>
      <c r="S7" s="0" t="n">
        <v>732.923</v>
      </c>
      <c r="T7" s="0" t="n">
        <v>3739.036</v>
      </c>
      <c r="U7" s="0" t="n">
        <v>0</v>
      </c>
      <c r="AA7" s="0" t="s">
        <v>18</v>
      </c>
      <c r="AB7" s="0" t="s">
        <v>14</v>
      </c>
      <c r="AC7" s="0" t="n">
        <v>382.129</v>
      </c>
    </row>
    <row r="8" customFormat="false" ht="15" hidden="false" customHeight="false" outlineLevel="0" collapsed="false">
      <c r="A8" s="0" t="s">
        <v>71</v>
      </c>
      <c r="B8" s="0" t="n">
        <v>3606.421</v>
      </c>
      <c r="C8" s="0" t="n">
        <v>2728.963</v>
      </c>
      <c r="D8" s="0" t="n">
        <v>877.458</v>
      </c>
      <c r="E8" s="0" t="n">
        <v>24.3</v>
      </c>
      <c r="F8" s="0" t="n">
        <v>591.416</v>
      </c>
      <c r="G8" s="0" t="n">
        <v>16.4</v>
      </c>
      <c r="H8" s="0" t="n">
        <v>802.638</v>
      </c>
      <c r="I8" s="0" t="n">
        <v>277.645</v>
      </c>
      <c r="J8" s="0" t="n">
        <v>7.7</v>
      </c>
      <c r="K8" s="0" t="n">
        <v>0.0743</v>
      </c>
      <c r="L8" s="0" t="n">
        <v>589.278</v>
      </c>
      <c r="M8" s="0" t="n">
        <v>157.021</v>
      </c>
      <c r="N8" s="0" t="n">
        <v>432.257</v>
      </c>
      <c r="O8" s="0" t="n">
        <v>1842.386</v>
      </c>
      <c r="P8" s="0" t="n">
        <v>3819.513</v>
      </c>
      <c r="Q8" s="0" t="n">
        <v>1332.91</v>
      </c>
      <c r="R8" s="0" t="n">
        <v>177.486</v>
      </c>
      <c r="S8" s="0" t="n">
        <v>492.364</v>
      </c>
      <c r="T8" s="0" t="n">
        <v>3739.036</v>
      </c>
      <c r="U8" s="0" t="n">
        <v>0</v>
      </c>
      <c r="AA8" s="0" t="s">
        <v>18</v>
      </c>
      <c r="AB8" s="0" t="s">
        <v>14</v>
      </c>
      <c r="AC8" s="0" t="n">
        <v>381.443</v>
      </c>
    </row>
    <row r="9" customFormat="false" ht="15" hidden="false" customHeight="false" outlineLevel="0" collapsed="false">
      <c r="A9" s="0" t="s">
        <v>72</v>
      </c>
      <c r="B9" s="0" t="n">
        <v>3816.472</v>
      </c>
      <c r="C9" s="0" t="n">
        <v>2767.325</v>
      </c>
      <c r="D9" s="0" t="n">
        <v>1049.147</v>
      </c>
      <c r="E9" s="0" t="n">
        <v>27.5</v>
      </c>
      <c r="F9" s="0" t="n">
        <v>786.762</v>
      </c>
      <c r="G9" s="0" t="n">
        <v>20.6</v>
      </c>
      <c r="H9" s="0" t="n">
        <v>979.218</v>
      </c>
      <c r="I9" s="0" t="n">
        <v>398.5</v>
      </c>
      <c r="J9" s="0" t="n">
        <v>10.4</v>
      </c>
      <c r="K9" s="0" t="n">
        <v>0.1034</v>
      </c>
      <c r="L9" s="0" t="n">
        <v>775.216</v>
      </c>
      <c r="M9" s="0" t="n">
        <v>211.271</v>
      </c>
      <c r="N9" s="0" t="n">
        <v>563.945</v>
      </c>
      <c r="O9" s="0" t="n">
        <v>2249.068</v>
      </c>
      <c r="P9" s="0" t="n">
        <v>4154.407</v>
      </c>
      <c r="Q9" s="0" t="n">
        <v>1125.315</v>
      </c>
      <c r="R9" s="0" t="n">
        <v>30.176</v>
      </c>
      <c r="S9" s="0" t="n">
        <v>1018.662</v>
      </c>
      <c r="T9" s="0" t="n">
        <v>3854</v>
      </c>
      <c r="U9" s="0" t="n">
        <v>0</v>
      </c>
      <c r="AA9" s="0" t="s">
        <v>18</v>
      </c>
      <c r="AB9" s="0" t="s">
        <v>14</v>
      </c>
      <c r="AC9" s="0" t="n">
        <v>557.476</v>
      </c>
    </row>
    <row r="10" customFormat="false" ht="15" hidden="false" customHeight="false" outlineLevel="0" collapsed="false">
      <c r="A10" s="0" t="s">
        <v>73</v>
      </c>
      <c r="B10" s="0" t="n">
        <v>3420.059</v>
      </c>
      <c r="C10" s="0" t="n">
        <v>2357.521</v>
      </c>
      <c r="D10" s="0" t="n">
        <v>1062.538</v>
      </c>
      <c r="E10" s="0" t="n">
        <v>31.1</v>
      </c>
      <c r="F10" s="0" t="n">
        <v>817.985</v>
      </c>
      <c r="G10" s="0" t="n">
        <v>23.9</v>
      </c>
      <c r="H10" s="0" t="n">
        <v>996.809</v>
      </c>
      <c r="I10" s="0" t="n">
        <v>404.311</v>
      </c>
      <c r="J10" s="0" t="n">
        <v>11.8</v>
      </c>
      <c r="K10" s="0" t="n">
        <v>0.1036</v>
      </c>
      <c r="L10" s="0" t="n">
        <v>938.657</v>
      </c>
      <c r="M10" s="0" t="n">
        <v>242.04</v>
      </c>
      <c r="N10" s="0" t="n">
        <v>696.617</v>
      </c>
      <c r="O10" s="0" t="n">
        <v>2486.009</v>
      </c>
      <c r="P10" s="0" t="n">
        <v>4803.261</v>
      </c>
      <c r="Q10" s="0" t="n">
        <v>1390.691</v>
      </c>
      <c r="R10" s="0" t="n">
        <v>24.516</v>
      </c>
      <c r="S10" s="0" t="n">
        <v>1476.212</v>
      </c>
      <c r="T10" s="0" t="n">
        <v>3902.036</v>
      </c>
      <c r="U10" s="0" t="n">
        <v>0</v>
      </c>
      <c r="AA10" s="0" t="s">
        <v>18</v>
      </c>
      <c r="AB10" s="0" t="s">
        <v>14</v>
      </c>
      <c r="AC10" s="0" t="n">
        <v>583.212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14.05</v>
      </c>
    </row>
    <row r="3" customFormat="false" ht="15" hidden="false" customHeight="false" outlineLevel="0" collapsed="false">
      <c r="A3" s="0" t="s">
        <v>77</v>
      </c>
      <c r="B3" s="3" t="n">
        <v>3902.036</v>
      </c>
    </row>
    <row r="4" customFormat="false" ht="15" hidden="false" customHeight="false" outlineLevel="0" collapsed="false">
      <c r="A4" s="0" t="s">
        <v>78</v>
      </c>
      <c r="B4" s="3" t="n">
        <v>-2006</v>
      </c>
    </row>
    <row r="5" customFormat="false" ht="15" hidden="false" customHeight="false" outlineLevel="0" collapsed="false">
      <c r="A5" s="0" t="s">
        <v>79</v>
      </c>
      <c r="B5" s="3" t="n">
        <v>-158.879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3929.6</v>
      </c>
    </row>
    <row r="8" customFormat="false" ht="15" hidden="false" customHeight="false" outlineLevel="0" collapsed="false">
      <c r="A8" s="0" t="s">
        <v>82</v>
      </c>
      <c r="B8" s="3" t="s">
        <v>83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7.8475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8</v>
      </c>
      <c r="D13" s="3" t="n">
        <v>-20</v>
      </c>
      <c r="E13" s="3" t="n">
        <v>-5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99</v>
      </c>
      <c r="C14" s="3" t="n">
        <v>36</v>
      </c>
      <c r="D14" s="3" t="n">
        <v>24</v>
      </c>
      <c r="E14" s="3" t="n">
        <v>21</v>
      </c>
      <c r="F14" s="3" t="n">
        <v>21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0.3</v>
      </c>
      <c r="D16" s="3" t="n">
        <v>0.3</v>
      </c>
      <c r="E16" s="3" t="n">
        <v>0.3</v>
      </c>
      <c r="F16" s="3" t="n">
        <v>0.3</v>
      </c>
      <c r="G16" s="3" t="n">
        <v>0.3</v>
      </c>
      <c r="H16" s="3" t="n">
        <v>0.3</v>
      </c>
      <c r="I16" s="3" t="n">
        <v>0.3</v>
      </c>
      <c r="J16" s="3" t="n">
        <v>0.3</v>
      </c>
      <c r="K16" s="3" t="n">
        <v>0.3</v>
      </c>
      <c r="L16" s="3" t="n">
        <v>0.3</v>
      </c>
    </row>
    <row r="17" customFormat="false" ht="15" hidden="false" customHeight="false" outlineLevel="0" collapsed="false">
      <c r="A17" s="0" t="s">
        <v>102</v>
      </c>
      <c r="C17" s="3" t="n">
        <v>5</v>
      </c>
      <c r="D17" s="3" t="n">
        <v>5.6</v>
      </c>
      <c r="E17" s="3" t="n">
        <v>6.2</v>
      </c>
      <c r="F17" s="3" t="n">
        <v>6.4</v>
      </c>
      <c r="G17" s="3" t="n">
        <v>6.5</v>
      </c>
      <c r="H17" s="3" t="n">
        <v>6.5</v>
      </c>
      <c r="I17" s="3" t="n">
        <v>6.5</v>
      </c>
      <c r="J17" s="3" t="n">
        <v>6.5</v>
      </c>
      <c r="K17" s="3" t="n">
        <v>6.5</v>
      </c>
      <c r="L17" s="3" t="n">
        <v>6.5</v>
      </c>
    </row>
    <row r="18" customFormat="false" ht="15" hidden="false" customHeight="false" outlineLevel="0" collapsed="false">
      <c r="A18" s="0" t="s">
        <v>103</v>
      </c>
      <c r="C18" s="3" t="n">
        <v>8</v>
      </c>
      <c r="D18" s="3" t="n">
        <v>9.5</v>
      </c>
      <c r="E18" s="3" t="n">
        <v>9</v>
      </c>
      <c r="F18" s="3" t="n">
        <v>8</v>
      </c>
      <c r="G18" s="3" t="n">
        <v>7.5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104</v>
      </c>
      <c r="C19" s="3" t="n">
        <v>51</v>
      </c>
      <c r="D19" s="3" t="n">
        <v>51</v>
      </c>
      <c r="E19" s="3" t="n">
        <v>51</v>
      </c>
      <c r="F19" s="3" t="n">
        <v>51</v>
      </c>
      <c r="G19" s="3" t="n">
        <v>51</v>
      </c>
      <c r="H19" s="3" t="n">
        <v>51</v>
      </c>
      <c r="I19" s="3" t="n">
        <v>51</v>
      </c>
      <c r="J19" s="3" t="n">
        <v>51</v>
      </c>
      <c r="K19" s="3" t="n">
        <v>51</v>
      </c>
      <c r="L19" s="3" t="n">
        <v>51</v>
      </c>
    </row>
    <row r="20" customFormat="false" ht="15" hidden="false" customHeight="false" outlineLevel="0" collapsed="false">
      <c r="A20" s="0" t="s">
        <v>105</v>
      </c>
      <c r="B20" s="3" t="n">
        <v>11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10</v>
      </c>
    </row>
    <row r="23" customFormat="false" ht="15" hidden="false" customHeight="false" outlineLevel="0" collapsed="false">
      <c r="A23" s="0" t="s">
        <v>108</v>
      </c>
      <c r="B23" s="3" t="n">
        <v>-10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17</v>
      </c>
      <c r="D27" s="3" t="n">
        <v>-6.5</v>
      </c>
      <c r="E27" s="3" t="n">
        <v>-1.5</v>
      </c>
      <c r="F27" s="3" t="n">
        <v>5.5</v>
      </c>
      <c r="G27" s="3" t="n">
        <v>4.5</v>
      </c>
      <c r="H27" s="3" t="n">
        <v>4.5</v>
      </c>
      <c r="I27" s="3" t="n">
        <v>4.5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41</v>
      </c>
      <c r="D28" s="3" t="n">
        <v>33</v>
      </c>
      <c r="E28" s="3" t="n">
        <v>29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0.3</v>
      </c>
      <c r="D30" s="3" t="n">
        <v>0.3</v>
      </c>
      <c r="E30" s="3" t="n">
        <v>0.3</v>
      </c>
      <c r="F30" s="3" t="n">
        <v>0.3</v>
      </c>
      <c r="G30" s="3" t="n">
        <v>0.3</v>
      </c>
      <c r="H30" s="3" t="n">
        <v>0.3</v>
      </c>
      <c r="I30" s="3" t="n">
        <v>0.3</v>
      </c>
      <c r="J30" s="3" t="n">
        <v>0.3</v>
      </c>
      <c r="K30" s="3" t="n">
        <v>0.3</v>
      </c>
      <c r="L30" s="3" t="n">
        <v>0.3</v>
      </c>
    </row>
    <row r="31" customFormat="false" ht="15" hidden="false" customHeight="false" outlineLevel="0" collapsed="false">
      <c r="A31" s="0" t="s">
        <v>102</v>
      </c>
      <c r="C31" s="3" t="n">
        <v>5</v>
      </c>
      <c r="D31" s="3" t="n">
        <v>5.3</v>
      </c>
      <c r="E31" s="3" t="n">
        <v>5.6</v>
      </c>
      <c r="F31" s="3" t="n">
        <v>5.8</v>
      </c>
      <c r="G31" s="3" t="n">
        <v>6</v>
      </c>
      <c r="H31" s="3" t="n">
        <v>6.2</v>
      </c>
      <c r="I31" s="3" t="n">
        <v>6.3</v>
      </c>
      <c r="J31" s="3" t="n">
        <v>6.4</v>
      </c>
      <c r="K31" s="3" t="n">
        <v>6.5</v>
      </c>
      <c r="L31" s="3" t="n">
        <v>6.5</v>
      </c>
    </row>
    <row r="32" customFormat="false" ht="15" hidden="false" customHeight="false" outlineLevel="0" collapsed="false">
      <c r="A32" s="0" t="s">
        <v>103</v>
      </c>
      <c r="C32" s="3" t="n">
        <v>7.5</v>
      </c>
      <c r="D32" s="3" t="n">
        <v>9</v>
      </c>
      <c r="E32" s="3" t="n">
        <v>9</v>
      </c>
      <c r="F32" s="3" t="n">
        <v>8.5</v>
      </c>
      <c r="G32" s="3" t="n">
        <v>8</v>
      </c>
      <c r="H32" s="3" t="n">
        <v>7.5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104</v>
      </c>
      <c r="C33" s="3" t="n">
        <v>51</v>
      </c>
      <c r="D33" s="3" t="n">
        <v>51</v>
      </c>
      <c r="E33" s="3" t="n">
        <v>51</v>
      </c>
      <c r="F33" s="3" t="n">
        <v>51</v>
      </c>
      <c r="G33" s="3" t="n">
        <v>51</v>
      </c>
      <c r="H33" s="3" t="n">
        <v>51</v>
      </c>
      <c r="I33" s="3" t="n">
        <v>51</v>
      </c>
      <c r="J33" s="3" t="n">
        <v>51</v>
      </c>
      <c r="K33" s="3" t="n">
        <v>51</v>
      </c>
      <c r="L33" s="3" t="n">
        <v>51</v>
      </c>
    </row>
    <row r="34" customFormat="false" ht="15" hidden="false" customHeight="false" outlineLevel="0" collapsed="false">
      <c r="A34" s="0" t="s">
        <v>105</v>
      </c>
      <c r="B34" s="3" t="n">
        <v>11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-10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22</v>
      </c>
      <c r="D41" s="3" t="n">
        <v>2</v>
      </c>
      <c r="E41" s="3" t="n">
        <v>4</v>
      </c>
      <c r="F41" s="3" t="n">
        <v>6</v>
      </c>
      <c r="G41" s="3" t="n">
        <v>6</v>
      </c>
      <c r="H41" s="3" t="n">
        <v>6</v>
      </c>
      <c r="I41" s="3" t="n">
        <v>6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99</v>
      </c>
      <c r="C42" s="3" t="n">
        <v>43</v>
      </c>
      <c r="D42" s="3" t="n">
        <v>40</v>
      </c>
      <c r="E42" s="3" t="n">
        <v>37</v>
      </c>
      <c r="F42" s="3" t="n">
        <v>35</v>
      </c>
      <c r="G42" s="3" t="n">
        <v>34</v>
      </c>
      <c r="H42" s="3" t="n">
        <v>34</v>
      </c>
      <c r="I42" s="3" t="n">
        <v>34</v>
      </c>
      <c r="J42" s="3" t="n">
        <v>34</v>
      </c>
      <c r="K42" s="3" t="n">
        <v>34</v>
      </c>
      <c r="L42" s="3" t="n">
        <v>34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0.3</v>
      </c>
      <c r="D44" s="3" t="n">
        <v>0.3</v>
      </c>
      <c r="E44" s="3" t="n">
        <v>0.3</v>
      </c>
      <c r="F44" s="3" t="n">
        <v>0.3</v>
      </c>
      <c r="G44" s="3" t="n">
        <v>0.3</v>
      </c>
      <c r="H44" s="3" t="n">
        <v>0.3</v>
      </c>
      <c r="I44" s="3" t="n">
        <v>0.3</v>
      </c>
      <c r="J44" s="3" t="n">
        <v>0.3</v>
      </c>
      <c r="K44" s="3" t="n">
        <v>0.3</v>
      </c>
      <c r="L44" s="3" t="n">
        <v>0.3</v>
      </c>
    </row>
    <row r="45" customFormat="false" ht="15" hidden="false" customHeight="false" outlineLevel="0" collapsed="false">
      <c r="A45" s="0" t="s">
        <v>102</v>
      </c>
      <c r="C45" s="3" t="n">
        <v>4.8</v>
      </c>
      <c r="D45" s="3" t="n">
        <v>5</v>
      </c>
      <c r="E45" s="3" t="n">
        <v>5.2</v>
      </c>
      <c r="F45" s="3" t="n">
        <v>5.4</v>
      </c>
      <c r="G45" s="3" t="n">
        <v>5.6</v>
      </c>
      <c r="H45" s="3" t="n">
        <v>5.8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103</v>
      </c>
      <c r="C46" s="3" t="n">
        <v>7</v>
      </c>
      <c r="D46" s="3" t="n">
        <v>8.5</v>
      </c>
      <c r="E46" s="3" t="n">
        <v>8.5</v>
      </c>
      <c r="F46" s="3" t="n">
        <v>8</v>
      </c>
      <c r="G46" s="3" t="n">
        <v>7.5</v>
      </c>
      <c r="H46" s="3" t="n">
        <v>7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104</v>
      </c>
      <c r="C47" s="3" t="n">
        <v>51</v>
      </c>
      <c r="D47" s="3" t="n">
        <v>51</v>
      </c>
      <c r="E47" s="3" t="n">
        <v>51</v>
      </c>
      <c r="F47" s="3" t="n">
        <v>51</v>
      </c>
      <c r="G47" s="3" t="n">
        <v>51</v>
      </c>
      <c r="H47" s="3" t="n">
        <v>51</v>
      </c>
      <c r="I47" s="3" t="n">
        <v>51</v>
      </c>
      <c r="J47" s="3" t="n">
        <v>51</v>
      </c>
      <c r="K47" s="3" t="n">
        <v>51</v>
      </c>
      <c r="L47" s="3" t="n">
        <v>51</v>
      </c>
    </row>
    <row r="48" customFormat="false" ht="15" hidden="false" customHeight="false" outlineLevel="0" collapsed="false">
      <c r="A48" s="0" t="s">
        <v>105</v>
      </c>
      <c r="B48" s="3" t="n">
        <v>11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14</v>
      </c>
    </row>
    <row r="51" customFormat="false" ht="15" hidden="false" customHeight="false" outlineLevel="0" collapsed="false">
      <c r="A51" s="0" t="s">
        <v>108</v>
      </c>
      <c r="B51" s="3" t="n">
        <v>-10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8</v>
      </c>
      <c r="D5" s="4" t="n">
        <f aca="false">Assumptions!D13</f>
        <v>-20</v>
      </c>
      <c r="E5" s="4" t="n">
        <f aca="false">Assumptions!E13</f>
        <v>-5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3929.6</v>
      </c>
      <c r="C6" s="0" t="n">
        <f aca="false">B6*(1+C5/100)</f>
        <v>4243.968</v>
      </c>
      <c r="D6" s="0" t="n">
        <f aca="false">C6*(1+D5/100)</f>
        <v>3395.1744</v>
      </c>
      <c r="E6" s="0" t="n">
        <f aca="false">D6*(1+E5/100)</f>
        <v>3225.41568</v>
      </c>
      <c r="F6" s="0" t="n">
        <f aca="false">E6*(1+F5/100)</f>
        <v>3289.9239936</v>
      </c>
      <c r="G6" s="0" t="n">
        <f aca="false">F6*(1+G5/100)</f>
        <v>3372.17209344</v>
      </c>
      <c r="H6" s="0" t="n">
        <f aca="false">G6*(1+H5/100)</f>
        <v>3456.476395776</v>
      </c>
      <c r="I6" s="0" t="n">
        <f aca="false">H6*(1+I5/100)</f>
        <v>3542.8883056704</v>
      </c>
      <c r="J6" s="0" t="n">
        <f aca="false">I6*(1+J5/100)</f>
        <v>3631.46051331216</v>
      </c>
      <c r="K6" s="0" t="n">
        <f aca="false">J6*(1+K5/100)</f>
        <v>3722.24702614496</v>
      </c>
      <c r="L6" s="0" t="n">
        <f aca="false">K6*(1+L5/100)</f>
        <v>3815.30320179859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36</v>
      </c>
      <c r="D7" s="4" t="n">
        <f aca="false">Assumptions!D14</f>
        <v>24</v>
      </c>
      <c r="E7" s="4" t="n">
        <f aca="false">Assumptions!E14</f>
        <v>21</v>
      </c>
      <c r="F7" s="4" t="n">
        <f aca="false">Assumptions!F14</f>
        <v>21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1527.82848</v>
      </c>
      <c r="D8" s="0" t="n">
        <f aca="false">D6*D7/100</f>
        <v>814.841856</v>
      </c>
      <c r="E8" s="0" t="n">
        <f aca="false">E6*E7/100</f>
        <v>677.3372928</v>
      </c>
      <c r="F8" s="0" t="n">
        <f aca="false">F6*F7/100</f>
        <v>690.884038656</v>
      </c>
      <c r="G8" s="0" t="n">
        <f aca="false">G6*G7/100</f>
        <v>708.1561396224</v>
      </c>
      <c r="H8" s="0" t="n">
        <f aca="false">H6*H7/100</f>
        <v>725.86004311296</v>
      </c>
      <c r="I8" s="0" t="n">
        <f aca="false">I6*I7/100</f>
        <v>744.006544190784</v>
      </c>
      <c r="J8" s="0" t="n">
        <f aca="false">J6*J7/100</f>
        <v>762.606707795553</v>
      </c>
      <c r="K8" s="0" t="n">
        <f aca="false">K6*K7/100</f>
        <v>781.671875490442</v>
      </c>
      <c r="L8" s="0" t="n">
        <f aca="false">L6*L7/100</f>
        <v>801.213672377703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1515.096576</v>
      </c>
      <c r="D11" s="0" t="n">
        <f aca="false">D8+D10+D24</f>
        <v>804.6563328</v>
      </c>
      <c r="E11" s="0" t="n">
        <f aca="false">E8+E10+E24</f>
        <v>667.66104576</v>
      </c>
      <c r="F11" s="0" t="n">
        <f aca="false">F8+F10+F24</f>
        <v>681.0142666752</v>
      </c>
      <c r="G11" s="0" t="n">
        <f aca="false">G8+G10+G24</f>
        <v>698.03962334208</v>
      </c>
      <c r="H11" s="0" t="n">
        <f aca="false">H8+H10+H24</f>
        <v>715.490613925632</v>
      </c>
      <c r="I11" s="0" t="n">
        <f aca="false">I8+I10+I24</f>
        <v>733.377879273773</v>
      </c>
      <c r="J11" s="0" t="n">
        <f aca="false">J8+J10+J24</f>
        <v>751.712326255617</v>
      </c>
      <c r="K11" s="0" t="n">
        <f aca="false">K8+K10+K24</f>
        <v>770.505134412007</v>
      </c>
      <c r="L11" s="0" t="n">
        <f aca="false">L8+L10+L24</f>
        <v>789.767762772307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-212.1984</v>
      </c>
      <c r="D12" s="4" t="n">
        <f aca="false">-D6*Assumptions!D17/100</f>
        <v>-190.1297664</v>
      </c>
      <c r="E12" s="4" t="n">
        <f aca="false">-E6*Assumptions!E17/100</f>
        <v>-199.97577216</v>
      </c>
      <c r="F12" s="4" t="n">
        <f aca="false">-F6*Assumptions!F17/100</f>
        <v>-210.5551355904</v>
      </c>
      <c r="G12" s="4" t="n">
        <f aca="false">-G6*Assumptions!G17/100</f>
        <v>-219.1911860736</v>
      </c>
      <c r="H12" s="4" t="n">
        <f aca="false">-H6*Assumptions!H17/100</f>
        <v>-224.67096572544</v>
      </c>
      <c r="I12" s="4" t="n">
        <f aca="false">-I6*Assumptions!I17/100</f>
        <v>-230.287739868576</v>
      </c>
      <c r="J12" s="4" t="n">
        <f aca="false">-J6*Assumptions!J17/100</f>
        <v>-236.04493336529</v>
      </c>
      <c r="K12" s="4" t="n">
        <f aca="false">-K6*Assumptions!K17/100</f>
        <v>-241.946056699423</v>
      </c>
      <c r="L12" s="4" t="n">
        <f aca="false">-L6*Assumptions!L17/100</f>
        <v>-247.994708116908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1302.898176</v>
      </c>
      <c r="D13" s="0" t="n">
        <f aca="false">D11+D12</f>
        <v>614.5265664</v>
      </c>
      <c r="E13" s="0" t="n">
        <f aca="false">E11+E12</f>
        <v>467.6852736</v>
      </c>
      <c r="F13" s="0" t="n">
        <f aca="false">F11+F12</f>
        <v>470.4591310848</v>
      </c>
      <c r="G13" s="0" t="n">
        <f aca="false">G11+G12</f>
        <v>478.84843726848</v>
      </c>
      <c r="H13" s="0" t="n">
        <f aca="false">H11+H12</f>
        <v>490.819648200192</v>
      </c>
      <c r="I13" s="0" t="n">
        <f aca="false">I11+I12</f>
        <v>503.090139405197</v>
      </c>
      <c r="J13" s="0" t="n">
        <f aca="false">J11+J12</f>
        <v>515.667392890327</v>
      </c>
      <c r="K13" s="0" t="n">
        <f aca="false">K11+K12</f>
        <v>528.559077712584</v>
      </c>
      <c r="L13" s="0" t="n">
        <f aca="false">L11+L12</f>
        <v>541.773054655399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51</v>
      </c>
      <c r="D14" s="4" t="n">
        <f aca="false">Assumptions!D19</f>
        <v>51</v>
      </c>
      <c r="E14" s="4" t="n">
        <f aca="false">Assumptions!E19</f>
        <v>51</v>
      </c>
      <c r="F14" s="4" t="n">
        <f aca="false">Assumptions!F19</f>
        <v>51</v>
      </c>
      <c r="G14" s="4" t="n">
        <f aca="false">Assumptions!G19</f>
        <v>51</v>
      </c>
      <c r="H14" s="4" t="n">
        <f aca="false">Assumptions!H19</f>
        <v>51</v>
      </c>
      <c r="I14" s="4" t="n">
        <f aca="false">Assumptions!I19</f>
        <v>51</v>
      </c>
      <c r="J14" s="4" t="n">
        <f aca="false">Assumptions!J19</f>
        <v>51</v>
      </c>
      <c r="K14" s="4" t="n">
        <f aca="false">Assumptions!K19</f>
        <v>51</v>
      </c>
      <c r="L14" s="4" t="n">
        <f aca="false">Assumptions!L19</f>
        <v>51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638.42010624</v>
      </c>
      <c r="D15" s="0" t="n">
        <f aca="false">D13-MAX(0,D13)*D14/100</f>
        <v>301.118017536</v>
      </c>
      <c r="E15" s="0" t="n">
        <f aca="false">E13-MAX(0,E13)*E14/100</f>
        <v>229.165784064</v>
      </c>
      <c r="F15" s="0" t="n">
        <f aca="false">F13-MAX(0,F13)*F14/100</f>
        <v>230.524974231552</v>
      </c>
      <c r="G15" s="0" t="n">
        <f aca="false">G13-MAX(0,G13)*G14/100</f>
        <v>234.635734261555</v>
      </c>
      <c r="H15" s="0" t="n">
        <f aca="false">H13-MAX(0,H13)*H14/100</f>
        <v>240.501627618094</v>
      </c>
      <c r="I15" s="0" t="n">
        <f aca="false">I13-MAX(0,I13)*I14/100</f>
        <v>246.514168308546</v>
      </c>
      <c r="J15" s="0" t="n">
        <f aca="false">J13-MAX(0,J13)*J14/100</f>
        <v>252.67702251626</v>
      </c>
      <c r="K15" s="0" t="n">
        <f aca="false">K13-MAX(0,K13)*K14/100</f>
        <v>258.993948079166</v>
      </c>
      <c r="L15" s="0" t="n">
        <f aca="false">L13-MAX(0,L13)*L14/100</f>
        <v>265.468796781146</v>
      </c>
    </row>
    <row r="16" customFormat="false" ht="15" hidden="false" customHeight="false" outlineLevel="0" collapsed="false">
      <c r="A16" s="0" t="s">
        <v>120</v>
      </c>
      <c r="C16" s="0" t="n">
        <f aca="false">-C12</f>
        <v>212.1984</v>
      </c>
      <c r="D16" s="0" t="n">
        <f aca="false">-D12</f>
        <v>190.1297664</v>
      </c>
      <c r="E16" s="0" t="n">
        <f aca="false">-E12</f>
        <v>199.97577216</v>
      </c>
      <c r="F16" s="0" t="n">
        <f aca="false">-F12</f>
        <v>210.5551355904</v>
      </c>
      <c r="G16" s="0" t="n">
        <f aca="false">-G12</f>
        <v>219.1911860736</v>
      </c>
      <c r="H16" s="0" t="n">
        <f aca="false">-H12</f>
        <v>224.67096572544</v>
      </c>
      <c r="I16" s="0" t="n">
        <f aca="false">-I12</f>
        <v>230.287739868576</v>
      </c>
      <c r="J16" s="0" t="n">
        <f aca="false">-J12</f>
        <v>236.04493336529</v>
      </c>
      <c r="K16" s="0" t="n">
        <f aca="false">-K12</f>
        <v>241.946056699423</v>
      </c>
      <c r="L16" s="0" t="n">
        <f aca="false">-L12</f>
        <v>247.994708116908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-339.51744</v>
      </c>
      <c r="D17" s="4" t="n">
        <f aca="false">-D6*Assumptions!D18/100</f>
        <v>-322.541568</v>
      </c>
      <c r="E17" s="4" t="n">
        <f aca="false">-E6*Assumptions!E18/100</f>
        <v>-290.2874112</v>
      </c>
      <c r="F17" s="4" t="n">
        <f aca="false">-F6*Assumptions!F18/100</f>
        <v>-263.193919488</v>
      </c>
      <c r="G17" s="4" t="n">
        <f aca="false">-G6*Assumptions!G18/100</f>
        <v>-252.912907008</v>
      </c>
      <c r="H17" s="4" t="n">
        <f aca="false">-H6*Assumptions!H18/100</f>
        <v>-241.95334770432</v>
      </c>
      <c r="I17" s="4" t="n">
        <f aca="false">-I6*Assumptions!I18/100</f>
        <v>-248.002181396928</v>
      </c>
      <c r="J17" s="4" t="n">
        <f aca="false">-J6*Assumptions!J18/100</f>
        <v>-254.202235931851</v>
      </c>
      <c r="K17" s="4" t="n">
        <f aca="false">-K6*Assumptions!K18/100</f>
        <v>-260.557291830147</v>
      </c>
      <c r="L17" s="4" t="n">
        <f aca="false">-L6*Assumptions!L18/100</f>
        <v>-267.071224125901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-31.4368</v>
      </c>
      <c r="D18" s="4" t="n">
        <f aca="false">(D6-C6)*Assumptions!$B$23/100</f>
        <v>84.87936</v>
      </c>
      <c r="E18" s="4" t="n">
        <f aca="false">(E6-D6)*Assumptions!$B$23/100</f>
        <v>16.975872</v>
      </c>
      <c r="F18" s="4" t="n">
        <f aca="false">(F6-E6)*Assumptions!$B$23/100</f>
        <v>-6.45083135999998</v>
      </c>
      <c r="G18" s="4" t="n">
        <f aca="false">(G6-F6)*Assumptions!$B$23/100</f>
        <v>-8.22480998399997</v>
      </c>
      <c r="H18" s="4" t="n">
        <f aca="false">(H6-G6)*Assumptions!$B$23/100</f>
        <v>-8.43043023359996</v>
      </c>
      <c r="I18" s="4" t="n">
        <f aca="false">(I6-H6)*Assumptions!$B$23/100</f>
        <v>-8.64119098943997</v>
      </c>
      <c r="J18" s="4" t="n">
        <f aca="false">(J6-I6)*Assumptions!$B$23/100</f>
        <v>-8.85722076417596</v>
      </c>
      <c r="K18" s="4" t="n">
        <f aca="false">(K6-J6)*Assumptions!$B$23/100</f>
        <v>-9.07865128328035</v>
      </c>
      <c r="L18" s="4" t="n">
        <f aca="false">(L6-K6)*Assumptions!$B$23/100</f>
        <v>-9.30561756536235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479.66426624</v>
      </c>
      <c r="D19" s="0" t="n">
        <f aca="false">D15+D16+D17+D18</f>
        <v>253.585575936</v>
      </c>
      <c r="E19" s="0" t="n">
        <f aca="false">E15+E16+E17+E18</f>
        <v>155.830017024</v>
      </c>
      <c r="F19" s="0" t="n">
        <f aca="false">F15+F16+F17+F18</f>
        <v>171.435358973952</v>
      </c>
      <c r="G19" s="0" t="n">
        <f aca="false">G15+G16+G17+G18</f>
        <v>192.689203343155</v>
      </c>
      <c r="H19" s="0" t="n">
        <f aca="false">H15+H16+H17+H18</f>
        <v>214.788815405614</v>
      </c>
      <c r="I19" s="0" t="n">
        <f aca="false">I15+I16+I17+I18</f>
        <v>220.158535790754</v>
      </c>
      <c r="J19" s="0" t="n">
        <f aca="false">J15+J16+J17+J18</f>
        <v>225.662499185523</v>
      </c>
      <c r="K19" s="0" t="n">
        <f aca="false">K15+K16+K17+K18</f>
        <v>231.304061665161</v>
      </c>
      <c r="L19" s="0" t="n">
        <f aca="false">L15+L16+L17+L18</f>
        <v>237.08666320679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432.129969585586</v>
      </c>
      <c r="D21" s="0" t="n">
        <f aca="false">D19*D20</f>
        <v>205.815742176771</v>
      </c>
      <c r="E21" s="0" t="n">
        <f aca="false">E19*E20</f>
        <v>113.941565395929</v>
      </c>
      <c r="F21" s="0" t="n">
        <f aca="false">F19*F20</f>
        <v>112.929781019809</v>
      </c>
      <c r="G21" s="0" t="n">
        <f aca="false">G19*G20</f>
        <v>114.351663626541</v>
      </c>
      <c r="H21" s="0" t="n">
        <f aca="false">H19*H20</f>
        <v>114.834871850979</v>
      </c>
      <c r="I21" s="0" t="n">
        <f aca="false">I19*I20</f>
        <v>106.041210493021</v>
      </c>
      <c r="J21" s="0" t="n">
        <f aca="false">J19*J20</f>
        <v>97.9209376174291</v>
      </c>
      <c r="K21" s="0" t="n">
        <f aca="false">K19*K20</f>
        <v>90.4224874395178</v>
      </c>
      <c r="L21" s="0" t="n">
        <f aca="false">L19*L20</f>
        <v>83.4982429058611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0.3</v>
      </c>
      <c r="D23" s="4" t="n">
        <f aca="false">Assumptions!D16</f>
        <v>0.3</v>
      </c>
      <c r="E23" s="4" t="n">
        <f aca="false">Assumptions!E16</f>
        <v>0.3</v>
      </c>
      <c r="F23" s="4" t="n">
        <f aca="false">Assumptions!F16</f>
        <v>0.3</v>
      </c>
      <c r="G23" s="4" t="n">
        <f aca="false">Assumptions!G16</f>
        <v>0.3</v>
      </c>
      <c r="H23" s="4" t="n">
        <f aca="false">Assumptions!H16</f>
        <v>0.3</v>
      </c>
      <c r="I23" s="4" t="n">
        <f aca="false">Assumptions!I16</f>
        <v>0.3</v>
      </c>
      <c r="J23" s="4" t="n">
        <f aca="false">Assumptions!J16</f>
        <v>0.3</v>
      </c>
      <c r="K23" s="4" t="n">
        <f aca="false">Assumptions!K16</f>
        <v>0.3</v>
      </c>
      <c r="L23" s="4" t="n">
        <f aca="false">Assumptions!L16</f>
        <v>0.3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-12.731904</v>
      </c>
      <c r="D24" s="0" t="n">
        <f aca="false">-D6*D23/100</f>
        <v>-10.1855232</v>
      </c>
      <c r="E24" s="0" t="n">
        <f aca="false">-E6*E23/100</f>
        <v>-9.67624704</v>
      </c>
      <c r="F24" s="0" t="n">
        <f aca="false">-F6*F23/100</f>
        <v>-9.8697719808</v>
      </c>
      <c r="G24" s="0" t="n">
        <f aca="false">-G6*G23/100</f>
        <v>-10.11651628032</v>
      </c>
      <c r="H24" s="0" t="n">
        <f aca="false">-H6*H23/100</f>
        <v>-10.369429187328</v>
      </c>
      <c r="I24" s="0" t="n">
        <f aca="false">-I6*I23/100</f>
        <v>-10.6286649170112</v>
      </c>
      <c r="J24" s="0" t="n">
        <f aca="false">-J6*J23/100</f>
        <v>-10.8943815399365</v>
      </c>
      <c r="K24" s="0" t="n">
        <f aca="false">-K6*K23/100</f>
        <v>-11.1667410784349</v>
      </c>
      <c r="L24" s="0" t="n">
        <f aca="false">-L6*L23/100</f>
        <v>-11.4459096053958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1471.88647211144</v>
      </c>
    </row>
    <row r="31" customFormat="false" ht="15" hidden="false" customHeight="false" outlineLevel="0" collapsed="false">
      <c r="A31" s="0" t="s">
        <v>129</v>
      </c>
      <c r="B31" s="0" t="n">
        <f aca="false">L19</f>
        <v>237.08666320679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2686.98218301029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2370.8666320679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2370.8666320679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834.982429058611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2306.86890117005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4153.98990117005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8.35421194203026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-0.405394167827028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8.35421194203026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1860.21843439174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7.21153801837913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17</v>
      </c>
      <c r="D5" s="4" t="n">
        <f aca="false">Assumptions!D27</f>
        <v>-6.5</v>
      </c>
      <c r="E5" s="4" t="n">
        <f aca="false">Assumptions!E27</f>
        <v>-1.5</v>
      </c>
      <c r="F5" s="4" t="n">
        <f aca="false">Assumptions!F27</f>
        <v>5.5</v>
      </c>
      <c r="G5" s="4" t="n">
        <f aca="false">Assumptions!G27</f>
        <v>4.5</v>
      </c>
      <c r="H5" s="4" t="n">
        <f aca="false">Assumptions!H27</f>
        <v>4.5</v>
      </c>
      <c r="I5" s="4" t="n">
        <f aca="false">Assumptions!I27</f>
        <v>4.5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3929.6</v>
      </c>
      <c r="C6" s="0" t="n">
        <f aca="false">B6*(1+C5/100)</f>
        <v>4597.632</v>
      </c>
      <c r="D6" s="0" t="n">
        <f aca="false">C6*(1+D5/100)</f>
        <v>4298.78592</v>
      </c>
      <c r="E6" s="0" t="n">
        <f aca="false">D6*(1+E5/100)</f>
        <v>4234.3041312</v>
      </c>
      <c r="F6" s="0" t="n">
        <f aca="false">E6*(1+F5/100)</f>
        <v>4467.190858416</v>
      </c>
      <c r="G6" s="0" t="n">
        <f aca="false">F6*(1+G5/100)</f>
        <v>4668.21444704472</v>
      </c>
      <c r="H6" s="0" t="n">
        <f aca="false">G6*(1+H5/100)</f>
        <v>4878.28409716173</v>
      </c>
      <c r="I6" s="0" t="n">
        <f aca="false">H6*(1+I5/100)</f>
        <v>5097.80688153401</v>
      </c>
      <c r="J6" s="0" t="n">
        <f aca="false">I6*(1+J5/100)</f>
        <v>5250.74108798003</v>
      </c>
      <c r="K6" s="0" t="n">
        <f aca="false">J6*(1+K5/100)</f>
        <v>5408.26332061943</v>
      </c>
      <c r="L6" s="0" t="n">
        <f aca="false">K6*(1+L5/100)</f>
        <v>5570.51122023802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41</v>
      </c>
      <c r="D7" s="4" t="n">
        <f aca="false">Assumptions!D28</f>
        <v>33</v>
      </c>
      <c r="E7" s="4" t="n">
        <f aca="false">Assumptions!E28</f>
        <v>29</v>
      </c>
      <c r="F7" s="4" t="n">
        <f aca="false">Assumptions!F28</f>
        <v>28</v>
      </c>
      <c r="G7" s="4" t="n">
        <f aca="false">Assumptions!G28</f>
        <v>28</v>
      </c>
      <c r="H7" s="4" t="n">
        <f aca="false">Assumptions!H28</f>
        <v>28</v>
      </c>
      <c r="I7" s="4" t="n">
        <f aca="false">Assumptions!I28</f>
        <v>28</v>
      </c>
      <c r="J7" s="4" t="n">
        <f aca="false">Assumptions!J28</f>
        <v>28</v>
      </c>
      <c r="K7" s="4" t="n">
        <f aca="false">Assumptions!K28</f>
        <v>28</v>
      </c>
      <c r="L7" s="4" t="n">
        <f aca="false">Assumptions!L28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1885.02912</v>
      </c>
      <c r="D8" s="0" t="n">
        <f aca="false">D6*D7/100</f>
        <v>1418.5993536</v>
      </c>
      <c r="E8" s="0" t="n">
        <f aca="false">E6*E7/100</f>
        <v>1227.948198048</v>
      </c>
      <c r="F8" s="0" t="n">
        <f aca="false">F6*F7/100</f>
        <v>1250.81344035648</v>
      </c>
      <c r="G8" s="0" t="n">
        <f aca="false">G6*G7/100</f>
        <v>1307.10004517252</v>
      </c>
      <c r="H8" s="0" t="n">
        <f aca="false">H6*H7/100</f>
        <v>1365.91954720529</v>
      </c>
      <c r="I8" s="0" t="n">
        <f aca="false">I6*I7/100</f>
        <v>1427.38592682952</v>
      </c>
      <c r="J8" s="0" t="n">
        <f aca="false">J6*J7/100</f>
        <v>1470.20750463441</v>
      </c>
      <c r="K8" s="0" t="n">
        <f aca="false">K6*K7/100</f>
        <v>1514.31372977344</v>
      </c>
      <c r="L8" s="0" t="n">
        <f aca="false">L6*L7/100</f>
        <v>1559.74314166664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1871.236224</v>
      </c>
      <c r="D11" s="0" t="n">
        <f aca="false">D8+D10+D24</f>
        <v>1405.70299584</v>
      </c>
      <c r="E11" s="0" t="n">
        <f aca="false">E8+E10+E24</f>
        <v>1215.2452856544</v>
      </c>
      <c r="F11" s="0" t="n">
        <f aca="false">F8+F10+F24</f>
        <v>1237.41186778123</v>
      </c>
      <c r="G11" s="0" t="n">
        <f aca="false">G8+G10+G24</f>
        <v>1293.09540183139</v>
      </c>
      <c r="H11" s="0" t="n">
        <f aca="false">H8+H10+H24</f>
        <v>1351.2846949138</v>
      </c>
      <c r="I11" s="0" t="n">
        <f aca="false">I8+I10+I24</f>
        <v>1412.09250618492</v>
      </c>
      <c r="J11" s="0" t="n">
        <f aca="false">J8+J10+J24</f>
        <v>1454.45528137047</v>
      </c>
      <c r="K11" s="0" t="n">
        <f aca="false">K8+K10+K24</f>
        <v>1498.08893981158</v>
      </c>
      <c r="L11" s="0" t="n">
        <f aca="false">L8+L10+L24</f>
        <v>1543.03160800593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-229.8816</v>
      </c>
      <c r="D12" s="4" t="n">
        <f aca="false">-D6*Assumptions!D31/100</f>
        <v>-227.83565376</v>
      </c>
      <c r="E12" s="4" t="n">
        <f aca="false">-E6*Assumptions!E31/100</f>
        <v>-237.1210313472</v>
      </c>
      <c r="F12" s="4" t="n">
        <f aca="false">-F6*Assumptions!F31/100</f>
        <v>-259.097069788128</v>
      </c>
      <c r="G12" s="4" t="n">
        <f aca="false">-G6*Assumptions!G31/100</f>
        <v>-280.092866822683</v>
      </c>
      <c r="H12" s="4" t="n">
        <f aca="false">-H6*Assumptions!H31/100</f>
        <v>-302.453614024027</v>
      </c>
      <c r="I12" s="4" t="n">
        <f aca="false">-I6*Assumptions!I31/100</f>
        <v>-321.161833536643</v>
      </c>
      <c r="J12" s="4" t="n">
        <f aca="false">-J6*Assumptions!J31/100</f>
        <v>-336.047429630722</v>
      </c>
      <c r="K12" s="4" t="n">
        <f aca="false">-K6*Assumptions!K31/100</f>
        <v>-351.537115840263</v>
      </c>
      <c r="L12" s="4" t="n">
        <f aca="false">-L6*Assumptions!L31/100</f>
        <v>-362.083229315471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1641.354624</v>
      </c>
      <c r="D13" s="0" t="n">
        <f aca="false">D11+D12</f>
        <v>1177.86734208</v>
      </c>
      <c r="E13" s="0" t="n">
        <f aca="false">E11+E12</f>
        <v>978.1242543072</v>
      </c>
      <c r="F13" s="0" t="n">
        <f aca="false">F11+F12</f>
        <v>978.314797993104</v>
      </c>
      <c r="G13" s="0" t="n">
        <f aca="false">G11+G12</f>
        <v>1013.0025350087</v>
      </c>
      <c r="H13" s="0" t="n">
        <f aca="false">H11+H12</f>
        <v>1048.83108088977</v>
      </c>
      <c r="I13" s="0" t="n">
        <f aca="false">I11+I12</f>
        <v>1090.93067264828</v>
      </c>
      <c r="J13" s="0" t="n">
        <f aca="false">J11+J12</f>
        <v>1118.40785173975</v>
      </c>
      <c r="K13" s="0" t="n">
        <f aca="false">K11+K12</f>
        <v>1146.55182397132</v>
      </c>
      <c r="L13" s="0" t="n">
        <f aca="false">L11+L12</f>
        <v>1180.94837869046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51</v>
      </c>
      <c r="D14" s="4" t="n">
        <f aca="false">Assumptions!D33</f>
        <v>51</v>
      </c>
      <c r="E14" s="4" t="n">
        <f aca="false">Assumptions!E33</f>
        <v>51</v>
      </c>
      <c r="F14" s="4" t="n">
        <f aca="false">Assumptions!F33</f>
        <v>51</v>
      </c>
      <c r="G14" s="4" t="n">
        <f aca="false">Assumptions!G33</f>
        <v>51</v>
      </c>
      <c r="H14" s="4" t="n">
        <f aca="false">Assumptions!H33</f>
        <v>51</v>
      </c>
      <c r="I14" s="4" t="n">
        <f aca="false">Assumptions!I33</f>
        <v>51</v>
      </c>
      <c r="J14" s="4" t="n">
        <f aca="false">Assumptions!J33</f>
        <v>51</v>
      </c>
      <c r="K14" s="4" t="n">
        <f aca="false">Assumptions!K33</f>
        <v>51</v>
      </c>
      <c r="L14" s="4" t="n">
        <f aca="false">Assumptions!L33</f>
        <v>51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804.26376576</v>
      </c>
      <c r="D15" s="0" t="n">
        <f aca="false">D13-MAX(0,D13)*D14/100</f>
        <v>577.1549976192</v>
      </c>
      <c r="E15" s="0" t="n">
        <f aca="false">E13-MAX(0,E13)*E14/100</f>
        <v>479.280884610528</v>
      </c>
      <c r="F15" s="0" t="n">
        <f aca="false">F13-MAX(0,F13)*F14/100</f>
        <v>479.374251016621</v>
      </c>
      <c r="G15" s="0" t="n">
        <f aca="false">G13-MAX(0,G13)*G14/100</f>
        <v>496.371242154265</v>
      </c>
      <c r="H15" s="0" t="n">
        <f aca="false">H13-MAX(0,H13)*H14/100</f>
        <v>513.927229635988</v>
      </c>
      <c r="I15" s="0" t="n">
        <f aca="false">I13-MAX(0,I13)*I14/100</f>
        <v>534.556029597656</v>
      </c>
      <c r="J15" s="0" t="n">
        <f aca="false">J13-MAX(0,J13)*J14/100</f>
        <v>548.019847352476</v>
      </c>
      <c r="K15" s="0" t="n">
        <f aca="false">K13-MAX(0,K13)*K14/100</f>
        <v>561.810393745947</v>
      </c>
      <c r="L15" s="0" t="n">
        <f aca="false">L13-MAX(0,L13)*L14/100</f>
        <v>578.664705558325</v>
      </c>
    </row>
    <row r="16" customFormat="false" ht="15" hidden="false" customHeight="false" outlineLevel="0" collapsed="false">
      <c r="A16" s="0" t="s">
        <v>120</v>
      </c>
      <c r="C16" s="0" t="n">
        <f aca="false">-C12</f>
        <v>229.8816</v>
      </c>
      <c r="D16" s="0" t="n">
        <f aca="false">-D12</f>
        <v>227.83565376</v>
      </c>
      <c r="E16" s="0" t="n">
        <f aca="false">-E12</f>
        <v>237.1210313472</v>
      </c>
      <c r="F16" s="0" t="n">
        <f aca="false">-F12</f>
        <v>259.097069788128</v>
      </c>
      <c r="G16" s="0" t="n">
        <f aca="false">-G12</f>
        <v>280.092866822683</v>
      </c>
      <c r="H16" s="0" t="n">
        <f aca="false">-H12</f>
        <v>302.453614024027</v>
      </c>
      <c r="I16" s="0" t="n">
        <f aca="false">-I12</f>
        <v>321.161833536643</v>
      </c>
      <c r="J16" s="0" t="n">
        <f aca="false">-J12</f>
        <v>336.047429630722</v>
      </c>
      <c r="K16" s="0" t="n">
        <f aca="false">-K12</f>
        <v>351.537115840263</v>
      </c>
      <c r="L16" s="0" t="n">
        <f aca="false">-L12</f>
        <v>362.083229315471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-344.8224</v>
      </c>
      <c r="D17" s="4" t="n">
        <f aca="false">-D6*Assumptions!D32/100</f>
        <v>-386.8907328</v>
      </c>
      <c r="E17" s="4" t="n">
        <f aca="false">-E6*Assumptions!E32/100</f>
        <v>-381.087371808</v>
      </c>
      <c r="F17" s="4" t="n">
        <f aca="false">-F6*Assumptions!F32/100</f>
        <v>-379.71122296536</v>
      </c>
      <c r="G17" s="4" t="n">
        <f aca="false">-G6*Assumptions!G32/100</f>
        <v>-373.457155763578</v>
      </c>
      <c r="H17" s="4" t="n">
        <f aca="false">-H6*Assumptions!H32/100</f>
        <v>-365.87130728713</v>
      </c>
      <c r="I17" s="4" t="n">
        <f aca="false">-I6*Assumptions!I32/100</f>
        <v>-356.846481707381</v>
      </c>
      <c r="J17" s="4" t="n">
        <f aca="false">-J6*Assumptions!J32/100</f>
        <v>-367.551876158602</v>
      </c>
      <c r="K17" s="4" t="n">
        <f aca="false">-K6*Assumptions!K32/100</f>
        <v>-378.57843244336</v>
      </c>
      <c r="L17" s="4" t="n">
        <f aca="false">-L6*Assumptions!L32/100</f>
        <v>-389.935785416661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-66.8032</v>
      </c>
      <c r="D18" s="4" t="n">
        <f aca="false">(D6-C6)*Assumptions!$B$37/100</f>
        <v>29.8846079999999</v>
      </c>
      <c r="E18" s="4" t="n">
        <f aca="false">(E6-D6)*Assumptions!$B$37/100</f>
        <v>6.44817887999998</v>
      </c>
      <c r="F18" s="4" t="n">
        <f aca="false">(F6-E6)*Assumptions!$B$37/100</f>
        <v>-23.2886727216</v>
      </c>
      <c r="G18" s="4" t="n">
        <f aca="false">(G6-F6)*Assumptions!$B$37/100</f>
        <v>-20.102358862872</v>
      </c>
      <c r="H18" s="4" t="n">
        <f aca="false">(H6-G6)*Assumptions!$B$37/100</f>
        <v>-21.0069650117012</v>
      </c>
      <c r="I18" s="4" t="n">
        <f aca="false">(I6-H6)*Assumptions!$B$37/100</f>
        <v>-21.9522784372278</v>
      </c>
      <c r="J18" s="4" t="n">
        <f aca="false">(J6-I6)*Assumptions!$B$37/100</f>
        <v>-15.2934206446021</v>
      </c>
      <c r="K18" s="4" t="n">
        <f aca="false">(K6-J6)*Assumptions!$B$37/100</f>
        <v>-15.7522232639401</v>
      </c>
      <c r="L18" s="4" t="n">
        <f aca="false">(L6-K6)*Assumptions!$B$37/100</f>
        <v>-16.2247899618583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622.51976576</v>
      </c>
      <c r="D19" s="0" t="n">
        <f aca="false">D15+D16+D17+D18</f>
        <v>447.9845265792</v>
      </c>
      <c r="E19" s="0" t="n">
        <f aca="false">E15+E16+E17+E18</f>
        <v>341.762723029728</v>
      </c>
      <c r="F19" s="0" t="n">
        <f aca="false">F15+F16+F17+F18</f>
        <v>335.471425117789</v>
      </c>
      <c r="G19" s="0" t="n">
        <f aca="false">G15+G16+G17+G18</f>
        <v>382.904594350499</v>
      </c>
      <c r="H19" s="0" t="n">
        <f aca="false">H15+H16+H17+H18</f>
        <v>429.502571361185</v>
      </c>
      <c r="I19" s="0" t="n">
        <f aca="false">I15+I16+I17+I18</f>
        <v>476.919102989691</v>
      </c>
      <c r="J19" s="0" t="n">
        <f aca="false">J15+J16+J17+J18</f>
        <v>501.221980179993</v>
      </c>
      <c r="K19" s="0" t="n">
        <f aca="false">K15+K16+K17+K18</f>
        <v>519.016853878909</v>
      </c>
      <c r="L19" s="0" t="n">
        <f aca="false">L15+L16+L17+L18</f>
        <v>534.587359495277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560.828617801802</v>
      </c>
      <c r="D21" s="0" t="n">
        <f aca="false">D19*D20</f>
        <v>363.594291517896</v>
      </c>
      <c r="E21" s="0" t="n">
        <f aca="false">E19*E20</f>
        <v>249.893957529281</v>
      </c>
      <c r="F21" s="0" t="n">
        <f aca="false">F19*F20</f>
        <v>220.985418665653</v>
      </c>
      <c r="G21" s="0" t="n">
        <f aca="false">G19*G20</f>
        <v>227.235240037027</v>
      </c>
      <c r="H21" s="0" t="n">
        <f aca="false">H19*H20</f>
        <v>229.62961385483</v>
      </c>
      <c r="I21" s="0" t="n">
        <f aca="false">I19*I20</f>
        <v>229.712097269482</v>
      </c>
      <c r="J21" s="0" t="n">
        <f aca="false">J19*J20</f>
        <v>217.493497727061</v>
      </c>
      <c r="K21" s="0" t="n">
        <f aca="false">K19*K20</f>
        <v>202.896544975943</v>
      </c>
      <c r="L21" s="0" t="n">
        <f aca="false">L19*L20</f>
        <v>188.273370563263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0.3</v>
      </c>
      <c r="D23" s="4" t="n">
        <f aca="false">Assumptions!D30</f>
        <v>0.3</v>
      </c>
      <c r="E23" s="4" t="n">
        <f aca="false">Assumptions!E30</f>
        <v>0.3</v>
      </c>
      <c r="F23" s="4" t="n">
        <f aca="false">Assumptions!F30</f>
        <v>0.3</v>
      </c>
      <c r="G23" s="4" t="n">
        <f aca="false">Assumptions!G30</f>
        <v>0.3</v>
      </c>
      <c r="H23" s="4" t="n">
        <f aca="false">Assumptions!H30</f>
        <v>0.3</v>
      </c>
      <c r="I23" s="4" t="n">
        <f aca="false">Assumptions!I30</f>
        <v>0.3</v>
      </c>
      <c r="J23" s="4" t="n">
        <f aca="false">Assumptions!J30</f>
        <v>0.3</v>
      </c>
      <c r="K23" s="4" t="n">
        <f aca="false">Assumptions!K30</f>
        <v>0.3</v>
      </c>
      <c r="L23" s="4" t="n">
        <f aca="false">Assumptions!L30</f>
        <v>0.3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-13.792896</v>
      </c>
      <c r="D24" s="0" t="n">
        <f aca="false">-D6*D23/100</f>
        <v>-12.89635776</v>
      </c>
      <c r="E24" s="0" t="n">
        <f aca="false">-E6*E23/100</f>
        <v>-12.7029123936</v>
      </c>
      <c r="F24" s="0" t="n">
        <f aca="false">-F6*F23/100</f>
        <v>-13.401572575248</v>
      </c>
      <c r="G24" s="0" t="n">
        <f aca="false">-G6*G23/100</f>
        <v>-14.0046433411342</v>
      </c>
      <c r="H24" s="0" t="n">
        <f aca="false">-H6*H23/100</f>
        <v>-14.6348522914852</v>
      </c>
      <c r="I24" s="0" t="n">
        <f aca="false">-I6*I23/100</f>
        <v>-15.293420644602</v>
      </c>
      <c r="J24" s="0" t="n">
        <f aca="false">-J6*J23/100</f>
        <v>-15.7522232639401</v>
      </c>
      <c r="K24" s="0" t="n">
        <f aca="false">-K6*K23/100</f>
        <v>-16.2247899618583</v>
      </c>
      <c r="L24" s="0" t="n">
        <f aca="false">-L6*L23/100</f>
        <v>-16.711533660714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2690.54264994224</v>
      </c>
    </row>
    <row r="31" customFormat="false" ht="15" hidden="false" customHeight="false" outlineLevel="0" collapsed="false">
      <c r="A31" s="0" t="s">
        <v>129</v>
      </c>
      <c r="B31" s="0" t="n">
        <f aca="false">L19</f>
        <v>534.587359495277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6446.49462920775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6415.04831394332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6415.04831394332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2259.28044675915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4949.82309670139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6796.94409670139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13.6695352884659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-0.0270793388992276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13.6695352884659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4383.61634786127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10.5104554006711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22</v>
      </c>
      <c r="D5" s="4" t="n">
        <f aca="false">Assumptions!D41</f>
        <v>2</v>
      </c>
      <c r="E5" s="4" t="n">
        <f aca="false">Assumptions!E41</f>
        <v>4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6</v>
      </c>
      <c r="I5" s="4" t="n">
        <f aca="false">Assumptions!I41</f>
        <v>6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3929.6</v>
      </c>
      <c r="C6" s="0" t="n">
        <f aca="false">B6*(1+C5/100)</f>
        <v>4794.112</v>
      </c>
      <c r="D6" s="0" t="n">
        <f aca="false">C6*(1+D5/100)</f>
        <v>4889.99424</v>
      </c>
      <c r="E6" s="0" t="n">
        <f aca="false">D6*(1+E5/100)</f>
        <v>5085.5940096</v>
      </c>
      <c r="F6" s="0" t="n">
        <f aca="false">E6*(1+F5/100)</f>
        <v>5390.729650176</v>
      </c>
      <c r="G6" s="0" t="n">
        <f aca="false">F6*(1+G5/100)</f>
        <v>5714.17342918656</v>
      </c>
      <c r="H6" s="0" t="n">
        <f aca="false">G6*(1+H5/100)</f>
        <v>6057.02383493776</v>
      </c>
      <c r="I6" s="0" t="n">
        <f aca="false">H6*(1+I5/100)</f>
        <v>6420.44526503402</v>
      </c>
      <c r="J6" s="0" t="n">
        <f aca="false">I6*(1+J5/100)</f>
        <v>6645.16084931021</v>
      </c>
      <c r="K6" s="0" t="n">
        <f aca="false">J6*(1+K5/100)</f>
        <v>6877.74147903607</v>
      </c>
      <c r="L6" s="0" t="n">
        <f aca="false">K6*(1+L5/100)</f>
        <v>7118.46243080233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43</v>
      </c>
      <c r="D7" s="4" t="n">
        <f aca="false">Assumptions!D42</f>
        <v>40</v>
      </c>
      <c r="E7" s="4" t="n">
        <f aca="false">Assumptions!E42</f>
        <v>37</v>
      </c>
      <c r="F7" s="4" t="n">
        <f aca="false">Assumptions!F42</f>
        <v>35</v>
      </c>
      <c r="G7" s="4" t="n">
        <f aca="false">Assumptions!G42</f>
        <v>34</v>
      </c>
      <c r="H7" s="4" t="n">
        <f aca="false">Assumptions!H42</f>
        <v>34</v>
      </c>
      <c r="I7" s="4" t="n">
        <f aca="false">Assumptions!I42</f>
        <v>34</v>
      </c>
      <c r="J7" s="4" t="n">
        <f aca="false">Assumptions!J42</f>
        <v>34</v>
      </c>
      <c r="K7" s="4" t="n">
        <f aca="false">Assumptions!K42</f>
        <v>34</v>
      </c>
      <c r="L7" s="4" t="n">
        <f aca="false">Assumptions!L42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2061.46816</v>
      </c>
      <c r="D8" s="0" t="n">
        <f aca="false">D6*D7/100</f>
        <v>1955.997696</v>
      </c>
      <c r="E8" s="0" t="n">
        <f aca="false">E6*E7/100</f>
        <v>1881.669783552</v>
      </c>
      <c r="F8" s="0" t="n">
        <f aca="false">F6*F7/100</f>
        <v>1886.7553775616</v>
      </c>
      <c r="G8" s="0" t="n">
        <f aca="false">G6*G7/100</f>
        <v>1942.81896592343</v>
      </c>
      <c r="H8" s="0" t="n">
        <f aca="false">H6*H7/100</f>
        <v>2059.38810387884</v>
      </c>
      <c r="I8" s="0" t="n">
        <f aca="false">I6*I7/100</f>
        <v>2182.95139011157</v>
      </c>
      <c r="J8" s="0" t="n">
        <f aca="false">J6*J7/100</f>
        <v>2259.35468876547</v>
      </c>
      <c r="K8" s="0" t="n">
        <f aca="false">K6*K7/100</f>
        <v>2338.43210287226</v>
      </c>
      <c r="L8" s="0" t="n">
        <f aca="false">L6*L7/100</f>
        <v>2420.27722647279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2047.085824</v>
      </c>
      <c r="D11" s="0" t="n">
        <f aca="false">D8+D10+D24</f>
        <v>1941.32771328</v>
      </c>
      <c r="E11" s="0" t="n">
        <f aca="false">E8+E10+E24</f>
        <v>1866.4130015232</v>
      </c>
      <c r="F11" s="0" t="n">
        <f aca="false">F8+F10+F24</f>
        <v>1870.58318861107</v>
      </c>
      <c r="G11" s="0" t="n">
        <f aca="false">G8+G10+G24</f>
        <v>1925.67644563587</v>
      </c>
      <c r="H11" s="0" t="n">
        <f aca="false">H8+H10+H24</f>
        <v>2041.21703237402</v>
      </c>
      <c r="I11" s="0" t="n">
        <f aca="false">I8+I10+I24</f>
        <v>2163.69005431646</v>
      </c>
      <c r="J11" s="0" t="n">
        <f aca="false">J8+J10+J24</f>
        <v>2239.41920621754</v>
      </c>
      <c r="K11" s="0" t="n">
        <f aca="false">K8+K10+K24</f>
        <v>2317.79887843515</v>
      </c>
      <c r="L11" s="0" t="n">
        <f aca="false">L8+L10+L24</f>
        <v>2398.92183918039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-230.117376</v>
      </c>
      <c r="D12" s="4" t="n">
        <f aca="false">-D6*Assumptions!D45/100</f>
        <v>-244.499712</v>
      </c>
      <c r="E12" s="4" t="n">
        <f aca="false">-E6*Assumptions!E45/100</f>
        <v>-264.4508884992</v>
      </c>
      <c r="F12" s="4" t="n">
        <f aca="false">-F6*Assumptions!F45/100</f>
        <v>-291.099401109504</v>
      </c>
      <c r="G12" s="4" t="n">
        <f aca="false">-G6*Assumptions!G45/100</f>
        <v>-319.993712034447</v>
      </c>
      <c r="H12" s="4" t="n">
        <f aca="false">-H6*Assumptions!H45/100</f>
        <v>-351.30738242639</v>
      </c>
      <c r="I12" s="4" t="n">
        <f aca="false">-I6*Assumptions!I45/100</f>
        <v>-385.226715902041</v>
      </c>
      <c r="J12" s="4" t="n">
        <f aca="false">-J6*Assumptions!J45/100</f>
        <v>-398.709650958613</v>
      </c>
      <c r="K12" s="4" t="n">
        <f aca="false">-K6*Assumptions!K45/100</f>
        <v>-412.664488742164</v>
      </c>
      <c r="L12" s="4" t="n">
        <f aca="false">-L6*Assumptions!L45/100</f>
        <v>-427.10774584814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1816.968448</v>
      </c>
      <c r="D13" s="0" t="n">
        <f aca="false">D11+D12</f>
        <v>1696.82800128</v>
      </c>
      <c r="E13" s="0" t="n">
        <f aca="false">E11+E12</f>
        <v>1601.962113024</v>
      </c>
      <c r="F13" s="0" t="n">
        <f aca="false">F11+F12</f>
        <v>1579.48378750157</v>
      </c>
      <c r="G13" s="0" t="n">
        <f aca="false">G11+G12</f>
        <v>1605.68273360142</v>
      </c>
      <c r="H13" s="0" t="n">
        <f aca="false">H11+H12</f>
        <v>1689.90964994763</v>
      </c>
      <c r="I13" s="0" t="n">
        <f aca="false">I11+I12</f>
        <v>1778.46333841442</v>
      </c>
      <c r="J13" s="0" t="n">
        <f aca="false">J11+J12</f>
        <v>1840.70955525893</v>
      </c>
      <c r="K13" s="0" t="n">
        <f aca="false">K11+K12</f>
        <v>1905.13438969299</v>
      </c>
      <c r="L13" s="0" t="n">
        <f aca="false">L11+L12</f>
        <v>1971.81409333225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51</v>
      </c>
      <c r="D14" s="4" t="n">
        <f aca="false">Assumptions!D47</f>
        <v>51</v>
      </c>
      <c r="E14" s="4" t="n">
        <f aca="false">Assumptions!E47</f>
        <v>51</v>
      </c>
      <c r="F14" s="4" t="n">
        <f aca="false">Assumptions!F47</f>
        <v>51</v>
      </c>
      <c r="G14" s="4" t="n">
        <f aca="false">Assumptions!G47</f>
        <v>51</v>
      </c>
      <c r="H14" s="4" t="n">
        <f aca="false">Assumptions!H47</f>
        <v>51</v>
      </c>
      <c r="I14" s="4" t="n">
        <f aca="false">Assumptions!I47</f>
        <v>51</v>
      </c>
      <c r="J14" s="4" t="n">
        <f aca="false">Assumptions!J47</f>
        <v>51</v>
      </c>
      <c r="K14" s="4" t="n">
        <f aca="false">Assumptions!K47</f>
        <v>51</v>
      </c>
      <c r="L14" s="4" t="n">
        <f aca="false">Assumptions!L47</f>
        <v>51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890.31453952</v>
      </c>
      <c r="D15" s="0" t="n">
        <f aca="false">D13-MAX(0,D13)*D14/100</f>
        <v>831.4457206272</v>
      </c>
      <c r="E15" s="0" t="n">
        <f aca="false">E13-MAX(0,E13)*E14/100</f>
        <v>784.96143538176</v>
      </c>
      <c r="F15" s="0" t="n">
        <f aca="false">F13-MAX(0,F13)*F14/100</f>
        <v>773.947055875769</v>
      </c>
      <c r="G15" s="0" t="n">
        <f aca="false">G13-MAX(0,G13)*G14/100</f>
        <v>786.784539464698</v>
      </c>
      <c r="H15" s="0" t="n">
        <f aca="false">H13-MAX(0,H13)*H14/100</f>
        <v>828.05572847434</v>
      </c>
      <c r="I15" s="0" t="n">
        <f aca="false">I13-MAX(0,I13)*I14/100</f>
        <v>871.447035823068</v>
      </c>
      <c r="J15" s="0" t="n">
        <f aca="false">J13-MAX(0,J13)*J14/100</f>
        <v>901.947682076875</v>
      </c>
      <c r="K15" s="0" t="n">
        <f aca="false">K13-MAX(0,K13)*K14/100</f>
        <v>933.515850949565</v>
      </c>
      <c r="L15" s="0" t="n">
        <f aca="false">L13-MAX(0,L13)*L14/100</f>
        <v>966.1889057328</v>
      </c>
    </row>
    <row r="16" customFormat="false" ht="15" hidden="false" customHeight="false" outlineLevel="0" collapsed="false">
      <c r="A16" s="0" t="s">
        <v>120</v>
      </c>
      <c r="C16" s="0" t="n">
        <f aca="false">-C12</f>
        <v>230.117376</v>
      </c>
      <c r="D16" s="0" t="n">
        <f aca="false">-D12</f>
        <v>244.499712</v>
      </c>
      <c r="E16" s="0" t="n">
        <f aca="false">-E12</f>
        <v>264.4508884992</v>
      </c>
      <c r="F16" s="0" t="n">
        <f aca="false">-F12</f>
        <v>291.099401109504</v>
      </c>
      <c r="G16" s="0" t="n">
        <f aca="false">-G12</f>
        <v>319.993712034447</v>
      </c>
      <c r="H16" s="0" t="n">
        <f aca="false">-H12</f>
        <v>351.30738242639</v>
      </c>
      <c r="I16" s="0" t="n">
        <f aca="false">-I12</f>
        <v>385.226715902041</v>
      </c>
      <c r="J16" s="0" t="n">
        <f aca="false">-J12</f>
        <v>398.709650958613</v>
      </c>
      <c r="K16" s="0" t="n">
        <f aca="false">-K12</f>
        <v>412.664488742164</v>
      </c>
      <c r="L16" s="0" t="n">
        <f aca="false">-L12</f>
        <v>427.10774584814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-335.58784</v>
      </c>
      <c r="D17" s="4" t="n">
        <f aca="false">-D6*Assumptions!D46/100</f>
        <v>-415.6495104</v>
      </c>
      <c r="E17" s="4" t="n">
        <f aca="false">-E6*Assumptions!E46/100</f>
        <v>-432.275490816</v>
      </c>
      <c r="F17" s="4" t="n">
        <f aca="false">-F6*Assumptions!F46/100</f>
        <v>-431.25837201408</v>
      </c>
      <c r="G17" s="4" t="n">
        <f aca="false">-G6*Assumptions!G46/100</f>
        <v>-428.563007188992</v>
      </c>
      <c r="H17" s="4" t="n">
        <f aca="false">-H6*Assumptions!H46/100</f>
        <v>-423.991668445643</v>
      </c>
      <c r="I17" s="4" t="n">
        <f aca="false">-I6*Assumptions!I46/100</f>
        <v>-417.328942227211</v>
      </c>
      <c r="J17" s="4" t="n">
        <f aca="false">-J6*Assumptions!J46/100</f>
        <v>-431.935455205164</v>
      </c>
      <c r="K17" s="4" t="n">
        <f aca="false">-K6*Assumptions!K46/100</f>
        <v>-447.053196137344</v>
      </c>
      <c r="L17" s="4" t="n">
        <f aca="false">-L6*Assumptions!L46/100</f>
        <v>-462.700058002152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-86.4512</v>
      </c>
      <c r="D18" s="4" t="n">
        <f aca="false">(D6-C6)*Assumptions!$B$51/100</f>
        <v>-9.58822399999999</v>
      </c>
      <c r="E18" s="4" t="n">
        <f aca="false">(E6-D6)*Assumptions!$B$51/100</f>
        <v>-19.55997696</v>
      </c>
      <c r="F18" s="4" t="n">
        <f aca="false">(F6-E6)*Assumptions!$B$51/100</f>
        <v>-30.5135640576001</v>
      </c>
      <c r="G18" s="4" t="n">
        <f aca="false">(G6-F6)*Assumptions!$B$51/100</f>
        <v>-32.344377901056</v>
      </c>
      <c r="H18" s="4" t="n">
        <f aca="false">(H6-G6)*Assumptions!$B$51/100</f>
        <v>-34.2850405751194</v>
      </c>
      <c r="I18" s="4" t="n">
        <f aca="false">(I6-H6)*Assumptions!$B$51/100</f>
        <v>-36.3421430096266</v>
      </c>
      <c r="J18" s="4" t="n">
        <f aca="false">(J6-I6)*Assumptions!$B$51/100</f>
        <v>-22.471558427619</v>
      </c>
      <c r="K18" s="4" t="n">
        <f aca="false">(K6-J6)*Assumptions!$B$51/100</f>
        <v>-23.2580629725857</v>
      </c>
      <c r="L18" s="4" t="n">
        <f aca="false">(L6-K6)*Assumptions!$B$51/100</f>
        <v>-24.0720951766262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698.39287552</v>
      </c>
      <c r="D19" s="0" t="n">
        <f aca="false">D15+D16+D17+D18</f>
        <v>650.7076982272</v>
      </c>
      <c r="E19" s="0" t="n">
        <f aca="false">E15+E16+E17+E18</f>
        <v>597.57685610496</v>
      </c>
      <c r="F19" s="0" t="n">
        <f aca="false">F15+F16+F17+F18</f>
        <v>603.274520913593</v>
      </c>
      <c r="G19" s="0" t="n">
        <f aca="false">G15+G16+G17+G18</f>
        <v>645.870866409097</v>
      </c>
      <c r="H19" s="0" t="n">
        <f aca="false">H15+H16+H17+H18</f>
        <v>721.086401879968</v>
      </c>
      <c r="I19" s="0" t="n">
        <f aca="false">I15+I16+I17+I18</f>
        <v>803.002666488271</v>
      </c>
      <c r="J19" s="0" t="n">
        <f aca="false">J15+J16+J17+J18</f>
        <v>846.250319402705</v>
      </c>
      <c r="K19" s="0" t="n">
        <f aca="false">K15+K16+K17+K18</f>
        <v>875.869080581799</v>
      </c>
      <c r="L19" s="0" t="n">
        <f aca="false">L15+L16+L17+L18</f>
        <v>906.524498402162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629.182770738739</v>
      </c>
      <c r="D21" s="0" t="n">
        <f aca="false">D19*D20</f>
        <v>528.128965365798</v>
      </c>
      <c r="E21" s="0" t="n">
        <f aca="false">E19*E20</f>
        <v>436.943046848865</v>
      </c>
      <c r="F21" s="0" t="n">
        <f aca="false">F19*F20</f>
        <v>397.395612838269</v>
      </c>
      <c r="G21" s="0" t="n">
        <f aca="false">G19*G20</f>
        <v>383.29292342481</v>
      </c>
      <c r="H21" s="0" t="n">
        <f aca="false">H19*H20</f>
        <v>385.522236793364</v>
      </c>
      <c r="I21" s="0" t="n">
        <f aca="false">I19*I20</f>
        <v>386.772988281818</v>
      </c>
      <c r="J21" s="0" t="n">
        <f aca="false">J19*J20</f>
        <v>367.210436089497</v>
      </c>
      <c r="K21" s="0" t="n">
        <f aca="false">K19*K20</f>
        <v>342.398920137504</v>
      </c>
      <c r="L21" s="0" t="n">
        <f aca="false">L19*L20</f>
        <v>319.263857966051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0.3</v>
      </c>
      <c r="D23" s="4" t="n">
        <f aca="false">Assumptions!D44</f>
        <v>0.3</v>
      </c>
      <c r="E23" s="4" t="n">
        <f aca="false">Assumptions!E44</f>
        <v>0.3</v>
      </c>
      <c r="F23" s="4" t="n">
        <f aca="false">Assumptions!F44</f>
        <v>0.3</v>
      </c>
      <c r="G23" s="4" t="n">
        <f aca="false">Assumptions!G44</f>
        <v>0.3</v>
      </c>
      <c r="H23" s="4" t="n">
        <f aca="false">Assumptions!H44</f>
        <v>0.3</v>
      </c>
      <c r="I23" s="4" t="n">
        <f aca="false">Assumptions!I44</f>
        <v>0.3</v>
      </c>
      <c r="J23" s="4" t="n">
        <f aca="false">Assumptions!J44</f>
        <v>0.3</v>
      </c>
      <c r="K23" s="4" t="n">
        <f aca="false">Assumptions!K44</f>
        <v>0.3</v>
      </c>
      <c r="L23" s="4" t="n">
        <f aca="false">Assumptions!L44</f>
        <v>0.3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-14.382336</v>
      </c>
      <c r="D24" s="0" t="n">
        <f aca="false">-D6*D23/100</f>
        <v>-14.66998272</v>
      </c>
      <c r="E24" s="0" t="n">
        <f aca="false">-E6*E23/100</f>
        <v>-15.2567820288</v>
      </c>
      <c r="F24" s="0" t="n">
        <f aca="false">-F6*F23/100</f>
        <v>-16.172188950528</v>
      </c>
      <c r="G24" s="0" t="n">
        <f aca="false">-G6*G23/100</f>
        <v>-17.1425202875597</v>
      </c>
      <c r="H24" s="0" t="n">
        <f aca="false">-H6*H23/100</f>
        <v>-18.1710715048133</v>
      </c>
      <c r="I24" s="0" t="n">
        <f aca="false">-I6*I23/100</f>
        <v>-19.2613357951021</v>
      </c>
      <c r="J24" s="0" t="n">
        <f aca="false">-J6*J23/100</f>
        <v>-19.9354825479306</v>
      </c>
      <c r="K24" s="0" t="n">
        <f aca="false">-K6*K23/100</f>
        <v>-20.6332244371082</v>
      </c>
      <c r="L24" s="0" t="n">
        <f aca="false">-L6*L23/100</f>
        <v>-21.355387292407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4176.11175848471</v>
      </c>
    </row>
    <row r="31" customFormat="false" ht="15" hidden="false" customHeight="false" outlineLevel="0" collapsed="false">
      <c r="A31" s="0" t="s">
        <v>129</v>
      </c>
      <c r="B31" s="0" t="n">
        <f aca="false">L19</f>
        <v>906.524498402162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11671.5029169278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12691.3429776303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11671.5029169278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4110.5221713129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8286.63392979762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10133.7549297976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20.3802942391067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0.450554750114353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20.3802942391067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7781.00194461856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14.6652882433265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8.35421194203026</v>
      </c>
      <c r="C4" s="0" t="n">
        <f aca="false">B4/Assumptions!$B$2-1</f>
        <v>-0.405394167827028</v>
      </c>
      <c r="D4" s="4" t="n">
        <f aca="false">Assumptions!$B$24</f>
        <v>0.25</v>
      </c>
      <c r="E4" s="4" t="n">
        <f aca="false">DCF_Bear!$B$43</f>
        <v>8.35421194203026</v>
      </c>
      <c r="F4" s="4" t="n">
        <f aca="false">DCF_Bear!$B$47</f>
        <v>7.21153801837913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13.6695352884659</v>
      </c>
      <c r="C5" s="0" t="n">
        <f aca="false">B5/Assumptions!$B$2-1</f>
        <v>-0.0270793388992276</v>
      </c>
      <c r="D5" s="4" t="n">
        <f aca="false">Assumptions!$B$38</f>
        <v>0.5</v>
      </c>
      <c r="E5" s="4" t="n">
        <f aca="false">DCF_Base!$B$43</f>
        <v>13.6695352884659</v>
      </c>
      <c r="F5" s="4" t="n">
        <f aca="false">DCF_Base!$B$47</f>
        <v>10.5104554006711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20.3802942391067</v>
      </c>
      <c r="C6" s="0" t="n">
        <f aca="false">B6/Assumptions!$B$2-1</f>
        <v>0.450554750114353</v>
      </c>
      <c r="D6" s="4" t="n">
        <f aca="false">Assumptions!$B$52</f>
        <v>0.25</v>
      </c>
      <c r="E6" s="4" t="n">
        <f aca="false">DCF_Bull!$B$43</f>
        <v>20.3802942391067</v>
      </c>
      <c r="F6" s="4" t="n">
        <f aca="false">DCF_Bull!$B$47</f>
        <v>14.6652882433265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14.0183941895172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14.0183941895172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-0.00225459564451969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10.7244342657619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15.0610037786213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14.3342065779516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13.6695352884659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12.6418999103999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10.5104554006711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15.0610037786213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15.0610037786213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15.0610037786213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15.0610037786213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15.0610037786213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14.3098238122734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14.3342065779516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14.3342065779516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14.3342065779516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14.3342065779516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13.1713219416066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13.4171071927238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13.6695352884659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13.6695352884659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13.6695352884659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12.2532275752273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12.4378469344343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12.6418999103999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12.8686254392506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13.0609372717578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11.4977678242397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11.639227359022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11.7941592304503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11.9645842890214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12.152948827442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2026-10-16T07:10:21Z</dcterms:created>
  <dc:creator>openpyxl</dc:creator>
  <dc:description/>
  <dc:language>en-NZ</dc:language>
  <cp:lastModifiedBy/>
  <dcterms:modified xsi:type="dcterms:W3CDTF">2026-10-16T07:10:21Z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