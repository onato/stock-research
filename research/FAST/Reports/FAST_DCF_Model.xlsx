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<sst xmlns="http://schemas.openxmlformats.org/spreadsheetml/2006/main" count="389" uniqueCount="174">
  <si>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</si>
  <si>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FAST</t>
  </si>
  <si>
    <t xml:space="preserve">Company</t>
  </si>
  <si>
    <t xml:space="preserve">Fastenal Company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</si>
  <si>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</si>
  <si>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</si>
  <si>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</si>
  <si>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</si>
  <si>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2026-09-25T20:00:01Z regular close (Friday); Yahoo chart API, not an after-hours print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</si>
  <si>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</si>
  <si>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</si>
  <si>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</si>
  <si>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</si>
  <si>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</si>
  <si>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</si>
  <si>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</si>
  <si>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</si>
  <si>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</si>
  <si>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</si>
  <si>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</si>
  <si>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</si>
  <si>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2026-09-28T08:01:58Z</t>
  </si>
  <si>
    <t xml:space="preserve">Drivers file</t>
  </si>
  <si>
    <t xml:space="preserve">FAST_Drivers.json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</si>
  <si>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</si>
  <si>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</si>
  <si>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</si>
  <si>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Fastenal is a genuinely high-quality compounder: no leverage, 30%+ ROIC, a physically embedded (Onsite/vending) moat, and an operating margin that has held 20-21% through every year since 2018. The DCF values that quality on its own cash flows: owner FCF is ~12.7% of revenue today and matures around 14%, discounted at 9%, with an unbinding 20x terminal cap. On those terms the weighted intrinsic value sits far below the market price. The gap is not a modelling artefact but the market's choice to capitalise ~55x owner FCF; the required_return_table shows what forward return the current price implies. The entry price at a 15% hurdle is well under half of intrinsic value, as the method warns for a slow-growing business.
key_risks_to_valuation: Cyclical end markets: revenue tracks US manufacturing PMI and non-residential construction; the bear path assumes a moderate FY2027-28 recession, a 2009-style -17% would take the bear IV materially lower.; Gross margin erosion from national-account mix and tariffs outrunning SG&amp;A leverage; each 1pp of sustained EBITDA margin is roughly $1.4/share of base value.; Working-capital intensity (~33% of revenue) means faster growth consumes more cash; the bull case is not linear in growth because of it.; Multiple compression: the price sits at ~42x trailing earnings; even the bull DCF does not reach it, so the equity's forward return depends on the multiple holding rather than on the cash flows.; Upside risk to the model: if the FMI/Onsite moat allows a structural EBITDA margin above 25% or growth above 8% for a decade, the base case is too conservative; the sensitivity grid and required-return table are the places to test that.; CEO transition (Jeff Watts from July 2026) and the pivot toward acquisitions for international expansion introduce capital-allocation risk a 60-year organic-growth record does not cover.</t>
  </si>
  <si>
    <t xml:space="preserve">Data sources</t>
  </si>
  <si>
    <t xml:space="preserve">price: Yahoo Finance chart API at inputs.price_as_of (regular close); 52-week range 38.97-52.92
financials: SEC XBRL companyfacts (CIK 815556) via FAST_Metrics.csv: FY2025 10-K (filed 2026-02-05) for revenue, EBITDA, D&amp;A, SBC, cash taxes, dividends, leases; Q2 2026 10-Q (filed 2026-07-16) for cash, debt, receivables/inventory/payables and the diluted share count.
qualitative: FAST_Analysis.json (2026-09-28): Q2 2026 earnings commentary, FY2026 guidance (capex $310-330M, tax ~24.6%, FMI signings 27-29k MEUs, digital 63-64%), CEO transition, tariff and mix commentary.</t>
  </si>
  <si>
    <t xml:space="preserve">Scenario narrative: bear</t>
  </si>
  <si>
    <t xml:space="preserve">FY2026 finishes at +11% as H2 daily sales slow, then the manufacturing PMI rolls over: revenue +1% in FY2027 and -4% in FY2028 (a moderate industrial recession, not 2009's -17%). The remaining ~40bps price-cost tariff headwind flows through on shrinking volume with 3-4x incremental margin impact, and the large-account mix continues to dilute gross margin without offsetting leverage, so the EBITDA margin falls from 22.4% to 20.5% at the trough and recovers only to 21% (operating margin ~18.5%, its worst since 2009). Amazon Business pressure on commoditised lines plus a CEO-transition wobble hold the recovery to 3-4%. Working capital releases cash in the down year (the model's negative capture on negative growth) which cushions but does not offset. Terminal growth 2%, cap 15x for a cyclical that has lost its margin premium.</t>
  </si>
  <si>
    <t xml:space="preserve">Scenario narrative: base</t>
  </si>
  <si>
    <t xml:space="preserve">The current industrial upcycle (heavy manufacturing +18%, non-residential construction +17% in Q2 2026) carries FY2026 to ~+13%, then growth decelerates through the 8% ten-year average to 3.5% by year 10 as tariff-driven pricing (~290bps of Q2 growth) fades and FMI/Onsite signings settle at the 27-29k MEU run-rate. Gross margin keeps eroding ~75bps/yr from the deliberate national-account mix shift and higher-tariff inventory, and SG&amp;A leverage keeps absorbing it, so the operating margin stays on its FY2018-25 plateau (~20.5%; 23% EBITDA). Working capital consumes ~28c of each incremental revenue dollar, capex runs at the guided ~3.4% then normalises to 3.0%. The new CEO (Watts, July 2026) executes the same three-pillar strategy. Owner FCF margin matures around 14% of revenue.</t>
  </si>
  <si>
    <t xml:space="preserve">Scenario narrative: bull</t>
  </si>
  <si>
    <t xml:space="preserve">Embedded Onsite/FMI infrastructure and the digital footprint (63-64% of sales) compound share gains against local distributors and Amazon Business: revenue grows 14% in FY2026 and holds 8-10% for four more years, helped by acquisitions that compress the international buildout to 2-3 years. Price/cost turns net positive as higher-tariff inventory is fully passed through, and national-account scale leverage lifts the EBITDA margin from 23.0% to 24.5% (operating margin ~22%). FMI data lets inventory turns improve, so growth consumes 26c rather than 28c per dollar. Terminal growth 3.5% reflects continued structural share gain in a fragmented MRO market.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</si>
  <si>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</si>
  <si>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</si>
  <si>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</si>
  <si>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</si>
  <si>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</si>
  <si>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</si>
  <si>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</si>
  <si>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</si>
  <si>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</si>
  <si>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</si>
  <si>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</si>
  <si>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</si>
  <si>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</si>
  <si>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</si>
  <si>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</si>
  <si>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</si>
  <si>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</si>
  <si>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</si>
  <si>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</si>
  <si>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</si>
  <si>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</si>
  <si>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</si>
  <si>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</si>
  <si>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</si>
  <si>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</si>
  <si>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</si>
  <si>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</si>
  <si>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</si>
  <si>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</si>
  <si>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</si>
  <si>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</si>
  <si>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</si>
  <si>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</si>
  <si>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</si>
  <si>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</si>
  <si>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</si>
  <si>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</si>
  <si>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</si>
  <si>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</si>
  <si>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</si>
  <si>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</si>
  <si>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</si>
  <si>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</si>
  <si>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</si>
  <si>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</si>
  <si>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</si>
  <si>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</si>
  <si>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</si>
  <si>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</si>
  <si>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</si>
  <si>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</si>
  <si>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</si>
  <si>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</si>
  <si>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</si>
  <si>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</si>
  <si>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</si>
  <si>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</si>
  <si>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</si>
  <si>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</si>
  <si>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</si>
  <si>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</si>
  <si>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</si>
  <si>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</si>
  <si>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</si>
  <si>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</si>
  <si>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</si>
  <si>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</si>
  <si>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</si>
  <si>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</si>
  <si>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</si>
  <si>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</si>
  <si>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</si>
  <si>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</si>
  <si>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</si>
  <si>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</si>
  <si>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</si>
  <si>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</si>
  <si>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</si>
  <si>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</si>
  <si>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</si>
  <si>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</si>
  <si>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</si>
  <si>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</si>
  <si>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</si>
  <si>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FAST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</si>
  <si>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</si>
  <si>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</si>
  <si>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</si>
  <si>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</si>
  <si>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</si>
  <si>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</si>
  <si>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</si>
  <si>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</si>
  <si>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</si>
  <si>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</si>
  <si>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</si>
  <si>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</si>
  <si>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</si>
  <si>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</si>
  <si>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</si>
  <si>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</si>
  <si>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</si>
  <si>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</si>
  <si>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</si>
  <si>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</si>
  <si>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</si>
  <si>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</si>
  <si>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</si>
  <si>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</si>
  <si>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</si>
  <si>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</si>
  <si>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</si>
  <si>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</si>
  <si>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</si>
  <si>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</si>
  <si>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FAST owner-FCF component DCF: base case (millions, USD)</t>
  </si>
  <si>
    <t xml:space="preserve">FAST owner-FCF component DCF: bull case (millions, USD)</t>
  </si>
  <si>
    <t xml:space="preserve">FAST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</si>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</sst>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50.43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922.093</v>
      </c>
      <c r="S2" s="0" t="n">
        <v>19.346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2061.819</v>
      </c>
      <c r="C3" s="0" t="n">
        <v>1014.245</v>
      </c>
      <c r="D3" s="0" t="n">
        <v>1047.574</v>
      </c>
      <c r="E3" s="0" t="n">
        <v>50.8082426245951</v>
      </c>
      <c r="F3" s="0" t="n">
        <v>376.425</v>
      </c>
      <c r="G3" s="0" t="n">
        <v>18.2569371996281</v>
      </c>
      <c r="I3" s="0" t="n">
        <v>232.622</v>
      </c>
      <c r="J3" s="0" t="n">
        <v>11.2823676569088</v>
      </c>
      <c r="L3" s="0" t="n">
        <v>227.895</v>
      </c>
      <c r="M3" s="0" t="n">
        <v>55.759</v>
      </c>
      <c r="N3" s="0" t="n">
        <v>172.136</v>
      </c>
      <c r="O3" s="0" t="n">
        <v>1010.161</v>
      </c>
      <c r="S3" s="0" t="n">
        <v>57.22</v>
      </c>
      <c r="U3" s="0" t="n">
        <v>1.915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2340.425</v>
      </c>
      <c r="C4" s="0" t="n">
        <v>1104.333</v>
      </c>
      <c r="D4" s="0" t="n">
        <v>1236.092</v>
      </c>
      <c r="E4" s="0" t="n">
        <v>52.8148520033755</v>
      </c>
      <c r="F4" s="0" t="n">
        <v>450.237</v>
      </c>
      <c r="G4" s="0" t="n">
        <v>19.2374034630462</v>
      </c>
      <c r="I4" s="0" t="n">
        <v>279.705</v>
      </c>
      <c r="J4" s="0" t="n">
        <v>11.951034534326</v>
      </c>
      <c r="L4" s="0" t="n">
        <v>259.898</v>
      </c>
      <c r="M4" s="0" t="n">
        <v>95.306</v>
      </c>
      <c r="N4" s="0" t="n">
        <v>164.592</v>
      </c>
      <c r="O4" s="0" t="n">
        <v>1142.259</v>
      </c>
      <c r="P4" s="0" t="n">
        <v>1304.149</v>
      </c>
      <c r="S4" s="0" t="n">
        <v>85.892</v>
      </c>
      <c r="T4" s="0" t="n">
        <v>148.831028</v>
      </c>
      <c r="U4" s="0" t="n">
        <v>3.247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1930.33</v>
      </c>
      <c r="C5" s="0" t="n">
        <v>946.895</v>
      </c>
      <c r="D5" s="0" t="n">
        <v>983.435</v>
      </c>
      <c r="E5" s="0" t="n">
        <v>50.9464702926443</v>
      </c>
      <c r="F5" s="0" t="n">
        <v>295.793</v>
      </c>
      <c r="G5" s="0" t="n">
        <v>15.3234421057539</v>
      </c>
      <c r="I5" s="0" t="n">
        <v>184.357</v>
      </c>
      <c r="J5" s="0" t="n">
        <v>9.55054317137484</v>
      </c>
      <c r="K5" s="0" t="n">
        <v>0.62</v>
      </c>
      <c r="L5" s="0" t="n">
        <v>306.07</v>
      </c>
      <c r="M5" s="0" t="n">
        <v>52.538</v>
      </c>
      <c r="N5" s="0" t="n">
        <v>253.532</v>
      </c>
      <c r="O5" s="0" t="n">
        <v>1190.843</v>
      </c>
      <c r="P5" s="0" t="n">
        <v>1327.358</v>
      </c>
      <c r="S5" s="0" t="n">
        <v>164.852</v>
      </c>
      <c r="T5" s="0" t="n">
        <v>296.71597</v>
      </c>
      <c r="U5" s="0" t="n">
        <v>3.85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2269.471</v>
      </c>
      <c r="C6" s="0" t="n">
        <v>1094.635</v>
      </c>
      <c r="D6" s="0" t="n">
        <v>1174.836</v>
      </c>
      <c r="E6" s="0" t="n">
        <v>51.7669536204693</v>
      </c>
      <c r="F6" s="0" t="n">
        <v>429.689</v>
      </c>
      <c r="G6" s="0" t="n">
        <v>18.9334430799072</v>
      </c>
      <c r="I6" s="0" t="n">
        <v>265.356</v>
      </c>
      <c r="J6" s="0" t="n">
        <v>11.6924164265593</v>
      </c>
      <c r="K6" s="0" t="n">
        <v>0.9</v>
      </c>
      <c r="L6" s="0" t="n">
        <v>240.488</v>
      </c>
      <c r="M6" s="0" t="n">
        <v>73.597</v>
      </c>
      <c r="N6" s="0" t="n">
        <v>166.891</v>
      </c>
      <c r="O6" s="0" t="n">
        <v>1282.512</v>
      </c>
      <c r="P6" s="0" t="n">
        <v>1468.283</v>
      </c>
      <c r="S6" s="0" t="n">
        <v>143.693</v>
      </c>
      <c r="T6" s="0" t="n">
        <v>294.861424</v>
      </c>
      <c r="U6" s="0" t="n">
        <v>4.03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2766.859</v>
      </c>
      <c r="C7" s="0" t="n">
        <v>1332.687</v>
      </c>
      <c r="D7" s="0" t="n">
        <v>1434.172</v>
      </c>
      <c r="E7" s="0" t="n">
        <v>51.833938773172</v>
      </c>
      <c r="F7" s="0" t="n">
        <v>574.609</v>
      </c>
      <c r="G7" s="0" t="n">
        <v>20.7675562795213</v>
      </c>
      <c r="I7" s="0" t="n">
        <v>357.929</v>
      </c>
      <c r="J7" s="0" t="n">
        <v>12.9362934649001</v>
      </c>
      <c r="K7" s="0" t="n">
        <v>1.21</v>
      </c>
      <c r="L7" s="0" t="n">
        <v>268.489</v>
      </c>
      <c r="M7" s="0" t="n">
        <v>120.043</v>
      </c>
      <c r="N7" s="0" t="n">
        <v>148.446</v>
      </c>
      <c r="O7" s="0" t="n">
        <v>1458.976</v>
      </c>
      <c r="P7" s="0" t="n">
        <v>1684.948</v>
      </c>
      <c r="S7" s="0" t="n">
        <v>117.676</v>
      </c>
      <c r="T7" s="0" t="n">
        <v>295.868726</v>
      </c>
      <c r="U7" s="0" t="n">
        <v>4.05</v>
      </c>
      <c r="V7" s="0" t="n">
        <v>0.5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3133.577</v>
      </c>
      <c r="C8" s="0" t="n">
        <v>1519.053</v>
      </c>
      <c r="D8" s="0" t="n">
        <v>1614.524</v>
      </c>
      <c r="E8" s="0" t="n">
        <v>51.5233549390999</v>
      </c>
      <c r="F8" s="0" t="n">
        <v>673.691</v>
      </c>
      <c r="G8" s="0" t="n">
        <v>21.4991046972837</v>
      </c>
      <c r="I8" s="0" t="n">
        <v>420.536</v>
      </c>
      <c r="J8" s="0" t="n">
        <v>13.4203180582446</v>
      </c>
      <c r="K8" s="0" t="n">
        <v>1.42</v>
      </c>
      <c r="L8" s="0" t="n">
        <v>396.292</v>
      </c>
      <c r="M8" s="0" t="n">
        <v>138.406</v>
      </c>
      <c r="N8" s="0" t="n">
        <v>257.886</v>
      </c>
      <c r="O8" s="0" t="n">
        <v>1560.36</v>
      </c>
      <c r="P8" s="0" t="n">
        <v>1815.832</v>
      </c>
      <c r="S8" s="0" t="n">
        <v>79.611</v>
      </c>
      <c r="T8" s="0" t="n">
        <v>297.15095</v>
      </c>
      <c r="U8" s="0" t="n">
        <v>4.8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3326.106</v>
      </c>
      <c r="C9" s="0" t="n">
        <v>1606.661</v>
      </c>
      <c r="D9" s="0" t="n">
        <v>1719.445</v>
      </c>
      <c r="E9" s="0" t="n">
        <v>51.6954360444315</v>
      </c>
      <c r="F9" s="0" t="n">
        <v>712.657</v>
      </c>
      <c r="G9" s="0" t="n">
        <v>21.4261662135843</v>
      </c>
      <c r="I9" s="0" t="n">
        <v>448.636</v>
      </c>
      <c r="J9" s="0" t="n">
        <v>13.4883253871043</v>
      </c>
      <c r="K9" s="0" t="n">
        <v>1.51</v>
      </c>
      <c r="L9" s="0" t="n">
        <v>416.12</v>
      </c>
      <c r="M9" s="0" t="n">
        <v>206.54</v>
      </c>
      <c r="N9" s="0" t="n">
        <v>209.58</v>
      </c>
      <c r="O9" s="0" t="n">
        <v>1772.697</v>
      </c>
      <c r="P9" s="0" t="n">
        <v>2075.784</v>
      </c>
      <c r="S9" s="0" t="n">
        <v>58.506</v>
      </c>
      <c r="T9" s="0" t="n">
        <v>297.683588</v>
      </c>
      <c r="U9" s="0" t="n">
        <v>5.4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3733.507</v>
      </c>
      <c r="C10" s="0" t="n">
        <v>1836.105</v>
      </c>
      <c r="D10" s="0" t="n">
        <v>1897.402</v>
      </c>
      <c r="E10" s="0" t="n">
        <v>50.8209037776011</v>
      </c>
      <c r="F10" s="0" t="n">
        <v>787.59</v>
      </c>
      <c r="G10" s="0" t="n">
        <v>21.0951794117434</v>
      </c>
      <c r="I10" s="0" t="n">
        <v>494.15</v>
      </c>
      <c r="J10" s="0" t="n">
        <v>13.235545025093</v>
      </c>
      <c r="K10" s="0" t="n">
        <v>1.67</v>
      </c>
      <c r="L10" s="0" t="n">
        <v>499.392</v>
      </c>
      <c r="M10" s="0" t="n">
        <v>189.474</v>
      </c>
      <c r="N10" s="0" t="n">
        <v>309.918</v>
      </c>
      <c r="O10" s="0" t="n">
        <v>1915.3</v>
      </c>
      <c r="P10" s="0" t="n">
        <v>2359.102</v>
      </c>
      <c r="R10" s="0" t="n">
        <v>180</v>
      </c>
      <c r="S10" s="0" t="n">
        <v>114.4</v>
      </c>
      <c r="T10" s="0" t="n">
        <v>297.313244</v>
      </c>
      <c r="U10" s="0" t="n">
        <v>7.039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3869.2</v>
      </c>
      <c r="C11" s="0" t="n">
        <v>1920.3</v>
      </c>
      <c r="D11" s="0" t="n">
        <v>1948.9</v>
      </c>
      <c r="E11" s="0" t="n">
        <v>50.3695854440194</v>
      </c>
      <c r="F11" s="0" t="n">
        <v>828.8</v>
      </c>
      <c r="G11" s="0" t="n">
        <v>21.42044867156</v>
      </c>
      <c r="I11" s="0" t="n">
        <v>516.4</v>
      </c>
      <c r="J11" s="0" t="n">
        <v>13.3464282022123</v>
      </c>
      <c r="K11" s="0" t="n">
        <v>1.77</v>
      </c>
      <c r="L11" s="0" t="n">
        <v>550.3</v>
      </c>
      <c r="M11" s="0" t="n">
        <v>155.2</v>
      </c>
      <c r="N11" s="0" t="n">
        <v>395.1</v>
      </c>
      <c r="O11" s="0" t="n">
        <v>1801.4</v>
      </c>
      <c r="P11" s="0" t="n">
        <v>2532.462</v>
      </c>
      <c r="R11" s="0" t="n">
        <v>427.05</v>
      </c>
      <c r="S11" s="0" t="n">
        <v>129</v>
      </c>
      <c r="T11" s="0" t="n">
        <v>292.045442</v>
      </c>
      <c r="U11" s="0" t="n">
        <v>5.8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3962</v>
      </c>
      <c r="C12" s="0" t="n">
        <v>1997.2</v>
      </c>
      <c r="D12" s="0" t="n">
        <v>1964.8</v>
      </c>
      <c r="E12" s="0" t="n">
        <v>49.5911155981827</v>
      </c>
      <c r="F12" s="0" t="n">
        <v>795.8</v>
      </c>
      <c r="G12" s="0" t="n">
        <v>20.0858152448259</v>
      </c>
      <c r="I12" s="0" t="n">
        <v>499.4</v>
      </c>
      <c r="J12" s="0" t="n">
        <v>12.6047450782433</v>
      </c>
      <c r="K12" s="0" t="n">
        <v>1.73</v>
      </c>
      <c r="L12" s="0" t="n">
        <v>519.9</v>
      </c>
      <c r="M12" s="0" t="n">
        <v>189.5</v>
      </c>
      <c r="N12" s="0" t="n">
        <v>330.4</v>
      </c>
      <c r="O12" s="0" t="n">
        <v>1933.1</v>
      </c>
      <c r="P12" s="0" t="n">
        <v>2668.9</v>
      </c>
      <c r="R12" s="0" t="n">
        <v>400.5</v>
      </c>
      <c r="S12" s="0" t="n">
        <v>112.7</v>
      </c>
      <c r="T12" s="0" t="n">
        <v>578.323848</v>
      </c>
      <c r="U12" s="0" t="n">
        <v>4.1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4390.5</v>
      </c>
      <c r="C13" s="0" t="n">
        <v>2226.9</v>
      </c>
      <c r="D13" s="0" t="n">
        <v>2163.6</v>
      </c>
      <c r="E13" s="0" t="n">
        <v>49.2791253843526</v>
      </c>
      <c r="F13" s="0" t="n">
        <v>881.8</v>
      </c>
      <c r="G13" s="0" t="n">
        <v>20.0842728618608</v>
      </c>
      <c r="I13" s="0" t="n">
        <v>578.6</v>
      </c>
      <c r="J13" s="0" t="n">
        <v>13.1784534791026</v>
      </c>
      <c r="K13" s="0" t="n">
        <v>1</v>
      </c>
      <c r="L13" s="0" t="n">
        <v>585.2</v>
      </c>
      <c r="M13" s="0" t="n">
        <v>119.9</v>
      </c>
      <c r="N13" s="0" t="n">
        <v>465.3</v>
      </c>
      <c r="O13" s="0" t="n">
        <v>2096.9</v>
      </c>
      <c r="P13" s="0" t="n">
        <v>2910.5</v>
      </c>
      <c r="R13" s="0" t="n">
        <v>418</v>
      </c>
      <c r="S13" s="0" t="n">
        <v>116.9</v>
      </c>
      <c r="T13" s="0" t="n">
        <v>575.183072</v>
      </c>
      <c r="U13" s="0" t="n">
        <v>5.2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4965.1</v>
      </c>
      <c r="C14" s="0" t="n">
        <v>2566.2</v>
      </c>
      <c r="D14" s="0" t="n">
        <v>2398.9</v>
      </c>
      <c r="E14" s="0" t="n">
        <v>48.3152403778373</v>
      </c>
      <c r="F14" s="0" t="n">
        <v>999.2</v>
      </c>
      <c r="G14" s="0" t="n">
        <v>20.1244687921693</v>
      </c>
      <c r="I14" s="0" t="n">
        <v>751.9</v>
      </c>
      <c r="J14" s="0" t="n">
        <v>15.1437030472699</v>
      </c>
      <c r="K14" s="0" t="n">
        <v>1.31</v>
      </c>
      <c r="L14" s="0" t="n">
        <v>674.2</v>
      </c>
      <c r="M14" s="0" t="n">
        <v>176.3</v>
      </c>
      <c r="N14" s="0" t="n">
        <v>497.9</v>
      </c>
      <c r="O14" s="0" t="n">
        <v>2302.7</v>
      </c>
      <c r="P14" s="0" t="n">
        <v>3321.5</v>
      </c>
      <c r="R14" s="0" t="n">
        <v>503</v>
      </c>
      <c r="S14" s="0" t="n">
        <v>167.2</v>
      </c>
      <c r="T14" s="0" t="n">
        <v>571.803838</v>
      </c>
      <c r="U14" s="0" t="n">
        <v>5.1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5333.7</v>
      </c>
      <c r="C15" s="0" t="n">
        <v>2818.3</v>
      </c>
      <c r="D15" s="0" t="n">
        <v>2515.4</v>
      </c>
      <c r="E15" s="0" t="n">
        <v>47.1605077150946</v>
      </c>
      <c r="F15" s="0" t="n">
        <v>1057.2</v>
      </c>
      <c r="G15" s="0" t="n">
        <v>19.8211372968109</v>
      </c>
      <c r="I15" s="0" t="n">
        <v>790.9</v>
      </c>
      <c r="J15" s="0" t="n">
        <v>14.8283555505559</v>
      </c>
      <c r="K15" s="0" t="n">
        <v>1.38</v>
      </c>
      <c r="L15" s="0" t="n">
        <v>842.7</v>
      </c>
      <c r="M15" s="0" t="n">
        <v>246.4</v>
      </c>
      <c r="N15" s="0" t="n">
        <v>596.3</v>
      </c>
      <c r="O15" s="0" t="n">
        <v>2665.6</v>
      </c>
      <c r="P15" s="0" t="n">
        <v>3799.9</v>
      </c>
      <c r="R15" s="0" t="n">
        <v>348</v>
      </c>
      <c r="S15" s="0" t="n">
        <v>174.9</v>
      </c>
      <c r="T15" s="0" t="n">
        <v>574.128911</v>
      </c>
      <c r="U15" s="0" t="n">
        <v>5.7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5647.3</v>
      </c>
      <c r="C16" s="0" t="n">
        <v>3079.5</v>
      </c>
      <c r="D16" s="0" t="n">
        <v>2567.8</v>
      </c>
      <c r="E16" s="0" t="n">
        <v>45.4695164060702</v>
      </c>
      <c r="F16" s="0" t="n">
        <v>1141.8</v>
      </c>
      <c r="G16" s="0" t="n">
        <v>20.2185115010713</v>
      </c>
      <c r="I16" s="0" t="n">
        <v>859.1</v>
      </c>
      <c r="J16" s="0" t="n">
        <v>15.2125794627521</v>
      </c>
      <c r="K16" s="0" t="n">
        <v>1.5</v>
      </c>
      <c r="L16" s="0" t="n">
        <v>1101.8</v>
      </c>
      <c r="M16" s="0" t="n">
        <v>168.1</v>
      </c>
      <c r="N16" s="0" t="n">
        <v>933.7</v>
      </c>
      <c r="O16" s="0" t="n">
        <v>2733.2</v>
      </c>
      <c r="P16" s="0" t="n">
        <v>3964.7</v>
      </c>
      <c r="R16" s="0" t="n">
        <v>445</v>
      </c>
      <c r="S16" s="0" t="n">
        <v>245.7</v>
      </c>
      <c r="T16" s="0" t="n">
        <v>574.159575</v>
      </c>
      <c r="U16" s="0" t="n">
        <v>5.7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6010.9</v>
      </c>
      <c r="C17" s="0" t="n">
        <v>3233.7</v>
      </c>
      <c r="D17" s="0" t="n">
        <v>2777.2</v>
      </c>
      <c r="E17" s="0" t="n">
        <v>46.2027317040709</v>
      </c>
      <c r="F17" s="0" t="n">
        <v>1217.4</v>
      </c>
      <c r="G17" s="0" t="n">
        <v>20.2532066745413</v>
      </c>
      <c r="I17" s="0" t="n">
        <v>925</v>
      </c>
      <c r="J17" s="0" t="n">
        <v>15.3887105092416</v>
      </c>
      <c r="K17" s="0" t="n">
        <v>1.61</v>
      </c>
      <c r="L17" s="0" t="n">
        <v>770.1</v>
      </c>
      <c r="M17" s="0" t="n">
        <v>156.6</v>
      </c>
      <c r="N17" s="0" t="n">
        <v>613.5</v>
      </c>
      <c r="O17" s="0" t="n">
        <v>3042.2</v>
      </c>
      <c r="P17" s="0" t="n">
        <v>4299</v>
      </c>
      <c r="R17" s="0" t="n">
        <v>450</v>
      </c>
      <c r="S17" s="0" t="n">
        <v>236.2</v>
      </c>
      <c r="T17" s="0" t="n">
        <v>575.464682</v>
      </c>
      <c r="U17" s="0" t="n">
        <v>5.6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6980.6</v>
      </c>
      <c r="C18" s="0" t="n">
        <v>3764.8</v>
      </c>
      <c r="D18" s="0" t="n">
        <v>3215.8</v>
      </c>
      <c r="E18" s="0" t="n">
        <v>46.0676732659084</v>
      </c>
      <c r="F18" s="0" t="n">
        <v>1453.6</v>
      </c>
      <c r="G18" s="0" t="n">
        <v>20.8234249204939</v>
      </c>
      <c r="H18" s="0" t="n">
        <v>1630.2</v>
      </c>
      <c r="I18" s="0" t="n">
        <v>1086.9</v>
      </c>
      <c r="J18" s="0" t="n">
        <v>15.5702948170644</v>
      </c>
      <c r="K18" s="0" t="n">
        <v>1.89</v>
      </c>
      <c r="L18" s="0" t="n">
        <v>941</v>
      </c>
      <c r="M18" s="0" t="n">
        <v>173.8</v>
      </c>
      <c r="N18" s="0" t="n">
        <v>767.2</v>
      </c>
      <c r="O18" s="0" t="n">
        <v>3163.2</v>
      </c>
      <c r="P18" s="0" t="n">
        <v>4548.6</v>
      </c>
      <c r="R18" s="0" t="n">
        <v>756.8</v>
      </c>
      <c r="S18" s="0" t="n">
        <v>230.1</v>
      </c>
      <c r="T18" s="0" t="n">
        <v>1141.623348</v>
      </c>
      <c r="U18" s="0" t="n">
        <v>7.2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7346.7</v>
      </c>
      <c r="C19" s="0" t="n">
        <v>3992.2</v>
      </c>
      <c r="D19" s="0" t="n">
        <v>3354.5</v>
      </c>
      <c r="E19" s="0" t="n">
        <v>45.6599561707978</v>
      </c>
      <c r="F19" s="0" t="n">
        <v>1528.7</v>
      </c>
      <c r="G19" s="0" t="n">
        <v>20.8079818149645</v>
      </c>
      <c r="H19" s="0" t="n">
        <v>1706</v>
      </c>
      <c r="I19" s="0" t="n">
        <v>1155</v>
      </c>
      <c r="J19" s="0" t="n">
        <v>15.7213442770223</v>
      </c>
      <c r="K19" s="0" t="n">
        <v>1.01</v>
      </c>
      <c r="L19" s="0" t="n">
        <v>1432.7</v>
      </c>
      <c r="M19" s="0" t="n">
        <v>172.8</v>
      </c>
      <c r="N19" s="0" t="n">
        <v>1259.9</v>
      </c>
      <c r="O19" s="0" t="n">
        <v>3348.8</v>
      </c>
      <c r="P19" s="0" t="n">
        <v>4462.9</v>
      </c>
      <c r="R19" s="0" t="n">
        <v>320</v>
      </c>
      <c r="S19" s="0" t="n">
        <v>221.3</v>
      </c>
      <c r="T19" s="0" t="n">
        <v>1146.017216</v>
      </c>
      <c r="U19" s="0" t="n">
        <v>7.3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7546</v>
      </c>
      <c r="C20" s="0" t="n">
        <v>4144.1</v>
      </c>
      <c r="D20" s="0" t="n">
        <v>3401.9</v>
      </c>
      <c r="E20" s="0" t="n">
        <v>45.082162735224</v>
      </c>
      <c r="F20" s="0" t="n">
        <v>1510</v>
      </c>
      <c r="G20" s="0" t="n">
        <v>20.0106016432547</v>
      </c>
      <c r="H20" s="0" t="n">
        <v>1685.4</v>
      </c>
      <c r="I20" s="0" t="n">
        <v>1150.6</v>
      </c>
      <c r="J20" s="0" t="n">
        <v>15.2478134110787</v>
      </c>
      <c r="K20" s="0" t="n">
        <v>2.01</v>
      </c>
      <c r="L20" s="0" t="n">
        <v>1173.3</v>
      </c>
      <c r="M20" s="0" t="n">
        <v>226.5</v>
      </c>
      <c r="N20" s="0" t="n">
        <v>946.8</v>
      </c>
      <c r="O20" s="0" t="n">
        <v>3616.3</v>
      </c>
      <c r="P20" s="0" t="n">
        <v>4698</v>
      </c>
      <c r="R20" s="0" t="n">
        <v>275</v>
      </c>
      <c r="S20" s="0" t="n">
        <v>255.8</v>
      </c>
      <c r="T20" s="0" t="n">
        <v>1148.564422</v>
      </c>
      <c r="U20" s="0" t="n">
        <v>8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8200.5</v>
      </c>
      <c r="C21" s="0" t="n">
        <v>4509.3</v>
      </c>
      <c r="D21" s="0" t="n">
        <v>3691.2</v>
      </c>
      <c r="E21" s="0" t="n">
        <v>45.0118895189318</v>
      </c>
      <c r="F21" s="0" t="n">
        <v>1655.7</v>
      </c>
      <c r="G21" s="0" t="n">
        <v>20.1902323029084</v>
      </c>
      <c r="H21" s="0" t="n">
        <v>1834.9</v>
      </c>
      <c r="I21" s="0" t="n">
        <v>1258.4</v>
      </c>
      <c r="J21" s="0" t="n">
        <v>15.345405767941</v>
      </c>
      <c r="K21" s="0" t="n">
        <v>1.1</v>
      </c>
      <c r="L21" s="0" t="n">
        <v>1295.9</v>
      </c>
      <c r="M21" s="0" t="n">
        <v>245.3</v>
      </c>
      <c r="N21" s="0" t="n">
        <v>1050.6</v>
      </c>
      <c r="O21" s="0" t="n">
        <v>3943.6</v>
      </c>
      <c r="P21" s="0" t="n">
        <v>5052.9</v>
      </c>
      <c r="R21" s="0" t="n">
        <v>150</v>
      </c>
      <c r="S21" s="0" t="n">
        <v>276.8</v>
      </c>
      <c r="T21" s="0" t="n">
        <v>1150.334204</v>
      </c>
      <c r="U21" s="0" t="n">
        <v>8.4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50.43</v>
      </c>
    </row>
    <row r="3" customFormat="false" ht="15" hidden="false" customHeight="false" outlineLevel="0" collapsed="false">
      <c r="A3" s="0" t="s">
        <v>86</v>
      </c>
      <c r="B3" s="3" t="n">
        <v>1150.281</v>
      </c>
    </row>
    <row r="4" customFormat="false" ht="15" hidden="false" customHeight="false" outlineLevel="0" collapsed="false">
      <c r="A4" s="0" t="s">
        <v>87</v>
      </c>
      <c r="B4" s="3" t="n">
        <v>-14.7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8200.5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11</v>
      </c>
      <c r="D13" s="3" t="n">
        <v>1</v>
      </c>
      <c r="E13" s="3" t="n">
        <v>-4</v>
      </c>
      <c r="F13" s="3" t="n">
        <v>3</v>
      </c>
      <c r="G13" s="3" t="n">
        <v>4</v>
      </c>
      <c r="H13" s="3" t="n">
        <v>4</v>
      </c>
      <c r="I13" s="3" t="n">
        <v>4</v>
      </c>
      <c r="J13" s="3" t="n">
        <v>3.5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107</v>
      </c>
      <c r="C14" s="3" t="n">
        <v>22.4</v>
      </c>
      <c r="D14" s="3" t="n">
        <v>21.5</v>
      </c>
      <c r="E14" s="3" t="n">
        <v>20.5</v>
      </c>
      <c r="F14" s="3" t="n">
        <v>21</v>
      </c>
      <c r="G14" s="3" t="n">
        <v>21</v>
      </c>
      <c r="H14" s="3" t="n">
        <v>21</v>
      </c>
      <c r="I14" s="3" t="n">
        <v>21</v>
      </c>
      <c r="J14" s="3" t="n">
        <v>21</v>
      </c>
      <c r="K14" s="3" t="n">
        <v>21</v>
      </c>
      <c r="L14" s="3" t="n">
        <v>21</v>
      </c>
    </row>
    <row r="15" customFormat="false" ht="15" hidden="false" customHeight="false" outlineLevel="0" collapsed="false">
      <c r="A15" s="0" t="s">
        <v>108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2.2</v>
      </c>
      <c r="D17" s="3" t="n">
        <v>2.3</v>
      </c>
      <c r="E17" s="3" t="n">
        <v>2.5</v>
      </c>
      <c r="F17" s="3" t="n">
        <v>2.6</v>
      </c>
      <c r="G17" s="3" t="n">
        <v>2.6</v>
      </c>
      <c r="H17" s="3" t="n">
        <v>2.6</v>
      </c>
      <c r="I17" s="3" t="n">
        <v>2.6</v>
      </c>
      <c r="J17" s="3" t="n">
        <v>2.6</v>
      </c>
      <c r="K17" s="3" t="n">
        <v>2.6</v>
      </c>
      <c r="L17" s="3" t="n">
        <v>2.6</v>
      </c>
    </row>
    <row r="18" customFormat="false" ht="15" hidden="false" customHeight="false" outlineLevel="0" collapsed="false">
      <c r="A18" s="0" t="s">
        <v>111</v>
      </c>
      <c r="C18" s="3" t="n">
        <v>3.4</v>
      </c>
      <c r="D18" s="3" t="n">
        <v>3.2</v>
      </c>
      <c r="E18" s="3" t="n">
        <v>2.8</v>
      </c>
      <c r="F18" s="3" t="n">
        <v>2.8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112</v>
      </c>
      <c r="C19" s="3" t="n">
        <v>24.5</v>
      </c>
      <c r="D19" s="3" t="n">
        <v>24.5</v>
      </c>
      <c r="E19" s="3" t="n">
        <v>24.5</v>
      </c>
      <c r="F19" s="3" t="n">
        <v>24.5</v>
      </c>
      <c r="G19" s="3" t="n">
        <v>24.5</v>
      </c>
      <c r="H19" s="3" t="n">
        <v>24.5</v>
      </c>
      <c r="I19" s="3" t="n">
        <v>24.5</v>
      </c>
      <c r="J19" s="3" t="n">
        <v>24.5</v>
      </c>
      <c r="K19" s="3" t="n">
        <v>24.5</v>
      </c>
      <c r="L19" s="3" t="n">
        <v>24.5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-28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13</v>
      </c>
      <c r="D27" s="3" t="n">
        <v>8</v>
      </c>
      <c r="E27" s="3" t="n">
        <v>7</v>
      </c>
      <c r="F27" s="3" t="n">
        <v>6.5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107</v>
      </c>
      <c r="C28" s="3" t="n">
        <v>22.8</v>
      </c>
      <c r="D28" s="3" t="n">
        <v>22.9</v>
      </c>
      <c r="E28" s="3" t="n">
        <v>23</v>
      </c>
      <c r="F28" s="3" t="n">
        <v>23</v>
      </c>
      <c r="G28" s="3" t="n">
        <v>23</v>
      </c>
      <c r="H28" s="3" t="n">
        <v>23</v>
      </c>
      <c r="I28" s="3" t="n">
        <v>23</v>
      </c>
      <c r="J28" s="3" t="n">
        <v>23</v>
      </c>
      <c r="K28" s="3" t="n">
        <v>23</v>
      </c>
      <c r="L28" s="3" t="n">
        <v>23</v>
      </c>
    </row>
    <row r="29" customFormat="false" ht="15" hidden="false" customHeight="false" outlineLevel="0" collapsed="false">
      <c r="A29" s="0" t="s">
        <v>108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2.2</v>
      </c>
      <c r="D31" s="3" t="n">
        <v>2.3</v>
      </c>
      <c r="E31" s="3" t="n">
        <v>2.4</v>
      </c>
      <c r="F31" s="3" t="n">
        <v>2.5</v>
      </c>
      <c r="G31" s="3" t="n">
        <v>2.5</v>
      </c>
      <c r="H31" s="3" t="n">
        <v>2.5</v>
      </c>
      <c r="I31" s="3" t="n">
        <v>2.5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111</v>
      </c>
      <c r="C32" s="3" t="n">
        <v>3.4</v>
      </c>
      <c r="D32" s="3" t="n">
        <v>3.3</v>
      </c>
      <c r="E32" s="3" t="n">
        <v>3.2</v>
      </c>
      <c r="F32" s="3" t="n">
        <v>3.1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112</v>
      </c>
      <c r="C33" s="3" t="n">
        <v>24.5</v>
      </c>
      <c r="D33" s="3" t="n">
        <v>24.5</v>
      </c>
      <c r="E33" s="3" t="n">
        <v>24.5</v>
      </c>
      <c r="F33" s="3" t="n">
        <v>24.5</v>
      </c>
      <c r="G33" s="3" t="n">
        <v>24.5</v>
      </c>
      <c r="H33" s="3" t="n">
        <v>24.5</v>
      </c>
      <c r="I33" s="3" t="n">
        <v>24.5</v>
      </c>
      <c r="J33" s="3" t="n">
        <v>24.5</v>
      </c>
      <c r="K33" s="3" t="n">
        <v>24.5</v>
      </c>
      <c r="L33" s="3" t="n">
        <v>24.5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-28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14</v>
      </c>
      <c r="D41" s="3" t="n">
        <v>10</v>
      </c>
      <c r="E41" s="3" t="n">
        <v>9</v>
      </c>
      <c r="F41" s="3" t="n">
        <v>8</v>
      </c>
      <c r="G41" s="3" t="n">
        <v>8</v>
      </c>
      <c r="H41" s="3" t="n">
        <v>7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107</v>
      </c>
      <c r="C42" s="3" t="n">
        <v>23</v>
      </c>
      <c r="D42" s="3" t="n">
        <v>23.3</v>
      </c>
      <c r="E42" s="3" t="n">
        <v>23.6</v>
      </c>
      <c r="F42" s="3" t="n">
        <v>23.9</v>
      </c>
      <c r="G42" s="3" t="n">
        <v>24.2</v>
      </c>
      <c r="H42" s="3" t="n">
        <v>24.5</v>
      </c>
      <c r="I42" s="3" t="n">
        <v>24.5</v>
      </c>
      <c r="J42" s="3" t="n">
        <v>24.5</v>
      </c>
      <c r="K42" s="3" t="n">
        <v>24.5</v>
      </c>
      <c r="L42" s="3" t="n">
        <v>24.5</v>
      </c>
    </row>
    <row r="43" customFormat="false" ht="15" hidden="false" customHeight="false" outlineLevel="0" collapsed="false">
      <c r="A43" s="0" t="s">
        <v>108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2.2</v>
      </c>
      <c r="D45" s="3" t="n">
        <v>2.3</v>
      </c>
      <c r="E45" s="3" t="n">
        <v>2.4</v>
      </c>
      <c r="F45" s="3" t="n">
        <v>2.5</v>
      </c>
      <c r="G45" s="3" t="n">
        <v>2.5</v>
      </c>
      <c r="H45" s="3" t="n">
        <v>2.5</v>
      </c>
      <c r="I45" s="3" t="n">
        <v>2.5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111</v>
      </c>
      <c r="C46" s="3" t="n">
        <v>3.4</v>
      </c>
      <c r="D46" s="3" t="n">
        <v>3.3</v>
      </c>
      <c r="E46" s="3" t="n">
        <v>3.2</v>
      </c>
      <c r="F46" s="3" t="n">
        <v>3.1</v>
      </c>
      <c r="G46" s="3" t="n">
        <v>3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112</v>
      </c>
      <c r="C47" s="3" t="n">
        <v>24.5</v>
      </c>
      <c r="D47" s="3" t="n">
        <v>24.5</v>
      </c>
      <c r="E47" s="3" t="n">
        <v>24.5</v>
      </c>
      <c r="F47" s="3" t="n">
        <v>24.5</v>
      </c>
      <c r="G47" s="3" t="n">
        <v>24.5</v>
      </c>
      <c r="H47" s="3" t="n">
        <v>24.5</v>
      </c>
      <c r="I47" s="3" t="n">
        <v>24.5</v>
      </c>
      <c r="J47" s="3" t="n">
        <v>24.5</v>
      </c>
      <c r="K47" s="3" t="n">
        <v>24.5</v>
      </c>
      <c r="L47" s="3" t="n">
        <v>24.5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-26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11</v>
      </c>
      <c r="D5" s="4" t="n">
        <f aca="false">Assumptions!D13</f>
        <v>1</v>
      </c>
      <c r="E5" s="4" t="n">
        <f aca="false">Assumptions!E13</f>
        <v>-4</v>
      </c>
      <c r="F5" s="4" t="n">
        <f aca="false">Assumptions!F13</f>
        <v>3</v>
      </c>
      <c r="G5" s="4" t="n">
        <f aca="false">Assumptions!G13</f>
        <v>4</v>
      </c>
      <c r="H5" s="4" t="n">
        <f aca="false">Assumptions!H13</f>
        <v>4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8200.5</v>
      </c>
      <c r="C6" s="0" t="n">
        <f aca="false">B6*(1+C5/100)</f>
        <v>9102.555</v>
      </c>
      <c r="D6" s="0" t="n">
        <f aca="false">C6*(1+D5/100)</f>
        <v>9193.58055</v>
      </c>
      <c r="E6" s="0" t="n">
        <f aca="false">D6*(1+E5/100)</f>
        <v>8825.837328</v>
      </c>
      <c r="F6" s="0" t="n">
        <f aca="false">E6*(1+F5/100)</f>
        <v>9090.61244784</v>
      </c>
      <c r="G6" s="0" t="n">
        <f aca="false">F6*(1+G5/100)</f>
        <v>9454.2369457536</v>
      </c>
      <c r="H6" s="0" t="n">
        <f aca="false">G6*(1+H5/100)</f>
        <v>9832.40642358375</v>
      </c>
      <c r="I6" s="0" t="n">
        <f aca="false">H6*(1+I5/100)</f>
        <v>10225.7026805271</v>
      </c>
      <c r="J6" s="0" t="n">
        <f aca="false">I6*(1+J5/100)</f>
        <v>10583.6022743455</v>
      </c>
      <c r="K6" s="0" t="n">
        <f aca="false">J6*(1+K5/100)</f>
        <v>10901.1103425759</v>
      </c>
      <c r="L6" s="0" t="n">
        <f aca="false">K6*(1+L5/100)</f>
        <v>11228.1436528532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22.4</v>
      </c>
      <c r="D7" s="4" t="n">
        <f aca="false">Assumptions!D14</f>
        <v>21.5</v>
      </c>
      <c r="E7" s="4" t="n">
        <f aca="false">Assumptions!E14</f>
        <v>20.5</v>
      </c>
      <c r="F7" s="4" t="n">
        <f aca="false">Assumptions!F14</f>
        <v>21</v>
      </c>
      <c r="G7" s="4" t="n">
        <f aca="false">Assumptions!G14</f>
        <v>21</v>
      </c>
      <c r="H7" s="4" t="n">
        <f aca="false">Assumptions!H14</f>
        <v>21</v>
      </c>
      <c r="I7" s="4" t="n">
        <f aca="false">Assumptions!I14</f>
        <v>21</v>
      </c>
      <c r="J7" s="4" t="n">
        <f aca="false">Assumptions!J14</f>
        <v>21</v>
      </c>
      <c r="K7" s="4" t="n">
        <f aca="false">Assumptions!K14</f>
        <v>21</v>
      </c>
      <c r="L7" s="4" t="n">
        <f aca="false">Assumptions!L14</f>
        <v>21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2038.97232</v>
      </c>
      <c r="D8" s="0" t="n">
        <f aca="false">D6*D7/100</f>
        <v>1976.61981825</v>
      </c>
      <c r="E8" s="0" t="n">
        <f aca="false">E6*E7/100</f>
        <v>1809.29665224</v>
      </c>
      <c r="F8" s="0" t="n">
        <f aca="false">F6*F7/100</f>
        <v>1909.0286140464</v>
      </c>
      <c r="G8" s="0" t="n">
        <f aca="false">G6*G7/100</f>
        <v>1985.38975860826</v>
      </c>
      <c r="H8" s="0" t="n">
        <f aca="false">H6*H7/100</f>
        <v>2064.80534895259</v>
      </c>
      <c r="I8" s="0" t="n">
        <f aca="false">I6*I7/100</f>
        <v>2147.39756291069</v>
      </c>
      <c r="J8" s="0" t="n">
        <f aca="false">J6*J7/100</f>
        <v>2222.55647761256</v>
      </c>
      <c r="K8" s="0" t="n">
        <f aca="false">K6*K7/100</f>
        <v>2289.23317194094</v>
      </c>
      <c r="L8" s="0" t="n">
        <f aca="false">L6*L7/100</f>
        <v>2357.91016709917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-9.102555</v>
      </c>
      <c r="D10" s="0" t="n">
        <f aca="false">-D6*D9/100</f>
        <v>-9.19358055</v>
      </c>
      <c r="E10" s="0" t="n">
        <f aca="false">-E6*E9/100</f>
        <v>-8.825837328</v>
      </c>
      <c r="F10" s="0" t="n">
        <f aca="false">-F6*F9/100</f>
        <v>-9.09061244784</v>
      </c>
      <c r="G10" s="0" t="n">
        <f aca="false">-G6*G9/100</f>
        <v>-9.4542369457536</v>
      </c>
      <c r="H10" s="0" t="n">
        <f aca="false">-H6*H9/100</f>
        <v>-9.83240642358375</v>
      </c>
      <c r="I10" s="0" t="n">
        <f aca="false">-I6*I9/100</f>
        <v>-10.2257026805271</v>
      </c>
      <c r="J10" s="0" t="n">
        <f aca="false">-J6*J9/100</f>
        <v>-10.5836022743455</v>
      </c>
      <c r="K10" s="0" t="n">
        <f aca="false">-K6*K9/100</f>
        <v>-10.9011103425759</v>
      </c>
      <c r="L10" s="0" t="n">
        <f aca="false">-L6*L9/100</f>
        <v>-11.2281436528532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2029.869765</v>
      </c>
      <c r="D11" s="0" t="n">
        <f aca="false">D8+D10+D24</f>
        <v>1967.4262377</v>
      </c>
      <c r="E11" s="0" t="n">
        <f aca="false">E8+E10+E24</f>
        <v>1800.470814912</v>
      </c>
      <c r="F11" s="0" t="n">
        <f aca="false">F8+F10+F24</f>
        <v>1899.93800159856</v>
      </c>
      <c r="G11" s="0" t="n">
        <f aca="false">G8+G10+G24</f>
        <v>1975.9355216625</v>
      </c>
      <c r="H11" s="0" t="n">
        <f aca="false">H8+H10+H24</f>
        <v>2054.972942529</v>
      </c>
      <c r="I11" s="0" t="n">
        <f aca="false">I8+I10+I24</f>
        <v>2137.17186023016</v>
      </c>
      <c r="J11" s="0" t="n">
        <f aca="false">J8+J10+J24</f>
        <v>2211.97287533822</v>
      </c>
      <c r="K11" s="0" t="n">
        <f aca="false">K8+K10+K24</f>
        <v>2278.33206159837</v>
      </c>
      <c r="L11" s="0" t="n">
        <f aca="false">L8+L10+L24</f>
        <v>2346.68202344632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-200.25621</v>
      </c>
      <c r="D12" s="4" t="n">
        <f aca="false">-D6*Assumptions!D17/100</f>
        <v>-211.45235265</v>
      </c>
      <c r="E12" s="4" t="n">
        <f aca="false">-E6*Assumptions!E17/100</f>
        <v>-220.6459332</v>
      </c>
      <c r="F12" s="4" t="n">
        <f aca="false">-F6*Assumptions!F17/100</f>
        <v>-236.35592364384</v>
      </c>
      <c r="G12" s="4" t="n">
        <f aca="false">-G6*Assumptions!G17/100</f>
        <v>-245.810160589594</v>
      </c>
      <c r="H12" s="4" t="n">
        <f aca="false">-H6*Assumptions!H17/100</f>
        <v>-255.642567013177</v>
      </c>
      <c r="I12" s="4" t="n">
        <f aca="false">-I6*Assumptions!I17/100</f>
        <v>-265.868269693704</v>
      </c>
      <c r="J12" s="4" t="n">
        <f aca="false">-J6*Assumptions!J17/100</f>
        <v>-275.173659132984</v>
      </c>
      <c r="K12" s="4" t="n">
        <f aca="false">-K6*Assumptions!K17/100</f>
        <v>-283.428868906974</v>
      </c>
      <c r="L12" s="4" t="n">
        <f aca="false">-L6*Assumptions!L17/100</f>
        <v>-291.931734974183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1829.613555</v>
      </c>
      <c r="D13" s="0" t="n">
        <f aca="false">D11+D12</f>
        <v>1755.97388505</v>
      </c>
      <c r="E13" s="0" t="n">
        <f aca="false">E11+E12</f>
        <v>1579.824881712</v>
      </c>
      <c r="F13" s="0" t="n">
        <f aca="false">F11+F12</f>
        <v>1663.58207795472</v>
      </c>
      <c r="G13" s="0" t="n">
        <f aca="false">G11+G12</f>
        <v>1730.12536107291</v>
      </c>
      <c r="H13" s="0" t="n">
        <f aca="false">H11+H12</f>
        <v>1799.33037551583</v>
      </c>
      <c r="I13" s="0" t="n">
        <f aca="false">I11+I12</f>
        <v>1871.30359053646</v>
      </c>
      <c r="J13" s="0" t="n">
        <f aca="false">J11+J12</f>
        <v>1936.79921620523</v>
      </c>
      <c r="K13" s="0" t="n">
        <f aca="false">K11+K12</f>
        <v>1994.90319269139</v>
      </c>
      <c r="L13" s="0" t="n">
        <f aca="false">L11+L12</f>
        <v>2054.75028847213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24.5</v>
      </c>
      <c r="D14" s="4" t="n">
        <f aca="false">Assumptions!D19</f>
        <v>24.5</v>
      </c>
      <c r="E14" s="4" t="n">
        <f aca="false">Assumptions!E19</f>
        <v>24.5</v>
      </c>
      <c r="F14" s="4" t="n">
        <f aca="false">Assumptions!F19</f>
        <v>24.5</v>
      </c>
      <c r="G14" s="4" t="n">
        <f aca="false">Assumptions!G19</f>
        <v>24.5</v>
      </c>
      <c r="H14" s="4" t="n">
        <f aca="false">Assumptions!H19</f>
        <v>24.5</v>
      </c>
      <c r="I14" s="4" t="n">
        <f aca="false">Assumptions!I19</f>
        <v>24.5</v>
      </c>
      <c r="J14" s="4" t="n">
        <f aca="false">Assumptions!J19</f>
        <v>24.5</v>
      </c>
      <c r="K14" s="4" t="n">
        <f aca="false">Assumptions!K19</f>
        <v>24.5</v>
      </c>
      <c r="L14" s="4" t="n">
        <f aca="false">Assumptions!L19</f>
        <v>24.5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1381.358234025</v>
      </c>
      <c r="D15" s="0" t="n">
        <f aca="false">D13-MAX(0,D13)*D14/100</f>
        <v>1325.76028321275</v>
      </c>
      <c r="E15" s="0" t="n">
        <f aca="false">E13-MAX(0,E13)*E14/100</f>
        <v>1192.76778569256</v>
      </c>
      <c r="F15" s="0" t="n">
        <f aca="false">F13-MAX(0,F13)*F14/100</f>
        <v>1256.00446885581</v>
      </c>
      <c r="G15" s="0" t="n">
        <f aca="false">G13-MAX(0,G13)*G14/100</f>
        <v>1306.24464761005</v>
      </c>
      <c r="H15" s="0" t="n">
        <f aca="false">H13-MAX(0,H13)*H14/100</f>
        <v>1358.49443351445</v>
      </c>
      <c r="I15" s="0" t="n">
        <f aca="false">I13-MAX(0,I13)*I14/100</f>
        <v>1412.83421085503</v>
      </c>
      <c r="J15" s="0" t="n">
        <f aca="false">J13-MAX(0,J13)*J14/100</f>
        <v>1462.28340823495</v>
      </c>
      <c r="K15" s="0" t="n">
        <f aca="false">K13-MAX(0,K13)*K14/100</f>
        <v>1506.151910482</v>
      </c>
      <c r="L15" s="0" t="n">
        <f aca="false">L13-MAX(0,L13)*L14/100</f>
        <v>1551.33646779646</v>
      </c>
    </row>
    <row r="16" customFormat="false" ht="15" hidden="false" customHeight="false" outlineLevel="0" collapsed="false">
      <c r="A16" s="0" t="s">
        <v>128</v>
      </c>
      <c r="C16" s="0" t="n">
        <f aca="false">-C12</f>
        <v>200.25621</v>
      </c>
      <c r="D16" s="0" t="n">
        <f aca="false">-D12</f>
        <v>211.45235265</v>
      </c>
      <c r="E16" s="0" t="n">
        <f aca="false">-E12</f>
        <v>220.6459332</v>
      </c>
      <c r="F16" s="0" t="n">
        <f aca="false">-F12</f>
        <v>236.35592364384</v>
      </c>
      <c r="G16" s="0" t="n">
        <f aca="false">-G12</f>
        <v>245.810160589594</v>
      </c>
      <c r="H16" s="0" t="n">
        <f aca="false">-H12</f>
        <v>255.642567013177</v>
      </c>
      <c r="I16" s="0" t="n">
        <f aca="false">-I12</f>
        <v>265.868269693704</v>
      </c>
      <c r="J16" s="0" t="n">
        <f aca="false">-J12</f>
        <v>275.173659132984</v>
      </c>
      <c r="K16" s="0" t="n">
        <f aca="false">-K12</f>
        <v>283.428868906974</v>
      </c>
      <c r="L16" s="0" t="n">
        <f aca="false">-L12</f>
        <v>291.931734974183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-309.48687</v>
      </c>
      <c r="D17" s="4" t="n">
        <f aca="false">-D6*Assumptions!D18/100</f>
        <v>-294.1945776</v>
      </c>
      <c r="E17" s="4" t="n">
        <f aca="false">-E6*Assumptions!E18/100</f>
        <v>-247.123445184</v>
      </c>
      <c r="F17" s="4" t="n">
        <f aca="false">-F6*Assumptions!F18/100</f>
        <v>-254.53714853952</v>
      </c>
      <c r="G17" s="4" t="n">
        <f aca="false">-G6*Assumptions!G18/100</f>
        <v>-283.627108372608</v>
      </c>
      <c r="H17" s="4" t="n">
        <f aca="false">-H6*Assumptions!H18/100</f>
        <v>-294.972192707512</v>
      </c>
      <c r="I17" s="4" t="n">
        <f aca="false">-I6*Assumptions!I18/100</f>
        <v>-306.771080415813</v>
      </c>
      <c r="J17" s="4" t="n">
        <f aca="false">-J6*Assumptions!J18/100</f>
        <v>-317.508068230366</v>
      </c>
      <c r="K17" s="4" t="n">
        <f aca="false">-K6*Assumptions!K18/100</f>
        <v>-327.033310277277</v>
      </c>
      <c r="L17" s="4" t="n">
        <f aca="false">-L6*Assumptions!L18/100</f>
        <v>-336.844309585596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-252.5754</v>
      </c>
      <c r="D18" s="4" t="n">
        <f aca="false">(D6-C6)*Assumptions!$B$23/100</f>
        <v>-25.4871540000001</v>
      </c>
      <c r="E18" s="4" t="n">
        <f aca="false">(E6-D6)*Assumptions!$B$23/100</f>
        <v>102.96810216</v>
      </c>
      <c r="F18" s="4" t="n">
        <f aca="false">(F6-E6)*Assumptions!$B$23/100</f>
        <v>-74.1370335552</v>
      </c>
      <c r="G18" s="4" t="n">
        <f aca="false">(G6-F6)*Assumptions!$B$23/100</f>
        <v>-101.814859415808</v>
      </c>
      <c r="H18" s="4" t="n">
        <f aca="false">(H6-G6)*Assumptions!$B$23/100</f>
        <v>-105.88745379244</v>
      </c>
      <c r="I18" s="4" t="n">
        <f aca="false">(I6-H6)*Assumptions!$B$23/100</f>
        <v>-110.122951944138</v>
      </c>
      <c r="J18" s="4" t="n">
        <f aca="false">(J6-I6)*Assumptions!$B$23/100</f>
        <v>-100.211886269165</v>
      </c>
      <c r="K18" s="4" t="n">
        <f aca="false">(K6-J6)*Assumptions!$B$23/100</f>
        <v>-88.9022591045027</v>
      </c>
      <c r="L18" s="4" t="n">
        <f aca="false">(L6-K6)*Assumptions!$B$23/100</f>
        <v>-91.5693268776379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1019.552174025</v>
      </c>
      <c r="D19" s="0" t="n">
        <f aca="false">D15+D16+D17+D18</f>
        <v>1217.53090426275</v>
      </c>
      <c r="E19" s="0" t="n">
        <f aca="false">E15+E16+E17+E18</f>
        <v>1269.25837586856</v>
      </c>
      <c r="F19" s="0" t="n">
        <f aca="false">F15+F16+F17+F18</f>
        <v>1163.68621040493</v>
      </c>
      <c r="G19" s="0" t="n">
        <f aca="false">G15+G16+G17+G18</f>
        <v>1166.61284041122</v>
      </c>
      <c r="H19" s="0" t="n">
        <f aca="false">H15+H16+H17+H18</f>
        <v>1213.27735402767</v>
      </c>
      <c r="I19" s="0" t="n">
        <f aca="false">I15+I16+I17+I18</f>
        <v>1261.80844818878</v>
      </c>
      <c r="J19" s="0" t="n">
        <f aca="false">J15+J16+J17+J18</f>
        <v>1319.7371128684</v>
      </c>
      <c r="K19" s="0" t="n">
        <f aca="false">K15+K16+K17+K18</f>
        <v>1373.64521000719</v>
      </c>
      <c r="L19" s="0" t="n">
        <f aca="false">L15+L16+L17+L18</f>
        <v>1414.85456630741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935.368966995413</v>
      </c>
      <c r="D21" s="0" t="n">
        <f aca="false">D19*D20</f>
        <v>1024.7714033017</v>
      </c>
      <c r="E21" s="0" t="n">
        <f aca="false">E19*E20</f>
        <v>980.100349774839</v>
      </c>
      <c r="F21" s="0" t="n">
        <f aca="false">F19*F20</f>
        <v>824.384649219774</v>
      </c>
      <c r="G21" s="0" t="n">
        <f aca="false">G19*G20</f>
        <v>758.218300641917</v>
      </c>
      <c r="H21" s="0" t="n">
        <f aca="false">H19*H20</f>
        <v>723.437644649168</v>
      </c>
      <c r="I21" s="0" t="n">
        <f aca="false">I19*I20</f>
        <v>690.252431591867</v>
      </c>
      <c r="J21" s="0" t="n">
        <f aca="false">J19*J20</f>
        <v>662.331554981346</v>
      </c>
      <c r="K21" s="0" t="n">
        <f aca="false">K19*K20</f>
        <v>632.464413886815</v>
      </c>
      <c r="L21" s="0" t="n">
        <f aca="false">L19*L20</f>
        <v>597.649858993963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7828.9795740368</v>
      </c>
    </row>
    <row r="31" customFormat="false" ht="15" hidden="false" customHeight="false" outlineLevel="0" collapsed="false">
      <c r="A31" s="0" t="s">
        <v>137</v>
      </c>
      <c r="B31" s="0" t="n">
        <f aca="false">L19</f>
        <v>1414.85456630741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20616.452251908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21222.8184946112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20616.452251908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8708.61223105489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16537.5918050917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16552.2918050917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14.3897811100867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-0.714658316278272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62.018979441749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69.1106714964181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14.5037790383653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11101.1665971812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7.6645362643891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13</v>
      </c>
      <c r="D5" s="4" t="n">
        <f aca="false">Assumptions!D27</f>
        <v>8</v>
      </c>
      <c r="E5" s="4" t="n">
        <f aca="false">Assumptions!E27</f>
        <v>7</v>
      </c>
      <c r="F5" s="4" t="n">
        <f aca="false">Assumptions!F27</f>
        <v>6.5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8200.5</v>
      </c>
      <c r="C6" s="0" t="n">
        <f aca="false">B6*(1+C5/100)</f>
        <v>9266.565</v>
      </c>
      <c r="D6" s="0" t="n">
        <f aca="false">C6*(1+D5/100)</f>
        <v>10007.8902</v>
      </c>
      <c r="E6" s="0" t="n">
        <f aca="false">D6*(1+E5/100)</f>
        <v>10708.442514</v>
      </c>
      <c r="F6" s="0" t="n">
        <f aca="false">E6*(1+F5/100)</f>
        <v>11404.49127741</v>
      </c>
      <c r="G6" s="0" t="n">
        <f aca="false">F6*(1+G5/100)</f>
        <v>12088.7607540546</v>
      </c>
      <c r="H6" s="0" t="n">
        <f aca="false">G6*(1+H5/100)</f>
        <v>12753.6425955276</v>
      </c>
      <c r="I6" s="0" t="n">
        <f aca="false">H6*(1+I5/100)</f>
        <v>13391.324725304</v>
      </c>
      <c r="J6" s="0" t="n">
        <f aca="false">I6*(1+J5/100)</f>
        <v>13993.9343379427</v>
      </c>
      <c r="K6" s="0" t="n">
        <f aca="false">J6*(1+K5/100)</f>
        <v>14553.6917114604</v>
      </c>
      <c r="L6" s="0" t="n">
        <f aca="false">K6*(1+L5/100)</f>
        <v>15063.0709213615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22.8</v>
      </c>
      <c r="D7" s="4" t="n">
        <f aca="false">Assumptions!D28</f>
        <v>22.9</v>
      </c>
      <c r="E7" s="4" t="n">
        <f aca="false">Assumptions!E28</f>
        <v>23</v>
      </c>
      <c r="F7" s="4" t="n">
        <f aca="false">Assumptions!F28</f>
        <v>23</v>
      </c>
      <c r="G7" s="4" t="n">
        <f aca="false">Assumptions!G28</f>
        <v>23</v>
      </c>
      <c r="H7" s="4" t="n">
        <f aca="false">Assumptions!H28</f>
        <v>23</v>
      </c>
      <c r="I7" s="4" t="n">
        <f aca="false">Assumptions!I28</f>
        <v>23</v>
      </c>
      <c r="J7" s="4" t="n">
        <f aca="false">Assumptions!J28</f>
        <v>23</v>
      </c>
      <c r="K7" s="4" t="n">
        <f aca="false">Assumptions!K28</f>
        <v>23</v>
      </c>
      <c r="L7" s="4" t="n">
        <f aca="false">Assumptions!L28</f>
        <v>23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2112.77682</v>
      </c>
      <c r="D8" s="0" t="n">
        <f aca="false">D6*D7/100</f>
        <v>2291.8068558</v>
      </c>
      <c r="E8" s="0" t="n">
        <f aca="false">E6*E7/100</f>
        <v>2462.94177822</v>
      </c>
      <c r="F8" s="0" t="n">
        <f aca="false">F6*F7/100</f>
        <v>2623.0329938043</v>
      </c>
      <c r="G8" s="0" t="n">
        <f aca="false">G6*G7/100</f>
        <v>2780.41497343256</v>
      </c>
      <c r="H8" s="0" t="n">
        <f aca="false">H6*H7/100</f>
        <v>2933.33779697135</v>
      </c>
      <c r="I8" s="0" t="n">
        <f aca="false">I6*I7/100</f>
        <v>3080.00468681992</v>
      </c>
      <c r="J8" s="0" t="n">
        <f aca="false">J6*J7/100</f>
        <v>3218.60489772681</v>
      </c>
      <c r="K8" s="0" t="n">
        <f aca="false">K6*K7/100</f>
        <v>3347.34909363588</v>
      </c>
      <c r="L8" s="0" t="n">
        <f aca="false">L6*L7/100</f>
        <v>3464.50631191314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-9.266565</v>
      </c>
      <c r="D10" s="0" t="n">
        <f aca="false">-D6*D9/100</f>
        <v>-10.0078902</v>
      </c>
      <c r="E10" s="0" t="n">
        <f aca="false">-E6*E9/100</f>
        <v>-10.708442514</v>
      </c>
      <c r="F10" s="0" t="n">
        <f aca="false">-F6*F9/100</f>
        <v>-11.40449127741</v>
      </c>
      <c r="G10" s="0" t="n">
        <f aca="false">-G6*G9/100</f>
        <v>-12.0887607540546</v>
      </c>
      <c r="H10" s="0" t="n">
        <f aca="false">-H6*H9/100</f>
        <v>-12.7536425955276</v>
      </c>
      <c r="I10" s="0" t="n">
        <f aca="false">-I6*I9/100</f>
        <v>-13.391324725304</v>
      </c>
      <c r="J10" s="0" t="n">
        <f aca="false">-J6*J9/100</f>
        <v>-13.9939343379427</v>
      </c>
      <c r="K10" s="0" t="n">
        <f aca="false">-K6*K9/100</f>
        <v>-14.5536917114604</v>
      </c>
      <c r="L10" s="0" t="n">
        <f aca="false">-L6*L9/100</f>
        <v>-15.0630709213615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2103.510255</v>
      </c>
      <c r="D11" s="0" t="n">
        <f aca="false">D8+D10+D24</f>
        <v>2281.7989656</v>
      </c>
      <c r="E11" s="0" t="n">
        <f aca="false">E8+E10+E24</f>
        <v>2452.233335706</v>
      </c>
      <c r="F11" s="0" t="n">
        <f aca="false">F8+F10+F24</f>
        <v>2611.62850252689</v>
      </c>
      <c r="G11" s="0" t="n">
        <f aca="false">G8+G10+G24</f>
        <v>2768.3262126785</v>
      </c>
      <c r="H11" s="0" t="n">
        <f aca="false">H8+H10+H24</f>
        <v>2920.58415437582</v>
      </c>
      <c r="I11" s="0" t="n">
        <f aca="false">I8+I10+I24</f>
        <v>3066.61336209461</v>
      </c>
      <c r="J11" s="0" t="n">
        <f aca="false">J8+J10+J24</f>
        <v>3204.61096338887</v>
      </c>
      <c r="K11" s="0" t="n">
        <f aca="false">K8+K10+K24</f>
        <v>3332.79540192442</v>
      </c>
      <c r="L11" s="0" t="n">
        <f aca="false">L8+L10+L24</f>
        <v>3449.44324099178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-203.86443</v>
      </c>
      <c r="D12" s="4" t="n">
        <f aca="false">-D6*Assumptions!D31/100</f>
        <v>-230.1814746</v>
      </c>
      <c r="E12" s="4" t="n">
        <f aca="false">-E6*Assumptions!E31/100</f>
        <v>-257.002620336</v>
      </c>
      <c r="F12" s="4" t="n">
        <f aca="false">-F6*Assumptions!F31/100</f>
        <v>-285.11228193525</v>
      </c>
      <c r="G12" s="4" t="n">
        <f aca="false">-G6*Assumptions!G31/100</f>
        <v>-302.219018851365</v>
      </c>
      <c r="H12" s="4" t="n">
        <f aca="false">-H6*Assumptions!H31/100</f>
        <v>-318.84106488819</v>
      </c>
      <c r="I12" s="4" t="n">
        <f aca="false">-I6*Assumptions!I31/100</f>
        <v>-334.7831181326</v>
      </c>
      <c r="J12" s="4" t="n">
        <f aca="false">-J6*Assumptions!J31/100</f>
        <v>-349.848358448567</v>
      </c>
      <c r="K12" s="4" t="n">
        <f aca="false">-K6*Assumptions!K31/100</f>
        <v>-363.842292786509</v>
      </c>
      <c r="L12" s="4" t="n">
        <f aca="false">-L6*Assumptions!L31/100</f>
        <v>-376.576773034037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1899.645825</v>
      </c>
      <c r="D13" s="0" t="n">
        <f aca="false">D11+D12</f>
        <v>2051.617491</v>
      </c>
      <c r="E13" s="0" t="n">
        <f aca="false">E11+E12</f>
        <v>2195.23071537</v>
      </c>
      <c r="F13" s="0" t="n">
        <f aca="false">F11+F12</f>
        <v>2326.51622059164</v>
      </c>
      <c r="G13" s="0" t="n">
        <f aca="false">G11+G12</f>
        <v>2466.10719382714</v>
      </c>
      <c r="H13" s="0" t="n">
        <f aca="false">H11+H12</f>
        <v>2601.74308948763</v>
      </c>
      <c r="I13" s="0" t="n">
        <f aca="false">I11+I12</f>
        <v>2731.83024396201</v>
      </c>
      <c r="J13" s="0" t="n">
        <f aca="false">J11+J12</f>
        <v>2854.7626049403</v>
      </c>
      <c r="K13" s="0" t="n">
        <f aca="false">K11+K12</f>
        <v>2968.95310913792</v>
      </c>
      <c r="L13" s="0" t="n">
        <f aca="false">L11+L12</f>
        <v>3072.86646795774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24.5</v>
      </c>
      <c r="D14" s="4" t="n">
        <f aca="false">Assumptions!D33</f>
        <v>24.5</v>
      </c>
      <c r="E14" s="4" t="n">
        <f aca="false">Assumptions!E33</f>
        <v>24.5</v>
      </c>
      <c r="F14" s="4" t="n">
        <f aca="false">Assumptions!F33</f>
        <v>24.5</v>
      </c>
      <c r="G14" s="4" t="n">
        <f aca="false">Assumptions!G33</f>
        <v>24.5</v>
      </c>
      <c r="H14" s="4" t="n">
        <f aca="false">Assumptions!H33</f>
        <v>24.5</v>
      </c>
      <c r="I14" s="4" t="n">
        <f aca="false">Assumptions!I33</f>
        <v>24.5</v>
      </c>
      <c r="J14" s="4" t="n">
        <f aca="false">Assumptions!J33</f>
        <v>24.5</v>
      </c>
      <c r="K14" s="4" t="n">
        <f aca="false">Assumptions!K33</f>
        <v>24.5</v>
      </c>
      <c r="L14" s="4" t="n">
        <f aca="false">Assumptions!L33</f>
        <v>24.5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1434.232597875</v>
      </c>
      <c r="D15" s="0" t="n">
        <f aca="false">D13-MAX(0,D13)*D14/100</f>
        <v>1548.971205705</v>
      </c>
      <c r="E15" s="0" t="n">
        <f aca="false">E13-MAX(0,E13)*E14/100</f>
        <v>1657.39919010435</v>
      </c>
      <c r="F15" s="0" t="n">
        <f aca="false">F13-MAX(0,F13)*F14/100</f>
        <v>1756.51974654669</v>
      </c>
      <c r="G15" s="0" t="n">
        <f aca="false">G13-MAX(0,G13)*G14/100</f>
        <v>1861.91093133949</v>
      </c>
      <c r="H15" s="0" t="n">
        <f aca="false">H13-MAX(0,H13)*H14/100</f>
        <v>1964.31603256316</v>
      </c>
      <c r="I15" s="0" t="n">
        <f aca="false">I13-MAX(0,I13)*I14/100</f>
        <v>2062.53183419132</v>
      </c>
      <c r="J15" s="0" t="n">
        <f aca="false">J13-MAX(0,J13)*J14/100</f>
        <v>2155.34576672993</v>
      </c>
      <c r="K15" s="0" t="n">
        <f aca="false">K13-MAX(0,K13)*K14/100</f>
        <v>2241.55959739913</v>
      </c>
      <c r="L15" s="0" t="n">
        <f aca="false">L13-MAX(0,L13)*L14/100</f>
        <v>2320.01418330809</v>
      </c>
    </row>
    <row r="16" customFormat="false" ht="15" hidden="false" customHeight="false" outlineLevel="0" collapsed="false">
      <c r="A16" s="0" t="s">
        <v>128</v>
      </c>
      <c r="C16" s="0" t="n">
        <f aca="false">-C12</f>
        <v>203.86443</v>
      </c>
      <c r="D16" s="0" t="n">
        <f aca="false">-D12</f>
        <v>230.1814746</v>
      </c>
      <c r="E16" s="0" t="n">
        <f aca="false">-E12</f>
        <v>257.002620336</v>
      </c>
      <c r="F16" s="0" t="n">
        <f aca="false">-F12</f>
        <v>285.11228193525</v>
      </c>
      <c r="G16" s="0" t="n">
        <f aca="false">-G12</f>
        <v>302.219018851365</v>
      </c>
      <c r="H16" s="0" t="n">
        <f aca="false">-H12</f>
        <v>318.84106488819</v>
      </c>
      <c r="I16" s="0" t="n">
        <f aca="false">-I12</f>
        <v>334.7831181326</v>
      </c>
      <c r="J16" s="0" t="n">
        <f aca="false">-J12</f>
        <v>349.848358448567</v>
      </c>
      <c r="K16" s="0" t="n">
        <f aca="false">-K12</f>
        <v>363.842292786509</v>
      </c>
      <c r="L16" s="0" t="n">
        <f aca="false">-L12</f>
        <v>376.576773034037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-315.06321</v>
      </c>
      <c r="D17" s="4" t="n">
        <f aca="false">-D6*Assumptions!D32/100</f>
        <v>-330.2603766</v>
      </c>
      <c r="E17" s="4" t="n">
        <f aca="false">-E6*Assumptions!E32/100</f>
        <v>-342.670160448</v>
      </c>
      <c r="F17" s="4" t="n">
        <f aca="false">-F6*Assumptions!F32/100</f>
        <v>-353.53922959971</v>
      </c>
      <c r="G17" s="4" t="n">
        <f aca="false">-G6*Assumptions!G32/100</f>
        <v>-362.662822621638</v>
      </c>
      <c r="H17" s="4" t="n">
        <f aca="false">-H6*Assumptions!H32/100</f>
        <v>-382.609277865828</v>
      </c>
      <c r="I17" s="4" t="n">
        <f aca="false">-I6*Assumptions!I32/100</f>
        <v>-401.73974175912</v>
      </c>
      <c r="J17" s="4" t="n">
        <f aca="false">-J6*Assumptions!J32/100</f>
        <v>-419.81803013828</v>
      </c>
      <c r="K17" s="4" t="n">
        <f aca="false">-K6*Assumptions!K32/100</f>
        <v>-436.610751343811</v>
      </c>
      <c r="L17" s="4" t="n">
        <f aca="false">-L6*Assumptions!L32/100</f>
        <v>-451.892127640844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-298.4982</v>
      </c>
      <c r="D18" s="4" t="n">
        <f aca="false">(D6-C6)*Assumptions!$B$37/100</f>
        <v>-207.571056</v>
      </c>
      <c r="E18" s="4" t="n">
        <f aca="false">(E6-D6)*Assumptions!$B$37/100</f>
        <v>-196.15464792</v>
      </c>
      <c r="F18" s="4" t="n">
        <f aca="false">(F6-E6)*Assumptions!$B$37/100</f>
        <v>-194.8936537548</v>
      </c>
      <c r="G18" s="4" t="n">
        <f aca="false">(G6-F6)*Assumptions!$B$37/100</f>
        <v>-191.595453460488</v>
      </c>
      <c r="H18" s="4" t="n">
        <f aca="false">(H6-G6)*Assumptions!$B$37/100</f>
        <v>-186.166915612441</v>
      </c>
      <c r="I18" s="4" t="n">
        <f aca="false">(I6-H6)*Assumptions!$B$37/100</f>
        <v>-178.550996337386</v>
      </c>
      <c r="J18" s="4" t="n">
        <f aca="false">(J6-I6)*Assumptions!$B$37/100</f>
        <v>-168.73069153883</v>
      </c>
      <c r="K18" s="4" t="n">
        <f aca="false">(K6-J6)*Assumptions!$B$37/100</f>
        <v>-156.732064584958</v>
      </c>
      <c r="L18" s="4" t="n">
        <f aca="false">(L6-K6)*Assumptions!$B$37/100</f>
        <v>-142.626178772311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1024.535617875</v>
      </c>
      <c r="D19" s="0" t="n">
        <f aca="false">D15+D16+D17+D18</f>
        <v>1241.321247705</v>
      </c>
      <c r="E19" s="0" t="n">
        <f aca="false">E15+E16+E17+E18</f>
        <v>1375.57700207235</v>
      </c>
      <c r="F19" s="0" t="n">
        <f aca="false">F15+F16+F17+F18</f>
        <v>1493.19914512743</v>
      </c>
      <c r="G19" s="0" t="n">
        <f aca="false">G15+G16+G17+G18</f>
        <v>1609.87167410873</v>
      </c>
      <c r="H19" s="0" t="n">
        <f aca="false">H15+H16+H17+H18</f>
        <v>1714.38090397308</v>
      </c>
      <c r="I19" s="0" t="n">
        <f aca="false">I15+I16+I17+I18</f>
        <v>1817.02421422741</v>
      </c>
      <c r="J19" s="0" t="n">
        <f aca="false">J15+J16+J17+J18</f>
        <v>1916.64540350139</v>
      </c>
      <c r="K19" s="0" t="n">
        <f aca="false">K15+K16+K17+K18</f>
        <v>2012.05907425687</v>
      </c>
      <c r="L19" s="0" t="n">
        <f aca="false">L15+L16+L17+L18</f>
        <v>2102.07264992898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939.940933830275</v>
      </c>
      <c r="D21" s="0" t="n">
        <f aca="false">D19*D20</f>
        <v>1044.79525940998</v>
      </c>
      <c r="E21" s="0" t="n">
        <f aca="false">E19*E20</f>
        <v>1062.19783655219</v>
      </c>
      <c r="F21" s="0" t="n">
        <f aca="false">F19*F20</f>
        <v>1057.81991954927</v>
      </c>
      <c r="G21" s="0" t="n">
        <f aca="false">G19*G20</f>
        <v>1046.30612891592</v>
      </c>
      <c r="H21" s="0" t="n">
        <f aca="false">H19*H20</f>
        <v>1022.2293188648</v>
      </c>
      <c r="I21" s="0" t="n">
        <f aca="false">I19*I20</f>
        <v>993.974468891915</v>
      </c>
      <c r="J21" s="0" t="n">
        <f aca="false">J19*J20</f>
        <v>961.899698107152</v>
      </c>
      <c r="K21" s="0" t="n">
        <f aca="false">K19*K20</f>
        <v>926.407891815713</v>
      </c>
      <c r="L21" s="0" t="n">
        <f aca="false">L19*L20</f>
        <v>887.938204209858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9943.50966014708</v>
      </c>
    </row>
    <row r="31" customFormat="false" ht="15" hidden="false" customHeight="false" outlineLevel="0" collapsed="false">
      <c r="A31" s="0" t="s">
        <v>137</v>
      </c>
      <c r="B31" s="0" t="n">
        <f aca="false">L19</f>
        <v>2102.07264992898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36085.5804904474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42041.4529985795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36085.5804904474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15242.9391722692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25186.4488324163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25201.1488324163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21.9086891224112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-0.565562381074535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76.146758570088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109.228134341431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22.0698453033023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18042.7902452237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10.4366538159621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14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8200.5</v>
      </c>
      <c r="C6" s="0" t="n">
        <f aca="false">B6*(1+C5/100)</f>
        <v>9348.57</v>
      </c>
      <c r="D6" s="0" t="n">
        <f aca="false">C6*(1+D5/100)</f>
        <v>10283.427</v>
      </c>
      <c r="E6" s="0" t="n">
        <f aca="false">D6*(1+E5/100)</f>
        <v>11208.93543</v>
      </c>
      <c r="F6" s="0" t="n">
        <f aca="false">E6*(1+F5/100)</f>
        <v>12105.6502644</v>
      </c>
      <c r="G6" s="0" t="n">
        <f aca="false">F6*(1+G5/100)</f>
        <v>13074.102285552</v>
      </c>
      <c r="H6" s="0" t="n">
        <f aca="false">G6*(1+H5/100)</f>
        <v>13989.2894455407</v>
      </c>
      <c r="I6" s="0" t="n">
        <f aca="false">H6*(1+I5/100)</f>
        <v>14968.5397067285</v>
      </c>
      <c r="J6" s="0" t="n">
        <f aca="false">I6*(1+J5/100)</f>
        <v>15866.6520891322</v>
      </c>
      <c r="K6" s="0" t="n">
        <f aca="false">J6*(1+K5/100)</f>
        <v>16659.9846935888</v>
      </c>
      <c r="L6" s="0" t="n">
        <f aca="false">K6*(1+L5/100)</f>
        <v>17326.3840813324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23</v>
      </c>
      <c r="D7" s="4" t="n">
        <f aca="false">Assumptions!D42</f>
        <v>23.3</v>
      </c>
      <c r="E7" s="4" t="n">
        <f aca="false">Assumptions!E42</f>
        <v>23.6</v>
      </c>
      <c r="F7" s="4" t="n">
        <f aca="false">Assumptions!F42</f>
        <v>23.9</v>
      </c>
      <c r="G7" s="4" t="n">
        <f aca="false">Assumptions!G42</f>
        <v>24.2</v>
      </c>
      <c r="H7" s="4" t="n">
        <f aca="false">Assumptions!H42</f>
        <v>24.5</v>
      </c>
      <c r="I7" s="4" t="n">
        <f aca="false">Assumptions!I42</f>
        <v>24.5</v>
      </c>
      <c r="J7" s="4" t="n">
        <f aca="false">Assumptions!J42</f>
        <v>24.5</v>
      </c>
      <c r="K7" s="4" t="n">
        <f aca="false">Assumptions!K42</f>
        <v>24.5</v>
      </c>
      <c r="L7" s="4" t="n">
        <f aca="false">Assumptions!L42</f>
        <v>24.5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2150.1711</v>
      </c>
      <c r="D8" s="0" t="n">
        <f aca="false">D6*D7/100</f>
        <v>2396.038491</v>
      </c>
      <c r="E8" s="0" t="n">
        <f aca="false">E6*E7/100</f>
        <v>2645.30876148</v>
      </c>
      <c r="F8" s="0" t="n">
        <f aca="false">F6*F7/100</f>
        <v>2893.2504131916</v>
      </c>
      <c r="G8" s="0" t="n">
        <f aca="false">G6*G7/100</f>
        <v>3163.93275310359</v>
      </c>
      <c r="H8" s="0" t="n">
        <f aca="false">H6*H7/100</f>
        <v>3427.37591415746</v>
      </c>
      <c r="I8" s="0" t="n">
        <f aca="false">I6*I7/100</f>
        <v>3667.29222814848</v>
      </c>
      <c r="J8" s="0" t="n">
        <f aca="false">J6*J7/100</f>
        <v>3887.32976183739</v>
      </c>
      <c r="K8" s="0" t="n">
        <f aca="false">K6*K7/100</f>
        <v>4081.69624992926</v>
      </c>
      <c r="L8" s="0" t="n">
        <f aca="false">L6*L7/100</f>
        <v>4244.96409992643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-9.34857</v>
      </c>
      <c r="D10" s="0" t="n">
        <f aca="false">-D6*D9/100</f>
        <v>-10.283427</v>
      </c>
      <c r="E10" s="0" t="n">
        <f aca="false">-E6*E9/100</f>
        <v>-11.20893543</v>
      </c>
      <c r="F10" s="0" t="n">
        <f aca="false">-F6*F9/100</f>
        <v>-12.1056502644</v>
      </c>
      <c r="G10" s="0" t="n">
        <f aca="false">-G6*G9/100</f>
        <v>-13.074102285552</v>
      </c>
      <c r="H10" s="0" t="n">
        <f aca="false">-H6*H9/100</f>
        <v>-13.9892894455407</v>
      </c>
      <c r="I10" s="0" t="n">
        <f aca="false">-I6*I9/100</f>
        <v>-14.9685397067285</v>
      </c>
      <c r="J10" s="0" t="n">
        <f aca="false">-J6*J9/100</f>
        <v>-15.8666520891322</v>
      </c>
      <c r="K10" s="0" t="n">
        <f aca="false">-K6*K9/100</f>
        <v>-16.6599846935888</v>
      </c>
      <c r="L10" s="0" t="n">
        <f aca="false">-L6*L9/100</f>
        <v>-17.3263840813324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2140.82253</v>
      </c>
      <c r="D11" s="0" t="n">
        <f aca="false">D8+D10+D24</f>
        <v>2385.755064</v>
      </c>
      <c r="E11" s="0" t="n">
        <f aca="false">E8+E10+E24</f>
        <v>2634.09982605</v>
      </c>
      <c r="F11" s="0" t="n">
        <f aca="false">F8+F10+F24</f>
        <v>2881.1447629272</v>
      </c>
      <c r="G11" s="0" t="n">
        <f aca="false">G8+G10+G24</f>
        <v>3150.85865081803</v>
      </c>
      <c r="H11" s="0" t="n">
        <f aca="false">H8+H10+H24</f>
        <v>3413.38662471192</v>
      </c>
      <c r="I11" s="0" t="n">
        <f aca="false">I8+I10+I24</f>
        <v>3652.32368844175</v>
      </c>
      <c r="J11" s="0" t="n">
        <f aca="false">J8+J10+J24</f>
        <v>3871.46310974826</v>
      </c>
      <c r="K11" s="0" t="n">
        <f aca="false">K8+K10+K24</f>
        <v>4065.03626523567</v>
      </c>
      <c r="L11" s="0" t="n">
        <f aca="false">L8+L10+L24</f>
        <v>4227.6377158451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-205.66854</v>
      </c>
      <c r="D12" s="4" t="n">
        <f aca="false">-D6*Assumptions!D45/100</f>
        <v>-236.518821</v>
      </c>
      <c r="E12" s="4" t="n">
        <f aca="false">-E6*Assumptions!E45/100</f>
        <v>-269.01445032</v>
      </c>
      <c r="F12" s="4" t="n">
        <f aca="false">-F6*Assumptions!F45/100</f>
        <v>-302.64125661</v>
      </c>
      <c r="G12" s="4" t="n">
        <f aca="false">-G6*Assumptions!G45/100</f>
        <v>-326.8525571388</v>
      </c>
      <c r="H12" s="4" t="n">
        <f aca="false">-H6*Assumptions!H45/100</f>
        <v>-349.732236138516</v>
      </c>
      <c r="I12" s="4" t="n">
        <f aca="false">-I6*Assumptions!I45/100</f>
        <v>-374.213492668212</v>
      </c>
      <c r="J12" s="4" t="n">
        <f aca="false">-J6*Assumptions!J45/100</f>
        <v>-396.666302228305</v>
      </c>
      <c r="K12" s="4" t="n">
        <f aca="false">-K6*Assumptions!K45/100</f>
        <v>-416.49961733972</v>
      </c>
      <c r="L12" s="4" t="n">
        <f aca="false">-L6*Assumptions!L45/100</f>
        <v>-433.159602033309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1935.15399</v>
      </c>
      <c r="D13" s="0" t="n">
        <f aca="false">D11+D12</f>
        <v>2149.236243</v>
      </c>
      <c r="E13" s="0" t="n">
        <f aca="false">E11+E12</f>
        <v>2365.08537573</v>
      </c>
      <c r="F13" s="0" t="n">
        <f aca="false">F11+F12</f>
        <v>2578.5035063172</v>
      </c>
      <c r="G13" s="0" t="n">
        <f aca="false">G11+G12</f>
        <v>2824.00609367923</v>
      </c>
      <c r="H13" s="0" t="n">
        <f aca="false">H11+H12</f>
        <v>3063.6543885734</v>
      </c>
      <c r="I13" s="0" t="n">
        <f aca="false">I11+I12</f>
        <v>3278.11019577354</v>
      </c>
      <c r="J13" s="0" t="n">
        <f aca="false">J11+J12</f>
        <v>3474.79680751995</v>
      </c>
      <c r="K13" s="0" t="n">
        <f aca="false">K11+K12</f>
        <v>3648.53664789595</v>
      </c>
      <c r="L13" s="0" t="n">
        <f aca="false">L11+L12</f>
        <v>3794.47811381179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24.5</v>
      </c>
      <c r="D14" s="4" t="n">
        <f aca="false">Assumptions!D47</f>
        <v>24.5</v>
      </c>
      <c r="E14" s="4" t="n">
        <f aca="false">Assumptions!E47</f>
        <v>24.5</v>
      </c>
      <c r="F14" s="4" t="n">
        <f aca="false">Assumptions!F47</f>
        <v>24.5</v>
      </c>
      <c r="G14" s="4" t="n">
        <f aca="false">Assumptions!G47</f>
        <v>24.5</v>
      </c>
      <c r="H14" s="4" t="n">
        <f aca="false">Assumptions!H47</f>
        <v>24.5</v>
      </c>
      <c r="I14" s="4" t="n">
        <f aca="false">Assumptions!I47</f>
        <v>24.5</v>
      </c>
      <c r="J14" s="4" t="n">
        <f aca="false">Assumptions!J47</f>
        <v>24.5</v>
      </c>
      <c r="K14" s="4" t="n">
        <f aca="false">Assumptions!K47</f>
        <v>24.5</v>
      </c>
      <c r="L14" s="4" t="n">
        <f aca="false">Assumptions!L47</f>
        <v>24.5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1461.04126245</v>
      </c>
      <c r="D15" s="0" t="n">
        <f aca="false">D13-MAX(0,D13)*D14/100</f>
        <v>1622.673363465</v>
      </c>
      <c r="E15" s="0" t="n">
        <f aca="false">E13-MAX(0,E13)*E14/100</f>
        <v>1785.63945867615</v>
      </c>
      <c r="F15" s="0" t="n">
        <f aca="false">F13-MAX(0,F13)*F14/100</f>
        <v>1946.77014726949</v>
      </c>
      <c r="G15" s="0" t="n">
        <f aca="false">G13-MAX(0,G13)*G14/100</f>
        <v>2132.12460072782</v>
      </c>
      <c r="H15" s="0" t="n">
        <f aca="false">H13-MAX(0,H13)*H14/100</f>
        <v>2313.05906337292</v>
      </c>
      <c r="I15" s="0" t="n">
        <f aca="false">I13-MAX(0,I13)*I14/100</f>
        <v>2474.97319780902</v>
      </c>
      <c r="J15" s="0" t="n">
        <f aca="false">J13-MAX(0,J13)*J14/100</f>
        <v>2623.47158967757</v>
      </c>
      <c r="K15" s="0" t="n">
        <f aca="false">K13-MAX(0,K13)*K14/100</f>
        <v>2754.64516916144</v>
      </c>
      <c r="L15" s="0" t="n">
        <f aca="false">L13-MAX(0,L13)*L14/100</f>
        <v>2864.8309759279</v>
      </c>
    </row>
    <row r="16" customFormat="false" ht="15" hidden="false" customHeight="false" outlineLevel="0" collapsed="false">
      <c r="A16" s="0" t="s">
        <v>128</v>
      </c>
      <c r="C16" s="0" t="n">
        <f aca="false">-C12</f>
        <v>205.66854</v>
      </c>
      <c r="D16" s="0" t="n">
        <f aca="false">-D12</f>
        <v>236.518821</v>
      </c>
      <c r="E16" s="0" t="n">
        <f aca="false">-E12</f>
        <v>269.01445032</v>
      </c>
      <c r="F16" s="0" t="n">
        <f aca="false">-F12</f>
        <v>302.64125661</v>
      </c>
      <c r="G16" s="0" t="n">
        <f aca="false">-G12</f>
        <v>326.8525571388</v>
      </c>
      <c r="H16" s="0" t="n">
        <f aca="false">-H12</f>
        <v>349.732236138516</v>
      </c>
      <c r="I16" s="0" t="n">
        <f aca="false">-I12</f>
        <v>374.213492668212</v>
      </c>
      <c r="J16" s="0" t="n">
        <f aca="false">-J12</f>
        <v>396.666302228305</v>
      </c>
      <c r="K16" s="0" t="n">
        <f aca="false">-K12</f>
        <v>416.49961733972</v>
      </c>
      <c r="L16" s="0" t="n">
        <f aca="false">-L12</f>
        <v>433.159602033309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-317.85138</v>
      </c>
      <c r="D17" s="4" t="n">
        <f aca="false">-D6*Assumptions!D46/100</f>
        <v>-339.353091</v>
      </c>
      <c r="E17" s="4" t="n">
        <f aca="false">-E6*Assumptions!E46/100</f>
        <v>-358.68593376</v>
      </c>
      <c r="F17" s="4" t="n">
        <f aca="false">-F6*Assumptions!F46/100</f>
        <v>-375.2751581964</v>
      </c>
      <c r="G17" s="4" t="n">
        <f aca="false">-G6*Assumptions!G46/100</f>
        <v>-392.22306856656</v>
      </c>
      <c r="H17" s="4" t="n">
        <f aca="false">-H6*Assumptions!H46/100</f>
        <v>-419.67868336622</v>
      </c>
      <c r="I17" s="4" t="n">
        <f aca="false">-I6*Assumptions!I46/100</f>
        <v>-449.056191201855</v>
      </c>
      <c r="J17" s="4" t="n">
        <f aca="false">-J6*Assumptions!J46/100</f>
        <v>-475.999562673966</v>
      </c>
      <c r="K17" s="4" t="n">
        <f aca="false">-K6*Assumptions!K46/100</f>
        <v>-499.799540807664</v>
      </c>
      <c r="L17" s="4" t="n">
        <f aca="false">-L6*Assumptions!L46/100</f>
        <v>-519.791522439971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-298.4982</v>
      </c>
      <c r="D18" s="4" t="n">
        <f aca="false">(D6-C6)*Assumptions!$B$51/100</f>
        <v>-243.06282</v>
      </c>
      <c r="E18" s="4" t="n">
        <f aca="false">(E6-D6)*Assumptions!$B$51/100</f>
        <v>-240.6321918</v>
      </c>
      <c r="F18" s="4" t="n">
        <f aca="false">(F6-E6)*Assumptions!$B$51/100</f>
        <v>-233.145856944</v>
      </c>
      <c r="G18" s="4" t="n">
        <f aca="false">(G6-F6)*Assumptions!$B$51/100</f>
        <v>-251.79752549952</v>
      </c>
      <c r="H18" s="4" t="n">
        <f aca="false">(H6-G6)*Assumptions!$B$51/100</f>
        <v>-237.948661597047</v>
      </c>
      <c r="I18" s="4" t="n">
        <f aca="false">(I6-H6)*Assumptions!$B$51/100</f>
        <v>-254.60506790884</v>
      </c>
      <c r="J18" s="4" t="n">
        <f aca="false">(J6-I6)*Assumptions!$B$51/100</f>
        <v>-233.509219424965</v>
      </c>
      <c r="K18" s="4" t="n">
        <f aca="false">(K6-J6)*Assumptions!$B$51/100</f>
        <v>-206.266477158718</v>
      </c>
      <c r="L18" s="4" t="n">
        <f aca="false">(L6-K6)*Assumptions!$B$51/100</f>
        <v>-173.263840813324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1050.36022245</v>
      </c>
      <c r="D19" s="0" t="n">
        <f aca="false">D15+D16+D17+D18</f>
        <v>1276.776273465</v>
      </c>
      <c r="E19" s="0" t="n">
        <f aca="false">E15+E16+E17+E18</f>
        <v>1455.33578343615</v>
      </c>
      <c r="F19" s="0" t="n">
        <f aca="false">F15+F16+F17+F18</f>
        <v>1640.99038873909</v>
      </c>
      <c r="G19" s="0" t="n">
        <f aca="false">G15+G16+G17+G18</f>
        <v>1814.95656380054</v>
      </c>
      <c r="H19" s="0" t="n">
        <f aca="false">H15+H16+H17+H18</f>
        <v>2005.16395454817</v>
      </c>
      <c r="I19" s="0" t="n">
        <f aca="false">I15+I16+I17+I18</f>
        <v>2145.52543136654</v>
      </c>
      <c r="J19" s="0" t="n">
        <f aca="false">J15+J16+J17+J18</f>
        <v>2310.62910980694</v>
      </c>
      <c r="K19" s="0" t="n">
        <f aca="false">K15+K16+K17+K18</f>
        <v>2465.07876853478</v>
      </c>
      <c r="L19" s="0" t="n">
        <f aca="false">L15+L16+L17+L18</f>
        <v>2604.93521470791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963.633231605504</v>
      </c>
      <c r="D21" s="0" t="n">
        <f aca="false">D19*D20</f>
        <v>1074.63704525292</v>
      </c>
      <c r="E21" s="0" t="n">
        <f aca="false">E19*E20</f>
        <v>1123.78624991112</v>
      </c>
      <c r="F21" s="0" t="n">
        <f aca="false">F19*F20</f>
        <v>1162.51896249845</v>
      </c>
      <c r="G21" s="0" t="n">
        <f aca="false">G19*G20</f>
        <v>1179.59723558217</v>
      </c>
      <c r="H21" s="0" t="n">
        <f aca="false">H19*H20</f>
        <v>1195.61375113299</v>
      </c>
      <c r="I21" s="0" t="n">
        <f aca="false">I19*I20</f>
        <v>1173.67588413973</v>
      </c>
      <c r="J21" s="0" t="n">
        <f aca="false">J19*J20</f>
        <v>1159.62683504241</v>
      </c>
      <c r="K21" s="0" t="n">
        <f aca="false">K19*K20</f>
        <v>1134.99074372925</v>
      </c>
      <c r="L21" s="0" t="n">
        <f aca="false">L19*L20</f>
        <v>1100.35278595576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11268.4327248503</v>
      </c>
    </row>
    <row r="31" customFormat="false" ht="15" hidden="false" customHeight="false" outlineLevel="0" collapsed="false">
      <c r="A31" s="0" t="s">
        <v>137</v>
      </c>
      <c r="B31" s="0" t="n">
        <f aca="false">L19</f>
        <v>2604.93521470791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49020.144494958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52098.7042941583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49020.144494958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20706.6387902585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31975.0715151088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31989.7715151088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27.8103972117324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-0.448534657709054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82.4427658596686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137.727485385337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28.0018028345715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23444.4169323712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12.3965668459104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14.3897811100867</v>
      </c>
      <c r="C4" s="0" t="n">
        <f aca="false">B4/Assumptions!$B$2-1</f>
        <v>-0.714658316278272</v>
      </c>
      <c r="D4" s="4" t="n">
        <f aca="false">Assumptions!$B$24</f>
        <v>0.2</v>
      </c>
      <c r="E4" s="4" t="n">
        <f aca="false">DCF_Bear!$B$43</f>
        <v>14.5037790383653</v>
      </c>
      <c r="F4" s="4" t="n">
        <f aca="false">DCF_Bear!$B$47</f>
        <v>7.6645362643891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21.9086891224112</v>
      </c>
      <c r="C5" s="0" t="n">
        <f aca="false">B5/Assumptions!$B$2-1</f>
        <v>-0.565562381074535</v>
      </c>
      <c r="D5" s="4" t="n">
        <f aca="false">Assumptions!$B$38</f>
        <v>0.5</v>
      </c>
      <c r="E5" s="4" t="n">
        <f aca="false">DCF_Base!$B$43</f>
        <v>22.0698453033023</v>
      </c>
      <c r="F5" s="4" t="n">
        <f aca="false">DCF_Base!$B$47</f>
        <v>10.4366538159621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27.8103972117324</v>
      </c>
      <c r="C6" s="0" t="n">
        <f aca="false">B6/Assumptions!$B$2-1</f>
        <v>-0.448534657709054</v>
      </c>
      <c r="D6" s="4" t="n">
        <f aca="false">Assumptions!$B$52</f>
        <v>0.3</v>
      </c>
      <c r="E6" s="4" t="n">
        <f aca="false">DCF_Bull!$B$43</f>
        <v>28.0018028345715</v>
      </c>
      <c r="F6" s="4" t="n">
        <f aca="false">DCF_Bull!$B$47</f>
        <v>12.3965668459104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22.1754199467427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22.3362193096957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-1.27413957080022</v>
      </c>
    </row>
    <row r="11" customFormat="false" ht="15" hidden="false" customHeight="false" outlineLevel="0" collapsed="false">
      <c r="A11" s="0" t="s">
        <v>164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10.470204214632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21.9086891224112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18.6111219628887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16.1455415354138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14.2341584563005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10.4366538159621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28.1587342155072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28.1587342155072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28.1587342155072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28.1587342155072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28.1587342155072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23.491084134845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24.8761997981011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26.0304628508144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26.0304628508144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26.0304628508144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19.9053429367551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20.8299642532118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21.9086891224112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23.1835457860106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24.0958285361092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17.2271681965593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17.873013287513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18.6111219628887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19.4627858190915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20.456393651328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15.1533295476195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15.6202528359933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16.1455415354138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16.7408687280904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17.4212426625779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2026-09-28T08:01:58Z</dcterms:created>
  <dc:creator>openpyxl</dc:creator>
  <dc:description/>
  <dc:language>en-NZ</dc:language>
  <cp:lastModifiedBy/>
  <dcterms:modified xsi:type="dcterms:W3CDTF">2026-09-28T08:01:58Z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