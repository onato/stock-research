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<sst xmlns="http://schemas.openxmlformats.org/spreadsheetml/2006/main" count="367" uniqueCount="168">
  <si>
    <t xml:space="preserve">Ticker</t>
  </si>
  <si>
    <t xml:space="preserve">SGP.AX</t>
  </si>
  <si>
    <t xml:space="preserve">Company</t>
  </si>
  <si>
    <t xml:space="preserve">Stockland Corporation Limited</t>
  </si>
  <si>
    <t xml:space="preserve">Valuation date</t>
  </si>
  <si>
    <t xml:space="preserve">2026-09-25</t>
  </si>
  <si>
    <t xml:space="preserve">Current price</t>
  </si>
  <si>
    <t xml:space="preserve">Price as of</t>
  </si>
  <si>
    <t xml:space="preserve">2026-09-25T06:10:08Z, Yahoo Finance chart API; 52-week range 3.71-6.75</t>
  </si>
  <si>
    <t xml:space="preserve">Balance sheet date</t>
  </si>
  <si>
    <t xml:space="preserve">2026-06-30 (FY2026 Annual Report, audited)</t>
  </si>
  <si>
    <t xml:space="preserve">Model</t>
  </si>
  <si>
    <t xml:space="preserve">REIT AFFO capitalisation at cost of equity (engine route)</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</si>
  <si>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</si>
  <si>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</si>
  <si>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</si>
  <si>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</si>
  <si>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</si>
  <si>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</si>
  <si>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</si>
  <si>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</si>
  <si>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2026-09-25T10:03:57Z</t>
  </si>
  <si>
    <t xml:space="preserve">Drivers file</t>
  </si>
  <si>
    <t xml:space="preserve">SGP.AX_Drivers.json</t>
  </si>
  <si>
    <t xml:space="preserve">Convention</t>
  </si>
  <si>
    <t xml:space="preserve">Percents stored as percents; formulas divide by 100. Blue = input, green = link, black = formula.</t>
  </si>
  <si>
    <t xml:space="preserve">Methodology</t>
  </si>
  <si>
    <t xml:space="preserve">summary: Stockland is valued as a stream of distributable earnings (FFO, the Group's own post-interest, post-tax capitalisation-basis measure combining Investment Management rental/fee income and Development profit), not as a pure operating-company owner-FCF DCF and not split into a sum-of-parts, because Stockland's own guidance and distribution policy is set off the single blended FFO number and a clean segment-level cash-flow split is not disclosed. FFO is capitalised at a 9.0% AUD cost of equity (above the ~8.5% used for passive-landlord AU REIT peers, reflecting Stockland's much higher exposure to the residential development cycle) with no debt deduction, since FFO is already struck after financing cost. The FY2027 guidance year (38.0-39.0c FFO/security) is anchored at its midpoint; thereafter growth fades toward the historical 9-year FFO-per-security trend of ~1.1%/yr, well below the guided one-off step, because management's own commentary frames FY27 growth as offsetting a fading MPC peak rather than a new run rate. The key judgment is the AFFO capex charge: sized to the Investment Management portfolio's disclosed recurring growth capex (~6% of revenue) rather than the much larger gross development spend, because MPC/LLC land and construction costs are already expensed against development revenue inside the FFO calculation -- charging them again as capex would double-count.
key_risks_to_valuation: Cost of equity: each 50bp on the 9.0% moves the base value by roughly 8-10%; the sensitivity grid is the honest range.; MPC cycle depth and duration: FY27 guidance already prices in a step-down from the FY26 settlement peak (8,902 lots to 7,300-8,300); the bear case models a further two-year deterioration consistent with the 2H FY26 sentiment moderation management itself flagged.; Capex/AFFO definition: whether the Investment Management-only growth capex (~6% of revenue, used here) or a broader all-in figure including a slice of net land-bank investment (which would push the charge toward 9-10%, closer to SCG/GPT's convention) is the right AFFO deduction is a real modelling choice worth ~10-15% of value.; Rising cost of debt (5.3% FY26 to ~5.9% guided FY27, fixed-hedge ratio down from 76% to 65%) squeezes the FFO margin directly and, via mortgage-rate pass-through, MPC/LLC buyer affordability simultaneously -- a genuine double exposure the bear case captures in both the margin path and the discount rate.; Execution risk on unproven new platforms (Data Centres/EdgeConneX, expanded Commercial Development, further capital partnerships) sits in the FY27+ margin and growth paths but has essentially no track record to anchor it to.; Distribution payout was recalibrated from a tighter historical band to 60-80% of FFO in FY26 specifically to fund growth reinvestment; a resumption of the suspended DRP, or a widening of the payout range downward, would change dilution/retained-capital assumptions not modelled here.</t>
  </si>
  <si>
    <t xml:space="preserve">Data sources</t>
  </si>
  <si>
    <t xml:space="preserve">price: Yahoo Finance chart API at inputs.price_as_of; 52-week range 3.71-6.75.
financials: SGP.AX_Metrics.csv / core_metrics and kpis tables (FY2015-FY2026, H1 FY2016-FY2026); FY2026 Annual Report FFO/PreTaxFFO/FFOPerShare KPIs, cash flow statement (payments for land/investment properties/plant/investments, lines 6584-6616), WANOS note (line 7223), issued capital note (line 9471), gearing/distribution-policy disclosure (lines 355-806, 7267), DRP note (lines 9487-9496).
qualitative: SGP.AX_Analysis.json (2026-09-25): FY26 results (FFO $892m +10.4%, FFO/security 36.9c top-end of guidance, gearing 22.7%, DRP suspended 2H26), FY27 guidance (FFO/security 38.0-39.0c, distribution flat 25.2cps, MPC 7,300-8,300 lots, LLC 850-950 sites, cost of debt ~5.9%), Data Centres/EdgeConneX partnership, capital-partnering platform (M&amp;G/Invesco/Mercer/MSREI), bull/bear case axes.</t>
  </si>
  <si>
    <t xml:space="preserve">Scenario narrative: bear</t>
  </si>
  <si>
    <t xml:space="preserve">2H FY26's buyer-sentiment moderation deepens into a two-year MPC/LLC downturn, Workplace occupancy keeps sliding, cost of debt keeps rising toward 5.9%+ and gearing drifts toward the top of the target band, compressing the FFO margin to 21% and raising the capex charge to 9%; 1.5% terminal growth, 12x exit at a 9.5% cost of equity.</t>
  </si>
  <si>
    <t xml:space="preserve">Scenario narrative: base</t>
  </si>
  <si>
    <t xml:space="preserve">FY27 lands on the guidance midpoint (38.5c FFO/security), then growth fades as the guided MPC settlement step-down works through before recovering to a 2% steady state on Logistics/Data Centres/fee-income maturation; FFO margin drifts to 24.5%; AFFO after a 7%-of-revenue capex charge capitalised at 9% cost of equity with a 17x terminal cap.</t>
  </si>
  <si>
    <t xml:space="preserve">Scenario narrative: bull</t>
  </si>
  <si>
    <t xml:space="preserve">FY27 beats the top of guidance as LLC, Logistics and Data Centres outperform and capital-partnering fee income keeps compounding at 20%+, lifting the FFO margin toward 27% while the capex charge falls as more growth is co-funded; 3% terminal growth, 19x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</si>
  <si>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</si>
  <si>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</si>
  <si>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</si>
  <si>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</si>
  <si>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</si>
  <si>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</si>
  <si>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</si>
  <si>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</si>
  <si>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</si>
  <si>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</si>
  <si>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</si>
  <si>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</si>
  <si>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</si>
  <si>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</si>
  <si>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</si>
  <si>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</si>
  <si>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</si>
  <si>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</si>
  <si>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</si>
  <si>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</si>
  <si>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</si>
  <si>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</si>
  <si>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</si>
  <si>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</si>
  <si>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</si>
  <si>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</si>
  <si>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</si>
  <si>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AFFOPerShare</t>
  </si>
  <si>
    <t xml:space="preserve">NTAPerShare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</si>
  <si>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</si>
  <si>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</si>
  <si>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</si>
  <si>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</si>
  <si>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</si>
  <si>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</si>
  <si>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</si>
  <si>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</si>
  <si>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</si>
  <si>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</si>
  <si>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</si>
  <si>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</si>
  <si>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</si>
  <si>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</si>
  <si>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</si>
  <si>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</si>
  <si>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</si>
  <si>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</si>
  <si>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</si>
  <si>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</si>
  <si>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</si>
  <si>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</si>
  <si>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</si>
  <si>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</si>
  <si>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</si>
  <si>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</si>
  <si>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</si>
  <si>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</si>
  <si>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</si>
  <si>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</si>
  <si>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</si>
  <si>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</si>
  <si>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</si>
  <si>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</si>
  <si>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</si>
  <si>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</si>
  <si>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</si>
  <si>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</si>
  <si>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</si>
  <si>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</si>
  <si>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</si>
  <si>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</si>
  <si>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</si>
  <si>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</si>
  <si>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</si>
  <si>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</si>
  <si>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</si>
  <si>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</si>
  <si>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</si>
  <si>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SGP.AX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</si>
  <si>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</si>
  <si>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</si>
  <si>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</si>
  <si>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</si>
  <si>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</si>
  <si>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</si>
  <si>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</si>
  <si>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</si>
  <si>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</si>
  <si>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</si>
  <si>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</si>
  <si>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</si>
  <si>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</si>
  <si>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</si>
  <si>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</si>
  <si>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</si>
  <si>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</si>
  <si>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</si>
  <si>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</si>
  <si>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</si>
  <si>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</si>
  <si>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</si>
  <si>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</si>
  <si>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</si>
  <si>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</si>
  <si>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</si>
  <si>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</si>
  <si>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</si>
  <si>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</si>
  <si>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</si>
  <si>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SGP.AX owner-FCF component DCF: base case (millions, AUD)</t>
  </si>
  <si>
    <t xml:space="preserve">SGP.AX owner-FCF component DCF: bull case (millions, AUD)</t>
  </si>
  <si>
    <t xml:space="preserve">SGP.AX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</si>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</sst>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4.02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2114</v>
      </c>
      <c r="I2" s="0" t="n">
        <v>903</v>
      </c>
      <c r="J2" s="0" t="n">
        <v>42.7</v>
      </c>
      <c r="K2" s="0" t="n">
        <v>0.385</v>
      </c>
      <c r="L2" s="0" t="n">
        <v>401</v>
      </c>
      <c r="M2" s="0" t="n">
        <v>600</v>
      </c>
      <c r="N2" s="0" t="n">
        <v>-199</v>
      </c>
      <c r="O2" s="0" t="n">
        <v>8787</v>
      </c>
      <c r="P2" s="0" t="n">
        <v>15729</v>
      </c>
      <c r="Q2" s="0" t="n">
        <v>6942</v>
      </c>
      <c r="R2" s="0" t="n">
        <v>3283</v>
      </c>
      <c r="S2" s="0" t="n">
        <v>170</v>
      </c>
      <c r="T2" s="0" t="n">
        <v>2345.5</v>
      </c>
      <c r="U2" s="0" t="n">
        <v>5.6</v>
      </c>
      <c r="AA2" s="0" t="s">
        <v>17</v>
      </c>
      <c r="AB2" s="0" t="s">
        <v>14</v>
      </c>
      <c r="AD2" s="0" t="n">
        <v>3.68</v>
      </c>
    </row>
    <row r="3" customFormat="false" ht="15" hidden="false" customHeight="false" outlineLevel="0" collapsed="false">
      <c r="A3" s="0" t="s">
        <v>66</v>
      </c>
      <c r="B3" s="0" t="n">
        <v>2328</v>
      </c>
      <c r="I3" s="0" t="n">
        <v>889</v>
      </c>
      <c r="J3" s="0" t="n">
        <v>38.2</v>
      </c>
      <c r="K3" s="0" t="n">
        <v>0.373</v>
      </c>
      <c r="L3" s="0" t="n">
        <v>787</v>
      </c>
      <c r="M3" s="0" t="n">
        <v>633</v>
      </c>
      <c r="N3" s="0" t="n">
        <v>154</v>
      </c>
      <c r="O3" s="0" t="n">
        <v>9254</v>
      </c>
      <c r="P3" s="0" t="n">
        <v>16942</v>
      </c>
      <c r="Q3" s="0" t="n">
        <v>7688</v>
      </c>
      <c r="R3" s="0" t="n">
        <v>3800</v>
      </c>
      <c r="S3" s="0" t="n">
        <v>208</v>
      </c>
      <c r="T3" s="0" t="n">
        <v>2383.4</v>
      </c>
      <c r="U3" s="0" t="n">
        <v>7.2</v>
      </c>
      <c r="V3" s="0" t="n">
        <v>0.245</v>
      </c>
      <c r="AA3" s="0" t="s">
        <v>17</v>
      </c>
      <c r="AB3" s="0" t="s">
        <v>14</v>
      </c>
      <c r="AD3" s="0" t="n">
        <v>3.82</v>
      </c>
    </row>
    <row r="4" customFormat="false" ht="15" hidden="false" customHeight="false" outlineLevel="0" collapsed="false">
      <c r="A4" s="0" t="s">
        <v>67</v>
      </c>
      <c r="B4" s="0" t="n">
        <v>2744</v>
      </c>
      <c r="I4" s="0" t="n">
        <v>1195</v>
      </c>
      <c r="J4" s="0" t="n">
        <v>43.5</v>
      </c>
      <c r="K4" s="0" t="n">
        <v>0.496</v>
      </c>
      <c r="L4" s="0" t="n">
        <v>921</v>
      </c>
      <c r="M4" s="0" t="n">
        <v>545</v>
      </c>
      <c r="N4" s="0" t="n">
        <v>376</v>
      </c>
      <c r="O4" s="0" t="n">
        <v>9927</v>
      </c>
      <c r="P4" s="0" t="n">
        <v>17495</v>
      </c>
      <c r="Q4" s="0" t="n">
        <v>7568</v>
      </c>
      <c r="R4" s="0" t="n">
        <v>3529</v>
      </c>
      <c r="S4" s="0" t="n">
        <v>238</v>
      </c>
      <c r="T4" s="0" t="n">
        <v>2409.3</v>
      </c>
      <c r="U4" s="0" t="n">
        <v>8.2</v>
      </c>
      <c r="V4" s="0" t="n">
        <v>0.255</v>
      </c>
      <c r="AA4" s="0" t="s">
        <v>17</v>
      </c>
      <c r="AB4" s="0" t="s">
        <v>14</v>
      </c>
      <c r="AD4" s="0" t="n">
        <v>4.04</v>
      </c>
    </row>
    <row r="5" customFormat="false" ht="15" hidden="false" customHeight="false" outlineLevel="0" collapsed="false">
      <c r="A5" s="0" t="s">
        <v>68</v>
      </c>
      <c r="B5" s="0" t="n">
        <v>2775</v>
      </c>
      <c r="I5" s="0" t="n">
        <v>1025</v>
      </c>
      <c r="J5" s="0" t="n">
        <v>36.9</v>
      </c>
      <c r="K5" s="0" t="n">
        <v>0.422</v>
      </c>
      <c r="L5" s="0" t="n">
        <v>728</v>
      </c>
      <c r="M5" s="0" t="n">
        <v>734</v>
      </c>
      <c r="N5" s="0" t="n">
        <v>-6</v>
      </c>
      <c r="O5" s="0" t="n">
        <v>10376</v>
      </c>
      <c r="P5" s="0" t="n">
        <v>19291</v>
      </c>
      <c r="Q5" s="0" t="n">
        <v>8915</v>
      </c>
      <c r="R5" s="0" t="n">
        <v>3938</v>
      </c>
      <c r="S5" s="0" t="n">
        <v>333</v>
      </c>
      <c r="T5" s="0" t="n">
        <v>2428.9</v>
      </c>
      <c r="U5" s="0" t="n">
        <v>7.6</v>
      </c>
      <c r="V5" s="0" t="n">
        <v>0.265</v>
      </c>
      <c r="AA5" s="0" t="s">
        <v>17</v>
      </c>
      <c r="AB5" s="0" t="s">
        <v>14</v>
      </c>
      <c r="AD5" s="0" t="n">
        <v>4.18</v>
      </c>
    </row>
    <row r="6" customFormat="false" ht="15" hidden="false" customHeight="false" outlineLevel="0" collapsed="false">
      <c r="A6" s="0" t="s">
        <v>69</v>
      </c>
      <c r="B6" s="0" t="n">
        <v>2768</v>
      </c>
      <c r="I6" s="0" t="n">
        <v>311</v>
      </c>
      <c r="J6" s="0" t="n">
        <v>11.2</v>
      </c>
      <c r="K6" s="0" t="n">
        <v>0.13</v>
      </c>
      <c r="L6" s="0" t="n">
        <v>394</v>
      </c>
      <c r="M6" s="0" t="n">
        <v>490</v>
      </c>
      <c r="N6" s="0" t="n">
        <v>-96</v>
      </c>
      <c r="O6" s="0" t="n">
        <v>9828</v>
      </c>
      <c r="P6" s="0" t="n">
        <v>18999</v>
      </c>
      <c r="Q6" s="0" t="n">
        <v>9171</v>
      </c>
      <c r="R6" s="0" t="n">
        <v>4704</v>
      </c>
      <c r="S6" s="0" t="n">
        <v>140</v>
      </c>
      <c r="T6" s="0" t="n">
        <v>2392.3</v>
      </c>
      <c r="V6" s="0" t="n">
        <v>0.276</v>
      </c>
      <c r="AA6" s="0" t="s">
        <v>17</v>
      </c>
      <c r="AB6" s="0" t="s">
        <v>14</v>
      </c>
      <c r="AD6" s="0" t="n">
        <v>4.04</v>
      </c>
    </row>
    <row r="7" customFormat="false" ht="15" hidden="false" customHeight="false" outlineLevel="0" collapsed="false">
      <c r="A7" s="0" t="s">
        <v>70</v>
      </c>
      <c r="B7" s="0" t="n">
        <v>2812</v>
      </c>
      <c r="I7" s="0" t="n">
        <v>-21</v>
      </c>
      <c r="J7" s="0" t="n">
        <v>-0.7</v>
      </c>
      <c r="K7" s="0" t="n">
        <v>-0.009</v>
      </c>
      <c r="L7" s="0" t="n">
        <v>1112</v>
      </c>
      <c r="M7" s="0" t="n">
        <v>830</v>
      </c>
      <c r="N7" s="0" t="n">
        <v>282</v>
      </c>
      <c r="O7" s="0" t="n">
        <v>9081</v>
      </c>
      <c r="P7" s="0" t="n">
        <v>19155</v>
      </c>
      <c r="Q7" s="0" t="n">
        <v>10074</v>
      </c>
      <c r="R7" s="0" t="n">
        <v>5022</v>
      </c>
      <c r="S7" s="0" t="n">
        <v>443</v>
      </c>
      <c r="V7" s="0" t="n">
        <v>0.241</v>
      </c>
      <c r="AA7" s="0" t="s">
        <v>17</v>
      </c>
      <c r="AB7" s="0" t="s">
        <v>14</v>
      </c>
      <c r="AD7" s="0" t="n">
        <v>3.77</v>
      </c>
    </row>
    <row r="8" customFormat="false" ht="15" hidden="false" customHeight="false" outlineLevel="0" collapsed="false">
      <c r="A8" s="0" t="s">
        <v>71</v>
      </c>
      <c r="B8" s="0" t="n">
        <v>2756</v>
      </c>
      <c r="I8" s="0" t="n">
        <v>1105</v>
      </c>
      <c r="J8" s="0" t="n">
        <v>40.1</v>
      </c>
      <c r="K8" s="0" t="n">
        <v>0.462</v>
      </c>
      <c r="L8" s="0" t="n">
        <v>1047</v>
      </c>
      <c r="M8" s="0" t="n">
        <v>406</v>
      </c>
      <c r="N8" s="0" t="n">
        <v>641</v>
      </c>
      <c r="O8" s="0" t="n">
        <v>9584</v>
      </c>
      <c r="P8" s="0" t="n">
        <v>19305</v>
      </c>
      <c r="Q8" s="0" t="n">
        <v>9721</v>
      </c>
      <c r="R8" s="0" t="n">
        <v>4754</v>
      </c>
      <c r="S8" s="0" t="n">
        <v>1162</v>
      </c>
      <c r="T8" s="0" t="n">
        <v>2391.8</v>
      </c>
      <c r="V8" s="0" t="n">
        <v>0.246</v>
      </c>
      <c r="AA8" s="0" t="s">
        <v>17</v>
      </c>
      <c r="AB8" s="0" t="s">
        <v>14</v>
      </c>
      <c r="AD8" s="0" t="n">
        <v>3.98</v>
      </c>
    </row>
    <row r="9" customFormat="false" ht="15" hidden="false" customHeight="false" outlineLevel="0" collapsed="false">
      <c r="A9" s="0" t="s">
        <v>72</v>
      </c>
      <c r="B9" s="0" t="n">
        <v>2847</v>
      </c>
      <c r="I9" s="0" t="n">
        <v>1381</v>
      </c>
      <c r="J9" s="0" t="n">
        <v>48.5</v>
      </c>
      <c r="K9" s="0" t="n">
        <v>0.577</v>
      </c>
      <c r="L9" s="0" t="n">
        <v>918</v>
      </c>
      <c r="M9" s="0" t="n">
        <v>627</v>
      </c>
      <c r="N9" s="0" t="n">
        <v>291</v>
      </c>
      <c r="O9" s="0" t="n">
        <v>10361</v>
      </c>
      <c r="P9" s="0" t="n">
        <v>20414</v>
      </c>
      <c r="Q9" s="0" t="n">
        <v>10053</v>
      </c>
      <c r="R9" s="0" t="n">
        <v>4472</v>
      </c>
      <c r="S9" s="0" t="n">
        <v>378</v>
      </c>
      <c r="T9" s="0" t="n">
        <v>2393.4</v>
      </c>
      <c r="V9" s="0" t="n">
        <v>0.266</v>
      </c>
      <c r="AA9" s="0" t="s">
        <v>17</v>
      </c>
      <c r="AB9" s="0" t="s">
        <v>14</v>
      </c>
      <c r="AD9" s="0" t="n">
        <v>4.31</v>
      </c>
    </row>
    <row r="10" customFormat="false" ht="15" hidden="false" customHeight="false" outlineLevel="0" collapsed="false">
      <c r="A10" s="0" t="s">
        <v>73</v>
      </c>
      <c r="B10" s="0" t="n">
        <v>2808</v>
      </c>
      <c r="I10" s="0" t="n">
        <v>440</v>
      </c>
      <c r="J10" s="0" t="n">
        <v>15.7</v>
      </c>
      <c r="K10" s="0" t="n">
        <v>0.183</v>
      </c>
      <c r="L10" s="0" t="n">
        <v>332</v>
      </c>
      <c r="M10" s="0" t="n">
        <v>386</v>
      </c>
      <c r="N10" s="0" t="n">
        <v>-54</v>
      </c>
      <c r="O10" s="0" t="n">
        <v>10176</v>
      </c>
      <c r="P10" s="0" t="n">
        <v>16640</v>
      </c>
      <c r="Q10" s="0" t="n">
        <v>6464</v>
      </c>
      <c r="R10" s="0" t="n">
        <v>3907</v>
      </c>
      <c r="S10" s="0" t="n">
        <v>271</v>
      </c>
      <c r="T10" s="0" t="n">
        <v>2404.4</v>
      </c>
      <c r="V10" s="0" t="n">
        <v>0.262</v>
      </c>
      <c r="AA10" s="0" t="s">
        <v>17</v>
      </c>
      <c r="AB10" s="0" t="s">
        <v>14</v>
      </c>
      <c r="AD10" s="0" t="n">
        <v>4.24</v>
      </c>
    </row>
    <row r="11" customFormat="false" ht="15" hidden="false" customHeight="false" outlineLevel="0" collapsed="false">
      <c r="A11" s="0" t="s">
        <v>74</v>
      </c>
      <c r="B11" s="0" t="n">
        <v>2989</v>
      </c>
      <c r="I11" s="0" t="n">
        <v>305</v>
      </c>
      <c r="J11" s="0" t="n">
        <v>10.2</v>
      </c>
      <c r="K11" s="0" t="n">
        <v>0.127</v>
      </c>
      <c r="L11" s="0" t="n">
        <v>114</v>
      </c>
      <c r="M11" s="0" t="n">
        <v>538</v>
      </c>
      <c r="N11" s="0" t="n">
        <v>-424</v>
      </c>
      <c r="O11" s="0" t="n">
        <v>9893</v>
      </c>
      <c r="P11" s="0" t="n">
        <v>17060</v>
      </c>
      <c r="Q11" s="0" t="n">
        <v>7167</v>
      </c>
      <c r="R11" s="0" t="n">
        <v>4730</v>
      </c>
      <c r="S11" s="0" t="n">
        <v>719</v>
      </c>
      <c r="T11" s="0" t="n">
        <v>2401.6</v>
      </c>
      <c r="V11" s="0" t="n">
        <v>0.246</v>
      </c>
      <c r="AA11" s="0" t="s">
        <v>17</v>
      </c>
      <c r="AB11" s="0" t="s">
        <v>14</v>
      </c>
      <c r="AD11" s="0" t="n">
        <v>4.12</v>
      </c>
    </row>
    <row r="12" customFormat="false" ht="15" hidden="false" customHeight="false" outlineLevel="0" collapsed="false">
      <c r="A12" s="0" t="s">
        <v>75</v>
      </c>
      <c r="B12" s="0" t="n">
        <v>3131</v>
      </c>
      <c r="I12" s="0" t="n">
        <v>826</v>
      </c>
      <c r="J12" s="0" t="n">
        <v>26.4</v>
      </c>
      <c r="K12" s="0" t="n">
        <v>0.343</v>
      </c>
      <c r="L12" s="0" t="n">
        <v>328</v>
      </c>
      <c r="M12" s="0" t="n">
        <v>310</v>
      </c>
      <c r="N12" s="0" t="n">
        <v>18</v>
      </c>
      <c r="O12" s="0" t="n">
        <v>10185</v>
      </c>
      <c r="P12" s="0" t="n">
        <v>17743</v>
      </c>
      <c r="Q12" s="0" t="n">
        <v>7558</v>
      </c>
      <c r="R12" s="0" t="n">
        <v>5179</v>
      </c>
      <c r="S12" s="0" t="n">
        <v>647</v>
      </c>
      <c r="T12" s="0" t="n">
        <v>2408.2</v>
      </c>
      <c r="V12" s="0" t="n">
        <v>0.252</v>
      </c>
      <c r="AA12" s="0" t="s">
        <v>17</v>
      </c>
      <c r="AB12" s="0" t="s">
        <v>14</v>
      </c>
      <c r="AD12" s="0" t="n">
        <v>4.22</v>
      </c>
    </row>
    <row r="13" customFormat="false" ht="15" hidden="false" customHeight="false" outlineLevel="0" collapsed="false">
      <c r="A13" s="0" t="s">
        <v>76</v>
      </c>
      <c r="B13" s="0" t="n">
        <v>3589</v>
      </c>
      <c r="I13" s="0" t="n">
        <v>994</v>
      </c>
      <c r="J13" s="0" t="n">
        <v>27.7</v>
      </c>
      <c r="K13" s="0" t="n">
        <v>0.41</v>
      </c>
      <c r="L13" s="0" t="n">
        <v>876</v>
      </c>
      <c r="M13" s="0" t="n">
        <v>222</v>
      </c>
      <c r="N13" s="0" t="n">
        <v>654</v>
      </c>
      <c r="O13" s="0" t="n">
        <v>10710</v>
      </c>
      <c r="P13" s="0" t="n">
        <v>18816</v>
      </c>
      <c r="Q13" s="0" t="n">
        <v>8106</v>
      </c>
      <c r="R13" s="0" t="n">
        <v>4895</v>
      </c>
      <c r="S13" s="0" t="n">
        <v>796</v>
      </c>
      <c r="T13" s="0" t="n">
        <v>2424.4</v>
      </c>
      <c r="V13" s="0" t="n">
        <v>0.252</v>
      </c>
      <c r="AA13" s="0" t="s">
        <v>17</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4.02</v>
      </c>
    </row>
    <row r="3" customFormat="false" ht="15" hidden="false" customHeight="false" outlineLevel="0" collapsed="false">
      <c r="A3" s="0" t="s">
        <v>80</v>
      </c>
      <c r="B3" s="3" t="n">
        <v>2425.5</v>
      </c>
    </row>
    <row r="4" customFormat="false" ht="15" hidden="false" customHeight="false" outlineLevel="0" collapsed="false">
      <c r="A4" s="0" t="s">
        <v>81</v>
      </c>
      <c r="B4" s="3" t="n">
        <v>0</v>
      </c>
    </row>
    <row r="5" customFormat="false" ht="15" hidden="false" customHeight="false" outlineLevel="0" collapsed="false">
      <c r="A5" s="0" t="s">
        <v>82</v>
      </c>
      <c r="B5" s="3" t="n">
        <v>0</v>
      </c>
    </row>
    <row r="6" customFormat="false" ht="15" hidden="false" customHeight="false" outlineLevel="0" collapsed="false">
      <c r="A6" s="0" t="s">
        <v>83</v>
      </c>
      <c r="B6" s="3" t="n">
        <v>15</v>
      </c>
    </row>
    <row r="7" customFormat="false" ht="15" hidden="false" customHeight="false" outlineLevel="0" collapsed="false">
      <c r="A7" s="0" t="s">
        <v>84</v>
      </c>
      <c r="B7" s="3" t="n">
        <v>3589</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1.5</v>
      </c>
      <c r="D13" s="3" t="n">
        <v>-1</v>
      </c>
      <c r="E13" s="3" t="n">
        <v>-1</v>
      </c>
      <c r="F13" s="3" t="n">
        <v>0.5</v>
      </c>
      <c r="G13" s="3" t="n">
        <v>1</v>
      </c>
      <c r="H13" s="3" t="n">
        <v>1.5</v>
      </c>
      <c r="I13" s="3" t="n">
        <v>1.5</v>
      </c>
      <c r="J13" s="3" t="n">
        <v>1.5</v>
      </c>
      <c r="K13" s="3" t="n">
        <v>1.5</v>
      </c>
      <c r="L13" s="3" t="n">
        <v>1.5</v>
      </c>
    </row>
    <row r="14" customFormat="false" ht="15" hidden="false" customHeight="false" outlineLevel="0" collapsed="false">
      <c r="A14" s="0" t="s">
        <v>101</v>
      </c>
      <c r="C14" s="3" t="n">
        <v>24</v>
      </c>
      <c r="D14" s="3" t="n">
        <v>22.5</v>
      </c>
      <c r="E14" s="3" t="n">
        <v>21.5</v>
      </c>
      <c r="F14" s="3" t="n">
        <v>21</v>
      </c>
      <c r="G14" s="3" t="n">
        <v>21</v>
      </c>
      <c r="H14" s="3" t="n">
        <v>21</v>
      </c>
      <c r="I14" s="3" t="n">
        <v>21</v>
      </c>
      <c r="J14" s="3" t="n">
        <v>21</v>
      </c>
      <c r="K14" s="3" t="n">
        <v>21</v>
      </c>
      <c r="L14" s="3" t="n">
        <v>21</v>
      </c>
    </row>
    <row r="15" customFormat="false" ht="15" hidden="false" customHeight="false" outlineLevel="0" collapsed="false">
      <c r="A15" s="0" t="s">
        <v>102</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8</v>
      </c>
      <c r="D18" s="3" t="n">
        <v>9</v>
      </c>
      <c r="E18" s="3" t="n">
        <v>9</v>
      </c>
      <c r="F18" s="3" t="n">
        <v>9</v>
      </c>
      <c r="G18" s="3" t="n">
        <v>9</v>
      </c>
      <c r="H18" s="3" t="n">
        <v>9</v>
      </c>
      <c r="I18" s="3" t="n">
        <v>9</v>
      </c>
      <c r="J18" s="3" t="n">
        <v>9</v>
      </c>
      <c r="K18" s="3" t="n">
        <v>9</v>
      </c>
      <c r="L18" s="3" t="n">
        <v>9</v>
      </c>
    </row>
    <row r="19" customFormat="false" ht="15" hidden="false" customHeight="false" outlineLevel="0" collapsed="false">
      <c r="A19" s="0" t="s">
        <v>106</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107</v>
      </c>
      <c r="B20" s="3" t="n">
        <v>9.5</v>
      </c>
    </row>
    <row r="21" customFormat="false" ht="15" hidden="false" customHeight="false" outlineLevel="0" collapsed="false">
      <c r="A21" s="0" t="s">
        <v>108</v>
      </c>
      <c r="B21" s="3" t="n">
        <v>1.5</v>
      </c>
    </row>
    <row r="22" customFormat="false" ht="15" hidden="false" customHeight="false" outlineLevel="0" collapsed="false">
      <c r="A22" s="0" t="s">
        <v>109</v>
      </c>
      <c r="B22" s="3" t="n">
        <v>12</v>
      </c>
    </row>
    <row r="23" customFormat="false" ht="15" hidden="false" customHeight="false" outlineLevel="0" collapsed="false">
      <c r="A23" s="0" t="s">
        <v>110</v>
      </c>
      <c r="B23" s="3" t="n">
        <v>0</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4</v>
      </c>
      <c r="D27" s="3" t="n">
        <v>3</v>
      </c>
      <c r="E27" s="3" t="n">
        <v>2</v>
      </c>
      <c r="F27" s="3" t="n">
        <v>1.5</v>
      </c>
      <c r="G27" s="3" t="n">
        <v>1.5</v>
      </c>
      <c r="H27" s="3" t="n">
        <v>2</v>
      </c>
      <c r="I27" s="3" t="n">
        <v>2</v>
      </c>
      <c r="J27" s="3" t="n">
        <v>2</v>
      </c>
      <c r="K27" s="3" t="n">
        <v>2</v>
      </c>
      <c r="L27" s="3" t="n">
        <v>2</v>
      </c>
    </row>
    <row r="28" customFormat="false" ht="15" hidden="false" customHeight="false" outlineLevel="0" collapsed="false">
      <c r="A28" s="0" t="s">
        <v>101</v>
      </c>
      <c r="C28" s="3" t="n">
        <v>25</v>
      </c>
      <c r="D28" s="3" t="n">
        <v>24.8</v>
      </c>
      <c r="E28" s="3" t="n">
        <v>24.6</v>
      </c>
      <c r="F28" s="3" t="n">
        <v>24.5</v>
      </c>
      <c r="G28" s="3" t="n">
        <v>24.5</v>
      </c>
      <c r="H28" s="3" t="n">
        <v>24.5</v>
      </c>
      <c r="I28" s="3" t="n">
        <v>24.5</v>
      </c>
      <c r="J28" s="3" t="n">
        <v>24.5</v>
      </c>
      <c r="K28" s="3" t="n">
        <v>24.5</v>
      </c>
      <c r="L28" s="3" t="n">
        <v>24.5</v>
      </c>
    </row>
    <row r="29" customFormat="false" ht="15" hidden="false" customHeight="false" outlineLevel="0" collapsed="false">
      <c r="A29" s="0" t="s">
        <v>102</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7</v>
      </c>
      <c r="D32" s="3" t="n">
        <v>7</v>
      </c>
      <c r="E32" s="3" t="n">
        <v>7</v>
      </c>
      <c r="F32" s="3" t="n">
        <v>7</v>
      </c>
      <c r="G32" s="3" t="n">
        <v>7</v>
      </c>
      <c r="H32" s="3" t="n">
        <v>7</v>
      </c>
      <c r="I32" s="3" t="n">
        <v>7</v>
      </c>
      <c r="J32" s="3" t="n">
        <v>7</v>
      </c>
      <c r="K32" s="3" t="n">
        <v>7</v>
      </c>
      <c r="L32" s="3" t="n">
        <v>7</v>
      </c>
    </row>
    <row r="33" customFormat="false" ht="15" hidden="false" customHeight="false" outlineLevel="0" collapsed="false">
      <c r="A33" s="0" t="s">
        <v>106</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107</v>
      </c>
      <c r="B34" s="3" t="n">
        <v>9</v>
      </c>
    </row>
    <row r="35" customFormat="false" ht="15" hidden="false" customHeight="false" outlineLevel="0" collapsed="false">
      <c r="A35" s="0" t="s">
        <v>108</v>
      </c>
      <c r="B35" s="3" t="n">
        <v>2.5</v>
      </c>
    </row>
    <row r="36" customFormat="false" ht="15" hidden="false" customHeight="false" outlineLevel="0" collapsed="false">
      <c r="A36" s="0" t="s">
        <v>109</v>
      </c>
      <c r="B36" s="3" t="n">
        <v>17</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5</v>
      </c>
      <c r="D41" s="3" t="n">
        <v>5</v>
      </c>
      <c r="E41" s="3" t="n">
        <v>4.5</v>
      </c>
      <c r="F41" s="3" t="n">
        <v>4</v>
      </c>
      <c r="G41" s="3" t="n">
        <v>3.5</v>
      </c>
      <c r="H41" s="3" t="n">
        <v>3</v>
      </c>
      <c r="I41" s="3" t="n">
        <v>3</v>
      </c>
      <c r="J41" s="3" t="n">
        <v>3</v>
      </c>
      <c r="K41" s="3" t="n">
        <v>3</v>
      </c>
      <c r="L41" s="3" t="n">
        <v>3</v>
      </c>
    </row>
    <row r="42" customFormat="false" ht="15" hidden="false" customHeight="false" outlineLevel="0" collapsed="false">
      <c r="A42" s="0" t="s">
        <v>101</v>
      </c>
      <c r="C42" s="3" t="n">
        <v>25.3</v>
      </c>
      <c r="D42" s="3" t="n">
        <v>25.6</v>
      </c>
      <c r="E42" s="3" t="n">
        <v>26</v>
      </c>
      <c r="F42" s="3" t="n">
        <v>26.3</v>
      </c>
      <c r="G42" s="3" t="n">
        <v>26.5</v>
      </c>
      <c r="H42" s="3" t="n">
        <v>26.7</v>
      </c>
      <c r="I42" s="3" t="n">
        <v>26.8</v>
      </c>
      <c r="J42" s="3" t="n">
        <v>27</v>
      </c>
      <c r="K42" s="3" t="n">
        <v>27</v>
      </c>
      <c r="L42" s="3" t="n">
        <v>27</v>
      </c>
    </row>
    <row r="43" customFormat="false" ht="15" hidden="false" customHeight="false" outlineLevel="0" collapsed="false">
      <c r="A43" s="0" t="s">
        <v>102</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6</v>
      </c>
      <c r="D46" s="3" t="n">
        <v>6</v>
      </c>
      <c r="E46" s="3" t="n">
        <v>6</v>
      </c>
      <c r="F46" s="3" t="n">
        <v>5.5</v>
      </c>
      <c r="G46" s="3" t="n">
        <v>5.5</v>
      </c>
      <c r="H46" s="3" t="n">
        <v>5.5</v>
      </c>
      <c r="I46" s="3" t="n">
        <v>5.5</v>
      </c>
      <c r="J46" s="3" t="n">
        <v>5.5</v>
      </c>
      <c r="K46" s="3" t="n">
        <v>5.5</v>
      </c>
      <c r="L46" s="3" t="n">
        <v>5.5</v>
      </c>
    </row>
    <row r="47" customFormat="false" ht="15" hidden="false" customHeight="false" outlineLevel="0" collapsed="false">
      <c r="A47" s="0" t="s">
        <v>106</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107</v>
      </c>
      <c r="B48" s="3" t="n">
        <v>9</v>
      </c>
    </row>
    <row r="49" customFormat="false" ht="15" hidden="false" customHeight="false" outlineLevel="0" collapsed="false">
      <c r="A49" s="0" t="s">
        <v>108</v>
      </c>
      <c r="B49" s="3" t="n">
        <v>3</v>
      </c>
    </row>
    <row r="50" customFormat="false" ht="15" hidden="false" customHeight="false" outlineLevel="0" collapsed="false">
      <c r="A50" s="0" t="s">
        <v>109</v>
      </c>
      <c r="B50" s="3" t="n">
        <v>19</v>
      </c>
    </row>
    <row r="51" customFormat="false" ht="15" hidden="false" customHeight="false" outlineLevel="0" collapsed="false">
      <c r="A51" s="0" t="s">
        <v>110</v>
      </c>
      <c r="B51" s="3" t="n">
        <v>0</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1.5</v>
      </c>
      <c r="D5" s="4" t="n">
        <f aca="false">Assumptions!D13</f>
        <v>-1</v>
      </c>
      <c r="E5" s="4" t="n">
        <f aca="false">Assumptions!E13</f>
        <v>-1</v>
      </c>
      <c r="F5" s="4" t="n">
        <f aca="false">Assumptions!F13</f>
        <v>0.5</v>
      </c>
      <c r="G5" s="4" t="n">
        <f aca="false">Assumptions!G13</f>
        <v>1</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3589</v>
      </c>
      <c r="C6" s="0" t="n">
        <f aca="false">B6*(1+C5/100)</f>
        <v>3642.835</v>
      </c>
      <c r="D6" s="0" t="n">
        <f aca="false">C6*(1+D5/100)</f>
        <v>3606.40665</v>
      </c>
      <c r="E6" s="0" t="n">
        <f aca="false">D6*(1+E5/100)</f>
        <v>3570.3425835</v>
      </c>
      <c r="F6" s="0" t="n">
        <f aca="false">E6*(1+F5/100)</f>
        <v>3588.1942964175</v>
      </c>
      <c r="G6" s="0" t="n">
        <f aca="false">F6*(1+G5/100)</f>
        <v>3624.07623938167</v>
      </c>
      <c r="H6" s="0" t="n">
        <f aca="false">G6*(1+H5/100)</f>
        <v>3678.4373829724</v>
      </c>
      <c r="I6" s="0" t="n">
        <f aca="false">H6*(1+I5/100)</f>
        <v>3733.61394371698</v>
      </c>
      <c r="J6" s="0" t="n">
        <f aca="false">I6*(1+J5/100)</f>
        <v>3789.61815287274</v>
      </c>
      <c r="K6" s="0" t="n">
        <f aca="false">J6*(1+K5/100)</f>
        <v>3846.46242516583</v>
      </c>
      <c r="L6" s="0" t="n">
        <f aca="false">K6*(1+L5/100)</f>
        <v>3904.15936154332</v>
      </c>
    </row>
    <row r="7" customFormat="false" ht="15" hidden="false" customHeight="false" outlineLevel="0" collapsed="false">
      <c r="A7" s="0" t="s">
        <v>101</v>
      </c>
      <c r="C7" s="4" t="n">
        <f aca="false">Assumptions!C14</f>
        <v>24</v>
      </c>
      <c r="D7" s="4" t="n">
        <f aca="false">Assumptions!D14</f>
        <v>22.5</v>
      </c>
      <c r="E7" s="4" t="n">
        <f aca="false">Assumptions!E14</f>
        <v>21.5</v>
      </c>
      <c r="F7" s="4" t="n">
        <f aca="false">Assumptions!F14</f>
        <v>21</v>
      </c>
      <c r="G7" s="4" t="n">
        <f aca="false">Assumptions!G14</f>
        <v>21</v>
      </c>
      <c r="H7" s="4" t="n">
        <f aca="false">Assumptions!H14</f>
        <v>21</v>
      </c>
      <c r="I7" s="4" t="n">
        <f aca="false">Assumptions!I14</f>
        <v>21</v>
      </c>
      <c r="J7" s="4" t="n">
        <f aca="false">Assumptions!J14</f>
        <v>21</v>
      </c>
      <c r="K7" s="4" t="n">
        <f aca="false">Assumptions!K14</f>
        <v>21</v>
      </c>
      <c r="L7" s="4" t="n">
        <f aca="false">Assumptions!L14</f>
        <v>21</v>
      </c>
    </row>
    <row r="8" customFormat="false" ht="15" hidden="false" customHeight="false" outlineLevel="0" collapsed="false">
      <c r="A8" s="0" t="s">
        <v>43</v>
      </c>
      <c r="C8" s="0" t="n">
        <f aca="false">C6*C7/100</f>
        <v>874.2804</v>
      </c>
      <c r="D8" s="0" t="n">
        <f aca="false">D6*D7/100</f>
        <v>811.44149625</v>
      </c>
      <c r="E8" s="0" t="n">
        <f aca="false">E6*E7/100</f>
        <v>767.6236554525</v>
      </c>
      <c r="F8" s="0" t="n">
        <f aca="false">F6*F7/100</f>
        <v>753.520802247675</v>
      </c>
      <c r="G8" s="0" t="n">
        <f aca="false">G6*G7/100</f>
        <v>761.056010270152</v>
      </c>
      <c r="H8" s="0" t="n">
        <f aca="false">H6*H7/100</f>
        <v>772.471850424204</v>
      </c>
      <c r="I8" s="0" t="n">
        <f aca="false">I6*I7/100</f>
        <v>784.058928180567</v>
      </c>
      <c r="J8" s="0" t="n">
        <f aca="false">J6*J7/100</f>
        <v>795.819812103275</v>
      </c>
      <c r="K8" s="0" t="n">
        <f aca="false">K6*K7/100</f>
        <v>807.757109284824</v>
      </c>
      <c r="L8" s="0" t="n">
        <f aca="false">L6*L7/100</f>
        <v>819.873465924096</v>
      </c>
    </row>
    <row r="9" customFormat="false" ht="15" hidden="false" customHeight="false" outlineLevel="0" collapsed="false">
      <c r="A9" s="0" t="s">
        <v>102</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874.2804</v>
      </c>
      <c r="D11" s="0" t="n">
        <f aca="false">D8+D10+D24</f>
        <v>811.44149625</v>
      </c>
      <c r="E11" s="0" t="n">
        <f aca="false">E8+E10+E24</f>
        <v>767.6236554525</v>
      </c>
      <c r="F11" s="0" t="n">
        <f aca="false">F8+F10+F24</f>
        <v>753.520802247675</v>
      </c>
      <c r="G11" s="0" t="n">
        <f aca="false">G8+G10+G24</f>
        <v>761.056010270152</v>
      </c>
      <c r="H11" s="0" t="n">
        <f aca="false">H8+H10+H24</f>
        <v>772.471850424204</v>
      </c>
      <c r="I11" s="0" t="n">
        <f aca="false">I8+I10+I24</f>
        <v>784.058928180567</v>
      </c>
      <c r="J11" s="0" t="n">
        <f aca="false">J8+J10+J24</f>
        <v>795.819812103275</v>
      </c>
      <c r="K11" s="0" t="n">
        <f aca="false">K8+K10+K24</f>
        <v>807.757109284824</v>
      </c>
      <c r="L11" s="0" t="n">
        <f aca="false">L8+L10+L24</f>
        <v>819.873465924096</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874.2804</v>
      </c>
      <c r="D13" s="0" t="n">
        <f aca="false">D11+D12</f>
        <v>811.44149625</v>
      </c>
      <c r="E13" s="0" t="n">
        <f aca="false">E11+E12</f>
        <v>767.6236554525</v>
      </c>
      <c r="F13" s="0" t="n">
        <f aca="false">F11+F12</f>
        <v>753.520802247675</v>
      </c>
      <c r="G13" s="0" t="n">
        <f aca="false">G11+G12</f>
        <v>761.056010270152</v>
      </c>
      <c r="H13" s="0" t="n">
        <f aca="false">H11+H12</f>
        <v>772.471850424204</v>
      </c>
      <c r="I13" s="0" t="n">
        <f aca="false">I11+I12</f>
        <v>784.058928180567</v>
      </c>
      <c r="J13" s="0" t="n">
        <f aca="false">J11+J12</f>
        <v>795.819812103275</v>
      </c>
      <c r="K13" s="0" t="n">
        <f aca="false">K11+K12</f>
        <v>807.757109284824</v>
      </c>
      <c r="L13" s="0" t="n">
        <f aca="false">L11+L12</f>
        <v>819.873465924096</v>
      </c>
    </row>
    <row r="14" customFormat="false" ht="15" hidden="false" customHeight="false" outlineLevel="0" collapsed="false">
      <c r="A14" s="0" t="s">
        <v>106</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121</v>
      </c>
      <c r="C15" s="0" t="n">
        <f aca="false">C13-MAX(0,C13)*C14/100</f>
        <v>874.2804</v>
      </c>
      <c r="D15" s="0" t="n">
        <f aca="false">D13-MAX(0,D13)*D14/100</f>
        <v>811.44149625</v>
      </c>
      <c r="E15" s="0" t="n">
        <f aca="false">E13-MAX(0,E13)*E14/100</f>
        <v>767.6236554525</v>
      </c>
      <c r="F15" s="0" t="n">
        <f aca="false">F13-MAX(0,F13)*F14/100</f>
        <v>753.520802247675</v>
      </c>
      <c r="G15" s="0" t="n">
        <f aca="false">G13-MAX(0,G13)*G14/100</f>
        <v>761.056010270152</v>
      </c>
      <c r="H15" s="0" t="n">
        <f aca="false">H13-MAX(0,H13)*H14/100</f>
        <v>772.471850424204</v>
      </c>
      <c r="I15" s="0" t="n">
        <f aca="false">I13-MAX(0,I13)*I14/100</f>
        <v>784.058928180567</v>
      </c>
      <c r="J15" s="0" t="n">
        <f aca="false">J13-MAX(0,J13)*J14/100</f>
        <v>795.819812103275</v>
      </c>
      <c r="K15" s="0" t="n">
        <f aca="false">K13-MAX(0,K13)*K14/100</f>
        <v>807.757109284824</v>
      </c>
      <c r="L15" s="0" t="n">
        <f aca="false">L13-MAX(0,L13)*L14/100</f>
        <v>819.873465924096</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-291.4268</v>
      </c>
      <c r="D17" s="4" t="n">
        <f aca="false">-D6*Assumptions!D18/100</f>
        <v>-324.5765985</v>
      </c>
      <c r="E17" s="4" t="n">
        <f aca="false">-E6*Assumptions!E18/100</f>
        <v>-321.330832515</v>
      </c>
      <c r="F17" s="4" t="n">
        <f aca="false">-F6*Assumptions!F18/100</f>
        <v>-322.937486677575</v>
      </c>
      <c r="G17" s="4" t="n">
        <f aca="false">-G6*Assumptions!G18/100</f>
        <v>-326.166861544351</v>
      </c>
      <c r="H17" s="4" t="n">
        <f aca="false">-H6*Assumptions!H18/100</f>
        <v>-331.059364467516</v>
      </c>
      <c r="I17" s="4" t="n">
        <f aca="false">-I6*Assumptions!I18/100</f>
        <v>-336.025254934529</v>
      </c>
      <c r="J17" s="4" t="n">
        <f aca="false">-J6*Assumptions!J18/100</f>
        <v>-341.065633758547</v>
      </c>
      <c r="K17" s="4" t="n">
        <f aca="false">-K6*Assumptions!K18/100</f>
        <v>-346.181618264925</v>
      </c>
      <c r="L17" s="4" t="n">
        <f aca="false">-L6*Assumptions!L18/100</f>
        <v>-351.374342538899</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582.8536</v>
      </c>
      <c r="D19" s="0" t="n">
        <f aca="false">D15+D16+D17+D18</f>
        <v>486.86489775</v>
      </c>
      <c r="E19" s="0" t="n">
        <f aca="false">E15+E16+E17+E18</f>
        <v>446.2928229375</v>
      </c>
      <c r="F19" s="0" t="n">
        <f aca="false">F15+F16+F17+F18</f>
        <v>430.5833155701</v>
      </c>
      <c r="G19" s="0" t="n">
        <f aca="false">G15+G16+G17+G18</f>
        <v>434.889148725801</v>
      </c>
      <c r="H19" s="0" t="n">
        <f aca="false">H15+H16+H17+H18</f>
        <v>441.412485956688</v>
      </c>
      <c r="I19" s="0" t="n">
        <f aca="false">I15+I16+I17+I18</f>
        <v>448.033673246038</v>
      </c>
      <c r="J19" s="0" t="n">
        <f aca="false">J15+J16+J17+J18</f>
        <v>454.754178344729</v>
      </c>
      <c r="K19" s="0" t="n">
        <f aca="false">K15+K16+K17+K18</f>
        <v>461.575491019899</v>
      </c>
      <c r="L19" s="0" t="n">
        <f aca="false">L15+L16+L17+L18</f>
        <v>468.499123385198</v>
      </c>
    </row>
    <row r="20" customFormat="false" ht="15" hidden="false" customHeight="false" outlineLevel="0" collapsed="false">
      <c r="A20" s="0" t="s">
        <v>126</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127</v>
      </c>
      <c r="C21" s="0" t="n">
        <f aca="false">C19*C20</f>
        <v>532.286392694064</v>
      </c>
      <c r="D21" s="0" t="n">
        <f aca="false">D19*D20</f>
        <v>406.050664289735</v>
      </c>
      <c r="E21" s="0" t="n">
        <f aca="false">E19*E20</f>
        <v>339.920647426719</v>
      </c>
      <c r="F21" s="0" t="n">
        <f aca="false">F19*F20</f>
        <v>299.502685513515</v>
      </c>
      <c r="G21" s="0" t="n">
        <f aca="false">G19*G20</f>
        <v>276.253618601507</v>
      </c>
      <c r="H21" s="0" t="n">
        <f aca="false">H19*H20</f>
        <v>256.070705826967</v>
      </c>
      <c r="I21" s="0" t="n">
        <f aca="false">I19*I20</f>
        <v>237.362343757417</v>
      </c>
      <c r="J21" s="0" t="n">
        <f aca="false">J19*J20</f>
        <v>220.020802660985</v>
      </c>
      <c r="K21" s="0" t="n">
        <f aca="false">K19*K20</f>
        <v>203.946223471141</v>
      </c>
      <c r="L21" s="0" t="n">
        <f aca="false">L19*L20</f>
        <v>189.046042760921</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9.5</v>
      </c>
    </row>
    <row r="28" customFormat="false" ht="15" hidden="false" customHeight="false" outlineLevel="0" collapsed="false">
      <c r="A28" s="0" t="s">
        <v>108</v>
      </c>
      <c r="B28" s="4" t="n">
        <f aca="false">Assumptions!$B$21</f>
        <v>1.5</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2960.46012700297</v>
      </c>
    </row>
    <row r="31" customFormat="false" ht="15" hidden="false" customHeight="false" outlineLevel="0" collapsed="false">
      <c r="A31" s="0" t="s">
        <v>131</v>
      </c>
      <c r="B31" s="0" t="n">
        <f aca="false">L19</f>
        <v>468.499123385198</v>
      </c>
    </row>
    <row r="32" customFormat="false" ht="15" hidden="false" customHeight="false" outlineLevel="0" collapsed="false">
      <c r="A32" s="0" t="s">
        <v>132</v>
      </c>
      <c r="B32" s="0" t="n">
        <f aca="false">IF(B27&gt;B28,B31*(1+B28/100)/((B27-B28)/100),B31*B29)</f>
        <v>5944.0826279497</v>
      </c>
    </row>
    <row r="33" customFormat="false" ht="15" hidden="false" customHeight="false" outlineLevel="0" collapsed="false">
      <c r="A33" s="0" t="s">
        <v>133</v>
      </c>
      <c r="B33" s="0" t="n">
        <f aca="false">B31*B29</f>
        <v>5621.98948062238</v>
      </c>
    </row>
    <row r="34" customFormat="false" ht="15" hidden="false" customHeight="false" outlineLevel="0" collapsed="false">
      <c r="A34" s="0" t="s">
        <v>134</v>
      </c>
      <c r="B34" s="0" t="n">
        <f aca="false">MAX(0,MIN(B32,B33))</f>
        <v>5621.98948062238</v>
      </c>
    </row>
    <row r="35" customFormat="false" ht="15" hidden="false" customHeight="false" outlineLevel="0" collapsed="false">
      <c r="A35" s="0" t="s">
        <v>135</v>
      </c>
      <c r="B35" s="0" t="n">
        <f aca="false">B34/(1+B27/100)^L4</f>
        <v>2268.55251313105</v>
      </c>
    </row>
    <row r="36" customFormat="false" ht="15" hidden="false" customHeight="false" outlineLevel="0" collapsed="false">
      <c r="A36" s="0" t="s">
        <v>136</v>
      </c>
      <c r="B36" s="0" t="n">
        <f aca="false">B30+B35</f>
        <v>5229.01264013402</v>
      </c>
    </row>
    <row r="37" customFormat="false" ht="15" hidden="false" customHeight="false" outlineLevel="0" collapsed="false">
      <c r="A37" s="0" t="s">
        <v>137</v>
      </c>
      <c r="B37" s="0" t="n">
        <f aca="false">B36+Assumptions!$B$5-Assumptions!$B$4</f>
        <v>5229.01264013402</v>
      </c>
    </row>
    <row r="38" customFormat="false" ht="15" hidden="false" customHeight="false" outlineLevel="0" collapsed="false">
      <c r="A38" s="0" t="s">
        <v>138</v>
      </c>
      <c r="B38" s="0" t="n">
        <f aca="false">B37/Assumptions!$B$3*Assumptions!$B$10</f>
        <v>2.15584936719605</v>
      </c>
    </row>
    <row r="39" customFormat="false" ht="15" hidden="false" customHeight="false" outlineLevel="0" collapsed="false">
      <c r="A39" s="0" t="s">
        <v>139</v>
      </c>
      <c r="B39" s="4" t="n">
        <f aca="false">B38/Assumptions!$B$2-1</f>
        <v>-0.463719062886554</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2.15584936719605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3522.4193350813</v>
      </c>
    </row>
    <row r="47" customFormat="false" ht="15" hidden="false" customHeight="false" outlineLevel="0" collapsed="false">
      <c r="A47" s="0" t="s">
        <v>144</v>
      </c>
      <c r="B47" s="0" t="n">
        <f aca="false">(SUMPRODUCT(C19:L19/(1+B45/100)^C4:L4)+B46/(1+B45/100)^L4+Assumptions!$B$5-Assumptions!$B$4)/Assumptions!$B$3*Assumptions!$B$10</f>
        <v>1.34258822740345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4</v>
      </c>
      <c r="D5" s="4" t="n">
        <f aca="false">Assumptions!D27</f>
        <v>3</v>
      </c>
      <c r="E5" s="4" t="n">
        <f aca="false">Assumptions!E27</f>
        <v>2</v>
      </c>
      <c r="F5" s="4" t="n">
        <f aca="false">Assumptions!F27</f>
        <v>1.5</v>
      </c>
      <c r="G5" s="4" t="n">
        <f aca="false">Assumptions!G27</f>
        <v>1.5</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37</v>
      </c>
      <c r="B6" s="3" t="n">
        <v>3589</v>
      </c>
      <c r="C6" s="0" t="n">
        <f aca="false">B6*(1+C5/100)</f>
        <v>3732.56</v>
      </c>
      <c r="D6" s="0" t="n">
        <f aca="false">C6*(1+D5/100)</f>
        <v>3844.5368</v>
      </c>
      <c r="E6" s="0" t="n">
        <f aca="false">D6*(1+E5/100)</f>
        <v>3921.427536</v>
      </c>
      <c r="F6" s="0" t="n">
        <f aca="false">E6*(1+F5/100)</f>
        <v>3980.24894904</v>
      </c>
      <c r="G6" s="0" t="n">
        <f aca="false">F6*(1+G5/100)</f>
        <v>4039.9526832756</v>
      </c>
      <c r="H6" s="0" t="n">
        <f aca="false">G6*(1+H5/100)</f>
        <v>4120.75173694111</v>
      </c>
      <c r="I6" s="0" t="n">
        <f aca="false">H6*(1+I5/100)</f>
        <v>4203.16677167993</v>
      </c>
      <c r="J6" s="0" t="n">
        <f aca="false">I6*(1+J5/100)</f>
        <v>4287.23010711353</v>
      </c>
      <c r="K6" s="0" t="n">
        <f aca="false">J6*(1+K5/100)</f>
        <v>4372.9747092558</v>
      </c>
      <c r="L6" s="0" t="n">
        <f aca="false">K6*(1+L5/100)</f>
        <v>4460.43420344092</v>
      </c>
    </row>
    <row r="7" customFormat="false" ht="15" hidden="false" customHeight="false" outlineLevel="0" collapsed="false">
      <c r="A7" s="0" t="s">
        <v>101</v>
      </c>
      <c r="C7" s="4" t="n">
        <f aca="false">Assumptions!C28</f>
        <v>25</v>
      </c>
      <c r="D7" s="4" t="n">
        <f aca="false">Assumptions!D28</f>
        <v>24.8</v>
      </c>
      <c r="E7" s="4" t="n">
        <f aca="false">Assumptions!E28</f>
        <v>24.6</v>
      </c>
      <c r="F7" s="4" t="n">
        <f aca="false">Assumptions!F28</f>
        <v>24.5</v>
      </c>
      <c r="G7" s="4" t="n">
        <f aca="false">Assumptions!G28</f>
        <v>24.5</v>
      </c>
      <c r="H7" s="4" t="n">
        <f aca="false">Assumptions!H28</f>
        <v>24.5</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43</v>
      </c>
      <c r="C8" s="0" t="n">
        <f aca="false">C6*C7/100</f>
        <v>933.14</v>
      </c>
      <c r="D8" s="0" t="n">
        <f aca="false">D6*D7/100</f>
        <v>953.4451264</v>
      </c>
      <c r="E8" s="0" t="n">
        <f aca="false">E6*E7/100</f>
        <v>964.671173856</v>
      </c>
      <c r="F8" s="0" t="n">
        <f aca="false">F6*F7/100</f>
        <v>975.1609925148</v>
      </c>
      <c r="G8" s="0" t="n">
        <f aca="false">G6*G7/100</f>
        <v>989.788407402522</v>
      </c>
      <c r="H8" s="0" t="n">
        <f aca="false">H6*H7/100</f>
        <v>1009.58417555057</v>
      </c>
      <c r="I8" s="0" t="n">
        <f aca="false">I6*I7/100</f>
        <v>1029.77585906158</v>
      </c>
      <c r="J8" s="0" t="n">
        <f aca="false">J6*J7/100</f>
        <v>1050.37137624282</v>
      </c>
      <c r="K8" s="0" t="n">
        <f aca="false">K6*K7/100</f>
        <v>1071.37880376767</v>
      </c>
      <c r="L8" s="0" t="n">
        <f aca="false">L6*L7/100</f>
        <v>1092.80637984303</v>
      </c>
    </row>
    <row r="9" customFormat="false" ht="15" hidden="false" customHeight="false" outlineLevel="0" collapsed="false">
      <c r="A9" s="0" t="s">
        <v>102</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933.14</v>
      </c>
      <c r="D11" s="0" t="n">
        <f aca="false">D8+D10+D24</f>
        <v>953.4451264</v>
      </c>
      <c r="E11" s="0" t="n">
        <f aca="false">E8+E10+E24</f>
        <v>964.671173856</v>
      </c>
      <c r="F11" s="0" t="n">
        <f aca="false">F8+F10+F24</f>
        <v>975.1609925148</v>
      </c>
      <c r="G11" s="0" t="n">
        <f aca="false">G8+G10+G24</f>
        <v>989.788407402522</v>
      </c>
      <c r="H11" s="0" t="n">
        <f aca="false">H8+H10+H24</f>
        <v>1009.58417555057</v>
      </c>
      <c r="I11" s="0" t="n">
        <f aca="false">I8+I10+I24</f>
        <v>1029.77585906158</v>
      </c>
      <c r="J11" s="0" t="n">
        <f aca="false">J8+J10+J24</f>
        <v>1050.37137624282</v>
      </c>
      <c r="K11" s="0" t="n">
        <f aca="false">K8+K10+K24</f>
        <v>1071.37880376767</v>
      </c>
      <c r="L11" s="0" t="n">
        <f aca="false">L8+L10+L24</f>
        <v>1092.80637984303</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933.14</v>
      </c>
      <c r="D13" s="0" t="n">
        <f aca="false">D11+D12</f>
        <v>953.4451264</v>
      </c>
      <c r="E13" s="0" t="n">
        <f aca="false">E11+E12</f>
        <v>964.671173856</v>
      </c>
      <c r="F13" s="0" t="n">
        <f aca="false">F11+F12</f>
        <v>975.1609925148</v>
      </c>
      <c r="G13" s="0" t="n">
        <f aca="false">G11+G12</f>
        <v>989.788407402522</v>
      </c>
      <c r="H13" s="0" t="n">
        <f aca="false">H11+H12</f>
        <v>1009.58417555057</v>
      </c>
      <c r="I13" s="0" t="n">
        <f aca="false">I11+I12</f>
        <v>1029.77585906158</v>
      </c>
      <c r="J13" s="0" t="n">
        <f aca="false">J11+J12</f>
        <v>1050.37137624282</v>
      </c>
      <c r="K13" s="0" t="n">
        <f aca="false">K11+K12</f>
        <v>1071.37880376767</v>
      </c>
      <c r="L13" s="0" t="n">
        <f aca="false">L11+L12</f>
        <v>1092.80637984303</v>
      </c>
    </row>
    <row r="14" customFormat="false" ht="15" hidden="false" customHeight="false" outlineLevel="0" collapsed="false">
      <c r="A14" s="0" t="s">
        <v>106</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121</v>
      </c>
      <c r="C15" s="0" t="n">
        <f aca="false">C13-MAX(0,C13)*C14/100</f>
        <v>933.14</v>
      </c>
      <c r="D15" s="0" t="n">
        <f aca="false">D13-MAX(0,D13)*D14/100</f>
        <v>953.4451264</v>
      </c>
      <c r="E15" s="0" t="n">
        <f aca="false">E13-MAX(0,E13)*E14/100</f>
        <v>964.671173856</v>
      </c>
      <c r="F15" s="0" t="n">
        <f aca="false">F13-MAX(0,F13)*F14/100</f>
        <v>975.1609925148</v>
      </c>
      <c r="G15" s="0" t="n">
        <f aca="false">G13-MAX(0,G13)*G14/100</f>
        <v>989.788407402522</v>
      </c>
      <c r="H15" s="0" t="n">
        <f aca="false">H13-MAX(0,H13)*H14/100</f>
        <v>1009.58417555057</v>
      </c>
      <c r="I15" s="0" t="n">
        <f aca="false">I13-MAX(0,I13)*I14/100</f>
        <v>1029.77585906158</v>
      </c>
      <c r="J15" s="0" t="n">
        <f aca="false">J13-MAX(0,J13)*J14/100</f>
        <v>1050.37137624282</v>
      </c>
      <c r="K15" s="0" t="n">
        <f aca="false">K13-MAX(0,K13)*K14/100</f>
        <v>1071.37880376767</v>
      </c>
      <c r="L15" s="0" t="n">
        <f aca="false">L13-MAX(0,L13)*L14/100</f>
        <v>1092.80637984303</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-261.2792</v>
      </c>
      <c r="D17" s="4" t="n">
        <f aca="false">-D6*Assumptions!D32/100</f>
        <v>-269.117576</v>
      </c>
      <c r="E17" s="4" t="n">
        <f aca="false">-E6*Assumptions!E32/100</f>
        <v>-274.49992752</v>
      </c>
      <c r="F17" s="4" t="n">
        <f aca="false">-F6*Assumptions!F32/100</f>
        <v>-278.6174264328</v>
      </c>
      <c r="G17" s="4" t="n">
        <f aca="false">-G6*Assumptions!G32/100</f>
        <v>-282.796687829292</v>
      </c>
      <c r="H17" s="4" t="n">
        <f aca="false">-H6*Assumptions!H32/100</f>
        <v>-288.452621585878</v>
      </c>
      <c r="I17" s="4" t="n">
        <f aca="false">-I6*Assumptions!I32/100</f>
        <v>-294.221674017595</v>
      </c>
      <c r="J17" s="4" t="n">
        <f aca="false">-J6*Assumptions!J32/100</f>
        <v>-300.106107497947</v>
      </c>
      <c r="K17" s="4" t="n">
        <f aca="false">-K6*Assumptions!K32/100</f>
        <v>-306.108229647906</v>
      </c>
      <c r="L17" s="4" t="n">
        <f aca="false">-L6*Assumptions!L32/100</f>
        <v>-312.230394240864</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671.8608</v>
      </c>
      <c r="D19" s="0" t="n">
        <f aca="false">D15+D16+D17+D18</f>
        <v>684.3275504</v>
      </c>
      <c r="E19" s="0" t="n">
        <f aca="false">E15+E16+E17+E18</f>
        <v>690.171246336</v>
      </c>
      <c r="F19" s="0" t="n">
        <f aca="false">F15+F16+F17+F18</f>
        <v>696.543566082</v>
      </c>
      <c r="G19" s="0" t="n">
        <f aca="false">G15+G16+G17+G18</f>
        <v>706.99171957323</v>
      </c>
      <c r="H19" s="0" t="n">
        <f aca="false">H15+H16+H17+H18</f>
        <v>721.131553964695</v>
      </c>
      <c r="I19" s="0" t="n">
        <f aca="false">I15+I16+I17+I18</f>
        <v>735.554185043988</v>
      </c>
      <c r="J19" s="0" t="n">
        <f aca="false">J15+J16+J17+J18</f>
        <v>750.265268744868</v>
      </c>
      <c r="K19" s="0" t="n">
        <f aca="false">K15+K16+K17+K18</f>
        <v>765.270574119766</v>
      </c>
      <c r="L19" s="0" t="n">
        <f aca="false">L15+L16+L17+L18</f>
        <v>780.575985602161</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616.386055045871</v>
      </c>
      <c r="D21" s="0" t="n">
        <f aca="false">D19*D20</f>
        <v>575.984808012794</v>
      </c>
      <c r="E21" s="0" t="n">
        <f aca="false">E19*E20</f>
        <v>532.938834833815</v>
      </c>
      <c r="F21" s="0" t="n">
        <f aca="false">F19*F20</f>
        <v>493.449022817745</v>
      </c>
      <c r="G21" s="0" t="n">
        <f aca="false">G19*G20</f>
        <v>459.49610840368</v>
      </c>
      <c r="H21" s="0" t="n">
        <f aca="false">H19*H20</f>
        <v>429.987184010783</v>
      </c>
      <c r="I21" s="0" t="n">
        <f aca="false">I19*I20</f>
        <v>402.37332815688</v>
      </c>
      <c r="J21" s="0" t="n">
        <f aca="false">J19*J20</f>
        <v>376.532839192676</v>
      </c>
      <c r="K21" s="0" t="n">
        <f aca="false">K19*K20</f>
        <v>352.351831171129</v>
      </c>
      <c r="L21" s="0" t="n">
        <f aca="false">L19*L20</f>
        <v>329.723731921606</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9</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17</v>
      </c>
    </row>
    <row r="30" customFormat="false" ht="15" hidden="false" customHeight="false" outlineLevel="0" collapsed="false">
      <c r="A30" s="0" t="s">
        <v>130</v>
      </c>
      <c r="B30" s="0" t="n">
        <f aca="false">SUM(C21:L21)</f>
        <v>4569.22374356698</v>
      </c>
    </row>
    <row r="31" customFormat="false" ht="15" hidden="false" customHeight="false" outlineLevel="0" collapsed="false">
      <c r="A31" s="0" t="s">
        <v>131</v>
      </c>
      <c r="B31" s="0" t="n">
        <f aca="false">L19</f>
        <v>780.575985602161</v>
      </c>
    </row>
    <row r="32" customFormat="false" ht="15" hidden="false" customHeight="false" outlineLevel="0" collapsed="false">
      <c r="A32" s="0" t="s">
        <v>132</v>
      </c>
      <c r="B32" s="0" t="n">
        <f aca="false">IF(B27&gt;B28,B31*(1+B28/100)/((B27-B28)/100),B31*B29)</f>
        <v>12309.0828498802</v>
      </c>
    </row>
    <row r="33" customFormat="false" ht="15" hidden="false" customHeight="false" outlineLevel="0" collapsed="false">
      <c r="A33" s="0" t="s">
        <v>133</v>
      </c>
      <c r="B33" s="0" t="n">
        <f aca="false">B31*B29</f>
        <v>13269.7917552367</v>
      </c>
    </row>
    <row r="34" customFormat="false" ht="15" hidden="false" customHeight="false" outlineLevel="0" collapsed="false">
      <c r="A34" s="0" t="s">
        <v>134</v>
      </c>
      <c r="B34" s="0" t="n">
        <f aca="false">MAX(0,MIN(B32,B33))</f>
        <v>12309.0828498802</v>
      </c>
    </row>
    <row r="35" customFormat="false" ht="15" hidden="false" customHeight="false" outlineLevel="0" collapsed="false">
      <c r="A35" s="0" t="s">
        <v>135</v>
      </c>
      <c r="B35" s="0" t="n">
        <f aca="false">B34/(1+B27/100)^L4</f>
        <v>5199.48961876379</v>
      </c>
    </row>
    <row r="36" customFormat="false" ht="15" hidden="false" customHeight="false" outlineLevel="0" collapsed="false">
      <c r="A36" s="0" t="s">
        <v>136</v>
      </c>
      <c r="B36" s="0" t="n">
        <f aca="false">B30+B35</f>
        <v>9768.71336233077</v>
      </c>
    </row>
    <row r="37" customFormat="false" ht="15" hidden="false" customHeight="false" outlineLevel="0" collapsed="false">
      <c r="A37" s="0" t="s">
        <v>137</v>
      </c>
      <c r="B37" s="0" t="n">
        <f aca="false">B36+Assumptions!$B$5-Assumptions!$B$4</f>
        <v>9768.71336233077</v>
      </c>
    </row>
    <row r="38" customFormat="false" ht="15" hidden="false" customHeight="false" outlineLevel="0" collapsed="false">
      <c r="A38" s="0" t="s">
        <v>138</v>
      </c>
      <c r="B38" s="0" t="n">
        <f aca="false">B37/Assumptions!$B$3*Assumptions!$B$10</f>
        <v>4.02750499374594</v>
      </c>
    </row>
    <row r="39" customFormat="false" ht="15" hidden="false" customHeight="false" outlineLevel="0" collapsed="false">
      <c r="A39" s="0" t="s">
        <v>139</v>
      </c>
      <c r="B39" s="4" t="n">
        <f aca="false">B38/Assumptions!$B$2-1</f>
        <v>0.00186691386714899</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4.02750499374594</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6400.72308193772</v>
      </c>
    </row>
    <row r="47" customFormat="false" ht="15" hidden="false" customHeight="false" outlineLevel="0" collapsed="false">
      <c r="A47" s="0" t="s">
        <v>144</v>
      </c>
      <c r="B47" s="0" t="n">
        <f aca="false">(SUMPRODUCT(C19:L19/(1+B45/100)^C4:L4)+B46/(1+B45/100)^L4+Assumptions!$B$5-Assumptions!$B$4)/Assumptions!$B$3*Assumptions!$B$10</f>
        <v>2.11561391201499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5</v>
      </c>
      <c r="D5" s="4" t="n">
        <f aca="false">Assumptions!D41</f>
        <v>5</v>
      </c>
      <c r="E5" s="4" t="n">
        <f aca="false">Assumptions!E41</f>
        <v>4.5</v>
      </c>
      <c r="F5" s="4" t="n">
        <f aca="false">Assumptions!F41</f>
        <v>4</v>
      </c>
      <c r="G5" s="4" t="n">
        <f aca="false">Assumptions!G41</f>
        <v>3.5</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3589</v>
      </c>
      <c r="C6" s="0" t="n">
        <f aca="false">B6*(1+C5/100)</f>
        <v>3768.45</v>
      </c>
      <c r="D6" s="0" t="n">
        <f aca="false">C6*(1+D5/100)</f>
        <v>3956.8725</v>
      </c>
      <c r="E6" s="0" t="n">
        <f aca="false">D6*(1+E5/100)</f>
        <v>4134.9317625</v>
      </c>
      <c r="F6" s="0" t="n">
        <f aca="false">E6*(1+F5/100)</f>
        <v>4300.329033</v>
      </c>
      <c r="G6" s="0" t="n">
        <f aca="false">F6*(1+G5/100)</f>
        <v>4450.840549155</v>
      </c>
      <c r="H6" s="0" t="n">
        <f aca="false">G6*(1+H5/100)</f>
        <v>4584.36576562965</v>
      </c>
      <c r="I6" s="0" t="n">
        <f aca="false">H6*(1+I5/100)</f>
        <v>4721.89673859854</v>
      </c>
      <c r="J6" s="0" t="n">
        <f aca="false">I6*(1+J5/100)</f>
        <v>4863.5536407565</v>
      </c>
      <c r="K6" s="0" t="n">
        <f aca="false">J6*(1+K5/100)</f>
        <v>5009.46024997919</v>
      </c>
      <c r="L6" s="0" t="n">
        <f aca="false">K6*(1+L5/100)</f>
        <v>5159.74405747857</v>
      </c>
    </row>
    <row r="7" customFormat="false" ht="15" hidden="false" customHeight="false" outlineLevel="0" collapsed="false">
      <c r="A7" s="0" t="s">
        <v>101</v>
      </c>
      <c r="C7" s="4" t="n">
        <f aca="false">Assumptions!C42</f>
        <v>25.3</v>
      </c>
      <c r="D7" s="4" t="n">
        <f aca="false">Assumptions!D42</f>
        <v>25.6</v>
      </c>
      <c r="E7" s="4" t="n">
        <f aca="false">Assumptions!E42</f>
        <v>26</v>
      </c>
      <c r="F7" s="4" t="n">
        <f aca="false">Assumptions!F42</f>
        <v>26.3</v>
      </c>
      <c r="G7" s="4" t="n">
        <f aca="false">Assumptions!G42</f>
        <v>26.5</v>
      </c>
      <c r="H7" s="4" t="n">
        <f aca="false">Assumptions!H42</f>
        <v>26.7</v>
      </c>
      <c r="I7" s="4" t="n">
        <f aca="false">Assumptions!I42</f>
        <v>26.8</v>
      </c>
      <c r="J7" s="4" t="n">
        <f aca="false">Assumptions!J42</f>
        <v>27</v>
      </c>
      <c r="K7" s="4" t="n">
        <f aca="false">Assumptions!K42</f>
        <v>27</v>
      </c>
      <c r="L7" s="4" t="n">
        <f aca="false">Assumptions!L42</f>
        <v>27</v>
      </c>
    </row>
    <row r="8" customFormat="false" ht="15" hidden="false" customHeight="false" outlineLevel="0" collapsed="false">
      <c r="A8" s="0" t="s">
        <v>43</v>
      </c>
      <c r="C8" s="0" t="n">
        <f aca="false">C6*C7/100</f>
        <v>953.41785</v>
      </c>
      <c r="D8" s="0" t="n">
        <f aca="false">D6*D7/100</f>
        <v>1012.95936</v>
      </c>
      <c r="E8" s="0" t="n">
        <f aca="false">E6*E7/100</f>
        <v>1075.08225825</v>
      </c>
      <c r="F8" s="0" t="n">
        <f aca="false">F6*F7/100</f>
        <v>1130.986535679</v>
      </c>
      <c r="G8" s="0" t="n">
        <f aca="false">G6*G7/100</f>
        <v>1179.47274552608</v>
      </c>
      <c r="H8" s="0" t="n">
        <f aca="false">H6*H7/100</f>
        <v>1224.02565942312</v>
      </c>
      <c r="I8" s="0" t="n">
        <f aca="false">I6*I7/100</f>
        <v>1265.46832594441</v>
      </c>
      <c r="J8" s="0" t="n">
        <f aca="false">J6*J7/100</f>
        <v>1313.15948300425</v>
      </c>
      <c r="K8" s="0" t="n">
        <f aca="false">K6*K7/100</f>
        <v>1352.55426749438</v>
      </c>
      <c r="L8" s="0" t="n">
        <f aca="false">L6*L7/100</f>
        <v>1393.13089551921</v>
      </c>
    </row>
    <row r="9" customFormat="false" ht="15" hidden="false" customHeight="false" outlineLevel="0" collapsed="false">
      <c r="A9" s="0" t="s">
        <v>102</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953.41785</v>
      </c>
      <c r="D11" s="0" t="n">
        <f aca="false">D8+D10+D24</f>
        <v>1012.95936</v>
      </c>
      <c r="E11" s="0" t="n">
        <f aca="false">E8+E10+E24</f>
        <v>1075.08225825</v>
      </c>
      <c r="F11" s="0" t="n">
        <f aca="false">F8+F10+F24</f>
        <v>1130.986535679</v>
      </c>
      <c r="G11" s="0" t="n">
        <f aca="false">G8+G10+G24</f>
        <v>1179.47274552608</v>
      </c>
      <c r="H11" s="0" t="n">
        <f aca="false">H8+H10+H24</f>
        <v>1224.02565942312</v>
      </c>
      <c r="I11" s="0" t="n">
        <f aca="false">I8+I10+I24</f>
        <v>1265.46832594441</v>
      </c>
      <c r="J11" s="0" t="n">
        <f aca="false">J8+J10+J24</f>
        <v>1313.15948300425</v>
      </c>
      <c r="K11" s="0" t="n">
        <f aca="false">K8+K10+K24</f>
        <v>1352.55426749438</v>
      </c>
      <c r="L11" s="0" t="n">
        <f aca="false">L8+L10+L24</f>
        <v>1393.13089551921</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953.41785</v>
      </c>
      <c r="D13" s="0" t="n">
        <f aca="false">D11+D12</f>
        <v>1012.95936</v>
      </c>
      <c r="E13" s="0" t="n">
        <f aca="false">E11+E12</f>
        <v>1075.08225825</v>
      </c>
      <c r="F13" s="0" t="n">
        <f aca="false">F11+F12</f>
        <v>1130.986535679</v>
      </c>
      <c r="G13" s="0" t="n">
        <f aca="false">G11+G12</f>
        <v>1179.47274552608</v>
      </c>
      <c r="H13" s="0" t="n">
        <f aca="false">H11+H12</f>
        <v>1224.02565942312</v>
      </c>
      <c r="I13" s="0" t="n">
        <f aca="false">I11+I12</f>
        <v>1265.46832594441</v>
      </c>
      <c r="J13" s="0" t="n">
        <f aca="false">J11+J12</f>
        <v>1313.15948300425</v>
      </c>
      <c r="K13" s="0" t="n">
        <f aca="false">K11+K12</f>
        <v>1352.55426749438</v>
      </c>
      <c r="L13" s="0" t="n">
        <f aca="false">L11+L12</f>
        <v>1393.13089551921</v>
      </c>
    </row>
    <row r="14" customFormat="false" ht="15" hidden="false" customHeight="false" outlineLevel="0" collapsed="false">
      <c r="A14" s="0" t="s">
        <v>106</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121</v>
      </c>
      <c r="C15" s="0" t="n">
        <f aca="false">C13-MAX(0,C13)*C14/100</f>
        <v>953.41785</v>
      </c>
      <c r="D15" s="0" t="n">
        <f aca="false">D13-MAX(0,D13)*D14/100</f>
        <v>1012.95936</v>
      </c>
      <c r="E15" s="0" t="n">
        <f aca="false">E13-MAX(0,E13)*E14/100</f>
        <v>1075.08225825</v>
      </c>
      <c r="F15" s="0" t="n">
        <f aca="false">F13-MAX(0,F13)*F14/100</f>
        <v>1130.986535679</v>
      </c>
      <c r="G15" s="0" t="n">
        <f aca="false">G13-MAX(0,G13)*G14/100</f>
        <v>1179.47274552608</v>
      </c>
      <c r="H15" s="0" t="n">
        <f aca="false">H13-MAX(0,H13)*H14/100</f>
        <v>1224.02565942312</v>
      </c>
      <c r="I15" s="0" t="n">
        <f aca="false">I13-MAX(0,I13)*I14/100</f>
        <v>1265.46832594441</v>
      </c>
      <c r="J15" s="0" t="n">
        <f aca="false">J13-MAX(0,J13)*J14/100</f>
        <v>1313.15948300425</v>
      </c>
      <c r="K15" s="0" t="n">
        <f aca="false">K13-MAX(0,K13)*K14/100</f>
        <v>1352.55426749438</v>
      </c>
      <c r="L15" s="0" t="n">
        <f aca="false">L13-MAX(0,L13)*L14/100</f>
        <v>1393.13089551921</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-226.107</v>
      </c>
      <c r="D17" s="4" t="n">
        <f aca="false">-D6*Assumptions!D46/100</f>
        <v>-237.41235</v>
      </c>
      <c r="E17" s="4" t="n">
        <f aca="false">-E6*Assumptions!E46/100</f>
        <v>-248.09590575</v>
      </c>
      <c r="F17" s="4" t="n">
        <f aca="false">-F6*Assumptions!F46/100</f>
        <v>-236.518096815</v>
      </c>
      <c r="G17" s="4" t="n">
        <f aca="false">-G6*Assumptions!G46/100</f>
        <v>-244.796230203525</v>
      </c>
      <c r="H17" s="4" t="n">
        <f aca="false">-H6*Assumptions!H46/100</f>
        <v>-252.140117109631</v>
      </c>
      <c r="I17" s="4" t="n">
        <f aca="false">-I6*Assumptions!I46/100</f>
        <v>-259.70432062292</v>
      </c>
      <c r="J17" s="4" t="n">
        <f aca="false">-J6*Assumptions!J46/100</f>
        <v>-267.495450241607</v>
      </c>
      <c r="K17" s="4" t="n">
        <f aca="false">-K6*Assumptions!K46/100</f>
        <v>-275.520313748856</v>
      </c>
      <c r="L17" s="4" t="n">
        <f aca="false">-L6*Assumptions!L46/100</f>
        <v>-283.785923161321</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727.31085</v>
      </c>
      <c r="D19" s="0" t="n">
        <f aca="false">D15+D16+D17+D18</f>
        <v>775.54701</v>
      </c>
      <c r="E19" s="0" t="n">
        <f aca="false">E15+E16+E17+E18</f>
        <v>826.9863525</v>
      </c>
      <c r="F19" s="0" t="n">
        <f aca="false">F15+F16+F17+F18</f>
        <v>894.468438864</v>
      </c>
      <c r="G19" s="0" t="n">
        <f aca="false">G15+G16+G17+G18</f>
        <v>934.67651532255</v>
      </c>
      <c r="H19" s="0" t="n">
        <f aca="false">H15+H16+H17+H18</f>
        <v>971.885542313486</v>
      </c>
      <c r="I19" s="0" t="n">
        <f aca="false">I15+I16+I17+I18</f>
        <v>1005.76400532149</v>
      </c>
      <c r="J19" s="0" t="n">
        <f aca="false">J15+J16+J17+J18</f>
        <v>1045.66403276265</v>
      </c>
      <c r="K19" s="0" t="n">
        <f aca="false">K15+K16+K17+K18</f>
        <v>1077.03395374553</v>
      </c>
      <c r="L19" s="0" t="n">
        <f aca="false">L15+L16+L17+L18</f>
        <v>1109.34497235789</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667.257660550459</v>
      </c>
      <c r="D21" s="0" t="n">
        <f aca="false">D19*D20</f>
        <v>652.762402154701</v>
      </c>
      <c r="E21" s="0" t="n">
        <f aca="false">E19*E20</f>
        <v>638.585199636456</v>
      </c>
      <c r="F21" s="0" t="n">
        <f aca="false">F19*F20</f>
        <v>633.663992593386</v>
      </c>
      <c r="G21" s="0" t="n">
        <f aca="false">G19*G20</f>
        <v>607.475603344091</v>
      </c>
      <c r="H21" s="0" t="n">
        <f aca="false">H19*H20</f>
        <v>579.503594347819</v>
      </c>
      <c r="I21" s="0" t="n">
        <f aca="false">I19*I20</f>
        <v>550.187353141631</v>
      </c>
      <c r="J21" s="0" t="n">
        <f aca="false">J19*J20</f>
        <v>524.783517910213</v>
      </c>
      <c r="K21" s="0" t="n">
        <f aca="false">K19*K20</f>
        <v>495.896351786715</v>
      </c>
      <c r="L21" s="0" t="n">
        <f aca="false">L19*L20</f>
        <v>468.599304899373</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9</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19</v>
      </c>
    </row>
    <row r="30" customFormat="false" ht="15" hidden="false" customHeight="false" outlineLevel="0" collapsed="false">
      <c r="A30" s="0" t="s">
        <v>130</v>
      </c>
      <c r="B30" s="0" t="n">
        <f aca="false">SUM(C21:L21)</f>
        <v>5818.71498036484</v>
      </c>
    </row>
    <row r="31" customFormat="false" ht="15" hidden="false" customHeight="false" outlineLevel="0" collapsed="false">
      <c r="A31" s="0" t="s">
        <v>131</v>
      </c>
      <c r="B31" s="0" t="n">
        <f aca="false">L19</f>
        <v>1109.34497235789</v>
      </c>
    </row>
    <row r="32" customFormat="false" ht="15" hidden="false" customHeight="false" outlineLevel="0" collapsed="false">
      <c r="A32" s="0" t="s">
        <v>132</v>
      </c>
      <c r="B32" s="0" t="n">
        <f aca="false">IF(B27&gt;B28,B31*(1+B28/100)/((B27-B28)/100),B31*B29)</f>
        <v>19043.7553588105</v>
      </c>
    </row>
    <row r="33" customFormat="false" ht="15" hidden="false" customHeight="false" outlineLevel="0" collapsed="false">
      <c r="A33" s="0" t="s">
        <v>133</v>
      </c>
      <c r="B33" s="0" t="n">
        <f aca="false">B31*B29</f>
        <v>21077.5544748</v>
      </c>
    </row>
    <row r="34" customFormat="false" ht="15" hidden="false" customHeight="false" outlineLevel="0" collapsed="false">
      <c r="A34" s="0" t="s">
        <v>134</v>
      </c>
      <c r="B34" s="0" t="n">
        <f aca="false">MAX(0,MIN(B32,B33))</f>
        <v>19043.7553588105</v>
      </c>
    </row>
    <row r="35" customFormat="false" ht="15" hidden="false" customHeight="false" outlineLevel="0" collapsed="false">
      <c r="A35" s="0" t="s">
        <v>135</v>
      </c>
      <c r="B35" s="0" t="n">
        <f aca="false">B34/(1+B27/100)^L4</f>
        <v>8044.28806743923</v>
      </c>
    </row>
    <row r="36" customFormat="false" ht="15" hidden="false" customHeight="false" outlineLevel="0" collapsed="false">
      <c r="A36" s="0" t="s">
        <v>136</v>
      </c>
      <c r="B36" s="0" t="n">
        <f aca="false">B30+B35</f>
        <v>13863.0030478041</v>
      </c>
    </row>
    <row r="37" customFormat="false" ht="15" hidden="false" customHeight="false" outlineLevel="0" collapsed="false">
      <c r="A37" s="0" t="s">
        <v>137</v>
      </c>
      <c r="B37" s="0" t="n">
        <f aca="false">B36+Assumptions!$B$5-Assumptions!$B$4</f>
        <v>13863.0030478041</v>
      </c>
    </row>
    <row r="38" customFormat="false" ht="15" hidden="false" customHeight="false" outlineLevel="0" collapsed="false">
      <c r="A38" s="0" t="s">
        <v>138</v>
      </c>
      <c r="B38" s="0" t="n">
        <f aca="false">B37/Assumptions!$B$3*Assumptions!$B$10</f>
        <v>5.71552382923277</v>
      </c>
    </row>
    <row r="39" customFormat="false" ht="15" hidden="false" customHeight="false" outlineLevel="0" collapsed="false">
      <c r="A39" s="0" t="s">
        <v>139</v>
      </c>
      <c r="B39" s="4" t="n">
        <f aca="false">B38/Assumptions!$B$2-1</f>
        <v>0.421772096824071</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5.71552382923277</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9521.87767940524</v>
      </c>
    </row>
    <row r="47" customFormat="false" ht="15" hidden="false" customHeight="false" outlineLevel="0" collapsed="false">
      <c r="A47" s="0" t="s">
        <v>144</v>
      </c>
      <c r="B47" s="0" t="n">
        <f aca="false">(SUMPRODUCT(C19:L19/(1+B45/100)^C4:L4)+B46/(1+B45/100)^L4+Assumptions!$B$5-Assumptions!$B$4)/Assumptions!$B$3*Assumptions!$B$10</f>
        <v>2.80885714555058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2.15584936719605</v>
      </c>
      <c r="C4" s="0" t="n">
        <f aca="false">B4/Assumptions!$B$2-1</f>
        <v>-0.463719062886554</v>
      </c>
      <c r="D4" s="4" t="n">
        <f aca="false">Assumptions!$B$24</f>
        <v>0.3</v>
      </c>
      <c r="E4" s="4" t="n">
        <f aca="false">DCF_Bear!$B$43</f>
        <v>2.15584936719605</v>
      </c>
      <c r="F4" s="4" t="n">
        <f aca="false">DCF_Bear!$B$47</f>
        <v>1.34258822740345</v>
      </c>
    </row>
    <row r="5" customFormat="false" ht="15" hidden="false" customHeight="false" outlineLevel="0" collapsed="false">
      <c r="A5" s="0" t="s">
        <v>153</v>
      </c>
      <c r="B5" s="4" t="n">
        <f aca="false">DCF_Base!$B$38</f>
        <v>4.02750499374594</v>
      </c>
      <c r="C5" s="0" t="n">
        <f aca="false">B5/Assumptions!$B$2-1</f>
        <v>0.00186691386714899</v>
      </c>
      <c r="D5" s="4" t="n">
        <f aca="false">Assumptions!$B$38</f>
        <v>0.5</v>
      </c>
      <c r="E5" s="4" t="n">
        <f aca="false">DCF_Base!$B$43</f>
        <v>4.02750499374594</v>
      </c>
      <c r="F5" s="4" t="n">
        <f aca="false">DCF_Base!$B$47</f>
        <v>2.11561391201499</v>
      </c>
    </row>
    <row r="6" customFormat="false" ht="15" hidden="false" customHeight="false" outlineLevel="0" collapsed="false">
      <c r="A6" s="0" t="s">
        <v>154</v>
      </c>
      <c r="B6" s="4" t="n">
        <f aca="false">DCF_Bull!$B$38</f>
        <v>5.71552382923277</v>
      </c>
      <c r="C6" s="0" t="n">
        <f aca="false">B6/Assumptions!$B$2-1</f>
        <v>0.421772096824071</v>
      </c>
      <c r="D6" s="4" t="n">
        <f aca="false">Assumptions!$B$52</f>
        <v>0.2</v>
      </c>
      <c r="E6" s="4" t="n">
        <f aca="false">DCF_Bull!$B$43</f>
        <v>5.71552382923277</v>
      </c>
      <c r="F6" s="4" t="n">
        <f aca="false">DCF_Bull!$B$47</f>
        <v>2.80885714555058</v>
      </c>
    </row>
    <row r="8" customFormat="false" ht="15" hidden="false" customHeight="false" outlineLevel="0" collapsed="false">
      <c r="A8" s="0" t="s">
        <v>155</v>
      </c>
      <c r="B8" s="0" t="n">
        <f aca="false">SUMPRODUCT(B4:B6,D4:D6)</f>
        <v>3.80361207287834</v>
      </c>
    </row>
    <row r="9" customFormat="false" ht="15" hidden="false" customHeight="false" outlineLevel="0" collapsed="false">
      <c r="A9" s="0" t="s">
        <v>156</v>
      </c>
      <c r="B9" s="0" t="n">
        <f aca="false">SUMPRODUCT(E4:E6,D4:D6)</f>
        <v>3.80361207287834</v>
      </c>
    </row>
    <row r="10" customFormat="false" ht="15" hidden="false" customHeight="false" outlineLevel="0" collapsed="false">
      <c r="A10" s="0" t="s">
        <v>157</v>
      </c>
      <c r="B10" s="0" t="n">
        <f aca="false">1-Assumptions!$B$2/B8</f>
        <v>-0.0568901147056022</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2.02235485333865</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4.02750499374594</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3.49723963505949</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3.09142732923523</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2.77078670453323</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2.11561391201499</v>
      </c>
      <c r="C19" s="3" t="n">
        <v>15</v>
      </c>
    </row>
    <row r="21" customFormat="false" ht="15" hidden="false" customHeight="false" outlineLevel="0" collapsed="false">
      <c r="A21" s="2" t="s">
        <v>167</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4.84785597071462</v>
      </c>
      <c r="C23" s="0" t="n">
        <f aca="false">(SUMPRODUCT(DCF_Base!$C$19:$L$19/(1+$A$23/100)^DCF_Base!$C$4:$L$4)+MAX(0,MIN(IF($A$23&gt;$C$22,DCF_Base!$L$19*(1+$C$22/100)/(($A$23-$C$22)/100),DCF_Base!$L$19*DCF_Base!$B$29),DCF_Base!$L$19*DCF_Base!$B$29))/(1+$A$23/100)^DCF_Base!$L$4+Assumptions!$B$5-Assumptions!$B$4)/Assumptions!$B$3*Assumptions!$B$10</f>
        <v>4.84785597071462</v>
      </c>
      <c r="D23" s="0" t="n">
        <f aca="false">(SUMPRODUCT(DCF_Base!$C$19:$L$19/(1+$A$23/100)^DCF_Base!$C$4:$L$4)+MAX(0,MIN(IF($A$23&gt;$D$22,DCF_Base!$L$19*(1+$D$22/100)/(($A$23-$D$22)/100),DCF_Base!$L$19*DCF_Base!$B$29),DCF_Base!$L$19*DCF_Base!$B$29))/(1+$A$23/100)^DCF_Base!$L$4+Assumptions!$B$5-Assumptions!$B$4)/Assumptions!$B$3*Assumptions!$B$10</f>
        <v>4.84785597071462</v>
      </c>
      <c r="E23" s="0" t="n">
        <f aca="false">(SUMPRODUCT(DCF_Base!$C$19:$L$19/(1+$A$23/100)^DCF_Base!$C$4:$L$4)+MAX(0,MIN(IF($A$23&gt;$E$22,DCF_Base!$L$19*(1+$E$22/100)/(($A$23-$E$22)/100),DCF_Base!$L$19*DCF_Base!$B$29),DCF_Base!$L$19*DCF_Base!$B$29))/(1+$A$23/100)^DCF_Base!$L$4+Assumptions!$B$5-Assumptions!$B$4)/Assumptions!$B$3*Assumptions!$B$10</f>
        <v>4.84785597071462</v>
      </c>
      <c r="F23" s="0" t="n">
        <f aca="false">(SUMPRODUCT(DCF_Base!$C$19:$L$19/(1+$A$23/100)^DCF_Base!$C$4:$L$4)+MAX(0,MIN(IF($A$23&gt;$F$22,DCF_Base!$L$19*(1+$F$22/100)/(($A$23-$F$22)/100),DCF_Base!$L$19*DCF_Base!$B$29),DCF_Base!$L$19*DCF_Base!$B$29))/(1+$A$23/100)^DCF_Base!$L$4+Assumptions!$B$5-Assumptions!$B$4)/Assumptions!$B$3*Assumptions!$B$10</f>
        <v>4.84785597071462</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4.29974700626171</v>
      </c>
      <c r="C24" s="0" t="n">
        <f aca="false">(SUMPRODUCT(DCF_Base!$C$19:$L$19/(1+$A$24/100)^DCF_Base!$C$4:$L$4)+MAX(0,MIN(IF($A$24&gt;$C$22,DCF_Base!$L$19*(1+$C$22/100)/(($A$24-$C$22)/100),DCF_Base!$L$19*DCF_Base!$B$29),DCF_Base!$L$19*DCF_Base!$B$29))/(1+$A$24/100)^DCF_Base!$L$4+Assumptions!$B$5-Assumptions!$B$4)/Assumptions!$B$3*Assumptions!$B$10</f>
        <v>4.50614501595842</v>
      </c>
      <c r="D24" s="0" t="n">
        <f aca="false">(SUMPRODUCT(DCF_Base!$C$19:$L$19/(1+$A$24/100)^DCF_Base!$C$4:$L$4)+MAX(0,MIN(IF($A$24&gt;$D$22,DCF_Base!$L$19*(1+$D$22/100)/(($A$24-$D$22)/100),DCF_Base!$L$19*DCF_Base!$B$29),DCF_Base!$L$19*DCF_Base!$B$29))/(1+$A$24/100)^DCF_Base!$L$4+Assumptions!$B$5-Assumptions!$B$4)/Assumptions!$B$3*Assumptions!$B$10</f>
        <v>4.50614501595842</v>
      </c>
      <c r="E24" s="0" t="n">
        <f aca="false">(SUMPRODUCT(DCF_Base!$C$19:$L$19/(1+$A$24/100)^DCF_Base!$C$4:$L$4)+MAX(0,MIN(IF($A$24&gt;$E$22,DCF_Base!$L$19*(1+$E$22/100)/(($A$24-$E$22)/100),DCF_Base!$L$19*DCF_Base!$B$29),DCF_Base!$L$19*DCF_Base!$B$29))/(1+$A$24/100)^DCF_Base!$L$4+Assumptions!$B$5-Assumptions!$B$4)/Assumptions!$B$3*Assumptions!$B$10</f>
        <v>4.50614501595842</v>
      </c>
      <c r="F24" s="0" t="n">
        <f aca="false">(SUMPRODUCT(DCF_Base!$C$19:$L$19/(1+$A$24/100)^DCF_Base!$C$4:$L$4)+MAX(0,MIN(IF($A$24&gt;$F$22,DCF_Base!$L$19*(1+$F$22/100)/(($A$24-$F$22)/100),DCF_Base!$L$19*DCF_Base!$B$29),DCF_Base!$L$19*DCF_Base!$B$29))/(1+$A$24/100)^DCF_Base!$L$4+Assumptions!$B$5-Assumptions!$B$4)/Assumptions!$B$3*Assumptions!$B$10</f>
        <v>4.50614501595842</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3.72355593303349</v>
      </c>
      <c r="C25" s="0" t="n">
        <f aca="false">(SUMPRODUCT(DCF_Base!$C$19:$L$19/(1+$A$25/100)^DCF_Base!$C$4:$L$4)+MAX(0,MIN(IF($A$25&gt;$C$22,DCF_Base!$L$19*(1+$C$22/100)/(($A$25-$C$22)/100),DCF_Base!$L$19*DCF_Base!$B$29),DCF_Base!$L$19*DCF_Base!$B$29))/(1+$A$25/100)^DCF_Base!$L$4+Assumptions!$B$5-Assumptions!$B$4)/Assumptions!$B$3*Assumptions!$B$10</f>
        <v>3.86467513979284</v>
      </c>
      <c r="D25" s="0" t="n">
        <f aca="false">(SUMPRODUCT(DCF_Base!$C$19:$L$19/(1+$A$25/100)^DCF_Base!$C$4:$L$4)+MAX(0,MIN(IF($A$25&gt;$D$22,DCF_Base!$L$19*(1+$D$22/100)/(($A$25-$D$22)/100),DCF_Base!$L$19*DCF_Base!$B$29),DCF_Base!$L$19*DCF_Base!$B$29))/(1+$A$25/100)^DCF_Base!$L$4+Assumptions!$B$5-Assumptions!$B$4)/Assumptions!$B$3*Assumptions!$B$10</f>
        <v>4.02750499374594</v>
      </c>
      <c r="E25" s="0" t="n">
        <f aca="false">(SUMPRODUCT(DCF_Base!$C$19:$L$19/(1+$A$25/100)^DCF_Base!$C$4:$L$4)+MAX(0,MIN(IF($A$25&gt;$E$22,DCF_Base!$L$19*(1+$E$22/100)/(($A$25-$E$22)/100),DCF_Base!$L$19*DCF_Base!$B$29),DCF_Base!$L$19*DCF_Base!$B$29))/(1+$A$25/100)^DCF_Base!$L$4+Assumptions!$B$5-Assumptions!$B$4)/Assumptions!$B$3*Assumptions!$B$10</f>
        <v>4.19481640331243</v>
      </c>
      <c r="F25" s="0" t="n">
        <f aca="false">(SUMPRODUCT(DCF_Base!$C$19:$L$19/(1+$A$25/100)^DCF_Base!$C$4:$L$4)+MAX(0,MIN(IF($A$25&gt;$F$22,DCF_Base!$L$19*(1+$F$22/100)/(($A$25-$F$22)/100),DCF_Base!$L$19*DCF_Base!$B$29),DCF_Base!$L$19*DCF_Base!$B$29))/(1+$A$25/100)^DCF_Base!$L$4+Assumptions!$B$5-Assumptions!$B$4)/Assumptions!$B$3*Assumptions!$B$10</f>
        <v>4.19481640331243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3.28314807264696</v>
      </c>
      <c r="C26" s="0" t="n">
        <f aca="false">(SUMPRODUCT(DCF_Base!$C$19:$L$19/(1+$A$26/100)^DCF_Base!$C$4:$L$4)+MAX(0,MIN(IF($A$26&gt;$C$22,DCF_Base!$L$19*(1+$C$22/100)/(($A$26-$C$22)/100),DCF_Base!$L$19*DCF_Base!$B$29),DCF_Base!$L$19*DCF_Base!$B$29))/(1+$A$26/100)^DCF_Base!$L$4+Assumptions!$B$5-Assumptions!$B$4)/Assumptions!$B$3*Assumptions!$B$10</f>
        <v>3.38350349252784</v>
      </c>
      <c r="D26" s="0" t="n">
        <f aca="false">(SUMPRODUCT(DCF_Base!$C$19:$L$19/(1+$A$26/100)^DCF_Base!$C$4:$L$4)+MAX(0,MIN(IF($A$26&gt;$D$22,DCF_Base!$L$19*(1+$D$22/100)/(($A$26-$D$22)/100),DCF_Base!$L$19*DCF_Base!$B$29),DCF_Base!$L$19*DCF_Base!$B$29))/(1+$A$26/100)^DCF_Base!$L$4+Assumptions!$B$5-Assumptions!$B$4)/Assumptions!$B$3*Assumptions!$B$10</f>
        <v>3.49723963505949</v>
      </c>
      <c r="E26" s="0" t="n">
        <f aca="false">(SUMPRODUCT(DCF_Base!$C$19:$L$19/(1+$A$26/100)^DCF_Base!$C$4:$L$4)+MAX(0,MIN(IF($A$26&gt;$E$22,DCF_Base!$L$19*(1+$E$22/100)/(($A$26-$E$22)/100),DCF_Base!$L$19*DCF_Base!$B$29),DCF_Base!$L$19*DCF_Base!$B$29))/(1+$A$26/100)^DCF_Base!$L$4+Assumptions!$B$5-Assumptions!$B$4)/Assumptions!$B$3*Assumptions!$B$10</f>
        <v>3.62722379795281</v>
      </c>
      <c r="F26" s="0" t="n">
        <f aca="false">(SUMPRODUCT(DCF_Base!$C$19:$L$19/(1+$A$26/100)^DCF_Base!$C$4:$L$4)+MAX(0,MIN(IF($A$26&gt;$F$22,DCF_Base!$L$19*(1+$F$22/100)/(($A$26-$F$22)/100),DCF_Base!$L$19*DCF_Base!$B$29),DCF_Base!$L$19*DCF_Base!$B$29))/(1+$A$26/100)^DCF_Base!$L$4+Assumptions!$B$5-Assumptions!$B$4)/Assumptions!$B$3*Assumptions!$B$10</f>
        <v>3.77720552436818</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2.93562836466678</v>
      </c>
      <c r="C27" s="0" t="n">
        <f aca="false">(SUMPRODUCT(DCF_Base!$C$19:$L$19/(1+$A$27/100)^DCF_Base!$C$4:$L$4)+MAX(0,MIN(IF($A$27&gt;$C$22,DCF_Base!$L$19*(1+$C$22/100)/(($A$27-$C$22)/100),DCF_Base!$L$19*DCF_Base!$B$29),DCF_Base!$L$19*DCF_Base!$B$29))/(1+$A$27/100)^DCF_Base!$L$4+Assumptions!$B$5-Assumptions!$B$4)/Assumptions!$B$3*Assumptions!$B$10</f>
        <v>3.00920009793521</v>
      </c>
      <c r="D27" s="0" t="n">
        <f aca="false">(SUMPRODUCT(DCF_Base!$C$19:$L$19/(1+$A$27/100)^DCF_Base!$C$4:$L$4)+MAX(0,MIN(IF($A$27&gt;$D$22,DCF_Base!$L$19*(1+$D$22/100)/(($A$27-$D$22)/100),DCF_Base!$L$19*DCF_Base!$B$29),DCF_Base!$L$19*DCF_Base!$B$29))/(1+$A$27/100)^DCF_Base!$L$4+Assumptions!$B$5-Assumptions!$B$4)/Assumptions!$B$3*Assumptions!$B$10</f>
        <v>3.09142732923523</v>
      </c>
      <c r="E27" s="0" t="n">
        <f aca="false">(SUMPRODUCT(DCF_Base!$C$19:$L$19/(1+$A$27/100)^DCF_Base!$C$4:$L$4)+MAX(0,MIN(IF($A$27&gt;$E$22,DCF_Base!$L$19*(1+$E$22/100)/(($A$27-$E$22)/100),DCF_Base!$L$19*DCF_Base!$B$29),DCF_Base!$L$19*DCF_Base!$B$29))/(1+$A$27/100)^DCF_Base!$L$4+Assumptions!$B$5-Assumptions!$B$4)/Assumptions!$B$3*Assumptions!$B$10</f>
        <v>3.18393296444774</v>
      </c>
      <c r="F27" s="0" t="n">
        <f aca="false">(SUMPRODUCT(DCF_Base!$C$19:$L$19/(1+$A$27/100)^DCF_Base!$C$4:$L$4)+MAX(0,MIN(IF($A$27&gt;$F$22,DCF_Base!$L$19*(1+$F$22/100)/(($A$27-$F$22)/100),DCF_Base!$L$19*DCF_Base!$B$29),DCF_Base!$L$19*DCF_Base!$B$29))/(1+$A$27/100)^DCF_Base!$L$4+Assumptions!$B$5-Assumptions!$B$4)/Assumptions!$B$3*Assumptions!$B$10</f>
        <v>3.28877268435525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2026-09-25T10:03:57Z</dcterms:created>
  <dc:creator>openpyxl</dc:creator>
  <dc:description/>
  <dc:language>en-NZ</dc:language>
  <cp:lastModifiedBy/>
  <dcterms:modified xsi:type="dcterms:W3CDTF">2026-09-25T10:03:57Z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