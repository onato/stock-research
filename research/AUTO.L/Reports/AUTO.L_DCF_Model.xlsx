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<sst xmlns="http://schemas.openxmlformats.org/spreadsheetml/2006/main" count="367" uniqueCount="169">
  <si>
    <t xml:space="preserve">Ticker</t>
  </si>
  <si>
    <t xml:space="preserve">AUTO.L</t>
  </si>
  <si>
    <t xml:space="preserve">Company</t>
  </si>
  <si>
    <t xml:space="preserve">Auto Trader Group plc</t>
  </si>
  <si>
    <t xml:space="preserve">Valuation date</t>
  </si>
  <si>
    <t xml:space="preserve">2026-10-05</t>
  </si>
  <si>
    <t xml:space="preserve">Current price</t>
  </si>
  <si>
    <t xml:space="preserve">Price as of</t>
  </si>
  <si>
    <t xml:space="preserve">2026-10-02T15:36:31Z (LSE closing auction, Friday; regular close, not after-hours)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</si>
  <si>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</si>
  <si>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</si>
  <si>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</si>
  <si>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</si>
  <si>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</si>
  <si>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</si>
  <si>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</si>
  <si>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</si>
  <si>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</si>
  <si>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</si>
  <si>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</si>
  <si>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</si>
  <si>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</si>
  <si>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2026-10-04T12:50:40Z</t>
  </si>
  <si>
    <t xml:space="preserve">Drivers file</t>
  </si>
  <si>
    <t xml:space="preserve">AUTO.L_Drivers.json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</si>
  <si>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</si>
  <si>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</si>
  <si>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</si>
  <si>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Auto Trader is valued as a mature, near-monopoly UK marketplace whose owner FCF (~GBP300m normalised, &gt;90% of net income) grows with ARPR rather than audience. The valuation hinges on whether the FY2026 retailer backlash and AI/Amazon disintermediation fears mark a permanent loss of pricing power (bear) or a one-year wound in an intact flywheel (base). SBC is fully expensed and the share count held flat; leases sit in net debt; cash tax is the 25% UK statutory rate; the terminal value is Gordon at 2.5% growth, well inside the 18x FCF cap.
key_risks_to_valuation: Agentic AI / LLM search and Amazon Autos UK disintermediating retailer prominence revenue, which is the whole of the price and product ARPR levers; Retailer forecourt attrition continuing beyond the guided 1-2% for FY2027 after the Deal Builder episode showed the limits of pricing power; Leverage rising to ~1.0x EBITDA for buybacks: value-neutral in the model, but the equity now carries ~GBP400-600m of debt into any downside; Regulatory: CMA online-reviews investigation, FCA motor-finance redress affecting retailer financial health, UK Digital Services Tax (GBP10.6m) rising; Terminal value is ~55-60% of EV at a 9% WACC; each 1pp of WACC moves base IV by roughly 15%</t>
  </si>
  <si>
    <t xml:space="preserve">Data sources</t>
  </si>
  <si>
    <t xml:space="preserve">price: Yahoo Finance chart API at inputs.price_as_of (LSE regular close); 52-week range 418.6-828.8p
financials: research/AUTO.L/Reports/AUTO.L_Metrics.csv (FY2015-FY2026 annual, H1 FY2016-FY2026 interim) from the DuckDB core_metrics and kpis tables; FY2026 Annual Report and Financial Statements (year to 31 March 2026, published 21 May 2026) for the balance sheet, share capital (note 25-26), leases (note 14), PPE (note 13), SBC (note 29) and the FY2027 outlook (CEO statement and Financial review)
qualitative: research/AUTO.L/Reports/AUTO.L_Analysis.json; FY2026 Annual Report principal risks, viability stress scenarios and Board capital-policy considerations; H1 FY2026 results presentation (Nov 2025)</t>
  </si>
  <si>
    <t xml:space="preserve">Scenario narrative: bear</t>
  </si>
  <si>
    <t xml:space="preserve">Amazon Autos UK and LLM-driven discovery give retailers pricing leverage for the first time: forecourts and paid stock decline for three years, ARPR growth turns negative, marketing spend rises, and margins compress ~5pp to 63%. The balance sheet is being levered to ~1.0x EBITDA for buybacks at the same time, so the equity bears more of any earnings miss. Revenue troughs ~4% below FY2026 and grows only 1.5% thereafter.</t>
  </si>
  <si>
    <t xml:space="preserve">Scenario narrative: base</t>
  </si>
  <si>
    <t xml:space="preserve">The FY2026 Deal Builder backlash (up to ~460 retailers left at the peak, forecourts -0.5%, employee engagement 91% -&gt; 72%) is a relationship wound that heals rather than a structural break: FY2027 lands near the GBP405m operating-profit midpoint with flat H1 revenue and H2 recovery, then the annual pricing-and-product event resumes delivering ARPR growth of ~4-5%/yr against a stable ~13.5-14k forecourt base. Autotrader keeps &gt;80% direct traffic and 6x the engagement of all competitors combined, so AI assistants and Amazon Autos erode growth at the margin rather than displacing the marketplace. Margins drift up ~1pp; SBC settles at ~2% of revenue; capex stays &lt;1.5%. The c.GBP500m FY2027 buyback is value-neutral in the model but, executed at ~13x earnings, is accretive to the per-share value of a buyer today.</t>
  </si>
  <si>
    <t xml:space="preserve">Scenario narrative: bull</t>
  </si>
  <si>
    <t xml:space="preserve">Retailer sentiment recovers fully by H2 FY2027, Deal Builder and Buying Signals become a paid transactional layer, data/API and new-car/leasing revenue scale, and AI becomes a distribution channel Autotrader sits inside rather than a bypass. Revenue growth 6-7% in FY2028-FY2030 and pre-SBC EBITDA margin ~71.5% by FY2032; the market re-rates back toward the historical 20x+ earnings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</si>
  <si>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</si>
  <si>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</si>
  <si>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</si>
  <si>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</si>
  <si>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</si>
  <si>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</si>
  <si>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</si>
  <si>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</si>
  <si>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</si>
  <si>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</si>
  <si>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</si>
  <si>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</si>
  <si>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</si>
  <si>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</si>
  <si>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</si>
  <si>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</si>
  <si>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</si>
  <si>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</si>
  <si>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</si>
  <si>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</si>
  <si>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</si>
  <si>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</si>
  <si>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</si>
  <si>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</si>
  <si>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</si>
  <si>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</si>
  <si>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</si>
  <si>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UnderlyingEBIT</t>
  </si>
  <si>
    <t xml:space="preserve">UnderlyingEBITDA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</si>
  <si>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</si>
  <si>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</si>
  <si>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</si>
  <si>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</si>
  <si>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</si>
  <si>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</si>
  <si>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</si>
  <si>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</si>
  <si>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</si>
  <si>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</si>
  <si>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</si>
  <si>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</si>
  <si>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</si>
  <si>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</si>
  <si>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</si>
  <si>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</si>
  <si>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</si>
  <si>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</si>
  <si>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</si>
  <si>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</si>
  <si>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</si>
  <si>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</si>
  <si>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</si>
  <si>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</si>
  <si>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</si>
  <si>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</si>
  <si>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</si>
  <si>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</si>
  <si>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</si>
  <si>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</si>
  <si>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</si>
  <si>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</si>
  <si>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</si>
  <si>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</si>
  <si>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</si>
  <si>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</si>
  <si>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</si>
  <si>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</si>
  <si>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</si>
  <si>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</si>
  <si>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</si>
  <si>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</si>
  <si>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</si>
  <si>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</si>
  <si>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</si>
  <si>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</si>
  <si>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</si>
  <si>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</si>
  <si>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</si>
  <si>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AUTO.L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</si>
  <si>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</si>
  <si>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</si>
  <si>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</si>
  <si>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</si>
  <si>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</si>
  <si>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</si>
  <si>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</si>
  <si>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</si>
  <si>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</si>
  <si>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</si>
  <si>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</si>
  <si>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</si>
  <si>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</si>
  <si>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</si>
  <si>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</si>
  <si>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</si>
  <si>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</si>
  <si>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</si>
  <si>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</si>
  <si>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</si>
  <si>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</si>
  <si>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</si>
  <si>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</si>
  <si>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</si>
  <si>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</si>
  <si>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</si>
  <si>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</si>
  <si>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</si>
  <si>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</si>
  <si>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</si>
  <si>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AUTO.L owner-FCF component DCF: base case (millions, GBP)</t>
  </si>
  <si>
    <t xml:space="preserve">AUTO.L owner-FCF component DCF: bull case (millions, GBP)</t>
  </si>
  <si>
    <t xml:space="preserve">AUTO.L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</si>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</sst>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461.7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255.9</v>
      </c>
      <c r="F2" s="0" t="n">
        <v>133.1</v>
      </c>
      <c r="G2" s="0" t="n">
        <v>52</v>
      </c>
      <c r="H2" s="0" t="n">
        <v>145.6</v>
      </c>
      <c r="I2" s="0" t="n">
        <v>10.4</v>
      </c>
      <c r="J2" s="0" t="n">
        <v>4.1</v>
      </c>
      <c r="K2" s="0" t="n">
        <v>0.0104</v>
      </c>
      <c r="L2" s="0" t="n">
        <v>140.1</v>
      </c>
      <c r="M2" s="0" t="n">
        <v>9.1</v>
      </c>
      <c r="N2" s="0" t="n">
        <v>131</v>
      </c>
      <c r="O2" s="0" t="n">
        <v>-176.1</v>
      </c>
      <c r="P2" s="0" t="n">
        <v>414.5</v>
      </c>
      <c r="Q2" s="0" t="n">
        <v>590.6</v>
      </c>
      <c r="R2" s="0" t="n">
        <v>540.7</v>
      </c>
      <c r="S2" s="0" t="n">
        <v>22.1</v>
      </c>
      <c r="T2" s="0" t="n">
        <v>1000</v>
      </c>
      <c r="U2" s="0" t="n">
        <v>3.7</v>
      </c>
      <c r="AA2" s="0" t="s">
        <v>18</v>
      </c>
      <c r="AB2" s="0" t="s">
        <v>14</v>
      </c>
      <c r="AC2" s="0" t="n">
        <v>144.1</v>
      </c>
      <c r="AD2" s="0" t="n">
        <v>156.6</v>
      </c>
    </row>
    <row r="3" customFormat="false" ht="15" hidden="false" customHeight="false" outlineLevel="0" collapsed="false">
      <c r="A3" s="0" t="s">
        <v>67</v>
      </c>
      <c r="B3" s="0" t="n">
        <v>281.6</v>
      </c>
      <c r="F3" s="0" t="n">
        <v>169.6</v>
      </c>
      <c r="G3" s="0" t="n">
        <v>60.2</v>
      </c>
      <c r="H3" s="0" t="n">
        <v>180.2</v>
      </c>
      <c r="I3" s="0" t="n">
        <v>126.7</v>
      </c>
      <c r="J3" s="0" t="n">
        <v>45</v>
      </c>
      <c r="K3" s="0" t="n">
        <v>0.1265</v>
      </c>
      <c r="L3" s="0" t="n">
        <v>164.1</v>
      </c>
      <c r="M3" s="0" t="n">
        <v>3.1</v>
      </c>
      <c r="N3" s="0" t="n">
        <v>161</v>
      </c>
      <c r="O3" s="0" t="n">
        <v>-51.5</v>
      </c>
      <c r="P3" s="0" t="n">
        <v>397.5</v>
      </c>
      <c r="Q3" s="0" t="n">
        <v>449</v>
      </c>
      <c r="R3" s="0" t="n">
        <v>395.6</v>
      </c>
      <c r="S3" s="0" t="n">
        <v>10.4</v>
      </c>
      <c r="T3" s="0" t="n">
        <v>1001.6</v>
      </c>
      <c r="U3" s="0" t="n">
        <v>2.3</v>
      </c>
      <c r="AA3" s="0" t="s">
        <v>18</v>
      </c>
      <c r="AB3" s="0" t="s">
        <v>14</v>
      </c>
      <c r="AC3" s="0" t="n">
        <v>171.3</v>
      </c>
      <c r="AD3" s="0" t="n">
        <v>181.9</v>
      </c>
    </row>
    <row r="4" customFormat="false" ht="15" hidden="false" customHeight="false" outlineLevel="0" collapsed="false">
      <c r="A4" s="0" t="s">
        <v>68</v>
      </c>
      <c r="B4" s="0" t="n">
        <v>311.4</v>
      </c>
      <c r="F4" s="0" t="n">
        <v>203.1</v>
      </c>
      <c r="G4" s="0" t="n">
        <v>65.2</v>
      </c>
      <c r="H4" s="0" t="n">
        <v>211.1</v>
      </c>
      <c r="I4" s="0" t="n">
        <v>154.7</v>
      </c>
      <c r="J4" s="0" t="n">
        <v>49.7</v>
      </c>
      <c r="K4" s="0" t="n">
        <v>0.156</v>
      </c>
      <c r="L4" s="0" t="n">
        <v>178.1</v>
      </c>
      <c r="M4" s="0" t="n">
        <v>3.7</v>
      </c>
      <c r="N4" s="0" t="n">
        <v>174.4</v>
      </c>
      <c r="O4" s="0" t="n">
        <v>-21.4</v>
      </c>
      <c r="P4" s="0" t="n">
        <v>390.5</v>
      </c>
      <c r="Q4" s="0" t="n">
        <v>411.9</v>
      </c>
      <c r="R4" s="0" t="n">
        <v>357.8</v>
      </c>
      <c r="S4" s="0" t="n">
        <v>8</v>
      </c>
      <c r="T4" s="0" t="n">
        <v>991.7</v>
      </c>
      <c r="U4" s="0" t="n">
        <v>4</v>
      </c>
      <c r="AA4" s="0" t="s">
        <v>18</v>
      </c>
      <c r="AB4" s="0" t="s">
        <v>14</v>
      </c>
      <c r="AC4" s="0" t="n">
        <v>207.2</v>
      </c>
    </row>
    <row r="5" customFormat="false" ht="15" hidden="false" customHeight="false" outlineLevel="0" collapsed="false">
      <c r="A5" s="0" t="s">
        <v>69</v>
      </c>
      <c r="B5" s="0" t="n">
        <v>330.1</v>
      </c>
      <c r="F5" s="0" t="n">
        <v>220.6</v>
      </c>
      <c r="G5" s="0" t="n">
        <v>66.8</v>
      </c>
      <c r="H5" s="0" t="n">
        <v>227.7</v>
      </c>
      <c r="I5" s="0" t="n">
        <v>171.3</v>
      </c>
      <c r="J5" s="0" t="n">
        <v>51.9</v>
      </c>
      <c r="K5" s="0" t="n">
        <v>0.177</v>
      </c>
      <c r="L5" s="0" t="n">
        <v>186.7</v>
      </c>
      <c r="M5" s="0" t="n">
        <v>2.9</v>
      </c>
      <c r="N5" s="0" t="n">
        <v>183.8</v>
      </c>
      <c r="O5" s="0" t="n">
        <v>4.6</v>
      </c>
      <c r="P5" s="0" t="n">
        <v>400.7</v>
      </c>
      <c r="Q5" s="0" t="n">
        <v>396.1</v>
      </c>
      <c r="R5" s="0" t="n">
        <v>340.8</v>
      </c>
      <c r="S5" s="0" t="n">
        <v>4.3</v>
      </c>
      <c r="T5" s="0" t="n">
        <v>967.8</v>
      </c>
      <c r="U5" s="0" t="n">
        <v>3.3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70</v>
      </c>
      <c r="B6" s="0" t="n">
        <v>355.1</v>
      </c>
      <c r="F6" s="0" t="n">
        <v>243.7</v>
      </c>
      <c r="G6" s="0" t="n">
        <v>68.6</v>
      </c>
      <c r="H6" s="0" t="n">
        <v>252.6</v>
      </c>
      <c r="I6" s="0" t="n">
        <v>197.7</v>
      </c>
      <c r="J6" s="0" t="n">
        <v>55.7</v>
      </c>
      <c r="K6" s="0" t="n">
        <v>0.209</v>
      </c>
      <c r="L6" s="0" t="n">
        <v>216.3</v>
      </c>
      <c r="M6" s="0" t="n">
        <v>2.3</v>
      </c>
      <c r="N6" s="0" t="n">
        <v>214</v>
      </c>
      <c r="O6" s="0" t="n">
        <v>59</v>
      </c>
      <c r="P6" s="0" t="n">
        <v>451.4</v>
      </c>
      <c r="Q6" s="0" t="n">
        <v>392.4</v>
      </c>
      <c r="R6" s="0" t="n">
        <v>310.3</v>
      </c>
      <c r="S6" s="0" t="n">
        <v>5.9</v>
      </c>
      <c r="T6" s="0" t="n">
        <v>945.9</v>
      </c>
      <c r="U6" s="0" t="n">
        <v>4.7</v>
      </c>
      <c r="V6" s="0" t="n">
        <v>0.067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71</v>
      </c>
      <c r="B7" s="0" t="n">
        <v>368.9</v>
      </c>
      <c r="F7" s="0" t="n">
        <v>258.9</v>
      </c>
      <c r="G7" s="0" t="n">
        <v>70.2</v>
      </c>
      <c r="H7" s="0" t="n">
        <v>265.4</v>
      </c>
      <c r="I7" s="0" t="n">
        <v>205.1</v>
      </c>
      <c r="J7" s="0" t="n">
        <v>55.6</v>
      </c>
      <c r="K7" s="0" t="n">
        <v>0.2208</v>
      </c>
      <c r="L7" s="0" t="n">
        <v>195.7</v>
      </c>
      <c r="M7" s="0" t="n">
        <v>1.5</v>
      </c>
      <c r="N7" s="0" t="n">
        <v>194.2</v>
      </c>
      <c r="O7" s="0" t="n">
        <v>141.6</v>
      </c>
      <c r="P7" s="0" t="n">
        <v>508.9</v>
      </c>
      <c r="Q7" s="0" t="n">
        <v>367.3</v>
      </c>
      <c r="R7" s="0" t="n">
        <v>310.5</v>
      </c>
      <c r="S7" s="0" t="n">
        <v>37.6</v>
      </c>
      <c r="T7" s="0" t="n">
        <v>928.9</v>
      </c>
      <c r="U7" s="0" t="n">
        <v>3.4</v>
      </c>
      <c r="V7" s="0" t="n">
        <v>0.024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72</v>
      </c>
      <c r="B8" s="0" t="n">
        <v>262.8</v>
      </c>
      <c r="F8" s="0" t="n">
        <v>161.2</v>
      </c>
      <c r="G8" s="0" t="n">
        <v>61.3</v>
      </c>
      <c r="H8" s="0" t="n">
        <v>167.5</v>
      </c>
      <c r="I8" s="0" t="n">
        <v>127.8</v>
      </c>
      <c r="J8" s="0" t="n">
        <v>48.6</v>
      </c>
      <c r="K8" s="0" t="n">
        <v>0.132</v>
      </c>
      <c r="L8" s="0" t="n">
        <v>124.7</v>
      </c>
      <c r="M8" s="0" t="n">
        <v>1.4</v>
      </c>
      <c r="N8" s="0" t="n">
        <v>123.3</v>
      </c>
      <c r="O8" s="0" t="n">
        <v>458.7</v>
      </c>
      <c r="P8" s="0" t="n">
        <v>534.5</v>
      </c>
      <c r="Q8" s="0" t="n">
        <v>75.8</v>
      </c>
      <c r="R8" s="0" t="n">
        <v>27.6</v>
      </c>
      <c r="S8" s="0" t="n">
        <v>45.7</v>
      </c>
      <c r="T8" s="0" t="n">
        <v>968.2</v>
      </c>
      <c r="U8" s="0" t="n">
        <v>3.3</v>
      </c>
      <c r="V8" s="0" t="n">
        <v>0.05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73</v>
      </c>
      <c r="B9" s="0" t="n">
        <v>432.7</v>
      </c>
      <c r="F9" s="0" t="n">
        <v>303.6</v>
      </c>
      <c r="G9" s="0" t="n">
        <v>70.2</v>
      </c>
      <c r="H9" s="0" t="n">
        <v>310.8</v>
      </c>
      <c r="I9" s="0" t="n">
        <v>244.7</v>
      </c>
      <c r="J9" s="0" t="n">
        <v>56.6</v>
      </c>
      <c r="K9" s="0" t="n">
        <v>0.2556</v>
      </c>
      <c r="L9" s="0" t="n">
        <v>271.9</v>
      </c>
      <c r="M9" s="0" t="n">
        <v>2.8</v>
      </c>
      <c r="N9" s="0" t="n">
        <v>269.1</v>
      </c>
      <c r="O9" s="0" t="n">
        <v>472.5</v>
      </c>
      <c r="P9" s="0" t="n">
        <v>542.9</v>
      </c>
      <c r="Q9" s="0" t="n">
        <v>70.4</v>
      </c>
      <c r="R9" s="0" t="n">
        <v>0</v>
      </c>
      <c r="S9" s="0" t="n">
        <v>51.3</v>
      </c>
      <c r="T9" s="0" t="n">
        <v>957.4</v>
      </c>
      <c r="U9" s="0" t="n">
        <v>5.1</v>
      </c>
      <c r="V9" s="0" t="n">
        <v>0.082</v>
      </c>
      <c r="AA9" s="0" t="s">
        <v>18</v>
      </c>
      <c r="AB9" s="0" t="s">
        <v>14</v>
      </c>
      <c r="AD9" s="0" t="n">
        <v>307.9</v>
      </c>
    </row>
    <row r="10" customFormat="false" ht="15" hidden="false" customHeight="false" outlineLevel="0" collapsed="false">
      <c r="A10" s="0" t="s">
        <v>74</v>
      </c>
      <c r="B10" s="0" t="n">
        <v>500.2</v>
      </c>
      <c r="C10" s="0" t="n">
        <v>15.7</v>
      </c>
      <c r="F10" s="0" t="n">
        <v>277.6</v>
      </c>
      <c r="G10" s="0" t="n">
        <v>55.5</v>
      </c>
      <c r="H10" s="0" t="n">
        <v>291.7</v>
      </c>
      <c r="I10" s="0" t="n">
        <v>233.9</v>
      </c>
      <c r="J10" s="0" t="n">
        <v>46.8</v>
      </c>
      <c r="K10" s="0" t="n">
        <v>0.2477</v>
      </c>
      <c r="L10" s="0" t="n">
        <v>266.9</v>
      </c>
      <c r="M10" s="0" t="n">
        <v>3.4</v>
      </c>
      <c r="N10" s="0" t="n">
        <v>263.5</v>
      </c>
      <c r="O10" s="0" t="n">
        <v>527.3</v>
      </c>
      <c r="P10" s="0" t="n">
        <v>662.7</v>
      </c>
      <c r="Q10" s="0" t="n">
        <v>135.4</v>
      </c>
      <c r="R10" s="0" t="n">
        <v>58.6</v>
      </c>
      <c r="S10" s="0" t="n">
        <v>16.6</v>
      </c>
      <c r="T10" s="0" t="n">
        <v>944.3</v>
      </c>
      <c r="U10" s="0" t="n">
        <v>5.8</v>
      </c>
      <c r="V10" s="0" t="n">
        <v>0.084</v>
      </c>
      <c r="AA10" s="0" t="s">
        <v>18</v>
      </c>
      <c r="AB10" s="0" t="s">
        <v>14</v>
      </c>
      <c r="AD10" s="0" t="n">
        <v>328</v>
      </c>
    </row>
    <row r="11" customFormat="false" ht="15" hidden="false" customHeight="false" outlineLevel="0" collapsed="false">
      <c r="A11" s="0" t="s">
        <v>75</v>
      </c>
      <c r="B11" s="0" t="n">
        <v>570.9</v>
      </c>
      <c r="C11" s="0" t="n">
        <v>28.2</v>
      </c>
      <c r="F11" s="0" t="n">
        <v>348.7</v>
      </c>
      <c r="G11" s="0" t="n">
        <v>61.1</v>
      </c>
      <c r="H11" s="0" t="n">
        <v>367</v>
      </c>
      <c r="I11" s="0" t="n">
        <v>256.9</v>
      </c>
      <c r="J11" s="0" t="n">
        <v>45</v>
      </c>
      <c r="K11" s="0" t="n">
        <v>0.2807</v>
      </c>
      <c r="L11" s="0" t="n">
        <v>287.5</v>
      </c>
      <c r="M11" s="0" t="n">
        <v>3.8</v>
      </c>
      <c r="N11" s="0" t="n">
        <v>283.7</v>
      </c>
      <c r="O11" s="0" t="n">
        <v>552.3</v>
      </c>
      <c r="P11" s="0" t="n">
        <v>658</v>
      </c>
      <c r="Q11" s="0" t="n">
        <v>105.7</v>
      </c>
      <c r="R11" s="0" t="n">
        <v>27.7</v>
      </c>
      <c r="S11" s="0" t="n">
        <v>18.7</v>
      </c>
      <c r="T11" s="0" t="n">
        <v>915.2</v>
      </c>
      <c r="U11" s="0" t="n">
        <v>7.5</v>
      </c>
      <c r="V11" s="0" t="n">
        <v>0.096</v>
      </c>
      <c r="AA11" s="0" t="s">
        <v>18</v>
      </c>
      <c r="AB11" s="0" t="s">
        <v>14</v>
      </c>
      <c r="AD11" s="0" t="n">
        <v>375.3</v>
      </c>
    </row>
    <row r="12" customFormat="false" ht="15" hidden="false" customHeight="false" outlineLevel="0" collapsed="false">
      <c r="A12" s="0" t="s">
        <v>76</v>
      </c>
      <c r="B12" s="0" t="n">
        <v>601.1</v>
      </c>
      <c r="C12" s="0" t="n">
        <v>26.2</v>
      </c>
      <c r="F12" s="0" t="n">
        <v>376.8</v>
      </c>
      <c r="G12" s="0" t="n">
        <v>62.7</v>
      </c>
      <c r="H12" s="0" t="n">
        <v>397.5</v>
      </c>
      <c r="I12" s="0" t="n">
        <v>282.6</v>
      </c>
      <c r="J12" s="0" t="n">
        <v>47</v>
      </c>
      <c r="K12" s="0" t="n">
        <v>0.3156</v>
      </c>
      <c r="L12" s="0" t="n">
        <v>304.6</v>
      </c>
      <c r="M12" s="0" t="n">
        <v>4</v>
      </c>
      <c r="N12" s="0" t="n">
        <v>300.6</v>
      </c>
      <c r="O12" s="0" t="n">
        <v>569.4</v>
      </c>
      <c r="P12" s="0" t="n">
        <v>639.6</v>
      </c>
      <c r="Q12" s="0" t="n">
        <v>70.2</v>
      </c>
      <c r="R12" s="0" t="n">
        <v>0</v>
      </c>
      <c r="S12" s="0" t="n">
        <v>15.3</v>
      </c>
      <c r="T12" s="0" t="n">
        <v>895.4</v>
      </c>
      <c r="U12" s="0" t="n">
        <v>9.7</v>
      </c>
      <c r="V12" s="0" t="n">
        <v>0.106</v>
      </c>
      <c r="AA12" s="0" t="s">
        <v>18</v>
      </c>
      <c r="AB12" s="0" t="s">
        <v>14</v>
      </c>
      <c r="AD12" s="0" t="n">
        <v>393.9</v>
      </c>
    </row>
    <row r="13" customFormat="false" ht="15" hidden="false" customHeight="false" outlineLevel="0" collapsed="false">
      <c r="A13" s="0" t="s">
        <v>77</v>
      </c>
      <c r="B13" s="0" t="n">
        <v>624.3</v>
      </c>
      <c r="C13" s="0" t="n">
        <v>29.9</v>
      </c>
      <c r="F13" s="0" t="n">
        <v>392.7</v>
      </c>
      <c r="G13" s="0" t="n">
        <v>62.9</v>
      </c>
      <c r="H13" s="0" t="n">
        <v>416.1</v>
      </c>
      <c r="I13" s="0" t="n">
        <v>293.9</v>
      </c>
      <c r="J13" s="0" t="n">
        <v>47.1</v>
      </c>
      <c r="K13" s="0" t="n">
        <v>0.3407</v>
      </c>
      <c r="L13" s="0" t="n">
        <v>322.8</v>
      </c>
      <c r="M13" s="0" t="n">
        <v>27.4</v>
      </c>
      <c r="N13" s="0" t="n">
        <v>295.4</v>
      </c>
      <c r="O13" s="0" t="n">
        <v>407.1</v>
      </c>
      <c r="P13" s="0" t="n">
        <v>685.3</v>
      </c>
      <c r="Q13" s="0" t="n">
        <v>278.2</v>
      </c>
      <c r="R13" s="0" t="n">
        <v>163.4</v>
      </c>
      <c r="S13" s="0" t="n">
        <v>18.2</v>
      </c>
      <c r="T13" s="0" t="n">
        <v>862.6</v>
      </c>
      <c r="U13" s="0" t="n">
        <v>9.2</v>
      </c>
      <c r="V13" s="0" t="n">
        <v>0.116</v>
      </c>
      <c r="AA13" s="0" t="s">
        <v>18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461.7</v>
      </c>
    </row>
    <row r="3" customFormat="false" ht="15" hidden="false" customHeight="false" outlineLevel="0" collapsed="false">
      <c r="A3" s="0" t="s">
        <v>81</v>
      </c>
      <c r="B3" s="3" t="n">
        <v>825.2</v>
      </c>
    </row>
    <row r="4" customFormat="false" ht="15" hidden="false" customHeight="false" outlineLevel="0" collapsed="false">
      <c r="A4" s="0" t="s">
        <v>82</v>
      </c>
      <c r="B4" s="3" t="n">
        <v>189.4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624.3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100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1</v>
      </c>
      <c r="D13" s="3" t="n">
        <v>-1</v>
      </c>
      <c r="E13" s="3" t="n">
        <v>-2</v>
      </c>
      <c r="F13" s="3" t="n">
        <v>-1</v>
      </c>
      <c r="G13" s="3" t="n">
        <v>0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102</v>
      </c>
      <c r="C14" s="3" t="n">
        <v>67.5</v>
      </c>
      <c r="D14" s="3" t="n">
        <v>66</v>
      </c>
      <c r="E14" s="3" t="n">
        <v>64.5</v>
      </c>
      <c r="F14" s="3" t="n">
        <v>63.5</v>
      </c>
      <c r="G14" s="3" t="n">
        <v>63</v>
      </c>
      <c r="H14" s="3" t="n">
        <v>63</v>
      </c>
      <c r="I14" s="3" t="n">
        <v>63</v>
      </c>
      <c r="J14" s="3" t="n">
        <v>63</v>
      </c>
      <c r="K14" s="3" t="n">
        <v>63</v>
      </c>
      <c r="L14" s="3" t="n">
        <v>63</v>
      </c>
    </row>
    <row r="15" customFormat="false" ht="15" hidden="false" customHeight="false" outlineLevel="0" collapsed="false">
      <c r="A15" s="0" t="s">
        <v>103</v>
      </c>
      <c r="C15" s="3" t="n">
        <v>2.2</v>
      </c>
      <c r="D15" s="3" t="n">
        <v>2.2</v>
      </c>
      <c r="E15" s="3" t="n">
        <v>2.2</v>
      </c>
      <c r="F15" s="3" t="n">
        <v>2.2</v>
      </c>
      <c r="G15" s="3" t="n">
        <v>2.2</v>
      </c>
      <c r="H15" s="3" t="n">
        <v>2.2</v>
      </c>
      <c r="I15" s="3" t="n">
        <v>2.2</v>
      </c>
      <c r="J15" s="3" t="n">
        <v>2.2</v>
      </c>
      <c r="K15" s="3" t="n">
        <v>2.2</v>
      </c>
      <c r="L15" s="3" t="n">
        <v>2.2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4.1</v>
      </c>
      <c r="D17" s="3" t="n">
        <v>4</v>
      </c>
      <c r="E17" s="3" t="n">
        <v>3.7</v>
      </c>
      <c r="F17" s="3" t="n">
        <v>3.3</v>
      </c>
      <c r="G17" s="3" t="n">
        <v>2.8</v>
      </c>
      <c r="H17" s="3" t="n">
        <v>2.4</v>
      </c>
      <c r="I17" s="3" t="n">
        <v>2.2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106</v>
      </c>
      <c r="C18" s="3" t="n">
        <v>0.8</v>
      </c>
      <c r="D18" s="3" t="n">
        <v>0.9</v>
      </c>
      <c r="E18" s="3" t="n">
        <v>1</v>
      </c>
      <c r="F18" s="3" t="n">
        <v>1.1</v>
      </c>
      <c r="G18" s="3" t="n">
        <v>1.2</v>
      </c>
      <c r="H18" s="3" t="n">
        <v>1.3</v>
      </c>
      <c r="I18" s="3" t="n">
        <v>1.4</v>
      </c>
      <c r="J18" s="3" t="n">
        <v>1.5</v>
      </c>
      <c r="K18" s="3" t="n">
        <v>1.5</v>
      </c>
      <c r="L18" s="3" t="n">
        <v>1.5</v>
      </c>
    </row>
    <row r="19" customFormat="false" ht="15" hidden="false" customHeight="false" outlineLevel="0" collapsed="false">
      <c r="A19" s="0" t="s">
        <v>107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108</v>
      </c>
      <c r="B20" s="3" t="n">
        <v>9</v>
      </c>
    </row>
    <row r="21" customFormat="false" ht="15" hidden="false" customHeight="false" outlineLevel="0" collapsed="false">
      <c r="A21" s="0" t="s">
        <v>109</v>
      </c>
      <c r="B21" s="3" t="n">
        <v>1.5</v>
      </c>
    </row>
    <row r="22" customFormat="false" ht="15" hidden="false" customHeight="false" outlineLevel="0" collapsed="false">
      <c r="A22" s="0" t="s">
        <v>110</v>
      </c>
      <c r="B22" s="3" t="n">
        <v>14</v>
      </c>
    </row>
    <row r="23" customFormat="false" ht="15" hidden="false" customHeight="false" outlineLevel="0" collapsed="false">
      <c r="A23" s="0" t="s">
        <v>111</v>
      </c>
      <c r="B23" s="3" t="n">
        <v>0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3.5</v>
      </c>
      <c r="D27" s="3" t="n">
        <v>4.5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102</v>
      </c>
      <c r="C28" s="3" t="n">
        <v>68.5</v>
      </c>
      <c r="D28" s="3" t="n">
        <v>68.7</v>
      </c>
      <c r="E28" s="3" t="n">
        <v>69</v>
      </c>
      <c r="F28" s="3" t="n">
        <v>69.2</v>
      </c>
      <c r="G28" s="3" t="n">
        <v>69.5</v>
      </c>
      <c r="H28" s="3" t="n">
        <v>69.5</v>
      </c>
      <c r="I28" s="3" t="n">
        <v>69.5</v>
      </c>
      <c r="J28" s="3" t="n">
        <v>69.5</v>
      </c>
      <c r="K28" s="3" t="n">
        <v>69.5</v>
      </c>
      <c r="L28" s="3" t="n">
        <v>69.5</v>
      </c>
    </row>
    <row r="29" customFormat="false" ht="15" hidden="false" customHeight="false" outlineLevel="0" collapsed="false">
      <c r="A29" s="0" t="s">
        <v>103</v>
      </c>
      <c r="C29" s="3" t="n">
        <v>2.2</v>
      </c>
      <c r="D29" s="3" t="n">
        <v>2.1</v>
      </c>
      <c r="E29" s="3" t="n">
        <v>2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3" t="n">
        <v>2</v>
      </c>
      <c r="L29" s="3" t="n">
        <v>2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4.1</v>
      </c>
      <c r="D31" s="3" t="n">
        <v>4</v>
      </c>
      <c r="E31" s="3" t="n">
        <v>3.7</v>
      </c>
      <c r="F31" s="3" t="n">
        <v>3.3</v>
      </c>
      <c r="G31" s="3" t="n">
        <v>2.8</v>
      </c>
      <c r="H31" s="3" t="n">
        <v>2.4</v>
      </c>
      <c r="I31" s="3" t="n">
        <v>2.2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106</v>
      </c>
      <c r="C32" s="3" t="n">
        <v>0.8</v>
      </c>
      <c r="D32" s="3" t="n">
        <v>0.8</v>
      </c>
      <c r="E32" s="3" t="n">
        <v>0.9</v>
      </c>
      <c r="F32" s="3" t="n">
        <v>1</v>
      </c>
      <c r="G32" s="3" t="n">
        <v>1.1</v>
      </c>
      <c r="H32" s="3" t="n">
        <v>1.2</v>
      </c>
      <c r="I32" s="3" t="n">
        <v>1.3</v>
      </c>
      <c r="J32" s="3" t="n">
        <v>1.4</v>
      </c>
      <c r="K32" s="3" t="n">
        <v>1.5</v>
      </c>
      <c r="L32" s="3" t="n">
        <v>1.5</v>
      </c>
    </row>
    <row r="33" customFormat="false" ht="15" hidden="false" customHeight="false" outlineLevel="0" collapsed="false">
      <c r="A33" s="0" t="s">
        <v>107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108</v>
      </c>
      <c r="B34" s="3" t="n">
        <v>9</v>
      </c>
    </row>
    <row r="35" customFormat="false" ht="15" hidden="false" customHeight="false" outlineLevel="0" collapsed="false">
      <c r="A35" s="0" t="s">
        <v>109</v>
      </c>
      <c r="B35" s="3" t="n">
        <v>2.5</v>
      </c>
    </row>
    <row r="36" customFormat="false" ht="15" hidden="false" customHeight="false" outlineLevel="0" collapsed="false">
      <c r="A36" s="0" t="s">
        <v>110</v>
      </c>
      <c r="B36" s="3" t="n">
        <v>18</v>
      </c>
    </row>
    <row r="37" customFormat="false" ht="15" hidden="false" customHeight="false" outlineLevel="0" collapsed="false">
      <c r="A37" s="0" t="s">
        <v>111</v>
      </c>
      <c r="B37" s="3" t="n">
        <v>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4.5</v>
      </c>
      <c r="D41" s="3" t="n">
        <v>6</v>
      </c>
      <c r="E41" s="3" t="n">
        <v>7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102</v>
      </c>
      <c r="C42" s="3" t="n">
        <v>68.8</v>
      </c>
      <c r="D42" s="3" t="n">
        <v>69.5</v>
      </c>
      <c r="E42" s="3" t="n">
        <v>70</v>
      </c>
      <c r="F42" s="3" t="n">
        <v>70.5</v>
      </c>
      <c r="G42" s="3" t="n">
        <v>71</v>
      </c>
      <c r="H42" s="3" t="n">
        <v>71.5</v>
      </c>
      <c r="I42" s="3" t="n">
        <v>71.5</v>
      </c>
      <c r="J42" s="3" t="n">
        <v>71.5</v>
      </c>
      <c r="K42" s="3" t="n">
        <v>71.5</v>
      </c>
      <c r="L42" s="3" t="n">
        <v>71.5</v>
      </c>
    </row>
    <row r="43" customFormat="false" ht="15" hidden="false" customHeight="false" outlineLevel="0" collapsed="false">
      <c r="A43" s="0" t="s">
        <v>103</v>
      </c>
      <c r="C43" s="3" t="n">
        <v>2.2</v>
      </c>
      <c r="D43" s="3" t="n">
        <v>2.1</v>
      </c>
      <c r="E43" s="3" t="n">
        <v>2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4.1</v>
      </c>
      <c r="D45" s="3" t="n">
        <v>4</v>
      </c>
      <c r="E45" s="3" t="n">
        <v>3.7</v>
      </c>
      <c r="F45" s="3" t="n">
        <v>3.3</v>
      </c>
      <c r="G45" s="3" t="n">
        <v>2.8</v>
      </c>
      <c r="H45" s="3" t="n">
        <v>2.4</v>
      </c>
      <c r="I45" s="3" t="n">
        <v>2.2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106</v>
      </c>
      <c r="C46" s="3" t="n">
        <v>0.8</v>
      </c>
      <c r="D46" s="3" t="n">
        <v>0.8</v>
      </c>
      <c r="E46" s="3" t="n">
        <v>0.9</v>
      </c>
      <c r="F46" s="3" t="n">
        <v>1</v>
      </c>
      <c r="G46" s="3" t="n">
        <v>1.1</v>
      </c>
      <c r="H46" s="3" t="n">
        <v>1.2</v>
      </c>
      <c r="I46" s="3" t="n">
        <v>1.3</v>
      </c>
      <c r="J46" s="3" t="n">
        <v>1.4</v>
      </c>
      <c r="K46" s="3" t="n">
        <v>1.5</v>
      </c>
      <c r="L46" s="3" t="n">
        <v>1.5</v>
      </c>
    </row>
    <row r="47" customFormat="false" ht="15" hidden="false" customHeight="false" outlineLevel="0" collapsed="false">
      <c r="A47" s="0" t="s">
        <v>107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108</v>
      </c>
      <c r="B48" s="3" t="n">
        <v>9</v>
      </c>
    </row>
    <row r="49" customFormat="false" ht="15" hidden="false" customHeight="false" outlineLevel="0" collapsed="false">
      <c r="A49" s="0" t="s">
        <v>109</v>
      </c>
      <c r="B49" s="3" t="n">
        <v>3</v>
      </c>
    </row>
    <row r="50" customFormat="false" ht="15" hidden="false" customHeight="false" outlineLevel="0" collapsed="false">
      <c r="A50" s="0" t="s">
        <v>110</v>
      </c>
      <c r="B50" s="3" t="n">
        <v>18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1</v>
      </c>
      <c r="D5" s="4" t="n">
        <f aca="false">Assumptions!D13</f>
        <v>-1</v>
      </c>
      <c r="E5" s="4" t="n">
        <f aca="false">Assumptions!E13</f>
        <v>-2</v>
      </c>
      <c r="F5" s="4" t="n">
        <f aca="false">Assumptions!F13</f>
        <v>-1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624.3</v>
      </c>
      <c r="C6" s="0" t="n">
        <f aca="false">B6*(1+C5/100)</f>
        <v>630.543</v>
      </c>
      <c r="D6" s="0" t="n">
        <f aca="false">C6*(1+D5/100)</f>
        <v>624.23757</v>
      </c>
      <c r="E6" s="0" t="n">
        <f aca="false">D6*(1+E5/100)</f>
        <v>611.7528186</v>
      </c>
      <c r="F6" s="0" t="n">
        <f aca="false">E6*(1+F5/100)</f>
        <v>605.635290414</v>
      </c>
      <c r="G6" s="0" t="n">
        <f aca="false">F6*(1+G5/100)</f>
        <v>605.635290414</v>
      </c>
      <c r="H6" s="0" t="n">
        <f aca="false">G6*(1+H5/100)</f>
        <v>611.69164331814</v>
      </c>
      <c r="I6" s="0" t="n">
        <f aca="false">H6*(1+I5/100)</f>
        <v>620.867017967912</v>
      </c>
      <c r="J6" s="0" t="n">
        <f aca="false">I6*(1+J5/100)</f>
        <v>630.180023237431</v>
      </c>
      <c r="K6" s="0" t="n">
        <f aca="false">J6*(1+K5/100)</f>
        <v>639.632723585992</v>
      </c>
      <c r="L6" s="0" t="n">
        <f aca="false">K6*(1+L5/100)</f>
        <v>649.227214439782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67.5</v>
      </c>
      <c r="D7" s="4" t="n">
        <f aca="false">Assumptions!D14</f>
        <v>66</v>
      </c>
      <c r="E7" s="4" t="n">
        <f aca="false">Assumptions!E14</f>
        <v>64.5</v>
      </c>
      <c r="F7" s="4" t="n">
        <f aca="false">Assumptions!F14</f>
        <v>63.5</v>
      </c>
      <c r="G7" s="4" t="n">
        <f aca="false">Assumptions!G14</f>
        <v>63</v>
      </c>
      <c r="H7" s="4" t="n">
        <f aca="false">Assumptions!H14</f>
        <v>63</v>
      </c>
      <c r="I7" s="4" t="n">
        <f aca="false">Assumptions!I14</f>
        <v>63</v>
      </c>
      <c r="J7" s="4" t="n">
        <f aca="false">Assumptions!J14</f>
        <v>63</v>
      </c>
      <c r="K7" s="4" t="n">
        <f aca="false">Assumptions!K14</f>
        <v>63</v>
      </c>
      <c r="L7" s="4" t="n">
        <f aca="false">Assumptions!L14</f>
        <v>63</v>
      </c>
    </row>
    <row r="8" customFormat="false" ht="15" hidden="false" customHeight="false" outlineLevel="0" collapsed="false">
      <c r="A8" s="0" t="s">
        <v>44</v>
      </c>
      <c r="C8" s="0" t="n">
        <f aca="false">C6*C7/100</f>
        <v>425.616525</v>
      </c>
      <c r="D8" s="0" t="n">
        <f aca="false">D6*D7/100</f>
        <v>411.9967962</v>
      </c>
      <c r="E8" s="0" t="n">
        <f aca="false">E6*E7/100</f>
        <v>394.580567997</v>
      </c>
      <c r="F8" s="0" t="n">
        <f aca="false">F6*F7/100</f>
        <v>384.57840941289</v>
      </c>
      <c r="G8" s="0" t="n">
        <f aca="false">G6*G7/100</f>
        <v>381.55023296082</v>
      </c>
      <c r="H8" s="0" t="n">
        <f aca="false">H6*H7/100</f>
        <v>385.365735290428</v>
      </c>
      <c r="I8" s="0" t="n">
        <f aca="false">I6*I7/100</f>
        <v>391.146221319785</v>
      </c>
      <c r="J8" s="0" t="n">
        <f aca="false">J6*J7/100</f>
        <v>397.013414639581</v>
      </c>
      <c r="K8" s="0" t="n">
        <f aca="false">K6*K7/100</f>
        <v>402.968615859175</v>
      </c>
      <c r="L8" s="0" t="n">
        <f aca="false">L6*L7/100</f>
        <v>409.013145097063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2.2</v>
      </c>
      <c r="D9" s="4" t="n">
        <f aca="false">Assumptions!D15</f>
        <v>2.2</v>
      </c>
      <c r="E9" s="4" t="n">
        <f aca="false">Assumptions!E15</f>
        <v>2.2</v>
      </c>
      <c r="F9" s="4" t="n">
        <f aca="false">Assumptions!F15</f>
        <v>2.2</v>
      </c>
      <c r="G9" s="4" t="n">
        <f aca="false">Assumptions!G15</f>
        <v>2.2</v>
      </c>
      <c r="H9" s="4" t="n">
        <f aca="false">Assumptions!H15</f>
        <v>2.2</v>
      </c>
      <c r="I9" s="4" t="n">
        <f aca="false">Assumptions!I15</f>
        <v>2.2</v>
      </c>
      <c r="J9" s="4" t="n">
        <f aca="false">Assumptions!J15</f>
        <v>2.2</v>
      </c>
      <c r="K9" s="4" t="n">
        <f aca="false">Assumptions!K15</f>
        <v>2.2</v>
      </c>
      <c r="L9" s="4" t="n">
        <f aca="false">Assumptions!L15</f>
        <v>2.2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-13.871946</v>
      </c>
      <c r="D10" s="0" t="n">
        <f aca="false">-D6*D9/100</f>
        <v>-13.73322654</v>
      </c>
      <c r="E10" s="0" t="n">
        <f aca="false">-E6*E9/100</f>
        <v>-13.4585620092</v>
      </c>
      <c r="F10" s="0" t="n">
        <f aca="false">-F6*F9/100</f>
        <v>-13.323976389108</v>
      </c>
      <c r="G10" s="0" t="n">
        <f aca="false">-G6*G9/100</f>
        <v>-13.323976389108</v>
      </c>
      <c r="H10" s="0" t="n">
        <f aca="false">-H6*H9/100</f>
        <v>-13.4572161529991</v>
      </c>
      <c r="I10" s="0" t="n">
        <f aca="false">-I6*I9/100</f>
        <v>-13.6590743952941</v>
      </c>
      <c r="J10" s="0" t="n">
        <f aca="false">-J6*J9/100</f>
        <v>-13.8639605112235</v>
      </c>
      <c r="K10" s="0" t="n">
        <f aca="false">-K6*K9/100</f>
        <v>-14.0719199188918</v>
      </c>
      <c r="L10" s="0" t="n">
        <f aca="false">-L6*L9/100</f>
        <v>-14.2829987176752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411.744579</v>
      </c>
      <c r="D11" s="0" t="n">
        <f aca="false">D8+D10+D24</f>
        <v>398.26356966</v>
      </c>
      <c r="E11" s="0" t="n">
        <f aca="false">E8+E10+E24</f>
        <v>381.1220059878</v>
      </c>
      <c r="F11" s="0" t="n">
        <f aca="false">F8+F10+F24</f>
        <v>371.254433023782</v>
      </c>
      <c r="G11" s="0" t="n">
        <f aca="false">G8+G10+G24</f>
        <v>368.226256571712</v>
      </c>
      <c r="H11" s="0" t="n">
        <f aca="false">H8+H10+H24</f>
        <v>371.908519137429</v>
      </c>
      <c r="I11" s="0" t="n">
        <f aca="false">I8+I10+I24</f>
        <v>377.487146924491</v>
      </c>
      <c r="J11" s="0" t="n">
        <f aca="false">J8+J10+J24</f>
        <v>383.149454128358</v>
      </c>
      <c r="K11" s="0" t="n">
        <f aca="false">K8+K10+K24</f>
        <v>388.896695940283</v>
      </c>
      <c r="L11" s="0" t="n">
        <f aca="false">L8+L10+L24</f>
        <v>394.730146379387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-25.852263</v>
      </c>
      <c r="D12" s="4" t="n">
        <f aca="false">-D6*Assumptions!D17/100</f>
        <v>-24.9695028</v>
      </c>
      <c r="E12" s="4" t="n">
        <f aca="false">-E6*Assumptions!E17/100</f>
        <v>-22.6348542882</v>
      </c>
      <c r="F12" s="4" t="n">
        <f aca="false">-F6*Assumptions!F17/100</f>
        <v>-19.985964583662</v>
      </c>
      <c r="G12" s="4" t="n">
        <f aca="false">-G6*Assumptions!G17/100</f>
        <v>-16.957788131592</v>
      </c>
      <c r="H12" s="4" t="n">
        <f aca="false">-H6*Assumptions!H17/100</f>
        <v>-14.6805994396354</v>
      </c>
      <c r="I12" s="4" t="n">
        <f aca="false">-I6*Assumptions!I17/100</f>
        <v>-13.6590743952941</v>
      </c>
      <c r="J12" s="4" t="n">
        <f aca="false">-J6*Assumptions!J17/100</f>
        <v>-12.6036004647486</v>
      </c>
      <c r="K12" s="4" t="n">
        <f aca="false">-K6*Assumptions!K17/100</f>
        <v>-12.7926544717198</v>
      </c>
      <c r="L12" s="4" t="n">
        <f aca="false">-L6*Assumptions!L17/100</f>
        <v>-12.9845442887956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385.892316</v>
      </c>
      <c r="D13" s="0" t="n">
        <f aca="false">D11+D12</f>
        <v>373.29406686</v>
      </c>
      <c r="E13" s="0" t="n">
        <f aca="false">E11+E12</f>
        <v>358.4871516996</v>
      </c>
      <c r="F13" s="0" t="n">
        <f aca="false">F11+F12</f>
        <v>351.26846844012</v>
      </c>
      <c r="G13" s="0" t="n">
        <f aca="false">G11+G12</f>
        <v>351.26846844012</v>
      </c>
      <c r="H13" s="0" t="n">
        <f aca="false">H11+H12</f>
        <v>357.227919697794</v>
      </c>
      <c r="I13" s="0" t="n">
        <f aca="false">I11+I12</f>
        <v>363.828072529197</v>
      </c>
      <c r="J13" s="0" t="n">
        <f aca="false">J11+J12</f>
        <v>370.545853663609</v>
      </c>
      <c r="K13" s="0" t="n">
        <f aca="false">K11+K12</f>
        <v>376.104041468563</v>
      </c>
      <c r="L13" s="0" t="n">
        <f aca="false">L11+L12</f>
        <v>381.745602090592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289.419237</v>
      </c>
      <c r="D15" s="0" t="n">
        <f aca="false">D13-MAX(0,D13)*D14/100</f>
        <v>279.970550145</v>
      </c>
      <c r="E15" s="0" t="n">
        <f aca="false">E13-MAX(0,E13)*E14/100</f>
        <v>268.8653637747</v>
      </c>
      <c r="F15" s="0" t="n">
        <f aca="false">F13-MAX(0,F13)*F14/100</f>
        <v>263.45135133009</v>
      </c>
      <c r="G15" s="0" t="n">
        <f aca="false">G13-MAX(0,G13)*G14/100</f>
        <v>263.45135133009</v>
      </c>
      <c r="H15" s="0" t="n">
        <f aca="false">H13-MAX(0,H13)*H14/100</f>
        <v>267.920939773345</v>
      </c>
      <c r="I15" s="0" t="n">
        <f aca="false">I13-MAX(0,I13)*I14/100</f>
        <v>272.871054396897</v>
      </c>
      <c r="J15" s="0" t="n">
        <f aca="false">J13-MAX(0,J13)*J14/100</f>
        <v>277.909390247707</v>
      </c>
      <c r="K15" s="0" t="n">
        <f aca="false">K13-MAX(0,K13)*K14/100</f>
        <v>282.078031101423</v>
      </c>
      <c r="L15" s="0" t="n">
        <f aca="false">L13-MAX(0,L13)*L14/100</f>
        <v>286.309201567944</v>
      </c>
    </row>
    <row r="16" customFormat="false" ht="15" hidden="false" customHeight="false" outlineLevel="0" collapsed="false">
      <c r="A16" s="0" t="s">
        <v>123</v>
      </c>
      <c r="C16" s="0" t="n">
        <f aca="false">-C12</f>
        <v>25.852263</v>
      </c>
      <c r="D16" s="0" t="n">
        <f aca="false">-D12</f>
        <v>24.9695028</v>
      </c>
      <c r="E16" s="0" t="n">
        <f aca="false">-E12</f>
        <v>22.6348542882</v>
      </c>
      <c r="F16" s="0" t="n">
        <f aca="false">-F12</f>
        <v>19.985964583662</v>
      </c>
      <c r="G16" s="0" t="n">
        <f aca="false">-G12</f>
        <v>16.957788131592</v>
      </c>
      <c r="H16" s="0" t="n">
        <f aca="false">-H12</f>
        <v>14.6805994396354</v>
      </c>
      <c r="I16" s="0" t="n">
        <f aca="false">-I12</f>
        <v>13.6590743952941</v>
      </c>
      <c r="J16" s="0" t="n">
        <f aca="false">-J12</f>
        <v>12.6036004647486</v>
      </c>
      <c r="K16" s="0" t="n">
        <f aca="false">-K12</f>
        <v>12.7926544717198</v>
      </c>
      <c r="L16" s="0" t="n">
        <f aca="false">-L12</f>
        <v>12.9845442887956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-5.044344</v>
      </c>
      <c r="D17" s="4" t="n">
        <f aca="false">-D6*Assumptions!D18/100</f>
        <v>-5.61813813</v>
      </c>
      <c r="E17" s="4" t="n">
        <f aca="false">-E6*Assumptions!E18/100</f>
        <v>-6.117528186</v>
      </c>
      <c r="F17" s="4" t="n">
        <f aca="false">-F6*Assumptions!F18/100</f>
        <v>-6.661988194554</v>
      </c>
      <c r="G17" s="4" t="n">
        <f aca="false">-G6*Assumptions!G18/100</f>
        <v>-7.267623484968</v>
      </c>
      <c r="H17" s="4" t="n">
        <f aca="false">-H6*Assumptions!H18/100</f>
        <v>-7.95199136313582</v>
      </c>
      <c r="I17" s="4" t="n">
        <f aca="false">-I6*Assumptions!I18/100</f>
        <v>-8.69213825155077</v>
      </c>
      <c r="J17" s="4" t="n">
        <f aca="false">-J6*Assumptions!J18/100</f>
        <v>-9.45270034856146</v>
      </c>
      <c r="K17" s="4" t="n">
        <f aca="false">-K6*Assumptions!K18/100</f>
        <v>-9.59449085378988</v>
      </c>
      <c r="L17" s="4" t="n">
        <f aca="false">-L6*Assumptions!L18/100</f>
        <v>-9.73840821659673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310.227156</v>
      </c>
      <c r="D19" s="0" t="n">
        <f aca="false">D15+D16+D17+D18</f>
        <v>299.321914815</v>
      </c>
      <c r="E19" s="0" t="n">
        <f aca="false">E15+E16+E17+E18</f>
        <v>285.3826898769</v>
      </c>
      <c r="F19" s="0" t="n">
        <f aca="false">F15+F16+F17+F18</f>
        <v>276.775327719198</v>
      </c>
      <c r="G19" s="0" t="n">
        <f aca="false">G15+G16+G17+G18</f>
        <v>273.141515976714</v>
      </c>
      <c r="H19" s="0" t="n">
        <f aca="false">H15+H16+H17+H18</f>
        <v>274.649547849845</v>
      </c>
      <c r="I19" s="0" t="n">
        <f aca="false">I15+I16+I17+I18</f>
        <v>277.837990540641</v>
      </c>
      <c r="J19" s="0" t="n">
        <f aca="false">J15+J16+J17+J18</f>
        <v>281.060290363894</v>
      </c>
      <c r="K19" s="0" t="n">
        <f aca="false">K15+K16+K17+K18</f>
        <v>285.276194719353</v>
      </c>
      <c r="L19" s="0" t="n">
        <f aca="false">L15+L16+L17+L18</f>
        <v>289.555337640143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284.612069724771</v>
      </c>
      <c r="D21" s="0" t="n">
        <f aca="false">D19*D20</f>
        <v>251.933267246023</v>
      </c>
      <c r="E21" s="0" t="n">
        <f aca="false">E19*E20</f>
        <v>220.367798618332</v>
      </c>
      <c r="F21" s="0" t="n">
        <f aca="false">F19*F20</f>
        <v>196.074619957112</v>
      </c>
      <c r="G21" s="0" t="n">
        <f aca="false">G19*G20</f>
        <v>177.523244134377</v>
      </c>
      <c r="H21" s="0" t="n">
        <f aca="false">H19*H20</f>
        <v>163.764551725012</v>
      </c>
      <c r="I21" s="0" t="n">
        <f aca="false">I19*I20</f>
        <v>151.986895344184</v>
      </c>
      <c r="J21" s="0" t="n">
        <f aca="false">J19*J20</f>
        <v>141.054682288675</v>
      </c>
      <c r="K21" s="0" t="n">
        <f aca="false">K19*K20</f>
        <v>131.349084883491</v>
      </c>
      <c r="L21" s="0" t="n">
        <f aca="false">L19*L20</f>
        <v>122.311303813526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1840.9775177355</v>
      </c>
    </row>
    <row r="31" customFormat="false" ht="15" hidden="false" customHeight="false" outlineLevel="0" collapsed="false">
      <c r="A31" s="0" t="s">
        <v>132</v>
      </c>
      <c r="B31" s="0" t="n">
        <f aca="false">L19</f>
        <v>289.555337640143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3918.64890272993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4053.774726962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3918.64890272993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1655.27964494306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3496.25716267856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3306.85716267856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400.734023591682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-0.132046732528304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87.7430583533414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81.6505654456216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421.261607668144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2177.0271681833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217.431618259142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3.5</v>
      </c>
      <c r="D5" s="4" t="n">
        <f aca="false">Assumptions!D27</f>
        <v>4.5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624.3</v>
      </c>
      <c r="C6" s="0" t="n">
        <f aca="false">B6*(1+C5/100)</f>
        <v>646.1505</v>
      </c>
      <c r="D6" s="0" t="n">
        <f aca="false">C6*(1+D5/100)</f>
        <v>675.2272725</v>
      </c>
      <c r="E6" s="0" t="n">
        <f aca="false">D6*(1+E5/100)</f>
        <v>708.988636125</v>
      </c>
      <c r="F6" s="0" t="n">
        <f aca="false">E6*(1+F5/100)</f>
        <v>744.43806793125</v>
      </c>
      <c r="G6" s="0" t="n">
        <f aca="false">F6*(1+G5/100)</f>
        <v>777.937780988156</v>
      </c>
      <c r="H6" s="0" t="n">
        <f aca="false">G6*(1+H5/100)</f>
        <v>809.055292227682</v>
      </c>
      <c r="I6" s="0" t="n">
        <f aca="false">H6*(1+I5/100)</f>
        <v>837.372227455651</v>
      </c>
      <c r="J6" s="0" t="n">
        <f aca="false">I6*(1+J5/100)</f>
        <v>862.493394279321</v>
      </c>
      <c r="K6" s="0" t="n">
        <f aca="false">J6*(1+K5/100)</f>
        <v>888.3681961077</v>
      </c>
      <c r="L6" s="0" t="n">
        <f aca="false">K6*(1+L5/100)</f>
        <v>910.577401010393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68.5</v>
      </c>
      <c r="D7" s="4" t="n">
        <f aca="false">Assumptions!D28</f>
        <v>68.7</v>
      </c>
      <c r="E7" s="4" t="n">
        <f aca="false">Assumptions!E28</f>
        <v>69</v>
      </c>
      <c r="F7" s="4" t="n">
        <f aca="false">Assumptions!F28</f>
        <v>69.2</v>
      </c>
      <c r="G7" s="4" t="n">
        <f aca="false">Assumptions!G28</f>
        <v>69.5</v>
      </c>
      <c r="H7" s="4" t="n">
        <f aca="false">Assumptions!H28</f>
        <v>69.5</v>
      </c>
      <c r="I7" s="4" t="n">
        <f aca="false">Assumptions!I28</f>
        <v>69.5</v>
      </c>
      <c r="J7" s="4" t="n">
        <f aca="false">Assumptions!J28</f>
        <v>69.5</v>
      </c>
      <c r="K7" s="4" t="n">
        <f aca="false">Assumptions!K28</f>
        <v>69.5</v>
      </c>
      <c r="L7" s="4" t="n">
        <f aca="false">Assumptions!L28</f>
        <v>69.5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442.6130925</v>
      </c>
      <c r="D8" s="0" t="n">
        <f aca="false">D6*D7/100</f>
        <v>463.8811362075</v>
      </c>
      <c r="E8" s="0" t="n">
        <f aca="false">E6*E7/100</f>
        <v>489.20215892625</v>
      </c>
      <c r="F8" s="0" t="n">
        <f aca="false">F6*F7/100</f>
        <v>515.151143008425</v>
      </c>
      <c r="G8" s="0" t="n">
        <f aca="false">G6*G7/100</f>
        <v>540.666757786769</v>
      </c>
      <c r="H8" s="0" t="n">
        <f aca="false">H6*H7/100</f>
        <v>562.293428098239</v>
      </c>
      <c r="I8" s="0" t="n">
        <f aca="false">I6*I7/100</f>
        <v>581.973698081678</v>
      </c>
      <c r="J8" s="0" t="n">
        <f aca="false">J6*J7/100</f>
        <v>599.432909024128</v>
      </c>
      <c r="K8" s="0" t="n">
        <f aca="false">K6*K7/100</f>
        <v>617.415896294852</v>
      </c>
      <c r="L8" s="0" t="n">
        <f aca="false">L6*L7/100</f>
        <v>632.851293702223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2.2</v>
      </c>
      <c r="D9" s="4" t="n">
        <f aca="false">Assumptions!D29</f>
        <v>2.1</v>
      </c>
      <c r="E9" s="4" t="n">
        <f aca="false">Assumptions!E29</f>
        <v>2</v>
      </c>
      <c r="F9" s="4" t="n">
        <f aca="false">Assumptions!F29</f>
        <v>2</v>
      </c>
      <c r="G9" s="4" t="n">
        <f aca="false">Assumptions!G29</f>
        <v>2</v>
      </c>
      <c r="H9" s="4" t="n">
        <f aca="false">Assumptions!H29</f>
        <v>2</v>
      </c>
      <c r="I9" s="4" t="n">
        <f aca="false">Assumptions!I29</f>
        <v>2</v>
      </c>
      <c r="J9" s="4" t="n">
        <f aca="false">Assumptions!J29</f>
        <v>2</v>
      </c>
      <c r="K9" s="4" t="n">
        <f aca="false">Assumptions!K29</f>
        <v>2</v>
      </c>
      <c r="L9" s="4" t="n">
        <f aca="false">Assumptions!L29</f>
        <v>2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-14.215311</v>
      </c>
      <c r="D10" s="0" t="n">
        <f aca="false">-D6*D9/100</f>
        <v>-14.1797727225</v>
      </c>
      <c r="E10" s="0" t="n">
        <f aca="false">-E6*E9/100</f>
        <v>-14.1797727225</v>
      </c>
      <c r="F10" s="0" t="n">
        <f aca="false">-F6*F9/100</f>
        <v>-14.888761358625</v>
      </c>
      <c r="G10" s="0" t="n">
        <f aca="false">-G6*G9/100</f>
        <v>-15.5587556197631</v>
      </c>
      <c r="H10" s="0" t="n">
        <f aca="false">-H6*H9/100</f>
        <v>-16.1811058445536</v>
      </c>
      <c r="I10" s="0" t="n">
        <f aca="false">-I6*I9/100</f>
        <v>-16.747444549113</v>
      </c>
      <c r="J10" s="0" t="n">
        <f aca="false">-J6*J9/100</f>
        <v>-17.2498678855864</v>
      </c>
      <c r="K10" s="0" t="n">
        <f aca="false">-K6*K9/100</f>
        <v>-17.767363922154</v>
      </c>
      <c r="L10" s="0" t="n">
        <f aca="false">-L6*L9/100</f>
        <v>-18.2115480202079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428.3977815</v>
      </c>
      <c r="D11" s="0" t="n">
        <f aca="false">D8+D10+D24</f>
        <v>449.701363485</v>
      </c>
      <c r="E11" s="0" t="n">
        <f aca="false">E8+E10+E24</f>
        <v>475.02238620375</v>
      </c>
      <c r="F11" s="0" t="n">
        <f aca="false">F8+F10+F24</f>
        <v>500.2623816498</v>
      </c>
      <c r="G11" s="0" t="n">
        <f aca="false">G8+G10+G24</f>
        <v>525.108002167005</v>
      </c>
      <c r="H11" s="0" t="n">
        <f aca="false">H8+H10+H24</f>
        <v>546.112322253686</v>
      </c>
      <c r="I11" s="0" t="n">
        <f aca="false">I8+I10+I24</f>
        <v>565.226253532565</v>
      </c>
      <c r="J11" s="0" t="n">
        <f aca="false">J8+J10+J24</f>
        <v>582.183041138541</v>
      </c>
      <c r="K11" s="0" t="n">
        <f aca="false">K8+K10+K24</f>
        <v>599.648532372698</v>
      </c>
      <c r="L11" s="0" t="n">
        <f aca="false">L8+L10+L24</f>
        <v>614.639745682015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-26.4921705</v>
      </c>
      <c r="D12" s="4" t="n">
        <f aca="false">-D6*Assumptions!D31/100</f>
        <v>-27.0090909</v>
      </c>
      <c r="E12" s="4" t="n">
        <f aca="false">-E6*Assumptions!E31/100</f>
        <v>-26.232579536625</v>
      </c>
      <c r="F12" s="4" t="n">
        <f aca="false">-F6*Assumptions!F31/100</f>
        <v>-24.5664562417312</v>
      </c>
      <c r="G12" s="4" t="n">
        <f aca="false">-G6*Assumptions!G31/100</f>
        <v>-21.7822578676684</v>
      </c>
      <c r="H12" s="4" t="n">
        <f aca="false">-H6*Assumptions!H31/100</f>
        <v>-19.4173270134644</v>
      </c>
      <c r="I12" s="4" t="n">
        <f aca="false">-I6*Assumptions!I31/100</f>
        <v>-18.4221890040243</v>
      </c>
      <c r="J12" s="4" t="n">
        <f aca="false">-J6*Assumptions!J31/100</f>
        <v>-17.2498678855864</v>
      </c>
      <c r="K12" s="4" t="n">
        <f aca="false">-K6*Assumptions!K31/100</f>
        <v>-17.767363922154</v>
      </c>
      <c r="L12" s="4" t="n">
        <f aca="false">-L6*Assumptions!L31/100</f>
        <v>-18.2115480202079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401.905611</v>
      </c>
      <c r="D13" s="0" t="n">
        <f aca="false">D11+D12</f>
        <v>422.692272585</v>
      </c>
      <c r="E13" s="0" t="n">
        <f aca="false">E11+E12</f>
        <v>448.789806667125</v>
      </c>
      <c r="F13" s="0" t="n">
        <f aca="false">F11+F12</f>
        <v>475.695925408069</v>
      </c>
      <c r="G13" s="0" t="n">
        <f aca="false">G11+G12</f>
        <v>503.325744299337</v>
      </c>
      <c r="H13" s="0" t="n">
        <f aca="false">H11+H12</f>
        <v>526.694995240221</v>
      </c>
      <c r="I13" s="0" t="n">
        <f aca="false">I11+I12</f>
        <v>546.80406452854</v>
      </c>
      <c r="J13" s="0" t="n">
        <f aca="false">J11+J12</f>
        <v>564.933173252955</v>
      </c>
      <c r="K13" s="0" t="n">
        <f aca="false">K11+K12</f>
        <v>581.881168450544</v>
      </c>
      <c r="L13" s="0" t="n">
        <f aca="false">L11+L12</f>
        <v>596.428197661807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301.42920825</v>
      </c>
      <c r="D15" s="0" t="n">
        <f aca="false">D13-MAX(0,D13)*D14/100</f>
        <v>317.01920443875</v>
      </c>
      <c r="E15" s="0" t="n">
        <f aca="false">E13-MAX(0,E13)*E14/100</f>
        <v>336.592355000344</v>
      </c>
      <c r="F15" s="0" t="n">
        <f aca="false">F13-MAX(0,F13)*F14/100</f>
        <v>356.771944056052</v>
      </c>
      <c r="G15" s="0" t="n">
        <f aca="false">G13-MAX(0,G13)*G14/100</f>
        <v>377.494308224503</v>
      </c>
      <c r="H15" s="0" t="n">
        <f aca="false">H13-MAX(0,H13)*H14/100</f>
        <v>395.021246430166</v>
      </c>
      <c r="I15" s="0" t="n">
        <f aca="false">I13-MAX(0,I13)*I14/100</f>
        <v>410.103048396405</v>
      </c>
      <c r="J15" s="0" t="n">
        <f aca="false">J13-MAX(0,J13)*J14/100</f>
        <v>423.699879939716</v>
      </c>
      <c r="K15" s="0" t="n">
        <f aca="false">K13-MAX(0,K13)*K14/100</f>
        <v>436.410876337908</v>
      </c>
      <c r="L15" s="0" t="n">
        <f aca="false">L13-MAX(0,L13)*L14/100</f>
        <v>447.321148246356</v>
      </c>
    </row>
    <row r="16" customFormat="false" ht="15" hidden="false" customHeight="false" outlineLevel="0" collapsed="false">
      <c r="A16" s="0" t="s">
        <v>123</v>
      </c>
      <c r="C16" s="0" t="n">
        <f aca="false">-C12</f>
        <v>26.4921705</v>
      </c>
      <c r="D16" s="0" t="n">
        <f aca="false">-D12</f>
        <v>27.0090909</v>
      </c>
      <c r="E16" s="0" t="n">
        <f aca="false">-E12</f>
        <v>26.232579536625</v>
      </c>
      <c r="F16" s="0" t="n">
        <f aca="false">-F12</f>
        <v>24.5664562417312</v>
      </c>
      <c r="G16" s="0" t="n">
        <f aca="false">-G12</f>
        <v>21.7822578676684</v>
      </c>
      <c r="H16" s="0" t="n">
        <f aca="false">-H12</f>
        <v>19.4173270134644</v>
      </c>
      <c r="I16" s="0" t="n">
        <f aca="false">-I12</f>
        <v>18.4221890040243</v>
      </c>
      <c r="J16" s="0" t="n">
        <f aca="false">-J12</f>
        <v>17.2498678855864</v>
      </c>
      <c r="K16" s="0" t="n">
        <f aca="false">-K12</f>
        <v>17.767363922154</v>
      </c>
      <c r="L16" s="0" t="n">
        <f aca="false">-L12</f>
        <v>18.2115480202079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-5.169204</v>
      </c>
      <c r="D17" s="4" t="n">
        <f aca="false">-D6*Assumptions!D32/100</f>
        <v>-5.40181818</v>
      </c>
      <c r="E17" s="4" t="n">
        <f aca="false">-E6*Assumptions!E32/100</f>
        <v>-6.380897725125</v>
      </c>
      <c r="F17" s="4" t="n">
        <f aca="false">-F6*Assumptions!F32/100</f>
        <v>-7.4443806793125</v>
      </c>
      <c r="G17" s="4" t="n">
        <f aca="false">-G6*Assumptions!G32/100</f>
        <v>-8.55731559086972</v>
      </c>
      <c r="H17" s="4" t="n">
        <f aca="false">-H6*Assumptions!H32/100</f>
        <v>-9.70866350673219</v>
      </c>
      <c r="I17" s="4" t="n">
        <f aca="false">-I6*Assumptions!I32/100</f>
        <v>-10.8858389569235</v>
      </c>
      <c r="J17" s="4" t="n">
        <f aca="false">-J6*Assumptions!J32/100</f>
        <v>-12.0749075199105</v>
      </c>
      <c r="K17" s="4" t="n">
        <f aca="false">-K6*Assumptions!K32/100</f>
        <v>-13.3255229416155</v>
      </c>
      <c r="L17" s="4" t="n">
        <f aca="false">-L6*Assumptions!L32/100</f>
        <v>-13.6586610151559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322.75217475</v>
      </c>
      <c r="D19" s="0" t="n">
        <f aca="false">D15+D16+D17+D18</f>
        <v>338.62647715875</v>
      </c>
      <c r="E19" s="0" t="n">
        <f aca="false">E15+E16+E17+E18</f>
        <v>356.444036811844</v>
      </c>
      <c r="F19" s="0" t="n">
        <f aca="false">F15+F16+F17+F18</f>
        <v>373.89401961847</v>
      </c>
      <c r="G19" s="0" t="n">
        <f aca="false">G15+G16+G17+G18</f>
        <v>390.719250501301</v>
      </c>
      <c r="H19" s="0" t="n">
        <f aca="false">H15+H16+H17+H18</f>
        <v>404.729909936898</v>
      </c>
      <c r="I19" s="0" t="n">
        <f aca="false">I15+I16+I17+I18</f>
        <v>417.639398443506</v>
      </c>
      <c r="J19" s="0" t="n">
        <f aca="false">J15+J16+J17+J18</f>
        <v>428.874840305392</v>
      </c>
      <c r="K19" s="0" t="n">
        <f aca="false">K15+K16+K17+K18</f>
        <v>440.852717318446</v>
      </c>
      <c r="L19" s="0" t="n">
        <f aca="false">L15+L16+L17+L18</f>
        <v>451.874035251407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296.102912614679</v>
      </c>
      <c r="D21" s="0" t="n">
        <f aca="false">D19*D20</f>
        <v>285.015131014856</v>
      </c>
      <c r="E21" s="0" t="n">
        <f aca="false">E19*E20</f>
        <v>275.240196792384</v>
      </c>
      <c r="F21" s="0" t="n">
        <f aca="false">F19*F20</f>
        <v>264.875949764229</v>
      </c>
      <c r="G21" s="0" t="n">
        <f aca="false">G19*G20</f>
        <v>253.940704131761</v>
      </c>
      <c r="H21" s="0" t="n">
        <f aca="false">H19*H20</f>
        <v>241.32722150614</v>
      </c>
      <c r="I21" s="0" t="n">
        <f aca="false">I19*I20</f>
        <v>228.463052944361</v>
      </c>
      <c r="J21" s="0" t="n">
        <f aca="false">J19*J20</f>
        <v>215.23782054932</v>
      </c>
      <c r="K21" s="0" t="n">
        <f aca="false">K19*K20</f>
        <v>202.98083772866</v>
      </c>
      <c r="L21" s="0" t="n">
        <f aca="false">L19*L20</f>
        <v>190.876475845758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2454.06030289215</v>
      </c>
    </row>
    <row r="31" customFormat="false" ht="15" hidden="false" customHeight="false" outlineLevel="0" collapsed="false">
      <c r="A31" s="0" t="s">
        <v>132</v>
      </c>
      <c r="B31" s="0" t="n">
        <f aca="false">L19</f>
        <v>451.874035251407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7125.70594050296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8133.73263452533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7125.70594050296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3009.97519602926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5464.03549892141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5274.63549892141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639.194801129594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0.384437515983525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99.9256445417319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121.30882402133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666.004601003935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3705.36708906154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316.869845932378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4.5</v>
      </c>
      <c r="D5" s="4" t="n">
        <f aca="false">Assumptions!D41</f>
        <v>6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624.3</v>
      </c>
      <c r="C6" s="0" t="n">
        <f aca="false">B6*(1+C5/100)</f>
        <v>652.3935</v>
      </c>
      <c r="D6" s="0" t="n">
        <f aca="false">C6*(1+D5/100)</f>
        <v>691.53711</v>
      </c>
      <c r="E6" s="0" t="n">
        <f aca="false">D6*(1+E5/100)</f>
        <v>739.9447077</v>
      </c>
      <c r="F6" s="0" t="n">
        <f aca="false">E6*(1+F5/100)</f>
        <v>791.740837239</v>
      </c>
      <c r="G6" s="0" t="n">
        <f aca="false">F6*(1+G5/100)</f>
        <v>843.203991659535</v>
      </c>
      <c r="H6" s="0" t="n">
        <f aca="false">G6*(1+H5/100)</f>
        <v>893.796231159107</v>
      </c>
      <c r="I6" s="0" t="n">
        <f aca="false">H6*(1+I5/100)</f>
        <v>938.486042717062</v>
      </c>
      <c r="J6" s="0" t="n">
        <f aca="false">I6*(1+J5/100)</f>
        <v>980.71791463933</v>
      </c>
      <c r="K6" s="0" t="n">
        <f aca="false">J6*(1+K5/100)</f>
        <v>1019.9466312249</v>
      </c>
      <c r="L6" s="0" t="n">
        <f aca="false">K6*(1+L5/100)</f>
        <v>1055.64476331778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68.8</v>
      </c>
      <c r="D7" s="4" t="n">
        <f aca="false">Assumptions!D42</f>
        <v>69.5</v>
      </c>
      <c r="E7" s="4" t="n">
        <f aca="false">Assumptions!E42</f>
        <v>70</v>
      </c>
      <c r="F7" s="4" t="n">
        <f aca="false">Assumptions!F42</f>
        <v>70.5</v>
      </c>
      <c r="G7" s="4" t="n">
        <f aca="false">Assumptions!G42</f>
        <v>71</v>
      </c>
      <c r="H7" s="4" t="n">
        <f aca="false">Assumptions!H42</f>
        <v>71.5</v>
      </c>
      <c r="I7" s="4" t="n">
        <f aca="false">Assumptions!I42</f>
        <v>71.5</v>
      </c>
      <c r="J7" s="4" t="n">
        <f aca="false">Assumptions!J42</f>
        <v>71.5</v>
      </c>
      <c r="K7" s="4" t="n">
        <f aca="false">Assumptions!K42</f>
        <v>71.5</v>
      </c>
      <c r="L7" s="4" t="n">
        <f aca="false">Assumptions!L42</f>
        <v>71.5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448.846728</v>
      </c>
      <c r="D8" s="0" t="n">
        <f aca="false">D6*D7/100</f>
        <v>480.61829145</v>
      </c>
      <c r="E8" s="0" t="n">
        <f aca="false">E6*E7/100</f>
        <v>517.96129539</v>
      </c>
      <c r="F8" s="0" t="n">
        <f aca="false">F6*F7/100</f>
        <v>558.177290253495</v>
      </c>
      <c r="G8" s="0" t="n">
        <f aca="false">G6*G7/100</f>
        <v>598.67483407827</v>
      </c>
      <c r="H8" s="0" t="n">
        <f aca="false">H6*H7/100</f>
        <v>639.064305278762</v>
      </c>
      <c r="I8" s="0" t="n">
        <f aca="false">I6*I7/100</f>
        <v>671.0175205427</v>
      </c>
      <c r="J8" s="0" t="n">
        <f aca="false">J6*J7/100</f>
        <v>701.213308967121</v>
      </c>
      <c r="K8" s="0" t="n">
        <f aca="false">K6*K7/100</f>
        <v>729.261841325806</v>
      </c>
      <c r="L8" s="0" t="n">
        <f aca="false">L6*L7/100</f>
        <v>754.786005772209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2.2</v>
      </c>
      <c r="D9" s="4" t="n">
        <f aca="false">Assumptions!D43</f>
        <v>2.1</v>
      </c>
      <c r="E9" s="4" t="n">
        <f aca="false">Assumptions!E43</f>
        <v>2</v>
      </c>
      <c r="F9" s="4" t="n">
        <f aca="false">Assumptions!F43</f>
        <v>2</v>
      </c>
      <c r="G9" s="4" t="n">
        <f aca="false">Assumptions!G43</f>
        <v>2</v>
      </c>
      <c r="H9" s="4" t="n">
        <f aca="false">Assumptions!H43</f>
        <v>2</v>
      </c>
      <c r="I9" s="4" t="n">
        <f aca="false">Assumptions!I43</f>
        <v>2</v>
      </c>
      <c r="J9" s="4" t="n">
        <f aca="false">Assumptions!J43</f>
        <v>2</v>
      </c>
      <c r="K9" s="4" t="n">
        <f aca="false">Assumptions!K43</f>
        <v>2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-14.352657</v>
      </c>
      <c r="D10" s="0" t="n">
        <f aca="false">-D6*D9/100</f>
        <v>-14.52227931</v>
      </c>
      <c r="E10" s="0" t="n">
        <f aca="false">-E6*E9/100</f>
        <v>-14.798894154</v>
      </c>
      <c r="F10" s="0" t="n">
        <f aca="false">-F6*F9/100</f>
        <v>-15.83481674478</v>
      </c>
      <c r="G10" s="0" t="n">
        <f aca="false">-G6*G9/100</f>
        <v>-16.8640798331907</v>
      </c>
      <c r="H10" s="0" t="n">
        <f aca="false">-H6*H9/100</f>
        <v>-17.8759246231821</v>
      </c>
      <c r="I10" s="0" t="n">
        <f aca="false">-I6*I9/100</f>
        <v>-18.7697208543412</v>
      </c>
      <c r="J10" s="0" t="n">
        <f aca="false">-J6*J9/100</f>
        <v>-19.6143582927866</v>
      </c>
      <c r="K10" s="0" t="n">
        <f aca="false">-K6*K9/100</f>
        <v>-20.3989326244981</v>
      </c>
      <c r="L10" s="0" t="n">
        <f aca="false">-L6*L9/100</f>
        <v>-21.1128952663555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434.494071</v>
      </c>
      <c r="D11" s="0" t="n">
        <f aca="false">D8+D10+D24</f>
        <v>466.09601214</v>
      </c>
      <c r="E11" s="0" t="n">
        <f aca="false">E8+E10+E24</f>
        <v>503.162401236</v>
      </c>
      <c r="F11" s="0" t="n">
        <f aca="false">F8+F10+F24</f>
        <v>542.342473508715</v>
      </c>
      <c r="G11" s="0" t="n">
        <f aca="false">G8+G10+G24</f>
        <v>581.810754245079</v>
      </c>
      <c r="H11" s="0" t="n">
        <f aca="false">H8+H10+H24</f>
        <v>621.188380655579</v>
      </c>
      <c r="I11" s="0" t="n">
        <f aca="false">I8+I10+I24</f>
        <v>652.247799688358</v>
      </c>
      <c r="J11" s="0" t="n">
        <f aca="false">J8+J10+J24</f>
        <v>681.598950674334</v>
      </c>
      <c r="K11" s="0" t="n">
        <f aca="false">K8+K10+K24</f>
        <v>708.862908701308</v>
      </c>
      <c r="L11" s="0" t="n">
        <f aca="false">L8+L10+L24</f>
        <v>733.673110505854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-26.7481335</v>
      </c>
      <c r="D12" s="4" t="n">
        <f aca="false">-D6*Assumptions!D45/100</f>
        <v>-27.6614844</v>
      </c>
      <c r="E12" s="4" t="n">
        <f aca="false">-E6*Assumptions!E45/100</f>
        <v>-27.3779541849</v>
      </c>
      <c r="F12" s="4" t="n">
        <f aca="false">-F6*Assumptions!F45/100</f>
        <v>-26.127447628887</v>
      </c>
      <c r="G12" s="4" t="n">
        <f aca="false">-G6*Assumptions!G45/100</f>
        <v>-23.609711766467</v>
      </c>
      <c r="H12" s="4" t="n">
        <f aca="false">-H6*Assumptions!H45/100</f>
        <v>-21.4511095478186</v>
      </c>
      <c r="I12" s="4" t="n">
        <f aca="false">-I6*Assumptions!I45/100</f>
        <v>-20.6466929397754</v>
      </c>
      <c r="J12" s="4" t="n">
        <f aca="false">-J6*Assumptions!J45/100</f>
        <v>-19.6143582927866</v>
      </c>
      <c r="K12" s="4" t="n">
        <f aca="false">-K6*Assumptions!K45/100</f>
        <v>-20.3989326244981</v>
      </c>
      <c r="L12" s="4" t="n">
        <f aca="false">-L6*Assumptions!L45/100</f>
        <v>-21.1128952663555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407.7459375</v>
      </c>
      <c r="D13" s="0" t="n">
        <f aca="false">D11+D12</f>
        <v>438.43452774</v>
      </c>
      <c r="E13" s="0" t="n">
        <f aca="false">E11+E12</f>
        <v>475.7844470511</v>
      </c>
      <c r="F13" s="0" t="n">
        <f aca="false">F11+F12</f>
        <v>516.215025879828</v>
      </c>
      <c r="G13" s="0" t="n">
        <f aca="false">G11+G12</f>
        <v>558.201042478612</v>
      </c>
      <c r="H13" s="0" t="n">
        <f aca="false">H11+H12</f>
        <v>599.737271107761</v>
      </c>
      <c r="I13" s="0" t="n">
        <f aca="false">I11+I12</f>
        <v>631.601106748583</v>
      </c>
      <c r="J13" s="0" t="n">
        <f aca="false">J11+J12</f>
        <v>661.984592381548</v>
      </c>
      <c r="K13" s="0" t="n">
        <f aca="false">K11+K12</f>
        <v>688.46397607681</v>
      </c>
      <c r="L13" s="0" t="n">
        <f aca="false">L11+L12</f>
        <v>712.560215239498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305.809453125</v>
      </c>
      <c r="D15" s="0" t="n">
        <f aca="false">D13-MAX(0,D13)*D14/100</f>
        <v>328.825895805</v>
      </c>
      <c r="E15" s="0" t="n">
        <f aca="false">E13-MAX(0,E13)*E14/100</f>
        <v>356.838335288325</v>
      </c>
      <c r="F15" s="0" t="n">
        <f aca="false">F13-MAX(0,F13)*F14/100</f>
        <v>387.161269409871</v>
      </c>
      <c r="G15" s="0" t="n">
        <f aca="false">G13-MAX(0,G13)*G14/100</f>
        <v>418.650781858959</v>
      </c>
      <c r="H15" s="0" t="n">
        <f aca="false">H13-MAX(0,H13)*H14/100</f>
        <v>449.802953330821</v>
      </c>
      <c r="I15" s="0" t="n">
        <f aca="false">I13-MAX(0,I13)*I14/100</f>
        <v>473.700830061437</v>
      </c>
      <c r="J15" s="0" t="n">
        <f aca="false">J13-MAX(0,J13)*J14/100</f>
        <v>496.488444286161</v>
      </c>
      <c r="K15" s="0" t="n">
        <f aca="false">K13-MAX(0,K13)*K14/100</f>
        <v>516.347982057607</v>
      </c>
      <c r="L15" s="0" t="n">
        <f aca="false">L13-MAX(0,L13)*L14/100</f>
        <v>534.420161429624</v>
      </c>
    </row>
    <row r="16" customFormat="false" ht="15" hidden="false" customHeight="false" outlineLevel="0" collapsed="false">
      <c r="A16" s="0" t="s">
        <v>123</v>
      </c>
      <c r="C16" s="0" t="n">
        <f aca="false">-C12</f>
        <v>26.7481335</v>
      </c>
      <c r="D16" s="0" t="n">
        <f aca="false">-D12</f>
        <v>27.6614844</v>
      </c>
      <c r="E16" s="0" t="n">
        <f aca="false">-E12</f>
        <v>27.3779541849</v>
      </c>
      <c r="F16" s="0" t="n">
        <f aca="false">-F12</f>
        <v>26.127447628887</v>
      </c>
      <c r="G16" s="0" t="n">
        <f aca="false">-G12</f>
        <v>23.609711766467</v>
      </c>
      <c r="H16" s="0" t="n">
        <f aca="false">-H12</f>
        <v>21.4511095478186</v>
      </c>
      <c r="I16" s="0" t="n">
        <f aca="false">-I12</f>
        <v>20.6466929397754</v>
      </c>
      <c r="J16" s="0" t="n">
        <f aca="false">-J12</f>
        <v>19.6143582927866</v>
      </c>
      <c r="K16" s="0" t="n">
        <f aca="false">-K12</f>
        <v>20.3989326244981</v>
      </c>
      <c r="L16" s="0" t="n">
        <f aca="false">-L12</f>
        <v>21.1128952663555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-5.219148</v>
      </c>
      <c r="D17" s="4" t="n">
        <f aca="false">-D6*Assumptions!D46/100</f>
        <v>-5.53229688</v>
      </c>
      <c r="E17" s="4" t="n">
        <f aca="false">-E6*Assumptions!E46/100</f>
        <v>-6.6595023693</v>
      </c>
      <c r="F17" s="4" t="n">
        <f aca="false">-F6*Assumptions!F46/100</f>
        <v>-7.91740837239</v>
      </c>
      <c r="G17" s="4" t="n">
        <f aca="false">-G6*Assumptions!G46/100</f>
        <v>-9.27524390825488</v>
      </c>
      <c r="H17" s="4" t="n">
        <f aca="false">-H6*Assumptions!H46/100</f>
        <v>-10.7255547739093</v>
      </c>
      <c r="I17" s="4" t="n">
        <f aca="false">-I6*Assumptions!I46/100</f>
        <v>-12.2003185553218</v>
      </c>
      <c r="J17" s="4" t="n">
        <f aca="false">-J6*Assumptions!J46/100</f>
        <v>-13.7300508049506</v>
      </c>
      <c r="K17" s="4" t="n">
        <f aca="false">-K6*Assumptions!K46/100</f>
        <v>-15.2991994683736</v>
      </c>
      <c r="L17" s="4" t="n">
        <f aca="false">-L6*Assumptions!L46/100</f>
        <v>-15.8346714497666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327.338438625</v>
      </c>
      <c r="D19" s="0" t="n">
        <f aca="false">D15+D16+D17+D18</f>
        <v>350.955083325</v>
      </c>
      <c r="E19" s="0" t="n">
        <f aca="false">E15+E16+E17+E18</f>
        <v>377.556787103925</v>
      </c>
      <c r="F19" s="0" t="n">
        <f aca="false">F15+F16+F17+F18</f>
        <v>405.371308666368</v>
      </c>
      <c r="G19" s="0" t="n">
        <f aca="false">G15+G16+G17+G18</f>
        <v>432.985249717171</v>
      </c>
      <c r="H19" s="0" t="n">
        <f aca="false">H15+H16+H17+H18</f>
        <v>460.52850810473</v>
      </c>
      <c r="I19" s="0" t="n">
        <f aca="false">I15+I16+I17+I18</f>
        <v>482.147204445891</v>
      </c>
      <c r="J19" s="0" t="n">
        <f aca="false">J15+J16+J17+J18</f>
        <v>502.372751773997</v>
      </c>
      <c r="K19" s="0" t="n">
        <f aca="false">K15+K16+K17+K18</f>
        <v>521.447715213732</v>
      </c>
      <c r="L19" s="0" t="n">
        <f aca="false">L15+L16+L17+L18</f>
        <v>539.698385246212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300.310494151376</v>
      </c>
      <c r="D21" s="0" t="n">
        <f aca="false">D19*D20</f>
        <v>295.391872169851</v>
      </c>
      <c r="E21" s="0" t="n">
        <f aca="false">E19*E20</f>
        <v>291.543113786583</v>
      </c>
      <c r="F21" s="0" t="n">
        <f aca="false">F19*F20</f>
        <v>287.175254901747</v>
      </c>
      <c r="G21" s="0" t="n">
        <f aca="false">G19*G20</f>
        <v>281.410703595416</v>
      </c>
      <c r="H21" s="0" t="n">
        <f aca="false">H19*H20</f>
        <v>274.598102479281</v>
      </c>
      <c r="I21" s="0" t="n">
        <f aca="false">I19*I20</f>
        <v>263.751031887374</v>
      </c>
      <c r="J21" s="0" t="n">
        <f aca="false">J19*J20</f>
        <v>252.123943941787</v>
      </c>
      <c r="K21" s="0" t="n">
        <f aca="false">K19*K20</f>
        <v>240.089013649707</v>
      </c>
      <c r="L21" s="0" t="n">
        <f aca="false">L19*L20</f>
        <v>227.974430392153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2714.36796095527</v>
      </c>
    </row>
    <row r="31" customFormat="false" ht="15" hidden="false" customHeight="false" outlineLevel="0" collapsed="false">
      <c r="A31" s="0" t="s">
        <v>132</v>
      </c>
      <c r="B31" s="0" t="n">
        <f aca="false">L19</f>
        <v>539.698385246212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9264.82228005998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9714.57093443182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9264.82228005998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3913.56105506529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6627.92901602057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6438.52901602057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780.23861076352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0.689925516057007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108.077272216105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153.097742985439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811.88851565949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4632.41114002999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366.842454239469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400.734023591682</v>
      </c>
      <c r="C4" s="0" t="n">
        <f aca="false">B4/Assumptions!$B$2-1</f>
        <v>-0.132046732528304</v>
      </c>
      <c r="D4" s="4" t="n">
        <f aca="false">Assumptions!$B$24</f>
        <v>0.25</v>
      </c>
      <c r="E4" s="4" t="n">
        <f aca="false">DCF_Bear!$B$43</f>
        <v>421.261607668144</v>
      </c>
      <c r="F4" s="4" t="n">
        <f aca="false">DCF_Bear!$B$47</f>
        <v>217.431618259142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639.194801129594</v>
      </c>
      <c r="C5" s="0" t="n">
        <f aca="false">B5/Assumptions!$B$2-1</f>
        <v>0.384437515983525</v>
      </c>
      <c r="D5" s="4" t="n">
        <f aca="false">Assumptions!$B$38</f>
        <v>0.5</v>
      </c>
      <c r="E5" s="4" t="n">
        <f aca="false">DCF_Base!$B$43</f>
        <v>666.004601003935</v>
      </c>
      <c r="F5" s="4" t="n">
        <f aca="false">DCF_Base!$B$47</f>
        <v>316.869845932378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780.23861076352</v>
      </c>
      <c r="C6" s="0" t="n">
        <f aca="false">B6/Assumptions!$B$2-1</f>
        <v>0.689925516057007</v>
      </c>
      <c r="D6" s="4" t="n">
        <f aca="false">Assumptions!$B$52</f>
        <v>0.25</v>
      </c>
      <c r="E6" s="4" t="n">
        <f aca="false">DCF_Bull!$B$43</f>
        <v>811.88851565949</v>
      </c>
      <c r="F6" s="4" t="n">
        <f aca="false">DCF_Bull!$B$47</f>
        <v>366.842454239469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614.840559153597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641.289831333876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0.24907361245721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-578.99725221091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304.503441090842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639.194801129594</v>
      </c>
      <c r="C15" s="3" t="n">
        <v>9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549.52072142145</v>
      </c>
      <c r="C16" s="3" t="n">
        <v>10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480.999456319735</v>
      </c>
      <c r="C17" s="3" t="n">
        <v>11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426.948454430463</v>
      </c>
      <c r="C18" s="3" t="n">
        <v>12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316.869845932378</v>
      </c>
      <c r="C19" s="3" t="n">
        <v>15</v>
      </c>
    </row>
    <row r="21" customFormat="false" ht="15" hidden="false" customHeight="false" outlineLevel="0" collapsed="false">
      <c r="A21" s="2" t="s">
        <v>168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805.435673626791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805.435673626791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805.435673626791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805.435673626791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805.435673626791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684.940021586013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720.059638183705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745.423805726482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745.423805726482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745.423805726482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587.476402812014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611.488516316604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639.194801129594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671.518800078081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690.794579267546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513.092009730978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530.167968335887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549.52072142145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571.638153519237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597.158267478223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454.489511238378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467.008096415686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480.999456319735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496.739736211791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514.578720089455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2026-10-04T12:50:40Z</dcterms:created>
  <dc:creator>openpyxl</dc:creator>
  <dc:description/>
  <dc:language>en-NZ</dc:language>
  <cp:lastModifiedBy/>
  <dcterms:modified xsi:type="dcterms:W3CDTF">2026-10-04T12:50:40Z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