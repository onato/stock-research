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"/>
    <numFmt numFmtId="166" formatCode="0.0000"/>
    <numFmt numFmtId="167" formatCode="0.0x"/>
  </numFmts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2" borderId="0" pivotButton="0" quotePrefix="0" xfId="0"/>
    <xf numFmtId="165" fontId="3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165" fontId="1" fillId="0" borderId="0" pivotButton="0" quotePrefix="0" xfId="0"/>
    <xf numFmtId="166" fontId="0" fillId="0" borderId="0" pivotButton="0" quotePrefix="0" xfId="0"/>
    <xf numFmtId="166" fontId="3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2" fontId="3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2" fontId="1" fillId="3" borderId="0" pivotButton="0" quotePrefix="0" xfId="0"/>
    <xf numFmtId="2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ALS Limited (ALQ.AX) owner-FCF DCF model</t>
        </is>
      </c>
    </row>
    <row r="2">
      <c r="A2" t="inlineStr">
        <is>
          <t>Version 1.0, built 2026-09-21. Fresh build; supersedes nothing (first valuation of this ticker).</t>
        </is>
      </c>
    </row>
    <row r="3">
      <c r="A3" t="inlineStr">
        <is>
          <t>Built by the dcf-analyst agent (Claude Fable 5.1) at the request of Stephen Williams, from the research-stock pipeline.</t>
        </is>
      </c>
    </row>
    <row r="4">
      <c r="A4" t="inlineStr"/>
    </row>
    <row r="5">
      <c r="A5" s="1" t="inlineStr">
        <is>
          <t>DATA VINTAGE (all figures go stale; refresh after the next print)</t>
        </is>
      </c>
    </row>
    <row r="6">
      <c r="A6" t="inlineStr">
        <is>
          <t>Price: A$21.35, Yahoo Finance regular ASX close 2026-09-21T06:10:32Z (16:10 AEST). 52-week range 19.00-26.17.</t>
        </is>
      </c>
    </row>
    <row r="7">
      <c r="A7" t="inlineStr">
        <is>
          <t>Balance sheet: 31 March 2026 (FY2026 annual report). Net borrowings ex leases 1,069.5; lease liabilities 352.7 (excluded); NCI 5.2; cash 149.7.</t>
        </is>
      </c>
    </row>
    <row r="8">
      <c r="A8" t="inlineStr">
        <is>
          <t>Shares: 507.54m issued at 10-Jun-2026 (annual report p.152) + 3.0m unvested performance rights (diluted EPS note) = 510.5m fully diluted, held flat.</t>
        </is>
      </c>
    </row>
    <row r="9">
      <c r="A9" t="inlineStr">
        <is>
          <t>Guidance: FY27 guidance from the FY26 results of 18-May-2026 (Commodities organic +13-15%, Life Sciences mid-single-digit, margin expansion at a similar pace to FY26, capex ~A$240m, net interest A$65-67m).</t>
        </is>
      </c>
    </row>
    <row r="10">
      <c r="A10" t="inlineStr">
        <is>
          <t>History: ALQ.AX_Metrics.csv (core_metrics DB) plus FY2026 annual report cash flow statement and underlying-earnings reconciliation (pp.30, 66).</t>
        </is>
      </c>
    </row>
    <row r="11">
      <c r="A11" t="inlineStr"/>
    </row>
    <row r="12">
      <c r="A12" s="1" t="inlineStr">
        <is>
          <t>METHODOLOGY</t>
        </is>
      </c>
    </row>
    <row r="13">
      <c r="A13" t="inlineStr">
        <is>
          <t>Model: owner-FCF DCF, 10-year explicit horizon, end-of-year discounting, scenario-weighted (bear/base/bull). Routed via .claude/skills/dcf-methods (operating company, non-US, cyclical).</t>
        </is>
      </c>
    </row>
    <row r="14">
      <c r="A14" t="inlineStr">
        <is>
          <t>Owner FCF: SBC fully expensed as a % of revenue, share count held flat (charge dilution once). Interest income not stripped: ALS is a net-debt company so no cash pile is added to EV.</t>
        </is>
      </c>
    </row>
    <row r="15">
      <c r="A15" t="inlineStr">
        <is>
          <t>Leases: treatment B. Lease cash (principal + interest, A$115.7m FY26, 3.5% of revenue) charged inside the flows; lease liabilities excluded from net debt; D&amp;A for tax is ex right-of-use amortisation. Matches ALS's own pre-IFRS16 covenant definitions.</t>
        </is>
      </c>
    </row>
    <row r="16">
      <c r="A16" t="inlineStr">
        <is>
          <t>Component margin build: EBITDA (post-IFRS16, pre-SBC) less lease, SBC, D&amp;A = EBIT; cash tax 28% on positive EBIT; add D&amp;A, less capex (per-year path), plus working-capital capture on the CHANGE in revenue (negative: growth consumes cash).</t>
        </is>
      </c>
    </row>
    <row r="17">
      <c r="A17" t="inlineStr">
        <is>
          <t>Mid-cycle: FY26 is a record year at the top of a mineral-exploration up-cycle; base margins fade to a mid-cycle level; bear carries an explicit FY28-29 down-cycle. Half of the recurring ~A$70m/yr 'one-off' restructuring cash is charged in base.</t>
        </is>
      </c>
    </row>
    <row r="18">
      <c r="A18" t="inlineStr">
        <is>
          <t>Terminal value: max(0, min(Gordon, 18x FCF_10)). 18x rather than 20x for a blended-cyclical business. Gordon binds in base and bear; cap binds in bull.</t>
        </is>
      </c>
    </row>
    <row r="19">
      <c r="A19" t="inlineStr">
        <is>
          <t>WACC 9.0% built in AUD (rf ~4.4%, ERP 5.5%, beta ~1.0, Kd ~5% pre-tax, ~9% debt weight). Same rate in all scenarios: cyclical and cyber risk are in the flows and the weights, not stacked on the discount rate.</t>
        </is>
      </c>
    </row>
    <row r="20">
      <c r="A20" t="inlineStr">
        <is>
          <t>NCI (A$5.2m) deducted once, in the bridge. Associates (small) are neither in the flows nor the bridge.</t>
        </is>
      </c>
    </row>
    <row r="21">
      <c r="A21" t="inlineStr">
        <is>
          <t>Entry price: price returning a 15% IRR on interim FCF plus a terminal value BUILT AT 15% (re-capped), less net debt; per scenario, then probability-weighted. Required-return table rebuilds TV at each rate.</t>
        </is>
      </c>
    </row>
    <row r="22">
      <c r="A22" t="inlineStr"/>
    </row>
    <row r="23">
      <c r="A23" t="inlineStr">
        <is>
          <t>SCENARIO DRIVERS are the dcf-analyst agent's judgment as of 2026-09-21 (see Assumptions tab narratives). On the next update refresh the anchors (price, net debt, shares, FY27 guidance) and re-judge only the guidance year unless new evidence moves later years.</t>
        </is>
      </c>
    </row>
    <row r="24">
      <c r="A24" t="inlineStr"/>
    </row>
    <row r="25">
      <c r="A25" s="1" t="inlineStr">
        <is>
          <t>DCF TAB ROW MAP (identical on DCF_Bear/DCF_Base/DCF_Bull; column B = FY2026A, C..L = FY2027E..FY2036E)</t>
        </is>
      </c>
    </row>
    <row r="26">
      <c r="A26" t="inlineStr">
        <is>
          <t>Drivers (hardcoded, blue on yellow): row 5 revenue growth, row 7 EBITDA margin, row 9 SBC %, row 16 cash tax rate, row 19 capex %. Everything else is a formula or a link to Assumptions.</t>
        </is>
      </c>
    </row>
    <row r="27">
      <c r="A27" t="inlineStr">
        <is>
          <t>Rows: 6 revenue, 8 EBITDA, 10 SBC, 11 lease %, 12 lease cost, 13 owner EBITDA, 14 D&amp;A, 15 EBIT, 17 NOPAT, 18 add D&amp;A, 20 capex, 21 WC, 22 owner FCF, 23 discount factor, 24 PV; 26-27 memos; 29-42 valuation block; 44-46 street memo.</t>
        </is>
      </c>
    </row>
    <row r="28">
      <c r="A28" t="inlineStr"/>
    </row>
    <row r="29">
      <c r="A29" s="1" t="inlineStr">
        <is>
          <t>CELL COLOUR LEGEND: blue font = hardcoded input; yellow fill = key lever; black = formula; green font = cross-sheet link; green fill = headline value per share.</t>
        </is>
      </c>
    </row>
    <row r="30">
      <c r="A30" t="inlineStr">
        <is>
          <t>Text cells never begin with '='. Sheet names contain no spaces. Never paste a value over a formula; add a labelled input on Assumptions and link to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Reported history (AUD millions unless stated); hardcoded from ALQ.AX_Metrics.csv and the FY2026 annual report</t>
        </is>
      </c>
    </row>
    <row r="3">
      <c r="A3" s="1" t="inlineStr">
        <is>
          <t>Period</t>
        </is>
      </c>
      <c r="B3" s="1" t="inlineStr">
        <is>
          <t>Revenue</t>
        </is>
      </c>
      <c r="C3" s="1" t="inlineStr">
        <is>
          <t>Reported FCF</t>
        </is>
      </c>
      <c r="D3" s="1" t="inlineStr">
        <is>
          <t>SBC</t>
        </is>
      </c>
      <c r="E3" s="1" t="inlineStr">
        <is>
          <t>OCF</t>
        </is>
      </c>
      <c r="F3" s="1" t="inlineStr">
        <is>
          <t>Capex</t>
        </is>
      </c>
      <c r="G3" s="1" t="inlineStr">
        <is>
          <t>Taxes paid</t>
        </is>
      </c>
      <c r="H3" s="1" t="inlineStr">
        <is>
          <t>PBT</t>
        </is>
      </c>
      <c r="I3" s="1" t="inlineStr">
        <is>
          <t>Lease principal</t>
        </is>
      </c>
      <c r="J3" s="1" t="inlineStr">
        <is>
          <t>Equity</t>
        </is>
      </c>
      <c r="K3" s="1" t="inlineStr">
        <is>
          <t>EPS (cents)</t>
        </is>
      </c>
    </row>
    <row r="4">
      <c r="A4" t="inlineStr">
        <is>
          <t>FY2015</t>
        </is>
      </c>
      <c r="B4" s="2" t="n">
        <v>1422.2</v>
      </c>
      <c r="C4" s="2" t="n">
        <v>138.7</v>
      </c>
      <c r="D4" s="2" t="n">
        <v>0.6</v>
      </c>
      <c r="E4" s="2" t="n">
        <v>215.2</v>
      </c>
      <c r="F4" s="2" t="n">
        <v>76.5</v>
      </c>
      <c r="G4" s="2" t="n">
        <v>48</v>
      </c>
      <c r="H4" s="2" t="n">
        <v>-120.2</v>
      </c>
      <c r="I4" s="2" t="n"/>
      <c r="J4" s="2" t="n">
        <v>1228.4</v>
      </c>
      <c r="K4" s="2" t="n">
        <v>-41.13</v>
      </c>
    </row>
    <row r="5">
      <c r="A5" t="inlineStr">
        <is>
          <t>FY2016</t>
        </is>
      </c>
      <c r="B5" s="2" t="n">
        <v>1364.9</v>
      </c>
      <c r="C5" s="2" t="n">
        <v>95.90000000000001</v>
      </c>
      <c r="D5" s="2" t="n">
        <v>1.4</v>
      </c>
      <c r="E5" s="2" t="n">
        <v>169.6</v>
      </c>
      <c r="F5" s="2" t="n">
        <v>73.7</v>
      </c>
      <c r="G5" s="2" t="n">
        <v>39</v>
      </c>
      <c r="H5" s="2" t="n">
        <v>-203.6</v>
      </c>
      <c r="I5" s="2" t="n"/>
      <c r="J5" s="2" t="n">
        <v>1185.6</v>
      </c>
      <c r="K5" s="2" t="n">
        <v>-52.51</v>
      </c>
    </row>
    <row r="6">
      <c r="A6" t="inlineStr">
        <is>
          <t>FY2017</t>
        </is>
      </c>
      <c r="B6" s="2" t="n">
        <v>1261.5</v>
      </c>
      <c r="C6" s="2" t="n">
        <v>116.6</v>
      </c>
      <c r="D6" s="2" t="n">
        <v>2</v>
      </c>
      <c r="E6" s="2" t="n">
        <v>175.3</v>
      </c>
      <c r="F6" s="2" t="n">
        <v>58.7</v>
      </c>
      <c r="G6" s="2" t="n">
        <v>41</v>
      </c>
      <c r="H6" s="2" t="n">
        <v>146.1</v>
      </c>
      <c r="I6" s="2" t="n"/>
      <c r="J6" s="2" t="n">
        <v>1185.2</v>
      </c>
      <c r="K6" s="2" t="n">
        <v>16.18</v>
      </c>
    </row>
    <row r="7">
      <c r="A7" t="inlineStr">
        <is>
          <t>FY2018</t>
        </is>
      </c>
      <c r="B7" s="2" t="n">
        <v>1446.9</v>
      </c>
      <c r="C7" s="2" t="n">
        <v>112.4</v>
      </c>
      <c r="D7" s="2" t="n"/>
      <c r="E7" s="2" t="n">
        <v>185.8</v>
      </c>
      <c r="F7" s="2" t="n">
        <v>73.40000000000001</v>
      </c>
      <c r="G7" s="2" t="n">
        <v>47.3</v>
      </c>
      <c r="H7" s="2" t="n">
        <v>115.4</v>
      </c>
      <c r="I7" s="2" t="n"/>
      <c r="J7" s="2" t="n">
        <v>1122</v>
      </c>
      <c r="K7" s="2" t="n">
        <v>10.34</v>
      </c>
    </row>
    <row r="8">
      <c r="A8" t="inlineStr">
        <is>
          <t>FY2019</t>
        </is>
      </c>
      <c r="B8" s="2" t="n">
        <v>1664.8</v>
      </c>
      <c r="C8" s="2" t="n">
        <v>109.9</v>
      </c>
      <c r="D8" s="2" t="n">
        <v>3.6</v>
      </c>
      <c r="E8" s="2" t="n">
        <v>218.8</v>
      </c>
      <c r="F8" s="2" t="n">
        <v>108.9</v>
      </c>
      <c r="G8" s="2" t="n">
        <v>50.3</v>
      </c>
      <c r="H8" s="2" t="n">
        <v>230.3</v>
      </c>
      <c r="I8" s="2" t="n"/>
      <c r="J8" s="2" t="n">
        <v>1103.2</v>
      </c>
      <c r="K8" s="2" t="n">
        <v>31.57</v>
      </c>
    </row>
    <row r="9">
      <c r="A9" t="inlineStr">
        <is>
          <t>FY2020</t>
        </is>
      </c>
      <c r="B9" s="2" t="n">
        <v>1831.9</v>
      </c>
      <c r="C9" s="2" t="n">
        <v>137.9</v>
      </c>
      <c r="D9" s="2" t="n">
        <v>5.7</v>
      </c>
      <c r="E9" s="2" t="n">
        <v>259</v>
      </c>
      <c r="F9" s="2" t="n">
        <v>121.1</v>
      </c>
      <c r="G9" s="2" t="n">
        <v>96</v>
      </c>
      <c r="H9" s="2" t="n">
        <v>151.1</v>
      </c>
      <c r="I9" s="2" t="n">
        <v>43</v>
      </c>
      <c r="J9" s="2" t="n">
        <v>1110.6</v>
      </c>
      <c r="K9" s="2" t="n">
        <v>26.46</v>
      </c>
    </row>
    <row r="10">
      <c r="A10" t="inlineStr">
        <is>
          <t>FY2021</t>
        </is>
      </c>
      <c r="B10" s="2" t="n">
        <v>1761.4</v>
      </c>
      <c r="C10" s="2" t="n">
        <v>188.9</v>
      </c>
      <c r="D10" s="2" t="n">
        <v>4.6</v>
      </c>
      <c r="E10" s="2" t="n">
        <v>265.8</v>
      </c>
      <c r="F10" s="2" t="n">
        <v>76.90000000000001</v>
      </c>
      <c r="G10" s="2" t="n">
        <v>67.90000000000001</v>
      </c>
      <c r="H10" s="2" t="n">
        <v>248.5</v>
      </c>
      <c r="I10" s="2" t="n">
        <v>42.9</v>
      </c>
      <c r="J10" s="2" t="n">
        <v>1079.8</v>
      </c>
      <c r="K10" s="2" t="n">
        <v>35.78</v>
      </c>
    </row>
    <row r="11">
      <c r="A11" t="inlineStr">
        <is>
          <t>FY2022</t>
        </is>
      </c>
      <c r="B11" s="2" t="n">
        <v>1951.8</v>
      </c>
      <c r="C11" s="2" t="n">
        <v>167.9</v>
      </c>
      <c r="D11" s="2" t="n">
        <v>5.3</v>
      </c>
      <c r="E11" s="2" t="n">
        <v>286.8</v>
      </c>
      <c r="F11" s="2" t="n">
        <v>118.9</v>
      </c>
      <c r="G11" s="2" t="n">
        <v>106.1</v>
      </c>
      <c r="H11" s="2" t="n">
        <v>280</v>
      </c>
      <c r="I11" s="2" t="n">
        <v>45.2</v>
      </c>
      <c r="J11" s="2" t="n">
        <v>1130.7</v>
      </c>
      <c r="K11" s="2" t="n">
        <v>39.45</v>
      </c>
    </row>
    <row r="12">
      <c r="A12" t="inlineStr">
        <is>
          <t>FY2023</t>
        </is>
      </c>
      <c r="B12" s="2" t="n">
        <v>2279.2</v>
      </c>
      <c r="C12" s="2" t="n">
        <v>293.8</v>
      </c>
      <c r="D12" s="2" t="n">
        <v>7.9</v>
      </c>
      <c r="E12" s="2" t="n">
        <v>439.9</v>
      </c>
      <c r="F12" s="2" t="n">
        <v>146.1</v>
      </c>
      <c r="G12" s="2" t="n">
        <v>89.90000000000001</v>
      </c>
      <c r="H12" s="2" t="n">
        <v>390.7</v>
      </c>
      <c r="I12" s="2" t="n">
        <v>52.9</v>
      </c>
      <c r="J12" s="2" t="n">
        <v>1378.2</v>
      </c>
      <c r="K12" s="2" t="n">
        <v>60.23</v>
      </c>
    </row>
    <row r="13">
      <c r="A13" t="inlineStr">
        <is>
          <t>FY2024</t>
        </is>
      </c>
      <c r="B13" s="2" t="n">
        <v>2461.6</v>
      </c>
      <c r="C13" s="2" t="n">
        <v>198.4</v>
      </c>
      <c r="D13" s="2" t="n">
        <v>7</v>
      </c>
      <c r="E13" s="2" t="n">
        <v>350.1</v>
      </c>
      <c r="F13" s="2" t="n">
        <v>151.7</v>
      </c>
      <c r="G13" s="2" t="n">
        <v>127.9</v>
      </c>
      <c r="H13" s="2" t="n">
        <v>121.3</v>
      </c>
      <c r="I13" s="2" t="n">
        <v>61</v>
      </c>
      <c r="J13" s="2" t="n">
        <v>1196.9</v>
      </c>
      <c r="K13" s="2" t="n">
        <v>2.66</v>
      </c>
    </row>
    <row r="14">
      <c r="A14" t="inlineStr">
        <is>
          <t>FY2025</t>
        </is>
      </c>
      <c r="B14" s="2" t="n">
        <v>2999.4</v>
      </c>
      <c r="C14" s="2" t="n">
        <v>244.6</v>
      </c>
      <c r="D14" s="2" t="n">
        <v>10.4</v>
      </c>
      <c r="E14" s="2" t="n">
        <v>409.6</v>
      </c>
      <c r="F14" s="2" t="n">
        <v>165</v>
      </c>
      <c r="G14" s="2" t="n">
        <v>119.4</v>
      </c>
      <c r="H14" s="2" t="n">
        <v>362.7</v>
      </c>
      <c r="I14" s="2" t="n">
        <v>89.59999999999999</v>
      </c>
      <c r="J14" s="2" t="n">
        <v>1294.1</v>
      </c>
      <c r="K14" s="2" t="n">
        <v>52.8</v>
      </c>
    </row>
    <row r="15">
      <c r="A15" t="inlineStr">
        <is>
          <t>FY2026</t>
        </is>
      </c>
      <c r="B15" s="2" t="n">
        <v>3320.1</v>
      </c>
      <c r="C15" s="2" t="n">
        <v>222.7</v>
      </c>
      <c r="D15" s="2" t="n">
        <v>9.6</v>
      </c>
      <c r="E15" s="2" t="n">
        <v>485.7</v>
      </c>
      <c r="F15" s="2" t="n">
        <v>263</v>
      </c>
      <c r="G15" s="2" t="n">
        <v>137.5</v>
      </c>
      <c r="H15" s="2" t="n">
        <v>454.7</v>
      </c>
      <c r="I15" s="2" t="n">
        <v>100.6</v>
      </c>
      <c r="J15" s="2" t="n">
        <v>1705</v>
      </c>
      <c r="K15" s="2" t="n">
        <v>63.3</v>
      </c>
    </row>
    <row r="17">
      <c r="A17" t="inlineStr">
        <is>
          <t>Balance-sheet snapshot, 31 March 2026 (FY26 annual report note 3 / p.30)</t>
        </is>
      </c>
    </row>
    <row r="18">
      <c r="A18" t="inlineStr">
        <is>
          <t>Cash and cash equivalents</t>
        </is>
      </c>
      <c r="B18" s="2" t="n">
        <v>149.7</v>
      </c>
    </row>
    <row r="19">
      <c r="A19" t="inlineStr">
        <is>
          <t>Loans and borrowings ex leases</t>
        </is>
      </c>
      <c r="B19" s="2" t="n">
        <v>1219.2</v>
      </c>
    </row>
    <row r="20">
      <c r="A20" t="inlineStr">
        <is>
          <t>Net borrowings ex leases</t>
        </is>
      </c>
      <c r="B20" s="2" t="n">
        <v>1069.5</v>
      </c>
    </row>
    <row r="21">
      <c r="A21" t="inlineStr">
        <is>
          <t>Lease liabilities (excluded from net debt; treatment B)</t>
        </is>
      </c>
      <c r="B21" s="2" t="n">
        <v>352.7</v>
      </c>
    </row>
    <row r="22">
      <c r="A22" t="inlineStr">
        <is>
          <t>Non-controlling interests</t>
        </is>
      </c>
      <c r="B22" s="2" t="n">
        <v>5.2</v>
      </c>
    </row>
    <row r="23">
      <c r="A23" t="inlineStr">
        <is>
          <t>Underlying EBITDA post-IFRS16 (p.30)</t>
        </is>
      </c>
      <c r="B23" s="2" t="n">
        <v>833</v>
      </c>
    </row>
    <row r="24">
      <c r="A24" t="inlineStr">
        <is>
          <t>Underlying EBITDA pre-IFRS16 (p.30)</t>
        </is>
      </c>
      <c r="B24" s="2" t="n">
        <v>715.7</v>
      </c>
    </row>
    <row r="25">
      <c r="A25" t="inlineStr">
        <is>
          <t>Underlying EBIT (p.30)</t>
        </is>
      </c>
      <c r="B25" s="2" t="n">
        <v>599</v>
      </c>
    </row>
    <row r="26">
      <c r="A26" t="inlineStr">
        <is>
          <t>Lease cash: principal 100.6 (financing) + interest 15.2 (operating); company 'ROU payments'</t>
        </is>
      </c>
      <c r="B26" s="2" t="n">
        <v>115.7</v>
      </c>
    </row>
    <row r="27">
      <c r="A27" t="inlineStr">
        <is>
          <t>Cash 'one-offs' excluded from underlying: FY26 70.6, FY25 70.9</t>
        </is>
      </c>
      <c r="B27" s="2" t="n">
        <v>70.59999999999999</v>
      </c>
    </row>
    <row r="28">
      <c r="A28" t="inlineStr">
        <is>
          <t>Treasury shares bought to settle awards (inside OCF)</t>
        </is>
      </c>
      <c r="B28" s="2" t="n">
        <v>22.5</v>
      </c>
    </row>
    <row r="29">
      <c r="A29" t="inlineStr">
        <is>
          <t>Shares on issue 10-Jun-2026 (m)</t>
        </is>
      </c>
      <c r="B29" s="2" t="n">
        <v>507.54</v>
      </c>
    </row>
    <row r="30">
      <c r="A30" t="inlineStr">
        <is>
          <t>Unvested performance rights (m)</t>
        </is>
      </c>
      <c r="B30" s="2" t="n">
        <v>3</v>
      </c>
    </row>
    <row r="31">
      <c r="A31" t="inlineStr">
        <is>
          <t>Fully diluted shares used (m)</t>
        </is>
      </c>
      <c r="B31" s="2" t="n">
        <v>510.5</v>
      </c>
    </row>
    <row r="32">
      <c r="A32" t="inlineStr">
        <is>
          <t>Capital-management buybacks FY26</t>
        </is>
      </c>
      <c r="B32" s="2" t="n">
        <v>0</v>
      </c>
    </row>
    <row r="33">
      <c r="A33" t="inlineStr">
        <is>
          <t>Dividends paid FY26</t>
        </is>
      </c>
      <c r="B33" s="2" t="n">
        <v>193.6</v>
      </c>
    </row>
    <row r="34">
      <c r="A34" t="inlineStr">
        <is>
          <t>FY27 guidance (18-May-2026): Commodities organic +13-15%; Life Sciences mid-single-digit; margin expansion similar to FY26 (+130-150bps); capex ~A$240m; net interest A$65-67m; cash conversion &gt;90% of EBITDA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90" customWidth="1" min="3" max="3"/>
  </cols>
  <sheetData>
    <row r="1">
      <c r="A1" s="1" t="inlineStr">
        <is>
          <t>Global assumptions (blue = input). Links from DCF tabs reference these cells.</t>
        </is>
      </c>
    </row>
    <row r="3">
      <c r="A3" t="inlineStr">
        <is>
          <t>WACC (AUD-built, all scenarios)</t>
        </is>
      </c>
      <c r="B3" s="3" t="n">
        <v>0.09</v>
      </c>
      <c r="C3" t="inlineStr">
        <is>
          <t>rf ~4.4% + 5.5% ERP x beta ~1.0; Kd ~5% pre-tax; ~9% debt weight; risk otherwise in the flows</t>
        </is>
      </c>
    </row>
    <row r="4">
      <c r="A4" t="inlineStr">
        <is>
          <t>D&amp;A % of revenue (ex right-of-use)</t>
        </is>
      </c>
      <c r="B4" s="3" t="n">
        <v>0.042</v>
      </c>
      <c r="C4" t="inlineStr">
        <is>
          <t>underlying 131.9 (4.0%) / statutory 151.3 (4.6%) in FY26</t>
        </is>
      </c>
    </row>
    <row r="5">
      <c r="A5" t="inlineStr">
        <is>
          <t>Lease cost % of revenue (principal + interest)</t>
        </is>
      </c>
      <c r="B5" s="3" t="n">
        <v>0.035</v>
      </c>
      <c r="C5" t="inlineStr">
        <is>
          <t>FY26 ROU payments 115.7 / 3,320.1; treatment B</t>
        </is>
      </c>
    </row>
    <row r="6">
      <c r="A6" t="inlineStr">
        <is>
          <t>SBC % of revenue</t>
        </is>
      </c>
      <c r="B6" s="3" t="n">
        <v>0.003</v>
      </c>
      <c r="C6" t="inlineStr">
        <is>
          <t>FY26 9.6 / 3,320.1; flat</t>
        </is>
      </c>
    </row>
    <row r="7">
      <c r="A7" t="inlineStr">
        <is>
          <t>Cash tax rate on positive EBIT</t>
        </is>
      </c>
      <c r="B7" s="3" t="n">
        <v>0.28</v>
      </c>
      <c r="C7" t="inlineStr">
        <is>
          <t>FY26 underlying ETR 28.0%; AU statutory 30%</t>
        </is>
      </c>
    </row>
    <row r="8">
      <c r="A8" t="inlineStr">
        <is>
          <t>Terminal value cap (x FCF_10)</t>
        </is>
      </c>
      <c r="B8" s="3" t="n">
        <v>18</v>
      </c>
      <c r="C8" t="inlineStr">
        <is>
          <t>18x: below the 20x compounder default for a blended cyclical</t>
        </is>
      </c>
    </row>
    <row r="9">
      <c r="A9" t="inlineStr">
        <is>
          <t>Net debt for bridge (net borrowings 1,069.5 + NCI 5.2), 31-Mar-2026</t>
        </is>
      </c>
      <c r="B9" s="3" t="n">
        <v>1074.7</v>
      </c>
      <c r="C9" t="inlineStr">
        <is>
          <t>lease liabilities 352.7 excluded (treatment B)</t>
        </is>
      </c>
    </row>
    <row r="10">
      <c r="A10" t="inlineStr">
        <is>
          <t>Fully diluted shares (m), flat</t>
        </is>
      </c>
      <c r="B10" s="3" t="n">
        <v>510.5</v>
      </c>
      <c r="C10" t="inlineStr">
        <is>
          <t>507.54 issued + 3.0 rights</t>
        </is>
      </c>
    </row>
    <row r="11">
      <c r="A11" t="inlineStr">
        <is>
          <t>Current price A$ (2026-09-21T06:10:32Z, ASX close)</t>
        </is>
      </c>
      <c r="B11" s="3" t="n">
        <v>21.35</v>
      </c>
      <c r="C11" t="inlineStr">
        <is>
          <t>refresh before use</t>
        </is>
      </c>
    </row>
    <row r="12">
      <c r="A12" t="inlineStr">
        <is>
          <t>FY2026 revenue (base year)</t>
        </is>
      </c>
      <c r="B12" s="3" t="n">
        <v>3320.1</v>
      </c>
      <c r="C12" t="inlineStr">
        <is>
          <t>underlying revenue</t>
        </is>
      </c>
    </row>
    <row r="13">
      <c r="A13" t="inlineStr">
        <is>
          <t>Hurdle rate for entry price</t>
        </is>
      </c>
      <c r="B13" s="3" t="n">
        <v>0.15</v>
      </c>
      <c r="C13" t="inlineStr">
        <is>
          <t>15% IRR</t>
        </is>
      </c>
    </row>
    <row r="15">
      <c r="A15" s="1" t="inlineStr">
        <is>
          <t>Per-scenario</t>
        </is>
      </c>
      <c r="B15" s="1" t="inlineStr">
        <is>
          <t>Bear</t>
        </is>
      </c>
      <c r="C15" s="1" t="inlineStr">
        <is>
          <t>Base</t>
        </is>
      </c>
      <c r="D15" s="1" t="inlineStr">
        <is>
          <t>Bull</t>
        </is>
      </c>
    </row>
    <row r="16">
      <c r="A16" t="inlineStr">
        <is>
          <t>Terminal growth</t>
        </is>
      </c>
      <c r="B16" s="3" t="n">
        <v>0.025</v>
      </c>
      <c r="C16" s="3" t="n">
        <v>0.03</v>
      </c>
      <c r="D16" s="3" t="n">
        <v>0.035</v>
      </c>
    </row>
    <row r="17">
      <c r="A17" t="inlineStr">
        <is>
          <t>Probability weight</t>
        </is>
      </c>
      <c r="B17" s="3" t="n">
        <v>0.25</v>
      </c>
      <c r="C17" s="3" t="n">
        <v>0.5</v>
      </c>
      <c r="D17" s="3" t="n">
        <v>0.25</v>
      </c>
      <c r="E17">
        <f>SUM(B17:D17)</f>
        <v/>
      </c>
      <c r="F17" t="inlineStr">
        <is>
          <t>weights check: must equal 1.0</t>
        </is>
      </c>
    </row>
    <row r="18">
      <c r="A18" t="inlineStr">
        <is>
          <t>WC capture % of revenue change (negative = growth consumes cash)</t>
        </is>
      </c>
      <c r="B18" s="3" t="n">
        <v>-0.12</v>
      </c>
      <c r="C18" s="3" t="n">
        <v>-0.12</v>
      </c>
      <c r="D18" s="3" t="n">
        <v>-0.1</v>
      </c>
    </row>
    <row r="20">
      <c r="A20" s="1" t="inlineStr">
        <is>
          <t>Scenario narratives</t>
        </is>
      </c>
    </row>
    <row r="21">
      <c r="A21" t="inlineStr">
        <is>
          <t>BEAR: Commodities down-cycle FY28-FY29: exploration budgets and junior-miner raisings fall, Minerals volumes and pricing compress (Commodities is 39% of revenue but ~64% of segment EBIT), Group revenue falls 6% in FY29 and margins trough at 21.5% (pre-IFRS16 ~17.7%). The May-2026 cyber incident costs clients and remediation spend, Americas Environmental (York) is never fixed, and the ~A$70m/yr of 'one-off' restructuring cash keeps recurring in full. Recovery to a 23.5% margin by FY32 (pre-IFRS16 ~19.7%, below FY26) and 3% growth; capex is cut to 5.2% once the hub program completes.</t>
        </is>
      </c>
    </row>
    <row r="22">
      <c r="A22" t="inlineStr">
        <is>
          <t>BASE: FY27 tracks guidance (Commodities +13-15%, Life Sciences mid-single-digit, blended ~8%), then growth fades to 3% nominal AUD as the exploration up-cycle matures. Margin: FY27 25.8% pre-SBC post-IFRS16 (guided +130-150bps is offset by a ~0.8pp haircut for half of the recurring ~A$70m 'one-off' restructuring cash and Middle East/cyber costs), then mid-cycled to 25.0% (pre-IFRS16 owner ~21.2%, between FY25 20.3% and FY26 21.6%; FY19-FY22 ran 20-21%). Capex steps down from FY26's 7.9% to FY27 guidance ~A$240m (6.7%) and 5.5% once the A$230m hub program is done; working capital consumes 12% of incremental revenue (FY26: 18%, FY25: 6%).</t>
        </is>
      </c>
    </row>
    <row r="23">
      <c r="A23" t="inlineStr">
        <is>
          <t>BULL: Critical-minerals exploration up-cycle runs multi-year (electrification, AI power demand), PFAS and emerging-contaminant testing compounds mid-teens, Nuvisan savings and automation/AI lab productivity deliver the guided margin expansion for four years to 28.0% (pre-IFRS16 ~24.2%, SGS/Bureau Veritas territory), Americas Environmental is fixed and bolt-on M&amp;A funded from a 1.5x balance sheet keeps growth at high-single digits for five years. Terminal growth 3.5%; capex stays ~5.8% to fund it.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BEAR scenario: owner-FCF component build, AUD millions. Drivers in blue on yellow (rows 5, 7, 9, 16, 19).</t>
        </is>
      </c>
    </row>
    <row r="3">
      <c r="A3" t="inlineStr">
        <is>
          <t>Year</t>
        </is>
      </c>
      <c r="B3" t="inlineStr">
        <is>
          <t>FY2026A</t>
        </is>
      </c>
      <c r="C3" t="inlineStr">
        <is>
          <t>FY2027E</t>
        </is>
      </c>
      <c r="D3" t="inlineStr">
        <is>
          <t>FY2028E</t>
        </is>
      </c>
      <c r="E3" t="inlineStr">
        <is>
          <t>FY2029E</t>
        </is>
      </c>
      <c r="F3" t="inlineStr">
        <is>
          <t>FY2030E</t>
        </is>
      </c>
      <c r="G3" t="inlineStr">
        <is>
          <t>FY2031E</t>
        </is>
      </c>
      <c r="H3" t="inlineStr">
        <is>
          <t>FY2032E</t>
        </is>
      </c>
      <c r="I3" t="inlineStr">
        <is>
          <t>FY2033E</t>
        </is>
      </c>
      <c r="J3" t="inlineStr">
        <is>
          <t>FY2034E</t>
        </is>
      </c>
      <c r="K3" t="inlineStr">
        <is>
          <t>FY2035E</t>
        </is>
      </c>
      <c r="L3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B5" s="4" t="n"/>
      <c r="C5" s="5" t="n">
        <v>0.05</v>
      </c>
      <c r="D5" s="5" t="n">
        <v>0</v>
      </c>
      <c r="E5" s="5" t="n">
        <v>-0.06</v>
      </c>
      <c r="F5" s="5" t="n">
        <v>0.02</v>
      </c>
      <c r="G5" s="5" t="n">
        <v>0.04</v>
      </c>
      <c r="H5" s="5" t="n">
        <v>0.04</v>
      </c>
      <c r="I5" s="5" t="n">
        <v>0.035</v>
      </c>
      <c r="J5" s="5" t="n">
        <v>0.03</v>
      </c>
      <c r="K5" s="5" t="n">
        <v>0.03</v>
      </c>
      <c r="L5" s="5" t="n">
        <v>0.03</v>
      </c>
    </row>
    <row r="6">
      <c r="A6" t="inlineStr">
        <is>
          <t>Revenue</t>
        </is>
      </c>
      <c r="B6" s="6">
        <f>Assumptions!$B$12</f>
        <v/>
      </c>
      <c r="C6" s="7">
        <f>B6*(1+C5)</f>
        <v/>
      </c>
      <c r="D6" s="7">
        <f>C6*(1+D5)</f>
        <v/>
      </c>
      <c r="E6" s="7">
        <f>D6*(1+E5)</f>
        <v/>
      </c>
      <c r="F6" s="7">
        <f>E6*(1+F5)</f>
        <v/>
      </c>
      <c r="G6" s="7">
        <f>F6*(1+G5)</f>
        <v/>
      </c>
      <c r="H6" s="7">
        <f>G6*(1+H5)</f>
        <v/>
      </c>
      <c r="I6" s="7">
        <f>H6*(1+I5)</f>
        <v/>
      </c>
      <c r="J6" s="7">
        <f>I6*(1+J5)</f>
        <v/>
      </c>
      <c r="K6" s="7">
        <f>J6*(1+K5)</f>
        <v/>
      </c>
      <c r="L6" s="7">
        <f>K6*(1+L5)</f>
        <v/>
      </c>
    </row>
    <row r="7">
      <c r="A7" t="inlineStr">
        <is>
          <t>Adj EBITDA margin (post-IFRS16, pre-SBC)</t>
        </is>
      </c>
      <c r="B7" s="8" t="n">
        <v>0.254</v>
      </c>
      <c r="C7" s="5" t="n">
        <v>0.25</v>
      </c>
      <c r="D7" s="5" t="n">
        <v>0.235</v>
      </c>
      <c r="E7" s="5" t="n">
        <v>0.215</v>
      </c>
      <c r="F7" s="5" t="n">
        <v>0.22</v>
      </c>
      <c r="G7" s="5" t="n">
        <v>0.228</v>
      </c>
      <c r="H7" s="5" t="n">
        <v>0.232</v>
      </c>
      <c r="I7" s="5" t="n">
        <v>0.235</v>
      </c>
      <c r="J7" s="5" t="n">
        <v>0.235</v>
      </c>
      <c r="K7" s="5" t="n">
        <v>0.235</v>
      </c>
      <c r="L7" s="5" t="n">
        <v>0.235</v>
      </c>
    </row>
    <row r="8">
      <c r="A8" t="inlineStr">
        <is>
          <t>Adjusted EBITDA</t>
        </is>
      </c>
      <c r="B8" s="7">
        <f>B6*B7</f>
        <v/>
      </c>
      <c r="C8" s="7">
        <f>C6*C7</f>
        <v/>
      </c>
      <c r="D8" s="7">
        <f>D6*D7</f>
        <v/>
      </c>
      <c r="E8" s="7">
        <f>E6*E7</f>
        <v/>
      </c>
      <c r="F8" s="7">
        <f>F6*F7</f>
        <v/>
      </c>
      <c r="G8" s="7">
        <f>G6*G7</f>
        <v/>
      </c>
      <c r="H8" s="7">
        <f>H6*H7</f>
        <v/>
      </c>
      <c r="I8" s="7">
        <f>I6*I7</f>
        <v/>
      </c>
      <c r="J8" s="7">
        <f>J6*J7</f>
        <v/>
      </c>
      <c r="K8" s="7">
        <f>K6*K7</f>
        <v/>
      </c>
      <c r="L8" s="7">
        <f>L6*L7</f>
        <v/>
      </c>
    </row>
    <row r="9">
      <c r="A9" t="inlineStr">
        <is>
          <t>SBC % of revenue</t>
        </is>
      </c>
      <c r="B9" s="4" t="n"/>
      <c r="C9" s="5" t="n">
        <v>0.003</v>
      </c>
      <c r="D9" s="5" t="n">
        <v>0.003</v>
      </c>
      <c r="E9" s="5" t="n">
        <v>0.003</v>
      </c>
      <c r="F9" s="5" t="n">
        <v>0.003</v>
      </c>
      <c r="G9" s="5" t="n">
        <v>0.003</v>
      </c>
      <c r="H9" s="5" t="n">
        <v>0.003</v>
      </c>
      <c r="I9" s="5" t="n">
        <v>0.003</v>
      </c>
      <c r="J9" s="5" t="n">
        <v>0.003</v>
      </c>
      <c r="K9" s="5" t="n">
        <v>0.003</v>
      </c>
      <c r="L9" s="5" t="n">
        <v>0.003</v>
      </c>
    </row>
    <row r="10">
      <c r="A10" t="inlineStr">
        <is>
          <t>SBC (negative)</t>
        </is>
      </c>
      <c r="B10" s="7" t="n"/>
      <c r="C10" s="7">
        <f>-C6*C9</f>
        <v/>
      </c>
      <c r="D10" s="7">
        <f>-D6*D9</f>
        <v/>
      </c>
      <c r="E10" s="7">
        <f>-E6*E9</f>
        <v/>
      </c>
      <c r="F10" s="7">
        <f>-F6*F9</f>
        <v/>
      </c>
      <c r="G10" s="7">
        <f>-G6*G9</f>
        <v/>
      </c>
      <c r="H10" s="7">
        <f>-H6*H9</f>
        <v/>
      </c>
      <c r="I10" s="7">
        <f>-I6*I9</f>
        <v/>
      </c>
      <c r="J10" s="7">
        <f>-J6*J9</f>
        <v/>
      </c>
      <c r="K10" s="7">
        <f>-K6*K9</f>
        <v/>
      </c>
      <c r="L10" s="7">
        <f>-L6*L9</f>
        <v/>
      </c>
    </row>
    <row r="11">
      <c r="A11" t="inlineStr">
        <is>
          <t>Lease cost % of revenue</t>
        </is>
      </c>
      <c r="B11" s="4" t="n"/>
      <c r="C11" s="9">
        <f>Assumptions!$B$5</f>
        <v/>
      </c>
      <c r="D11" s="9">
        <f>Assumptions!$B$5</f>
        <v/>
      </c>
      <c r="E11" s="9">
        <f>Assumptions!$B$5</f>
        <v/>
      </c>
      <c r="F11" s="9">
        <f>Assumptions!$B$5</f>
        <v/>
      </c>
      <c r="G11" s="9">
        <f>Assumptions!$B$5</f>
        <v/>
      </c>
      <c r="H11" s="9">
        <f>Assumptions!$B$5</f>
        <v/>
      </c>
      <c r="I11" s="9">
        <f>Assumptions!$B$5</f>
        <v/>
      </c>
      <c r="J11" s="9">
        <f>Assumptions!$B$5</f>
        <v/>
      </c>
      <c r="K11" s="9">
        <f>Assumptions!$B$5</f>
        <v/>
      </c>
      <c r="L11" s="9">
        <f>Assumptions!$B$5</f>
        <v/>
      </c>
    </row>
    <row r="12">
      <c r="A12" t="inlineStr">
        <is>
          <t>Lease cost (negative)</t>
        </is>
      </c>
      <c r="B12" s="7" t="n"/>
      <c r="C12" s="7">
        <f>-C6*C11</f>
        <v/>
      </c>
      <c r="D12" s="7">
        <f>-D6*D11</f>
        <v/>
      </c>
      <c r="E12" s="7">
        <f>-E6*E11</f>
        <v/>
      </c>
      <c r="F12" s="7">
        <f>-F6*F11</f>
        <v/>
      </c>
      <c r="G12" s="7">
        <f>-G6*G11</f>
        <v/>
      </c>
      <c r="H12" s="7">
        <f>-H6*H11</f>
        <v/>
      </c>
      <c r="I12" s="7">
        <f>-I6*I11</f>
        <v/>
      </c>
      <c r="J12" s="7">
        <f>-J6*J11</f>
        <v/>
      </c>
      <c r="K12" s="7">
        <f>-K6*K11</f>
        <v/>
      </c>
      <c r="L12" s="7">
        <f>-L6*L11</f>
        <v/>
      </c>
    </row>
    <row r="13">
      <c r="A13" t="inlineStr">
        <is>
          <t>Owner EBITDA (post lease, post SBC)</t>
        </is>
      </c>
      <c r="B13" s="7" t="n"/>
      <c r="C13" s="7">
        <f>C8+C10+C12</f>
        <v/>
      </c>
      <c r="D13" s="7">
        <f>D8+D10+D12</f>
        <v/>
      </c>
      <c r="E13" s="7">
        <f>E8+E10+E12</f>
        <v/>
      </c>
      <c r="F13" s="7">
        <f>F8+F10+F12</f>
        <v/>
      </c>
      <c r="G13" s="7">
        <f>G8+G10+G12</f>
        <v/>
      </c>
      <c r="H13" s="7">
        <f>H8+H10+H12</f>
        <v/>
      </c>
      <c r="I13" s="7">
        <f>I8+I10+I12</f>
        <v/>
      </c>
      <c r="J13" s="7">
        <f>J8+J10+J12</f>
        <v/>
      </c>
      <c r="K13" s="7">
        <f>K8+K10+K12</f>
        <v/>
      </c>
      <c r="L13" s="7">
        <f>L8+L10+L12</f>
        <v/>
      </c>
    </row>
    <row r="14">
      <c r="A14" t="inlineStr">
        <is>
          <t>D&amp;A ex-ROU (negative)</t>
        </is>
      </c>
      <c r="B14" s="7" t="n"/>
      <c r="C14" s="6">
        <f>-C6*Assumptions!$B$4</f>
        <v/>
      </c>
      <c r="D14" s="6">
        <f>-D6*Assumptions!$B$4</f>
        <v/>
      </c>
      <c r="E14" s="6">
        <f>-E6*Assumptions!$B$4</f>
        <v/>
      </c>
      <c r="F14" s="6">
        <f>-F6*Assumptions!$B$4</f>
        <v/>
      </c>
      <c r="G14" s="6">
        <f>-G6*Assumptions!$B$4</f>
        <v/>
      </c>
      <c r="H14" s="6">
        <f>-H6*Assumptions!$B$4</f>
        <v/>
      </c>
      <c r="I14" s="6">
        <f>-I6*Assumptions!$B$4</f>
        <v/>
      </c>
      <c r="J14" s="6">
        <f>-J6*Assumptions!$B$4</f>
        <v/>
      </c>
      <c r="K14" s="6">
        <f>-K6*Assumptions!$B$4</f>
        <v/>
      </c>
      <c r="L14" s="6">
        <f>-L6*Assumptions!$B$4</f>
        <v/>
      </c>
    </row>
    <row r="15">
      <c r="A15" t="inlineStr">
        <is>
          <t>EBIT</t>
        </is>
      </c>
      <c r="B15" s="7" t="n"/>
      <c r="C15" s="7">
        <f>C13+C14</f>
        <v/>
      </c>
      <c r="D15" s="7">
        <f>D13+D14</f>
        <v/>
      </c>
      <c r="E15" s="7">
        <f>E13+E14</f>
        <v/>
      </c>
      <c r="F15" s="7">
        <f>F13+F14</f>
        <v/>
      </c>
      <c r="G15" s="7">
        <f>G13+G14</f>
        <v/>
      </c>
      <c r="H15" s="7">
        <f>H13+H14</f>
        <v/>
      </c>
      <c r="I15" s="7">
        <f>I13+I14</f>
        <v/>
      </c>
      <c r="J15" s="7">
        <f>J13+J14</f>
        <v/>
      </c>
      <c r="K15" s="7">
        <f>K13+K14</f>
        <v/>
      </c>
      <c r="L15" s="7">
        <f>L13+L14</f>
        <v/>
      </c>
    </row>
    <row r="16">
      <c r="A16" t="inlineStr">
        <is>
          <t>Cash tax rate</t>
        </is>
      </c>
      <c r="B16" s="4" t="n"/>
      <c r="C16" s="5" t="n">
        <v>0.28</v>
      </c>
      <c r="D16" s="5" t="n">
        <v>0.28</v>
      </c>
      <c r="E16" s="5" t="n">
        <v>0.28</v>
      </c>
      <c r="F16" s="5" t="n">
        <v>0.28</v>
      </c>
      <c r="G16" s="5" t="n">
        <v>0.28</v>
      </c>
      <c r="H16" s="5" t="n">
        <v>0.28</v>
      </c>
      <c r="I16" s="5" t="n">
        <v>0.28</v>
      </c>
      <c r="J16" s="5" t="n">
        <v>0.28</v>
      </c>
      <c r="K16" s="5" t="n">
        <v>0.28</v>
      </c>
      <c r="L16" s="5" t="n">
        <v>0.28</v>
      </c>
    </row>
    <row r="17">
      <c r="A17" t="inlineStr">
        <is>
          <t>NOPAT</t>
        </is>
      </c>
      <c r="B17" s="7" t="n"/>
      <c r="C17" s="7">
        <f>C15-MAX(0,C15)*C16</f>
        <v/>
      </c>
      <c r="D17" s="7">
        <f>D15-MAX(0,D15)*D16</f>
        <v/>
      </c>
      <c r="E17" s="7">
        <f>E15-MAX(0,E15)*E16</f>
        <v/>
      </c>
      <c r="F17" s="7">
        <f>F15-MAX(0,F15)*F16</f>
        <v/>
      </c>
      <c r="G17" s="7">
        <f>G15-MAX(0,G15)*G16</f>
        <v/>
      </c>
      <c r="H17" s="7">
        <f>H15-MAX(0,H15)*H16</f>
        <v/>
      </c>
      <c r="I17" s="7">
        <f>I15-MAX(0,I15)*I16</f>
        <v/>
      </c>
      <c r="J17" s="7">
        <f>J15-MAX(0,J15)*J16</f>
        <v/>
      </c>
      <c r="K17" s="7">
        <f>K15-MAX(0,K15)*K16</f>
        <v/>
      </c>
      <c r="L17" s="7">
        <f>L15-MAX(0,L15)*L16</f>
        <v/>
      </c>
    </row>
    <row r="18">
      <c r="A18" t="inlineStr">
        <is>
          <t>add back D&amp;A</t>
        </is>
      </c>
      <c r="B18" s="7" t="n"/>
      <c r="C18" s="7">
        <f>-C14</f>
        <v/>
      </c>
      <c r="D18" s="7">
        <f>-D14</f>
        <v/>
      </c>
      <c r="E18" s="7">
        <f>-E14</f>
        <v/>
      </c>
      <c r="F18" s="7">
        <f>-F14</f>
        <v/>
      </c>
      <c r="G18" s="7">
        <f>-G14</f>
        <v/>
      </c>
      <c r="H18" s="7">
        <f>-H14</f>
        <v/>
      </c>
      <c r="I18" s="7">
        <f>-I14</f>
        <v/>
      </c>
      <c r="J18" s="7">
        <f>-J14</f>
        <v/>
      </c>
      <c r="K18" s="7">
        <f>-K14</f>
        <v/>
      </c>
      <c r="L18" s="7">
        <f>-L14</f>
        <v/>
      </c>
    </row>
    <row r="19">
      <c r="A19" t="inlineStr">
        <is>
          <t>Capex % of revenue</t>
        </is>
      </c>
      <c r="B19" s="4" t="n"/>
      <c r="C19" s="5" t="n">
        <v>0.067</v>
      </c>
      <c r="D19" s="5" t="n">
        <v>0.065</v>
      </c>
      <c r="E19" s="5" t="n">
        <v>0.06</v>
      </c>
      <c r="F19" s="5" t="n">
        <v>0.055</v>
      </c>
      <c r="G19" s="5" t="n">
        <v>0.052</v>
      </c>
      <c r="H19" s="5" t="n">
        <v>0.052</v>
      </c>
      <c r="I19" s="5" t="n">
        <v>0.052</v>
      </c>
      <c r="J19" s="5" t="n">
        <v>0.052</v>
      </c>
      <c r="K19" s="5" t="n">
        <v>0.052</v>
      </c>
      <c r="L19" s="5" t="n">
        <v>0.052</v>
      </c>
    </row>
    <row r="20">
      <c r="A20" t="inlineStr">
        <is>
          <t>less capex</t>
        </is>
      </c>
      <c r="B20" s="7" t="n"/>
      <c r="C20" s="7">
        <f>-C6*C19</f>
        <v/>
      </c>
      <c r="D20" s="7">
        <f>-D6*D19</f>
        <v/>
      </c>
      <c r="E20" s="7">
        <f>-E6*E19</f>
        <v/>
      </c>
      <c r="F20" s="7">
        <f>-F6*F19</f>
        <v/>
      </c>
      <c r="G20" s="7">
        <f>-G6*G19</f>
        <v/>
      </c>
      <c r="H20" s="7">
        <f>-H6*H19</f>
        <v/>
      </c>
      <c r="I20" s="7">
        <f>-I6*I19</f>
        <v/>
      </c>
      <c r="J20" s="7">
        <f>-J6*J19</f>
        <v/>
      </c>
      <c r="K20" s="7">
        <f>-K6*K19</f>
        <v/>
      </c>
      <c r="L20" s="7">
        <f>-L6*L19</f>
        <v/>
      </c>
    </row>
    <row r="21">
      <c r="A21" t="inlineStr">
        <is>
          <t>Working capital (on revenue change)</t>
        </is>
      </c>
      <c r="B21" s="7" t="n"/>
      <c r="C21" s="6">
        <f>Assumptions!$B$18*(C6-B6)</f>
        <v/>
      </c>
      <c r="D21" s="6">
        <f>Assumptions!$B$18*(D6-C6)</f>
        <v/>
      </c>
      <c r="E21" s="6">
        <f>Assumptions!$B$18*(E6-D6)</f>
        <v/>
      </c>
      <c r="F21" s="6">
        <f>Assumptions!$B$18*(F6-E6)</f>
        <v/>
      </c>
      <c r="G21" s="6">
        <f>Assumptions!$B$18*(G6-F6)</f>
        <v/>
      </c>
      <c r="H21" s="6">
        <f>Assumptions!$B$18*(H6-G6)</f>
        <v/>
      </c>
      <c r="I21" s="6">
        <f>Assumptions!$B$18*(I6-H6)</f>
        <v/>
      </c>
      <c r="J21" s="6">
        <f>Assumptions!$B$18*(J6-I6)</f>
        <v/>
      </c>
      <c r="K21" s="6">
        <f>Assumptions!$B$18*(K6-J6)</f>
        <v/>
      </c>
      <c r="L21" s="6">
        <f>Assumptions!$B$18*(L6-K6)</f>
        <v/>
      </c>
    </row>
    <row r="22">
      <c r="A22" t="inlineStr">
        <is>
          <t>Unlevered owner FCF</t>
        </is>
      </c>
      <c r="B22" s="7" t="n"/>
      <c r="C22" s="10">
        <f>C17+C18+C20+C21</f>
        <v/>
      </c>
      <c r="D22" s="10">
        <f>D17+D18+D20+D21</f>
        <v/>
      </c>
      <c r="E22" s="10">
        <f>E17+E18+E20+E21</f>
        <v/>
      </c>
      <c r="F22" s="10">
        <f>F17+F18+F20+F21</f>
        <v/>
      </c>
      <c r="G22" s="10">
        <f>G17+G18+G20+G21</f>
        <v/>
      </c>
      <c r="H22" s="10">
        <f>H17+H18+H20+H21</f>
        <v/>
      </c>
      <c r="I22" s="10">
        <f>I17+I18+I20+I21</f>
        <v/>
      </c>
      <c r="J22" s="10">
        <f>J17+J18+J20+J21</f>
        <v/>
      </c>
      <c r="K22" s="10">
        <f>K17+K18+K20+K21</f>
        <v/>
      </c>
      <c r="L22" s="10">
        <f>L17+L18+L20+L21</f>
        <v/>
      </c>
    </row>
    <row r="23">
      <c r="A23" t="inlineStr">
        <is>
          <t>Discount factor</t>
        </is>
      </c>
      <c r="B23" s="11" t="n"/>
      <c r="C23" s="12">
        <f>1/(1+Assumptions!$B$3)^C4</f>
        <v/>
      </c>
      <c r="D23" s="12">
        <f>1/(1+Assumptions!$B$3)^D4</f>
        <v/>
      </c>
      <c r="E23" s="12">
        <f>1/(1+Assumptions!$B$3)^E4</f>
        <v/>
      </c>
      <c r="F23" s="12">
        <f>1/(1+Assumptions!$B$3)^F4</f>
        <v/>
      </c>
      <c r="G23" s="12">
        <f>1/(1+Assumptions!$B$3)^G4</f>
        <v/>
      </c>
      <c r="H23" s="12">
        <f>1/(1+Assumptions!$B$3)^H4</f>
        <v/>
      </c>
      <c r="I23" s="12">
        <f>1/(1+Assumptions!$B$3)^I4</f>
        <v/>
      </c>
      <c r="J23" s="12">
        <f>1/(1+Assumptions!$B$3)^J4</f>
        <v/>
      </c>
      <c r="K23" s="12">
        <f>1/(1+Assumptions!$B$3)^K4</f>
        <v/>
      </c>
      <c r="L23" s="12">
        <f>1/(1+Assumptions!$B$3)^L4</f>
        <v/>
      </c>
    </row>
    <row r="24">
      <c r="A24" t="inlineStr">
        <is>
          <t>PV of FCF</t>
        </is>
      </c>
      <c r="B24" s="7" t="n"/>
      <c r="C24" s="7">
        <f>C22*C23</f>
        <v/>
      </c>
      <c r="D24" s="7">
        <f>D22*D23</f>
        <v/>
      </c>
      <c r="E24" s="7">
        <f>E22*E23</f>
        <v/>
      </c>
      <c r="F24" s="7">
        <f>F22*F23</f>
        <v/>
      </c>
      <c r="G24" s="7">
        <f>G22*G23</f>
        <v/>
      </c>
      <c r="H24" s="7">
        <f>H22*H23</f>
        <v/>
      </c>
      <c r="I24" s="7">
        <f>I22*I23</f>
        <v/>
      </c>
      <c r="J24" s="7">
        <f>J22*J23</f>
        <v/>
      </c>
      <c r="K24" s="7">
        <f>K22*K23</f>
        <v/>
      </c>
      <c r="L24" s="7">
        <f>L22*L23</f>
        <v/>
      </c>
    </row>
    <row r="26">
      <c r="A26" t="inlineStr">
        <is>
          <t>Memo: FCF before SBC (company-style)</t>
        </is>
      </c>
      <c r="B26" s="7" t="n"/>
      <c r="C26" s="7">
        <f>C22-C10</f>
        <v/>
      </c>
      <c r="D26" s="7">
        <f>D22-D10</f>
        <v/>
      </c>
      <c r="E26" s="7">
        <f>E22-E10</f>
        <v/>
      </c>
      <c r="F26" s="7">
        <f>F22-F10</f>
        <v/>
      </c>
      <c r="G26" s="7">
        <f>G22-G10</f>
        <v/>
      </c>
      <c r="H26" s="7">
        <f>H22-H10</f>
        <v/>
      </c>
      <c r="I26" s="7">
        <f>I22-I10</f>
        <v/>
      </c>
      <c r="J26" s="7">
        <f>J22-J10</f>
        <v/>
      </c>
      <c r="K26" s="7">
        <f>K22-K10</f>
        <v/>
      </c>
      <c r="L26" s="7">
        <f>L22-L10</f>
        <v/>
      </c>
    </row>
    <row r="27">
      <c r="A27" t="inlineStr">
        <is>
          <t>Memo: owner-FCF margin</t>
        </is>
      </c>
      <c r="B27" s="4" t="n"/>
      <c r="C27" s="4">
        <f>C22/C6</f>
        <v/>
      </c>
      <c r="D27" s="4">
        <f>D22/D6</f>
        <v/>
      </c>
      <c r="E27" s="4">
        <f>E22/E6</f>
        <v/>
      </c>
      <c r="F27" s="4">
        <f>F22/F6</f>
        <v/>
      </c>
      <c r="G27" s="4">
        <f>G22/G6</f>
        <v/>
      </c>
      <c r="H27" s="4">
        <f>H22/H6</f>
        <v/>
      </c>
      <c r="I27" s="4">
        <f>I22/I6</f>
        <v/>
      </c>
      <c r="J27" s="4">
        <f>J22/J6</f>
        <v/>
      </c>
      <c r="K27" s="4">
        <f>K22/K6</f>
        <v/>
      </c>
      <c r="L27" s="4">
        <f>L22/L6</f>
        <v/>
      </c>
    </row>
    <row r="29">
      <c r="A29" t="inlineStr">
        <is>
          <t>Sum of PV of FCF</t>
        </is>
      </c>
      <c r="B29" s="7">
        <f>SUM(C24:L24)</f>
        <v/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>
      <c r="A30" t="inlineStr">
        <is>
          <t>Terminal growth</t>
        </is>
      </c>
      <c r="B30" s="9">
        <f>Assumptions!$B$16</f>
        <v/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t="inlineStr">
        <is>
          <t>Terminal-year FCF x (1+g)</t>
        </is>
      </c>
      <c r="B31" s="7">
        <f>L22*(1+B30)</f>
        <v/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t="inlineStr">
        <is>
          <t>Gordon terminal value</t>
        </is>
      </c>
      <c r="B32" s="7">
        <f>IF(Assumptions!$B$3&gt;B30,B31/(Assumptions!$B$3-B30),0)</f>
        <v/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>
      <c r="A33" t="inlineStr">
        <is>
          <t>Cap terminal value (cap x FCF_10)</t>
        </is>
      </c>
      <c r="B33" s="6">
        <f>Assumptions!$B$8*L22</f>
        <v/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>
      <c r="A34" t="inlineStr">
        <is>
          <t>Terminal value used = MAX(0, MIN(Gordon, cap))</t>
        </is>
      </c>
      <c r="B34" s="7">
        <f>MAX(0,MIN(B32,B33))</f>
        <v/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>
      <c r="A35" t="inlineStr">
        <is>
          <t>Implied exit multiple (TV / FCF_10)</t>
        </is>
      </c>
      <c r="B35">
        <f>IF(L22&lt;&gt;0,B34/L22,0)</f>
        <v/>
      </c>
    </row>
    <row r="36">
      <c r="A36" t="inlineStr">
        <is>
          <t>PV of terminal value</t>
        </is>
      </c>
      <c r="B36" s="7">
        <f>B34*L23</f>
        <v/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t="inlineStr">
        <is>
          <t>Enterprise value</t>
        </is>
      </c>
      <c r="B37" s="7">
        <f>B29+B36</f>
        <v/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>
      <c r="A38" t="inlineStr">
        <is>
          <t>less net debt (incl. NCI)</t>
        </is>
      </c>
      <c r="B38" s="7">
        <f>-Assumptions!$B$9</f>
        <v/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>
      <c r="A39" t="inlineStr">
        <is>
          <t>Equity value</t>
        </is>
      </c>
      <c r="B39" s="7">
        <f>B37+B38</f>
        <v/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A40" t="inlineStr">
        <is>
          <t>Diluted shares (m)</t>
        </is>
      </c>
      <c r="B40" s="13">
        <f>Assumptions!$B$10</f>
        <v/>
      </c>
    </row>
    <row r="41">
      <c r="A41" t="inlineStr">
        <is>
          <t>VALUE PER SHARE (A$)</t>
        </is>
      </c>
      <c r="B41" s="14">
        <f>B39/B40</f>
        <v/>
      </c>
    </row>
    <row r="42">
      <c r="A42" t="inlineStr">
        <is>
          <t>Upside vs price</t>
        </is>
      </c>
      <c r="B42" s="4">
        <f>B41/Assumptions!$B$11-1</f>
        <v/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4">
      <c r="A44" t="inlineStr">
        <is>
          <t>Street memo: PV of explicit SBC</t>
        </is>
      </c>
      <c r="B44">
        <f>SUMPRODUCT(-C10:L10/(1+Assumptions!$B$3)^C4:L4)</f>
        <v/>
      </c>
    </row>
    <row r="45">
      <c r="A45" t="inlineStr">
        <is>
          <t>Street memo: PV of terminal SBC (Gordon)</t>
        </is>
      </c>
      <c r="B45">
        <f>IF(Assumptions!$B$3&gt;B30,(-L10*(1+B30)/(Assumptions!$B$3-B30))*L23,0)</f>
        <v/>
      </c>
    </row>
    <row r="46">
      <c r="A46" t="inlineStr">
        <is>
          <t>Street value per share (SBC as non-cash)</t>
        </is>
      </c>
      <c r="B46">
        <f>(B39+B44+B45)/B40</f>
        <v/>
      </c>
    </row>
    <row r="47">
      <c r="A47" t="inlineStr">
        <is>
          <t>Terminal value % of EV</t>
        </is>
      </c>
      <c r="B47" s="4">
        <f>B36/B37</f>
        <v/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BASE scenario: owner-FCF component build, AUD millions. Drivers in blue on yellow (rows 5, 7, 9, 16, 19).</t>
        </is>
      </c>
    </row>
    <row r="3">
      <c r="A3" t="inlineStr">
        <is>
          <t>Year</t>
        </is>
      </c>
      <c r="B3" t="inlineStr">
        <is>
          <t>FY2026A</t>
        </is>
      </c>
      <c r="C3" t="inlineStr">
        <is>
          <t>FY2027E</t>
        </is>
      </c>
      <c r="D3" t="inlineStr">
        <is>
          <t>FY2028E</t>
        </is>
      </c>
      <c r="E3" t="inlineStr">
        <is>
          <t>FY2029E</t>
        </is>
      </c>
      <c r="F3" t="inlineStr">
        <is>
          <t>FY2030E</t>
        </is>
      </c>
      <c r="G3" t="inlineStr">
        <is>
          <t>FY2031E</t>
        </is>
      </c>
      <c r="H3" t="inlineStr">
        <is>
          <t>FY2032E</t>
        </is>
      </c>
      <c r="I3" t="inlineStr">
        <is>
          <t>FY2033E</t>
        </is>
      </c>
      <c r="J3" t="inlineStr">
        <is>
          <t>FY2034E</t>
        </is>
      </c>
      <c r="K3" t="inlineStr">
        <is>
          <t>FY2035E</t>
        </is>
      </c>
      <c r="L3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B5" s="4" t="n"/>
      <c r="C5" s="5" t="n">
        <v>0.08</v>
      </c>
      <c r="D5" s="5" t="n">
        <v>0.06</v>
      </c>
      <c r="E5" s="5" t="n">
        <v>0.05</v>
      </c>
      <c r="F5" s="5" t="n">
        <v>0.045</v>
      </c>
      <c r="G5" s="5" t="n">
        <v>0.04</v>
      </c>
      <c r="H5" s="5" t="n">
        <v>0.035</v>
      </c>
      <c r="I5" s="5" t="n">
        <v>0.035</v>
      </c>
      <c r="J5" s="5" t="n">
        <v>0.03</v>
      </c>
      <c r="K5" s="5" t="n">
        <v>0.03</v>
      </c>
      <c r="L5" s="5" t="n">
        <v>0.03</v>
      </c>
    </row>
    <row r="6">
      <c r="A6" t="inlineStr">
        <is>
          <t>Revenue</t>
        </is>
      </c>
      <c r="B6" s="6">
        <f>Assumptions!$B$12</f>
        <v/>
      </c>
      <c r="C6" s="7">
        <f>B6*(1+C5)</f>
        <v/>
      </c>
      <c r="D6" s="7">
        <f>C6*(1+D5)</f>
        <v/>
      </c>
      <c r="E6" s="7">
        <f>D6*(1+E5)</f>
        <v/>
      </c>
      <c r="F6" s="7">
        <f>E6*(1+F5)</f>
        <v/>
      </c>
      <c r="G6" s="7">
        <f>F6*(1+G5)</f>
        <v/>
      </c>
      <c r="H6" s="7">
        <f>G6*(1+H5)</f>
        <v/>
      </c>
      <c r="I6" s="7">
        <f>H6*(1+I5)</f>
        <v/>
      </c>
      <c r="J6" s="7">
        <f>I6*(1+J5)</f>
        <v/>
      </c>
      <c r="K6" s="7">
        <f>J6*(1+K5)</f>
        <v/>
      </c>
      <c r="L6" s="7">
        <f>K6*(1+L5)</f>
        <v/>
      </c>
    </row>
    <row r="7">
      <c r="A7" t="inlineStr">
        <is>
          <t>Adj EBITDA margin (post-IFRS16, pre-SBC)</t>
        </is>
      </c>
      <c r="B7" s="8" t="n">
        <v>0.254</v>
      </c>
      <c r="C7" s="5" t="n">
        <v>0.258</v>
      </c>
      <c r="D7" s="5" t="n">
        <v>0.258</v>
      </c>
      <c r="E7" s="5" t="n">
        <v>0.255</v>
      </c>
      <c r="F7" s="5" t="n">
        <v>0.252</v>
      </c>
      <c r="G7" s="5" t="n">
        <v>0.25</v>
      </c>
      <c r="H7" s="5" t="n">
        <v>0.25</v>
      </c>
      <c r="I7" s="5" t="n">
        <v>0.25</v>
      </c>
      <c r="J7" s="5" t="n">
        <v>0.25</v>
      </c>
      <c r="K7" s="5" t="n">
        <v>0.25</v>
      </c>
      <c r="L7" s="5" t="n">
        <v>0.25</v>
      </c>
    </row>
    <row r="8">
      <c r="A8" t="inlineStr">
        <is>
          <t>Adjusted EBITDA</t>
        </is>
      </c>
      <c r="B8" s="7">
        <f>B6*B7</f>
        <v/>
      </c>
      <c r="C8" s="7">
        <f>C6*C7</f>
        <v/>
      </c>
      <c r="D8" s="7">
        <f>D6*D7</f>
        <v/>
      </c>
      <c r="E8" s="7">
        <f>E6*E7</f>
        <v/>
      </c>
      <c r="F8" s="7">
        <f>F6*F7</f>
        <v/>
      </c>
      <c r="G8" s="7">
        <f>G6*G7</f>
        <v/>
      </c>
      <c r="H8" s="7">
        <f>H6*H7</f>
        <v/>
      </c>
      <c r="I8" s="7">
        <f>I6*I7</f>
        <v/>
      </c>
      <c r="J8" s="7">
        <f>J6*J7</f>
        <v/>
      </c>
      <c r="K8" s="7">
        <f>K6*K7</f>
        <v/>
      </c>
      <c r="L8" s="7">
        <f>L6*L7</f>
        <v/>
      </c>
    </row>
    <row r="9">
      <c r="A9" t="inlineStr">
        <is>
          <t>SBC % of revenue</t>
        </is>
      </c>
      <c r="B9" s="4" t="n"/>
      <c r="C9" s="5" t="n">
        <v>0.003</v>
      </c>
      <c r="D9" s="5" t="n">
        <v>0.003</v>
      </c>
      <c r="E9" s="5" t="n">
        <v>0.003</v>
      </c>
      <c r="F9" s="5" t="n">
        <v>0.003</v>
      </c>
      <c r="G9" s="5" t="n">
        <v>0.003</v>
      </c>
      <c r="H9" s="5" t="n">
        <v>0.003</v>
      </c>
      <c r="I9" s="5" t="n">
        <v>0.003</v>
      </c>
      <c r="J9" s="5" t="n">
        <v>0.003</v>
      </c>
      <c r="K9" s="5" t="n">
        <v>0.003</v>
      </c>
      <c r="L9" s="5" t="n">
        <v>0.003</v>
      </c>
    </row>
    <row r="10">
      <c r="A10" t="inlineStr">
        <is>
          <t>SBC (negative)</t>
        </is>
      </c>
      <c r="B10" s="7" t="n"/>
      <c r="C10" s="7">
        <f>-C6*C9</f>
        <v/>
      </c>
      <c r="D10" s="7">
        <f>-D6*D9</f>
        <v/>
      </c>
      <c r="E10" s="7">
        <f>-E6*E9</f>
        <v/>
      </c>
      <c r="F10" s="7">
        <f>-F6*F9</f>
        <v/>
      </c>
      <c r="G10" s="7">
        <f>-G6*G9</f>
        <v/>
      </c>
      <c r="H10" s="7">
        <f>-H6*H9</f>
        <v/>
      </c>
      <c r="I10" s="7">
        <f>-I6*I9</f>
        <v/>
      </c>
      <c r="J10" s="7">
        <f>-J6*J9</f>
        <v/>
      </c>
      <c r="K10" s="7">
        <f>-K6*K9</f>
        <v/>
      </c>
      <c r="L10" s="7">
        <f>-L6*L9</f>
        <v/>
      </c>
    </row>
    <row r="11">
      <c r="A11" t="inlineStr">
        <is>
          <t>Lease cost % of revenue</t>
        </is>
      </c>
      <c r="B11" s="4" t="n"/>
      <c r="C11" s="9">
        <f>Assumptions!$B$5</f>
        <v/>
      </c>
      <c r="D11" s="9">
        <f>Assumptions!$B$5</f>
        <v/>
      </c>
      <c r="E11" s="9">
        <f>Assumptions!$B$5</f>
        <v/>
      </c>
      <c r="F11" s="9">
        <f>Assumptions!$B$5</f>
        <v/>
      </c>
      <c r="G11" s="9">
        <f>Assumptions!$B$5</f>
        <v/>
      </c>
      <c r="H11" s="9">
        <f>Assumptions!$B$5</f>
        <v/>
      </c>
      <c r="I11" s="9">
        <f>Assumptions!$B$5</f>
        <v/>
      </c>
      <c r="J11" s="9">
        <f>Assumptions!$B$5</f>
        <v/>
      </c>
      <c r="K11" s="9">
        <f>Assumptions!$B$5</f>
        <v/>
      </c>
      <c r="L11" s="9">
        <f>Assumptions!$B$5</f>
        <v/>
      </c>
    </row>
    <row r="12">
      <c r="A12" t="inlineStr">
        <is>
          <t>Lease cost (negative)</t>
        </is>
      </c>
      <c r="B12" s="7" t="n"/>
      <c r="C12" s="7">
        <f>-C6*C11</f>
        <v/>
      </c>
      <c r="D12" s="7">
        <f>-D6*D11</f>
        <v/>
      </c>
      <c r="E12" s="7">
        <f>-E6*E11</f>
        <v/>
      </c>
      <c r="F12" s="7">
        <f>-F6*F11</f>
        <v/>
      </c>
      <c r="G12" s="7">
        <f>-G6*G11</f>
        <v/>
      </c>
      <c r="H12" s="7">
        <f>-H6*H11</f>
        <v/>
      </c>
      <c r="I12" s="7">
        <f>-I6*I11</f>
        <v/>
      </c>
      <c r="J12" s="7">
        <f>-J6*J11</f>
        <v/>
      </c>
      <c r="K12" s="7">
        <f>-K6*K11</f>
        <v/>
      </c>
      <c r="L12" s="7">
        <f>-L6*L11</f>
        <v/>
      </c>
    </row>
    <row r="13">
      <c r="A13" t="inlineStr">
        <is>
          <t>Owner EBITDA (post lease, post SBC)</t>
        </is>
      </c>
      <c r="B13" s="7" t="n"/>
      <c r="C13" s="7">
        <f>C8+C10+C12</f>
        <v/>
      </c>
      <c r="D13" s="7">
        <f>D8+D10+D12</f>
        <v/>
      </c>
      <c r="E13" s="7">
        <f>E8+E10+E12</f>
        <v/>
      </c>
      <c r="F13" s="7">
        <f>F8+F10+F12</f>
        <v/>
      </c>
      <c r="G13" s="7">
        <f>G8+G10+G12</f>
        <v/>
      </c>
      <c r="H13" s="7">
        <f>H8+H10+H12</f>
        <v/>
      </c>
      <c r="I13" s="7">
        <f>I8+I10+I12</f>
        <v/>
      </c>
      <c r="J13" s="7">
        <f>J8+J10+J12</f>
        <v/>
      </c>
      <c r="K13" s="7">
        <f>K8+K10+K12</f>
        <v/>
      </c>
      <c r="L13" s="7">
        <f>L8+L10+L12</f>
        <v/>
      </c>
    </row>
    <row r="14">
      <c r="A14" t="inlineStr">
        <is>
          <t>D&amp;A ex-ROU (negative)</t>
        </is>
      </c>
      <c r="B14" s="7" t="n"/>
      <c r="C14" s="6">
        <f>-C6*Assumptions!$B$4</f>
        <v/>
      </c>
      <c r="D14" s="6">
        <f>-D6*Assumptions!$B$4</f>
        <v/>
      </c>
      <c r="E14" s="6">
        <f>-E6*Assumptions!$B$4</f>
        <v/>
      </c>
      <c r="F14" s="6">
        <f>-F6*Assumptions!$B$4</f>
        <v/>
      </c>
      <c r="G14" s="6">
        <f>-G6*Assumptions!$B$4</f>
        <v/>
      </c>
      <c r="H14" s="6">
        <f>-H6*Assumptions!$B$4</f>
        <v/>
      </c>
      <c r="I14" s="6">
        <f>-I6*Assumptions!$B$4</f>
        <v/>
      </c>
      <c r="J14" s="6">
        <f>-J6*Assumptions!$B$4</f>
        <v/>
      </c>
      <c r="K14" s="6">
        <f>-K6*Assumptions!$B$4</f>
        <v/>
      </c>
      <c r="L14" s="6">
        <f>-L6*Assumptions!$B$4</f>
        <v/>
      </c>
    </row>
    <row r="15">
      <c r="A15" t="inlineStr">
        <is>
          <t>EBIT</t>
        </is>
      </c>
      <c r="B15" s="7" t="n"/>
      <c r="C15" s="7">
        <f>C13+C14</f>
        <v/>
      </c>
      <c r="D15" s="7">
        <f>D13+D14</f>
        <v/>
      </c>
      <c r="E15" s="7">
        <f>E13+E14</f>
        <v/>
      </c>
      <c r="F15" s="7">
        <f>F13+F14</f>
        <v/>
      </c>
      <c r="G15" s="7">
        <f>G13+G14</f>
        <v/>
      </c>
      <c r="H15" s="7">
        <f>H13+H14</f>
        <v/>
      </c>
      <c r="I15" s="7">
        <f>I13+I14</f>
        <v/>
      </c>
      <c r="J15" s="7">
        <f>J13+J14</f>
        <v/>
      </c>
      <c r="K15" s="7">
        <f>K13+K14</f>
        <v/>
      </c>
      <c r="L15" s="7">
        <f>L13+L14</f>
        <v/>
      </c>
    </row>
    <row r="16">
      <c r="A16" t="inlineStr">
        <is>
          <t>Cash tax rate</t>
        </is>
      </c>
      <c r="B16" s="4" t="n"/>
      <c r="C16" s="5" t="n">
        <v>0.28</v>
      </c>
      <c r="D16" s="5" t="n">
        <v>0.28</v>
      </c>
      <c r="E16" s="5" t="n">
        <v>0.28</v>
      </c>
      <c r="F16" s="5" t="n">
        <v>0.28</v>
      </c>
      <c r="G16" s="5" t="n">
        <v>0.28</v>
      </c>
      <c r="H16" s="5" t="n">
        <v>0.28</v>
      </c>
      <c r="I16" s="5" t="n">
        <v>0.28</v>
      </c>
      <c r="J16" s="5" t="n">
        <v>0.28</v>
      </c>
      <c r="K16" s="5" t="n">
        <v>0.28</v>
      </c>
      <c r="L16" s="5" t="n">
        <v>0.28</v>
      </c>
    </row>
    <row r="17">
      <c r="A17" t="inlineStr">
        <is>
          <t>NOPAT</t>
        </is>
      </c>
      <c r="B17" s="7" t="n"/>
      <c r="C17" s="7">
        <f>C15-MAX(0,C15)*C16</f>
        <v/>
      </c>
      <c r="D17" s="7">
        <f>D15-MAX(0,D15)*D16</f>
        <v/>
      </c>
      <c r="E17" s="7">
        <f>E15-MAX(0,E15)*E16</f>
        <v/>
      </c>
      <c r="F17" s="7">
        <f>F15-MAX(0,F15)*F16</f>
        <v/>
      </c>
      <c r="G17" s="7">
        <f>G15-MAX(0,G15)*G16</f>
        <v/>
      </c>
      <c r="H17" s="7">
        <f>H15-MAX(0,H15)*H16</f>
        <v/>
      </c>
      <c r="I17" s="7">
        <f>I15-MAX(0,I15)*I16</f>
        <v/>
      </c>
      <c r="J17" s="7">
        <f>J15-MAX(0,J15)*J16</f>
        <v/>
      </c>
      <c r="K17" s="7">
        <f>K15-MAX(0,K15)*K16</f>
        <v/>
      </c>
      <c r="L17" s="7">
        <f>L15-MAX(0,L15)*L16</f>
        <v/>
      </c>
    </row>
    <row r="18">
      <c r="A18" t="inlineStr">
        <is>
          <t>add back D&amp;A</t>
        </is>
      </c>
      <c r="B18" s="7" t="n"/>
      <c r="C18" s="7">
        <f>-C14</f>
        <v/>
      </c>
      <c r="D18" s="7">
        <f>-D14</f>
        <v/>
      </c>
      <c r="E18" s="7">
        <f>-E14</f>
        <v/>
      </c>
      <c r="F18" s="7">
        <f>-F14</f>
        <v/>
      </c>
      <c r="G18" s="7">
        <f>-G14</f>
        <v/>
      </c>
      <c r="H18" s="7">
        <f>-H14</f>
        <v/>
      </c>
      <c r="I18" s="7">
        <f>-I14</f>
        <v/>
      </c>
      <c r="J18" s="7">
        <f>-J14</f>
        <v/>
      </c>
      <c r="K18" s="7">
        <f>-K14</f>
        <v/>
      </c>
      <c r="L18" s="7">
        <f>-L14</f>
        <v/>
      </c>
    </row>
    <row r="19">
      <c r="A19" t="inlineStr">
        <is>
          <t>Capex % of revenue</t>
        </is>
      </c>
      <c r="B19" s="4" t="n"/>
      <c r="C19" s="5" t="n">
        <v>0.067</v>
      </c>
      <c r="D19" s="5" t="n">
        <v>0.063</v>
      </c>
      <c r="E19" s="5" t="n">
        <v>0.06</v>
      </c>
      <c r="F19" s="5" t="n">
        <v>0.058</v>
      </c>
      <c r="G19" s="5" t="n">
        <v>0.055</v>
      </c>
      <c r="H19" s="5" t="n">
        <v>0.055</v>
      </c>
      <c r="I19" s="5" t="n">
        <v>0.055</v>
      </c>
      <c r="J19" s="5" t="n">
        <v>0.055</v>
      </c>
      <c r="K19" s="5" t="n">
        <v>0.055</v>
      </c>
      <c r="L19" s="5" t="n">
        <v>0.055</v>
      </c>
    </row>
    <row r="20">
      <c r="A20" t="inlineStr">
        <is>
          <t>less capex</t>
        </is>
      </c>
      <c r="B20" s="7" t="n"/>
      <c r="C20" s="7">
        <f>-C6*C19</f>
        <v/>
      </c>
      <c r="D20" s="7">
        <f>-D6*D19</f>
        <v/>
      </c>
      <c r="E20" s="7">
        <f>-E6*E19</f>
        <v/>
      </c>
      <c r="F20" s="7">
        <f>-F6*F19</f>
        <v/>
      </c>
      <c r="G20" s="7">
        <f>-G6*G19</f>
        <v/>
      </c>
      <c r="H20" s="7">
        <f>-H6*H19</f>
        <v/>
      </c>
      <c r="I20" s="7">
        <f>-I6*I19</f>
        <v/>
      </c>
      <c r="J20" s="7">
        <f>-J6*J19</f>
        <v/>
      </c>
      <c r="K20" s="7">
        <f>-K6*K19</f>
        <v/>
      </c>
      <c r="L20" s="7">
        <f>-L6*L19</f>
        <v/>
      </c>
    </row>
    <row r="21">
      <c r="A21" t="inlineStr">
        <is>
          <t>Working capital (on revenue change)</t>
        </is>
      </c>
      <c r="B21" s="7" t="n"/>
      <c r="C21" s="6">
        <f>Assumptions!$C$18*(C6-B6)</f>
        <v/>
      </c>
      <c r="D21" s="6">
        <f>Assumptions!$C$18*(D6-C6)</f>
        <v/>
      </c>
      <c r="E21" s="6">
        <f>Assumptions!$C$18*(E6-D6)</f>
        <v/>
      </c>
      <c r="F21" s="6">
        <f>Assumptions!$C$18*(F6-E6)</f>
        <v/>
      </c>
      <c r="G21" s="6">
        <f>Assumptions!$C$18*(G6-F6)</f>
        <v/>
      </c>
      <c r="H21" s="6">
        <f>Assumptions!$C$18*(H6-G6)</f>
        <v/>
      </c>
      <c r="I21" s="6">
        <f>Assumptions!$C$18*(I6-H6)</f>
        <v/>
      </c>
      <c r="J21" s="6">
        <f>Assumptions!$C$18*(J6-I6)</f>
        <v/>
      </c>
      <c r="K21" s="6">
        <f>Assumptions!$C$18*(K6-J6)</f>
        <v/>
      </c>
      <c r="L21" s="6">
        <f>Assumptions!$C$18*(L6-K6)</f>
        <v/>
      </c>
    </row>
    <row r="22">
      <c r="A22" t="inlineStr">
        <is>
          <t>Unlevered owner FCF</t>
        </is>
      </c>
      <c r="B22" s="7" t="n"/>
      <c r="C22" s="10">
        <f>C17+C18+C20+C21</f>
        <v/>
      </c>
      <c r="D22" s="10">
        <f>D17+D18+D20+D21</f>
        <v/>
      </c>
      <c r="E22" s="10">
        <f>E17+E18+E20+E21</f>
        <v/>
      </c>
      <c r="F22" s="10">
        <f>F17+F18+F20+F21</f>
        <v/>
      </c>
      <c r="G22" s="10">
        <f>G17+G18+G20+G21</f>
        <v/>
      </c>
      <c r="H22" s="10">
        <f>H17+H18+H20+H21</f>
        <v/>
      </c>
      <c r="I22" s="10">
        <f>I17+I18+I20+I21</f>
        <v/>
      </c>
      <c r="J22" s="10">
        <f>J17+J18+J20+J21</f>
        <v/>
      </c>
      <c r="K22" s="10">
        <f>K17+K18+K20+K21</f>
        <v/>
      </c>
      <c r="L22" s="10">
        <f>L17+L18+L20+L21</f>
        <v/>
      </c>
    </row>
    <row r="23">
      <c r="A23" t="inlineStr">
        <is>
          <t>Discount factor</t>
        </is>
      </c>
      <c r="B23" s="11" t="n"/>
      <c r="C23" s="12">
        <f>1/(1+Assumptions!$B$3)^C4</f>
        <v/>
      </c>
      <c r="D23" s="12">
        <f>1/(1+Assumptions!$B$3)^D4</f>
        <v/>
      </c>
      <c r="E23" s="12">
        <f>1/(1+Assumptions!$B$3)^E4</f>
        <v/>
      </c>
      <c r="F23" s="12">
        <f>1/(1+Assumptions!$B$3)^F4</f>
        <v/>
      </c>
      <c r="G23" s="12">
        <f>1/(1+Assumptions!$B$3)^G4</f>
        <v/>
      </c>
      <c r="H23" s="12">
        <f>1/(1+Assumptions!$B$3)^H4</f>
        <v/>
      </c>
      <c r="I23" s="12">
        <f>1/(1+Assumptions!$B$3)^I4</f>
        <v/>
      </c>
      <c r="J23" s="12">
        <f>1/(1+Assumptions!$B$3)^J4</f>
        <v/>
      </c>
      <c r="K23" s="12">
        <f>1/(1+Assumptions!$B$3)^K4</f>
        <v/>
      </c>
      <c r="L23" s="12">
        <f>1/(1+Assumptions!$B$3)^L4</f>
        <v/>
      </c>
    </row>
    <row r="24">
      <c r="A24" t="inlineStr">
        <is>
          <t>PV of FCF</t>
        </is>
      </c>
      <c r="B24" s="7" t="n"/>
      <c r="C24" s="7">
        <f>C22*C23</f>
        <v/>
      </c>
      <c r="D24" s="7">
        <f>D22*D23</f>
        <v/>
      </c>
      <c r="E24" s="7">
        <f>E22*E23</f>
        <v/>
      </c>
      <c r="F24" s="7">
        <f>F22*F23</f>
        <v/>
      </c>
      <c r="G24" s="7">
        <f>G22*G23</f>
        <v/>
      </c>
      <c r="H24" s="7">
        <f>H22*H23</f>
        <v/>
      </c>
      <c r="I24" s="7">
        <f>I22*I23</f>
        <v/>
      </c>
      <c r="J24" s="7">
        <f>J22*J23</f>
        <v/>
      </c>
      <c r="K24" s="7">
        <f>K22*K23</f>
        <v/>
      </c>
      <c r="L24" s="7">
        <f>L22*L23</f>
        <v/>
      </c>
    </row>
    <row r="26">
      <c r="A26" t="inlineStr">
        <is>
          <t>Memo: FCF before SBC (company-style)</t>
        </is>
      </c>
      <c r="B26" s="7" t="n"/>
      <c r="C26" s="7">
        <f>C22-C10</f>
        <v/>
      </c>
      <c r="D26" s="7">
        <f>D22-D10</f>
        <v/>
      </c>
      <c r="E26" s="7">
        <f>E22-E10</f>
        <v/>
      </c>
      <c r="F26" s="7">
        <f>F22-F10</f>
        <v/>
      </c>
      <c r="G26" s="7">
        <f>G22-G10</f>
        <v/>
      </c>
      <c r="H26" s="7">
        <f>H22-H10</f>
        <v/>
      </c>
      <c r="I26" s="7">
        <f>I22-I10</f>
        <v/>
      </c>
      <c r="J26" s="7">
        <f>J22-J10</f>
        <v/>
      </c>
      <c r="K26" s="7">
        <f>K22-K10</f>
        <v/>
      </c>
      <c r="L26" s="7">
        <f>L22-L10</f>
        <v/>
      </c>
    </row>
    <row r="27">
      <c r="A27" t="inlineStr">
        <is>
          <t>Memo: owner-FCF margin</t>
        </is>
      </c>
      <c r="B27" s="4" t="n"/>
      <c r="C27" s="4">
        <f>C22/C6</f>
        <v/>
      </c>
      <c r="D27" s="4">
        <f>D22/D6</f>
        <v/>
      </c>
      <c r="E27" s="4">
        <f>E22/E6</f>
        <v/>
      </c>
      <c r="F27" s="4">
        <f>F22/F6</f>
        <v/>
      </c>
      <c r="G27" s="4">
        <f>G22/G6</f>
        <v/>
      </c>
      <c r="H27" s="4">
        <f>H22/H6</f>
        <v/>
      </c>
      <c r="I27" s="4">
        <f>I22/I6</f>
        <v/>
      </c>
      <c r="J27" s="4">
        <f>J22/J6</f>
        <v/>
      </c>
      <c r="K27" s="4">
        <f>K22/K6</f>
        <v/>
      </c>
      <c r="L27" s="4">
        <f>L22/L6</f>
        <v/>
      </c>
    </row>
    <row r="29">
      <c r="A29" t="inlineStr">
        <is>
          <t>Sum of PV of FCF</t>
        </is>
      </c>
      <c r="B29" s="7">
        <f>SUM(C24:L24)</f>
        <v/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>
      <c r="A30" t="inlineStr">
        <is>
          <t>Terminal growth</t>
        </is>
      </c>
      <c r="B30" s="9">
        <f>Assumptions!$C$16</f>
        <v/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t="inlineStr">
        <is>
          <t>Terminal-year FCF x (1+g)</t>
        </is>
      </c>
      <c r="B31" s="7">
        <f>L22*(1+B30)</f>
        <v/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t="inlineStr">
        <is>
          <t>Gordon terminal value</t>
        </is>
      </c>
      <c r="B32" s="7">
        <f>IF(Assumptions!$B$3&gt;B30,B31/(Assumptions!$B$3-B30),0)</f>
        <v/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>
      <c r="A33" t="inlineStr">
        <is>
          <t>Cap terminal value (cap x FCF_10)</t>
        </is>
      </c>
      <c r="B33" s="6">
        <f>Assumptions!$B$8*L22</f>
        <v/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>
      <c r="A34" t="inlineStr">
        <is>
          <t>Terminal value used = MAX(0, MIN(Gordon, cap))</t>
        </is>
      </c>
      <c r="B34" s="7">
        <f>MAX(0,MIN(B32,B33))</f>
        <v/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>
      <c r="A35" t="inlineStr">
        <is>
          <t>Implied exit multiple (TV / FCF_10)</t>
        </is>
      </c>
      <c r="B35">
        <f>IF(L22&lt;&gt;0,B34/L22,0)</f>
        <v/>
      </c>
    </row>
    <row r="36">
      <c r="A36" t="inlineStr">
        <is>
          <t>PV of terminal value</t>
        </is>
      </c>
      <c r="B36" s="7">
        <f>B34*L23</f>
        <v/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t="inlineStr">
        <is>
          <t>Enterprise value</t>
        </is>
      </c>
      <c r="B37" s="7">
        <f>B29+B36</f>
        <v/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>
      <c r="A38" t="inlineStr">
        <is>
          <t>less net debt (incl. NCI)</t>
        </is>
      </c>
      <c r="B38" s="7">
        <f>-Assumptions!$B$9</f>
        <v/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>
      <c r="A39" t="inlineStr">
        <is>
          <t>Equity value</t>
        </is>
      </c>
      <c r="B39" s="7">
        <f>B37+B38</f>
        <v/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A40" t="inlineStr">
        <is>
          <t>Diluted shares (m)</t>
        </is>
      </c>
      <c r="B40" s="13">
        <f>Assumptions!$B$10</f>
        <v/>
      </c>
    </row>
    <row r="41">
      <c r="A41" t="inlineStr">
        <is>
          <t>VALUE PER SHARE (A$)</t>
        </is>
      </c>
      <c r="B41" s="14">
        <f>B39/B40</f>
        <v/>
      </c>
    </row>
    <row r="42">
      <c r="A42" t="inlineStr">
        <is>
          <t>Upside vs price</t>
        </is>
      </c>
      <c r="B42" s="4">
        <f>B41/Assumptions!$B$11-1</f>
        <v/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4">
      <c r="A44" t="inlineStr">
        <is>
          <t>Street memo: PV of explicit SBC</t>
        </is>
      </c>
      <c r="B44">
        <f>SUMPRODUCT(-C10:L10/(1+Assumptions!$B$3)^C4:L4)</f>
        <v/>
      </c>
    </row>
    <row r="45">
      <c r="A45" t="inlineStr">
        <is>
          <t>Street memo: PV of terminal SBC (Gordon)</t>
        </is>
      </c>
      <c r="B45">
        <f>IF(Assumptions!$B$3&gt;B30,(-L10*(1+B30)/(Assumptions!$B$3-B30))*L23,0)</f>
        <v/>
      </c>
    </row>
    <row r="46">
      <c r="A46" t="inlineStr">
        <is>
          <t>Street value per share (SBC as non-cash)</t>
        </is>
      </c>
      <c r="B46">
        <f>(B39+B44+B45)/B40</f>
        <v/>
      </c>
    </row>
    <row r="47">
      <c r="A47" t="inlineStr">
        <is>
          <t>Terminal value % of EV</t>
        </is>
      </c>
      <c r="B47" s="4">
        <f>B36/B37</f>
        <v/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BULL scenario: owner-FCF component build, AUD millions. Drivers in blue on yellow (rows 5, 7, 9, 16, 19).</t>
        </is>
      </c>
    </row>
    <row r="3">
      <c r="A3" t="inlineStr">
        <is>
          <t>Year</t>
        </is>
      </c>
      <c r="B3" t="inlineStr">
        <is>
          <t>FY2026A</t>
        </is>
      </c>
      <c r="C3" t="inlineStr">
        <is>
          <t>FY2027E</t>
        </is>
      </c>
      <c r="D3" t="inlineStr">
        <is>
          <t>FY2028E</t>
        </is>
      </c>
      <c r="E3" t="inlineStr">
        <is>
          <t>FY2029E</t>
        </is>
      </c>
      <c r="F3" t="inlineStr">
        <is>
          <t>FY2030E</t>
        </is>
      </c>
      <c r="G3" t="inlineStr">
        <is>
          <t>FY2031E</t>
        </is>
      </c>
      <c r="H3" t="inlineStr">
        <is>
          <t>FY2032E</t>
        </is>
      </c>
      <c r="I3" t="inlineStr">
        <is>
          <t>FY2033E</t>
        </is>
      </c>
      <c r="J3" t="inlineStr">
        <is>
          <t>FY2034E</t>
        </is>
      </c>
      <c r="K3" t="inlineStr">
        <is>
          <t>FY2035E</t>
        </is>
      </c>
      <c r="L3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B5" s="4" t="n"/>
      <c r="C5" s="5" t="n">
        <v>0.1</v>
      </c>
      <c r="D5" s="5" t="n">
        <v>0.09</v>
      </c>
      <c r="E5" s="5" t="n">
        <v>0.08</v>
      </c>
      <c r="F5" s="5" t="n">
        <v>0.07000000000000001</v>
      </c>
      <c r="G5" s="5" t="n">
        <v>0.06</v>
      </c>
      <c r="H5" s="5" t="n">
        <v>0.05</v>
      </c>
      <c r="I5" s="5" t="n">
        <v>0.045</v>
      </c>
      <c r="J5" s="5" t="n">
        <v>0.04</v>
      </c>
      <c r="K5" s="5" t="n">
        <v>0.035</v>
      </c>
      <c r="L5" s="5" t="n">
        <v>0.035</v>
      </c>
    </row>
    <row r="6">
      <c r="A6" t="inlineStr">
        <is>
          <t>Revenue</t>
        </is>
      </c>
      <c r="B6" s="6">
        <f>Assumptions!$B$12</f>
        <v/>
      </c>
      <c r="C6" s="7">
        <f>B6*(1+C5)</f>
        <v/>
      </c>
      <c r="D6" s="7">
        <f>C6*(1+D5)</f>
        <v/>
      </c>
      <c r="E6" s="7">
        <f>D6*(1+E5)</f>
        <v/>
      </c>
      <c r="F6" s="7">
        <f>E6*(1+F5)</f>
        <v/>
      </c>
      <c r="G6" s="7">
        <f>F6*(1+G5)</f>
        <v/>
      </c>
      <c r="H6" s="7">
        <f>G6*(1+H5)</f>
        <v/>
      </c>
      <c r="I6" s="7">
        <f>H6*(1+I5)</f>
        <v/>
      </c>
      <c r="J6" s="7">
        <f>I6*(1+J5)</f>
        <v/>
      </c>
      <c r="K6" s="7">
        <f>J6*(1+K5)</f>
        <v/>
      </c>
      <c r="L6" s="7">
        <f>K6*(1+L5)</f>
        <v/>
      </c>
    </row>
    <row r="7">
      <c r="A7" t="inlineStr">
        <is>
          <t>Adj EBITDA margin (post-IFRS16, pre-SBC)</t>
        </is>
      </c>
      <c r="B7" s="8" t="n">
        <v>0.254</v>
      </c>
      <c r="C7" s="5" t="n">
        <v>0.266</v>
      </c>
      <c r="D7" s="5" t="n">
        <v>0.272</v>
      </c>
      <c r="E7" s="5" t="n">
        <v>0.276</v>
      </c>
      <c r="F7" s="5" t="n">
        <v>0.28</v>
      </c>
      <c r="G7" s="5" t="n">
        <v>0.28</v>
      </c>
      <c r="H7" s="5" t="n">
        <v>0.28</v>
      </c>
      <c r="I7" s="5" t="n">
        <v>0.28</v>
      </c>
      <c r="J7" s="5" t="n">
        <v>0.28</v>
      </c>
      <c r="K7" s="5" t="n">
        <v>0.28</v>
      </c>
      <c r="L7" s="5" t="n">
        <v>0.28</v>
      </c>
    </row>
    <row r="8">
      <c r="A8" t="inlineStr">
        <is>
          <t>Adjusted EBITDA</t>
        </is>
      </c>
      <c r="B8" s="7">
        <f>B6*B7</f>
        <v/>
      </c>
      <c r="C8" s="7">
        <f>C6*C7</f>
        <v/>
      </c>
      <c r="D8" s="7">
        <f>D6*D7</f>
        <v/>
      </c>
      <c r="E8" s="7">
        <f>E6*E7</f>
        <v/>
      </c>
      <c r="F8" s="7">
        <f>F6*F7</f>
        <v/>
      </c>
      <c r="G8" s="7">
        <f>G6*G7</f>
        <v/>
      </c>
      <c r="H8" s="7">
        <f>H6*H7</f>
        <v/>
      </c>
      <c r="I8" s="7">
        <f>I6*I7</f>
        <v/>
      </c>
      <c r="J8" s="7">
        <f>J6*J7</f>
        <v/>
      </c>
      <c r="K8" s="7">
        <f>K6*K7</f>
        <v/>
      </c>
      <c r="L8" s="7">
        <f>L6*L7</f>
        <v/>
      </c>
    </row>
    <row r="9">
      <c r="A9" t="inlineStr">
        <is>
          <t>SBC % of revenue</t>
        </is>
      </c>
      <c r="B9" s="4" t="n"/>
      <c r="C9" s="5" t="n">
        <v>0.003</v>
      </c>
      <c r="D9" s="5" t="n">
        <v>0.003</v>
      </c>
      <c r="E9" s="5" t="n">
        <v>0.003</v>
      </c>
      <c r="F9" s="5" t="n">
        <v>0.003</v>
      </c>
      <c r="G9" s="5" t="n">
        <v>0.003</v>
      </c>
      <c r="H9" s="5" t="n">
        <v>0.003</v>
      </c>
      <c r="I9" s="5" t="n">
        <v>0.003</v>
      </c>
      <c r="J9" s="5" t="n">
        <v>0.003</v>
      </c>
      <c r="K9" s="5" t="n">
        <v>0.003</v>
      </c>
      <c r="L9" s="5" t="n">
        <v>0.003</v>
      </c>
    </row>
    <row r="10">
      <c r="A10" t="inlineStr">
        <is>
          <t>SBC (negative)</t>
        </is>
      </c>
      <c r="B10" s="7" t="n"/>
      <c r="C10" s="7">
        <f>-C6*C9</f>
        <v/>
      </c>
      <c r="D10" s="7">
        <f>-D6*D9</f>
        <v/>
      </c>
      <c r="E10" s="7">
        <f>-E6*E9</f>
        <v/>
      </c>
      <c r="F10" s="7">
        <f>-F6*F9</f>
        <v/>
      </c>
      <c r="G10" s="7">
        <f>-G6*G9</f>
        <v/>
      </c>
      <c r="H10" s="7">
        <f>-H6*H9</f>
        <v/>
      </c>
      <c r="I10" s="7">
        <f>-I6*I9</f>
        <v/>
      </c>
      <c r="J10" s="7">
        <f>-J6*J9</f>
        <v/>
      </c>
      <c r="K10" s="7">
        <f>-K6*K9</f>
        <v/>
      </c>
      <c r="L10" s="7">
        <f>-L6*L9</f>
        <v/>
      </c>
    </row>
    <row r="11">
      <c r="A11" t="inlineStr">
        <is>
          <t>Lease cost % of revenue</t>
        </is>
      </c>
      <c r="B11" s="4" t="n"/>
      <c r="C11" s="9">
        <f>Assumptions!$B$5</f>
        <v/>
      </c>
      <c r="D11" s="9">
        <f>Assumptions!$B$5</f>
        <v/>
      </c>
      <c r="E11" s="9">
        <f>Assumptions!$B$5</f>
        <v/>
      </c>
      <c r="F11" s="9">
        <f>Assumptions!$B$5</f>
        <v/>
      </c>
      <c r="G11" s="9">
        <f>Assumptions!$B$5</f>
        <v/>
      </c>
      <c r="H11" s="9">
        <f>Assumptions!$B$5</f>
        <v/>
      </c>
      <c r="I11" s="9">
        <f>Assumptions!$B$5</f>
        <v/>
      </c>
      <c r="J11" s="9">
        <f>Assumptions!$B$5</f>
        <v/>
      </c>
      <c r="K11" s="9">
        <f>Assumptions!$B$5</f>
        <v/>
      </c>
      <c r="L11" s="9">
        <f>Assumptions!$B$5</f>
        <v/>
      </c>
    </row>
    <row r="12">
      <c r="A12" t="inlineStr">
        <is>
          <t>Lease cost (negative)</t>
        </is>
      </c>
      <c r="B12" s="7" t="n"/>
      <c r="C12" s="7">
        <f>-C6*C11</f>
        <v/>
      </c>
      <c r="D12" s="7">
        <f>-D6*D11</f>
        <v/>
      </c>
      <c r="E12" s="7">
        <f>-E6*E11</f>
        <v/>
      </c>
      <c r="F12" s="7">
        <f>-F6*F11</f>
        <v/>
      </c>
      <c r="G12" s="7">
        <f>-G6*G11</f>
        <v/>
      </c>
      <c r="H12" s="7">
        <f>-H6*H11</f>
        <v/>
      </c>
      <c r="I12" s="7">
        <f>-I6*I11</f>
        <v/>
      </c>
      <c r="J12" s="7">
        <f>-J6*J11</f>
        <v/>
      </c>
      <c r="K12" s="7">
        <f>-K6*K11</f>
        <v/>
      </c>
      <c r="L12" s="7">
        <f>-L6*L11</f>
        <v/>
      </c>
    </row>
    <row r="13">
      <c r="A13" t="inlineStr">
        <is>
          <t>Owner EBITDA (post lease, post SBC)</t>
        </is>
      </c>
      <c r="B13" s="7" t="n"/>
      <c r="C13" s="7">
        <f>C8+C10+C12</f>
        <v/>
      </c>
      <c r="D13" s="7">
        <f>D8+D10+D12</f>
        <v/>
      </c>
      <c r="E13" s="7">
        <f>E8+E10+E12</f>
        <v/>
      </c>
      <c r="F13" s="7">
        <f>F8+F10+F12</f>
        <v/>
      </c>
      <c r="G13" s="7">
        <f>G8+G10+G12</f>
        <v/>
      </c>
      <c r="H13" s="7">
        <f>H8+H10+H12</f>
        <v/>
      </c>
      <c r="I13" s="7">
        <f>I8+I10+I12</f>
        <v/>
      </c>
      <c r="J13" s="7">
        <f>J8+J10+J12</f>
        <v/>
      </c>
      <c r="K13" s="7">
        <f>K8+K10+K12</f>
        <v/>
      </c>
      <c r="L13" s="7">
        <f>L8+L10+L12</f>
        <v/>
      </c>
    </row>
    <row r="14">
      <c r="A14" t="inlineStr">
        <is>
          <t>D&amp;A ex-ROU (negative)</t>
        </is>
      </c>
      <c r="B14" s="7" t="n"/>
      <c r="C14" s="6">
        <f>-C6*Assumptions!$B$4</f>
        <v/>
      </c>
      <c r="D14" s="6">
        <f>-D6*Assumptions!$B$4</f>
        <v/>
      </c>
      <c r="E14" s="6">
        <f>-E6*Assumptions!$B$4</f>
        <v/>
      </c>
      <c r="F14" s="6">
        <f>-F6*Assumptions!$B$4</f>
        <v/>
      </c>
      <c r="G14" s="6">
        <f>-G6*Assumptions!$B$4</f>
        <v/>
      </c>
      <c r="H14" s="6">
        <f>-H6*Assumptions!$B$4</f>
        <v/>
      </c>
      <c r="I14" s="6">
        <f>-I6*Assumptions!$B$4</f>
        <v/>
      </c>
      <c r="J14" s="6">
        <f>-J6*Assumptions!$B$4</f>
        <v/>
      </c>
      <c r="K14" s="6">
        <f>-K6*Assumptions!$B$4</f>
        <v/>
      </c>
      <c r="L14" s="6">
        <f>-L6*Assumptions!$B$4</f>
        <v/>
      </c>
    </row>
    <row r="15">
      <c r="A15" t="inlineStr">
        <is>
          <t>EBIT</t>
        </is>
      </c>
      <c r="B15" s="7" t="n"/>
      <c r="C15" s="7">
        <f>C13+C14</f>
        <v/>
      </c>
      <c r="D15" s="7">
        <f>D13+D14</f>
        <v/>
      </c>
      <c r="E15" s="7">
        <f>E13+E14</f>
        <v/>
      </c>
      <c r="F15" s="7">
        <f>F13+F14</f>
        <v/>
      </c>
      <c r="G15" s="7">
        <f>G13+G14</f>
        <v/>
      </c>
      <c r="H15" s="7">
        <f>H13+H14</f>
        <v/>
      </c>
      <c r="I15" s="7">
        <f>I13+I14</f>
        <v/>
      </c>
      <c r="J15" s="7">
        <f>J13+J14</f>
        <v/>
      </c>
      <c r="K15" s="7">
        <f>K13+K14</f>
        <v/>
      </c>
      <c r="L15" s="7">
        <f>L13+L14</f>
        <v/>
      </c>
    </row>
    <row r="16">
      <c r="A16" t="inlineStr">
        <is>
          <t>Cash tax rate</t>
        </is>
      </c>
      <c r="B16" s="4" t="n"/>
      <c r="C16" s="5" t="n">
        <v>0.28</v>
      </c>
      <c r="D16" s="5" t="n">
        <v>0.28</v>
      </c>
      <c r="E16" s="5" t="n">
        <v>0.28</v>
      </c>
      <c r="F16" s="5" t="n">
        <v>0.28</v>
      </c>
      <c r="G16" s="5" t="n">
        <v>0.28</v>
      </c>
      <c r="H16" s="5" t="n">
        <v>0.28</v>
      </c>
      <c r="I16" s="5" t="n">
        <v>0.28</v>
      </c>
      <c r="J16" s="5" t="n">
        <v>0.28</v>
      </c>
      <c r="K16" s="5" t="n">
        <v>0.28</v>
      </c>
      <c r="L16" s="5" t="n">
        <v>0.28</v>
      </c>
    </row>
    <row r="17">
      <c r="A17" t="inlineStr">
        <is>
          <t>NOPAT</t>
        </is>
      </c>
      <c r="B17" s="7" t="n"/>
      <c r="C17" s="7">
        <f>C15-MAX(0,C15)*C16</f>
        <v/>
      </c>
      <c r="D17" s="7">
        <f>D15-MAX(0,D15)*D16</f>
        <v/>
      </c>
      <c r="E17" s="7">
        <f>E15-MAX(0,E15)*E16</f>
        <v/>
      </c>
      <c r="F17" s="7">
        <f>F15-MAX(0,F15)*F16</f>
        <v/>
      </c>
      <c r="G17" s="7">
        <f>G15-MAX(0,G15)*G16</f>
        <v/>
      </c>
      <c r="H17" s="7">
        <f>H15-MAX(0,H15)*H16</f>
        <v/>
      </c>
      <c r="I17" s="7">
        <f>I15-MAX(0,I15)*I16</f>
        <v/>
      </c>
      <c r="J17" s="7">
        <f>J15-MAX(0,J15)*J16</f>
        <v/>
      </c>
      <c r="K17" s="7">
        <f>K15-MAX(0,K15)*K16</f>
        <v/>
      </c>
      <c r="L17" s="7">
        <f>L15-MAX(0,L15)*L16</f>
        <v/>
      </c>
    </row>
    <row r="18">
      <c r="A18" t="inlineStr">
        <is>
          <t>add back D&amp;A</t>
        </is>
      </c>
      <c r="B18" s="7" t="n"/>
      <c r="C18" s="7">
        <f>-C14</f>
        <v/>
      </c>
      <c r="D18" s="7">
        <f>-D14</f>
        <v/>
      </c>
      <c r="E18" s="7">
        <f>-E14</f>
        <v/>
      </c>
      <c r="F18" s="7">
        <f>-F14</f>
        <v/>
      </c>
      <c r="G18" s="7">
        <f>-G14</f>
        <v/>
      </c>
      <c r="H18" s="7">
        <f>-H14</f>
        <v/>
      </c>
      <c r="I18" s="7">
        <f>-I14</f>
        <v/>
      </c>
      <c r="J18" s="7">
        <f>-J14</f>
        <v/>
      </c>
      <c r="K18" s="7">
        <f>-K14</f>
        <v/>
      </c>
      <c r="L18" s="7">
        <f>-L14</f>
        <v/>
      </c>
    </row>
    <row r="19">
      <c r="A19" t="inlineStr">
        <is>
          <t>Capex % of revenue</t>
        </is>
      </c>
      <c r="B19" s="4" t="n"/>
      <c r="C19" s="5" t="n">
        <v>0.067</v>
      </c>
      <c r="D19" s="5" t="n">
        <v>0.065</v>
      </c>
      <c r="E19" s="5" t="n">
        <v>0.063</v>
      </c>
      <c r="F19" s="5" t="n">
        <v>0.06</v>
      </c>
      <c r="G19" s="5" t="n">
        <v>0.06</v>
      </c>
      <c r="H19" s="5" t="n">
        <v>0.058</v>
      </c>
      <c r="I19" s="5" t="n">
        <v>0.058</v>
      </c>
      <c r="J19" s="5" t="n">
        <v>0.058</v>
      </c>
      <c r="K19" s="5" t="n">
        <v>0.058</v>
      </c>
      <c r="L19" s="5" t="n">
        <v>0.058</v>
      </c>
    </row>
    <row r="20">
      <c r="A20" t="inlineStr">
        <is>
          <t>less capex</t>
        </is>
      </c>
      <c r="B20" s="7" t="n"/>
      <c r="C20" s="7">
        <f>-C6*C19</f>
        <v/>
      </c>
      <c r="D20" s="7">
        <f>-D6*D19</f>
        <v/>
      </c>
      <c r="E20" s="7">
        <f>-E6*E19</f>
        <v/>
      </c>
      <c r="F20" s="7">
        <f>-F6*F19</f>
        <v/>
      </c>
      <c r="G20" s="7">
        <f>-G6*G19</f>
        <v/>
      </c>
      <c r="H20" s="7">
        <f>-H6*H19</f>
        <v/>
      </c>
      <c r="I20" s="7">
        <f>-I6*I19</f>
        <v/>
      </c>
      <c r="J20" s="7">
        <f>-J6*J19</f>
        <v/>
      </c>
      <c r="K20" s="7">
        <f>-K6*K19</f>
        <v/>
      </c>
      <c r="L20" s="7">
        <f>-L6*L19</f>
        <v/>
      </c>
    </row>
    <row r="21">
      <c r="A21" t="inlineStr">
        <is>
          <t>Working capital (on revenue change)</t>
        </is>
      </c>
      <c r="B21" s="7" t="n"/>
      <c r="C21" s="6">
        <f>Assumptions!$D$18*(C6-B6)</f>
        <v/>
      </c>
      <c r="D21" s="6">
        <f>Assumptions!$D$18*(D6-C6)</f>
        <v/>
      </c>
      <c r="E21" s="6">
        <f>Assumptions!$D$18*(E6-D6)</f>
        <v/>
      </c>
      <c r="F21" s="6">
        <f>Assumptions!$D$18*(F6-E6)</f>
        <v/>
      </c>
      <c r="G21" s="6">
        <f>Assumptions!$D$18*(G6-F6)</f>
        <v/>
      </c>
      <c r="H21" s="6">
        <f>Assumptions!$D$18*(H6-G6)</f>
        <v/>
      </c>
      <c r="I21" s="6">
        <f>Assumptions!$D$18*(I6-H6)</f>
        <v/>
      </c>
      <c r="J21" s="6">
        <f>Assumptions!$D$18*(J6-I6)</f>
        <v/>
      </c>
      <c r="K21" s="6">
        <f>Assumptions!$D$18*(K6-J6)</f>
        <v/>
      </c>
      <c r="L21" s="6">
        <f>Assumptions!$D$18*(L6-K6)</f>
        <v/>
      </c>
    </row>
    <row r="22">
      <c r="A22" t="inlineStr">
        <is>
          <t>Unlevered owner FCF</t>
        </is>
      </c>
      <c r="B22" s="7" t="n"/>
      <c r="C22" s="10">
        <f>C17+C18+C20+C21</f>
        <v/>
      </c>
      <c r="D22" s="10">
        <f>D17+D18+D20+D21</f>
        <v/>
      </c>
      <c r="E22" s="10">
        <f>E17+E18+E20+E21</f>
        <v/>
      </c>
      <c r="F22" s="10">
        <f>F17+F18+F20+F21</f>
        <v/>
      </c>
      <c r="G22" s="10">
        <f>G17+G18+G20+G21</f>
        <v/>
      </c>
      <c r="H22" s="10">
        <f>H17+H18+H20+H21</f>
        <v/>
      </c>
      <c r="I22" s="10">
        <f>I17+I18+I20+I21</f>
        <v/>
      </c>
      <c r="J22" s="10">
        <f>J17+J18+J20+J21</f>
        <v/>
      </c>
      <c r="K22" s="10">
        <f>K17+K18+K20+K21</f>
        <v/>
      </c>
      <c r="L22" s="10">
        <f>L17+L18+L20+L21</f>
        <v/>
      </c>
    </row>
    <row r="23">
      <c r="A23" t="inlineStr">
        <is>
          <t>Discount factor</t>
        </is>
      </c>
      <c r="B23" s="11" t="n"/>
      <c r="C23" s="12">
        <f>1/(1+Assumptions!$B$3)^C4</f>
        <v/>
      </c>
      <c r="D23" s="12">
        <f>1/(1+Assumptions!$B$3)^D4</f>
        <v/>
      </c>
      <c r="E23" s="12">
        <f>1/(1+Assumptions!$B$3)^E4</f>
        <v/>
      </c>
      <c r="F23" s="12">
        <f>1/(1+Assumptions!$B$3)^F4</f>
        <v/>
      </c>
      <c r="G23" s="12">
        <f>1/(1+Assumptions!$B$3)^G4</f>
        <v/>
      </c>
      <c r="H23" s="12">
        <f>1/(1+Assumptions!$B$3)^H4</f>
        <v/>
      </c>
      <c r="I23" s="12">
        <f>1/(1+Assumptions!$B$3)^I4</f>
        <v/>
      </c>
      <c r="J23" s="12">
        <f>1/(1+Assumptions!$B$3)^J4</f>
        <v/>
      </c>
      <c r="K23" s="12">
        <f>1/(1+Assumptions!$B$3)^K4</f>
        <v/>
      </c>
      <c r="L23" s="12">
        <f>1/(1+Assumptions!$B$3)^L4</f>
        <v/>
      </c>
    </row>
    <row r="24">
      <c r="A24" t="inlineStr">
        <is>
          <t>PV of FCF</t>
        </is>
      </c>
      <c r="B24" s="7" t="n"/>
      <c r="C24" s="7">
        <f>C22*C23</f>
        <v/>
      </c>
      <c r="D24" s="7">
        <f>D22*D23</f>
        <v/>
      </c>
      <c r="E24" s="7">
        <f>E22*E23</f>
        <v/>
      </c>
      <c r="F24" s="7">
        <f>F22*F23</f>
        <v/>
      </c>
      <c r="G24" s="7">
        <f>G22*G23</f>
        <v/>
      </c>
      <c r="H24" s="7">
        <f>H22*H23</f>
        <v/>
      </c>
      <c r="I24" s="7">
        <f>I22*I23</f>
        <v/>
      </c>
      <c r="J24" s="7">
        <f>J22*J23</f>
        <v/>
      </c>
      <c r="K24" s="7">
        <f>K22*K23</f>
        <v/>
      </c>
      <c r="L24" s="7">
        <f>L22*L23</f>
        <v/>
      </c>
    </row>
    <row r="26">
      <c r="A26" t="inlineStr">
        <is>
          <t>Memo: FCF before SBC (company-style)</t>
        </is>
      </c>
      <c r="B26" s="7" t="n"/>
      <c r="C26" s="7">
        <f>C22-C10</f>
        <v/>
      </c>
      <c r="D26" s="7">
        <f>D22-D10</f>
        <v/>
      </c>
      <c r="E26" s="7">
        <f>E22-E10</f>
        <v/>
      </c>
      <c r="F26" s="7">
        <f>F22-F10</f>
        <v/>
      </c>
      <c r="G26" s="7">
        <f>G22-G10</f>
        <v/>
      </c>
      <c r="H26" s="7">
        <f>H22-H10</f>
        <v/>
      </c>
      <c r="I26" s="7">
        <f>I22-I10</f>
        <v/>
      </c>
      <c r="J26" s="7">
        <f>J22-J10</f>
        <v/>
      </c>
      <c r="K26" s="7">
        <f>K22-K10</f>
        <v/>
      </c>
      <c r="L26" s="7">
        <f>L22-L10</f>
        <v/>
      </c>
    </row>
    <row r="27">
      <c r="A27" t="inlineStr">
        <is>
          <t>Memo: owner-FCF margin</t>
        </is>
      </c>
      <c r="B27" s="4" t="n"/>
      <c r="C27" s="4">
        <f>C22/C6</f>
        <v/>
      </c>
      <c r="D27" s="4">
        <f>D22/D6</f>
        <v/>
      </c>
      <c r="E27" s="4">
        <f>E22/E6</f>
        <v/>
      </c>
      <c r="F27" s="4">
        <f>F22/F6</f>
        <v/>
      </c>
      <c r="G27" s="4">
        <f>G22/G6</f>
        <v/>
      </c>
      <c r="H27" s="4">
        <f>H22/H6</f>
        <v/>
      </c>
      <c r="I27" s="4">
        <f>I22/I6</f>
        <v/>
      </c>
      <c r="J27" s="4">
        <f>J22/J6</f>
        <v/>
      </c>
      <c r="K27" s="4">
        <f>K22/K6</f>
        <v/>
      </c>
      <c r="L27" s="4">
        <f>L22/L6</f>
        <v/>
      </c>
    </row>
    <row r="29">
      <c r="A29" t="inlineStr">
        <is>
          <t>Sum of PV of FCF</t>
        </is>
      </c>
      <c r="B29" s="7">
        <f>SUM(C24:L24)</f>
        <v/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>
      <c r="A30" t="inlineStr">
        <is>
          <t>Terminal growth</t>
        </is>
      </c>
      <c r="B30" s="9">
        <f>Assumptions!$D$16</f>
        <v/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t="inlineStr">
        <is>
          <t>Terminal-year FCF x (1+g)</t>
        </is>
      </c>
      <c r="B31" s="7">
        <f>L22*(1+B30)</f>
        <v/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t="inlineStr">
        <is>
          <t>Gordon terminal value</t>
        </is>
      </c>
      <c r="B32" s="7">
        <f>IF(Assumptions!$B$3&gt;B30,B31/(Assumptions!$B$3-B30),0)</f>
        <v/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>
      <c r="A33" t="inlineStr">
        <is>
          <t>Cap terminal value (cap x FCF_10)</t>
        </is>
      </c>
      <c r="B33" s="6">
        <f>Assumptions!$B$8*L22</f>
        <v/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>
      <c r="A34" t="inlineStr">
        <is>
          <t>Terminal value used = MAX(0, MIN(Gordon, cap))</t>
        </is>
      </c>
      <c r="B34" s="7">
        <f>MAX(0,MIN(B32,B33))</f>
        <v/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>
      <c r="A35" t="inlineStr">
        <is>
          <t>Implied exit multiple (TV / FCF_10)</t>
        </is>
      </c>
      <c r="B35">
        <f>IF(L22&lt;&gt;0,B34/L22,0)</f>
        <v/>
      </c>
    </row>
    <row r="36">
      <c r="A36" t="inlineStr">
        <is>
          <t>PV of terminal value</t>
        </is>
      </c>
      <c r="B36" s="7">
        <f>B34*L23</f>
        <v/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t="inlineStr">
        <is>
          <t>Enterprise value</t>
        </is>
      </c>
      <c r="B37" s="7">
        <f>B29+B36</f>
        <v/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>
      <c r="A38" t="inlineStr">
        <is>
          <t>less net debt (incl. NCI)</t>
        </is>
      </c>
      <c r="B38" s="7">
        <f>-Assumptions!$B$9</f>
        <v/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>
      <c r="A39" t="inlineStr">
        <is>
          <t>Equity value</t>
        </is>
      </c>
      <c r="B39" s="7">
        <f>B37+B38</f>
        <v/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A40" t="inlineStr">
        <is>
          <t>Diluted shares (m)</t>
        </is>
      </c>
      <c r="B40" s="13">
        <f>Assumptions!$B$10</f>
        <v/>
      </c>
    </row>
    <row r="41">
      <c r="A41" t="inlineStr">
        <is>
          <t>VALUE PER SHARE (A$)</t>
        </is>
      </c>
      <c r="B41" s="14">
        <f>B39/B40</f>
        <v/>
      </c>
    </row>
    <row r="42">
      <c r="A42" t="inlineStr">
        <is>
          <t>Upside vs price</t>
        </is>
      </c>
      <c r="B42" s="4">
        <f>B41/Assumptions!$B$11-1</f>
        <v/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4">
      <c r="A44" t="inlineStr">
        <is>
          <t>Street memo: PV of explicit SBC</t>
        </is>
      </c>
      <c r="B44">
        <f>SUMPRODUCT(-C10:L10/(1+Assumptions!$B$3)^C4:L4)</f>
        <v/>
      </c>
    </row>
    <row r="45">
      <c r="A45" t="inlineStr">
        <is>
          <t>Street memo: PV of terminal SBC (Gordon)</t>
        </is>
      </c>
      <c r="B45">
        <f>IF(Assumptions!$B$3&gt;B30,(-L10*(1+B30)/(Assumptions!$B$3-B30))*L23,0)</f>
        <v/>
      </c>
    </row>
    <row r="46">
      <c r="A46" t="inlineStr">
        <is>
          <t>Street value per share (SBC as non-cash)</t>
        </is>
      </c>
      <c r="B46">
        <f>(B39+B44+B45)/B40</f>
        <v/>
      </c>
    </row>
    <row r="47">
      <c r="A47" t="inlineStr">
        <is>
          <t>Terminal value % of EV</t>
        </is>
      </c>
      <c r="B47" s="4">
        <f>B36/B37</f>
        <v/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80" customWidth="1" min="14" max="14"/>
  </cols>
  <sheetData>
    <row r="1">
      <c r="A1" s="1" t="inlineStr">
        <is>
          <t>Reported FCF reconciled to owner FCF (AUD m). Interest income NOT stripped (net-debt company). Lease principal shown as memo: it sits in financing, so reported FCF is flattered by it.</t>
        </is>
      </c>
    </row>
    <row r="3">
      <c r="A3" s="1" t="inlineStr">
        <is>
          <t>Period</t>
        </is>
      </c>
      <c r="B3" s="1" t="inlineStr">
        <is>
          <t>Revenue</t>
        </is>
      </c>
      <c r="C3" s="1" t="inlineStr">
        <is>
          <t>Reported FCF</t>
        </is>
      </c>
      <c r="D3" s="1" t="inlineStr">
        <is>
          <t>less SBC</t>
        </is>
      </c>
      <c r="E3" s="1" t="inlineStr">
        <is>
          <t>less interest income (0)</t>
        </is>
      </c>
      <c r="F3" s="1" t="inlineStr">
        <is>
          <t>Owner FCF</t>
        </is>
      </c>
      <c r="G3" s="1" t="inlineStr">
        <is>
          <t>Reported FCF margin</t>
        </is>
      </c>
      <c r="H3" s="1" t="inlineStr">
        <is>
          <t>Owner FCF margin</t>
        </is>
      </c>
      <c r="I3" s="1" t="inlineStr">
        <is>
          <t>Memo: lease principal (financing)</t>
        </is>
      </c>
      <c r="J3" s="1" t="inlineStr">
        <is>
          <t>Memo: FCF after lease principal</t>
        </is>
      </c>
      <c r="K3" s="1" t="inlineStr">
        <is>
          <t>Memo: taxes paid</t>
        </is>
      </c>
      <c r="L3" s="1" t="inlineStr">
        <is>
          <t>Memo: PBT</t>
        </is>
      </c>
      <c r="M3" s="1" t="inlineStr">
        <is>
          <t>Memo: cash tax rate</t>
        </is>
      </c>
      <c r="N3" s="1" t="inlineStr">
        <is>
          <t>Flag</t>
        </is>
      </c>
    </row>
    <row r="4">
      <c r="A4" t="inlineStr">
        <is>
          <t>FY2015</t>
        </is>
      </c>
      <c r="B4" s="2" t="n">
        <v>1422.2</v>
      </c>
      <c r="C4" s="2" t="n">
        <v>138.7</v>
      </c>
      <c r="D4" s="2" t="n">
        <v>-0.6</v>
      </c>
      <c r="E4" s="2" t="n">
        <v>0</v>
      </c>
      <c r="F4">
        <f>C4+D4+E4</f>
        <v/>
      </c>
      <c r="G4" s="4">
        <f>C4/B4</f>
        <v/>
      </c>
      <c r="H4" s="4">
        <f>F4/B4</f>
        <v/>
      </c>
      <c r="I4" s="2" t="n">
        <v>0</v>
      </c>
      <c r="J4">
        <f>F4-I4</f>
        <v/>
      </c>
      <c r="K4" s="2" t="n">
        <v>48</v>
      </c>
      <c r="L4" s="2" t="n">
        <v>-120.2</v>
      </c>
      <c r="M4" s="4">
        <f>IF(L4&gt;0,K4/L4,"n/a")</f>
        <v/>
      </c>
      <c r="N4" t="inlineStr">
        <is>
          <t>loss year (impairments); cash tax rate n/a</t>
        </is>
      </c>
    </row>
    <row r="5">
      <c r="A5" t="inlineStr">
        <is>
          <t>FY2016</t>
        </is>
      </c>
      <c r="B5" s="2" t="n">
        <v>1364.9</v>
      </c>
      <c r="C5" s="2" t="n">
        <v>95.90000000000001</v>
      </c>
      <c r="D5" s="2" t="n">
        <v>-1.4</v>
      </c>
      <c r="E5" s="2" t="n">
        <v>0</v>
      </c>
      <c r="F5">
        <f>C5+D5+E5</f>
        <v/>
      </c>
      <c r="G5" s="4">
        <f>C5/B5</f>
        <v/>
      </c>
      <c r="H5" s="4">
        <f>F5/B5</f>
        <v/>
      </c>
      <c r="I5" s="2" t="n">
        <v>0</v>
      </c>
      <c r="J5">
        <f>F5-I5</f>
        <v/>
      </c>
      <c r="K5" s="2" t="n">
        <v>39</v>
      </c>
      <c r="L5" s="2" t="n">
        <v>-203.6</v>
      </c>
      <c r="M5" s="4">
        <f>IF(L5&gt;0,K5/L5,"n/a")</f>
        <v/>
      </c>
      <c r="N5" t="inlineStr">
        <is>
          <t>loss year (impairments); cash tax rate n/a</t>
        </is>
      </c>
    </row>
    <row r="6">
      <c r="A6" t="inlineStr">
        <is>
          <t>FY2017</t>
        </is>
      </c>
      <c r="B6" s="2" t="n">
        <v>1261.5</v>
      </c>
      <c r="C6" s="2" t="n">
        <v>116.6</v>
      </c>
      <c r="D6" s="2" t="n">
        <v>-2</v>
      </c>
      <c r="E6" s="2" t="n">
        <v>0</v>
      </c>
      <c r="F6">
        <f>C6+D6+E6</f>
        <v/>
      </c>
      <c r="G6" s="4">
        <f>C6/B6</f>
        <v/>
      </c>
      <c r="H6" s="4">
        <f>F6/B6</f>
        <v/>
      </c>
      <c r="I6" s="2" t="n">
        <v>0</v>
      </c>
      <c r="J6">
        <f>F6-I6</f>
        <v/>
      </c>
      <c r="K6" s="2" t="n">
        <v>41</v>
      </c>
      <c r="L6" s="2" t="n">
        <v>146.1</v>
      </c>
      <c r="M6" s="4">
        <f>IF(L6&gt;0,K6/L6,"n/a")</f>
        <v/>
      </c>
      <c r="N6" t="inlineStr"/>
    </row>
    <row r="7">
      <c r="A7" t="inlineStr">
        <is>
          <t>FY2018</t>
        </is>
      </c>
      <c r="B7" s="2" t="n">
        <v>1446.9</v>
      </c>
      <c r="C7" s="2" t="n">
        <v>112.4</v>
      </c>
      <c r="D7" s="2" t="n">
        <v>0</v>
      </c>
      <c r="E7" s="2" t="n">
        <v>0</v>
      </c>
      <c r="F7">
        <f>C7+D7+E7</f>
        <v/>
      </c>
      <c r="G7" s="4">
        <f>C7/B7</f>
        <v/>
      </c>
      <c r="H7" s="4">
        <f>F7/B7</f>
        <v/>
      </c>
      <c r="I7" s="2" t="n">
        <v>0</v>
      </c>
      <c r="J7">
        <f>F7-I7</f>
        <v/>
      </c>
      <c r="K7" s="2" t="n">
        <v>47.3</v>
      </c>
      <c r="L7" s="2" t="n">
        <v>115.4</v>
      </c>
      <c r="M7" s="4">
        <f>IF(L7&gt;0,K7/L7,"n/a")</f>
        <v/>
      </c>
      <c r="N7" t="inlineStr">
        <is>
          <t>SBC not in corpus (FY2019 file duplicates FY2018)</t>
        </is>
      </c>
    </row>
    <row r="8">
      <c r="A8" t="inlineStr">
        <is>
          <t>FY2019</t>
        </is>
      </c>
      <c r="B8" s="2" t="n">
        <v>1664.8</v>
      </c>
      <c r="C8" s="2" t="n">
        <v>109.9</v>
      </c>
      <c r="D8" s="2" t="n">
        <v>-3.6</v>
      </c>
      <c r="E8" s="2" t="n">
        <v>0</v>
      </c>
      <c r="F8">
        <f>C8+D8+E8</f>
        <v/>
      </c>
      <c r="G8" s="4">
        <f>C8/B8</f>
        <v/>
      </c>
      <c r="H8" s="4">
        <f>F8/B8</f>
        <v/>
      </c>
      <c r="I8" s="2" t="n">
        <v>0</v>
      </c>
      <c r="J8">
        <f>F8-I8</f>
        <v/>
      </c>
      <c r="K8" s="2" t="n">
        <v>50.3</v>
      </c>
      <c r="L8" s="2" t="n">
        <v>230.3</v>
      </c>
      <c r="M8" s="4">
        <f>IF(L8&gt;0,K8/L8,"n/a")</f>
        <v/>
      </c>
      <c r="N8" t="inlineStr"/>
    </row>
    <row r="9">
      <c r="A9" t="inlineStr">
        <is>
          <t>FY2020</t>
        </is>
      </c>
      <c r="B9" s="2" t="n">
        <v>1831.9</v>
      </c>
      <c r="C9" s="2" t="n">
        <v>137.9</v>
      </c>
      <c r="D9" s="2" t="n">
        <v>-5.7</v>
      </c>
      <c r="E9" s="2" t="n">
        <v>0</v>
      </c>
      <c r="F9">
        <f>C9+D9+E9</f>
        <v/>
      </c>
      <c r="G9" s="4">
        <f>C9/B9</f>
        <v/>
      </c>
      <c r="H9" s="4">
        <f>F9/B9</f>
        <v/>
      </c>
      <c r="I9" s="2" t="n">
        <v>43</v>
      </c>
      <c r="J9">
        <f>F9-I9</f>
        <v/>
      </c>
      <c r="K9" s="2" t="n">
        <v>96</v>
      </c>
      <c r="L9" s="2" t="n">
        <v>151.1</v>
      </c>
      <c r="M9" s="4">
        <f>IF(L9&gt;0,K9/L9,"n/a")</f>
        <v/>
      </c>
      <c r="N9" t="inlineStr"/>
    </row>
    <row r="10">
      <c r="A10" t="inlineStr">
        <is>
          <t>FY2021</t>
        </is>
      </c>
      <c r="B10" s="2" t="n">
        <v>1761.4</v>
      </c>
      <c r="C10" s="2" t="n">
        <v>188.9</v>
      </c>
      <c r="D10" s="2" t="n">
        <v>-4.6</v>
      </c>
      <c r="E10" s="2" t="n">
        <v>0</v>
      </c>
      <c r="F10">
        <f>C10+D10+E10</f>
        <v/>
      </c>
      <c r="G10" s="4">
        <f>C10/B10</f>
        <v/>
      </c>
      <c r="H10" s="4">
        <f>F10/B10</f>
        <v/>
      </c>
      <c r="I10" s="2" t="n">
        <v>42.9</v>
      </c>
      <c r="J10">
        <f>F10-I10</f>
        <v/>
      </c>
      <c r="K10" s="2" t="n">
        <v>67.90000000000001</v>
      </c>
      <c r="L10" s="2" t="n">
        <v>248.5</v>
      </c>
      <c r="M10" s="4">
        <f>IF(L10&gt;0,K10/L10,"n/a")</f>
        <v/>
      </c>
      <c r="N10" t="inlineStr"/>
    </row>
    <row r="11">
      <c r="A11" t="inlineStr">
        <is>
          <t>FY2022</t>
        </is>
      </c>
      <c r="B11" s="2" t="n">
        <v>1951.8</v>
      </c>
      <c r="C11" s="2" t="n">
        <v>167.9</v>
      </c>
      <c r="D11" s="2" t="n">
        <v>-5.3</v>
      </c>
      <c r="E11" s="2" t="n">
        <v>0</v>
      </c>
      <c r="F11">
        <f>C11+D11+E11</f>
        <v/>
      </c>
      <c r="G11" s="4">
        <f>C11/B11</f>
        <v/>
      </c>
      <c r="H11" s="4">
        <f>F11/B11</f>
        <v/>
      </c>
      <c r="I11" s="2" t="n">
        <v>45.2</v>
      </c>
      <c r="J11">
        <f>F11-I11</f>
        <v/>
      </c>
      <c r="K11" s="2" t="n">
        <v>106.1</v>
      </c>
      <c r="L11" s="2" t="n">
        <v>280</v>
      </c>
      <c r="M11" s="4">
        <f>IF(L11&gt;0,K11/L11,"n/a")</f>
        <v/>
      </c>
      <c r="N11" t="inlineStr"/>
    </row>
    <row r="12">
      <c r="A12" t="inlineStr">
        <is>
          <t>FY2023</t>
        </is>
      </c>
      <c r="B12" s="2" t="n">
        <v>2279.2</v>
      </c>
      <c r="C12" s="2" t="n">
        <v>293.8</v>
      </c>
      <c r="D12" s="2" t="n">
        <v>-7.9</v>
      </c>
      <c r="E12" s="2" t="n">
        <v>0</v>
      </c>
      <c r="F12">
        <f>C12+D12+E12</f>
        <v/>
      </c>
      <c r="G12" s="4">
        <f>C12/B12</f>
        <v/>
      </c>
      <c r="H12" s="4">
        <f>F12/B12</f>
        <v/>
      </c>
      <c r="I12" s="2" t="n">
        <v>52.9</v>
      </c>
      <c r="J12">
        <f>F12-I12</f>
        <v/>
      </c>
      <c r="K12" s="2" t="n">
        <v>89.90000000000001</v>
      </c>
      <c r="L12" s="2" t="n">
        <v>390.7</v>
      </c>
      <c r="M12" s="4">
        <f>IF(L12&gt;0,K12/L12,"n/a")</f>
        <v/>
      </c>
      <c r="N12" t="inlineStr"/>
    </row>
    <row r="13">
      <c r="A13" t="inlineStr">
        <is>
          <t>FY2024</t>
        </is>
      </c>
      <c r="B13" s="2" t="n">
        <v>2461.6</v>
      </c>
      <c r="C13" s="2" t="n">
        <v>198.4</v>
      </c>
      <c r="D13" s="2" t="n">
        <v>-7</v>
      </c>
      <c r="E13" s="2" t="n">
        <v>0</v>
      </c>
      <c r="F13">
        <f>C13+D13+E13</f>
        <v/>
      </c>
      <c r="G13" s="4">
        <f>C13/B13</f>
        <v/>
      </c>
      <c r="H13" s="4">
        <f>F13/B13</f>
        <v/>
      </c>
      <c r="I13" s="2" t="n">
        <v>61</v>
      </c>
      <c r="J13">
        <f>F13-I13</f>
        <v/>
      </c>
      <c r="K13" s="2" t="n">
        <v>127.9</v>
      </c>
      <c r="L13" s="2" t="n">
        <v>121.3</v>
      </c>
      <c r="M13" s="4">
        <f>IF(L13&gt;0,K13/L13,"n/a")</f>
        <v/>
      </c>
      <c r="N13" t="inlineStr">
        <is>
          <t>PBT hit by Nuvisan impairment; cash tax 105% of PBT</t>
        </is>
      </c>
    </row>
    <row r="14">
      <c r="A14" t="inlineStr">
        <is>
          <t>FY2025</t>
        </is>
      </c>
      <c r="B14" s="2" t="n">
        <v>2999.4</v>
      </c>
      <c r="C14" s="2" t="n">
        <v>244.6</v>
      </c>
      <c r="D14" s="2" t="n">
        <v>-10.4</v>
      </c>
      <c r="E14" s="2" t="n">
        <v>0</v>
      </c>
      <c r="F14">
        <f>C14+D14+E14</f>
        <v/>
      </c>
      <c r="G14" s="4">
        <f>C14/B14</f>
        <v/>
      </c>
      <c r="H14" s="4">
        <f>F14/B14</f>
        <v/>
      </c>
      <c r="I14" s="2" t="n">
        <v>89.59999999999999</v>
      </c>
      <c r="J14">
        <f>F14-I14</f>
        <v/>
      </c>
      <c r="K14" s="2" t="n">
        <v>119.4</v>
      </c>
      <c r="L14" s="2" t="n">
        <v>362.7</v>
      </c>
      <c r="M14" s="4">
        <f>IF(L14&gt;0,K14/L14,"n/a")</f>
        <v/>
      </c>
      <c r="N14" t="inlineStr"/>
    </row>
    <row r="15">
      <c r="A15" t="inlineStr">
        <is>
          <t>FY2026</t>
        </is>
      </c>
      <c r="B15" s="2" t="n">
        <v>3320.1</v>
      </c>
      <c r="C15" s="2" t="n">
        <v>222.7</v>
      </c>
      <c r="D15" s="2" t="n">
        <v>-9.6</v>
      </c>
      <c r="E15" s="2" t="n">
        <v>0</v>
      </c>
      <c r="F15">
        <f>C15+D15+E15</f>
        <v/>
      </c>
      <c r="G15" s="4">
        <f>C15/B15</f>
        <v/>
      </c>
      <c r="H15" s="4">
        <f>F15/B15</f>
        <v/>
      </c>
      <c r="I15" s="2" t="n">
        <v>100.6</v>
      </c>
      <c r="J15">
        <f>F15-I15</f>
        <v/>
      </c>
      <c r="K15" s="2" t="n">
        <v>137.5</v>
      </c>
      <c r="L15" s="2" t="n">
        <v>454.7</v>
      </c>
      <c r="M15" s="4">
        <f>IF(L15&gt;0,K15/L15,"n/a")</f>
        <v/>
      </c>
      <c r="N15" t="inlineStr">
        <is>
          <t>capex peak 7.9% of revenue (hub labs); OCF already bears 22.5 treasury-share purchases and ~70.6 'one-off' cash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8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Valuation summary (all per-share figures A$; live links to the DCF tabs)</t>
        </is>
      </c>
    </row>
    <row r="3">
      <c r="A3" s="1" t="inlineStr">
        <is>
          <t>Scenario</t>
        </is>
      </c>
      <c r="B3" s="1" t="inlineStr">
        <is>
          <t>Value per share</t>
        </is>
      </c>
      <c r="C3" s="1" t="inlineStr">
        <is>
          <t>Upside vs price</t>
        </is>
      </c>
      <c r="D3" s="1" t="inlineStr">
        <is>
          <t>Probability</t>
        </is>
      </c>
      <c r="E3" s="1" t="inlineStr">
        <is>
          <t>Street value per share</t>
        </is>
      </c>
      <c r="F3" s="1" t="inlineStr">
        <is>
          <t>TV % of EV</t>
        </is>
      </c>
      <c r="G3" s="1" t="inlineStr">
        <is>
          <t>Exit multiple</t>
        </is>
      </c>
    </row>
    <row r="4">
      <c r="A4" t="inlineStr">
        <is>
          <t>Bear</t>
        </is>
      </c>
      <c r="B4" s="15">
        <f>DCF_Bear!$B$41</f>
        <v/>
      </c>
      <c r="C4" s="4">
        <f>B4/Assumptions!$B$11-1</f>
        <v/>
      </c>
      <c r="D4" s="13">
        <f>Assumptions!$B$17</f>
        <v/>
      </c>
      <c r="E4" s="15">
        <f>DCF_Bear!$B$46</f>
        <v/>
      </c>
      <c r="F4" s="4">
        <f>DCF_Bear!$B$47</f>
        <v/>
      </c>
      <c r="G4" s="16">
        <f>DCF_Bear!$B$35</f>
        <v/>
      </c>
    </row>
    <row r="5">
      <c r="A5" t="inlineStr">
        <is>
          <t>Base</t>
        </is>
      </c>
      <c r="B5" s="15">
        <f>DCF_Base!$B$41</f>
        <v/>
      </c>
      <c r="C5" s="4">
        <f>B5/Assumptions!$B$11-1</f>
        <v/>
      </c>
      <c r="D5" s="13">
        <f>Assumptions!$C$17</f>
        <v/>
      </c>
      <c r="E5" s="15">
        <f>DCF_Base!$B$46</f>
        <v/>
      </c>
      <c r="F5" s="4">
        <f>DCF_Base!$B$47</f>
        <v/>
      </c>
      <c r="G5" s="16">
        <f>DCF_Base!$B$35</f>
        <v/>
      </c>
    </row>
    <row r="6">
      <c r="A6" t="inlineStr">
        <is>
          <t>Bull</t>
        </is>
      </c>
      <c r="B6" s="15">
        <f>DCF_Bull!$B$41</f>
        <v/>
      </c>
      <c r="C6" s="4">
        <f>B6/Assumptions!$B$11-1</f>
        <v/>
      </c>
      <c r="D6" s="13">
        <f>Assumptions!$D$17</f>
        <v/>
      </c>
      <c r="E6" s="15">
        <f>DCF_Bull!$B$46</f>
        <v/>
      </c>
      <c r="F6" s="4">
        <f>DCF_Bull!$B$47</f>
        <v/>
      </c>
      <c r="G6" s="16">
        <f>DCF_Bull!$B$35</f>
        <v/>
      </c>
    </row>
    <row r="8">
      <c r="A8" t="inlineStr">
        <is>
          <t>Probability-weighted value per share (house)</t>
        </is>
      </c>
      <c r="B8" s="14">
        <f>SUMPRODUCT(B4:B6,D4:D6)</f>
        <v/>
      </c>
    </row>
    <row r="9">
      <c r="A9" t="inlineStr">
        <is>
          <t>Current price</t>
        </is>
      </c>
      <c r="B9" s="13">
        <f>Assumptions!$B$11</f>
        <v/>
      </c>
    </row>
    <row r="10">
      <c r="A10" t="inlineStr">
        <is>
          <t>Margin of safety (1 - price/weighted)</t>
        </is>
      </c>
      <c r="B10" s="4">
        <f>1-B9/B8</f>
        <v/>
      </c>
    </row>
    <row r="11">
      <c r="A11" t="inlineStr">
        <is>
          <t>Probability-weighted value per share (street)</t>
        </is>
      </c>
      <c r="B11">
        <f>SUMPRODUCT(E4:E6,D4:D6)</f>
        <v/>
      </c>
    </row>
    <row r="12">
      <c r="A12" t="inlineStr">
        <is>
          <t>Band position (price - house)/(street - house); n/a: band ~A$0.4 wide, SBC 0.3% of revenue</t>
        </is>
      </c>
      <c r="B12">
        <f>IF(ABS(B11-B8)&lt;0.05*B8,"n/a",(B9-B8)/(B11-B8))</f>
        <v/>
      </c>
    </row>
    <row r="14">
      <c r="A14" s="1" t="inlineStr">
        <is>
          <t>15%-hurdle entry prices (TV built at the hurdle rate)</t>
        </is>
      </c>
    </row>
    <row r="15">
      <c r="A15" s="1" t="inlineStr">
        <is>
          <t>Scenario</t>
        </is>
      </c>
      <c r="B15" s="1" t="inlineStr">
        <is>
          <t>Entry price</t>
        </is>
      </c>
      <c r="C15" s="1" t="inlineStr">
        <is>
          <t>Discount from current</t>
        </is>
      </c>
      <c r="D15" s="1" t="inlineStr">
        <is>
          <t>Probability</t>
        </is>
      </c>
    </row>
    <row r="16">
      <c r="A16" t="inlineStr">
        <is>
          <t>Bear</t>
        </is>
      </c>
      <c r="B16" s="17">
        <f>(SUMPRODUCT(DCF_Bear!$C$22:$L$22/(1+Assumptions!$B$13)^DCF_Bear!$C$4:$L$4)+MAX(0,MIN(IF(Assumptions!$B$13&gt;Assumptions!$B$16,DCF_Bear!$L$22*(1+Assumptions!$B$16)/(Assumptions!$B$13-Assumptions!$B$16),0),Assumptions!$B$8*DCF_Bear!$L$22))/(1+Assumptions!$B$13)^10-Assumptions!$B$9)/Assumptions!$B$10</f>
        <v/>
      </c>
      <c r="C16" s="4">
        <f>B16/Assumptions!$B$11-1</f>
        <v/>
      </c>
      <c r="D16" s="13">
        <f>Assumptions!$B$17</f>
        <v/>
      </c>
    </row>
    <row r="17">
      <c r="A17" t="inlineStr">
        <is>
          <t>Base</t>
        </is>
      </c>
      <c r="B17" s="17">
        <f>(SUMPRODUCT(DCF_Base!$C$22:$L$22/(1+Assumptions!$B$13)^DCF_Base!$C$4:$L$4)+MAX(0,MIN(IF(Assumptions!$B$13&gt;Assumptions!$C$16,DCF_Base!$L$22*(1+Assumptions!$C$16)/(Assumptions!$B$13-Assumptions!$C$16),0),Assumptions!$B$8*DCF_Base!$L$22))/(1+Assumptions!$B$13)^10-Assumptions!$B$9)/Assumptions!$B$10</f>
        <v/>
      </c>
      <c r="C17" s="4">
        <f>B17/Assumptions!$B$11-1</f>
        <v/>
      </c>
      <c r="D17" s="13">
        <f>Assumptions!$C$17</f>
        <v/>
      </c>
    </row>
    <row r="18">
      <c r="A18" t="inlineStr">
        <is>
          <t>Bull</t>
        </is>
      </c>
      <c r="B18" s="17">
        <f>(SUMPRODUCT(DCF_Bull!$C$22:$L$22/(1+Assumptions!$B$13)^DCF_Bull!$C$4:$L$4)+MAX(0,MIN(IF(Assumptions!$B$13&gt;Assumptions!$D$16,DCF_Bull!$L$22*(1+Assumptions!$D$16)/(Assumptions!$B$13-Assumptions!$D$16),0),Assumptions!$B$8*DCF_Bull!$L$22))/(1+Assumptions!$B$13)^10-Assumptions!$B$9)/Assumptions!$B$10</f>
        <v/>
      </c>
      <c r="C18" s="4">
        <f>B18/Assumptions!$B$11-1</f>
        <v/>
      </c>
      <c r="D18" s="13">
        <f>Assumptions!$D$17</f>
        <v/>
      </c>
    </row>
    <row r="19">
      <c r="A19" t="inlineStr">
        <is>
          <t>Probability-weighted entry price (buy-below)</t>
        </is>
      </c>
      <c r="B19" s="18">
        <f>SUMPRODUCT(B16:B18,D16:D18)</f>
        <v/>
      </c>
    </row>
    <row r="21">
      <c r="A21" s="1" t="inlineStr">
        <is>
          <t>Required-return table, base case (TV rebuilt at each rate; WACC row must equal DCF_Base!B41, 15% row must equal the base entry price)</t>
        </is>
      </c>
    </row>
    <row r="22">
      <c r="A22" t="inlineStr">
        <is>
          <t>Required return</t>
        </is>
      </c>
      <c r="B22" s="8" t="n">
        <v>0.09</v>
      </c>
      <c r="C22" s="8" t="n">
        <v>0.1</v>
      </c>
      <c r="D22" s="8" t="n">
        <v>0.11</v>
      </c>
      <c r="E22" s="8" t="n">
        <v>0.12</v>
      </c>
      <c r="F22" s="8" t="n">
        <v>0.15</v>
      </c>
      <c r="G22" s="9">
        <f>Assumptions!$B$3</f>
        <v/>
      </c>
    </row>
    <row r="23">
      <c r="A23" t="inlineStr">
        <is>
          <t>Base value per share</t>
        </is>
      </c>
      <c r="B23" s="17">
        <f>(SUMPRODUCT(DCF_Base!$C$22:$L$22/(1+B$22)^DCF_Base!$C$4:$L$4)+MAX(0,MIN(IF(B$22&gt;Assumptions!$C$16,DCF_Base!$L$22*(1+Assumptions!$C$16)/(B$22-Assumptions!$C$16),0),Assumptions!$B$8*DCF_Base!$L$22))/(1+B$22)^10-Assumptions!$B$9)/Assumptions!$B$10</f>
        <v/>
      </c>
      <c r="C23" s="17">
        <f>(SUMPRODUCT(DCF_Base!$C$22:$L$22/(1+C$22)^DCF_Base!$C$4:$L$4)+MAX(0,MIN(IF(C$22&gt;Assumptions!$C$16,DCF_Base!$L$22*(1+Assumptions!$C$16)/(C$22-Assumptions!$C$16),0),Assumptions!$B$8*DCF_Base!$L$22))/(1+C$22)^10-Assumptions!$B$9)/Assumptions!$B$10</f>
        <v/>
      </c>
      <c r="D23" s="17">
        <f>(SUMPRODUCT(DCF_Base!$C$22:$L$22/(1+D$22)^DCF_Base!$C$4:$L$4)+MAX(0,MIN(IF(D$22&gt;Assumptions!$C$16,DCF_Base!$L$22*(1+Assumptions!$C$16)/(D$22-Assumptions!$C$16),0),Assumptions!$B$8*DCF_Base!$L$22))/(1+D$22)^10-Assumptions!$B$9)/Assumptions!$B$10</f>
        <v/>
      </c>
      <c r="E23" s="17">
        <f>(SUMPRODUCT(DCF_Base!$C$22:$L$22/(1+E$22)^DCF_Base!$C$4:$L$4)+MAX(0,MIN(IF(E$22&gt;Assumptions!$C$16,DCF_Base!$L$22*(1+Assumptions!$C$16)/(E$22-Assumptions!$C$16),0),Assumptions!$B$8*DCF_Base!$L$22))/(1+E$22)^10-Assumptions!$B$9)/Assumptions!$B$10</f>
        <v/>
      </c>
      <c r="F23" s="17">
        <f>(SUMPRODUCT(DCF_Base!$C$22:$L$22/(1+F$22)^DCF_Base!$C$4:$L$4)+MAX(0,MIN(IF(F$22&gt;Assumptions!$C$16,DCF_Base!$L$22*(1+Assumptions!$C$16)/(F$22-Assumptions!$C$16),0),Assumptions!$B$8*DCF_Base!$L$22))/(1+F$22)^10-Assumptions!$B$9)/Assumptions!$B$10</f>
        <v/>
      </c>
      <c r="G23" s="17">
        <f>(SUMPRODUCT(DCF_Base!$C$22:$L$22/(1+G$22)^DCF_Base!$C$4:$L$4)+MAX(0,MIN(IF(G$22&gt;Assumptions!$C$16,DCF_Base!$L$22*(1+Assumptions!$C$16)/(G$22-Assumptions!$C$16),0),Assumptions!$B$8*DCF_Base!$L$22))/(1+G$22)^10-Assumptions!$B$9)/Assumptions!$B$10</f>
        <v/>
      </c>
    </row>
    <row r="25">
      <c r="A25" s="1" t="inlineStr">
        <is>
          <t>Sensitivity: base value per share, WACC (rows) x terminal growth (columns); TV re-capped in every cell</t>
        </is>
      </c>
    </row>
    <row r="26">
      <c r="B26" s="8" t="n">
        <v>0.02</v>
      </c>
      <c r="C26" s="8" t="n">
        <v>0.025</v>
      </c>
      <c r="D26" s="8" t="n">
        <v>0.03</v>
      </c>
      <c r="E26" s="8" t="n">
        <v>0.035</v>
      </c>
      <c r="F26" s="8" t="n">
        <v>0.04</v>
      </c>
    </row>
    <row r="27">
      <c r="A27" s="8" t="n">
        <v>0.07000000000000001</v>
      </c>
      <c r="B27" s="17">
        <f>IF($A27&gt;B$26,(SUMPRODUCT(DCF_Base!$C$22:$L$22/(1+$A27)^DCF_Base!$C$4:$L$4)+MAX(0,MIN(IF($A27&gt;B$26,DCF_Base!$L$22*(1+B$26)/($A27-B$26),0),Assumptions!$B$8*DCF_Base!$L$22))/(1+$A27)^10-Assumptions!$B$9)/Assumptions!$B$10,"n/a")</f>
        <v/>
      </c>
      <c r="C27" s="17">
        <f>IF($A27&gt;C$26,(SUMPRODUCT(DCF_Base!$C$22:$L$22/(1+$A27)^DCF_Base!$C$4:$L$4)+MAX(0,MIN(IF($A27&gt;C$26,DCF_Base!$L$22*(1+C$26)/($A27-C$26),0),Assumptions!$B$8*DCF_Base!$L$22))/(1+$A27)^10-Assumptions!$B$9)/Assumptions!$B$10,"n/a")</f>
        <v/>
      </c>
      <c r="D27" s="17">
        <f>IF($A27&gt;D$26,(SUMPRODUCT(DCF_Base!$C$22:$L$22/(1+$A27)^DCF_Base!$C$4:$L$4)+MAX(0,MIN(IF($A27&gt;D$26,DCF_Base!$L$22*(1+D$26)/($A27-D$26),0),Assumptions!$B$8*DCF_Base!$L$22))/(1+$A27)^10-Assumptions!$B$9)/Assumptions!$B$10,"n/a")</f>
        <v/>
      </c>
      <c r="E27" s="17">
        <f>IF($A27&gt;E$26,(SUMPRODUCT(DCF_Base!$C$22:$L$22/(1+$A27)^DCF_Base!$C$4:$L$4)+MAX(0,MIN(IF($A27&gt;E$26,DCF_Base!$L$22*(1+E$26)/($A27-E$26),0),Assumptions!$B$8*DCF_Base!$L$22))/(1+$A27)^10-Assumptions!$B$9)/Assumptions!$B$10,"n/a")</f>
        <v/>
      </c>
      <c r="F27" s="17">
        <f>IF($A27&gt;F$26,(SUMPRODUCT(DCF_Base!$C$22:$L$22/(1+$A27)^DCF_Base!$C$4:$L$4)+MAX(0,MIN(IF($A27&gt;F$26,DCF_Base!$L$22*(1+F$26)/($A27-F$26),0),Assumptions!$B$8*DCF_Base!$L$22))/(1+$A27)^10-Assumptions!$B$9)/Assumptions!$B$10,"n/a")</f>
        <v/>
      </c>
    </row>
    <row r="28">
      <c r="A28" s="8" t="n">
        <v>0.08</v>
      </c>
      <c r="B28" s="17">
        <f>IF($A28&gt;B$26,(SUMPRODUCT(DCF_Base!$C$22:$L$22/(1+$A28)^DCF_Base!$C$4:$L$4)+MAX(0,MIN(IF($A28&gt;B$26,DCF_Base!$L$22*(1+B$26)/($A28-B$26),0),Assumptions!$B$8*DCF_Base!$L$22))/(1+$A28)^10-Assumptions!$B$9)/Assumptions!$B$10,"n/a")</f>
        <v/>
      </c>
      <c r="C28" s="17">
        <f>IF($A28&gt;C$26,(SUMPRODUCT(DCF_Base!$C$22:$L$22/(1+$A28)^DCF_Base!$C$4:$L$4)+MAX(0,MIN(IF($A28&gt;C$26,DCF_Base!$L$22*(1+C$26)/($A28-C$26),0),Assumptions!$B$8*DCF_Base!$L$22))/(1+$A28)^10-Assumptions!$B$9)/Assumptions!$B$10,"n/a")</f>
        <v/>
      </c>
      <c r="D28" s="17">
        <f>IF($A28&gt;D$26,(SUMPRODUCT(DCF_Base!$C$22:$L$22/(1+$A28)^DCF_Base!$C$4:$L$4)+MAX(0,MIN(IF($A28&gt;D$26,DCF_Base!$L$22*(1+D$26)/($A28-D$26),0),Assumptions!$B$8*DCF_Base!$L$22))/(1+$A28)^10-Assumptions!$B$9)/Assumptions!$B$10,"n/a")</f>
        <v/>
      </c>
      <c r="E28" s="17">
        <f>IF($A28&gt;E$26,(SUMPRODUCT(DCF_Base!$C$22:$L$22/(1+$A28)^DCF_Base!$C$4:$L$4)+MAX(0,MIN(IF($A28&gt;E$26,DCF_Base!$L$22*(1+E$26)/($A28-E$26),0),Assumptions!$B$8*DCF_Base!$L$22))/(1+$A28)^10-Assumptions!$B$9)/Assumptions!$B$10,"n/a")</f>
        <v/>
      </c>
      <c r="F28" s="17">
        <f>IF($A28&gt;F$26,(SUMPRODUCT(DCF_Base!$C$22:$L$22/(1+$A28)^DCF_Base!$C$4:$L$4)+MAX(0,MIN(IF($A28&gt;F$26,DCF_Base!$L$22*(1+F$26)/($A28-F$26),0),Assumptions!$B$8*DCF_Base!$L$22))/(1+$A28)^10-Assumptions!$B$9)/Assumptions!$B$10,"n/a")</f>
        <v/>
      </c>
    </row>
    <row r="29">
      <c r="A29" s="8" t="n">
        <v>0.09</v>
      </c>
      <c r="B29" s="17">
        <f>IF($A29&gt;B$26,(SUMPRODUCT(DCF_Base!$C$22:$L$22/(1+$A29)^DCF_Base!$C$4:$L$4)+MAX(0,MIN(IF($A29&gt;B$26,DCF_Base!$L$22*(1+B$26)/($A29-B$26),0),Assumptions!$B$8*DCF_Base!$L$22))/(1+$A29)^10-Assumptions!$B$9)/Assumptions!$B$10,"n/a")</f>
        <v/>
      </c>
      <c r="C29" s="17">
        <f>IF($A29&gt;C$26,(SUMPRODUCT(DCF_Base!$C$22:$L$22/(1+$A29)^DCF_Base!$C$4:$L$4)+MAX(0,MIN(IF($A29&gt;C$26,DCF_Base!$L$22*(1+C$26)/($A29-C$26),0),Assumptions!$B$8*DCF_Base!$L$22))/(1+$A29)^10-Assumptions!$B$9)/Assumptions!$B$10,"n/a")</f>
        <v/>
      </c>
      <c r="D29" s="19">
        <f>IF($A29&gt;D$26,(SUMPRODUCT(DCF_Base!$C$22:$L$22/(1+$A29)^DCF_Base!$C$4:$L$4)+MAX(0,MIN(IF($A29&gt;D$26,DCF_Base!$L$22*(1+D$26)/($A29-D$26),0),Assumptions!$B$8*DCF_Base!$L$22))/(1+$A29)^10-Assumptions!$B$9)/Assumptions!$B$10,"n/a")</f>
        <v/>
      </c>
      <c r="E29" s="17">
        <f>IF($A29&gt;E$26,(SUMPRODUCT(DCF_Base!$C$22:$L$22/(1+$A29)^DCF_Base!$C$4:$L$4)+MAX(0,MIN(IF($A29&gt;E$26,DCF_Base!$L$22*(1+E$26)/($A29-E$26),0),Assumptions!$B$8*DCF_Base!$L$22))/(1+$A29)^10-Assumptions!$B$9)/Assumptions!$B$10,"n/a")</f>
        <v/>
      </c>
      <c r="F29" s="17">
        <f>IF($A29&gt;F$26,(SUMPRODUCT(DCF_Base!$C$22:$L$22/(1+$A29)^DCF_Base!$C$4:$L$4)+MAX(0,MIN(IF($A29&gt;F$26,DCF_Base!$L$22*(1+F$26)/($A29-F$26),0),Assumptions!$B$8*DCF_Base!$L$22))/(1+$A29)^10-Assumptions!$B$9)/Assumptions!$B$10,"n/a")</f>
        <v/>
      </c>
    </row>
    <row r="30">
      <c r="A30" s="8" t="n">
        <v>0.1</v>
      </c>
      <c r="B30" s="17">
        <f>IF($A30&gt;B$26,(SUMPRODUCT(DCF_Base!$C$22:$L$22/(1+$A30)^DCF_Base!$C$4:$L$4)+MAX(0,MIN(IF($A30&gt;B$26,DCF_Base!$L$22*(1+B$26)/($A30-B$26),0),Assumptions!$B$8*DCF_Base!$L$22))/(1+$A30)^10-Assumptions!$B$9)/Assumptions!$B$10,"n/a")</f>
        <v/>
      </c>
      <c r="C30" s="17">
        <f>IF($A30&gt;C$26,(SUMPRODUCT(DCF_Base!$C$22:$L$22/(1+$A30)^DCF_Base!$C$4:$L$4)+MAX(0,MIN(IF($A30&gt;C$26,DCF_Base!$L$22*(1+C$26)/($A30-C$26),0),Assumptions!$B$8*DCF_Base!$L$22))/(1+$A30)^10-Assumptions!$B$9)/Assumptions!$B$10,"n/a")</f>
        <v/>
      </c>
      <c r="D30" s="17">
        <f>IF($A30&gt;D$26,(SUMPRODUCT(DCF_Base!$C$22:$L$22/(1+$A30)^DCF_Base!$C$4:$L$4)+MAX(0,MIN(IF($A30&gt;D$26,DCF_Base!$L$22*(1+D$26)/($A30-D$26),0),Assumptions!$B$8*DCF_Base!$L$22))/(1+$A30)^10-Assumptions!$B$9)/Assumptions!$B$10,"n/a")</f>
        <v/>
      </c>
      <c r="E30" s="17">
        <f>IF($A30&gt;E$26,(SUMPRODUCT(DCF_Base!$C$22:$L$22/(1+$A30)^DCF_Base!$C$4:$L$4)+MAX(0,MIN(IF($A30&gt;E$26,DCF_Base!$L$22*(1+E$26)/($A30-E$26),0),Assumptions!$B$8*DCF_Base!$L$22))/(1+$A30)^10-Assumptions!$B$9)/Assumptions!$B$10,"n/a")</f>
        <v/>
      </c>
      <c r="F30" s="17">
        <f>IF($A30&gt;F$26,(SUMPRODUCT(DCF_Base!$C$22:$L$22/(1+$A30)^DCF_Base!$C$4:$L$4)+MAX(0,MIN(IF($A30&gt;F$26,DCF_Base!$L$22*(1+F$26)/($A30-F$26),0),Assumptions!$B$8*DCF_Base!$L$22))/(1+$A30)^10-Assumptions!$B$9)/Assumptions!$B$10,"n/a")</f>
        <v/>
      </c>
    </row>
    <row r="31">
      <c r="A31" s="8" t="n">
        <v>0.11</v>
      </c>
      <c r="B31" s="17">
        <f>IF($A31&gt;B$26,(SUMPRODUCT(DCF_Base!$C$22:$L$22/(1+$A31)^DCF_Base!$C$4:$L$4)+MAX(0,MIN(IF($A31&gt;B$26,DCF_Base!$L$22*(1+B$26)/($A31-B$26),0),Assumptions!$B$8*DCF_Base!$L$22))/(1+$A31)^10-Assumptions!$B$9)/Assumptions!$B$10,"n/a")</f>
        <v/>
      </c>
      <c r="C31" s="17">
        <f>IF($A31&gt;C$26,(SUMPRODUCT(DCF_Base!$C$22:$L$22/(1+$A31)^DCF_Base!$C$4:$L$4)+MAX(0,MIN(IF($A31&gt;C$26,DCF_Base!$L$22*(1+C$26)/($A31-C$26),0),Assumptions!$B$8*DCF_Base!$L$22))/(1+$A31)^10-Assumptions!$B$9)/Assumptions!$B$10,"n/a")</f>
        <v/>
      </c>
      <c r="D31" s="17">
        <f>IF($A31&gt;D$26,(SUMPRODUCT(DCF_Base!$C$22:$L$22/(1+$A31)^DCF_Base!$C$4:$L$4)+MAX(0,MIN(IF($A31&gt;D$26,DCF_Base!$L$22*(1+D$26)/($A31-D$26),0),Assumptions!$B$8*DCF_Base!$L$22))/(1+$A31)^10-Assumptions!$B$9)/Assumptions!$B$10,"n/a")</f>
        <v/>
      </c>
      <c r="E31" s="17">
        <f>IF($A31&gt;E$26,(SUMPRODUCT(DCF_Base!$C$22:$L$22/(1+$A31)^DCF_Base!$C$4:$L$4)+MAX(0,MIN(IF($A31&gt;E$26,DCF_Base!$L$22*(1+E$26)/($A31-E$26),0),Assumptions!$B$8*DCF_Base!$L$22))/(1+$A31)^10-Assumptions!$B$9)/Assumptions!$B$10,"n/a")</f>
        <v/>
      </c>
      <c r="F31" s="17">
        <f>IF($A31&gt;F$26,(SUMPRODUCT(DCF_Base!$C$22:$L$22/(1+$A31)^DCF_Base!$C$4:$L$4)+MAX(0,MIN(IF($A31&gt;F$26,DCF_Base!$L$22*(1+F$26)/($A31-F$26),0),Assumptions!$B$8*DCF_Base!$L$22))/(1+$A31)^10-Assumptions!$B$9)/Assumptions!$B$10,"n/a")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2026-09-21T09:47:02Z</dcterms:created>
  <dcterms:modified xsi:type="dcterms:W3CDTF">2026-09-21T09:47:02Z</dcterms:modified>
</cp:coreProperties>
</file>