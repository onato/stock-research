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<sst xmlns="http://schemas.openxmlformats.org/spreadsheetml/2006/main" count="365" uniqueCount="168">
  <si>
    <t xml:space="preserve">Ticker</t>
  </si>
  <si>
    <t xml:space="preserve">4523.T</t>
  </si>
  <si>
    <t xml:space="preserve">Company</t>
  </si>
  <si>
    <t xml:space="preserve">Eisai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</si>
  <si>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</si>
  <si>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</si>
  <si>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</si>
  <si>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</si>
  <si>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 15:30 JST; 52-week range 3660-5243)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</si>
  <si>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</si>
  <si>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</si>
  <si>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</si>
  <si>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</si>
  <si>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</si>
  <si>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</si>
  <si>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</si>
  <si>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</si>
  <si>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</si>
  <si>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</si>
  <si>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</si>
  <si>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</si>
  <si>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2026-10-31T03:45:01Z</t>
  </si>
  <si>
    <t xml:space="preserve">Drivers file</t>
  </si>
  <si>
    <t xml:space="preserve">4523.T_Drivers.json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</si>
  <si>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</si>
  <si>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</si>
  <si>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</si>
  <si>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Eisai is valued as a consolidated owner-FCF stream in JPY with the partner profit shares left inside the margin, because that is how the cash actually arrives. Two things dominate: how far Leqembi scales before July 2030, and how much of the Lenvima contribution survives the cliff. The scenarios bracket those two questions; the discount rate does not. Trailing cash generation is near zero, so the valuation is almost entirely a forward margin-recovery story, which is why the explicit horizon runs ten years and the terminal multiple is capped at 15x FCF rather than 20x. At ~27x guided EPS and ~12.5x guided EBITDA the market is paying for something between the base and bull cases; the house base case does not get there.
key_risks_to_valuation: Leqembi share loss to Lilly's Kisunla (monthly IV, time-limited dosing) or an ARIA safety event/label tightening slowing initiation; Lenvima US generic entry July 2030 (settlements with Sun, Dr. Reddy's, Torrent); Shilpa litigation could extend to 2036 for that challenger only, and ex-US LOE follows; Margin capture: Merck (¥158bn/yr) and Biogen profit shares cap the EBITDA margin well below pre-2020 levels even on strong revenue; Owner FCF has been ~zero for three years; the valuation is a forward recovery, not a capitalisation of demonstrated cash; Currency: 71% of revenue is non-JPY; a stronger yen compresses reported revenue and margin, and the JPY-built WACC does not hedge that; Drug-pricing policy (Japan biennial revisions, US MFN/tariff proposals, European reimbursement) and the ¥300bn bond programme shifting the balance sheet from net cash to net debt; Lumpy in-licensing: a large upfront (FY2026 ¥25.8bn) in any year can wipe out that year's free cash</t>
  </si>
  <si>
    <t xml:space="preserve">Data sources</t>
  </si>
  <si>
    <t xml:space="preserve">price: Yahoo Finance chart API at inputs.price_as_of; 52-week range 3660-5243
financials: 4523.T_Metrics.csv / core_metrics (IFRS, JPY millions, FY ending 31 March, CSV labels are end-year); Q1 FY2026 tanshin (quarter to 2026-06-30) for shares, cash, bonds and borrowings and NCI; FY2025 securities report (year to 2026-03-31) for financial income breakdown, FVTOCI securities, lease principal/interest and share-based payments
qualitative: 4523.T_Analysis.json (2026-10-31): Leqembi ramp, IQLIK/BBM drivers, Lenvima settlement dates, FY2026 guidance and FY2028 targets, Kisunla and ARIA risks</t>
  </si>
  <si>
    <t xml:space="preserve">Scenario narrative: bear</t>
  </si>
  <si>
    <t xml:space="preserve">Kisunla's convenience and Lilly's scale cap Leqembi at ¥200-250bn, an ARIA safety event or label change slows initiation, and ex-US access stays commercial-insurance-only in China and delayed in Europe. The July-2030 Lenvima generics (Sun, Dr. Reddy's, Torrent) then strip ¥150bn of revenue from a top line with nothing to replace it (-8%, -6% in years 5-6), the EMEA/Japan Lenvima LOE follows, and pipeline replenishment through in-licensing keeps capex at 4%+ of revenue while the EBITDA margin sits at 10-12%. The dividend (¥160, ¥45bn/yr) stays flat and consumes most of free cash; the ¥300bn bond programme becomes the funding source for the next pipeline, and the balance sheet moves from net cash to net debt.</t>
  </si>
  <si>
    <t xml:space="preserve">Scenario narrative: base</t>
  </si>
  <si>
    <t xml:space="preserve">Leqembi delivers the FY2026 guide (¥143.5bn) and compounds to ~¥400bn by the year ending Mar-2031 as the subcutaneous autoinjector moves initiation to the home and blood-based biomarkers widen the diagnosed pool, while Lilly's Kisunla takes a meaningful but not dominant share. Dayvigo grows to ~¥100bn. Lenvima holds ~¥345bn until US generic entry in July 2030, then loses ~40% over two years with the Merck profit share falling in step. The legacy portfolio (Aricept, Fycompa, Halaven, Pariet, Methycobal) erodes 2-3%/yr. Operating profit reaches the ¥90bn FY2028 target a year early, dips through the cliff, and the EBITDA margin settles at 15.5%, short of the pre-Leqembi 16-18% because Biogen and Merck permanently take half the profit on the two largest products. In-licensing (taletrectinib, serplulimab and successors) keeps capex at ~4% of revenue. Cash generation recovers from ~zero today to ¥35bn in year 1 and ~¥75bn by year 10.</t>
  </si>
  <si>
    <t xml:space="preserve">Scenario narrative: bull</t>
  </si>
  <si>
    <t xml:space="preserve">Leqembi becomes the standard of care for early Alzheimer's: IQLIK initiation approval in the US (PDUFA Aug-2026), BBM-based diagnosis making up over half of confirmations by FY2028, German/UK/Spanish/Italian reimbursement, Chinese commercial-insurance coverage and a positive AHEAD 3-45 readout in preclinical AD take the franchise to ¥550-600bn by the Lenvima cliff and keep it growing in maintenance dosing after. Revenue never falls through the cliff (+1%/yr in years 5-6), EBITDA margin climbs to 19% as Leqembi's trial costs roll off and the European and US structural reforms hold the cost base, and the ¥300bn bond shelf funds in-licensing without dilution. This is the case that justifies the current ~27x forward P/E.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</si>
  <si>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</si>
  <si>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</si>
  <si>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</si>
  <si>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</si>
  <si>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</si>
  <si>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</si>
  <si>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</si>
  <si>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</si>
  <si>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</si>
  <si>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</si>
  <si>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</si>
  <si>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</si>
  <si>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</si>
  <si>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</si>
  <si>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</si>
  <si>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</si>
  <si>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</si>
  <si>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</si>
  <si>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</si>
  <si>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</si>
  <si>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</si>
  <si>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</si>
  <si>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</si>
  <si>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</si>
  <si>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</si>
  <si>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</si>
  <si>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</si>
  <si>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</si>
  <si>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ResearchAndDevelopment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</si>
  <si>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</si>
  <si>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</si>
  <si>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</si>
  <si>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</si>
  <si>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</si>
  <si>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</si>
  <si>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</si>
  <si>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</si>
  <si>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</si>
  <si>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</si>
  <si>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</si>
  <si>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</si>
  <si>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</si>
  <si>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</si>
  <si>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</si>
  <si>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</si>
  <si>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</si>
  <si>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</si>
  <si>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</si>
  <si>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</si>
  <si>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</si>
  <si>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</si>
  <si>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</si>
  <si>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</si>
  <si>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</si>
  <si>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</si>
  <si>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</si>
  <si>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</si>
  <si>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</si>
  <si>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</si>
  <si>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</si>
  <si>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</si>
  <si>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</si>
  <si>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</si>
  <si>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</si>
  <si>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</si>
  <si>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</si>
  <si>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</si>
  <si>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</si>
  <si>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</si>
  <si>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</si>
  <si>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</si>
  <si>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</si>
  <si>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</si>
  <si>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</si>
  <si>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</si>
  <si>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</si>
  <si>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</si>
  <si>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4523.T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</si>
  <si>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</si>
  <si>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</si>
  <si>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</si>
  <si>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</si>
  <si>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</si>
  <si>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</si>
  <si>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</si>
  <si>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</si>
  <si>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</si>
  <si>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</si>
  <si>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</si>
  <si>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</si>
  <si>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</si>
  <si>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</si>
  <si>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</si>
  <si>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</si>
  <si>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</si>
  <si>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</si>
  <si>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</si>
  <si>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</si>
  <si>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</si>
  <si>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</si>
  <si>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</si>
  <si>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</si>
  <si>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</si>
  <si>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</si>
  <si>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</si>
  <si>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</si>
  <si>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</si>
  <si>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</si>
  <si>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4523.T owner-FCF component DCF: base case (millions, JPY)</t>
  </si>
  <si>
    <t xml:space="preserve">4523.T owner-FCF component DCF: bull case (millions, JPY)</t>
  </si>
  <si>
    <t xml:space="preserve">4523.T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</si>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</sst>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5052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547922</v>
      </c>
      <c r="C2" s="0" t="n">
        <v>194459</v>
      </c>
      <c r="D2" s="0" t="n">
        <v>353463</v>
      </c>
      <c r="E2" s="0" t="n">
        <v>64.5</v>
      </c>
      <c r="F2" s="0" t="n">
        <v>51935</v>
      </c>
      <c r="G2" s="0" t="n">
        <v>9.5</v>
      </c>
      <c r="H2" s="0" t="n">
        <v>85999</v>
      </c>
      <c r="I2" s="0" t="n">
        <v>54933</v>
      </c>
      <c r="J2" s="0" t="n">
        <v>10</v>
      </c>
      <c r="K2" s="0" t="n">
        <v>192.23</v>
      </c>
      <c r="L2" s="0" t="n">
        <v>95617</v>
      </c>
      <c r="M2" s="0" t="n">
        <v>40072</v>
      </c>
      <c r="N2" s="0" t="n">
        <v>55545</v>
      </c>
      <c r="O2" s="0" t="n">
        <v>573661</v>
      </c>
      <c r="P2" s="0" t="n">
        <v>973987</v>
      </c>
      <c r="Q2" s="0" t="n">
        <v>397159</v>
      </c>
      <c r="R2" s="0" t="n">
        <v>203593</v>
      </c>
      <c r="S2" s="0" t="n">
        <v>176830</v>
      </c>
      <c r="T2" s="0" t="n">
        <v>285.8</v>
      </c>
      <c r="AA2" s="0" t="s">
        <v>17</v>
      </c>
      <c r="AB2" s="0" t="s">
        <v>14</v>
      </c>
      <c r="AC2" s="0" t="n">
        <v>33258</v>
      </c>
      <c r="AD2" s="0" t="n">
        <v>122307</v>
      </c>
    </row>
    <row r="3" customFormat="false" ht="15" hidden="false" customHeight="false" outlineLevel="0" collapsed="false">
      <c r="A3" s="0" t="s">
        <v>66</v>
      </c>
      <c r="B3" s="0" t="n">
        <v>539097</v>
      </c>
      <c r="C3" s="0" t="n">
        <v>195905</v>
      </c>
      <c r="D3" s="0" t="n">
        <v>343192</v>
      </c>
      <c r="E3" s="0" t="n">
        <v>63.7</v>
      </c>
      <c r="F3" s="0" t="n">
        <v>59064</v>
      </c>
      <c r="G3" s="0" t="n">
        <v>11</v>
      </c>
      <c r="H3" s="0" t="n">
        <v>85548</v>
      </c>
      <c r="I3" s="0" t="n">
        <v>39358</v>
      </c>
      <c r="J3" s="0" t="n">
        <v>7.3</v>
      </c>
      <c r="K3" s="0" t="n">
        <v>137.63</v>
      </c>
      <c r="L3" s="0" t="n">
        <v>75851</v>
      </c>
      <c r="M3" s="0" t="n">
        <v>20001</v>
      </c>
      <c r="N3" s="0" t="n">
        <v>55850</v>
      </c>
      <c r="O3" s="0" t="n">
        <v>584630</v>
      </c>
      <c r="P3" s="0" t="n">
        <v>1030764</v>
      </c>
      <c r="Q3" s="0" t="n">
        <v>428173</v>
      </c>
      <c r="R3" s="0" t="n">
        <v>213474</v>
      </c>
      <c r="S3" s="0" t="n">
        <v>186775</v>
      </c>
      <c r="T3" s="0" t="n">
        <v>286</v>
      </c>
      <c r="AA3" s="0" t="s">
        <v>17</v>
      </c>
      <c r="AB3" s="0" t="s">
        <v>14</v>
      </c>
      <c r="AC3" s="0" t="n">
        <v>12177</v>
      </c>
      <c r="AD3" s="0" t="n">
        <v>112478</v>
      </c>
    </row>
    <row r="4" customFormat="false" ht="15" hidden="false" customHeight="false" outlineLevel="0" collapsed="false">
      <c r="A4" s="0" t="s">
        <v>67</v>
      </c>
      <c r="B4" s="0" t="n">
        <v>600054</v>
      </c>
      <c r="C4" s="0" t="n">
        <v>201254</v>
      </c>
      <c r="D4" s="0" t="n">
        <v>398800</v>
      </c>
      <c r="E4" s="0" t="n">
        <v>66.5</v>
      </c>
      <c r="F4" s="0" t="n">
        <v>77212</v>
      </c>
      <c r="G4" s="0" t="n">
        <v>12.9</v>
      </c>
      <c r="H4" s="0" t="n">
        <v>103395</v>
      </c>
      <c r="I4" s="0" t="n">
        <v>51845</v>
      </c>
      <c r="J4" s="0" t="n">
        <v>8.6</v>
      </c>
      <c r="K4" s="0" t="n">
        <v>181.18</v>
      </c>
      <c r="L4" s="0" t="n">
        <v>149649</v>
      </c>
      <c r="M4" s="0" t="n">
        <v>24733</v>
      </c>
      <c r="N4" s="0" t="n">
        <v>124916</v>
      </c>
      <c r="O4" s="0" t="n">
        <v>593582</v>
      </c>
      <c r="P4" s="0" t="n">
        <v>1049031</v>
      </c>
      <c r="Q4" s="0" t="n">
        <v>434932</v>
      </c>
      <c r="R4" s="0" t="n">
        <v>173141</v>
      </c>
      <c r="S4" s="0" t="n">
        <v>270525</v>
      </c>
      <c r="T4" s="0" t="n">
        <v>286.2</v>
      </c>
      <c r="AA4" s="0" t="s">
        <v>17</v>
      </c>
      <c r="AB4" s="0" t="s">
        <v>14</v>
      </c>
      <c r="AC4" s="0" t="n">
        <v>14235</v>
      </c>
      <c r="AD4" s="0" t="n">
        <v>139579</v>
      </c>
    </row>
    <row r="5" customFormat="false" ht="15" hidden="false" customHeight="false" outlineLevel="0" collapsed="false">
      <c r="A5" s="0" t="s">
        <v>68</v>
      </c>
      <c r="B5" s="0" t="n">
        <v>642834</v>
      </c>
      <c r="C5" s="0" t="n">
        <v>184494</v>
      </c>
      <c r="D5" s="0" t="n">
        <v>458340</v>
      </c>
      <c r="E5" s="0" t="n">
        <v>71.3</v>
      </c>
      <c r="F5" s="0" t="n">
        <v>86154</v>
      </c>
      <c r="G5" s="0" t="n">
        <v>13.4</v>
      </c>
      <c r="H5" s="0" t="n">
        <v>112995</v>
      </c>
      <c r="I5" s="0" t="n">
        <v>63386</v>
      </c>
      <c r="J5" s="0" t="n">
        <v>9.9</v>
      </c>
      <c r="K5" s="0" t="n">
        <v>221.34</v>
      </c>
      <c r="L5" s="0" t="n">
        <v>103714</v>
      </c>
      <c r="M5" s="0" t="n">
        <v>27622</v>
      </c>
      <c r="N5" s="0" t="n">
        <v>76092</v>
      </c>
      <c r="O5" s="0" t="n">
        <v>628120</v>
      </c>
      <c r="P5" s="0" t="n">
        <v>1071520</v>
      </c>
      <c r="Q5" s="0" t="n">
        <v>419538</v>
      </c>
      <c r="R5" s="0" t="n">
        <v>138898</v>
      </c>
      <c r="S5" s="0" t="n">
        <v>286434</v>
      </c>
      <c r="T5" s="0" t="n">
        <v>286.4</v>
      </c>
      <c r="AA5" s="0" t="s">
        <v>17</v>
      </c>
      <c r="AB5" s="0" t="s">
        <v>14</v>
      </c>
      <c r="AC5" s="0" t="n">
        <v>9454</v>
      </c>
      <c r="AD5" s="0" t="n">
        <v>144844</v>
      </c>
    </row>
    <row r="6" customFormat="false" ht="15" hidden="false" customHeight="false" outlineLevel="0" collapsed="false">
      <c r="A6" s="0" t="s">
        <v>69</v>
      </c>
      <c r="B6" s="0" t="n">
        <v>695621</v>
      </c>
      <c r="C6" s="0" t="n">
        <v>175693</v>
      </c>
      <c r="D6" s="0" t="n">
        <v>519929</v>
      </c>
      <c r="E6" s="0" t="n">
        <v>74.7</v>
      </c>
      <c r="F6" s="0" t="n">
        <v>125502</v>
      </c>
      <c r="G6" s="0" t="n">
        <v>18</v>
      </c>
      <c r="H6" s="0" t="n">
        <v>159202</v>
      </c>
      <c r="I6" s="0" t="n">
        <v>121767</v>
      </c>
      <c r="J6" s="0" t="n">
        <v>17.5</v>
      </c>
      <c r="K6" s="0" t="n">
        <v>425.01</v>
      </c>
      <c r="L6" s="0" t="n">
        <v>102782</v>
      </c>
      <c r="M6" s="0" t="n">
        <v>50226</v>
      </c>
      <c r="N6" s="0" t="n">
        <v>52556</v>
      </c>
      <c r="O6" s="0" t="n">
        <v>678127</v>
      </c>
      <c r="P6" s="0" t="n">
        <v>1062140</v>
      </c>
      <c r="Q6" s="0" t="n">
        <v>359510</v>
      </c>
      <c r="R6" s="0" t="n">
        <v>89939</v>
      </c>
      <c r="S6" s="0" t="n">
        <v>254244</v>
      </c>
      <c r="T6" s="0" t="n">
        <v>286.5</v>
      </c>
      <c r="AA6" s="0" t="s">
        <v>17</v>
      </c>
      <c r="AB6" s="0" t="s">
        <v>14</v>
      </c>
      <c r="AC6" s="0" t="n">
        <v>34963</v>
      </c>
      <c r="AD6" s="0" t="n">
        <v>140116</v>
      </c>
    </row>
    <row r="7" customFormat="false" ht="15" hidden="false" customHeight="false" outlineLevel="0" collapsed="false">
      <c r="A7" s="0" t="s">
        <v>70</v>
      </c>
      <c r="B7" s="0" t="n">
        <v>645942</v>
      </c>
      <c r="C7" s="0" t="n">
        <v>161310</v>
      </c>
      <c r="D7" s="0" t="n">
        <v>484632</v>
      </c>
      <c r="E7" s="0" t="n">
        <v>75</v>
      </c>
      <c r="F7" s="0" t="n">
        <v>51766</v>
      </c>
      <c r="G7" s="0" t="n">
        <v>8</v>
      </c>
      <c r="H7" s="0" t="n">
        <v>88065</v>
      </c>
      <c r="I7" s="0" t="n">
        <v>42119</v>
      </c>
      <c r="J7" s="0" t="n">
        <v>6.5</v>
      </c>
      <c r="K7" s="0" t="n">
        <v>146.95</v>
      </c>
      <c r="L7" s="0" t="n">
        <v>73853</v>
      </c>
      <c r="M7" s="0" t="n">
        <v>38144</v>
      </c>
      <c r="N7" s="0" t="n">
        <v>35709</v>
      </c>
      <c r="O7" s="0" t="n">
        <v>703183</v>
      </c>
      <c r="P7" s="0" t="n">
        <v>1090009</v>
      </c>
      <c r="Q7" s="0" t="n">
        <v>362067</v>
      </c>
      <c r="R7" s="0" t="n">
        <v>89893</v>
      </c>
      <c r="S7" s="0" t="n">
        <v>248740</v>
      </c>
      <c r="T7" s="0" t="n">
        <v>286.6</v>
      </c>
      <c r="AA7" s="0" t="s">
        <v>17</v>
      </c>
      <c r="AB7" s="0" t="s">
        <v>14</v>
      </c>
      <c r="AC7" s="0" t="n">
        <v>18996</v>
      </c>
      <c r="AD7" s="0" t="n">
        <v>150299</v>
      </c>
    </row>
    <row r="8" customFormat="false" ht="15" hidden="false" customHeight="false" outlineLevel="0" collapsed="false">
      <c r="A8" s="0" t="s">
        <v>71</v>
      </c>
      <c r="B8" s="0" t="n">
        <v>756226</v>
      </c>
      <c r="C8" s="0" t="n">
        <v>174831</v>
      </c>
      <c r="D8" s="0" t="n">
        <v>581395</v>
      </c>
      <c r="E8" s="0" t="n">
        <v>76.9</v>
      </c>
      <c r="F8" s="0" t="n">
        <v>53750</v>
      </c>
      <c r="G8" s="0" t="n">
        <v>7.1</v>
      </c>
      <c r="H8" s="0" t="n">
        <v>92148</v>
      </c>
      <c r="I8" s="0" t="n">
        <v>47954</v>
      </c>
      <c r="J8" s="0" t="n">
        <v>6.3</v>
      </c>
      <c r="K8" s="0" t="n">
        <v>167.27</v>
      </c>
      <c r="L8" s="0" t="n">
        <v>117590</v>
      </c>
      <c r="M8" s="0" t="n">
        <v>40467</v>
      </c>
      <c r="N8" s="0" t="n">
        <v>77123</v>
      </c>
      <c r="O8" s="0" t="n">
        <v>748821</v>
      </c>
      <c r="P8" s="0" t="n">
        <v>1239315</v>
      </c>
      <c r="Q8" s="0" t="n">
        <v>467782</v>
      </c>
      <c r="R8" s="0" t="n">
        <v>94893</v>
      </c>
      <c r="S8" s="0" t="n">
        <v>309633</v>
      </c>
      <c r="T8" s="0" t="n">
        <v>286.7</v>
      </c>
      <c r="AA8" s="0" t="s">
        <v>17</v>
      </c>
      <c r="AB8" s="0" t="s">
        <v>14</v>
      </c>
      <c r="AC8" s="0" t="n">
        <v>11436</v>
      </c>
      <c r="AD8" s="0" t="n">
        <v>171738</v>
      </c>
    </row>
    <row r="9" customFormat="false" ht="15" hidden="false" customHeight="false" outlineLevel="0" collapsed="false">
      <c r="A9" s="0" t="s">
        <v>72</v>
      </c>
      <c r="B9" s="0" t="n">
        <v>744402</v>
      </c>
      <c r="C9" s="0" t="n">
        <v>177837</v>
      </c>
      <c r="D9" s="0" t="n">
        <v>566566</v>
      </c>
      <c r="E9" s="0" t="n">
        <v>76.1</v>
      </c>
      <c r="F9" s="0" t="n">
        <v>40040</v>
      </c>
      <c r="G9" s="0" t="n">
        <v>5.4</v>
      </c>
      <c r="H9" s="0" t="n">
        <v>80021</v>
      </c>
      <c r="I9" s="0" t="n">
        <v>55432</v>
      </c>
      <c r="J9" s="0" t="n">
        <v>7.4</v>
      </c>
      <c r="K9" s="0" t="n">
        <v>193.31</v>
      </c>
      <c r="L9" s="0" t="n">
        <v>-1772</v>
      </c>
      <c r="M9" s="0" t="n">
        <v>34559</v>
      </c>
      <c r="N9" s="0" t="n">
        <v>-36331</v>
      </c>
      <c r="O9" s="0" t="n">
        <v>799959</v>
      </c>
      <c r="P9" s="0" t="n">
        <v>1263350</v>
      </c>
      <c r="Q9" s="0" t="n">
        <v>440779</v>
      </c>
      <c r="R9" s="0" t="n">
        <v>126105</v>
      </c>
      <c r="S9" s="0" t="n">
        <v>267350</v>
      </c>
      <c r="T9" s="0" t="n">
        <v>286.8</v>
      </c>
      <c r="U9" s="0" t="n">
        <v>87</v>
      </c>
      <c r="AA9" s="0" t="s">
        <v>17</v>
      </c>
      <c r="AB9" s="0" t="s">
        <v>14</v>
      </c>
      <c r="AC9" s="0" t="n">
        <v>11983</v>
      </c>
      <c r="AD9" s="0" t="n">
        <v>172999</v>
      </c>
    </row>
    <row r="10" customFormat="false" ht="15" hidden="false" customHeight="false" outlineLevel="0" collapsed="false">
      <c r="A10" s="0" t="s">
        <v>73</v>
      </c>
      <c r="B10" s="0" t="n">
        <v>741751</v>
      </c>
      <c r="C10" s="0" t="n">
        <v>155333</v>
      </c>
      <c r="D10" s="0" t="n">
        <v>586417</v>
      </c>
      <c r="E10" s="0" t="n">
        <v>79.1</v>
      </c>
      <c r="F10" s="0" t="n">
        <v>53408</v>
      </c>
      <c r="G10" s="0" t="n">
        <v>7.2</v>
      </c>
      <c r="H10" s="0" t="n">
        <v>92806</v>
      </c>
      <c r="I10" s="0" t="n">
        <v>42406</v>
      </c>
      <c r="J10" s="0" t="n">
        <v>5.7</v>
      </c>
      <c r="K10" s="0" t="n">
        <v>147.86</v>
      </c>
      <c r="L10" s="0" t="n">
        <v>55993</v>
      </c>
      <c r="M10" s="0" t="n">
        <v>24823</v>
      </c>
      <c r="N10" s="0" t="n">
        <v>31170</v>
      </c>
      <c r="O10" s="0" t="n">
        <v>875614</v>
      </c>
      <c r="P10" s="0" t="n">
        <v>1393799</v>
      </c>
      <c r="Q10" s="0" t="n">
        <v>494825</v>
      </c>
      <c r="R10" s="0" t="n">
        <v>159405</v>
      </c>
      <c r="S10" s="0" t="n">
        <v>304678</v>
      </c>
      <c r="T10" s="0" t="n">
        <v>286.8</v>
      </c>
      <c r="U10" s="0" t="n">
        <v>312</v>
      </c>
      <c r="AA10" s="0" t="s">
        <v>17</v>
      </c>
      <c r="AB10" s="0" t="s">
        <v>14</v>
      </c>
      <c r="AC10" s="0" t="n">
        <v>10502</v>
      </c>
      <c r="AD10" s="0" t="n">
        <v>169021</v>
      </c>
    </row>
    <row r="11" customFormat="false" ht="15" hidden="false" customHeight="false" outlineLevel="0" collapsed="false">
      <c r="A11" s="0" t="s">
        <v>74</v>
      </c>
      <c r="B11" s="0" t="n">
        <v>789400</v>
      </c>
      <c r="C11" s="0" t="n">
        <v>168807</v>
      </c>
      <c r="D11" s="0" t="n">
        <v>620593</v>
      </c>
      <c r="E11" s="0" t="n">
        <v>78.6</v>
      </c>
      <c r="F11" s="0" t="n">
        <v>54378</v>
      </c>
      <c r="G11" s="0" t="n">
        <v>6.9</v>
      </c>
      <c r="H11" s="0" t="n">
        <v>94284</v>
      </c>
      <c r="I11" s="0" t="n">
        <v>46432</v>
      </c>
      <c r="J11" s="0" t="n">
        <v>5.9</v>
      </c>
      <c r="K11" s="0" t="n">
        <v>163.76</v>
      </c>
      <c r="L11" s="0" t="n">
        <v>30117</v>
      </c>
      <c r="M11" s="0" t="n">
        <v>22969</v>
      </c>
      <c r="N11" s="0" t="n">
        <v>7148</v>
      </c>
      <c r="O11" s="0" t="n">
        <v>841417</v>
      </c>
      <c r="P11" s="0" t="n">
        <v>1386547</v>
      </c>
      <c r="Q11" s="0" t="n">
        <v>520578</v>
      </c>
      <c r="R11" s="0" t="n">
        <v>187523</v>
      </c>
      <c r="S11" s="0" t="n">
        <v>265561</v>
      </c>
      <c r="T11" s="0" t="n">
        <v>283.5</v>
      </c>
      <c r="U11" s="0" t="n">
        <v>145</v>
      </c>
      <c r="AA11" s="0" t="s">
        <v>17</v>
      </c>
      <c r="AB11" s="0" t="s">
        <v>14</v>
      </c>
      <c r="AC11" s="0" t="n">
        <v>11036</v>
      </c>
      <c r="AD11" s="0" t="n">
        <v>171633</v>
      </c>
    </row>
    <row r="12" customFormat="false" ht="15" hidden="false" customHeight="false" outlineLevel="0" collapsed="false">
      <c r="A12" s="0" t="s">
        <v>75</v>
      </c>
      <c r="B12" s="0" t="n">
        <v>825378</v>
      </c>
      <c r="C12" s="0" t="n">
        <v>191223</v>
      </c>
      <c r="D12" s="0" t="n">
        <v>634155</v>
      </c>
      <c r="E12" s="0" t="n">
        <v>76.8</v>
      </c>
      <c r="F12" s="0" t="n">
        <v>44138</v>
      </c>
      <c r="G12" s="0" t="n">
        <v>5.3</v>
      </c>
      <c r="H12" s="0" t="n">
        <v>83688</v>
      </c>
      <c r="I12" s="0" t="n">
        <v>38558</v>
      </c>
      <c r="J12" s="0" t="n">
        <v>4.7</v>
      </c>
      <c r="K12" s="0" t="n">
        <v>136.78</v>
      </c>
      <c r="L12" s="0" t="n">
        <v>61323</v>
      </c>
      <c r="M12" s="0" t="n">
        <v>41167</v>
      </c>
      <c r="N12" s="0" t="n">
        <v>20156</v>
      </c>
      <c r="O12" s="0" t="n">
        <v>898992</v>
      </c>
      <c r="P12" s="0" t="n">
        <v>1449113</v>
      </c>
      <c r="Q12" s="0" t="n">
        <v>523990</v>
      </c>
      <c r="R12" s="0" t="n">
        <v>186081</v>
      </c>
      <c r="S12" s="0" t="n">
        <v>245423</v>
      </c>
      <c r="T12" s="0" t="n">
        <v>281.9</v>
      </c>
      <c r="U12" s="0" t="n">
        <v>121</v>
      </c>
      <c r="AA12" s="0" t="s">
        <v>17</v>
      </c>
      <c r="AB12" s="0" t="s">
        <v>14</v>
      </c>
      <c r="AC12" s="0" t="n">
        <v>25808</v>
      </c>
      <c r="AD12" s="0" t="n">
        <v>158662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5052</v>
      </c>
    </row>
    <row r="3" customFormat="false" ht="15" hidden="false" customHeight="false" outlineLevel="0" collapsed="false">
      <c r="A3" s="0" t="s">
        <v>79</v>
      </c>
      <c r="B3" s="3" t="n">
        <v>281.89</v>
      </c>
    </row>
    <row r="4" customFormat="false" ht="15" hidden="false" customHeight="false" outlineLevel="0" collapsed="false">
      <c r="A4" s="0" t="s">
        <v>80</v>
      </c>
      <c r="B4" s="3" t="n">
        <v>-40397</v>
      </c>
    </row>
    <row r="5" customFormat="false" ht="15" hidden="false" customHeight="false" outlineLevel="0" collapsed="false">
      <c r="A5" s="0" t="s">
        <v>81</v>
      </c>
      <c r="B5" s="3" t="n">
        <v>13203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825378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5</v>
      </c>
      <c r="D13" s="3" t="n">
        <v>3</v>
      </c>
      <c r="E13" s="3" t="n">
        <v>2</v>
      </c>
      <c r="F13" s="3" t="n">
        <v>0</v>
      </c>
      <c r="G13" s="3" t="n">
        <v>-8</v>
      </c>
      <c r="H13" s="3" t="n">
        <v>-6</v>
      </c>
      <c r="I13" s="3" t="n">
        <v>-1</v>
      </c>
      <c r="J13" s="3" t="n">
        <v>0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12</v>
      </c>
      <c r="D14" s="3" t="n">
        <v>12</v>
      </c>
      <c r="E14" s="3" t="n">
        <v>12</v>
      </c>
      <c r="F14" s="3" t="n">
        <v>11.5</v>
      </c>
      <c r="G14" s="3" t="n">
        <v>10.5</v>
      </c>
      <c r="H14" s="3" t="n">
        <v>10</v>
      </c>
      <c r="I14" s="3" t="n">
        <v>10.5</v>
      </c>
      <c r="J14" s="3" t="n">
        <v>11</v>
      </c>
      <c r="K14" s="3" t="n">
        <v>11.5</v>
      </c>
      <c r="L14" s="3" t="n">
        <v>12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1.4</v>
      </c>
      <c r="D16" s="3" t="n">
        <v>1.4</v>
      </c>
      <c r="E16" s="3" t="n">
        <v>1.4</v>
      </c>
      <c r="F16" s="3" t="n">
        <v>1.4</v>
      </c>
      <c r="G16" s="3" t="n">
        <v>1.5</v>
      </c>
      <c r="H16" s="3" t="n">
        <v>1.5</v>
      </c>
      <c r="I16" s="3" t="n">
        <v>1.5</v>
      </c>
      <c r="J16" s="3" t="n">
        <v>1.5</v>
      </c>
      <c r="K16" s="3" t="n">
        <v>1.5</v>
      </c>
      <c r="L16" s="3" t="n">
        <v>1.5</v>
      </c>
    </row>
    <row r="17" customFormat="false" ht="15" hidden="false" customHeight="false" outlineLevel="0" collapsed="false">
      <c r="A17" s="0" t="s">
        <v>103</v>
      </c>
      <c r="C17" s="3" t="n">
        <v>3.6</v>
      </c>
      <c r="D17" s="3" t="n">
        <v>3.6</v>
      </c>
      <c r="E17" s="3" t="n">
        <v>3.6</v>
      </c>
      <c r="F17" s="3" t="n">
        <v>3.6</v>
      </c>
      <c r="G17" s="3" t="n">
        <v>3.7</v>
      </c>
      <c r="H17" s="3" t="n">
        <v>3.7</v>
      </c>
      <c r="I17" s="3" t="n">
        <v>3.7</v>
      </c>
      <c r="J17" s="3" t="n">
        <v>3.6</v>
      </c>
      <c r="K17" s="3" t="n">
        <v>3.6</v>
      </c>
      <c r="L17" s="3" t="n">
        <v>3.6</v>
      </c>
    </row>
    <row r="18" customFormat="false" ht="15" hidden="false" customHeight="false" outlineLevel="0" collapsed="false">
      <c r="A18" s="0" t="s">
        <v>104</v>
      </c>
      <c r="C18" s="3" t="n">
        <v>4.3</v>
      </c>
      <c r="D18" s="3" t="n">
        <v>4.3</v>
      </c>
      <c r="E18" s="3" t="n">
        <v>4.3</v>
      </c>
      <c r="F18" s="3" t="n">
        <v>4.3</v>
      </c>
      <c r="G18" s="3" t="n">
        <v>4.3</v>
      </c>
      <c r="H18" s="3" t="n">
        <v>4.2</v>
      </c>
      <c r="I18" s="3" t="n">
        <v>4.2</v>
      </c>
      <c r="J18" s="3" t="n">
        <v>4.1</v>
      </c>
      <c r="K18" s="3" t="n">
        <v>4.1</v>
      </c>
      <c r="L18" s="3" t="n">
        <v>4</v>
      </c>
    </row>
    <row r="19" customFormat="false" ht="15" hidden="false" customHeight="false" outlineLevel="0" collapsed="false">
      <c r="A19" s="0" t="s">
        <v>105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106</v>
      </c>
      <c r="B20" s="3" t="n">
        <v>6.5</v>
      </c>
    </row>
    <row r="21" customFormat="false" ht="15" hidden="false" customHeight="false" outlineLevel="0" collapsed="false">
      <c r="A21" s="0" t="s">
        <v>107</v>
      </c>
      <c r="B21" s="3" t="n">
        <v>1.5</v>
      </c>
    </row>
    <row r="22" customFormat="false" ht="15" hidden="false" customHeight="false" outlineLevel="0" collapsed="false">
      <c r="A22" s="0" t="s">
        <v>108</v>
      </c>
      <c r="B22" s="3" t="n">
        <v>15</v>
      </c>
    </row>
    <row r="23" customFormat="false" ht="15" hidden="false" customHeight="false" outlineLevel="0" collapsed="false">
      <c r="A23" s="0" t="s">
        <v>109</v>
      </c>
      <c r="B23" s="3" t="n">
        <v>-10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7.5</v>
      </c>
      <c r="D27" s="3" t="n">
        <v>6</v>
      </c>
      <c r="E27" s="3" t="n">
        <v>5</v>
      </c>
      <c r="F27" s="3" t="n">
        <v>3</v>
      </c>
      <c r="G27" s="3" t="n">
        <v>-2</v>
      </c>
      <c r="H27" s="3" t="n">
        <v>-2</v>
      </c>
      <c r="I27" s="3" t="n">
        <v>2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100</v>
      </c>
      <c r="C28" s="3" t="n">
        <v>12.4</v>
      </c>
      <c r="D28" s="3" t="n">
        <v>13</v>
      </c>
      <c r="E28" s="3" t="n">
        <v>13.5</v>
      </c>
      <c r="F28" s="3" t="n">
        <v>13.8</v>
      </c>
      <c r="G28" s="3" t="n">
        <v>13.5</v>
      </c>
      <c r="H28" s="3" t="n">
        <v>13.5</v>
      </c>
      <c r="I28" s="3" t="n">
        <v>14</v>
      </c>
      <c r="J28" s="3" t="n">
        <v>14.5</v>
      </c>
      <c r="K28" s="3" t="n">
        <v>15</v>
      </c>
      <c r="L28" s="3" t="n">
        <v>15.5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1.4</v>
      </c>
      <c r="D30" s="3" t="n">
        <v>1.4</v>
      </c>
      <c r="E30" s="3" t="n">
        <v>1.4</v>
      </c>
      <c r="F30" s="3" t="n">
        <v>1.4</v>
      </c>
      <c r="G30" s="3" t="n">
        <v>1.4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103</v>
      </c>
      <c r="C31" s="3" t="n">
        <v>3.6</v>
      </c>
      <c r="D31" s="3" t="n">
        <v>3.6</v>
      </c>
      <c r="E31" s="3" t="n">
        <v>3.6</v>
      </c>
      <c r="F31" s="3" t="n">
        <v>3.5</v>
      </c>
      <c r="G31" s="3" t="n">
        <v>3.5</v>
      </c>
      <c r="H31" s="3" t="n">
        <v>3.5</v>
      </c>
      <c r="I31" s="3" t="n">
        <v>3.4</v>
      </c>
      <c r="J31" s="3" t="n">
        <v>3.4</v>
      </c>
      <c r="K31" s="3" t="n">
        <v>3.4</v>
      </c>
      <c r="L31" s="3" t="n">
        <v>3.4</v>
      </c>
    </row>
    <row r="32" customFormat="false" ht="15" hidden="false" customHeight="false" outlineLevel="0" collapsed="false">
      <c r="A32" s="0" t="s">
        <v>104</v>
      </c>
      <c r="C32" s="3" t="n">
        <v>4.3</v>
      </c>
      <c r="D32" s="3" t="n">
        <v>4.3</v>
      </c>
      <c r="E32" s="3" t="n">
        <v>4.3</v>
      </c>
      <c r="F32" s="3" t="n">
        <v>4.2</v>
      </c>
      <c r="G32" s="3" t="n">
        <v>4.2</v>
      </c>
      <c r="H32" s="3" t="n">
        <v>4.1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105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106</v>
      </c>
      <c r="B34" s="3" t="n">
        <v>6.5</v>
      </c>
    </row>
    <row r="35" customFormat="false" ht="15" hidden="false" customHeight="false" outlineLevel="0" collapsed="false">
      <c r="A35" s="0" t="s">
        <v>107</v>
      </c>
      <c r="B35" s="3" t="n">
        <v>1.5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-10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9</v>
      </c>
      <c r="D41" s="3" t="n">
        <v>8</v>
      </c>
      <c r="E41" s="3" t="n">
        <v>7</v>
      </c>
      <c r="F41" s="3" t="n">
        <v>5</v>
      </c>
      <c r="G41" s="3" t="n">
        <v>1</v>
      </c>
      <c r="H41" s="3" t="n">
        <v>1</v>
      </c>
      <c r="I41" s="3" t="n">
        <v>4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12.8</v>
      </c>
      <c r="D42" s="3" t="n">
        <v>14</v>
      </c>
      <c r="E42" s="3" t="n">
        <v>15</v>
      </c>
      <c r="F42" s="3" t="n">
        <v>16</v>
      </c>
      <c r="G42" s="3" t="n">
        <v>16.5</v>
      </c>
      <c r="H42" s="3" t="n">
        <v>17</v>
      </c>
      <c r="I42" s="3" t="n">
        <v>17.5</v>
      </c>
      <c r="J42" s="3" t="n">
        <v>18</v>
      </c>
      <c r="K42" s="3" t="n">
        <v>18.5</v>
      </c>
      <c r="L42" s="3" t="n">
        <v>19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1.4</v>
      </c>
      <c r="D44" s="3" t="n">
        <v>1.4</v>
      </c>
      <c r="E44" s="3" t="n">
        <v>1.4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1.2</v>
      </c>
      <c r="K44" s="3" t="n">
        <v>1.2</v>
      </c>
      <c r="L44" s="3" t="n">
        <v>1.2</v>
      </c>
    </row>
    <row r="45" customFormat="false" ht="15" hidden="false" customHeight="false" outlineLevel="0" collapsed="false">
      <c r="A45" s="0" t="s">
        <v>103</v>
      </c>
      <c r="C45" s="3" t="n">
        <v>3.6</v>
      </c>
      <c r="D45" s="3" t="n">
        <v>3.6</v>
      </c>
      <c r="E45" s="3" t="n">
        <v>3.5</v>
      </c>
      <c r="F45" s="3" t="n">
        <v>3.5</v>
      </c>
      <c r="G45" s="3" t="n">
        <v>3.4</v>
      </c>
      <c r="H45" s="3" t="n">
        <v>3.4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104</v>
      </c>
      <c r="C46" s="3" t="n">
        <v>4.3</v>
      </c>
      <c r="D46" s="3" t="n">
        <v>4.3</v>
      </c>
      <c r="E46" s="3" t="n">
        <v>4.2</v>
      </c>
      <c r="F46" s="3" t="n">
        <v>4.1</v>
      </c>
      <c r="G46" s="3" t="n">
        <v>4</v>
      </c>
      <c r="H46" s="3" t="n">
        <v>4</v>
      </c>
      <c r="I46" s="3" t="n">
        <v>3.9</v>
      </c>
      <c r="J46" s="3" t="n">
        <v>3.8</v>
      </c>
      <c r="K46" s="3" t="n">
        <v>3.8</v>
      </c>
      <c r="L46" s="3" t="n">
        <v>3.8</v>
      </c>
    </row>
    <row r="47" customFormat="false" ht="15" hidden="false" customHeight="false" outlineLevel="0" collapsed="false">
      <c r="A47" s="0" t="s">
        <v>105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106</v>
      </c>
      <c r="B48" s="3" t="n">
        <v>6.5</v>
      </c>
    </row>
    <row r="49" customFormat="false" ht="15" hidden="false" customHeight="false" outlineLevel="0" collapsed="false">
      <c r="A49" s="0" t="s">
        <v>107</v>
      </c>
      <c r="B49" s="3" t="n">
        <v>1.5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-10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5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0</v>
      </c>
      <c r="G5" s="4" t="n">
        <f aca="false">Assumptions!G13</f>
        <v>-8</v>
      </c>
      <c r="H5" s="4" t="n">
        <f aca="false">Assumptions!H13</f>
        <v>-6</v>
      </c>
      <c r="I5" s="4" t="n">
        <f aca="false">Assumptions!I13</f>
        <v>-1</v>
      </c>
      <c r="J5" s="4" t="n">
        <f aca="false">Assumptions!J13</f>
        <v>0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825378</v>
      </c>
      <c r="C6" s="0" t="n">
        <f aca="false">B6*(1+C5/100)</f>
        <v>866646.9</v>
      </c>
      <c r="D6" s="0" t="n">
        <f aca="false">C6*(1+D5/100)</f>
        <v>892646.307</v>
      </c>
      <c r="E6" s="0" t="n">
        <f aca="false">D6*(1+E5/100)</f>
        <v>910499.23314</v>
      </c>
      <c r="F6" s="0" t="n">
        <f aca="false">E6*(1+F5/100)</f>
        <v>910499.23314</v>
      </c>
      <c r="G6" s="0" t="n">
        <f aca="false">F6*(1+G5/100)</f>
        <v>837659.2944888</v>
      </c>
      <c r="H6" s="0" t="n">
        <f aca="false">G6*(1+H5/100)</f>
        <v>787399.736819472</v>
      </c>
      <c r="I6" s="0" t="n">
        <f aca="false">H6*(1+I5/100)</f>
        <v>779525.739451277</v>
      </c>
      <c r="J6" s="0" t="n">
        <f aca="false">I6*(1+J5/100)</f>
        <v>779525.739451277</v>
      </c>
      <c r="K6" s="0" t="n">
        <f aca="false">J6*(1+K5/100)</f>
        <v>787320.99684579</v>
      </c>
      <c r="L6" s="0" t="n">
        <f aca="false">K6*(1+L5/100)</f>
        <v>795194.206814248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12</v>
      </c>
      <c r="D7" s="4" t="n">
        <f aca="false">Assumptions!D14</f>
        <v>12</v>
      </c>
      <c r="E7" s="4" t="n">
        <f aca="false">Assumptions!E14</f>
        <v>12</v>
      </c>
      <c r="F7" s="4" t="n">
        <f aca="false">Assumptions!F14</f>
        <v>11.5</v>
      </c>
      <c r="G7" s="4" t="n">
        <f aca="false">Assumptions!G14</f>
        <v>10.5</v>
      </c>
      <c r="H7" s="4" t="n">
        <f aca="false">Assumptions!H14</f>
        <v>10</v>
      </c>
      <c r="I7" s="4" t="n">
        <f aca="false">Assumptions!I14</f>
        <v>10.5</v>
      </c>
      <c r="J7" s="4" t="n">
        <f aca="false">Assumptions!J14</f>
        <v>11</v>
      </c>
      <c r="K7" s="4" t="n">
        <f aca="false">Assumptions!K14</f>
        <v>11.5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103997.628</v>
      </c>
      <c r="D8" s="0" t="n">
        <f aca="false">D6*D7/100</f>
        <v>107117.55684</v>
      </c>
      <c r="E8" s="0" t="n">
        <f aca="false">E6*E7/100</f>
        <v>109259.9079768</v>
      </c>
      <c r="F8" s="0" t="n">
        <f aca="false">F6*F7/100</f>
        <v>104707.4118111</v>
      </c>
      <c r="G8" s="0" t="n">
        <f aca="false">G6*G7/100</f>
        <v>87954.225921324</v>
      </c>
      <c r="H8" s="0" t="n">
        <f aca="false">H6*H7/100</f>
        <v>78739.9736819472</v>
      </c>
      <c r="I8" s="0" t="n">
        <f aca="false">I6*I7/100</f>
        <v>81850.2026423841</v>
      </c>
      <c r="J8" s="0" t="n">
        <f aca="false">J6*J7/100</f>
        <v>85747.8313396405</v>
      </c>
      <c r="K8" s="0" t="n">
        <f aca="false">K6*K7/100</f>
        <v>90541.9146372659</v>
      </c>
      <c r="L8" s="0" t="n">
        <f aca="false">L6*L7/100</f>
        <v>95423.3048177098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91864.5714</v>
      </c>
      <c r="D11" s="0" t="n">
        <f aca="false">D8+D10+D24</f>
        <v>94620.508542</v>
      </c>
      <c r="E11" s="0" t="n">
        <f aca="false">E8+E10+E24</f>
        <v>96512.91871284</v>
      </c>
      <c r="F11" s="0" t="n">
        <f aca="false">F8+F10+F24</f>
        <v>91960.42254714</v>
      </c>
      <c r="G11" s="0" t="n">
        <f aca="false">G8+G10+G24</f>
        <v>75389.336503992</v>
      </c>
      <c r="H11" s="0" t="n">
        <f aca="false">H8+H10+H24</f>
        <v>66928.9776296551</v>
      </c>
      <c r="I11" s="0" t="n">
        <f aca="false">I8+I10+I24</f>
        <v>70157.316550615</v>
      </c>
      <c r="J11" s="0" t="n">
        <f aca="false">J8+J10+J24</f>
        <v>74054.9452478713</v>
      </c>
      <c r="K11" s="0" t="n">
        <f aca="false">K8+K10+K24</f>
        <v>78732.099684579</v>
      </c>
      <c r="L11" s="0" t="n">
        <f aca="false">L8+L10+L24</f>
        <v>83495.391715496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-31199.2884</v>
      </c>
      <c r="D12" s="4" t="n">
        <f aca="false">-D6*Assumptions!D17/100</f>
        <v>-32135.267052</v>
      </c>
      <c r="E12" s="4" t="n">
        <f aca="false">-E6*Assumptions!E17/100</f>
        <v>-32777.97239304</v>
      </c>
      <c r="F12" s="4" t="n">
        <f aca="false">-F6*Assumptions!F17/100</f>
        <v>-32777.97239304</v>
      </c>
      <c r="G12" s="4" t="n">
        <f aca="false">-G6*Assumptions!G17/100</f>
        <v>-30993.3938960856</v>
      </c>
      <c r="H12" s="4" t="n">
        <f aca="false">-H6*Assumptions!H17/100</f>
        <v>-29133.7902623205</v>
      </c>
      <c r="I12" s="4" t="n">
        <f aca="false">-I6*Assumptions!I17/100</f>
        <v>-28842.4523596973</v>
      </c>
      <c r="J12" s="4" t="n">
        <f aca="false">-J6*Assumptions!J17/100</f>
        <v>-28062.926620246</v>
      </c>
      <c r="K12" s="4" t="n">
        <f aca="false">-K6*Assumptions!K17/100</f>
        <v>-28343.5558864484</v>
      </c>
      <c r="L12" s="4" t="n">
        <f aca="false">-L6*Assumptions!L17/100</f>
        <v>-28626.9914453129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60665.283</v>
      </c>
      <c r="D13" s="0" t="n">
        <f aca="false">D11+D12</f>
        <v>62485.24149</v>
      </c>
      <c r="E13" s="0" t="n">
        <f aca="false">E11+E12</f>
        <v>63734.9463198</v>
      </c>
      <c r="F13" s="0" t="n">
        <f aca="false">F11+F12</f>
        <v>59182.4501541</v>
      </c>
      <c r="G13" s="0" t="n">
        <f aca="false">G11+G12</f>
        <v>44395.9426079064</v>
      </c>
      <c r="H13" s="0" t="n">
        <f aca="false">H11+H12</f>
        <v>37795.1873673347</v>
      </c>
      <c r="I13" s="0" t="n">
        <f aca="false">I11+I12</f>
        <v>41314.8641909177</v>
      </c>
      <c r="J13" s="0" t="n">
        <f aca="false">J11+J12</f>
        <v>45992.0186276254</v>
      </c>
      <c r="K13" s="0" t="n">
        <f aca="false">K11+K12</f>
        <v>50388.5437981306</v>
      </c>
      <c r="L13" s="0" t="n">
        <f aca="false">L11+L12</f>
        <v>54868.4002701831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43679.00376</v>
      </c>
      <c r="D15" s="0" t="n">
        <f aca="false">D13-MAX(0,D13)*D14/100</f>
        <v>44989.3738728</v>
      </c>
      <c r="E15" s="0" t="n">
        <f aca="false">E13-MAX(0,E13)*E14/100</f>
        <v>45889.161350256</v>
      </c>
      <c r="F15" s="0" t="n">
        <f aca="false">F13-MAX(0,F13)*F14/100</f>
        <v>42611.364110952</v>
      </c>
      <c r="G15" s="0" t="n">
        <f aca="false">G13-MAX(0,G13)*G14/100</f>
        <v>31965.0786776926</v>
      </c>
      <c r="H15" s="0" t="n">
        <f aca="false">H13-MAX(0,H13)*H14/100</f>
        <v>27212.534904481</v>
      </c>
      <c r="I15" s="0" t="n">
        <f aca="false">I13-MAX(0,I13)*I14/100</f>
        <v>29746.7022174607</v>
      </c>
      <c r="J15" s="0" t="n">
        <f aca="false">J13-MAX(0,J13)*J14/100</f>
        <v>33114.2534118903</v>
      </c>
      <c r="K15" s="0" t="n">
        <f aca="false">K13-MAX(0,K13)*K14/100</f>
        <v>36279.751534654</v>
      </c>
      <c r="L15" s="0" t="n">
        <f aca="false">L13-MAX(0,L13)*L14/100</f>
        <v>39505.2481945318</v>
      </c>
    </row>
    <row r="16" customFormat="false" ht="15" hidden="false" customHeight="false" outlineLevel="0" collapsed="false">
      <c r="A16" s="0" t="s">
        <v>121</v>
      </c>
      <c r="C16" s="0" t="n">
        <f aca="false">-C12</f>
        <v>31199.2884</v>
      </c>
      <c r="D16" s="0" t="n">
        <f aca="false">-D12</f>
        <v>32135.267052</v>
      </c>
      <c r="E16" s="0" t="n">
        <f aca="false">-E12</f>
        <v>32777.97239304</v>
      </c>
      <c r="F16" s="0" t="n">
        <f aca="false">-F12</f>
        <v>32777.97239304</v>
      </c>
      <c r="G16" s="0" t="n">
        <f aca="false">-G12</f>
        <v>30993.3938960856</v>
      </c>
      <c r="H16" s="0" t="n">
        <f aca="false">-H12</f>
        <v>29133.7902623205</v>
      </c>
      <c r="I16" s="0" t="n">
        <f aca="false">-I12</f>
        <v>28842.4523596973</v>
      </c>
      <c r="J16" s="0" t="n">
        <f aca="false">-J12</f>
        <v>28062.926620246</v>
      </c>
      <c r="K16" s="0" t="n">
        <f aca="false">-K12</f>
        <v>28343.5558864484</v>
      </c>
      <c r="L16" s="0" t="n">
        <f aca="false">-L12</f>
        <v>28626.9914453129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-37265.8167</v>
      </c>
      <c r="D17" s="4" t="n">
        <f aca="false">-D6*Assumptions!D18/100</f>
        <v>-38383.791201</v>
      </c>
      <c r="E17" s="4" t="n">
        <f aca="false">-E6*Assumptions!E18/100</f>
        <v>-39151.46702502</v>
      </c>
      <c r="F17" s="4" t="n">
        <f aca="false">-F6*Assumptions!F18/100</f>
        <v>-39151.46702502</v>
      </c>
      <c r="G17" s="4" t="n">
        <f aca="false">-G6*Assumptions!G18/100</f>
        <v>-36019.3496630184</v>
      </c>
      <c r="H17" s="4" t="n">
        <f aca="false">-H6*Assumptions!H18/100</f>
        <v>-33070.7889464178</v>
      </c>
      <c r="I17" s="4" t="n">
        <f aca="false">-I6*Assumptions!I18/100</f>
        <v>-32740.0810569537</v>
      </c>
      <c r="J17" s="4" t="n">
        <f aca="false">-J6*Assumptions!J18/100</f>
        <v>-31960.5553175024</v>
      </c>
      <c r="K17" s="4" t="n">
        <f aca="false">-K6*Assumptions!K18/100</f>
        <v>-32280.1608706774</v>
      </c>
      <c r="L17" s="4" t="n">
        <f aca="false">-L6*Assumptions!L18/100</f>
        <v>-31807.7682725699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-4126.89</v>
      </c>
      <c r="D18" s="4" t="n">
        <f aca="false">(D6-C6)*Assumptions!$B$23/100</f>
        <v>-2599.9407</v>
      </c>
      <c r="E18" s="4" t="n">
        <f aca="false">(E6-D6)*Assumptions!$B$23/100</f>
        <v>-1785.292614</v>
      </c>
      <c r="F18" s="4" t="n">
        <f aca="false">(F6-E6)*Assumptions!$B$23/100</f>
        <v>-0</v>
      </c>
      <c r="G18" s="4" t="n">
        <f aca="false">(G6-F6)*Assumptions!$B$23/100</f>
        <v>7283.99386511999</v>
      </c>
      <c r="H18" s="4" t="n">
        <f aca="false">(H6-G6)*Assumptions!$B$23/100</f>
        <v>5025.95576693281</v>
      </c>
      <c r="I18" s="4" t="n">
        <f aca="false">(I6-H6)*Assumptions!$B$23/100</f>
        <v>787.399736819475</v>
      </c>
      <c r="J18" s="4" t="n">
        <f aca="false">(J6-I6)*Assumptions!$B$23/100</f>
        <v>-0</v>
      </c>
      <c r="K18" s="4" t="n">
        <f aca="false">(K6-J6)*Assumptions!$B$23/100</f>
        <v>-779.525739451277</v>
      </c>
      <c r="L18" s="4" t="n">
        <f aca="false">(L6-K6)*Assumptions!$B$23/100</f>
        <v>-787.320996845793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33485.58546</v>
      </c>
      <c r="D19" s="0" t="n">
        <f aca="false">D15+D16+D17+D18</f>
        <v>36140.9090238</v>
      </c>
      <c r="E19" s="0" t="n">
        <f aca="false">E15+E16+E17+E18</f>
        <v>37730.374104276</v>
      </c>
      <c r="F19" s="0" t="n">
        <f aca="false">F15+F16+F17+F18</f>
        <v>36237.869478972</v>
      </c>
      <c r="G19" s="0" t="n">
        <f aca="false">G15+G16+G17+G18</f>
        <v>34223.1167758798</v>
      </c>
      <c r="H19" s="0" t="n">
        <f aca="false">H15+H16+H17+H18</f>
        <v>28301.4919873164</v>
      </c>
      <c r="I19" s="0" t="n">
        <f aca="false">I15+I16+I17+I18</f>
        <v>26636.4732570238</v>
      </c>
      <c r="J19" s="0" t="n">
        <f aca="false">J15+J16+J17+J18</f>
        <v>29216.6247146339</v>
      </c>
      <c r="K19" s="0" t="n">
        <f aca="false">K15+K16+K17+K18</f>
        <v>31563.6208109738</v>
      </c>
      <c r="L19" s="0" t="n">
        <f aca="false">L15+L16+L17+L18</f>
        <v>35537.150370429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31441.8642816902</v>
      </c>
      <c r="D21" s="0" t="n">
        <f aca="false">D19*D20</f>
        <v>31863.9679285856</v>
      </c>
      <c r="E21" s="0" t="n">
        <f aca="false">E19*E20</f>
        <v>31235.0559356116</v>
      </c>
      <c r="F21" s="0" t="n">
        <f aca="false">F19*F20</f>
        <v>28168.5327108375</v>
      </c>
      <c r="G21" s="0" t="n">
        <f aca="false">G19*G20</f>
        <v>24978.7971007335</v>
      </c>
      <c r="H21" s="0" t="n">
        <f aca="false">H19*H20</f>
        <v>19395.978071825</v>
      </c>
      <c r="I21" s="0" t="n">
        <f aca="false">I19*I20</f>
        <v>17140.7360821747</v>
      </c>
      <c r="J21" s="0" t="n">
        <f aca="false">J19*J20</f>
        <v>17653.5958501049</v>
      </c>
      <c r="K21" s="0" t="n">
        <f aca="false">K19*K20</f>
        <v>17907.722149088</v>
      </c>
      <c r="L21" s="0" t="n">
        <f aca="false">L19*L20</f>
        <v>18931.5652305356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1.4</v>
      </c>
      <c r="D23" s="4" t="n">
        <f aca="false">Assumptions!D16</f>
        <v>1.4</v>
      </c>
      <c r="E23" s="4" t="n">
        <f aca="false">Assumptions!E16</f>
        <v>1.4</v>
      </c>
      <c r="F23" s="4" t="n">
        <f aca="false">Assumptions!F16</f>
        <v>1.4</v>
      </c>
      <c r="G23" s="4" t="n">
        <f aca="false">Assumptions!G16</f>
        <v>1.5</v>
      </c>
      <c r="H23" s="4" t="n">
        <f aca="false">Assumptions!H16</f>
        <v>1.5</v>
      </c>
      <c r="I23" s="4" t="n">
        <f aca="false">Assumptions!I16</f>
        <v>1.5</v>
      </c>
      <c r="J23" s="4" t="n">
        <f aca="false">Assumptions!J16</f>
        <v>1.5</v>
      </c>
      <c r="K23" s="4" t="n">
        <f aca="false">Assumptions!K16</f>
        <v>1.5</v>
      </c>
      <c r="L23" s="4" t="n">
        <f aca="false">Assumptions!L16</f>
        <v>1.5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-12133.0566</v>
      </c>
      <c r="D24" s="0" t="n">
        <f aca="false">-D6*D23/100</f>
        <v>-12497.048298</v>
      </c>
      <c r="E24" s="0" t="n">
        <f aca="false">-E6*E23/100</f>
        <v>-12746.98926396</v>
      </c>
      <c r="F24" s="0" t="n">
        <f aca="false">-F6*F23/100</f>
        <v>-12746.98926396</v>
      </c>
      <c r="G24" s="0" t="n">
        <f aca="false">-G6*G23/100</f>
        <v>-12564.889417332</v>
      </c>
      <c r="H24" s="0" t="n">
        <f aca="false">-H6*H23/100</f>
        <v>-11810.9960522921</v>
      </c>
      <c r="I24" s="0" t="n">
        <f aca="false">-I6*I23/100</f>
        <v>-11692.8860917692</v>
      </c>
      <c r="J24" s="0" t="n">
        <f aca="false">-J6*J23/100</f>
        <v>-11692.8860917692</v>
      </c>
      <c r="K24" s="0" t="n">
        <f aca="false">-K6*K23/100</f>
        <v>-11809.8149526869</v>
      </c>
      <c r="L24" s="0" t="n">
        <f aca="false">-L6*L23/100</f>
        <v>-11927.9131022137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238717.815341186</v>
      </c>
    </row>
    <row r="31" customFormat="false" ht="15" hidden="false" customHeight="false" outlineLevel="0" collapsed="false">
      <c r="A31" s="0" t="s">
        <v>130</v>
      </c>
      <c r="B31" s="0" t="n">
        <f aca="false">L19</f>
        <v>35537.150370429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721404.152519709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533057.255556436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533057.255556436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283973.478458033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522691.29379922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576291.29379922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2044.38360282103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-0.595331828420224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2044.38360282103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267186.723155448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1022.34627805591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7.5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3</v>
      </c>
      <c r="G5" s="4" t="n">
        <f aca="false">Assumptions!G27</f>
        <v>-2</v>
      </c>
      <c r="H5" s="4" t="n">
        <f aca="false">Assumptions!H27</f>
        <v>-2</v>
      </c>
      <c r="I5" s="4" t="n">
        <f aca="false">Assumptions!I27</f>
        <v>2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825378</v>
      </c>
      <c r="C6" s="0" t="n">
        <f aca="false">B6*(1+C5/100)</f>
        <v>887281.35</v>
      </c>
      <c r="D6" s="0" t="n">
        <f aca="false">C6*(1+D5/100)</f>
        <v>940518.231</v>
      </c>
      <c r="E6" s="0" t="n">
        <f aca="false">D6*(1+E5/100)</f>
        <v>987544.14255</v>
      </c>
      <c r="F6" s="0" t="n">
        <f aca="false">E6*(1+F5/100)</f>
        <v>1017170.4668265</v>
      </c>
      <c r="G6" s="0" t="n">
        <f aca="false">F6*(1+G5/100)</f>
        <v>996827.05748997</v>
      </c>
      <c r="H6" s="0" t="n">
        <f aca="false">G6*(1+H5/100)</f>
        <v>976890.516340171</v>
      </c>
      <c r="I6" s="0" t="n">
        <f aca="false">H6*(1+I5/100)</f>
        <v>996428.326666974</v>
      </c>
      <c r="J6" s="0" t="n">
        <f aca="false">I6*(1+J5/100)</f>
        <v>1021339.03483365</v>
      </c>
      <c r="K6" s="0" t="n">
        <f aca="false">J6*(1+K5/100)</f>
        <v>1046872.51070449</v>
      </c>
      <c r="L6" s="0" t="n">
        <f aca="false">K6*(1+L5/100)</f>
        <v>1067809.96091858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12.4</v>
      </c>
      <c r="D7" s="4" t="n">
        <f aca="false">Assumptions!D28</f>
        <v>13</v>
      </c>
      <c r="E7" s="4" t="n">
        <f aca="false">Assumptions!E28</f>
        <v>13.5</v>
      </c>
      <c r="F7" s="4" t="n">
        <f aca="false">Assumptions!F28</f>
        <v>13.8</v>
      </c>
      <c r="G7" s="4" t="n">
        <f aca="false">Assumptions!G28</f>
        <v>13.5</v>
      </c>
      <c r="H7" s="4" t="n">
        <f aca="false">Assumptions!H28</f>
        <v>13.5</v>
      </c>
      <c r="I7" s="4" t="n">
        <f aca="false">Assumptions!I28</f>
        <v>14</v>
      </c>
      <c r="J7" s="4" t="n">
        <f aca="false">Assumptions!J28</f>
        <v>14.5</v>
      </c>
      <c r="K7" s="4" t="n">
        <f aca="false">Assumptions!K28</f>
        <v>15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110022.8874</v>
      </c>
      <c r="D8" s="0" t="n">
        <f aca="false">D6*D7/100</f>
        <v>122267.37003</v>
      </c>
      <c r="E8" s="0" t="n">
        <f aca="false">E6*E7/100</f>
        <v>133318.45924425</v>
      </c>
      <c r="F8" s="0" t="n">
        <f aca="false">F6*F7/100</f>
        <v>140369.524422057</v>
      </c>
      <c r="G8" s="0" t="n">
        <f aca="false">G6*G7/100</f>
        <v>134571.652761146</v>
      </c>
      <c r="H8" s="0" t="n">
        <f aca="false">H6*H7/100</f>
        <v>131880.219705923</v>
      </c>
      <c r="I8" s="0" t="n">
        <f aca="false">I6*I7/100</f>
        <v>139499.965733376</v>
      </c>
      <c r="J8" s="0" t="n">
        <f aca="false">J6*J7/100</f>
        <v>148094.160050879</v>
      </c>
      <c r="K8" s="0" t="n">
        <f aca="false">K6*K7/100</f>
        <v>157030.876605673</v>
      </c>
      <c r="L8" s="0" t="n">
        <f aca="false">L6*L7/100</f>
        <v>165510.54394238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97600.9485</v>
      </c>
      <c r="D11" s="0" t="n">
        <f aca="false">D8+D10+D24</f>
        <v>109100.114796</v>
      </c>
      <c r="E11" s="0" t="n">
        <f aca="false">E8+E10+E24</f>
        <v>119492.84124855</v>
      </c>
      <c r="F11" s="0" t="n">
        <f aca="false">F8+F10+F24</f>
        <v>126129.137886486</v>
      </c>
      <c r="G11" s="0" t="n">
        <f aca="false">G8+G10+G24</f>
        <v>120616.073956286</v>
      </c>
      <c r="H11" s="0" t="n">
        <f aca="false">H8+H10+H24</f>
        <v>119180.642993501</v>
      </c>
      <c r="I11" s="0" t="n">
        <f aca="false">I8+I10+I24</f>
        <v>126546.397486706</v>
      </c>
      <c r="J11" s="0" t="n">
        <f aca="false">J8+J10+J24</f>
        <v>134816.752598042</v>
      </c>
      <c r="K11" s="0" t="n">
        <f aca="false">K8+K10+K24</f>
        <v>143421.533966515</v>
      </c>
      <c r="L11" s="0" t="n">
        <f aca="false">L8+L10+L24</f>
        <v>151629.014450438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-31942.1286</v>
      </c>
      <c r="D12" s="4" t="n">
        <f aca="false">-D6*Assumptions!D31/100</f>
        <v>-33858.656316</v>
      </c>
      <c r="E12" s="4" t="n">
        <f aca="false">-E6*Assumptions!E31/100</f>
        <v>-35551.5891318</v>
      </c>
      <c r="F12" s="4" t="n">
        <f aca="false">-F6*Assumptions!F31/100</f>
        <v>-35600.9663389275</v>
      </c>
      <c r="G12" s="4" t="n">
        <f aca="false">-G6*Assumptions!G31/100</f>
        <v>-34888.947012149</v>
      </c>
      <c r="H12" s="4" t="n">
        <f aca="false">-H6*Assumptions!H31/100</f>
        <v>-34191.168071906</v>
      </c>
      <c r="I12" s="4" t="n">
        <f aca="false">-I6*Assumptions!I31/100</f>
        <v>-33878.5631066771</v>
      </c>
      <c r="J12" s="4" t="n">
        <f aca="false">-J6*Assumptions!J31/100</f>
        <v>-34725.527184344</v>
      </c>
      <c r="K12" s="4" t="n">
        <f aca="false">-K6*Assumptions!K31/100</f>
        <v>-35593.6653639526</v>
      </c>
      <c r="L12" s="4" t="n">
        <f aca="false">-L6*Assumptions!L31/100</f>
        <v>-36305.5386712317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65658.8199</v>
      </c>
      <c r="D13" s="0" t="n">
        <f aca="false">D11+D12</f>
        <v>75241.45848</v>
      </c>
      <c r="E13" s="0" t="n">
        <f aca="false">E11+E12</f>
        <v>83941.25211675</v>
      </c>
      <c r="F13" s="0" t="n">
        <f aca="false">F11+F12</f>
        <v>90528.1715475585</v>
      </c>
      <c r="G13" s="0" t="n">
        <f aca="false">G11+G12</f>
        <v>85727.1269441374</v>
      </c>
      <c r="H13" s="0" t="n">
        <f aca="false">H11+H12</f>
        <v>84989.4749215949</v>
      </c>
      <c r="I13" s="0" t="n">
        <f aca="false">I11+I12</f>
        <v>92667.8343800286</v>
      </c>
      <c r="J13" s="0" t="n">
        <f aca="false">J11+J12</f>
        <v>100091.225413698</v>
      </c>
      <c r="K13" s="0" t="n">
        <f aca="false">K11+K12</f>
        <v>107827.868602562</v>
      </c>
      <c r="L13" s="0" t="n">
        <f aca="false">L11+L12</f>
        <v>115323.475779207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47274.350328</v>
      </c>
      <c r="D15" s="0" t="n">
        <f aca="false">D13-MAX(0,D13)*D14/100</f>
        <v>54173.8501056</v>
      </c>
      <c r="E15" s="0" t="n">
        <f aca="false">E13-MAX(0,E13)*E14/100</f>
        <v>60437.70152406</v>
      </c>
      <c r="F15" s="0" t="n">
        <f aca="false">F13-MAX(0,F13)*F14/100</f>
        <v>65180.2835142421</v>
      </c>
      <c r="G15" s="0" t="n">
        <f aca="false">G13-MAX(0,G13)*G14/100</f>
        <v>61723.5313997789</v>
      </c>
      <c r="H15" s="0" t="n">
        <f aca="false">H13-MAX(0,H13)*H14/100</f>
        <v>61192.4219435483</v>
      </c>
      <c r="I15" s="0" t="n">
        <f aca="false">I13-MAX(0,I13)*I14/100</f>
        <v>66720.8407536206</v>
      </c>
      <c r="J15" s="0" t="n">
        <f aca="false">J13-MAX(0,J13)*J14/100</f>
        <v>72065.6822978623</v>
      </c>
      <c r="K15" s="0" t="n">
        <f aca="false">K13-MAX(0,K13)*K14/100</f>
        <v>77636.065393845</v>
      </c>
      <c r="L15" s="0" t="n">
        <f aca="false">L13-MAX(0,L13)*L14/100</f>
        <v>83032.9025610287</v>
      </c>
    </row>
    <row r="16" customFormat="false" ht="15" hidden="false" customHeight="false" outlineLevel="0" collapsed="false">
      <c r="A16" s="0" t="s">
        <v>121</v>
      </c>
      <c r="C16" s="0" t="n">
        <f aca="false">-C12</f>
        <v>31942.1286</v>
      </c>
      <c r="D16" s="0" t="n">
        <f aca="false">-D12</f>
        <v>33858.656316</v>
      </c>
      <c r="E16" s="0" t="n">
        <f aca="false">-E12</f>
        <v>35551.5891318</v>
      </c>
      <c r="F16" s="0" t="n">
        <f aca="false">-F12</f>
        <v>35600.9663389275</v>
      </c>
      <c r="G16" s="0" t="n">
        <f aca="false">-G12</f>
        <v>34888.947012149</v>
      </c>
      <c r="H16" s="0" t="n">
        <f aca="false">-H12</f>
        <v>34191.168071906</v>
      </c>
      <c r="I16" s="0" t="n">
        <f aca="false">-I12</f>
        <v>33878.5631066771</v>
      </c>
      <c r="J16" s="0" t="n">
        <f aca="false">-J12</f>
        <v>34725.527184344</v>
      </c>
      <c r="K16" s="0" t="n">
        <f aca="false">-K12</f>
        <v>35593.6653639526</v>
      </c>
      <c r="L16" s="0" t="n">
        <f aca="false">-L12</f>
        <v>36305.5386712317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-38153.09805</v>
      </c>
      <c r="D17" s="4" t="n">
        <f aca="false">-D6*Assumptions!D32/100</f>
        <v>-40442.283933</v>
      </c>
      <c r="E17" s="4" t="n">
        <f aca="false">-E6*Assumptions!E32/100</f>
        <v>-42464.39812965</v>
      </c>
      <c r="F17" s="4" t="n">
        <f aca="false">-F6*Assumptions!F32/100</f>
        <v>-42721.159606713</v>
      </c>
      <c r="G17" s="4" t="n">
        <f aca="false">-G6*Assumptions!G32/100</f>
        <v>-41866.7364145788</v>
      </c>
      <c r="H17" s="4" t="n">
        <f aca="false">-H6*Assumptions!H32/100</f>
        <v>-40052.511169947</v>
      </c>
      <c r="I17" s="4" t="n">
        <f aca="false">-I6*Assumptions!I32/100</f>
        <v>-39857.133066679</v>
      </c>
      <c r="J17" s="4" t="n">
        <f aca="false">-J6*Assumptions!J32/100</f>
        <v>-40853.5613933459</v>
      </c>
      <c r="K17" s="4" t="n">
        <f aca="false">-K6*Assumptions!K32/100</f>
        <v>-41874.9004281796</v>
      </c>
      <c r="L17" s="4" t="n">
        <f aca="false">-L6*Assumptions!L32/100</f>
        <v>-42712.3984367432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-6190.335</v>
      </c>
      <c r="D18" s="4" t="n">
        <f aca="false">(D6-C6)*Assumptions!$B$37/100</f>
        <v>-5323.68810000001</v>
      </c>
      <c r="E18" s="4" t="n">
        <f aca="false">(E6-D6)*Assumptions!$B$37/100</f>
        <v>-4702.59115500001</v>
      </c>
      <c r="F18" s="4" t="n">
        <f aca="false">(F6-E6)*Assumptions!$B$37/100</f>
        <v>-2962.63242765</v>
      </c>
      <c r="G18" s="4" t="n">
        <f aca="false">(G6-F6)*Assumptions!$B$37/100</f>
        <v>2034.340933653</v>
      </c>
      <c r="H18" s="4" t="n">
        <f aca="false">(H6-G6)*Assumptions!$B$37/100</f>
        <v>1993.65411497994</v>
      </c>
      <c r="I18" s="4" t="n">
        <f aca="false">(I6-H6)*Assumptions!$B$37/100</f>
        <v>-1953.78103268035</v>
      </c>
      <c r="J18" s="4" t="n">
        <f aca="false">(J6-I6)*Assumptions!$B$37/100</f>
        <v>-2491.07081666742</v>
      </c>
      <c r="K18" s="4" t="n">
        <f aca="false">(K6-J6)*Assumptions!$B$37/100</f>
        <v>-2553.34758708411</v>
      </c>
      <c r="L18" s="4" t="n">
        <f aca="false">(L6-K6)*Assumptions!$B$37/100</f>
        <v>-2093.74502140897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34873.045878</v>
      </c>
      <c r="D19" s="0" t="n">
        <f aca="false">D15+D16+D17+D18</f>
        <v>42266.5343886</v>
      </c>
      <c r="E19" s="0" t="n">
        <f aca="false">E15+E16+E17+E18</f>
        <v>48822.30137121</v>
      </c>
      <c r="F19" s="0" t="n">
        <f aca="false">F15+F16+F17+F18</f>
        <v>55097.4578188066</v>
      </c>
      <c r="G19" s="0" t="n">
        <f aca="false">G15+G16+G17+G18</f>
        <v>56780.0829310021</v>
      </c>
      <c r="H19" s="0" t="n">
        <f aca="false">H15+H16+H17+H18</f>
        <v>57324.7329604872</v>
      </c>
      <c r="I19" s="0" t="n">
        <f aca="false">I15+I16+I17+I18</f>
        <v>58788.4897609384</v>
      </c>
      <c r="J19" s="0" t="n">
        <f aca="false">J15+J16+J17+J18</f>
        <v>63446.5772721929</v>
      </c>
      <c r="K19" s="0" t="n">
        <f aca="false">K15+K16+K17+K18</f>
        <v>68801.4827425339</v>
      </c>
      <c r="L19" s="0" t="n">
        <f aca="false">L15+L16+L17+L18</f>
        <v>74532.2977741083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32744.6440169014</v>
      </c>
      <c r="D21" s="0" t="n">
        <f aca="false">D19*D20</f>
        <v>37264.682394234</v>
      </c>
      <c r="E21" s="0" t="n">
        <f aca="false">E19*E20</f>
        <v>40417.4978498876</v>
      </c>
      <c r="F21" s="0" t="n">
        <f aca="false">F19*F20</f>
        <v>42828.5262121616</v>
      </c>
      <c r="G21" s="0" t="n">
        <f aca="false">G19*G20</f>
        <v>41442.694427409</v>
      </c>
      <c r="H21" s="0" t="n">
        <f aca="false">H19*H20</f>
        <v>39286.5953488646</v>
      </c>
      <c r="I21" s="0" t="n">
        <f aca="false">I19*I20</f>
        <v>37830.7585219135</v>
      </c>
      <c r="J21" s="0" t="n">
        <f aca="false">J19*J20</f>
        <v>38336.4007367605</v>
      </c>
      <c r="K21" s="0" t="n">
        <f aca="false">K19*K20</f>
        <v>39034.7433134228</v>
      </c>
      <c r="L21" s="0" t="n">
        <f aca="false">L19*L20</f>
        <v>39705.2955114362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1.4</v>
      </c>
      <c r="D23" s="4" t="n">
        <f aca="false">Assumptions!D30</f>
        <v>1.4</v>
      </c>
      <c r="E23" s="4" t="n">
        <f aca="false">Assumptions!E30</f>
        <v>1.4</v>
      </c>
      <c r="F23" s="4" t="n">
        <f aca="false">Assumptions!F30</f>
        <v>1.4</v>
      </c>
      <c r="G23" s="4" t="n">
        <f aca="false">Assumptions!G30</f>
        <v>1.4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-12421.9389</v>
      </c>
      <c r="D24" s="0" t="n">
        <f aca="false">-D6*D23/100</f>
        <v>-13167.255234</v>
      </c>
      <c r="E24" s="0" t="n">
        <f aca="false">-E6*E23/100</f>
        <v>-13825.6179957</v>
      </c>
      <c r="F24" s="0" t="n">
        <f aca="false">-F6*F23/100</f>
        <v>-14240.386535571</v>
      </c>
      <c r="G24" s="0" t="n">
        <f aca="false">-G6*G23/100</f>
        <v>-13955.5788048596</v>
      </c>
      <c r="H24" s="0" t="n">
        <f aca="false">-H6*H23/100</f>
        <v>-12699.5767124222</v>
      </c>
      <c r="I24" s="0" t="n">
        <f aca="false">-I6*I23/100</f>
        <v>-12953.5682466707</v>
      </c>
      <c r="J24" s="0" t="n">
        <f aca="false">-J6*J23/100</f>
        <v>-13277.4074528374</v>
      </c>
      <c r="K24" s="0" t="n">
        <f aca="false">-K6*K23/100</f>
        <v>-13609.3426391584</v>
      </c>
      <c r="L24" s="0" t="n">
        <f aca="false">-L6*L23/100</f>
        <v>-13881.5294919415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388891.838332991</v>
      </c>
    </row>
    <row r="31" customFormat="false" ht="15" hidden="false" customHeight="false" outlineLevel="0" collapsed="false">
      <c r="A31" s="0" t="s">
        <v>130</v>
      </c>
      <c r="B31" s="0" t="n">
        <f aca="false">L19</f>
        <v>74532.2977741083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1513005.6448144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1117984.46661162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1117984.46661162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595579.432671544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984471.271004535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1038071.27100453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3682.5402497589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-0.271072793001011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3682.5402497589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560372.46104237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1602.88891911763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1</v>
      </c>
      <c r="H5" s="4" t="n">
        <f aca="false">Assumptions!H41</f>
        <v>1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825378</v>
      </c>
      <c r="C6" s="0" t="n">
        <f aca="false">B6*(1+C5/100)</f>
        <v>899662.02</v>
      </c>
      <c r="D6" s="0" t="n">
        <f aca="false">C6*(1+D5/100)</f>
        <v>971634.9816</v>
      </c>
      <c r="E6" s="0" t="n">
        <f aca="false">D6*(1+E5/100)</f>
        <v>1039649.430312</v>
      </c>
      <c r="F6" s="0" t="n">
        <f aca="false">E6*(1+F5/100)</f>
        <v>1091631.9018276</v>
      </c>
      <c r="G6" s="0" t="n">
        <f aca="false">F6*(1+G5/100)</f>
        <v>1102548.22084588</v>
      </c>
      <c r="H6" s="0" t="n">
        <f aca="false">G6*(1+H5/100)</f>
        <v>1113573.70305433</v>
      </c>
      <c r="I6" s="0" t="n">
        <f aca="false">H6*(1+I5/100)</f>
        <v>1158116.65117651</v>
      </c>
      <c r="J6" s="0" t="n">
        <f aca="false">I6*(1+J5/100)</f>
        <v>1204441.31722357</v>
      </c>
      <c r="K6" s="0" t="n">
        <f aca="false">J6*(1+K5/100)</f>
        <v>1246596.76332639</v>
      </c>
      <c r="L6" s="0" t="n">
        <f aca="false">K6*(1+L5/100)</f>
        <v>1283994.66622619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12.8</v>
      </c>
      <c r="D7" s="4" t="n">
        <f aca="false">Assumptions!D42</f>
        <v>14</v>
      </c>
      <c r="E7" s="4" t="n">
        <f aca="false">Assumptions!E42</f>
        <v>15</v>
      </c>
      <c r="F7" s="4" t="n">
        <f aca="false">Assumptions!F42</f>
        <v>16</v>
      </c>
      <c r="G7" s="4" t="n">
        <f aca="false">Assumptions!G42</f>
        <v>16.5</v>
      </c>
      <c r="H7" s="4" t="n">
        <f aca="false">Assumptions!H42</f>
        <v>17</v>
      </c>
      <c r="I7" s="4" t="n">
        <f aca="false">Assumptions!I42</f>
        <v>17.5</v>
      </c>
      <c r="J7" s="4" t="n">
        <f aca="false">Assumptions!J42</f>
        <v>18</v>
      </c>
      <c r="K7" s="4" t="n">
        <f aca="false">Assumptions!K42</f>
        <v>18.5</v>
      </c>
      <c r="L7" s="4" t="n">
        <f aca="false">Assumptions!L42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115156.73856</v>
      </c>
      <c r="D8" s="0" t="n">
        <f aca="false">D6*D7/100</f>
        <v>136028.897424</v>
      </c>
      <c r="E8" s="0" t="n">
        <f aca="false">E6*E7/100</f>
        <v>155947.4145468</v>
      </c>
      <c r="F8" s="0" t="n">
        <f aca="false">F6*F7/100</f>
        <v>174661.104292416</v>
      </c>
      <c r="G8" s="0" t="n">
        <f aca="false">G6*G7/100</f>
        <v>181920.45643957</v>
      </c>
      <c r="H8" s="0" t="n">
        <f aca="false">H6*H7/100</f>
        <v>189307.529519237</v>
      </c>
      <c r="I8" s="0" t="n">
        <f aca="false">I6*I7/100</f>
        <v>202670.413955889</v>
      </c>
      <c r="J8" s="0" t="n">
        <f aca="false">J6*J7/100</f>
        <v>216799.437100242</v>
      </c>
      <c r="K8" s="0" t="n">
        <f aca="false">K6*K7/100</f>
        <v>230620.401215383</v>
      </c>
      <c r="L8" s="0" t="n">
        <f aca="false">L6*L7/100</f>
        <v>243958.986582975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102561.47028</v>
      </c>
      <c r="D11" s="0" t="n">
        <f aca="false">D8+D10+D24</f>
        <v>122426.0076816</v>
      </c>
      <c r="E11" s="0" t="n">
        <f aca="false">E8+E10+E24</f>
        <v>141392.322522432</v>
      </c>
      <c r="F11" s="0" t="n">
        <f aca="false">F8+F10+F24</f>
        <v>160469.889568657</v>
      </c>
      <c r="G11" s="0" t="n">
        <f aca="false">G8+G10+G24</f>
        <v>167587.329568573</v>
      </c>
      <c r="H11" s="0" t="n">
        <f aca="false">H8+H10+H24</f>
        <v>174831.071379531</v>
      </c>
      <c r="I11" s="0" t="n">
        <f aca="false">I8+I10+I24</f>
        <v>187614.897490594</v>
      </c>
      <c r="J11" s="0" t="n">
        <f aca="false">J8+J10+J24</f>
        <v>202346.141293559</v>
      </c>
      <c r="K11" s="0" t="n">
        <f aca="false">K8+K10+K24</f>
        <v>215661.240055466</v>
      </c>
      <c r="L11" s="0" t="n">
        <f aca="false">L8+L10+L24</f>
        <v>228551.050588261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-32387.83272</v>
      </c>
      <c r="D12" s="4" t="n">
        <f aca="false">-D6*Assumptions!D45/100</f>
        <v>-34978.8593376</v>
      </c>
      <c r="E12" s="4" t="n">
        <f aca="false">-E6*Assumptions!E45/100</f>
        <v>-36387.73006092</v>
      </c>
      <c r="F12" s="4" t="n">
        <f aca="false">-F6*Assumptions!F45/100</f>
        <v>-38207.116563966</v>
      </c>
      <c r="G12" s="4" t="n">
        <f aca="false">-G6*Assumptions!G45/100</f>
        <v>-37486.6395087598</v>
      </c>
      <c r="H12" s="4" t="n">
        <f aca="false">-H6*Assumptions!H45/100</f>
        <v>-37861.5059038474</v>
      </c>
      <c r="I12" s="4" t="n">
        <f aca="false">-I6*Assumptions!I45/100</f>
        <v>-38217.8494888248</v>
      </c>
      <c r="J12" s="4" t="n">
        <f aca="false">-J6*Assumptions!J45/100</f>
        <v>-39746.5634683778</v>
      </c>
      <c r="K12" s="4" t="n">
        <f aca="false">-K6*Assumptions!K45/100</f>
        <v>-41137.693189771</v>
      </c>
      <c r="L12" s="4" t="n">
        <f aca="false">-L6*Assumptions!L45/100</f>
        <v>-42371.8239854641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70173.63756</v>
      </c>
      <c r="D13" s="0" t="n">
        <f aca="false">D11+D12</f>
        <v>87447.148344</v>
      </c>
      <c r="E13" s="0" t="n">
        <f aca="false">E11+E12</f>
        <v>105004.592461512</v>
      </c>
      <c r="F13" s="0" t="n">
        <f aca="false">F11+F12</f>
        <v>122262.773004691</v>
      </c>
      <c r="G13" s="0" t="n">
        <f aca="false">G11+G12</f>
        <v>130100.690059813</v>
      </c>
      <c r="H13" s="0" t="n">
        <f aca="false">H11+H12</f>
        <v>136969.565475683</v>
      </c>
      <c r="I13" s="0" t="n">
        <f aca="false">I11+I12</f>
        <v>149397.04800177</v>
      </c>
      <c r="J13" s="0" t="n">
        <f aca="false">J11+J12</f>
        <v>162599.577825182</v>
      </c>
      <c r="K13" s="0" t="n">
        <f aca="false">K11+K12</f>
        <v>174523.546865695</v>
      </c>
      <c r="L13" s="0" t="n">
        <f aca="false">L11+L12</f>
        <v>186179.226602797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50525.0190432</v>
      </c>
      <c r="D15" s="0" t="n">
        <f aca="false">D13-MAX(0,D13)*D14/100</f>
        <v>62961.94680768</v>
      </c>
      <c r="E15" s="0" t="n">
        <f aca="false">E13-MAX(0,E13)*E14/100</f>
        <v>75603.3065722887</v>
      </c>
      <c r="F15" s="0" t="n">
        <f aca="false">F13-MAX(0,F13)*F14/100</f>
        <v>88029.1965633777</v>
      </c>
      <c r="G15" s="0" t="n">
        <f aca="false">G13-MAX(0,G13)*G14/100</f>
        <v>93672.4968430657</v>
      </c>
      <c r="H15" s="0" t="n">
        <f aca="false">H13-MAX(0,H13)*H14/100</f>
        <v>98618.0871424919</v>
      </c>
      <c r="I15" s="0" t="n">
        <f aca="false">I13-MAX(0,I13)*I14/100</f>
        <v>107565.874561274</v>
      </c>
      <c r="J15" s="0" t="n">
        <f aca="false">J13-MAX(0,J13)*J14/100</f>
        <v>117071.696034131</v>
      </c>
      <c r="K15" s="0" t="n">
        <f aca="false">K13-MAX(0,K13)*K14/100</f>
        <v>125656.9537433</v>
      </c>
      <c r="L15" s="0" t="n">
        <f aca="false">L13-MAX(0,L13)*L14/100</f>
        <v>134049.043154014</v>
      </c>
    </row>
    <row r="16" customFormat="false" ht="15" hidden="false" customHeight="false" outlineLevel="0" collapsed="false">
      <c r="A16" s="0" t="s">
        <v>121</v>
      </c>
      <c r="C16" s="0" t="n">
        <f aca="false">-C12</f>
        <v>32387.83272</v>
      </c>
      <c r="D16" s="0" t="n">
        <f aca="false">-D12</f>
        <v>34978.8593376</v>
      </c>
      <c r="E16" s="0" t="n">
        <f aca="false">-E12</f>
        <v>36387.73006092</v>
      </c>
      <c r="F16" s="0" t="n">
        <f aca="false">-F12</f>
        <v>38207.116563966</v>
      </c>
      <c r="G16" s="0" t="n">
        <f aca="false">-G12</f>
        <v>37486.6395087598</v>
      </c>
      <c r="H16" s="0" t="n">
        <f aca="false">-H12</f>
        <v>37861.5059038474</v>
      </c>
      <c r="I16" s="0" t="n">
        <f aca="false">-I12</f>
        <v>38217.8494888248</v>
      </c>
      <c r="J16" s="0" t="n">
        <f aca="false">-J12</f>
        <v>39746.5634683778</v>
      </c>
      <c r="K16" s="0" t="n">
        <f aca="false">-K12</f>
        <v>41137.693189771</v>
      </c>
      <c r="L16" s="0" t="n">
        <f aca="false">-L12</f>
        <v>42371.8239854641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-38685.46686</v>
      </c>
      <c r="D17" s="4" t="n">
        <f aca="false">-D6*Assumptions!D46/100</f>
        <v>-41780.3042088</v>
      </c>
      <c r="E17" s="4" t="n">
        <f aca="false">-E6*Assumptions!E46/100</f>
        <v>-43665.276073104</v>
      </c>
      <c r="F17" s="4" t="n">
        <f aca="false">-F6*Assumptions!F46/100</f>
        <v>-44756.9079749316</v>
      </c>
      <c r="G17" s="4" t="n">
        <f aca="false">-G6*Assumptions!G46/100</f>
        <v>-44101.928833835</v>
      </c>
      <c r="H17" s="4" t="n">
        <f aca="false">-H6*Assumptions!H46/100</f>
        <v>-44542.9481221734</v>
      </c>
      <c r="I17" s="4" t="n">
        <f aca="false">-I6*Assumptions!I46/100</f>
        <v>-45166.5493958838</v>
      </c>
      <c r="J17" s="4" t="n">
        <f aca="false">-J6*Assumptions!J46/100</f>
        <v>-45768.7700544956</v>
      </c>
      <c r="K17" s="4" t="n">
        <f aca="false">-K6*Assumptions!K46/100</f>
        <v>-47370.6770064029</v>
      </c>
      <c r="L17" s="4" t="n">
        <f aca="false">-L6*Assumptions!L46/100</f>
        <v>-48791.797316595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-7428.402</v>
      </c>
      <c r="D18" s="4" t="n">
        <f aca="false">(D6-C6)*Assumptions!$B$51/100</f>
        <v>-7197.29616</v>
      </c>
      <c r="E18" s="4" t="n">
        <f aca="false">(E6-D6)*Assumptions!$B$51/100</f>
        <v>-6801.4448712</v>
      </c>
      <c r="F18" s="4" t="n">
        <f aca="false">(F6-E6)*Assumptions!$B$51/100</f>
        <v>-5198.24715156</v>
      </c>
      <c r="G18" s="4" t="n">
        <f aca="false">(G6-F6)*Assumptions!$B$51/100</f>
        <v>-1091.63190182759</v>
      </c>
      <c r="H18" s="4" t="n">
        <f aca="false">(H6-G6)*Assumptions!$B$51/100</f>
        <v>-1102.54822084587</v>
      </c>
      <c r="I18" s="4" t="n">
        <f aca="false">(I6-H6)*Assumptions!$B$51/100</f>
        <v>-4454.29481221733</v>
      </c>
      <c r="J18" s="4" t="n">
        <f aca="false">(J6-I6)*Assumptions!$B$51/100</f>
        <v>-4632.46660470604</v>
      </c>
      <c r="K18" s="4" t="n">
        <f aca="false">(K6-J6)*Assumptions!$B$51/100</f>
        <v>-4215.54461028248</v>
      </c>
      <c r="L18" s="4" t="n">
        <f aca="false">(L6-K6)*Assumptions!$B$51/100</f>
        <v>-3739.79028997917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36798.9829032</v>
      </c>
      <c r="D19" s="0" t="n">
        <f aca="false">D15+D16+D17+D18</f>
        <v>48963.20577648</v>
      </c>
      <c r="E19" s="0" t="n">
        <f aca="false">E15+E16+E17+E18</f>
        <v>61524.3156889047</v>
      </c>
      <c r="F19" s="0" t="n">
        <f aca="false">F15+F16+F17+F18</f>
        <v>76281.1580008521</v>
      </c>
      <c r="G19" s="0" t="n">
        <f aca="false">G15+G16+G17+G18</f>
        <v>85965.5756161628</v>
      </c>
      <c r="H19" s="0" t="n">
        <f aca="false">H15+H16+H17+H18</f>
        <v>90834.09670332</v>
      </c>
      <c r="I19" s="0" t="n">
        <f aca="false">I15+I16+I17+I18</f>
        <v>96162.8798419977</v>
      </c>
      <c r="J19" s="0" t="n">
        <f aca="false">J15+J16+J17+J18</f>
        <v>106417.022843307</v>
      </c>
      <c r="K19" s="0" t="n">
        <f aca="false">K15+K16+K17+K18</f>
        <v>115208.425316386</v>
      </c>
      <c r="L19" s="0" t="n">
        <f aca="false">L15+L16+L17+L18</f>
        <v>123889.279532904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34553.0355898592</v>
      </c>
      <c r="D21" s="0" t="n">
        <f aca="false">D19*D20</f>
        <v>43168.8648870198</v>
      </c>
      <c r="E21" s="0" t="n">
        <f aca="false">E19*E20</f>
        <v>50932.8488668595</v>
      </c>
      <c r="F21" s="0" t="n">
        <f aca="false">F19*F20</f>
        <v>59295.1055142582</v>
      </c>
      <c r="G21" s="0" t="n">
        <f aca="false">G19*G20</f>
        <v>62744.6262427303</v>
      </c>
      <c r="H21" s="0" t="n">
        <f aca="false">H19*H20</f>
        <v>62251.7056210747</v>
      </c>
      <c r="I21" s="0" t="n">
        <f aca="false">I19*I20</f>
        <v>61881.4108147337</v>
      </c>
      <c r="J21" s="0" t="n">
        <f aca="false">J19*J20</f>
        <v>64300.4840975404</v>
      </c>
      <c r="K21" s="0" t="n">
        <f aca="false">K19*K20</f>
        <v>65363.8719763897</v>
      </c>
      <c r="L21" s="0" t="n">
        <f aca="false">L19*L20</f>
        <v>65999.0447290583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1.4</v>
      </c>
      <c r="D23" s="4" t="n">
        <f aca="false">Assumptions!D44</f>
        <v>1.4</v>
      </c>
      <c r="E23" s="4" t="n">
        <f aca="false">Assumptions!E44</f>
        <v>1.4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1.2</v>
      </c>
      <c r="K23" s="4" t="n">
        <f aca="false">Assumptions!K44</f>
        <v>1.2</v>
      </c>
      <c r="L23" s="4" t="n">
        <f aca="false">Assumptions!L44</f>
        <v>1.2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-12595.26828</v>
      </c>
      <c r="D24" s="0" t="n">
        <f aca="false">-D6*D23/100</f>
        <v>-13602.8897424</v>
      </c>
      <c r="E24" s="0" t="n">
        <f aca="false">-E6*E23/100</f>
        <v>-14555.092024368</v>
      </c>
      <c r="F24" s="0" t="n">
        <f aca="false">-F6*F23/100</f>
        <v>-14191.2147237588</v>
      </c>
      <c r="G24" s="0" t="n">
        <f aca="false">-G6*G23/100</f>
        <v>-14333.1268709964</v>
      </c>
      <c r="H24" s="0" t="n">
        <f aca="false">-H6*H23/100</f>
        <v>-14476.4581397064</v>
      </c>
      <c r="I24" s="0" t="n">
        <f aca="false">-I6*I23/100</f>
        <v>-15055.5164652946</v>
      </c>
      <c r="J24" s="0" t="n">
        <f aca="false">-J6*J23/100</f>
        <v>-14453.2958066828</v>
      </c>
      <c r="K24" s="0" t="n">
        <f aca="false">-K6*K23/100</f>
        <v>-14959.1611599167</v>
      </c>
      <c r="L24" s="0" t="n">
        <f aca="false">-L6*L23/100</f>
        <v>-15407.9359947142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570490.998339524</v>
      </c>
    </row>
    <row r="31" customFormat="false" ht="15" hidden="false" customHeight="false" outlineLevel="0" collapsed="false">
      <c r="A31" s="0" t="s">
        <v>130</v>
      </c>
      <c r="B31" s="0" t="n">
        <f aca="false">L19</f>
        <v>123889.279532904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2514952.37451794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1858339.19299355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1858339.19299355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989985.670935875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1560476.6692754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1614076.6692754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5725.90964303593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0.133394624512259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5725.90964303593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931463.842414053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2317.41253133275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2044.38360282103</v>
      </c>
      <c r="C4" s="0" t="n">
        <f aca="false">B4/Assumptions!$B$2-1</f>
        <v>-0.595331828420224</v>
      </c>
      <c r="D4" s="4" t="n">
        <f aca="false">Assumptions!$B$24</f>
        <v>0.25</v>
      </c>
      <c r="E4" s="4" t="n">
        <f aca="false">DCF_Bear!$B$43</f>
        <v>2044.38360282103</v>
      </c>
      <c r="F4" s="4" t="n">
        <f aca="false">DCF_Bear!$B$47</f>
        <v>1022.34627805591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3682.5402497589</v>
      </c>
      <c r="C5" s="0" t="n">
        <f aca="false">B5/Assumptions!$B$2-1</f>
        <v>-0.271072793001011</v>
      </c>
      <c r="D5" s="4" t="n">
        <f aca="false">Assumptions!$B$38</f>
        <v>0.5</v>
      </c>
      <c r="E5" s="4" t="n">
        <f aca="false">DCF_Base!$B$43</f>
        <v>3682.5402497589</v>
      </c>
      <c r="F5" s="4" t="n">
        <f aca="false">DCF_Base!$B$47</f>
        <v>1602.88891911763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5725.90964303593</v>
      </c>
      <c r="C6" s="0" t="n">
        <f aca="false">B6/Assumptions!$B$2-1</f>
        <v>0.133394624512259</v>
      </c>
      <c r="D6" s="4" t="n">
        <f aca="false">Assumptions!$B$52</f>
        <v>0.25</v>
      </c>
      <c r="E6" s="4" t="n">
        <f aca="false">DCF_Bull!$B$43</f>
        <v>5725.90964303593</v>
      </c>
      <c r="F6" s="4" t="n">
        <f aca="false">DCF_Bull!$B$47</f>
        <v>2317.41253133275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3783.84343634369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3783.84343634369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-0.335150379499245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1636.38416190598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3682.5402497589</v>
      </c>
      <c r="C15" s="3" t="n">
        <v>6.5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2916.81297475366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2564.74568330893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2288.4897805132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2066.26432328566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1602.88891911763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4279.15023768172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4279.15023768172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4279.15023768172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4279.15023768172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4279.15023768172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3966.39261453255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3966.39261453255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3966.39261453255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3966.39261453255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3966.39261453255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3682.5402497589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3682.5402497589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3682.5402497589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3682.5402497589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3682.5402497589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3342.14219914239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3424.61194800116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3424.61194800116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3424.61194800116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3424.61194800116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2904.9171633692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3010.65147715685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3131.49069291417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3189.96128118384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3189.96128118384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2026-10-31T03:45:01Z</dcterms:created>
  <dc:creator>openpyxl</dc:creator>
  <dc:description/>
  <dc:language>en-NZ</dc:language>
  <cp:lastModifiedBy/>
  <dcterms:modified xsi:type="dcterms:W3CDTF">2026-10-31T03:45:01Z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