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<sst xmlns="http://schemas.openxmlformats.org/spreadsheetml/2006/main" count="354" uniqueCount="164">
  <si>
    <t xml:space="preserve">Ticker</t>
  </si>
  <si>
    <t xml:space="preserve">3808.HK</t>
  </si>
  <si>
    <t xml:space="preserve">Company</t>
  </si>
  <si>
    <t xml:space="preserve">Sinotruk (Hong Kong) Limited</t>
  </si>
  <si>
    <t xml:space="preserve">Valuation date</t>
  </si>
  <si>
    <t xml:space="preserve">2026-10-23</t>
  </si>
  <si>
    <t xml:space="preserve">Current price</t>
  </si>
  <si>
    <t xml:space="preserve">Price as of</t>
  </si>
  <si>
    <t xml:space="preserve">2026-10-22T08:08:34Z regular session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</si>
  <si>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</si>
  <si>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</si>
  <si>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</si>
  <si>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</si>
  <si>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</si>
  <si>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</si>
  <si>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</si>
  <si>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</si>
  <si>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</si>
  <si>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</si>
  <si>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</si>
  <si>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</si>
  <si>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</si>
  <si>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2026-10-22T13:08:33Z</t>
  </si>
  <si>
    <t xml:space="preserve">Drivers file</t>
  </si>
  <si>
    <t xml:space="preserve">3808.HK_Drivers.json</t>
  </si>
  <si>
    <t xml:space="preserve">Convention</t>
  </si>
  <si>
    <t xml:space="preserve">Percents stored as percents; formulas divide by 100. Blue = input, green = link, black = formula.</t>
  </si>
  <si>
    <t xml:space="preserve">Methodology</t>
  </si>
  <si>
    <t xml:space="preserve">summary: A cyclical OEM at a cycle high should be valued on mid-cycle flows with the cycle inside the base path, not on the FY2026 run-rate. Sinotruk's value is roughly one-third balance sheet (net cash plus associates less NCI, ~RMB8/share) and two-thirds a mid-cycle owner FCF stream of ~RMB8-9bn capped at 13x. The house basis expenses SBC (immaterial here) and strips finance income against the cash it is earned on. The current price implies the market is paying roughly the bear case, i.e. it is pricing a 2027 downturn plus a structural SOE/cyclical discount. No-re-rate memo: if the terminal is instead capped at ~7x EBITDA (the top half of the stock's own 3-9x range over the last cycle), the base value is ~RMB4/share (~HK$4.5) lower; the gap is the price of the re-rating thesis.
key_risks_to_valuation: Cycle timing: base assumes the downturn starts in 2028; if it starts in 2027 at bear depth, value converges on the bear case; Working-capital structure: RMB80.6bn trade and bills payables (242 days) fund RMB75bn of receivables, financing receivables and inventory; a forced shortening of payment terms would consume a large share of the RMB30bn cash pile that the bridge treats as surplus; Captive finance book (RMB23.8bn net financing receivables, &lt;80k borrowers) credit losses in a downturn; impairment allowance RMB716m; Policy dependence: China IV-and-below scrappage subsidy and NEV incentives drove the FY2025-26 domestic recovery; Export concentration in Africa, Middle East, CIS, Latin America: FX losses already cost 1.5pp of HDT segment margin in H1 FY2026; tariffs and counterparty risk; Tax: HNTE 15% rate and R&amp;D super-deduction versus 25% statutory; bear ramps cash tax to 20%; Governance: SOE parent (SDHi/CNHTC) connected transactions, MAN/TRATON stake reduced from ~25% toward ~20%; FX bridge: HKD value moves 1:1 with CNY/HKD; a 5% RMB depreciation is ~5% off the HKD IV</t>
  </si>
  <si>
    <t xml:space="preserve">Data sources</t>
  </si>
  <si>
    <t xml:space="preserve">price: Yahoo Finance chart API at inputs.price_as_of; 52-week range 23.82-48.40 HKD. FX from Yahoo CNYHKD=X on the same date.
financials: 3808.HK_Metrics.csv (core_metrics, FY2018-FY2025 annual + H1 FY2024-H1 FY2026 interims, RMB millions); FY2025 annual report and H1 FY2026 interim report text in research/3808.HK/Extracted/ for balance-sheet anchors (cash note 16, borrowings, NCI, associates, diluted share count) and the income statement (operating profit, finance income, tax).
qualitative: 3808.HK_Analysis.json (2026-10-23): guidance (HDT exports 200-220k units FY2026, ~RMB125.5bn revenue and ~8.5% pre-tax margin per third-party reporting), bull/bear axes, risks; H1 FY2026 interim MD&amp;A 'Business strategies and prospects'.</t>
  </si>
  <si>
    <t xml:space="preserve">Scenario narrative: bear</t>
  </si>
  <si>
    <t xml:space="preserve">The cycle turns in 2027: domestic scrappage subsidies taper, infrastructure support disappoints and export growth normalises against a protectionist backdrop, producing a FY2021-22-style two-year revenue drawdown (-10%, -15%). Margins trough at 6.5% (below the FY2022 7.4%) on competitive discounting at home and in NEV, FX losses on emerging-market receivables persist, and the MAN/TRATON technology relationship loosens after the stake sale. HNTE status and the R&amp;D super-deduction erode (cash tax to 20%), NEV capex runs at 2% of revenue, and working capital absorbs 15% of each revenue increase as the auto-finance book grows and the 60-day SME payment rule pressures 242-day payables. Terminal cap 11x on 2.0% growth.</t>
  </si>
  <si>
    <t xml:space="preserve">Scenario narrative: base</t>
  </si>
  <si>
    <t xml:space="preserve">Sinotruk is at a cycle high: China HDT industry volume +27% in 2025 and +23% in H1 2026 on the China IV-and-below scrappage subsidy, and exports (~45% of China's HDT exports, 200-220k units guided for 2026) up 57% in H1. Base takes FY2026 revenue +22% (below the H1 run-rate, above the RMB125.5bn third-party target), one more modest year, then a 2028-29 downturn of roughly -10% cumulative as the subsidy cycle and the export surge normalise, before a recovery to a 2.5% terminal rate. EBITDA margin absorbs H1 FY2026's FX losses (8.6%), recovers to 9.0%, dips to 8.0-8.2% in the downturn and settles at the six-year average of 9.0%. Cash tax drifts from 15% to 17%, capex rises from a decade-low 1% of revenue to 1.8% for NEV platforms and overseas KD plants, and growth consumes working capital (-8% of each year's revenue change) as the captive finance book and export receivables expand. Terminal value capped at 13x owner FCF.</t>
  </si>
  <si>
    <t xml:space="preserve">Scenario narrative: bull</t>
  </si>
  <si>
    <t xml:space="preserve">Exports run at or above the raised 200-220k guidance and keep compounding through the 'brand going overseas' localisation push; domestic demand plateaus after the subsidy rather than falling, helped by 15th Five-Year Plan infrastructure projects; FX losses reverse; NEV HDT leadership (industry-leading share in H1 FY2026) and the SITRAK premium mix lift EBITDA margin back to the FY2020 10%+ level and hold it there. Cash tax stays at 15%, working capital drag is lighter (-5%), terminal cap 15x on 3.0%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</si>
  <si>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</si>
  <si>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</si>
  <si>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</si>
  <si>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</si>
  <si>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</si>
  <si>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</si>
  <si>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</si>
  <si>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</si>
  <si>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</si>
  <si>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</si>
  <si>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</si>
  <si>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</si>
  <si>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</si>
  <si>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</si>
  <si>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</si>
  <si>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</si>
  <si>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</si>
  <si>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</si>
  <si>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</si>
  <si>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</si>
  <si>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</si>
  <si>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</si>
  <si>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</si>
  <si>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</si>
  <si>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</si>
  <si>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</si>
  <si>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</si>
  <si>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</si>
  <si>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</si>
  <si>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</si>
  <si>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</si>
  <si>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</si>
  <si>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</si>
  <si>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</si>
  <si>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</si>
  <si>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</si>
  <si>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</si>
  <si>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</si>
  <si>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</si>
  <si>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</si>
  <si>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</si>
  <si>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</si>
  <si>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</si>
  <si>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</si>
  <si>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</si>
  <si>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</si>
  <si>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</si>
  <si>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</si>
  <si>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</si>
  <si>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</si>
  <si>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</si>
  <si>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</si>
  <si>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</si>
  <si>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</si>
  <si>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</si>
  <si>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</si>
  <si>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</si>
  <si>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</si>
  <si>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</si>
  <si>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</si>
  <si>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</si>
  <si>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</si>
  <si>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</si>
  <si>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</si>
  <si>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</si>
  <si>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</si>
  <si>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</si>
  <si>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</si>
  <si>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</si>
  <si>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</si>
  <si>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</si>
  <si>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</si>
  <si>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3808.HK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</si>
  <si>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</si>
  <si>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</si>
  <si>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</si>
  <si>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</si>
  <si>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</si>
  <si>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</si>
  <si>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</si>
  <si>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</si>
  <si>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</si>
  <si>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</si>
  <si>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</si>
  <si>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</si>
  <si>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</si>
  <si>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</si>
  <si>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</si>
  <si>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</si>
  <si>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</si>
  <si>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</si>
  <si>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</si>
  <si>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</si>
  <si>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</si>
  <si>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</si>
  <si>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</si>
  <si>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</si>
  <si>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</si>
  <si>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</si>
  <si>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</si>
  <si>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</si>
  <si>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</si>
  <si>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</si>
  <si>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3808.HK owner-FCF component DCF: base case (millions, CNY)</t>
  </si>
  <si>
    <t xml:space="preserve">3808.HK owner-FCF component DCF: bull case (millions, CNY)</t>
  </si>
  <si>
    <t xml:space="preserve">3808.HK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</si>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</sst>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61784.667</v>
      </c>
      <c r="C2" s="0" t="n">
        <v>50610.072</v>
      </c>
      <c r="D2" s="0" t="n">
        <v>11174.595</v>
      </c>
      <c r="E2" s="0" t="n">
        <v>18.1</v>
      </c>
      <c r="F2" s="0" t="n">
        <v>5642.143</v>
      </c>
      <c r="G2" s="0" t="n">
        <v>9.1</v>
      </c>
      <c r="I2" s="0" t="n">
        <v>4344.545</v>
      </c>
      <c r="J2" s="0" t="n">
        <v>7</v>
      </c>
      <c r="K2" s="0" t="n">
        <v>1.57</v>
      </c>
      <c r="L2" s="0" t="n">
        <v>4231.092</v>
      </c>
      <c r="M2" s="0" t="n">
        <v>1403.489</v>
      </c>
      <c r="N2" s="0" t="n">
        <v>2827.603</v>
      </c>
      <c r="O2" s="0" t="n">
        <v>25475.545</v>
      </c>
      <c r="P2" s="0" t="n">
        <v>61680.411</v>
      </c>
      <c r="Q2" s="0" t="n">
        <v>33352.559</v>
      </c>
      <c r="R2" s="0" t="n">
        <v>3000</v>
      </c>
      <c r="S2" s="0" t="n">
        <v>12615.994</v>
      </c>
      <c r="T2" s="0" t="n">
        <v>2760.993</v>
      </c>
      <c r="U2" s="0" t="n">
        <v>0</v>
      </c>
      <c r="AA2" s="0" t="s">
        <v>18</v>
      </c>
      <c r="AB2" s="0" t="s">
        <v>14</v>
      </c>
    </row>
    <row r="3" customFormat="false" ht="15" hidden="false" customHeight="false" outlineLevel="0" collapsed="false">
      <c r="A3" s="0" t="s">
        <v>65</v>
      </c>
      <c r="B3" s="0" t="n">
        <v>62226.708</v>
      </c>
      <c r="C3" s="0" t="n">
        <v>50380.101</v>
      </c>
      <c r="D3" s="0" t="n">
        <v>11846.607</v>
      </c>
      <c r="E3" s="0" t="n">
        <v>19</v>
      </c>
      <c r="F3" s="0" t="n">
        <v>4839.117</v>
      </c>
      <c r="G3" s="0" t="n">
        <v>7.8</v>
      </c>
      <c r="I3" s="0" t="n">
        <v>3333.794</v>
      </c>
      <c r="J3" s="0" t="n">
        <v>5.4</v>
      </c>
      <c r="K3" s="0" t="n">
        <v>1.21</v>
      </c>
      <c r="L3" s="0" t="n">
        <v>8634.479</v>
      </c>
      <c r="M3" s="0" t="n">
        <v>826.207</v>
      </c>
      <c r="N3" s="0" t="n">
        <v>7808.272</v>
      </c>
      <c r="O3" s="0" t="n">
        <v>27261.07</v>
      </c>
      <c r="P3" s="0" t="n">
        <v>65950.512</v>
      </c>
      <c r="Q3" s="0" t="n">
        <v>35522.641</v>
      </c>
      <c r="R3" s="0" t="n">
        <v>1000</v>
      </c>
      <c r="S3" s="0" t="n">
        <v>15752.121</v>
      </c>
      <c r="T3" s="0" t="n">
        <v>2760.993</v>
      </c>
      <c r="U3" s="0" t="n">
        <v>0</v>
      </c>
      <c r="AA3" s="0" t="s">
        <v>18</v>
      </c>
      <c r="AB3" s="0" t="s">
        <v>14</v>
      </c>
    </row>
    <row r="4" customFormat="false" ht="15" hidden="false" customHeight="false" outlineLevel="0" collapsed="false">
      <c r="A4" s="0" t="s">
        <v>66</v>
      </c>
      <c r="B4" s="0" t="n">
        <v>98197.985</v>
      </c>
      <c r="C4" s="0" t="n">
        <v>78612.778</v>
      </c>
      <c r="D4" s="0" t="n">
        <v>19585.207</v>
      </c>
      <c r="E4" s="0" t="n">
        <v>19.9</v>
      </c>
      <c r="F4" s="0" t="n">
        <v>9470.648</v>
      </c>
      <c r="G4" s="0" t="n">
        <v>9.6</v>
      </c>
      <c r="H4" s="0" t="n">
        <v>11157.301</v>
      </c>
      <c r="I4" s="0" t="n">
        <v>6850.524</v>
      </c>
      <c r="J4" s="0" t="n">
        <v>7</v>
      </c>
      <c r="K4" s="0" t="n">
        <v>2.48</v>
      </c>
      <c r="L4" s="0" t="n">
        <v>19491.694</v>
      </c>
      <c r="M4" s="0" t="n">
        <v>1075.122</v>
      </c>
      <c r="N4" s="0" t="n">
        <v>18416.572</v>
      </c>
      <c r="O4" s="0" t="n">
        <v>32115.008</v>
      </c>
      <c r="P4" s="0" t="n">
        <v>111008.261</v>
      </c>
      <c r="Q4" s="0" t="n">
        <v>75328.854</v>
      </c>
      <c r="R4" s="0" t="n">
        <v>1711.84</v>
      </c>
      <c r="S4" s="0" t="n">
        <v>26049.064</v>
      </c>
      <c r="T4" s="0" t="n">
        <v>2760.993</v>
      </c>
      <c r="U4" s="0" t="n">
        <v>0</v>
      </c>
      <c r="AA4" s="0" t="s">
        <v>18</v>
      </c>
      <c r="AB4" s="0" t="s">
        <v>14</v>
      </c>
    </row>
    <row r="5" customFormat="false" ht="15" hidden="false" customHeight="false" outlineLevel="0" collapsed="false">
      <c r="A5" s="0" t="s">
        <v>67</v>
      </c>
      <c r="B5" s="0" t="n">
        <v>93357.031</v>
      </c>
      <c r="C5" s="0" t="n">
        <v>77692.927</v>
      </c>
      <c r="D5" s="0" t="n">
        <v>15664.104</v>
      </c>
      <c r="E5" s="0" t="n">
        <v>16.8</v>
      </c>
      <c r="F5" s="0" t="n">
        <v>5759.896</v>
      </c>
      <c r="G5" s="0" t="n">
        <v>6.2</v>
      </c>
      <c r="H5" s="0" t="n">
        <v>7279.395</v>
      </c>
      <c r="I5" s="0" t="n">
        <v>4322.071</v>
      </c>
      <c r="J5" s="0" t="n">
        <v>4.6</v>
      </c>
      <c r="K5" s="0" t="n">
        <v>1.57</v>
      </c>
      <c r="L5" s="0" t="n">
        <v>-3210.85</v>
      </c>
      <c r="M5" s="0" t="n">
        <v>2557.899</v>
      </c>
      <c r="N5" s="0" t="n">
        <v>-5768.749</v>
      </c>
      <c r="O5" s="0" t="n">
        <v>35671.144</v>
      </c>
      <c r="P5" s="0" t="n">
        <v>107019.934</v>
      </c>
      <c r="Q5" s="0" t="n">
        <v>64251.847</v>
      </c>
      <c r="R5" s="0" t="n">
        <v>3510.514</v>
      </c>
      <c r="S5" s="0" t="n">
        <v>24692.404</v>
      </c>
      <c r="T5" s="0" t="n">
        <v>2760.993</v>
      </c>
      <c r="U5" s="0" t="n">
        <v>0</v>
      </c>
      <c r="AA5" s="0" t="s">
        <v>18</v>
      </c>
      <c r="AB5" s="0" t="s">
        <v>14</v>
      </c>
    </row>
    <row r="6" customFormat="false" ht="15" hidden="false" customHeight="false" outlineLevel="0" collapsed="false">
      <c r="A6" s="0" t="s">
        <v>68</v>
      </c>
      <c r="B6" s="0" t="n">
        <v>59290.569</v>
      </c>
      <c r="C6" s="0" t="n">
        <v>49277.352</v>
      </c>
      <c r="D6" s="0" t="n">
        <v>10013.217</v>
      </c>
      <c r="E6" s="0" t="n">
        <v>16.9</v>
      </c>
      <c r="F6" s="0" t="n">
        <v>2902.942</v>
      </c>
      <c r="G6" s="0" t="n">
        <v>4.9</v>
      </c>
      <c r="H6" s="0" t="n">
        <v>4388.687</v>
      </c>
      <c r="I6" s="0" t="n">
        <v>1796.574</v>
      </c>
      <c r="J6" s="0" t="n">
        <v>3</v>
      </c>
      <c r="K6" s="0" t="n">
        <v>0.65</v>
      </c>
      <c r="L6" s="0" t="n">
        <v>10895.02</v>
      </c>
      <c r="M6" s="0" t="n">
        <v>1475.852</v>
      </c>
      <c r="N6" s="0" t="n">
        <v>9419.168</v>
      </c>
      <c r="O6" s="0" t="n">
        <v>35908.988</v>
      </c>
      <c r="P6" s="0" t="n">
        <v>105478.517</v>
      </c>
      <c r="Q6" s="0" t="n">
        <v>62509.94</v>
      </c>
      <c r="R6" s="0" t="n">
        <v>3889.799</v>
      </c>
      <c r="S6" s="0" t="n">
        <v>15262.26</v>
      </c>
      <c r="T6" s="0" t="n">
        <v>2760.993</v>
      </c>
      <c r="U6" s="0" t="n">
        <v>0</v>
      </c>
      <c r="AA6" s="0" t="s">
        <v>18</v>
      </c>
      <c r="AB6" s="0" t="s">
        <v>14</v>
      </c>
    </row>
    <row r="7" customFormat="false" ht="15" hidden="false" customHeight="false" outlineLevel="0" collapsed="false">
      <c r="A7" s="0" t="s">
        <v>69</v>
      </c>
      <c r="B7" s="0" t="n">
        <v>85498.035</v>
      </c>
      <c r="C7" s="0" t="n">
        <v>71262.502</v>
      </c>
      <c r="D7" s="0" t="n">
        <v>14235.533</v>
      </c>
      <c r="E7" s="0" t="n">
        <v>16.7</v>
      </c>
      <c r="F7" s="0" t="n">
        <v>6487.101</v>
      </c>
      <c r="G7" s="0" t="n">
        <v>7.6</v>
      </c>
      <c r="H7" s="0" t="n">
        <v>8059.594</v>
      </c>
      <c r="I7" s="0" t="n">
        <v>5318.107</v>
      </c>
      <c r="J7" s="0" t="n">
        <v>6.2</v>
      </c>
      <c r="K7" s="0" t="n">
        <v>1.93</v>
      </c>
      <c r="L7" s="0" t="n">
        <v>11368.355</v>
      </c>
      <c r="M7" s="0" t="n">
        <v>2559.551</v>
      </c>
      <c r="N7" s="0" t="n">
        <v>8808.804</v>
      </c>
      <c r="O7" s="0" t="n">
        <v>40272.161</v>
      </c>
      <c r="P7" s="0" t="n">
        <v>121785.488</v>
      </c>
      <c r="Q7" s="0" t="n">
        <v>73824.957</v>
      </c>
      <c r="R7" s="0" t="n">
        <v>5048.667</v>
      </c>
      <c r="S7" s="0" t="n">
        <v>15251.508</v>
      </c>
      <c r="T7" s="0" t="n">
        <v>2760.993</v>
      </c>
      <c r="U7" s="0" t="n">
        <v>0</v>
      </c>
      <c r="AA7" s="0" t="s">
        <v>18</v>
      </c>
      <c r="AB7" s="0" t="s">
        <v>14</v>
      </c>
    </row>
    <row r="8" customFormat="false" ht="15" hidden="false" customHeight="false" outlineLevel="0" collapsed="false">
      <c r="A8" s="0" t="s">
        <v>70</v>
      </c>
      <c r="B8" s="0" t="n">
        <v>95061.587</v>
      </c>
      <c r="C8" s="0" t="n">
        <v>80196.093</v>
      </c>
      <c r="D8" s="0" t="n">
        <v>14865.494</v>
      </c>
      <c r="E8" s="0" t="n">
        <v>15.6</v>
      </c>
      <c r="F8" s="0" t="n">
        <v>7457.995</v>
      </c>
      <c r="G8" s="0" t="n">
        <v>7.8</v>
      </c>
      <c r="H8" s="0" t="n">
        <v>9256.408</v>
      </c>
      <c r="I8" s="0" t="n">
        <v>5858.394</v>
      </c>
      <c r="J8" s="0" t="n">
        <v>6.2</v>
      </c>
      <c r="K8" s="0" t="n">
        <v>2.13</v>
      </c>
      <c r="L8" s="0" t="n">
        <v>10086.698</v>
      </c>
      <c r="M8" s="0" t="n">
        <v>2243.821</v>
      </c>
      <c r="N8" s="0" t="n">
        <v>7842.877</v>
      </c>
      <c r="O8" s="0" t="n">
        <v>41160.516</v>
      </c>
      <c r="P8" s="0" t="n">
        <v>129777.022</v>
      </c>
      <c r="Q8" s="0" t="n">
        <v>80624.622</v>
      </c>
      <c r="R8" s="0" t="n">
        <v>5697.821</v>
      </c>
      <c r="S8" s="0" t="n">
        <v>11955.834</v>
      </c>
      <c r="T8" s="0" t="n">
        <v>2742.245</v>
      </c>
      <c r="U8" s="0" t="n">
        <v>55.087</v>
      </c>
      <c r="AA8" s="0" t="s">
        <v>18</v>
      </c>
      <c r="AB8" s="0" t="s">
        <v>14</v>
      </c>
    </row>
    <row r="9" customFormat="false" ht="15" hidden="false" customHeight="false" outlineLevel="0" collapsed="false">
      <c r="A9" s="0" t="s">
        <v>71</v>
      </c>
      <c r="B9" s="0" t="n">
        <v>109540.885</v>
      </c>
      <c r="C9" s="0" t="n">
        <v>93022.223</v>
      </c>
      <c r="D9" s="0" t="n">
        <v>16518.662</v>
      </c>
      <c r="E9" s="0" t="n">
        <v>15.1</v>
      </c>
      <c r="F9" s="0" t="n">
        <v>8137.086</v>
      </c>
      <c r="G9" s="0" t="n">
        <v>7.4</v>
      </c>
      <c r="H9" s="0" t="n">
        <v>10013.531</v>
      </c>
      <c r="I9" s="0" t="n">
        <v>7019.303</v>
      </c>
      <c r="J9" s="0" t="n">
        <v>6.4</v>
      </c>
      <c r="K9" s="0" t="n">
        <v>2.55</v>
      </c>
      <c r="L9" s="0" t="n">
        <v>7623.014</v>
      </c>
      <c r="M9" s="0" t="n">
        <v>1035.943</v>
      </c>
      <c r="N9" s="0" t="n">
        <v>6587.071</v>
      </c>
      <c r="O9" s="0" t="n">
        <v>44990.219</v>
      </c>
      <c r="P9" s="0" t="n">
        <v>153129</v>
      </c>
      <c r="Q9" s="0" t="n">
        <v>99914.7</v>
      </c>
      <c r="R9" s="0" t="n">
        <v>5465.034</v>
      </c>
      <c r="S9" s="0" t="n">
        <v>18411.673</v>
      </c>
      <c r="T9" s="0" t="n">
        <v>2734.473</v>
      </c>
      <c r="U9" s="0" t="n">
        <v>94.435</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31.5</v>
      </c>
    </row>
    <row r="3" customFormat="false" ht="15" hidden="false" customHeight="false" outlineLevel="0" collapsed="false">
      <c r="A3" s="0" t="s">
        <v>75</v>
      </c>
      <c r="B3" s="3" t="n">
        <v>2746.515</v>
      </c>
    </row>
    <row r="4" customFormat="false" ht="15" hidden="false" customHeight="false" outlineLevel="0" collapsed="false">
      <c r="A4" s="0" t="s">
        <v>76</v>
      </c>
      <c r="B4" s="3" t="n">
        <v>-25245.9</v>
      </c>
    </row>
    <row r="5" customFormat="false" ht="15" hidden="false" customHeight="false" outlineLevel="0" collapsed="false">
      <c r="A5" s="0" t="s">
        <v>77</v>
      </c>
      <c r="B5" s="3" t="n">
        <v>-3152.8</v>
      </c>
    </row>
    <row r="6" customFormat="false" ht="15" hidden="false" customHeight="false" outlineLevel="0" collapsed="false">
      <c r="A6" s="0" t="s">
        <v>78</v>
      </c>
      <c r="B6" s="3" t="n">
        <v>15</v>
      </c>
    </row>
    <row r="7" customFormat="false" ht="15" hidden="false" customHeight="false" outlineLevel="0" collapsed="false">
      <c r="A7" s="0" t="s">
        <v>79</v>
      </c>
      <c r="B7" s="3" t="n">
        <v>109540.885</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1.1742</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16</v>
      </c>
      <c r="D13" s="3" t="n">
        <v>-10</v>
      </c>
      <c r="E13" s="3" t="n">
        <v>-15</v>
      </c>
      <c r="F13" s="3" t="n">
        <v>-3</v>
      </c>
      <c r="G13" s="3" t="n">
        <v>4</v>
      </c>
      <c r="H13" s="3" t="n">
        <v>3</v>
      </c>
      <c r="I13" s="3" t="n">
        <v>3</v>
      </c>
      <c r="J13" s="3" t="n">
        <v>2.5</v>
      </c>
      <c r="K13" s="3" t="n">
        <v>2</v>
      </c>
      <c r="L13" s="3" t="n">
        <v>2</v>
      </c>
    </row>
    <row r="14" customFormat="false" ht="15" hidden="false" customHeight="false" outlineLevel="0" collapsed="false">
      <c r="A14" s="0" t="s">
        <v>96</v>
      </c>
      <c r="C14" s="3" t="n">
        <v>8</v>
      </c>
      <c r="D14" s="3" t="n">
        <v>7.5</v>
      </c>
      <c r="E14" s="3" t="n">
        <v>6.5</v>
      </c>
      <c r="F14" s="3" t="n">
        <v>7</v>
      </c>
      <c r="G14" s="3" t="n">
        <v>7.5</v>
      </c>
      <c r="H14" s="3" t="n">
        <v>7.8</v>
      </c>
      <c r="I14" s="3" t="n">
        <v>8</v>
      </c>
      <c r="J14" s="3" t="n">
        <v>8</v>
      </c>
      <c r="K14" s="3" t="n">
        <v>8</v>
      </c>
      <c r="L14" s="3" t="n">
        <v>8</v>
      </c>
    </row>
    <row r="15" customFormat="false" ht="15" hidden="false" customHeight="false" outlineLevel="0" collapsed="false">
      <c r="A15" s="0" t="s">
        <v>97</v>
      </c>
      <c r="C15" s="3" t="n">
        <v>0.09</v>
      </c>
      <c r="D15" s="3" t="n">
        <v>0.09</v>
      </c>
      <c r="E15" s="3" t="n">
        <v>0.09</v>
      </c>
      <c r="F15" s="3" t="n">
        <v>0.09</v>
      </c>
      <c r="G15" s="3" t="n">
        <v>0.08</v>
      </c>
      <c r="H15" s="3" t="n">
        <v>0.08</v>
      </c>
      <c r="I15" s="3" t="n">
        <v>0.08</v>
      </c>
      <c r="J15" s="3" t="n">
        <v>0.08</v>
      </c>
      <c r="K15" s="3" t="n">
        <v>0.08</v>
      </c>
      <c r="L15" s="3" t="n">
        <v>0.08</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1.5</v>
      </c>
      <c r="D17" s="3" t="n">
        <v>1.7</v>
      </c>
      <c r="E17" s="3" t="n">
        <v>1.9</v>
      </c>
      <c r="F17" s="3" t="n">
        <v>1.9</v>
      </c>
      <c r="G17" s="3" t="n">
        <v>1.9</v>
      </c>
      <c r="H17" s="3" t="n">
        <v>1.8</v>
      </c>
      <c r="I17" s="3" t="n">
        <v>1.8</v>
      </c>
      <c r="J17" s="3" t="n">
        <v>1.8</v>
      </c>
      <c r="K17" s="3" t="n">
        <v>1.8</v>
      </c>
      <c r="L17" s="3" t="n">
        <v>1.8</v>
      </c>
    </row>
    <row r="18" customFormat="false" ht="15" hidden="false" customHeight="false" outlineLevel="0" collapsed="false">
      <c r="A18" s="0" t="s">
        <v>100</v>
      </c>
      <c r="C18" s="3" t="n">
        <v>1.3</v>
      </c>
      <c r="D18" s="3" t="n">
        <v>1.5</v>
      </c>
      <c r="E18" s="3" t="n">
        <v>1.7</v>
      </c>
      <c r="F18" s="3" t="n">
        <v>1.8</v>
      </c>
      <c r="G18" s="3" t="n">
        <v>1.9</v>
      </c>
      <c r="H18" s="3" t="n">
        <v>2</v>
      </c>
      <c r="I18" s="3" t="n">
        <v>2</v>
      </c>
      <c r="J18" s="3" t="n">
        <v>2</v>
      </c>
      <c r="K18" s="3" t="n">
        <v>2</v>
      </c>
      <c r="L18" s="3" t="n">
        <v>2</v>
      </c>
    </row>
    <row r="19" customFormat="false" ht="15" hidden="false" customHeight="false" outlineLevel="0" collapsed="false">
      <c r="A19" s="0" t="s">
        <v>101</v>
      </c>
      <c r="C19" s="3" t="n">
        <v>15</v>
      </c>
      <c r="D19" s="3" t="n">
        <v>15</v>
      </c>
      <c r="E19" s="3" t="n">
        <v>16</v>
      </c>
      <c r="F19" s="3" t="n">
        <v>17</v>
      </c>
      <c r="G19" s="3" t="n">
        <v>18</v>
      </c>
      <c r="H19" s="3" t="n">
        <v>19</v>
      </c>
      <c r="I19" s="3" t="n">
        <v>20</v>
      </c>
      <c r="J19" s="3" t="n">
        <v>20</v>
      </c>
      <c r="K19" s="3" t="n">
        <v>20</v>
      </c>
      <c r="L19" s="3" t="n">
        <v>20</v>
      </c>
    </row>
    <row r="20" customFormat="false" ht="15" hidden="false" customHeight="false" outlineLevel="0" collapsed="false">
      <c r="A20" s="0" t="s">
        <v>102</v>
      </c>
      <c r="B20" s="3" t="n">
        <v>9.5</v>
      </c>
    </row>
    <row r="21" customFormat="false" ht="15" hidden="false" customHeight="false" outlineLevel="0" collapsed="false">
      <c r="A21" s="0" t="s">
        <v>103</v>
      </c>
      <c r="B21" s="3" t="n">
        <v>2</v>
      </c>
    </row>
    <row r="22" customFormat="false" ht="15" hidden="false" customHeight="false" outlineLevel="0" collapsed="false">
      <c r="A22" s="0" t="s">
        <v>104</v>
      </c>
      <c r="B22" s="3" t="n">
        <v>11</v>
      </c>
    </row>
    <row r="23" customFormat="false" ht="15" hidden="false" customHeight="false" outlineLevel="0" collapsed="false">
      <c r="A23" s="0" t="s">
        <v>105</v>
      </c>
      <c r="B23" s="3" t="n">
        <v>-15</v>
      </c>
    </row>
    <row r="24" customFormat="false" ht="15" hidden="false" customHeight="false" outlineLevel="0" collapsed="false">
      <c r="A24" s="0" t="s">
        <v>106</v>
      </c>
      <c r="B24" s="3" t="n">
        <v>0.3</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22</v>
      </c>
      <c r="D27" s="3" t="n">
        <v>4</v>
      </c>
      <c r="E27" s="3" t="n">
        <v>-8</v>
      </c>
      <c r="F27" s="3" t="n">
        <v>-2</v>
      </c>
      <c r="G27" s="3" t="n">
        <v>6</v>
      </c>
      <c r="H27" s="3" t="n">
        <v>5</v>
      </c>
      <c r="I27" s="3" t="n">
        <v>3.5</v>
      </c>
      <c r="J27" s="3" t="n">
        <v>3</v>
      </c>
      <c r="K27" s="3" t="n">
        <v>2.5</v>
      </c>
      <c r="L27" s="3" t="n">
        <v>2.5</v>
      </c>
    </row>
    <row r="28" customFormat="false" ht="15" hidden="false" customHeight="false" outlineLevel="0" collapsed="false">
      <c r="A28" s="0" t="s">
        <v>96</v>
      </c>
      <c r="C28" s="3" t="n">
        <v>8.6</v>
      </c>
      <c r="D28" s="3" t="n">
        <v>9</v>
      </c>
      <c r="E28" s="3" t="n">
        <v>8</v>
      </c>
      <c r="F28" s="3" t="n">
        <v>8.2</v>
      </c>
      <c r="G28" s="3" t="n">
        <v>8.8</v>
      </c>
      <c r="H28" s="3" t="n">
        <v>9</v>
      </c>
      <c r="I28" s="3" t="n">
        <v>9</v>
      </c>
      <c r="J28" s="3" t="n">
        <v>9</v>
      </c>
      <c r="K28" s="3" t="n">
        <v>9</v>
      </c>
      <c r="L28" s="3" t="n">
        <v>9</v>
      </c>
    </row>
    <row r="29" customFormat="false" ht="15" hidden="false" customHeight="false" outlineLevel="0" collapsed="false">
      <c r="A29" s="0" t="s">
        <v>97</v>
      </c>
      <c r="C29" s="3" t="n">
        <v>0.09</v>
      </c>
      <c r="D29" s="3" t="n">
        <v>0.09</v>
      </c>
      <c r="E29" s="3" t="n">
        <v>0.09</v>
      </c>
      <c r="F29" s="3" t="n">
        <v>0.09</v>
      </c>
      <c r="G29" s="3" t="n">
        <v>0.08</v>
      </c>
      <c r="H29" s="3" t="n">
        <v>0.08</v>
      </c>
      <c r="I29" s="3" t="n">
        <v>0.08</v>
      </c>
      <c r="J29" s="3" t="n">
        <v>0.08</v>
      </c>
      <c r="K29" s="3" t="n">
        <v>0.08</v>
      </c>
      <c r="L29" s="3" t="n">
        <v>0.08</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1.5</v>
      </c>
      <c r="D31" s="3" t="n">
        <v>1.6</v>
      </c>
      <c r="E31" s="3" t="n">
        <v>1.8</v>
      </c>
      <c r="F31" s="3" t="n">
        <v>1.8</v>
      </c>
      <c r="G31" s="3" t="n">
        <v>1.7</v>
      </c>
      <c r="H31" s="3" t="n">
        <v>1.7</v>
      </c>
      <c r="I31" s="3" t="n">
        <v>1.7</v>
      </c>
      <c r="J31" s="3" t="n">
        <v>1.7</v>
      </c>
      <c r="K31" s="3" t="n">
        <v>1.7</v>
      </c>
      <c r="L31" s="3" t="n">
        <v>1.7</v>
      </c>
    </row>
    <row r="32" customFormat="false" ht="15" hidden="false" customHeight="false" outlineLevel="0" collapsed="false">
      <c r="A32" s="0" t="s">
        <v>100</v>
      </c>
      <c r="C32" s="3" t="n">
        <v>1.2</v>
      </c>
      <c r="D32" s="3" t="n">
        <v>1.5</v>
      </c>
      <c r="E32" s="3" t="n">
        <v>1.6</v>
      </c>
      <c r="F32" s="3" t="n">
        <v>1.6</v>
      </c>
      <c r="G32" s="3" t="n">
        <v>1.7</v>
      </c>
      <c r="H32" s="3" t="n">
        <v>1.7</v>
      </c>
      <c r="I32" s="3" t="n">
        <v>1.8</v>
      </c>
      <c r="J32" s="3" t="n">
        <v>1.8</v>
      </c>
      <c r="K32" s="3" t="n">
        <v>1.8</v>
      </c>
      <c r="L32" s="3" t="n">
        <v>1.8</v>
      </c>
    </row>
    <row r="33" customFormat="false" ht="15" hidden="false" customHeight="false" outlineLevel="0" collapsed="false">
      <c r="A33" s="0" t="s">
        <v>101</v>
      </c>
      <c r="C33" s="3" t="n">
        <v>15</v>
      </c>
      <c r="D33" s="3" t="n">
        <v>15</v>
      </c>
      <c r="E33" s="3" t="n">
        <v>15</v>
      </c>
      <c r="F33" s="3" t="n">
        <v>15</v>
      </c>
      <c r="G33" s="3" t="n">
        <v>16</v>
      </c>
      <c r="H33" s="3" t="n">
        <v>16</v>
      </c>
      <c r="I33" s="3" t="n">
        <v>17</v>
      </c>
      <c r="J33" s="3" t="n">
        <v>17</v>
      </c>
      <c r="K33" s="3" t="n">
        <v>17</v>
      </c>
      <c r="L33" s="3" t="n">
        <v>17</v>
      </c>
    </row>
    <row r="34" customFormat="false" ht="15" hidden="false" customHeight="false" outlineLevel="0" collapsed="false">
      <c r="A34" s="0" t="s">
        <v>102</v>
      </c>
      <c r="B34" s="3" t="n">
        <v>9.5</v>
      </c>
    </row>
    <row r="35" customFormat="false" ht="15" hidden="false" customHeight="false" outlineLevel="0" collapsed="false">
      <c r="A35" s="0" t="s">
        <v>103</v>
      </c>
      <c r="B35" s="3" t="n">
        <v>2.5</v>
      </c>
    </row>
    <row r="36" customFormat="false" ht="15" hidden="false" customHeight="false" outlineLevel="0" collapsed="false">
      <c r="A36" s="0" t="s">
        <v>104</v>
      </c>
      <c r="B36" s="3" t="n">
        <v>13</v>
      </c>
    </row>
    <row r="37" customFormat="false" ht="15" hidden="false" customHeight="false" outlineLevel="0" collapsed="false">
      <c r="A37" s="0" t="s">
        <v>105</v>
      </c>
      <c r="B37" s="3" t="n">
        <v>-8</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28</v>
      </c>
      <c r="D41" s="3" t="n">
        <v>10</v>
      </c>
      <c r="E41" s="3" t="n">
        <v>0</v>
      </c>
      <c r="F41" s="3" t="n">
        <v>3</v>
      </c>
      <c r="G41" s="3" t="n">
        <v>6</v>
      </c>
      <c r="H41" s="3" t="n">
        <v>5</v>
      </c>
      <c r="I41" s="3" t="n">
        <v>4</v>
      </c>
      <c r="J41" s="3" t="n">
        <v>3.5</v>
      </c>
      <c r="K41" s="3" t="n">
        <v>3</v>
      </c>
      <c r="L41" s="3" t="n">
        <v>3</v>
      </c>
    </row>
    <row r="42" customFormat="false" ht="15" hidden="false" customHeight="false" outlineLevel="0" collapsed="false">
      <c r="A42" s="0" t="s">
        <v>96</v>
      </c>
      <c r="C42" s="3" t="n">
        <v>9</v>
      </c>
      <c r="D42" s="3" t="n">
        <v>9.6</v>
      </c>
      <c r="E42" s="3" t="n">
        <v>9.3</v>
      </c>
      <c r="F42" s="3" t="n">
        <v>9.5</v>
      </c>
      <c r="G42" s="3" t="n">
        <v>9.8</v>
      </c>
      <c r="H42" s="3" t="n">
        <v>10</v>
      </c>
      <c r="I42" s="3" t="n">
        <v>10</v>
      </c>
      <c r="J42" s="3" t="n">
        <v>10</v>
      </c>
      <c r="K42" s="3" t="n">
        <v>10</v>
      </c>
      <c r="L42" s="3" t="n">
        <v>10</v>
      </c>
    </row>
    <row r="43" customFormat="false" ht="15" hidden="false" customHeight="false" outlineLevel="0" collapsed="false">
      <c r="A43" s="0" t="s">
        <v>97</v>
      </c>
      <c r="C43" s="3" t="n">
        <v>0.09</v>
      </c>
      <c r="D43" s="3" t="n">
        <v>0.09</v>
      </c>
      <c r="E43" s="3" t="n">
        <v>0.09</v>
      </c>
      <c r="F43" s="3" t="n">
        <v>0.09</v>
      </c>
      <c r="G43" s="3" t="n">
        <v>0.08</v>
      </c>
      <c r="H43" s="3" t="n">
        <v>0.08</v>
      </c>
      <c r="I43" s="3" t="n">
        <v>0.08</v>
      </c>
      <c r="J43" s="3" t="n">
        <v>0.08</v>
      </c>
      <c r="K43" s="3" t="n">
        <v>0.08</v>
      </c>
      <c r="L43" s="3" t="n">
        <v>0.08</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1.4</v>
      </c>
      <c r="D45" s="3" t="n">
        <v>1.5</v>
      </c>
      <c r="E45" s="3" t="n">
        <v>1.6</v>
      </c>
      <c r="F45" s="3" t="n">
        <v>1.6</v>
      </c>
      <c r="G45" s="3" t="n">
        <v>1.6</v>
      </c>
      <c r="H45" s="3" t="n">
        <v>1.6</v>
      </c>
      <c r="I45" s="3" t="n">
        <v>1.6</v>
      </c>
      <c r="J45" s="3" t="n">
        <v>1.6</v>
      </c>
      <c r="K45" s="3" t="n">
        <v>1.6</v>
      </c>
      <c r="L45" s="3" t="n">
        <v>1.6</v>
      </c>
    </row>
    <row r="46" customFormat="false" ht="15" hidden="false" customHeight="false" outlineLevel="0" collapsed="false">
      <c r="A46" s="0" t="s">
        <v>100</v>
      </c>
      <c r="C46" s="3" t="n">
        <v>1.2</v>
      </c>
      <c r="D46" s="3" t="n">
        <v>1.5</v>
      </c>
      <c r="E46" s="3" t="n">
        <v>1.6</v>
      </c>
      <c r="F46" s="3" t="n">
        <v>1.6</v>
      </c>
      <c r="G46" s="3" t="n">
        <v>1.7</v>
      </c>
      <c r="H46" s="3" t="n">
        <v>1.7</v>
      </c>
      <c r="I46" s="3" t="n">
        <v>1.7</v>
      </c>
      <c r="J46" s="3" t="n">
        <v>1.7</v>
      </c>
      <c r="K46" s="3" t="n">
        <v>1.7</v>
      </c>
      <c r="L46" s="3" t="n">
        <v>1.7</v>
      </c>
    </row>
    <row r="47" customFormat="false" ht="15" hidden="false" customHeight="false" outlineLevel="0" collapsed="false">
      <c r="A47" s="0" t="s">
        <v>101</v>
      </c>
      <c r="C47" s="3" t="n">
        <v>15</v>
      </c>
      <c r="D47" s="3" t="n">
        <v>15</v>
      </c>
      <c r="E47" s="3" t="n">
        <v>15</v>
      </c>
      <c r="F47" s="3" t="n">
        <v>15</v>
      </c>
      <c r="G47" s="3" t="n">
        <v>15</v>
      </c>
      <c r="H47" s="3" t="n">
        <v>15</v>
      </c>
      <c r="I47" s="3" t="n">
        <v>15</v>
      </c>
      <c r="J47" s="3" t="n">
        <v>15</v>
      </c>
      <c r="K47" s="3" t="n">
        <v>15</v>
      </c>
      <c r="L47" s="3" t="n">
        <v>15</v>
      </c>
    </row>
    <row r="48" customFormat="false" ht="15" hidden="false" customHeight="false" outlineLevel="0" collapsed="false">
      <c r="A48" s="0" t="s">
        <v>102</v>
      </c>
      <c r="B48" s="3" t="n">
        <v>9.5</v>
      </c>
    </row>
    <row r="49" customFormat="false" ht="15" hidden="false" customHeight="false" outlineLevel="0" collapsed="false">
      <c r="A49" s="0" t="s">
        <v>103</v>
      </c>
      <c r="B49" s="3" t="n">
        <v>3</v>
      </c>
    </row>
    <row r="50" customFormat="false" ht="15" hidden="false" customHeight="false" outlineLevel="0" collapsed="false">
      <c r="A50" s="0" t="s">
        <v>104</v>
      </c>
      <c r="B50" s="3" t="n">
        <v>15</v>
      </c>
    </row>
    <row r="51" customFormat="false" ht="15" hidden="false" customHeight="false" outlineLevel="0" collapsed="false">
      <c r="A51" s="0" t="s">
        <v>105</v>
      </c>
      <c r="B51" s="3" t="n">
        <v>-5</v>
      </c>
    </row>
    <row r="52" customFormat="false" ht="15" hidden="false" customHeight="false" outlineLevel="0" collapsed="false">
      <c r="A52" s="0" t="s">
        <v>106</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16</v>
      </c>
      <c r="D5" s="4" t="n">
        <f aca="false">Assumptions!D13</f>
        <v>-10</v>
      </c>
      <c r="E5" s="4" t="n">
        <f aca="false">Assumptions!E13</f>
        <v>-15</v>
      </c>
      <c r="F5" s="4" t="n">
        <f aca="false">Assumptions!F13</f>
        <v>-3</v>
      </c>
      <c r="G5" s="4" t="n">
        <f aca="false">Assumptions!G13</f>
        <v>4</v>
      </c>
      <c r="H5" s="4" t="n">
        <f aca="false">Assumptions!H13</f>
        <v>3</v>
      </c>
      <c r="I5" s="4" t="n">
        <f aca="false">Assumptions!I13</f>
        <v>3</v>
      </c>
      <c r="J5" s="4" t="n">
        <f aca="false">Assumptions!J13</f>
        <v>2.5</v>
      </c>
      <c r="K5" s="4" t="n">
        <f aca="false">Assumptions!K13</f>
        <v>2</v>
      </c>
      <c r="L5" s="4" t="n">
        <f aca="false">Assumptions!L13</f>
        <v>2</v>
      </c>
    </row>
    <row r="6" customFormat="false" ht="15" hidden="false" customHeight="false" outlineLevel="0" collapsed="false">
      <c r="A6" s="0" t="s">
        <v>38</v>
      </c>
      <c r="B6" s="3" t="n">
        <v>109540.885</v>
      </c>
      <c r="C6" s="0" t="n">
        <f aca="false">B6*(1+C5/100)</f>
        <v>127067.4266</v>
      </c>
      <c r="D6" s="0" t="n">
        <f aca="false">C6*(1+D5/100)</f>
        <v>114360.68394</v>
      </c>
      <c r="E6" s="0" t="n">
        <f aca="false">D6*(1+E5/100)</f>
        <v>97206.581349</v>
      </c>
      <c r="F6" s="0" t="n">
        <f aca="false">E6*(1+F5/100)</f>
        <v>94290.38390853</v>
      </c>
      <c r="G6" s="0" t="n">
        <f aca="false">F6*(1+G5/100)</f>
        <v>98061.9992648712</v>
      </c>
      <c r="H6" s="0" t="n">
        <f aca="false">G6*(1+H5/100)</f>
        <v>101003.859242817</v>
      </c>
      <c r="I6" s="0" t="n">
        <f aca="false">H6*(1+I5/100)</f>
        <v>104033.975020102</v>
      </c>
      <c r="J6" s="0" t="n">
        <f aca="false">I6*(1+J5/100)</f>
        <v>106634.824395604</v>
      </c>
      <c r="K6" s="0" t="n">
        <f aca="false">J6*(1+K5/100)</f>
        <v>108767.520883516</v>
      </c>
      <c r="L6" s="0" t="n">
        <f aca="false">K6*(1+L5/100)</f>
        <v>110942.871301187</v>
      </c>
    </row>
    <row r="7" customFormat="false" ht="15" hidden="false" customHeight="false" outlineLevel="0" collapsed="false">
      <c r="A7" s="0" t="s">
        <v>96</v>
      </c>
      <c r="C7" s="4" t="n">
        <f aca="false">Assumptions!C14</f>
        <v>8</v>
      </c>
      <c r="D7" s="4" t="n">
        <f aca="false">Assumptions!D14</f>
        <v>7.5</v>
      </c>
      <c r="E7" s="4" t="n">
        <f aca="false">Assumptions!E14</f>
        <v>6.5</v>
      </c>
      <c r="F7" s="4" t="n">
        <f aca="false">Assumptions!F14</f>
        <v>7</v>
      </c>
      <c r="G7" s="4" t="n">
        <f aca="false">Assumptions!G14</f>
        <v>7.5</v>
      </c>
      <c r="H7" s="4" t="n">
        <f aca="false">Assumptions!H14</f>
        <v>7.8</v>
      </c>
      <c r="I7" s="4" t="n">
        <f aca="false">Assumptions!I14</f>
        <v>8</v>
      </c>
      <c r="J7" s="4" t="n">
        <f aca="false">Assumptions!J14</f>
        <v>8</v>
      </c>
      <c r="K7" s="4" t="n">
        <f aca="false">Assumptions!K14</f>
        <v>8</v>
      </c>
      <c r="L7" s="4" t="n">
        <f aca="false">Assumptions!L14</f>
        <v>8</v>
      </c>
    </row>
    <row r="8" customFormat="false" ht="15" hidden="false" customHeight="false" outlineLevel="0" collapsed="false">
      <c r="A8" s="0" t="s">
        <v>44</v>
      </c>
      <c r="C8" s="0" t="n">
        <f aca="false">C6*C7/100</f>
        <v>10165.394128</v>
      </c>
      <c r="D8" s="0" t="n">
        <f aca="false">D6*D7/100</f>
        <v>8577.0512955</v>
      </c>
      <c r="E8" s="0" t="n">
        <f aca="false">E6*E7/100</f>
        <v>6318.427787685</v>
      </c>
      <c r="F8" s="0" t="n">
        <f aca="false">F6*F7/100</f>
        <v>6600.3268735971</v>
      </c>
      <c r="G8" s="0" t="n">
        <f aca="false">G6*G7/100</f>
        <v>7354.64994486534</v>
      </c>
      <c r="H8" s="0" t="n">
        <f aca="false">H6*H7/100</f>
        <v>7878.30102093975</v>
      </c>
      <c r="I8" s="0" t="n">
        <f aca="false">I6*I7/100</f>
        <v>8322.71800160815</v>
      </c>
      <c r="J8" s="0" t="n">
        <f aca="false">J6*J7/100</f>
        <v>8530.78595164835</v>
      </c>
      <c r="K8" s="0" t="n">
        <f aca="false">K6*K7/100</f>
        <v>8701.40167068132</v>
      </c>
      <c r="L8" s="0" t="n">
        <f aca="false">L6*L7/100</f>
        <v>8875.42970409494</v>
      </c>
    </row>
    <row r="9" customFormat="false" ht="15" hidden="false" customHeight="false" outlineLevel="0" collapsed="false">
      <c r="A9" s="0" t="s">
        <v>97</v>
      </c>
      <c r="C9" s="4" t="n">
        <f aca="false">Assumptions!C15</f>
        <v>0.09</v>
      </c>
      <c r="D9" s="4" t="n">
        <f aca="false">Assumptions!D15</f>
        <v>0.09</v>
      </c>
      <c r="E9" s="4" t="n">
        <f aca="false">Assumptions!E15</f>
        <v>0.09</v>
      </c>
      <c r="F9" s="4" t="n">
        <f aca="false">Assumptions!F15</f>
        <v>0.09</v>
      </c>
      <c r="G9" s="4" t="n">
        <f aca="false">Assumptions!G15</f>
        <v>0.08</v>
      </c>
      <c r="H9" s="4" t="n">
        <f aca="false">Assumptions!H15</f>
        <v>0.08</v>
      </c>
      <c r="I9" s="4" t="n">
        <f aca="false">Assumptions!I15</f>
        <v>0.08</v>
      </c>
      <c r="J9" s="4" t="n">
        <f aca="false">Assumptions!J15</f>
        <v>0.08</v>
      </c>
      <c r="K9" s="4" t="n">
        <f aca="false">Assumptions!K15</f>
        <v>0.08</v>
      </c>
      <c r="L9" s="4" t="n">
        <f aca="false">Assumptions!L15</f>
        <v>0.08</v>
      </c>
    </row>
    <row r="10" customFormat="false" ht="15" hidden="false" customHeight="false" outlineLevel="0" collapsed="false">
      <c r="A10" s="0" t="s">
        <v>112</v>
      </c>
      <c r="C10" s="0" t="n">
        <f aca="false">-C6*C9/100</f>
        <v>-114.36068394</v>
      </c>
      <c r="D10" s="0" t="n">
        <f aca="false">-D6*D9/100</f>
        <v>-102.924615546</v>
      </c>
      <c r="E10" s="0" t="n">
        <f aca="false">-E6*E9/100</f>
        <v>-87.4859232141</v>
      </c>
      <c r="F10" s="0" t="n">
        <f aca="false">-F6*F9/100</f>
        <v>-84.861345517677</v>
      </c>
      <c r="G10" s="0" t="n">
        <f aca="false">-G6*G9/100</f>
        <v>-78.449599411897</v>
      </c>
      <c r="H10" s="0" t="n">
        <f aca="false">-H6*H9/100</f>
        <v>-80.8030873942539</v>
      </c>
      <c r="I10" s="0" t="n">
        <f aca="false">-I6*I9/100</f>
        <v>-83.2271800160815</v>
      </c>
      <c r="J10" s="0" t="n">
        <f aca="false">-J6*J9/100</f>
        <v>-85.3078595164835</v>
      </c>
      <c r="K10" s="0" t="n">
        <f aca="false">-K6*K9/100</f>
        <v>-87.0140167068132</v>
      </c>
      <c r="L10" s="0" t="n">
        <f aca="false">-L6*L9/100</f>
        <v>-88.7542970409494</v>
      </c>
    </row>
    <row r="11" customFormat="false" ht="15" hidden="false" customHeight="false" outlineLevel="0" collapsed="false">
      <c r="A11" s="0" t="s">
        <v>113</v>
      </c>
      <c r="C11" s="0" t="n">
        <f aca="false">C8+C10+C24</f>
        <v>10051.03344406</v>
      </c>
      <c r="D11" s="0" t="n">
        <f aca="false">D8+D10+D24</f>
        <v>8474.126679954</v>
      </c>
      <c r="E11" s="0" t="n">
        <f aca="false">E8+E10+E24</f>
        <v>6230.9418644709</v>
      </c>
      <c r="F11" s="0" t="n">
        <f aca="false">F8+F10+F24</f>
        <v>6515.46552807942</v>
      </c>
      <c r="G11" s="0" t="n">
        <f aca="false">G8+G10+G24</f>
        <v>7276.20034545344</v>
      </c>
      <c r="H11" s="0" t="n">
        <f aca="false">H8+H10+H24</f>
        <v>7797.4979335455</v>
      </c>
      <c r="I11" s="0" t="n">
        <f aca="false">I8+I10+I24</f>
        <v>8239.49082159207</v>
      </c>
      <c r="J11" s="0" t="n">
        <f aca="false">J8+J10+J24</f>
        <v>8445.47809213187</v>
      </c>
      <c r="K11" s="0" t="n">
        <f aca="false">K8+K10+K24</f>
        <v>8614.38765397451</v>
      </c>
      <c r="L11" s="0" t="n">
        <f aca="false">L8+L10+L24</f>
        <v>8786.675407054</v>
      </c>
    </row>
    <row r="12" customFormat="false" ht="15" hidden="false" customHeight="false" outlineLevel="0" collapsed="false">
      <c r="A12" s="0" t="s">
        <v>114</v>
      </c>
      <c r="C12" s="4" t="n">
        <f aca="false">-C6*Assumptions!C17/100</f>
        <v>-1906.011399</v>
      </c>
      <c r="D12" s="4" t="n">
        <f aca="false">-D6*Assumptions!D17/100</f>
        <v>-1944.13162698</v>
      </c>
      <c r="E12" s="4" t="n">
        <f aca="false">-E6*Assumptions!E17/100</f>
        <v>-1846.925045631</v>
      </c>
      <c r="F12" s="4" t="n">
        <f aca="false">-F6*Assumptions!F17/100</f>
        <v>-1791.51729426207</v>
      </c>
      <c r="G12" s="4" t="n">
        <f aca="false">-G6*Assumptions!G17/100</f>
        <v>-1863.17798603255</v>
      </c>
      <c r="H12" s="4" t="n">
        <f aca="false">-H6*Assumptions!H17/100</f>
        <v>-1818.06946637071</v>
      </c>
      <c r="I12" s="4" t="n">
        <f aca="false">-I6*Assumptions!I17/100</f>
        <v>-1872.61155036183</v>
      </c>
      <c r="J12" s="4" t="n">
        <f aca="false">-J6*Assumptions!J17/100</f>
        <v>-1919.42683912088</v>
      </c>
      <c r="K12" s="4" t="n">
        <f aca="false">-K6*Assumptions!K17/100</f>
        <v>-1957.8153759033</v>
      </c>
      <c r="L12" s="4" t="n">
        <f aca="false">-L6*Assumptions!L17/100</f>
        <v>-1996.97168342136</v>
      </c>
    </row>
    <row r="13" customFormat="false" ht="15" hidden="false" customHeight="false" outlineLevel="0" collapsed="false">
      <c r="A13" s="0" t="s">
        <v>115</v>
      </c>
      <c r="C13" s="0" t="n">
        <f aca="false">C11+C12</f>
        <v>8145.02204506</v>
      </c>
      <c r="D13" s="0" t="n">
        <f aca="false">D11+D12</f>
        <v>6529.995052974</v>
      </c>
      <c r="E13" s="0" t="n">
        <f aca="false">E11+E12</f>
        <v>4384.0168188399</v>
      </c>
      <c r="F13" s="0" t="n">
        <f aca="false">F11+F12</f>
        <v>4723.94823381735</v>
      </c>
      <c r="G13" s="0" t="n">
        <f aca="false">G11+G12</f>
        <v>5413.02235942089</v>
      </c>
      <c r="H13" s="0" t="n">
        <f aca="false">H11+H12</f>
        <v>5979.42846717479</v>
      </c>
      <c r="I13" s="0" t="n">
        <f aca="false">I11+I12</f>
        <v>6366.87927123023</v>
      </c>
      <c r="J13" s="0" t="n">
        <f aca="false">J11+J12</f>
        <v>6526.05125301099</v>
      </c>
      <c r="K13" s="0" t="n">
        <f aca="false">K11+K12</f>
        <v>6656.57227807121</v>
      </c>
      <c r="L13" s="0" t="n">
        <f aca="false">L11+L12</f>
        <v>6789.70372363263</v>
      </c>
    </row>
    <row r="14" customFormat="false" ht="15" hidden="false" customHeight="false" outlineLevel="0" collapsed="false">
      <c r="A14" s="0" t="s">
        <v>101</v>
      </c>
      <c r="C14" s="4" t="n">
        <f aca="false">Assumptions!C19</f>
        <v>15</v>
      </c>
      <c r="D14" s="4" t="n">
        <f aca="false">Assumptions!D19</f>
        <v>15</v>
      </c>
      <c r="E14" s="4" t="n">
        <f aca="false">Assumptions!E19</f>
        <v>16</v>
      </c>
      <c r="F14" s="4" t="n">
        <f aca="false">Assumptions!F19</f>
        <v>17</v>
      </c>
      <c r="G14" s="4" t="n">
        <f aca="false">Assumptions!G19</f>
        <v>18</v>
      </c>
      <c r="H14" s="4" t="n">
        <f aca="false">Assumptions!H19</f>
        <v>19</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116</v>
      </c>
      <c r="C15" s="0" t="n">
        <f aca="false">C13-MAX(0,C13)*C14/100</f>
        <v>6923.268738301</v>
      </c>
      <c r="D15" s="0" t="n">
        <f aca="false">D13-MAX(0,D13)*D14/100</f>
        <v>5550.4957950279</v>
      </c>
      <c r="E15" s="0" t="n">
        <f aca="false">E13-MAX(0,E13)*E14/100</f>
        <v>3682.57412782551</v>
      </c>
      <c r="F15" s="0" t="n">
        <f aca="false">F13-MAX(0,F13)*F14/100</f>
        <v>3920.8770340684</v>
      </c>
      <c r="G15" s="0" t="n">
        <f aca="false">G13-MAX(0,G13)*G14/100</f>
        <v>4438.67833472513</v>
      </c>
      <c r="H15" s="0" t="n">
        <f aca="false">H13-MAX(0,H13)*H14/100</f>
        <v>4843.33705841158</v>
      </c>
      <c r="I15" s="0" t="n">
        <f aca="false">I13-MAX(0,I13)*I14/100</f>
        <v>5093.50341698419</v>
      </c>
      <c r="J15" s="0" t="n">
        <f aca="false">J13-MAX(0,J13)*J14/100</f>
        <v>5220.84100240879</v>
      </c>
      <c r="K15" s="0" t="n">
        <f aca="false">K13-MAX(0,K13)*K14/100</f>
        <v>5325.25782245697</v>
      </c>
      <c r="L15" s="0" t="n">
        <f aca="false">L13-MAX(0,L13)*L14/100</f>
        <v>5431.76297890611</v>
      </c>
    </row>
    <row r="16" customFormat="false" ht="15" hidden="false" customHeight="false" outlineLevel="0" collapsed="false">
      <c r="A16" s="0" t="s">
        <v>117</v>
      </c>
      <c r="C16" s="0" t="n">
        <f aca="false">-C12</f>
        <v>1906.011399</v>
      </c>
      <c r="D16" s="0" t="n">
        <f aca="false">-D12</f>
        <v>1944.13162698</v>
      </c>
      <c r="E16" s="0" t="n">
        <f aca="false">-E12</f>
        <v>1846.925045631</v>
      </c>
      <c r="F16" s="0" t="n">
        <f aca="false">-F12</f>
        <v>1791.51729426207</v>
      </c>
      <c r="G16" s="0" t="n">
        <f aca="false">-G12</f>
        <v>1863.17798603255</v>
      </c>
      <c r="H16" s="0" t="n">
        <f aca="false">-H12</f>
        <v>1818.06946637071</v>
      </c>
      <c r="I16" s="0" t="n">
        <f aca="false">-I12</f>
        <v>1872.61155036183</v>
      </c>
      <c r="J16" s="0" t="n">
        <f aca="false">-J12</f>
        <v>1919.42683912088</v>
      </c>
      <c r="K16" s="0" t="n">
        <f aca="false">-K12</f>
        <v>1957.8153759033</v>
      </c>
      <c r="L16" s="0" t="n">
        <f aca="false">-L12</f>
        <v>1996.97168342136</v>
      </c>
    </row>
    <row r="17" customFormat="false" ht="15" hidden="false" customHeight="false" outlineLevel="0" collapsed="false">
      <c r="A17" s="0" t="s">
        <v>118</v>
      </c>
      <c r="C17" s="4" t="n">
        <f aca="false">-C6*Assumptions!C18/100</f>
        <v>-1651.8765458</v>
      </c>
      <c r="D17" s="4" t="n">
        <f aca="false">-D6*Assumptions!D18/100</f>
        <v>-1715.4102591</v>
      </c>
      <c r="E17" s="4" t="n">
        <f aca="false">-E6*Assumptions!E18/100</f>
        <v>-1652.511882933</v>
      </c>
      <c r="F17" s="4" t="n">
        <f aca="false">-F6*Assumptions!F18/100</f>
        <v>-1697.22691035354</v>
      </c>
      <c r="G17" s="4" t="n">
        <f aca="false">-G6*Assumptions!G18/100</f>
        <v>-1863.17798603255</v>
      </c>
      <c r="H17" s="4" t="n">
        <f aca="false">-H6*Assumptions!H18/100</f>
        <v>-2020.07718485635</v>
      </c>
      <c r="I17" s="4" t="n">
        <f aca="false">-I6*Assumptions!I18/100</f>
        <v>-2080.67950040204</v>
      </c>
      <c r="J17" s="4" t="n">
        <f aca="false">-J6*Assumptions!J18/100</f>
        <v>-2132.69648791209</v>
      </c>
      <c r="K17" s="4" t="n">
        <f aca="false">-K6*Assumptions!K18/100</f>
        <v>-2175.35041767033</v>
      </c>
      <c r="L17" s="4" t="n">
        <f aca="false">-L6*Assumptions!L18/100</f>
        <v>-2218.85742602374</v>
      </c>
    </row>
    <row r="18" customFormat="false" ht="15" hidden="false" customHeight="false" outlineLevel="0" collapsed="false">
      <c r="A18" s="0" t="s">
        <v>119</v>
      </c>
      <c r="C18" s="4" t="n">
        <f aca="false">(C6-B6)*Assumptions!$B$23/100</f>
        <v>-2628.98124</v>
      </c>
      <c r="D18" s="4" t="n">
        <f aca="false">(D6-C6)*Assumptions!$B$23/100</f>
        <v>1906.011399</v>
      </c>
      <c r="E18" s="4" t="n">
        <f aca="false">(E6-D6)*Assumptions!$B$23/100</f>
        <v>2573.11538865</v>
      </c>
      <c r="F18" s="4" t="n">
        <f aca="false">(F6-E6)*Assumptions!$B$23/100</f>
        <v>437.4296160705</v>
      </c>
      <c r="G18" s="4" t="n">
        <f aca="false">(G6-F6)*Assumptions!$B$23/100</f>
        <v>-565.742303451181</v>
      </c>
      <c r="H18" s="4" t="n">
        <f aca="false">(H6-G6)*Assumptions!$B$23/100</f>
        <v>-441.278996691921</v>
      </c>
      <c r="I18" s="4" t="n">
        <f aca="false">(I6-H6)*Assumptions!$B$23/100</f>
        <v>-454.517366592678</v>
      </c>
      <c r="J18" s="4" t="n">
        <f aca="false">(J6-I6)*Assumptions!$B$23/100</f>
        <v>-390.127406325381</v>
      </c>
      <c r="K18" s="4" t="n">
        <f aca="false">(K6-J6)*Assumptions!$B$23/100</f>
        <v>-319.904473186814</v>
      </c>
      <c r="L18" s="4" t="n">
        <f aca="false">(L6-K6)*Assumptions!$B$23/100</f>
        <v>-326.302562650549</v>
      </c>
    </row>
    <row r="19" customFormat="false" ht="15" hidden="false" customHeight="false" outlineLevel="0" collapsed="false">
      <c r="A19" s="0" t="s">
        <v>120</v>
      </c>
      <c r="C19" s="0" t="n">
        <f aca="false">C15+C16+C17+C18</f>
        <v>4548.422351501</v>
      </c>
      <c r="D19" s="0" t="n">
        <f aca="false">D15+D16+D17+D18</f>
        <v>7685.2285619079</v>
      </c>
      <c r="E19" s="0" t="n">
        <f aca="false">E15+E16+E17+E18</f>
        <v>6450.10267917352</v>
      </c>
      <c r="F19" s="0" t="n">
        <f aca="false">F15+F16+F17+F18</f>
        <v>4452.59703404743</v>
      </c>
      <c r="G19" s="0" t="n">
        <f aca="false">G15+G16+G17+G18</f>
        <v>3872.93603127395</v>
      </c>
      <c r="H19" s="0" t="n">
        <f aca="false">H15+H16+H17+H18</f>
        <v>4200.05034323402</v>
      </c>
      <c r="I19" s="0" t="n">
        <f aca="false">I15+I16+I17+I18</f>
        <v>4430.91810035131</v>
      </c>
      <c r="J19" s="0" t="n">
        <f aca="false">J15+J16+J17+J18</f>
        <v>4617.4439472922</v>
      </c>
      <c r="K19" s="0" t="n">
        <f aca="false">K15+K16+K17+K18</f>
        <v>4787.81830750312</v>
      </c>
      <c r="L19" s="0" t="n">
        <f aca="false">L15+L16+L17+L18</f>
        <v>4883.57467365318</v>
      </c>
    </row>
    <row r="20" customFormat="false" ht="15" hidden="false" customHeight="false" outlineLevel="0" collapsed="false">
      <c r="A20" s="0" t="s">
        <v>121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122</v>
      </c>
      <c r="C21" s="0" t="n">
        <f aca="false">C19*C20</f>
        <v>4153.81036666758</v>
      </c>
      <c r="D21" s="0" t="n">
        <f aca="false">D19*D20</f>
        <v>6409.56490640971</v>
      </c>
      <c r="E21" s="0" t="n">
        <f aca="false">E19*E20</f>
        <v>4912.74554728953</v>
      </c>
      <c r="F21" s="0" t="n">
        <f aca="false">F19*F20</f>
        <v>3097.11203612489</v>
      </c>
      <c r="G21" s="0" t="n">
        <f aca="false">G19*G20</f>
        <v>2460.19611293215</v>
      </c>
      <c r="H21" s="0" t="n">
        <f aca="false">H19*H20</f>
        <v>2436.51887999893</v>
      </c>
      <c r="I21" s="0" t="n">
        <f aca="false">I19*I20</f>
        <v>2347.44209665462</v>
      </c>
      <c r="J21" s="0" t="n">
        <f aca="false">J19*J20</f>
        <v>2234.02834301217</v>
      </c>
      <c r="K21" s="0" t="n">
        <f aca="false">K19*K20</f>
        <v>2115.48810861614</v>
      </c>
      <c r="L21" s="0" t="n">
        <f aca="false">L19*L20</f>
        <v>1970.59166282051</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9.5</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11</v>
      </c>
    </row>
    <row r="30" customFormat="false" ht="15" hidden="false" customHeight="false" outlineLevel="0" collapsed="false">
      <c r="A30" s="0" t="s">
        <v>125</v>
      </c>
      <c r="B30" s="0" t="n">
        <f aca="false">SUM(C21:L21)</f>
        <v>32137.4980605262</v>
      </c>
    </row>
    <row r="31" customFormat="false" ht="15" hidden="false" customHeight="false" outlineLevel="0" collapsed="false">
      <c r="A31" s="0" t="s">
        <v>126</v>
      </c>
      <c r="B31" s="0" t="n">
        <f aca="false">L19</f>
        <v>4883.57467365318</v>
      </c>
    </row>
    <row r="32" customFormat="false" ht="15" hidden="false" customHeight="false" outlineLevel="0" collapsed="false">
      <c r="A32" s="0" t="s">
        <v>127</v>
      </c>
      <c r="B32" s="0" t="n">
        <f aca="false">IF(B27&gt;B28,B31*(1+B28/100)/((B27-B28)/100),B31*B29)</f>
        <v>66416.6155616833</v>
      </c>
    </row>
    <row r="33" customFormat="false" ht="15" hidden="false" customHeight="false" outlineLevel="0" collapsed="false">
      <c r="A33" s="0" t="s">
        <v>128</v>
      </c>
      <c r="B33" s="0" t="n">
        <f aca="false">B31*B29</f>
        <v>53719.321410185</v>
      </c>
    </row>
    <row r="34" customFormat="false" ht="15" hidden="false" customHeight="false" outlineLevel="0" collapsed="false">
      <c r="A34" s="0" t="s">
        <v>129</v>
      </c>
      <c r="B34" s="0" t="n">
        <f aca="false">MAX(0,MIN(B32,B33))</f>
        <v>53719.321410185</v>
      </c>
    </row>
    <row r="35" customFormat="false" ht="15" hidden="false" customHeight="false" outlineLevel="0" collapsed="false">
      <c r="A35" s="0" t="s">
        <v>130</v>
      </c>
      <c r="B35" s="0" t="n">
        <f aca="false">B34/(1+B27/100)^L4</f>
        <v>21676.5082910256</v>
      </c>
    </row>
    <row r="36" customFormat="false" ht="15" hidden="false" customHeight="false" outlineLevel="0" collapsed="false">
      <c r="A36" s="0" t="s">
        <v>131</v>
      </c>
      <c r="B36" s="0" t="n">
        <f aca="false">B30+B35</f>
        <v>53814.0063515519</v>
      </c>
    </row>
    <row r="37" customFormat="false" ht="15" hidden="false" customHeight="false" outlineLevel="0" collapsed="false">
      <c r="A37" s="0" t="s">
        <v>132</v>
      </c>
      <c r="B37" s="0" t="n">
        <f aca="false">B36+Assumptions!$B$5-Assumptions!$B$4</f>
        <v>75907.1063515519</v>
      </c>
    </row>
    <row r="38" customFormat="false" ht="15" hidden="false" customHeight="false" outlineLevel="0" collapsed="false">
      <c r="A38" s="0" t="s">
        <v>133</v>
      </c>
      <c r="B38" s="0" t="n">
        <f aca="false">B37/Assumptions!$B$3*Assumptions!$B$10</f>
        <v>32.4520799187305</v>
      </c>
    </row>
    <row r="39" customFormat="false" ht="15" hidden="false" customHeight="false" outlineLevel="0" collapsed="false">
      <c r="A39" s="0" t="s">
        <v>134</v>
      </c>
      <c r="B39" s="4" t="n">
        <f aca="false">B38/Assumptions!$B$2-1</f>
        <v>0.0302247593247789</v>
      </c>
    </row>
    <row r="41" customFormat="false" ht="15" hidden="false" customHeight="false" outlineLevel="0" collapsed="false">
      <c r="A41" s="0" t="s">
        <v>135</v>
      </c>
      <c r="B41" s="0" t="n">
        <f aca="false">SUMPRODUCT(-C10:L10/(1+$B$27/100)^C4:L4)</f>
        <v>572.276377498255</v>
      </c>
    </row>
    <row r="42" customFormat="false" ht="15" hidden="false" customHeight="false" outlineLevel="0" collapsed="false">
      <c r="A42" s="0" t="s">
        <v>136</v>
      </c>
      <c r="B42" s="0" t="n">
        <f aca="false">IF(B27&gt;B28,-L10*(1+B28/100)/((B27-B28)/100),-L10*20)/(1+B27/100)^L4</f>
        <v>487.065204665493</v>
      </c>
    </row>
    <row r="43" customFormat="false" ht="15" hidden="false" customHeight="false" outlineLevel="0" collapsed="false">
      <c r="A43" s="0" t="s">
        <v>137</v>
      </c>
      <c r="B43" s="0" t="n">
        <f aca="false">(B37+B41+B42)/Assumptions!$B$3*Assumptions!$B$10</f>
        <v>32.904973453183</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38317.2782086634</v>
      </c>
    </row>
    <row r="47" customFormat="false" ht="15" hidden="false" customHeight="false" outlineLevel="0" collapsed="false">
      <c r="A47" s="0" t="s">
        <v>139</v>
      </c>
      <c r="B47" s="0" t="n">
        <f aca="false">(SUMPRODUCT(C19:L19/(1+B45/100)^C4:L4)+B46/(1+B45/100)^L4+Assumptions!$B$5-Assumptions!$B$4)/Assumptions!$B$3*Assumptions!$B$10</f>
        <v>24.6263584322787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22</v>
      </c>
      <c r="D5" s="4" t="n">
        <f aca="false">Assumptions!D27</f>
        <v>4</v>
      </c>
      <c r="E5" s="4" t="n">
        <f aca="false">Assumptions!E27</f>
        <v>-8</v>
      </c>
      <c r="F5" s="4" t="n">
        <f aca="false">Assumptions!F27</f>
        <v>-2</v>
      </c>
      <c r="G5" s="4" t="n">
        <f aca="false">Assumptions!G27</f>
        <v>6</v>
      </c>
      <c r="H5" s="4" t="n">
        <f aca="false">Assumptions!H27</f>
        <v>5</v>
      </c>
      <c r="I5" s="4" t="n">
        <f aca="false">Assumptions!I27</f>
        <v>3.5</v>
      </c>
      <c r="J5" s="4" t="n">
        <f aca="false">Assumptions!J27</f>
        <v>3</v>
      </c>
      <c r="K5" s="4" t="n">
        <f aca="false">Assumptions!K27</f>
        <v>2.5</v>
      </c>
      <c r="L5" s="4" t="n">
        <f aca="false">Assumptions!L27</f>
        <v>2.5</v>
      </c>
    </row>
    <row r="6" customFormat="false" ht="15" hidden="false" customHeight="false" outlineLevel="0" collapsed="false">
      <c r="A6" s="0" t="s">
        <v>38</v>
      </c>
      <c r="B6" s="3" t="n">
        <v>109540.885</v>
      </c>
      <c r="C6" s="0" t="n">
        <f aca="false">B6*(1+C5/100)</f>
        <v>133639.8797</v>
      </c>
      <c r="D6" s="0" t="n">
        <f aca="false">C6*(1+D5/100)</f>
        <v>138985.474888</v>
      </c>
      <c r="E6" s="0" t="n">
        <f aca="false">D6*(1+E5/100)</f>
        <v>127866.63689696</v>
      </c>
      <c r="F6" s="0" t="n">
        <f aca="false">E6*(1+F5/100)</f>
        <v>125309.304159021</v>
      </c>
      <c r="G6" s="0" t="n">
        <f aca="false">F6*(1+G5/100)</f>
        <v>132827.862408562</v>
      </c>
      <c r="H6" s="0" t="n">
        <f aca="false">G6*(1+H5/100)</f>
        <v>139469.25552899</v>
      </c>
      <c r="I6" s="0" t="n">
        <f aca="false">H6*(1+I5/100)</f>
        <v>144350.679472505</v>
      </c>
      <c r="J6" s="0" t="n">
        <f aca="false">I6*(1+J5/100)</f>
        <v>148681.19985668</v>
      </c>
      <c r="K6" s="0" t="n">
        <f aca="false">J6*(1+K5/100)</f>
        <v>152398.229853097</v>
      </c>
      <c r="L6" s="0" t="n">
        <f aca="false">K6*(1+L5/100)</f>
        <v>156208.185599424</v>
      </c>
    </row>
    <row r="7" customFormat="false" ht="15" hidden="false" customHeight="false" outlineLevel="0" collapsed="false">
      <c r="A7" s="0" t="s">
        <v>96</v>
      </c>
      <c r="C7" s="4" t="n">
        <f aca="false">Assumptions!C28</f>
        <v>8.6</v>
      </c>
      <c r="D7" s="4" t="n">
        <f aca="false">Assumptions!D28</f>
        <v>9</v>
      </c>
      <c r="E7" s="4" t="n">
        <f aca="false">Assumptions!E28</f>
        <v>8</v>
      </c>
      <c r="F7" s="4" t="n">
        <f aca="false">Assumptions!F28</f>
        <v>8.2</v>
      </c>
      <c r="G7" s="4" t="n">
        <f aca="false">Assumptions!G28</f>
        <v>8.8</v>
      </c>
      <c r="H7" s="4" t="n">
        <f aca="false">Assumptions!H28</f>
        <v>9</v>
      </c>
      <c r="I7" s="4" t="n">
        <f aca="false">Assumptions!I28</f>
        <v>9</v>
      </c>
      <c r="J7" s="4" t="n">
        <f aca="false">Assumptions!J28</f>
        <v>9</v>
      </c>
      <c r="K7" s="4" t="n">
        <f aca="false">Assumptions!K28</f>
        <v>9</v>
      </c>
      <c r="L7" s="4" t="n">
        <f aca="false">Assumptions!L28</f>
        <v>9</v>
      </c>
    </row>
    <row r="8" customFormat="false" ht="15" hidden="false" customHeight="false" outlineLevel="0" collapsed="false">
      <c r="A8" s="0" t="s">
        <v>44</v>
      </c>
      <c r="C8" s="0" t="n">
        <f aca="false">C6*C7/100</f>
        <v>11493.0296542</v>
      </c>
      <c r="D8" s="0" t="n">
        <f aca="false">D6*D7/100</f>
        <v>12508.69273992</v>
      </c>
      <c r="E8" s="0" t="n">
        <f aca="false">E6*E7/100</f>
        <v>10229.3309517568</v>
      </c>
      <c r="F8" s="0" t="n">
        <f aca="false">F6*F7/100</f>
        <v>10275.3629410397</v>
      </c>
      <c r="G8" s="0" t="n">
        <f aca="false">G6*G7/100</f>
        <v>11688.8518919535</v>
      </c>
      <c r="H8" s="0" t="n">
        <f aca="false">H6*H7/100</f>
        <v>12552.2329976091</v>
      </c>
      <c r="I8" s="0" t="n">
        <f aca="false">I6*I7/100</f>
        <v>12991.5611525254</v>
      </c>
      <c r="J8" s="0" t="n">
        <f aca="false">J6*J7/100</f>
        <v>13381.3079871012</v>
      </c>
      <c r="K8" s="0" t="n">
        <f aca="false">K6*K7/100</f>
        <v>13715.8406867787</v>
      </c>
      <c r="L8" s="0" t="n">
        <f aca="false">L6*L7/100</f>
        <v>14058.7367039482</v>
      </c>
    </row>
    <row r="9" customFormat="false" ht="15" hidden="false" customHeight="false" outlineLevel="0" collapsed="false">
      <c r="A9" s="0" t="s">
        <v>97</v>
      </c>
      <c r="C9" s="4" t="n">
        <f aca="false">Assumptions!C29</f>
        <v>0.09</v>
      </c>
      <c r="D9" s="4" t="n">
        <f aca="false">Assumptions!D29</f>
        <v>0.09</v>
      </c>
      <c r="E9" s="4" t="n">
        <f aca="false">Assumptions!E29</f>
        <v>0.09</v>
      </c>
      <c r="F9" s="4" t="n">
        <f aca="false">Assumptions!F29</f>
        <v>0.09</v>
      </c>
      <c r="G9" s="4" t="n">
        <f aca="false">Assumptions!G29</f>
        <v>0.08</v>
      </c>
      <c r="H9" s="4" t="n">
        <f aca="false">Assumptions!H29</f>
        <v>0.08</v>
      </c>
      <c r="I9" s="4" t="n">
        <f aca="false">Assumptions!I29</f>
        <v>0.08</v>
      </c>
      <c r="J9" s="4" t="n">
        <f aca="false">Assumptions!J29</f>
        <v>0.08</v>
      </c>
      <c r="K9" s="4" t="n">
        <f aca="false">Assumptions!K29</f>
        <v>0.08</v>
      </c>
      <c r="L9" s="4" t="n">
        <f aca="false">Assumptions!L29</f>
        <v>0.08</v>
      </c>
    </row>
    <row r="10" customFormat="false" ht="15" hidden="false" customHeight="false" outlineLevel="0" collapsed="false">
      <c r="A10" s="0" t="s">
        <v>112</v>
      </c>
      <c r="C10" s="0" t="n">
        <f aca="false">-C6*C9/100</f>
        <v>-120.27589173</v>
      </c>
      <c r="D10" s="0" t="n">
        <f aca="false">-D6*D9/100</f>
        <v>-125.0869273992</v>
      </c>
      <c r="E10" s="0" t="n">
        <f aca="false">-E6*E9/100</f>
        <v>-115.079973207264</v>
      </c>
      <c r="F10" s="0" t="n">
        <f aca="false">-F6*F9/100</f>
        <v>-112.778373743119</v>
      </c>
      <c r="G10" s="0" t="n">
        <f aca="false">-G6*G9/100</f>
        <v>-106.26228992685</v>
      </c>
      <c r="H10" s="0" t="n">
        <f aca="false">-H6*H9/100</f>
        <v>-111.575404423192</v>
      </c>
      <c r="I10" s="0" t="n">
        <f aca="false">-I6*I9/100</f>
        <v>-115.480543578004</v>
      </c>
      <c r="J10" s="0" t="n">
        <f aca="false">-J6*J9/100</f>
        <v>-118.944959885344</v>
      </c>
      <c r="K10" s="0" t="n">
        <f aca="false">-K6*K9/100</f>
        <v>-121.918583882478</v>
      </c>
      <c r="L10" s="0" t="n">
        <f aca="false">-L6*L9/100</f>
        <v>-124.96654847954</v>
      </c>
    </row>
    <row r="11" customFormat="false" ht="15" hidden="false" customHeight="false" outlineLevel="0" collapsed="false">
      <c r="A11" s="0" t="s">
        <v>113</v>
      </c>
      <c r="C11" s="0" t="n">
        <f aca="false">C8+C10+C24</f>
        <v>11372.75376247</v>
      </c>
      <c r="D11" s="0" t="n">
        <f aca="false">D8+D10+D24</f>
        <v>12383.6058125208</v>
      </c>
      <c r="E11" s="0" t="n">
        <f aca="false">E8+E10+E24</f>
        <v>10114.2509785495</v>
      </c>
      <c r="F11" s="0" t="n">
        <f aca="false">F8+F10+F24</f>
        <v>10162.5845672966</v>
      </c>
      <c r="G11" s="0" t="n">
        <f aca="false">G8+G10+G24</f>
        <v>11582.5896020266</v>
      </c>
      <c r="H11" s="0" t="n">
        <f aca="false">H8+H10+H24</f>
        <v>12440.6575931859</v>
      </c>
      <c r="I11" s="0" t="n">
        <f aca="false">I8+I10+I24</f>
        <v>12876.0806089474</v>
      </c>
      <c r="J11" s="0" t="n">
        <f aca="false">J8+J10+J24</f>
        <v>13262.3630272159</v>
      </c>
      <c r="K11" s="0" t="n">
        <f aca="false">K8+K10+K24</f>
        <v>13593.9221028963</v>
      </c>
      <c r="L11" s="0" t="n">
        <f aca="false">L8+L10+L24</f>
        <v>13933.7701554687</v>
      </c>
    </row>
    <row r="12" customFormat="false" ht="15" hidden="false" customHeight="false" outlineLevel="0" collapsed="false">
      <c r="A12" s="0" t="s">
        <v>114</v>
      </c>
      <c r="C12" s="4" t="n">
        <f aca="false">-C6*Assumptions!C31/100</f>
        <v>-2004.5981955</v>
      </c>
      <c r="D12" s="4" t="n">
        <f aca="false">-D6*Assumptions!D31/100</f>
        <v>-2223.767598208</v>
      </c>
      <c r="E12" s="4" t="n">
        <f aca="false">-E6*Assumptions!E31/100</f>
        <v>-2301.59946414528</v>
      </c>
      <c r="F12" s="4" t="n">
        <f aca="false">-F6*Assumptions!F31/100</f>
        <v>-2255.56747486237</v>
      </c>
      <c r="G12" s="4" t="n">
        <f aca="false">-G6*Assumptions!G31/100</f>
        <v>-2258.07366094556</v>
      </c>
      <c r="H12" s="4" t="n">
        <f aca="false">-H6*Assumptions!H31/100</f>
        <v>-2370.97734399283</v>
      </c>
      <c r="I12" s="4" t="n">
        <f aca="false">-I6*Assumptions!I31/100</f>
        <v>-2453.96155103258</v>
      </c>
      <c r="J12" s="4" t="n">
        <f aca="false">-J6*Assumptions!J31/100</f>
        <v>-2527.58039756356</v>
      </c>
      <c r="K12" s="4" t="n">
        <f aca="false">-K6*Assumptions!K31/100</f>
        <v>-2590.76990750265</v>
      </c>
      <c r="L12" s="4" t="n">
        <f aca="false">-L6*Assumptions!L31/100</f>
        <v>-2655.53915519021</v>
      </c>
    </row>
    <row r="13" customFormat="false" ht="15" hidden="false" customHeight="false" outlineLevel="0" collapsed="false">
      <c r="A13" s="0" t="s">
        <v>115</v>
      </c>
      <c r="C13" s="0" t="n">
        <f aca="false">C11+C12</f>
        <v>9368.15556697</v>
      </c>
      <c r="D13" s="0" t="n">
        <f aca="false">D11+D12</f>
        <v>10159.8382143128</v>
      </c>
      <c r="E13" s="0" t="n">
        <f aca="false">E11+E12</f>
        <v>7812.65151440426</v>
      </c>
      <c r="F13" s="0" t="n">
        <f aca="false">F11+F12</f>
        <v>7907.01709243421</v>
      </c>
      <c r="G13" s="0" t="n">
        <f aca="false">G11+G12</f>
        <v>9324.51594108106</v>
      </c>
      <c r="H13" s="0" t="n">
        <f aca="false">H11+H12</f>
        <v>10069.6802491931</v>
      </c>
      <c r="I13" s="0" t="n">
        <f aca="false">I11+I12</f>
        <v>10422.1190579149</v>
      </c>
      <c r="J13" s="0" t="n">
        <f aca="false">J11+J12</f>
        <v>10734.7826296523</v>
      </c>
      <c r="K13" s="0" t="n">
        <f aca="false">K11+K12</f>
        <v>11003.1521953936</v>
      </c>
      <c r="L13" s="0" t="n">
        <f aca="false">L11+L12</f>
        <v>11278.2310002784</v>
      </c>
    </row>
    <row r="14" customFormat="false" ht="15" hidden="false" customHeight="false" outlineLevel="0" collapsed="false">
      <c r="A14" s="0" t="s">
        <v>101</v>
      </c>
      <c r="C14" s="4" t="n">
        <f aca="false">Assumptions!C33</f>
        <v>15</v>
      </c>
      <c r="D14" s="4" t="n">
        <f aca="false">Assumptions!D33</f>
        <v>15</v>
      </c>
      <c r="E14" s="4" t="n">
        <f aca="false">Assumptions!E33</f>
        <v>15</v>
      </c>
      <c r="F14" s="4" t="n">
        <f aca="false">Assumptions!F33</f>
        <v>15</v>
      </c>
      <c r="G14" s="4" t="n">
        <f aca="false">Assumptions!G33</f>
        <v>16</v>
      </c>
      <c r="H14" s="4" t="n">
        <f aca="false">Assumptions!H33</f>
        <v>16</v>
      </c>
      <c r="I14" s="4" t="n">
        <f aca="false">Assumptions!I33</f>
        <v>17</v>
      </c>
      <c r="J14" s="4" t="n">
        <f aca="false">Assumptions!J33</f>
        <v>17</v>
      </c>
      <c r="K14" s="4" t="n">
        <f aca="false">Assumptions!K33</f>
        <v>17</v>
      </c>
      <c r="L14" s="4" t="n">
        <f aca="false">Assumptions!L33</f>
        <v>17</v>
      </c>
    </row>
    <row r="15" customFormat="false" ht="15" hidden="false" customHeight="false" outlineLevel="0" collapsed="false">
      <c r="A15" s="0" t="s">
        <v>116</v>
      </c>
      <c r="C15" s="0" t="n">
        <f aca="false">C13-MAX(0,C13)*C14/100</f>
        <v>7962.9322319245</v>
      </c>
      <c r="D15" s="0" t="n">
        <f aca="false">D13-MAX(0,D13)*D14/100</f>
        <v>8635.86248216588</v>
      </c>
      <c r="E15" s="0" t="n">
        <f aca="false">E13-MAX(0,E13)*E14/100</f>
        <v>6640.75378724362</v>
      </c>
      <c r="F15" s="0" t="n">
        <f aca="false">F13-MAX(0,F13)*F14/100</f>
        <v>6720.96452856908</v>
      </c>
      <c r="G15" s="0" t="n">
        <f aca="false">G13-MAX(0,G13)*G14/100</f>
        <v>7832.59339050809</v>
      </c>
      <c r="H15" s="0" t="n">
        <f aca="false">H13-MAX(0,H13)*H14/100</f>
        <v>8458.5314093222</v>
      </c>
      <c r="I15" s="0" t="n">
        <f aca="false">I13-MAX(0,I13)*I14/100</f>
        <v>8650.35881806933</v>
      </c>
      <c r="J15" s="0" t="n">
        <f aca="false">J13-MAX(0,J13)*J14/100</f>
        <v>8909.8695826114</v>
      </c>
      <c r="K15" s="0" t="n">
        <f aca="false">K13-MAX(0,K13)*K14/100</f>
        <v>9132.61632217669</v>
      </c>
      <c r="L15" s="0" t="n">
        <f aca="false">L13-MAX(0,L13)*L14/100</f>
        <v>9360.93173023111</v>
      </c>
    </row>
    <row r="16" customFormat="false" ht="15" hidden="false" customHeight="false" outlineLevel="0" collapsed="false">
      <c r="A16" s="0" t="s">
        <v>117</v>
      </c>
      <c r="C16" s="0" t="n">
        <f aca="false">-C12</f>
        <v>2004.5981955</v>
      </c>
      <c r="D16" s="0" t="n">
        <f aca="false">-D12</f>
        <v>2223.767598208</v>
      </c>
      <c r="E16" s="0" t="n">
        <f aca="false">-E12</f>
        <v>2301.59946414528</v>
      </c>
      <c r="F16" s="0" t="n">
        <f aca="false">-F12</f>
        <v>2255.56747486237</v>
      </c>
      <c r="G16" s="0" t="n">
        <f aca="false">-G12</f>
        <v>2258.07366094556</v>
      </c>
      <c r="H16" s="0" t="n">
        <f aca="false">-H12</f>
        <v>2370.97734399283</v>
      </c>
      <c r="I16" s="0" t="n">
        <f aca="false">-I12</f>
        <v>2453.96155103258</v>
      </c>
      <c r="J16" s="0" t="n">
        <f aca="false">-J12</f>
        <v>2527.58039756356</v>
      </c>
      <c r="K16" s="0" t="n">
        <f aca="false">-K12</f>
        <v>2590.76990750265</v>
      </c>
      <c r="L16" s="0" t="n">
        <f aca="false">-L12</f>
        <v>2655.53915519021</v>
      </c>
    </row>
    <row r="17" customFormat="false" ht="15" hidden="false" customHeight="false" outlineLevel="0" collapsed="false">
      <c r="A17" s="0" t="s">
        <v>118</v>
      </c>
      <c r="C17" s="4" t="n">
        <f aca="false">-C6*Assumptions!C32/100</f>
        <v>-1603.6785564</v>
      </c>
      <c r="D17" s="4" t="n">
        <f aca="false">-D6*Assumptions!D32/100</f>
        <v>-2084.78212332</v>
      </c>
      <c r="E17" s="4" t="n">
        <f aca="false">-E6*Assumptions!E32/100</f>
        <v>-2045.86619035136</v>
      </c>
      <c r="F17" s="4" t="n">
        <f aca="false">-F6*Assumptions!F32/100</f>
        <v>-2004.94886654433</v>
      </c>
      <c r="G17" s="4" t="n">
        <f aca="false">-G6*Assumptions!G32/100</f>
        <v>-2258.07366094556</v>
      </c>
      <c r="H17" s="4" t="n">
        <f aca="false">-H6*Assumptions!H32/100</f>
        <v>-2370.97734399283</v>
      </c>
      <c r="I17" s="4" t="n">
        <f aca="false">-I6*Assumptions!I32/100</f>
        <v>-2598.31223050509</v>
      </c>
      <c r="J17" s="4" t="n">
        <f aca="false">-J6*Assumptions!J32/100</f>
        <v>-2676.26159742024</v>
      </c>
      <c r="K17" s="4" t="n">
        <f aca="false">-K6*Assumptions!K32/100</f>
        <v>-2743.16813735575</v>
      </c>
      <c r="L17" s="4" t="n">
        <f aca="false">-L6*Assumptions!L32/100</f>
        <v>-2811.74734078964</v>
      </c>
    </row>
    <row r="18" customFormat="false" ht="15" hidden="false" customHeight="false" outlineLevel="0" collapsed="false">
      <c r="A18" s="0" t="s">
        <v>119</v>
      </c>
      <c r="C18" s="4" t="n">
        <f aca="false">(C6-B6)*Assumptions!$B$37/100</f>
        <v>-1927.919576</v>
      </c>
      <c r="D18" s="4" t="n">
        <f aca="false">(D6-C6)*Assumptions!$B$37/100</f>
        <v>-427.647615040001</v>
      </c>
      <c r="E18" s="4" t="n">
        <f aca="false">(E6-D6)*Assumptions!$B$37/100</f>
        <v>889.5070392832</v>
      </c>
      <c r="F18" s="4" t="n">
        <f aca="false">(F6-E6)*Assumptions!$B$37/100</f>
        <v>204.586619035136</v>
      </c>
      <c r="G18" s="4" t="n">
        <f aca="false">(G6-F6)*Assumptions!$B$37/100</f>
        <v>-601.484659963301</v>
      </c>
      <c r="H18" s="4" t="n">
        <f aca="false">(H6-G6)*Assumptions!$B$37/100</f>
        <v>-531.311449634249</v>
      </c>
      <c r="I18" s="4" t="n">
        <f aca="false">(I6-H6)*Assumptions!$B$37/100</f>
        <v>-390.513915481172</v>
      </c>
      <c r="J18" s="4" t="n">
        <f aca="false">(J6-I6)*Assumptions!$B$37/100</f>
        <v>-346.441630734012</v>
      </c>
      <c r="K18" s="4" t="n">
        <f aca="false">(K6-J6)*Assumptions!$B$37/100</f>
        <v>-297.36239971336</v>
      </c>
      <c r="L18" s="4" t="n">
        <f aca="false">(L6-K6)*Assumptions!$B$37/100</f>
        <v>-304.796459706193</v>
      </c>
    </row>
    <row r="19" customFormat="false" ht="15" hidden="false" customHeight="false" outlineLevel="0" collapsed="false">
      <c r="A19" s="0" t="s">
        <v>120</v>
      </c>
      <c r="C19" s="0" t="n">
        <f aca="false">C15+C16+C17+C18</f>
        <v>6435.9322950245</v>
      </c>
      <c r="D19" s="0" t="n">
        <f aca="false">D15+D16+D17+D18</f>
        <v>8347.20034201388</v>
      </c>
      <c r="E19" s="0" t="n">
        <f aca="false">E15+E16+E17+E18</f>
        <v>7785.99410032074</v>
      </c>
      <c r="F19" s="0" t="n">
        <f aca="false">F15+F16+F17+F18</f>
        <v>7176.16975592226</v>
      </c>
      <c r="G19" s="0" t="n">
        <f aca="false">G15+G16+G17+G18</f>
        <v>7231.10873054479</v>
      </c>
      <c r="H19" s="0" t="n">
        <f aca="false">H15+H16+H17+H18</f>
        <v>7927.21995968795</v>
      </c>
      <c r="I19" s="0" t="n">
        <f aca="false">I15+I16+I17+I18</f>
        <v>8115.49422311565</v>
      </c>
      <c r="J19" s="0" t="n">
        <f aca="false">J15+J16+J17+J18</f>
        <v>8414.74675202071</v>
      </c>
      <c r="K19" s="0" t="n">
        <f aca="false">K15+K16+K17+K18</f>
        <v>8682.85569261023</v>
      </c>
      <c r="L19" s="0" t="n">
        <f aca="false">L15+L16+L17+L18</f>
        <v>8899.92708492549</v>
      </c>
    </row>
    <row r="20" customFormat="false" ht="15" hidden="false" customHeight="false" outlineLevel="0" collapsed="false">
      <c r="A20" s="0" t="s">
        <v>121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122</v>
      </c>
      <c r="C21" s="0" t="n">
        <f aca="false">C19*C20</f>
        <v>5877.5637397484</v>
      </c>
      <c r="D21" s="0" t="n">
        <f aca="false">D19*D20</f>
        <v>6961.65663102427</v>
      </c>
      <c r="E21" s="0" t="n">
        <f aca="false">E19*E20</f>
        <v>5930.23239321122</v>
      </c>
      <c r="F21" s="0" t="n">
        <f aca="false">F19*F20</f>
        <v>4991.55920789428</v>
      </c>
      <c r="G21" s="0" t="n">
        <f aca="false">G19*G20</f>
        <v>4593.40031630325</v>
      </c>
      <c r="H21" s="0" t="n">
        <f aca="false">H19*H20</f>
        <v>4598.71180563319</v>
      </c>
      <c r="I21" s="0" t="n">
        <f aca="false">I19*I20</f>
        <v>4299.4820357859</v>
      </c>
      <c r="J21" s="0" t="n">
        <f aca="false">J19*J20</f>
        <v>4071.25304776207</v>
      </c>
      <c r="K21" s="0" t="n">
        <f aca="false">K19*K20</f>
        <v>3836.50272145063</v>
      </c>
      <c r="L21" s="0" t="n">
        <f aca="false">L19*L20</f>
        <v>3591.24683971406</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9.5</v>
      </c>
    </row>
    <row r="28" customFormat="false" ht="15" hidden="false" customHeight="false" outlineLevel="0" collapsed="false">
      <c r="A28" s="0" t="s">
        <v>103</v>
      </c>
      <c r="B28" s="4" t="n">
        <f aca="false">Assumptions!$B$35</f>
        <v>2.5</v>
      </c>
    </row>
    <row r="29" customFormat="false" ht="15" hidden="false" customHeight="false" outlineLevel="0" collapsed="false">
      <c r="A29" s="0" t="s">
        <v>104</v>
      </c>
      <c r="B29" s="4" t="n">
        <f aca="false">Assumptions!$B$36</f>
        <v>13</v>
      </c>
    </row>
    <row r="30" customFormat="false" ht="15" hidden="false" customHeight="false" outlineLevel="0" collapsed="false">
      <c r="A30" s="0" t="s">
        <v>125</v>
      </c>
      <c r="B30" s="0" t="n">
        <f aca="false">SUM(C21:L21)</f>
        <v>48751.6087385273</v>
      </c>
    </row>
    <row r="31" customFormat="false" ht="15" hidden="false" customHeight="false" outlineLevel="0" collapsed="false">
      <c r="A31" s="0" t="s">
        <v>126</v>
      </c>
      <c r="B31" s="0" t="n">
        <f aca="false">L19</f>
        <v>8899.92708492549</v>
      </c>
    </row>
    <row r="32" customFormat="false" ht="15" hidden="false" customHeight="false" outlineLevel="0" collapsed="false">
      <c r="A32" s="0" t="s">
        <v>127</v>
      </c>
      <c r="B32" s="0" t="n">
        <f aca="false">IF(B27&gt;B28,B31*(1+B28/100)/((B27-B28)/100),B31*B29)</f>
        <v>130320.360886409</v>
      </c>
    </row>
    <row r="33" customFormat="false" ht="15" hidden="false" customHeight="false" outlineLevel="0" collapsed="false">
      <c r="A33" s="0" t="s">
        <v>128</v>
      </c>
      <c r="B33" s="0" t="n">
        <f aca="false">B31*B29</f>
        <v>115699.052104031</v>
      </c>
    </row>
    <row r="34" customFormat="false" ht="15" hidden="false" customHeight="false" outlineLevel="0" collapsed="false">
      <c r="A34" s="0" t="s">
        <v>129</v>
      </c>
      <c r="B34" s="0" t="n">
        <f aca="false">MAX(0,MIN(B32,B33))</f>
        <v>115699.052104031</v>
      </c>
    </row>
    <row r="35" customFormat="false" ht="15" hidden="false" customHeight="false" outlineLevel="0" collapsed="false">
      <c r="A35" s="0" t="s">
        <v>130</v>
      </c>
      <c r="B35" s="0" t="n">
        <f aca="false">B34/(1+B27/100)^L4</f>
        <v>46686.2089162828</v>
      </c>
    </row>
    <row r="36" customFormat="false" ht="15" hidden="false" customHeight="false" outlineLevel="0" collapsed="false">
      <c r="A36" s="0" t="s">
        <v>131</v>
      </c>
      <c r="B36" s="0" t="n">
        <f aca="false">B30+B35</f>
        <v>95437.8176548101</v>
      </c>
    </row>
    <row r="37" customFormat="false" ht="15" hidden="false" customHeight="false" outlineLevel="0" collapsed="false">
      <c r="A37" s="0" t="s">
        <v>132</v>
      </c>
      <c r="B37" s="0" t="n">
        <f aca="false">B36+Assumptions!$B$5-Assumptions!$B$4</f>
        <v>117530.91765481</v>
      </c>
    </row>
    <row r="38" customFormat="false" ht="15" hidden="false" customHeight="false" outlineLevel="0" collapsed="false">
      <c r="A38" s="0" t="s">
        <v>133</v>
      </c>
      <c r="B38" s="0" t="n">
        <f aca="false">B37/Assumptions!$B$3*Assumptions!$B$10</f>
        <v>50.2472418720735</v>
      </c>
    </row>
    <row r="39" customFormat="false" ht="15" hidden="false" customHeight="false" outlineLevel="0" collapsed="false">
      <c r="A39" s="0" t="s">
        <v>134</v>
      </c>
      <c r="B39" s="4" t="n">
        <f aca="false">B38/Assumptions!$B$2-1</f>
        <v>0.595150535621382</v>
      </c>
    </row>
    <row r="41" customFormat="false" ht="15" hidden="false" customHeight="false" outlineLevel="0" collapsed="false">
      <c r="A41" s="0" t="s">
        <v>135</v>
      </c>
      <c r="B41" s="0" t="n">
        <f aca="false">SUMPRODUCT(-C10:L10/(1+$B$27/100)^C4:L4)</f>
        <v>735.512910641426</v>
      </c>
    </row>
    <row r="42" customFormat="false" ht="15" hidden="false" customHeight="false" outlineLevel="0" collapsed="false">
      <c r="A42" s="0" t="s">
        <v>136</v>
      </c>
      <c r="B42" s="0" t="n">
        <f aca="false">IF(B27&gt;B28,-L10*(1+B28/100)/((B27-B28)/100),-L10*20)/(1+B27/100)^L4</f>
        <v>738.377422269153</v>
      </c>
    </row>
    <row r="43" customFormat="false" ht="15" hidden="false" customHeight="false" outlineLevel="0" collapsed="false">
      <c r="A43" s="0" t="s">
        <v>137</v>
      </c>
      <c r="B43" s="0" t="n">
        <f aca="false">(B37+B41+B42)/Assumptions!$B$3*Assumptions!$B$10</f>
        <v>50.8773647838012</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72979.402096389</v>
      </c>
    </row>
    <row r="47" customFormat="false" ht="15" hidden="false" customHeight="false" outlineLevel="0" collapsed="false">
      <c r="A47" s="0" t="s">
        <v>139</v>
      </c>
      <c r="B47" s="0" t="n">
        <f aca="false">(SUMPRODUCT(C19:L19/(1+B45/100)^C4:L4)+B46/(1+B45/100)^L4+Assumptions!$B$5-Assumptions!$B$4)/Assumptions!$B$3*Assumptions!$B$10</f>
        <v>33.66970475923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28</v>
      </c>
      <c r="D5" s="4" t="n">
        <f aca="false">Assumptions!D41</f>
        <v>10</v>
      </c>
      <c r="E5" s="4" t="n">
        <f aca="false">Assumptions!E41</f>
        <v>0</v>
      </c>
      <c r="F5" s="4" t="n">
        <f aca="false">Assumptions!F41</f>
        <v>3</v>
      </c>
      <c r="G5" s="4" t="n">
        <f aca="false">Assumptions!G41</f>
        <v>6</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109540.885</v>
      </c>
      <c r="C6" s="0" t="n">
        <f aca="false">B6*(1+C5/100)</f>
        <v>140212.3328</v>
      </c>
      <c r="D6" s="0" t="n">
        <f aca="false">C6*(1+D5/100)</f>
        <v>154233.56608</v>
      </c>
      <c r="E6" s="0" t="n">
        <f aca="false">D6*(1+E5/100)</f>
        <v>154233.56608</v>
      </c>
      <c r="F6" s="0" t="n">
        <f aca="false">E6*(1+F5/100)</f>
        <v>158860.5730624</v>
      </c>
      <c r="G6" s="0" t="n">
        <f aca="false">F6*(1+G5/100)</f>
        <v>168392.207446144</v>
      </c>
      <c r="H6" s="0" t="n">
        <f aca="false">G6*(1+H5/100)</f>
        <v>176811.817818451</v>
      </c>
      <c r="I6" s="0" t="n">
        <f aca="false">H6*(1+I5/100)</f>
        <v>183884.290531189</v>
      </c>
      <c r="J6" s="0" t="n">
        <f aca="false">I6*(1+J5/100)</f>
        <v>190320.240699781</v>
      </c>
      <c r="K6" s="0" t="n">
        <f aca="false">J6*(1+K5/100)</f>
        <v>196029.847920774</v>
      </c>
      <c r="L6" s="0" t="n">
        <f aca="false">K6*(1+L5/100)</f>
        <v>201910.743358398</v>
      </c>
    </row>
    <row r="7" customFormat="false" ht="15" hidden="false" customHeight="false" outlineLevel="0" collapsed="false">
      <c r="A7" s="0" t="s">
        <v>96</v>
      </c>
      <c r="C7" s="4" t="n">
        <f aca="false">Assumptions!C42</f>
        <v>9</v>
      </c>
      <c r="D7" s="4" t="n">
        <f aca="false">Assumptions!D42</f>
        <v>9.6</v>
      </c>
      <c r="E7" s="4" t="n">
        <f aca="false">Assumptions!E42</f>
        <v>9.3</v>
      </c>
      <c r="F7" s="4" t="n">
        <f aca="false">Assumptions!F42</f>
        <v>9.5</v>
      </c>
      <c r="G7" s="4" t="n">
        <f aca="false">Assumptions!G42</f>
        <v>9.8</v>
      </c>
      <c r="H7" s="4" t="n">
        <f aca="false">Assumptions!H42</f>
        <v>10</v>
      </c>
      <c r="I7" s="4" t="n">
        <f aca="false">Assumptions!I42</f>
        <v>10</v>
      </c>
      <c r="J7" s="4" t="n">
        <f aca="false">Assumptions!J42</f>
        <v>10</v>
      </c>
      <c r="K7" s="4" t="n">
        <f aca="false">Assumptions!K42</f>
        <v>10</v>
      </c>
      <c r="L7" s="4" t="n">
        <f aca="false">Assumptions!L42</f>
        <v>10</v>
      </c>
    </row>
    <row r="8" customFormat="false" ht="15" hidden="false" customHeight="false" outlineLevel="0" collapsed="false">
      <c r="A8" s="0" t="s">
        <v>44</v>
      </c>
      <c r="C8" s="0" t="n">
        <f aca="false">C6*C7/100</f>
        <v>12619.109952</v>
      </c>
      <c r="D8" s="0" t="n">
        <f aca="false">D6*D7/100</f>
        <v>14806.42234368</v>
      </c>
      <c r="E8" s="0" t="n">
        <f aca="false">E6*E7/100</f>
        <v>14343.72164544</v>
      </c>
      <c r="F8" s="0" t="n">
        <f aca="false">F6*F7/100</f>
        <v>15091.754440928</v>
      </c>
      <c r="G8" s="0" t="n">
        <f aca="false">G6*G7/100</f>
        <v>16502.4363297221</v>
      </c>
      <c r="H8" s="0" t="n">
        <f aca="false">H6*H7/100</f>
        <v>17681.1817818451</v>
      </c>
      <c r="I8" s="0" t="n">
        <f aca="false">I6*I7/100</f>
        <v>18388.4290531189</v>
      </c>
      <c r="J8" s="0" t="n">
        <f aca="false">J6*J7/100</f>
        <v>19032.0240699781</v>
      </c>
      <c r="K8" s="0" t="n">
        <f aca="false">K6*K7/100</f>
        <v>19602.9847920774</v>
      </c>
      <c r="L8" s="0" t="n">
        <f aca="false">L6*L7/100</f>
        <v>20191.0743358398</v>
      </c>
    </row>
    <row r="9" customFormat="false" ht="15" hidden="false" customHeight="false" outlineLevel="0" collapsed="false">
      <c r="A9" s="0" t="s">
        <v>97</v>
      </c>
      <c r="C9" s="4" t="n">
        <f aca="false">Assumptions!C43</f>
        <v>0.09</v>
      </c>
      <c r="D9" s="4" t="n">
        <f aca="false">Assumptions!D43</f>
        <v>0.09</v>
      </c>
      <c r="E9" s="4" t="n">
        <f aca="false">Assumptions!E43</f>
        <v>0.09</v>
      </c>
      <c r="F9" s="4" t="n">
        <f aca="false">Assumptions!F43</f>
        <v>0.09</v>
      </c>
      <c r="G9" s="4" t="n">
        <f aca="false">Assumptions!G43</f>
        <v>0.08</v>
      </c>
      <c r="H9" s="4" t="n">
        <f aca="false">Assumptions!H43</f>
        <v>0.08</v>
      </c>
      <c r="I9" s="4" t="n">
        <f aca="false">Assumptions!I43</f>
        <v>0.08</v>
      </c>
      <c r="J9" s="4" t="n">
        <f aca="false">Assumptions!J43</f>
        <v>0.08</v>
      </c>
      <c r="K9" s="4" t="n">
        <f aca="false">Assumptions!K43</f>
        <v>0.08</v>
      </c>
      <c r="L9" s="4" t="n">
        <f aca="false">Assumptions!L43</f>
        <v>0.08</v>
      </c>
    </row>
    <row r="10" customFormat="false" ht="15" hidden="false" customHeight="false" outlineLevel="0" collapsed="false">
      <c r="A10" s="0" t="s">
        <v>112</v>
      </c>
      <c r="C10" s="0" t="n">
        <f aca="false">-C6*C9/100</f>
        <v>-126.19109952</v>
      </c>
      <c r="D10" s="0" t="n">
        <f aca="false">-D6*D9/100</f>
        <v>-138.810209472</v>
      </c>
      <c r="E10" s="0" t="n">
        <f aca="false">-E6*E9/100</f>
        <v>-138.810209472</v>
      </c>
      <c r="F10" s="0" t="n">
        <f aca="false">-F6*F9/100</f>
        <v>-142.97451575616</v>
      </c>
      <c r="G10" s="0" t="n">
        <f aca="false">-G6*G9/100</f>
        <v>-134.713765956915</v>
      </c>
      <c r="H10" s="0" t="n">
        <f aca="false">-H6*H9/100</f>
        <v>-141.449454254761</v>
      </c>
      <c r="I10" s="0" t="n">
        <f aca="false">-I6*I9/100</f>
        <v>-147.107432424951</v>
      </c>
      <c r="J10" s="0" t="n">
        <f aca="false">-J6*J9/100</f>
        <v>-152.256192559825</v>
      </c>
      <c r="K10" s="0" t="n">
        <f aca="false">-K6*K9/100</f>
        <v>-156.82387833662</v>
      </c>
      <c r="L10" s="0" t="n">
        <f aca="false">-L6*L9/100</f>
        <v>-161.528594686718</v>
      </c>
    </row>
    <row r="11" customFormat="false" ht="15" hidden="false" customHeight="false" outlineLevel="0" collapsed="false">
      <c r="A11" s="0" t="s">
        <v>113</v>
      </c>
      <c r="C11" s="0" t="n">
        <f aca="false">C8+C10+C24</f>
        <v>12492.91885248</v>
      </c>
      <c r="D11" s="0" t="n">
        <f aca="false">D8+D10+D24</f>
        <v>14667.612134208</v>
      </c>
      <c r="E11" s="0" t="n">
        <f aca="false">E8+E10+E24</f>
        <v>14204.911435968</v>
      </c>
      <c r="F11" s="0" t="n">
        <f aca="false">F8+F10+F24</f>
        <v>14948.7799251718</v>
      </c>
      <c r="G11" s="0" t="n">
        <f aca="false">G8+G10+G24</f>
        <v>16367.7225637652</v>
      </c>
      <c r="H11" s="0" t="n">
        <f aca="false">H8+H10+H24</f>
        <v>17539.7323275904</v>
      </c>
      <c r="I11" s="0" t="n">
        <f aca="false">I8+I10+I24</f>
        <v>18241.321620694</v>
      </c>
      <c r="J11" s="0" t="n">
        <f aca="false">J8+J10+J24</f>
        <v>18879.7678774183</v>
      </c>
      <c r="K11" s="0" t="n">
        <f aca="false">K8+K10+K24</f>
        <v>19446.1609137408</v>
      </c>
      <c r="L11" s="0" t="n">
        <f aca="false">L8+L10+L24</f>
        <v>20029.545741153</v>
      </c>
    </row>
    <row r="12" customFormat="false" ht="15" hidden="false" customHeight="false" outlineLevel="0" collapsed="false">
      <c r="A12" s="0" t="s">
        <v>114</v>
      </c>
      <c r="C12" s="4" t="n">
        <f aca="false">-C6*Assumptions!C45/100</f>
        <v>-1962.9726592</v>
      </c>
      <c r="D12" s="4" t="n">
        <f aca="false">-D6*Assumptions!D45/100</f>
        <v>-2313.5034912</v>
      </c>
      <c r="E12" s="4" t="n">
        <f aca="false">-E6*Assumptions!E45/100</f>
        <v>-2467.73705728</v>
      </c>
      <c r="F12" s="4" t="n">
        <f aca="false">-F6*Assumptions!F45/100</f>
        <v>-2541.7691689984</v>
      </c>
      <c r="G12" s="4" t="n">
        <f aca="false">-G6*Assumptions!G45/100</f>
        <v>-2694.2753191383</v>
      </c>
      <c r="H12" s="4" t="n">
        <f aca="false">-H6*Assumptions!H45/100</f>
        <v>-2828.98908509522</v>
      </c>
      <c r="I12" s="4" t="n">
        <f aca="false">-I6*Assumptions!I45/100</f>
        <v>-2942.14864849903</v>
      </c>
      <c r="J12" s="4" t="n">
        <f aca="false">-J6*Assumptions!J45/100</f>
        <v>-3045.1238511965</v>
      </c>
      <c r="K12" s="4" t="n">
        <f aca="false">-K6*Assumptions!K45/100</f>
        <v>-3136.47756673239</v>
      </c>
      <c r="L12" s="4" t="n">
        <f aca="false">-L6*Assumptions!L45/100</f>
        <v>-3230.57189373436</v>
      </c>
    </row>
    <row r="13" customFormat="false" ht="15" hidden="false" customHeight="false" outlineLevel="0" collapsed="false">
      <c r="A13" s="0" t="s">
        <v>115</v>
      </c>
      <c r="C13" s="0" t="n">
        <f aca="false">C11+C12</f>
        <v>10529.94619328</v>
      </c>
      <c r="D13" s="0" t="n">
        <f aca="false">D11+D12</f>
        <v>12354.108643008</v>
      </c>
      <c r="E13" s="0" t="n">
        <f aca="false">E11+E12</f>
        <v>11737.174378688</v>
      </c>
      <c r="F13" s="0" t="n">
        <f aca="false">F11+F12</f>
        <v>12407.0107561734</v>
      </c>
      <c r="G13" s="0" t="n">
        <f aca="false">G11+G12</f>
        <v>13673.4472446269</v>
      </c>
      <c r="H13" s="0" t="n">
        <f aca="false">H11+H12</f>
        <v>14710.7432424951</v>
      </c>
      <c r="I13" s="0" t="n">
        <f aca="false">I11+I12</f>
        <v>15299.1729721949</v>
      </c>
      <c r="J13" s="0" t="n">
        <f aca="false">J11+J12</f>
        <v>15834.6440262218</v>
      </c>
      <c r="K13" s="0" t="n">
        <f aca="false">K11+K12</f>
        <v>16309.6833470084</v>
      </c>
      <c r="L13" s="0" t="n">
        <f aca="false">L11+L12</f>
        <v>16798.9738474187</v>
      </c>
    </row>
    <row r="14" customFormat="false" ht="15" hidden="false" customHeight="false" outlineLevel="0" collapsed="false">
      <c r="A14" s="0" t="s">
        <v>101</v>
      </c>
      <c r="C14" s="4" t="n">
        <f aca="false">Assumptions!C47</f>
        <v>15</v>
      </c>
      <c r="D14" s="4" t="n">
        <f aca="false">Assumptions!D47</f>
        <v>15</v>
      </c>
      <c r="E14" s="4" t="n">
        <f aca="false">Assumptions!E47</f>
        <v>15</v>
      </c>
      <c r="F14" s="4" t="n">
        <f aca="false">Assumptions!F47</f>
        <v>15</v>
      </c>
      <c r="G14" s="4" t="n">
        <f aca="false">Assumptions!G47</f>
        <v>15</v>
      </c>
      <c r="H14" s="4" t="n">
        <f aca="false">Assumptions!H47</f>
        <v>15</v>
      </c>
      <c r="I14" s="4" t="n">
        <f aca="false">Assumptions!I47</f>
        <v>15</v>
      </c>
      <c r="J14" s="4" t="n">
        <f aca="false">Assumptions!J47</f>
        <v>15</v>
      </c>
      <c r="K14" s="4" t="n">
        <f aca="false">Assumptions!K47</f>
        <v>15</v>
      </c>
      <c r="L14" s="4" t="n">
        <f aca="false">Assumptions!L47</f>
        <v>15</v>
      </c>
    </row>
    <row r="15" customFormat="false" ht="15" hidden="false" customHeight="false" outlineLevel="0" collapsed="false">
      <c r="A15" s="0" t="s">
        <v>116</v>
      </c>
      <c r="C15" s="0" t="n">
        <f aca="false">C13-MAX(0,C13)*C14/100</f>
        <v>8950.454264288</v>
      </c>
      <c r="D15" s="0" t="n">
        <f aca="false">D13-MAX(0,D13)*D14/100</f>
        <v>10500.9923465568</v>
      </c>
      <c r="E15" s="0" t="n">
        <f aca="false">E13-MAX(0,E13)*E14/100</f>
        <v>9976.5982218848</v>
      </c>
      <c r="F15" s="0" t="n">
        <f aca="false">F13-MAX(0,F13)*F14/100</f>
        <v>10545.9591427474</v>
      </c>
      <c r="G15" s="0" t="n">
        <f aca="false">G13-MAX(0,G13)*G14/100</f>
        <v>11622.4301579329</v>
      </c>
      <c r="H15" s="0" t="n">
        <f aca="false">H13-MAX(0,H13)*H14/100</f>
        <v>12504.1317561209</v>
      </c>
      <c r="I15" s="0" t="n">
        <f aca="false">I13-MAX(0,I13)*I14/100</f>
        <v>13004.2970263657</v>
      </c>
      <c r="J15" s="0" t="n">
        <f aca="false">J13-MAX(0,J13)*J14/100</f>
        <v>13459.4474222885</v>
      </c>
      <c r="K15" s="0" t="n">
        <f aca="false">K13-MAX(0,K13)*K14/100</f>
        <v>13863.2308449572</v>
      </c>
      <c r="L15" s="0" t="n">
        <f aca="false">L13-MAX(0,L13)*L14/100</f>
        <v>14279.1277703059</v>
      </c>
    </row>
    <row r="16" customFormat="false" ht="15" hidden="false" customHeight="false" outlineLevel="0" collapsed="false">
      <c r="A16" s="0" t="s">
        <v>117</v>
      </c>
      <c r="C16" s="0" t="n">
        <f aca="false">-C12</f>
        <v>1962.9726592</v>
      </c>
      <c r="D16" s="0" t="n">
        <f aca="false">-D12</f>
        <v>2313.5034912</v>
      </c>
      <c r="E16" s="0" t="n">
        <f aca="false">-E12</f>
        <v>2467.73705728</v>
      </c>
      <c r="F16" s="0" t="n">
        <f aca="false">-F12</f>
        <v>2541.7691689984</v>
      </c>
      <c r="G16" s="0" t="n">
        <f aca="false">-G12</f>
        <v>2694.2753191383</v>
      </c>
      <c r="H16" s="0" t="n">
        <f aca="false">-H12</f>
        <v>2828.98908509522</v>
      </c>
      <c r="I16" s="0" t="n">
        <f aca="false">-I12</f>
        <v>2942.14864849903</v>
      </c>
      <c r="J16" s="0" t="n">
        <f aca="false">-J12</f>
        <v>3045.1238511965</v>
      </c>
      <c r="K16" s="0" t="n">
        <f aca="false">-K12</f>
        <v>3136.47756673239</v>
      </c>
      <c r="L16" s="0" t="n">
        <f aca="false">-L12</f>
        <v>3230.57189373436</v>
      </c>
    </row>
    <row r="17" customFormat="false" ht="15" hidden="false" customHeight="false" outlineLevel="0" collapsed="false">
      <c r="A17" s="0" t="s">
        <v>118</v>
      </c>
      <c r="C17" s="4" t="n">
        <f aca="false">-C6*Assumptions!C46/100</f>
        <v>-1682.5479936</v>
      </c>
      <c r="D17" s="4" t="n">
        <f aca="false">-D6*Assumptions!D46/100</f>
        <v>-2313.5034912</v>
      </c>
      <c r="E17" s="4" t="n">
        <f aca="false">-E6*Assumptions!E46/100</f>
        <v>-2467.73705728</v>
      </c>
      <c r="F17" s="4" t="n">
        <f aca="false">-F6*Assumptions!F46/100</f>
        <v>-2541.7691689984</v>
      </c>
      <c r="G17" s="4" t="n">
        <f aca="false">-G6*Assumptions!G46/100</f>
        <v>-2862.66752658445</v>
      </c>
      <c r="H17" s="4" t="n">
        <f aca="false">-H6*Assumptions!H46/100</f>
        <v>-3005.80090291367</v>
      </c>
      <c r="I17" s="4" t="n">
        <f aca="false">-I6*Assumptions!I46/100</f>
        <v>-3126.03293903022</v>
      </c>
      <c r="J17" s="4" t="n">
        <f aca="false">-J6*Assumptions!J46/100</f>
        <v>-3235.44409189628</v>
      </c>
      <c r="K17" s="4" t="n">
        <f aca="false">-K6*Assumptions!K46/100</f>
        <v>-3332.50741465316</v>
      </c>
      <c r="L17" s="4" t="n">
        <f aca="false">-L6*Assumptions!L46/100</f>
        <v>-3432.48263709276</v>
      </c>
    </row>
    <row r="18" customFormat="false" ht="15" hidden="false" customHeight="false" outlineLevel="0" collapsed="false">
      <c r="A18" s="0" t="s">
        <v>119</v>
      </c>
      <c r="C18" s="4" t="n">
        <f aca="false">(C6-B6)*Assumptions!$B$51/100</f>
        <v>-1533.57239</v>
      </c>
      <c r="D18" s="4" t="n">
        <f aca="false">(D6-C6)*Assumptions!$B$51/100</f>
        <v>-701.061664000001</v>
      </c>
      <c r="E18" s="4" t="n">
        <f aca="false">(E6-D6)*Assumptions!$B$51/100</f>
        <v>-0</v>
      </c>
      <c r="F18" s="4" t="n">
        <f aca="false">(F6-E6)*Assumptions!$B$51/100</f>
        <v>-231.35034912</v>
      </c>
      <c r="G18" s="4" t="n">
        <f aca="false">(G6-F6)*Assumptions!$B$51/100</f>
        <v>-476.5817191872</v>
      </c>
      <c r="H18" s="4" t="n">
        <f aca="false">(H6-G6)*Assumptions!$B$51/100</f>
        <v>-420.980518615361</v>
      </c>
      <c r="I18" s="4" t="n">
        <f aca="false">(I6-H6)*Assumptions!$B$51/100</f>
        <v>-353.623635636903</v>
      </c>
      <c r="J18" s="4" t="n">
        <f aca="false">(J6-I6)*Assumptions!$B$51/100</f>
        <v>-321.79750842958</v>
      </c>
      <c r="K18" s="4" t="n">
        <f aca="false">(K6-J6)*Assumptions!$B$51/100</f>
        <v>-285.480361049672</v>
      </c>
      <c r="L18" s="4" t="n">
        <f aca="false">(L6-K6)*Assumptions!$B$51/100</f>
        <v>-294.044771881161</v>
      </c>
    </row>
    <row r="19" customFormat="false" ht="15" hidden="false" customHeight="false" outlineLevel="0" collapsed="false">
      <c r="A19" s="0" t="s">
        <v>120</v>
      </c>
      <c r="C19" s="0" t="n">
        <f aca="false">C15+C16+C17+C18</f>
        <v>7697.306539888</v>
      </c>
      <c r="D19" s="0" t="n">
        <f aca="false">D15+D16+D17+D18</f>
        <v>9799.9306825568</v>
      </c>
      <c r="E19" s="0" t="n">
        <f aca="false">E15+E16+E17+E18</f>
        <v>9976.5982218848</v>
      </c>
      <c r="F19" s="0" t="n">
        <f aca="false">F15+F16+F17+F18</f>
        <v>10314.6087936274</v>
      </c>
      <c r="G19" s="0" t="n">
        <f aca="false">G15+G16+G17+G18</f>
        <v>10977.4562312995</v>
      </c>
      <c r="H19" s="0" t="n">
        <f aca="false">H15+H16+H17+H18</f>
        <v>11906.3394196871</v>
      </c>
      <c r="I19" s="0" t="n">
        <f aca="false">I15+I16+I17+I18</f>
        <v>12466.7891001976</v>
      </c>
      <c r="J19" s="0" t="n">
        <f aca="false">J15+J16+J17+J18</f>
        <v>12947.3296731591</v>
      </c>
      <c r="K19" s="0" t="n">
        <f aca="false">K15+K16+K17+K18</f>
        <v>13381.7206359867</v>
      </c>
      <c r="L19" s="0" t="n">
        <f aca="false">L15+L16+L17+L18</f>
        <v>13783.1722550663</v>
      </c>
    </row>
    <row r="20" customFormat="false" ht="15" hidden="false" customHeight="false" outlineLevel="0" collapsed="false">
      <c r="A20" s="0" t="s">
        <v>121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122</v>
      </c>
      <c r="C21" s="0" t="n">
        <f aca="false">C19*C20</f>
        <v>7029.50368939543</v>
      </c>
      <c r="D21" s="0" t="n">
        <f aca="false">D19*D20</f>
        <v>8173.2496674855</v>
      </c>
      <c r="E21" s="0" t="n">
        <f aca="false">E19*E20</f>
        <v>7598.71445921562</v>
      </c>
      <c r="F21" s="0" t="n">
        <f aca="false">F19*F20</f>
        <v>7174.57672418752</v>
      </c>
      <c r="G21" s="0" t="n">
        <f aca="false">G19*G20</f>
        <v>6973.18389254222</v>
      </c>
      <c r="H21" s="0" t="n">
        <f aca="false">H19*H20</f>
        <v>6907.06501517918</v>
      </c>
      <c r="I21" s="0" t="n">
        <f aca="false">I19*I20</f>
        <v>6604.7407966305</v>
      </c>
      <c r="J21" s="0" t="n">
        <f aca="false">J19*J20</f>
        <v>6264.22362379132</v>
      </c>
      <c r="K21" s="0" t="n">
        <f aca="false">K19*K20</f>
        <v>5912.68696096706</v>
      </c>
      <c r="L21" s="0" t="n">
        <f aca="false">L19*L20</f>
        <v>5561.70554319276</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9.5</v>
      </c>
    </row>
    <row r="28" customFormat="false" ht="15" hidden="false" customHeight="false" outlineLevel="0" collapsed="false">
      <c r="A28" s="0" t="s">
        <v>103</v>
      </c>
      <c r="B28" s="4" t="n">
        <f aca="false">Assumptions!$B$49</f>
        <v>3</v>
      </c>
    </row>
    <row r="29" customFormat="false" ht="15" hidden="false" customHeight="false" outlineLevel="0" collapsed="false">
      <c r="A29" s="0" t="s">
        <v>104</v>
      </c>
      <c r="B29" s="4" t="n">
        <f aca="false">Assumptions!$B$50</f>
        <v>15</v>
      </c>
    </row>
    <row r="30" customFormat="false" ht="15" hidden="false" customHeight="false" outlineLevel="0" collapsed="false">
      <c r="A30" s="0" t="s">
        <v>125</v>
      </c>
      <c r="B30" s="0" t="n">
        <f aca="false">SUM(C21:L21)</f>
        <v>68199.6503725871</v>
      </c>
    </row>
    <row r="31" customFormat="false" ht="15" hidden="false" customHeight="false" outlineLevel="0" collapsed="false">
      <c r="A31" s="0" t="s">
        <v>126</v>
      </c>
      <c r="B31" s="0" t="n">
        <f aca="false">L19</f>
        <v>13783.1722550663</v>
      </c>
    </row>
    <row r="32" customFormat="false" ht="15" hidden="false" customHeight="false" outlineLevel="0" collapsed="false">
      <c r="A32" s="0" t="s">
        <v>127</v>
      </c>
      <c r="B32" s="0" t="n">
        <f aca="false">IF(B27&gt;B28,B31*(1+B28/100)/((B27-B28)/100),B31*B29)</f>
        <v>218410.26804182</v>
      </c>
    </row>
    <row r="33" customFormat="false" ht="15" hidden="false" customHeight="false" outlineLevel="0" collapsed="false">
      <c r="A33" s="0" t="s">
        <v>128</v>
      </c>
      <c r="B33" s="0" t="n">
        <f aca="false">B31*B29</f>
        <v>206747.583825995</v>
      </c>
    </row>
    <row r="34" customFormat="false" ht="15" hidden="false" customHeight="false" outlineLevel="0" collapsed="false">
      <c r="A34" s="0" t="s">
        <v>129</v>
      </c>
      <c r="B34" s="0" t="n">
        <f aca="false">MAX(0,MIN(B32,B33))</f>
        <v>206747.583825995</v>
      </c>
    </row>
    <row r="35" customFormat="false" ht="15" hidden="false" customHeight="false" outlineLevel="0" collapsed="false">
      <c r="A35" s="0" t="s">
        <v>130</v>
      </c>
      <c r="B35" s="0" t="n">
        <f aca="false">B34/(1+B27/100)^L4</f>
        <v>83425.5831478914</v>
      </c>
    </row>
    <row r="36" customFormat="false" ht="15" hidden="false" customHeight="false" outlineLevel="0" collapsed="false">
      <c r="A36" s="0" t="s">
        <v>131</v>
      </c>
      <c r="B36" s="0" t="n">
        <f aca="false">B30+B35</f>
        <v>151625.233520479</v>
      </c>
    </row>
    <row r="37" customFormat="false" ht="15" hidden="false" customHeight="false" outlineLevel="0" collapsed="false">
      <c r="A37" s="0" t="s">
        <v>132</v>
      </c>
      <c r="B37" s="0" t="n">
        <f aca="false">B36+Assumptions!$B$5-Assumptions!$B$4</f>
        <v>173718.333520479</v>
      </c>
    </row>
    <row r="38" customFormat="false" ht="15" hidden="false" customHeight="false" outlineLevel="0" collapsed="false">
      <c r="A38" s="0" t="s">
        <v>133</v>
      </c>
      <c r="B38" s="0" t="n">
        <f aca="false">B37/Assumptions!$B$3*Assumptions!$B$10</f>
        <v>74.2686885816192</v>
      </c>
    </row>
    <row r="39" customFormat="false" ht="15" hidden="false" customHeight="false" outlineLevel="0" collapsed="false">
      <c r="A39" s="0" t="s">
        <v>134</v>
      </c>
      <c r="B39" s="4" t="n">
        <f aca="false">B38/Assumptions!$B$2-1</f>
        <v>1.35773614544823</v>
      </c>
    </row>
    <row r="41" customFormat="false" ht="15" hidden="false" customHeight="false" outlineLevel="0" collapsed="false">
      <c r="A41" s="0" t="s">
        <v>135</v>
      </c>
      <c r="B41" s="0" t="n">
        <f aca="false">SUMPRODUCT(-C10:L10/(1+$B$27/100)^C4:L4)</f>
        <v>889.890187237326</v>
      </c>
    </row>
    <row r="42" customFormat="false" ht="15" hidden="false" customHeight="false" outlineLevel="0" collapsed="false">
      <c r="A42" s="0" t="s">
        <v>136</v>
      </c>
      <c r="B42" s="0" t="n">
        <f aca="false">IF(B27&gt;B28,-L10*(1+B28/100)/((B27-B28)/100),-L10*20)/(1+B27/100)^L4</f>
        <v>1032.83772162741</v>
      </c>
    </row>
    <row r="43" customFormat="false" ht="15" hidden="false" customHeight="false" outlineLevel="0" collapsed="false">
      <c r="A43" s="0" t="s">
        <v>137</v>
      </c>
      <c r="B43" s="0" t="n">
        <f aca="false">(B37+B41+B42)/Assumptions!$B$3*Assumptions!$B$10</f>
        <v>75.0907001528609</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118305.561855986</v>
      </c>
    </row>
    <row r="47" customFormat="false" ht="15" hidden="false" customHeight="false" outlineLevel="0" collapsed="false">
      <c r="A47" s="0" t="s">
        <v>139</v>
      </c>
      <c r="B47" s="0" t="n">
        <f aca="false">(SUMPRODUCT(C19:L19/(1+B45/100)^C4:L4)+B46/(1+B45/100)^L4+Assumptions!$B$5-Assumptions!$B$4)/Assumptions!$B$3*Assumptions!$B$10</f>
        <v>44.7328188433502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32.4520799187305</v>
      </c>
      <c r="C4" s="0" t="n">
        <f aca="false">B4/Assumptions!$B$2-1</f>
        <v>0.0302247593247789</v>
      </c>
      <c r="D4" s="4" t="n">
        <f aca="false">Assumptions!$B$24</f>
        <v>0.3</v>
      </c>
      <c r="E4" s="4" t="n">
        <f aca="false">DCF_Bear!$B$43</f>
        <v>32.904973453183</v>
      </c>
      <c r="F4" s="4" t="n">
        <f aca="false">DCF_Bear!$B$47</f>
        <v>24.6263584322787</v>
      </c>
    </row>
    <row r="5" customFormat="false" ht="15" hidden="false" customHeight="false" outlineLevel="0" collapsed="false">
      <c r="A5" s="0" t="s">
        <v>148</v>
      </c>
      <c r="B5" s="4" t="n">
        <f aca="false">DCF_Base!$B$38</f>
        <v>50.2472418720735</v>
      </c>
      <c r="C5" s="0" t="n">
        <f aca="false">B5/Assumptions!$B$2-1</f>
        <v>0.595150535621382</v>
      </c>
      <c r="D5" s="4" t="n">
        <f aca="false">Assumptions!$B$38</f>
        <v>0.5</v>
      </c>
      <c r="E5" s="4" t="n">
        <f aca="false">DCF_Base!$B$43</f>
        <v>50.8773647838012</v>
      </c>
      <c r="F5" s="4" t="n">
        <f aca="false">DCF_Base!$B$47</f>
        <v>33.66970475923</v>
      </c>
    </row>
    <row r="6" customFormat="false" ht="15" hidden="false" customHeight="false" outlineLevel="0" collapsed="false">
      <c r="A6" s="0" t="s">
        <v>149</v>
      </c>
      <c r="B6" s="4" t="n">
        <f aca="false">DCF_Bull!$B$38</f>
        <v>74.2686885816192</v>
      </c>
      <c r="C6" s="0" t="n">
        <f aca="false">B6/Assumptions!$B$2-1</f>
        <v>1.35773614544823</v>
      </c>
      <c r="D6" s="4" t="n">
        <f aca="false">Assumptions!$B$52</f>
        <v>0.2</v>
      </c>
      <c r="E6" s="4" t="n">
        <f aca="false">DCF_Bull!$B$43</f>
        <v>75.0907001528609</v>
      </c>
      <c r="F6" s="4" t="n">
        <f aca="false">DCF_Bull!$B$47</f>
        <v>44.7328188433502</v>
      </c>
    </row>
    <row r="8" customFormat="false" ht="15" hidden="false" customHeight="false" outlineLevel="0" collapsed="false">
      <c r="A8" s="0" t="s">
        <v>150</v>
      </c>
      <c r="B8" s="0" t="n">
        <f aca="false">SUMPRODUCT(B4:B6,D4:D6)</f>
        <v>49.7129826279798</v>
      </c>
    </row>
    <row r="9" customFormat="false" ht="15" hidden="false" customHeight="false" outlineLevel="0" collapsed="false">
      <c r="A9" s="0" t="s">
        <v>151</v>
      </c>
      <c r="B9" s="0" t="n">
        <f aca="false">SUMPRODUCT(E4:E6,D4:D6)</f>
        <v>50.3283144584277</v>
      </c>
    </row>
    <row r="10" customFormat="false" ht="15" hidden="false" customHeight="false" outlineLevel="0" collapsed="false">
      <c r="A10" s="0" t="s">
        <v>152</v>
      </c>
      <c r="B10" s="0" t="n">
        <f aca="false">1-Assumptions!$B$2/B8</f>
        <v>0.366362701756885</v>
      </c>
    </row>
    <row r="11" customFormat="false" ht="15" hidden="false" customHeight="false" outlineLevel="0" collapsed="false">
      <c r="A11" s="0" t="s">
        <v>153</v>
      </c>
      <c r="B11" s="0" t="n">
        <f aca="false">IF(ABS(B9-B8)&gt;0.01*ABS(B8),(Assumptions!$B$2-B8)/(B9-B8)*100,"n/a")</f>
        <v>-2959.86356088921</v>
      </c>
    </row>
    <row r="12" customFormat="false" ht="15" hidden="false" customHeight="false" outlineLevel="0" collapsed="false">
      <c r="A12" s="0" t="s">
        <v>154</v>
      </c>
      <c r="B12" s="0" t="n">
        <f aca="false">SUMPRODUCT(F4:F6,D4:D6)</f>
        <v>33.1693236779686</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51.6611289165297</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50.2472418720735</v>
      </c>
      <c r="C16" s="3" t="n">
        <v>9.5</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48.8954576298716</v>
      </c>
      <c r="C17" s="3" t="n">
        <v>10</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45.1046660199328</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41.3413341156248</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33.66970475923</v>
      </c>
      <c r="C20" s="3" t="n">
        <v>15</v>
      </c>
    </row>
    <row r="22" customFormat="false" ht="15" hidden="false" customHeight="false" outlineLevel="0" collapsed="false">
      <c r="A22" s="2" t="s">
        <v>163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56.3094782479337</v>
      </c>
      <c r="C24" s="0" t="n">
        <f aca="false">(SUMPRODUCT(DCF_Base!$C$19:$L$19/(1+$A$24/100)^DCF_Base!$C$4:$L$4)+MAX(0,MIN(IF($A$24&gt;$C$23,DCF_Base!$L$19*(1+$C$23/100)/(($A$24-$C$23)/100),DCF_Base!$L$19*DCF_Base!$B$29),DCF_Base!$L$19*DCF_Base!$B$29))/(1+$A$24/100)^DCF_Base!$L$4+Assumptions!$B$5-Assumptions!$B$4)/Assumptions!$B$3*Assumptions!$B$10</f>
        <v>56.3094782479337</v>
      </c>
      <c r="D24" s="0" t="n">
        <f aca="false">(SUMPRODUCT(DCF_Base!$C$19:$L$19/(1+$A$24/100)^DCF_Base!$C$4:$L$4)+MAX(0,MIN(IF($A$24&gt;$D$23,DCF_Base!$L$19*(1+$D$23/100)/(($A$24-$D$23)/100),DCF_Base!$L$19*DCF_Base!$B$29),DCF_Base!$L$19*DCF_Base!$B$29))/(1+$A$24/100)^DCF_Base!$L$4+Assumptions!$B$5-Assumptions!$B$4)/Assumptions!$B$3*Assumptions!$B$10</f>
        <v>56.3094782479337</v>
      </c>
      <c r="E24" s="0" t="n">
        <f aca="false">(SUMPRODUCT(DCF_Base!$C$19:$L$19/(1+$A$24/100)^DCF_Base!$C$4:$L$4)+MAX(0,MIN(IF($A$24&gt;$E$23,DCF_Base!$L$19*(1+$E$23/100)/(($A$24-$E$23)/100),DCF_Base!$L$19*DCF_Base!$B$29),DCF_Base!$L$19*DCF_Base!$B$29))/(1+$A$24/100)^DCF_Base!$L$4+Assumptions!$B$5-Assumptions!$B$4)/Assumptions!$B$3*Assumptions!$B$10</f>
        <v>56.3094782479337</v>
      </c>
      <c r="F24" s="0" t="n">
        <f aca="false">(SUMPRODUCT(DCF_Base!$C$19:$L$19/(1+$A$24/100)^DCF_Base!$C$4:$L$4)+MAX(0,MIN(IF($A$24&gt;$F$23,DCF_Base!$L$19*(1+$F$23/100)/(($A$24-$F$23)/100),DCF_Base!$L$19*DCF_Base!$B$29),DCF_Base!$L$19*DCF_Base!$B$29))/(1+$A$24/100)^DCF_Base!$L$4+Assumptions!$B$5-Assumptions!$B$4)/Assumptions!$B$3*Assumptions!$B$10</f>
        <v>56.3094782479337</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53.1404264952516</v>
      </c>
      <c r="C25" s="0" t="n">
        <f aca="false">(SUMPRODUCT(DCF_Base!$C$19:$L$19/(1+$A$25/100)^DCF_Base!$C$4:$L$4)+MAX(0,MIN(IF($A$25&gt;$C$23,DCF_Base!$L$19*(1+$C$23/100)/(($A$25-$C$23)/100),DCF_Base!$L$19*DCF_Base!$B$29),DCF_Base!$L$19*DCF_Base!$B$29))/(1+$A$25/100)^DCF_Base!$L$4+Assumptions!$B$5-Assumptions!$B$4)/Assumptions!$B$3*Assumptions!$B$10</f>
        <v>53.1404264952516</v>
      </c>
      <c r="D25" s="0" t="n">
        <f aca="false">(SUMPRODUCT(DCF_Base!$C$19:$L$19/(1+$A$25/100)^DCF_Base!$C$4:$L$4)+MAX(0,MIN(IF($A$25&gt;$D$23,DCF_Base!$L$19*(1+$D$23/100)/(($A$25-$D$23)/100),DCF_Base!$L$19*DCF_Base!$B$29),DCF_Base!$L$19*DCF_Base!$B$29))/(1+$A$25/100)^DCF_Base!$L$4+Assumptions!$B$5-Assumptions!$B$4)/Assumptions!$B$3*Assumptions!$B$10</f>
        <v>53.1404264952516</v>
      </c>
      <c r="E25" s="0" t="n">
        <f aca="false">(SUMPRODUCT(DCF_Base!$C$19:$L$19/(1+$A$25/100)^DCF_Base!$C$4:$L$4)+MAX(0,MIN(IF($A$25&gt;$E$23,DCF_Base!$L$19*(1+$E$23/100)/(($A$25-$E$23)/100),DCF_Base!$L$19*DCF_Base!$B$29),DCF_Base!$L$19*DCF_Base!$B$29))/(1+$A$25/100)^DCF_Base!$L$4+Assumptions!$B$5-Assumptions!$B$4)/Assumptions!$B$3*Assumptions!$B$10</f>
        <v>53.1404264952516</v>
      </c>
      <c r="F25" s="0" t="n">
        <f aca="false">(SUMPRODUCT(DCF_Base!$C$19:$L$19/(1+$A$25/100)^DCF_Base!$C$4:$L$4)+MAX(0,MIN(IF($A$25&gt;$F$23,DCF_Base!$L$19*(1+$F$23/100)/(($A$25-$F$23)/100),DCF_Base!$L$19*DCF_Base!$B$29),DCF_Base!$L$19*DCF_Base!$B$29))/(1+$A$25/100)^DCF_Base!$L$4+Assumptions!$B$5-Assumptions!$B$4)/Assumptions!$B$3*Assumptions!$B$10</f>
        <v>53.1404264952516</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49.7674472460666</v>
      </c>
      <c r="C26" s="0" t="n">
        <f aca="false">(SUMPRODUCT(DCF_Base!$C$19:$L$19/(1+$A$26/100)^DCF_Base!$C$4:$L$4)+MAX(0,MIN(IF($A$26&gt;$C$23,DCF_Base!$L$19*(1+$C$23/100)/(($A$26-$C$23)/100),DCF_Base!$L$19*DCF_Base!$B$29),DCF_Base!$L$19*DCF_Base!$B$29))/(1+$A$26/100)^DCF_Base!$L$4+Assumptions!$B$5-Assumptions!$B$4)/Assumptions!$B$3*Assumptions!$B$10</f>
        <v>50.2472418720735</v>
      </c>
      <c r="D26" s="0" t="n">
        <f aca="false">(SUMPRODUCT(DCF_Base!$C$19:$L$19/(1+$A$26/100)^DCF_Base!$C$4:$L$4)+MAX(0,MIN(IF($A$26&gt;$D$23,DCF_Base!$L$19*(1+$D$23/100)/(($A$26-$D$23)/100),DCF_Base!$L$19*DCF_Base!$B$29),DCF_Base!$L$19*DCF_Base!$B$29))/(1+$A$26/100)^DCF_Base!$L$4+Assumptions!$B$5-Assumptions!$B$4)/Assumptions!$B$3*Assumptions!$B$10</f>
        <v>50.2472418720735</v>
      </c>
      <c r="E26" s="0" t="n">
        <f aca="false">(SUMPRODUCT(DCF_Base!$C$19:$L$19/(1+$A$26/100)^DCF_Base!$C$4:$L$4)+MAX(0,MIN(IF($A$26&gt;$E$23,DCF_Base!$L$19*(1+$E$23/100)/(($A$26-$E$23)/100),DCF_Base!$L$19*DCF_Base!$B$29),DCF_Base!$L$19*DCF_Base!$B$29))/(1+$A$26/100)^DCF_Base!$L$4+Assumptions!$B$5-Assumptions!$B$4)/Assumptions!$B$3*Assumptions!$B$10</f>
        <v>50.2472418720735</v>
      </c>
      <c r="F26" s="0" t="n">
        <f aca="false">(SUMPRODUCT(DCF_Base!$C$19:$L$19/(1+$A$26/100)^DCF_Base!$C$4:$L$4)+MAX(0,MIN(IF($A$26&gt;$F$23,DCF_Base!$L$19*(1+$F$23/100)/(($A$26-$F$23)/100),DCF_Base!$L$19*DCF_Base!$B$29),DCF_Base!$L$19*DCF_Base!$B$29))/(1+$A$26/100)^DCF_Base!$L$4+Assumptions!$B$5-Assumptions!$B$4)/Assumptions!$B$3*Assumptions!$B$10</f>
        <v>50.2472418720735</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45.1882320400598</v>
      </c>
      <c r="C27" s="0" t="n">
        <f aca="false">(SUMPRODUCT(DCF_Base!$C$19:$L$19/(1+$A$27/100)^DCF_Base!$C$4:$L$4)+MAX(0,MIN(IF($A$27&gt;$C$23,DCF_Base!$L$19*(1+$C$23/100)/(($A$27-$C$23)/100),DCF_Base!$L$19*DCF_Base!$B$29),DCF_Base!$L$19*DCF_Base!$B$29))/(1+$A$27/100)^DCF_Base!$L$4+Assumptions!$B$5-Assumptions!$B$4)/Assumptions!$B$3*Assumptions!$B$10</f>
        <v>46.2007310713358</v>
      </c>
      <c r="D27" s="0" t="n">
        <f aca="false">(SUMPRODUCT(DCF_Base!$C$19:$L$19/(1+$A$27/100)^DCF_Base!$C$4:$L$4)+MAX(0,MIN(IF($A$27&gt;$D$23,DCF_Base!$L$19*(1+$D$23/100)/(($A$27-$D$23)/100),DCF_Base!$L$19*DCF_Base!$B$29),DCF_Base!$L$19*DCF_Base!$B$29))/(1+$A$27/100)^DCF_Base!$L$4+Assumptions!$B$5-Assumptions!$B$4)/Assumptions!$B$3*Assumptions!$B$10</f>
        <v>47.3397924815213</v>
      </c>
      <c r="E27" s="0" t="n">
        <f aca="false">(SUMPRODUCT(DCF_Base!$C$19:$L$19/(1+$A$27/100)^DCF_Base!$C$4:$L$4)+MAX(0,MIN(IF($A$27&gt;$E$23,DCF_Base!$L$19*(1+$E$23/100)/(($A$27-$E$23)/100),DCF_Base!$L$19*DCF_Base!$B$29),DCF_Base!$L$19*DCF_Base!$B$29))/(1+$A$27/100)^DCF_Base!$L$4+Assumptions!$B$5-Assumptions!$B$4)/Assumptions!$B$3*Assumptions!$B$10</f>
        <v>47.6026528069487</v>
      </c>
      <c r="F27" s="0" t="n">
        <f aca="false">(SUMPRODUCT(DCF_Base!$C$19:$L$19/(1+$A$27/100)^DCF_Base!$C$4:$L$4)+MAX(0,MIN(IF($A$27&gt;$F$23,DCF_Base!$L$19*(1+$F$23/100)/(($A$27-$F$23)/100),DCF_Base!$L$19*DCF_Base!$B$29),DCF_Base!$L$19*DCF_Base!$B$29))/(1+$A$27/100)^DCF_Base!$L$4+Assumptions!$B$5-Assumptions!$B$4)/Assumptions!$B$3*Assumptions!$B$10</f>
        <v>47.6026528069487</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41.5310837285643</v>
      </c>
      <c r="C28" s="0" t="n">
        <f aca="false">(SUMPRODUCT(DCF_Base!$C$19:$L$19/(1+$A$28/100)^DCF_Base!$C$4:$L$4)+MAX(0,MIN(IF($A$28&gt;$C$23,DCF_Base!$L$19*(1+$C$23/100)/(($A$28-$C$23)/100),DCF_Base!$L$19*DCF_Base!$B$29),DCF_Base!$L$19*DCF_Base!$B$29))/(1+$A$28/100)^DCF_Base!$L$4+Assumptions!$B$5-Assumptions!$B$4)/Assumptions!$B$3*Assumptions!$B$10</f>
        <v>42.2829128469709</v>
      </c>
      <c r="D28" s="0" t="n">
        <f aca="false">(SUMPRODUCT(DCF_Base!$C$19:$L$19/(1+$A$28/100)^DCF_Base!$C$4:$L$4)+MAX(0,MIN(IF($A$28&gt;$D$23,DCF_Base!$L$19*(1+$D$23/100)/(($A$28-$D$23)/100),DCF_Base!$L$19*DCF_Base!$B$29),DCF_Base!$L$19*DCF_Base!$B$29))/(1+$A$28/100)^DCF_Base!$L$4+Assumptions!$B$5-Assumptions!$B$4)/Assumptions!$B$3*Assumptions!$B$10</f>
        <v>43.1182785340894</v>
      </c>
      <c r="E28" s="0" t="n">
        <f aca="false">(SUMPRODUCT(DCF_Base!$C$19:$L$19/(1+$A$28/100)^DCF_Base!$C$4:$L$4)+MAX(0,MIN(IF($A$28&gt;$E$23,DCF_Base!$L$19*(1+$E$23/100)/(($A$28-$E$23)/100),DCF_Base!$L$19*DCF_Base!$B$29),DCF_Base!$L$19*DCF_Base!$B$29))/(1+$A$28/100)^DCF_Base!$L$4+Assumptions!$B$5-Assumptions!$B$4)/Assumptions!$B$3*Assumptions!$B$10</f>
        <v>44.0519225373395</v>
      </c>
      <c r="F28" s="0" t="n">
        <f aca="false">(SUMPRODUCT(DCF_Base!$C$19:$L$19/(1+$A$28/100)^DCF_Base!$C$4:$L$4)+MAX(0,MIN(IF($A$28&gt;$F$23,DCF_Base!$L$19*(1+$F$23/100)/(($A$28-$F$23)/100),DCF_Base!$L$19*DCF_Base!$B$29),DCF_Base!$L$19*DCF_Base!$B$29))/(1+$A$28/100)^DCF_Base!$L$4+Assumptions!$B$5-Assumptions!$B$4)/Assumptions!$B$3*Assumptions!$B$10</f>
        <v>45.1022720409958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2026-10-22T13:08:33Z</dcterms:created>
  <dc:creator>openpyxl</dc:creator>
  <dc:description/>
  <dc:language>en-NZ</dc:language>
  <cp:lastModifiedBy/>
  <dcterms:modified xsi:type="dcterms:W3CDTF">2026-10-22T13:08:33Z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