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<sst xmlns="http://schemas.openxmlformats.org/spreadsheetml/2006/main" count="390" uniqueCount="175">
  <si>
    <t xml:space="preserve">Ticker</t>
  </si>
  <si>
    <t xml:space="preserve">NSC</t>
  </si>
  <si>
    <t xml:space="preserve">Company</t>
  </si>
  <si>
    <t xml:space="preserve">Norfolk Southern Corporation</t>
  </si>
  <si>
    <t xml:space="preserve">Valuation date</t>
  </si>
  <si>
    <t xml:space="preserve">2026-10-02</t>
  </si>
  <si>
    <t xml:space="preserve">Current price</t>
  </si>
  <si>
    <t xml:space="preserve">Price as of</t>
  </si>
  <si>
    <t xml:space="preserve">2026-10-01T20:01:50Z regular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</si>
  <si>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</si>
  <si>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</si>
  <si>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</si>
  <si>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</si>
  <si>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</si>
  <si>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</si>
  <si>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</si>
  <si>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</si>
  <si>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</si>
  <si>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</si>
  <si>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</si>
  <si>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</si>
  <si>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2026-10-02T02:49:30Z</t>
  </si>
  <si>
    <t xml:space="preserve">Drivers file</t>
  </si>
  <si>
    <t xml:space="preserve">NSC_Drivers.json</t>
  </si>
  <si>
    <t xml:space="preserve">Convention</t>
  </si>
  <si>
    <t xml:space="preserve">Percents stored as percents; formulas divide by 100. Blue = input, green = link, black = formula.</t>
  </si>
  <si>
    <t xml:space="preserve">Methodology</t>
  </si>
  <si>
    <t xml:space="preserve">summary: Two valuations, kept apart on purpose. (1) The standalone owner-FCF DCF -- three scenarios, 10-year component build, 8.0% WACC, terminal capped at 14-18x owner FCF -- is the fundamental anchor: what NSC is worth as an eastern Class I railroad with 17-18% capex intensity and a mid-60s operating ratio. (2) The pending Union Pacific acquisition is the dominant near-term price driver and is handled as a deal overlay, not as a growth scenario: the consideration (1.0 UNP + $88.82) is a function of UNP's share price and STB approval odds, neither of which is a driver path. The market price sits between the standalone value and the consideration; where it sits is a statement about deal probability, not about NSC's cash flows. Deal completion caps upside at the consideration; a deal break re-rates the stock toward the standalone band, cushioned only by the reverse termination fee and the dividend collected while waiting.
what_the_dcf_says: Standalone, the stock is worth materially less than the current price on every scenario, including the bull case. That is not unusual for a Class I railroad: the market pays 20-25x earnings for pricing power and network scarcity that an owner-FCF model, which charges the full 17-18% capex burden every year, does not credit. Pre-announcement (June 2025) NSC traded in the $230-250 range; the DCF range below that reflects the house 16x owner-FCF terminal cap and the full capex charge.
key_risks_to_valuation: STB outcome is binary and dominates the 12-month return: approval -&gt; consideration (~$361 at UNP's current price, itself volatile); block/abandonment -&gt; re-rate toward standalone, a 25-40% drawdown from the current price.; UNP share price: each $10 move in UNP moves the consideration $10/share; the stock component is unhedged for a plain holder.; Operating ratio execution: every point of OR is ~$120M of EBIT (~$0.45/share of earnings, ~$8-9/share of DCF value); the base case assumes ~4 points of improvement over five years that NSC has guided toward but not yet delivered on a full-year basis.; Capex intensity: the base case holds capex at 17-17.5% of revenue; a return to the 19-20% of FY2023-24 (safety catch-up) takes ~$15-20/share off the standalone value.; Cash tax rate: the model keeps cash tax below book (15% -&gt; 19%) on permanent bonus depreciation; a legislative reversal would push the rate to 21% from year one, worth ~$8-10/share.; East Palestine tail: class settlement and insurance recoveries are largely closed, but residual litigation and FRA rule-making are ongoing; modelled as zero further cash cost.; Cyclicality: merchandise and intermodal volumes track US industrial production; a recession in the review window hits both the standalone value and, through UNP's price, the consideration.</t>
  </si>
  <si>
    <t xml:space="preserve">Data sources</t>
  </si>
  <si>
    <t xml:space="preserve">price: Yahoo Finance chart API at inputs.price_as_of; 52-week range 277.8-358.6. UNP price from the same endpoint at deal_overlay.unp_price_as_of.
financials: research/NSC/Reports/NSC_Metrics.csv (SEC XBRL companyfacts, FY2006-FY2025 annual and quarterly through Q2 2026); SEC XBRL companyfacts CIK 702165 for diluted shares, debt split, lease liabilities and cost, cash taxes, interest paid, deferred tax (Q2 2026 10-Q filed 2026-07-23, FY2025 10-K filed 2026-02-09).
qualitative: research/NSC/Reports/NSC_Analysis.json (2026-10-02): merger status, STB timeline, Q2 2026 results, guidance (OR toward mid-60s), bull/bear cases.</t>
  </si>
  <si>
    <t xml:space="preserve">Scenario narrative: bear</t>
  </si>
  <si>
    <t xml:space="preserve">The STB blocks or conditions the merger into abandonment during 2027. NSC emerges with two years of deferred decisions, some customer and crew attrition, an industrial slowdown, and OR stuck near 67%. The stock loses the deal premium and re-rates toward standalone fundamentals; the ~$2.5B regulatory reverse termination fee (~$11/share, verify against the merger agreement) is the only cushion.</t>
  </si>
  <si>
    <t xml:space="preserve">Scenario narrative: base</t>
  </si>
  <si>
    <t xml:space="preserve">Standalone NSC executes PSR 2.0 roughly as guided: revenue grows 3-4% nominal, adjusted operating ratio improves about a point a year from the mid-60s to the low-60s, capex stays at 17-17.5% of revenue. The three axes are (1) OR progression vs the mid-60s guidance, (2) intermodal and merchandise volume vs US industrial production, and (3) capex intensity, which is what separates rail EBITDA from rail FCF.</t>
  </si>
  <si>
    <t xml:space="preserve">Scenario narrative: bull</t>
  </si>
  <si>
    <t xml:space="preserve">Standalone upside: volume growth from truck conversion and reshoring, OR to the ~60% peer frontier, capex intensity easing toward 16%. This is the ceiling for NSC on its own; it is still ~30% below the UP consideration, which is why the deal, not operations, is the bull case the market is actually pricing.</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</si>
  <si>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</si>
  <si>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</si>
  <si>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</si>
  <si>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</si>
  <si>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</si>
  <si>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</si>
  <si>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</si>
  <si>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</si>
  <si>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</si>
  <si>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</si>
  <si>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</si>
  <si>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</si>
  <si>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</si>
  <si>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</si>
  <si>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</si>
  <si>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</si>
  <si>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</si>
  <si>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</si>
  <si>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</si>
  <si>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</si>
  <si>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</si>
  <si>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</si>
  <si>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</si>
  <si>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</si>
  <si>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</si>
  <si>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</si>
  <si>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</si>
  <si>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</si>
  <si>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</si>
  <si>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</si>
  <si>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</si>
  <si>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</si>
  <si>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</si>
  <si>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</si>
  <si>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</si>
  <si>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</si>
  <si>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</si>
  <si>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</si>
  <si>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</si>
  <si>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</si>
  <si>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</si>
  <si>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</si>
  <si>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</si>
  <si>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</si>
  <si>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</si>
  <si>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</si>
  <si>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</si>
  <si>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</si>
  <si>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</si>
  <si>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</si>
  <si>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</si>
  <si>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</si>
  <si>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</si>
  <si>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</si>
  <si>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</si>
  <si>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</si>
  <si>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</si>
  <si>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</si>
  <si>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</si>
  <si>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</si>
  <si>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</si>
  <si>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</si>
  <si>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</si>
  <si>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</si>
  <si>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</si>
  <si>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</si>
  <si>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</si>
  <si>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</si>
  <si>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</si>
  <si>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</si>
  <si>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</si>
  <si>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</si>
  <si>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</si>
  <si>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</si>
  <si>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</si>
  <si>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</si>
  <si>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</si>
  <si>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</si>
  <si>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</si>
  <si>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</si>
  <si>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</si>
  <si>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</si>
  <si>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</si>
  <si>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</si>
  <si>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NSC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</si>
  <si>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</si>
  <si>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</si>
  <si>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</si>
  <si>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</si>
  <si>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</si>
  <si>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</si>
  <si>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</si>
  <si>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</si>
  <si>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</si>
  <si>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</si>
  <si>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</si>
  <si>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</si>
  <si>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</si>
  <si>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</si>
  <si>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</si>
  <si>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</si>
  <si>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</si>
  <si>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</si>
  <si>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</si>
  <si>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</si>
  <si>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</si>
  <si>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</si>
  <si>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</si>
  <si>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</si>
  <si>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</si>
  <si>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</si>
  <si>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</si>
  <si>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</si>
  <si>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</si>
  <si>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</si>
  <si>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NSC owner-FCF component DCF: base case (millions, USD)</t>
  </si>
  <si>
    <t xml:space="preserve">NSC owner-FCF component DCF: bull case (millions, USD)</t>
  </si>
  <si>
    <t xml:space="preserve">NSC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</si>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</sst>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310.26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9615</v>
      </c>
      <c r="S2" s="0" t="n">
        <v>527</v>
      </c>
      <c r="AA2" s="0" t="s">
        <v>17</v>
      </c>
      <c r="AB2" s="0" t="s">
        <v>14</v>
      </c>
    </row>
    <row r="3" customFormat="false" ht="15" hidden="false" customHeight="false" outlineLevel="0" collapsed="false">
      <c r="A3" s="0" t="s">
        <v>64</v>
      </c>
      <c r="B3" s="0" t="n">
        <v>9432</v>
      </c>
      <c r="F3" s="0" t="n">
        <v>2585</v>
      </c>
      <c r="G3" s="0" t="n">
        <v>27.4067005937235</v>
      </c>
      <c r="I3" s="0" t="n">
        <v>1464</v>
      </c>
      <c r="J3" s="0" t="n">
        <v>15.5216284987277</v>
      </c>
      <c r="K3" s="0" t="n">
        <v>3.73</v>
      </c>
      <c r="L3" s="0" t="n">
        <v>2333</v>
      </c>
      <c r="M3" s="0" t="n">
        <v>1341</v>
      </c>
      <c r="N3" s="0" t="n">
        <v>992</v>
      </c>
      <c r="O3" s="0" t="n">
        <v>9727</v>
      </c>
      <c r="S3" s="0" t="n">
        <v>206</v>
      </c>
      <c r="V3" s="0" t="n">
        <v>0.96</v>
      </c>
      <c r="AA3" s="0" t="s">
        <v>17</v>
      </c>
      <c r="AB3" s="0" t="s">
        <v>14</v>
      </c>
    </row>
    <row r="4" customFormat="false" ht="15" hidden="false" customHeight="false" outlineLevel="0" collapsed="false">
      <c r="A4" s="0" t="s">
        <v>65</v>
      </c>
      <c r="B4" s="0" t="n">
        <v>10661</v>
      </c>
      <c r="F4" s="0" t="n">
        <v>3084</v>
      </c>
      <c r="G4" s="0" t="n">
        <v>28.9278679298377</v>
      </c>
      <c r="I4" s="0" t="n">
        <v>1716</v>
      </c>
      <c r="J4" s="0" t="n">
        <v>16.0960510271082</v>
      </c>
      <c r="K4" s="0" t="n">
        <v>4.58</v>
      </c>
      <c r="L4" s="0" t="n">
        <v>2715</v>
      </c>
      <c r="M4" s="0" t="n">
        <v>1558</v>
      </c>
      <c r="N4" s="0" t="n">
        <v>1157</v>
      </c>
      <c r="O4" s="0" t="n">
        <v>9607</v>
      </c>
      <c r="P4" s="0" t="n">
        <v>26297</v>
      </c>
      <c r="Q4" s="0" t="n">
        <v>16690</v>
      </c>
      <c r="R4" s="0" t="n">
        <v>6667</v>
      </c>
      <c r="S4" s="0" t="n">
        <v>618</v>
      </c>
      <c r="T4" s="0" t="n">
        <v>380</v>
      </c>
      <c r="V4" s="0" t="n">
        <v>1.22</v>
      </c>
      <c r="AA4" s="0" t="s">
        <v>17</v>
      </c>
      <c r="AB4" s="0" t="s">
        <v>14</v>
      </c>
    </row>
    <row r="5" customFormat="false" ht="15" hidden="false" customHeight="false" outlineLevel="0" collapsed="false">
      <c r="A5" s="0" t="s">
        <v>66</v>
      </c>
      <c r="B5" s="0" t="n">
        <v>7969</v>
      </c>
      <c r="F5" s="0" t="n">
        <v>1962</v>
      </c>
      <c r="G5" s="0" t="n">
        <v>24.6204040657548</v>
      </c>
      <c r="I5" s="0" t="n">
        <v>1034</v>
      </c>
      <c r="J5" s="0" t="n">
        <v>12.9752792069268</v>
      </c>
      <c r="K5" s="0" t="n">
        <v>2.79</v>
      </c>
      <c r="L5" s="0" t="n">
        <v>1860</v>
      </c>
      <c r="M5" s="0" t="n">
        <v>1299</v>
      </c>
      <c r="N5" s="0" t="n">
        <v>561</v>
      </c>
      <c r="O5" s="0" t="n">
        <v>10353</v>
      </c>
      <c r="P5" s="0" t="n">
        <v>27369</v>
      </c>
      <c r="Q5" s="0" t="n">
        <v>17016</v>
      </c>
      <c r="R5" s="0" t="n">
        <v>7427</v>
      </c>
      <c r="S5" s="0" t="n">
        <v>996</v>
      </c>
      <c r="T5" s="0" t="n">
        <v>372.1</v>
      </c>
      <c r="U5" s="0" t="n">
        <v>60</v>
      </c>
      <c r="V5" s="0" t="n">
        <v>1.36</v>
      </c>
      <c r="AA5" s="0" t="s">
        <v>17</v>
      </c>
      <c r="AB5" s="0" t="s">
        <v>14</v>
      </c>
    </row>
    <row r="6" customFormat="false" ht="15" hidden="false" customHeight="false" outlineLevel="0" collapsed="false">
      <c r="A6" s="0" t="s">
        <v>67</v>
      </c>
      <c r="B6" s="0" t="n">
        <v>9516</v>
      </c>
      <c r="F6" s="0" t="n">
        <v>2676</v>
      </c>
      <c r="G6" s="0" t="n">
        <v>28.1210592686003</v>
      </c>
      <c r="I6" s="0" t="n">
        <v>1496</v>
      </c>
      <c r="J6" s="0" t="n">
        <v>15.7208911307272</v>
      </c>
      <c r="K6" s="0" t="n">
        <v>4.06</v>
      </c>
      <c r="L6" s="0" t="n">
        <v>2714</v>
      </c>
      <c r="M6" s="0" t="n">
        <v>1470</v>
      </c>
      <c r="N6" s="0" t="n">
        <v>1244</v>
      </c>
      <c r="O6" s="0" t="n">
        <v>10669</v>
      </c>
      <c r="P6" s="0" t="n">
        <v>28199</v>
      </c>
      <c r="Q6" s="0" t="n">
        <v>17530</v>
      </c>
      <c r="R6" s="0" t="n">
        <v>7283</v>
      </c>
      <c r="S6" s="0" t="n">
        <v>827</v>
      </c>
      <c r="T6" s="0" t="n">
        <v>357.362604</v>
      </c>
      <c r="U6" s="0" t="n">
        <v>67</v>
      </c>
      <c r="V6" s="0" t="n">
        <v>1.4</v>
      </c>
      <c r="AA6" s="0" t="s">
        <v>17</v>
      </c>
      <c r="AB6" s="0" t="s">
        <v>14</v>
      </c>
    </row>
    <row r="7" customFormat="false" ht="15" hidden="false" customHeight="false" outlineLevel="0" collapsed="false">
      <c r="A7" s="0" t="s">
        <v>68</v>
      </c>
      <c r="B7" s="0" t="n">
        <v>11172</v>
      </c>
      <c r="F7" s="0" t="n">
        <v>3213</v>
      </c>
      <c r="G7" s="0" t="n">
        <v>28.7593984962406</v>
      </c>
      <c r="I7" s="0" t="n">
        <v>1916</v>
      </c>
      <c r="J7" s="0" t="n">
        <v>17.1500179018976</v>
      </c>
      <c r="K7" s="0" t="n">
        <v>5.52</v>
      </c>
      <c r="L7" s="0" t="n">
        <v>3227</v>
      </c>
      <c r="M7" s="0" t="n">
        <v>2160</v>
      </c>
      <c r="N7" s="0" t="n">
        <v>1067</v>
      </c>
      <c r="O7" s="0" t="n">
        <v>9911</v>
      </c>
      <c r="P7" s="0" t="n">
        <v>28538</v>
      </c>
      <c r="Q7" s="0" t="n">
        <v>18627</v>
      </c>
      <c r="R7" s="0" t="n">
        <v>7490</v>
      </c>
      <c r="S7" s="0" t="n">
        <v>276</v>
      </c>
      <c r="T7" s="0" t="n">
        <v>330.386089</v>
      </c>
      <c r="U7" s="0" t="n">
        <v>61</v>
      </c>
      <c r="V7" s="0" t="n">
        <v>1.66</v>
      </c>
      <c r="AA7" s="0" t="s">
        <v>17</v>
      </c>
      <c r="AB7" s="0" t="s">
        <v>14</v>
      </c>
    </row>
    <row r="8" customFormat="false" ht="15" hidden="false" customHeight="false" outlineLevel="0" collapsed="false">
      <c r="A8" s="0" t="s">
        <v>69</v>
      </c>
      <c r="B8" s="0" t="n">
        <v>11040</v>
      </c>
      <c r="F8" s="0" t="n">
        <v>3124</v>
      </c>
      <c r="G8" s="0" t="n">
        <v>28.2971014492754</v>
      </c>
      <c r="I8" s="0" t="n">
        <v>1749</v>
      </c>
      <c r="J8" s="0" t="n">
        <v>15.8423913043478</v>
      </c>
      <c r="K8" s="0" t="n">
        <v>5.42</v>
      </c>
      <c r="L8" s="0" t="n">
        <v>3065</v>
      </c>
      <c r="M8" s="0" t="n">
        <v>2241</v>
      </c>
      <c r="N8" s="0" t="n">
        <v>824</v>
      </c>
      <c r="O8" s="0" t="n">
        <v>9760</v>
      </c>
      <c r="P8" s="0" t="n">
        <v>30342</v>
      </c>
      <c r="Q8" s="0" t="n">
        <v>20582</v>
      </c>
      <c r="R8" s="0" t="n">
        <v>8532</v>
      </c>
      <c r="S8" s="0" t="n">
        <v>653</v>
      </c>
      <c r="T8" s="0" t="n">
        <v>314.034174</v>
      </c>
      <c r="U8" s="0" t="n">
        <v>45</v>
      </c>
      <c r="V8" s="0" t="n">
        <v>1.94</v>
      </c>
      <c r="AA8" s="0" t="s">
        <v>17</v>
      </c>
      <c r="AB8" s="0" t="s">
        <v>14</v>
      </c>
    </row>
    <row r="9" customFormat="false" ht="15" hidden="false" customHeight="false" outlineLevel="0" collapsed="false">
      <c r="A9" s="0" t="s">
        <v>70</v>
      </c>
      <c r="B9" s="0" t="n">
        <v>11245</v>
      </c>
      <c r="F9" s="0" t="n">
        <v>3257</v>
      </c>
      <c r="G9" s="0" t="n">
        <v>28.9639839928857</v>
      </c>
      <c r="I9" s="0" t="n">
        <v>1910</v>
      </c>
      <c r="J9" s="0" t="n">
        <v>16.9853268119164</v>
      </c>
      <c r="K9" s="0" t="n">
        <v>6.1</v>
      </c>
      <c r="L9" s="0" t="n">
        <v>3078</v>
      </c>
      <c r="M9" s="0" t="n">
        <v>1971</v>
      </c>
      <c r="N9" s="0" t="n">
        <v>1107</v>
      </c>
      <c r="O9" s="0" t="n">
        <v>11289</v>
      </c>
      <c r="P9" s="0" t="n">
        <v>32483</v>
      </c>
      <c r="Q9" s="0" t="n">
        <v>21194</v>
      </c>
      <c r="R9" s="0" t="n">
        <v>9793</v>
      </c>
      <c r="S9" s="0" t="n">
        <v>1443</v>
      </c>
      <c r="T9" s="0" t="n">
        <v>308.878402</v>
      </c>
      <c r="U9" s="0" t="n">
        <v>54</v>
      </c>
      <c r="V9" s="0" t="n">
        <v>2.04</v>
      </c>
      <c r="AA9" s="0" t="s">
        <v>17</v>
      </c>
      <c r="AB9" s="0" t="s">
        <v>14</v>
      </c>
    </row>
    <row r="10" customFormat="false" ht="15" hidden="false" customHeight="false" outlineLevel="0" collapsed="false">
      <c r="A10" s="0" t="s">
        <v>71</v>
      </c>
      <c r="B10" s="0" t="n">
        <v>11624</v>
      </c>
      <c r="F10" s="0" t="n">
        <v>3575</v>
      </c>
      <c r="G10" s="0" t="n">
        <v>30.7553337921542</v>
      </c>
      <c r="I10" s="0" t="n">
        <v>2000</v>
      </c>
      <c r="J10" s="0" t="n">
        <v>17.2057811424639</v>
      </c>
      <c r="K10" s="0" t="n">
        <v>6.44</v>
      </c>
      <c r="L10" s="0" t="n">
        <v>2852</v>
      </c>
      <c r="M10" s="0" t="n">
        <v>2118</v>
      </c>
      <c r="N10" s="0" t="n">
        <v>734</v>
      </c>
      <c r="O10" s="0" t="n">
        <v>12408</v>
      </c>
      <c r="P10" s="0" t="n">
        <v>33200</v>
      </c>
      <c r="Q10" s="0" t="n">
        <v>20792</v>
      </c>
      <c r="R10" s="0" t="n">
        <v>8887</v>
      </c>
      <c r="S10" s="0" t="n">
        <v>973</v>
      </c>
      <c r="T10" s="0" t="n">
        <v>312.5</v>
      </c>
      <c r="U10" s="0" t="n">
        <v>44</v>
      </c>
      <c r="V10" s="0" t="n">
        <v>2.22</v>
      </c>
      <c r="AA10" s="0" t="s">
        <v>17</v>
      </c>
      <c r="AB10" s="0" t="s">
        <v>14</v>
      </c>
    </row>
    <row r="11" customFormat="false" ht="15" hidden="false" customHeight="false" outlineLevel="0" collapsed="false">
      <c r="A11" s="0" t="s">
        <v>72</v>
      </c>
      <c r="B11" s="0" t="n">
        <v>10511</v>
      </c>
      <c r="F11" s="0" t="n">
        <v>2884</v>
      </c>
      <c r="G11" s="0" t="n">
        <v>27.4379221767672</v>
      </c>
      <c r="I11" s="0" t="n">
        <v>1556</v>
      </c>
      <c r="J11" s="0" t="n">
        <v>14.8035391494625</v>
      </c>
      <c r="K11" s="0" t="n">
        <v>5.13</v>
      </c>
      <c r="M11" s="0" t="n">
        <v>2385</v>
      </c>
      <c r="O11" s="0" t="n">
        <v>12188</v>
      </c>
      <c r="P11" s="0" t="n">
        <v>34139</v>
      </c>
      <c r="Q11" s="0" t="n">
        <v>21951</v>
      </c>
      <c r="R11" s="0" t="n">
        <v>10393</v>
      </c>
      <c r="S11" s="0" t="n">
        <v>1101</v>
      </c>
      <c r="T11" s="0" t="n">
        <v>304.4</v>
      </c>
      <c r="U11" s="0" t="n">
        <v>42</v>
      </c>
      <c r="V11" s="0" t="n">
        <v>2.36</v>
      </c>
      <c r="AA11" s="0" t="s">
        <v>17</v>
      </c>
      <c r="AB11" s="0" t="s">
        <v>14</v>
      </c>
    </row>
    <row r="12" customFormat="false" ht="15" hidden="false" customHeight="false" outlineLevel="0" collapsed="false">
      <c r="A12" s="0" t="s">
        <v>73</v>
      </c>
      <c r="B12" s="0" t="n">
        <v>9888</v>
      </c>
      <c r="F12" s="0" t="n">
        <v>3009</v>
      </c>
      <c r="G12" s="0" t="n">
        <v>30.4308252427184</v>
      </c>
      <c r="H12" s="0" t="n">
        <v>4039</v>
      </c>
      <c r="I12" s="0" t="n">
        <v>1668</v>
      </c>
      <c r="J12" s="0" t="n">
        <v>16.868932038835</v>
      </c>
      <c r="K12" s="0" t="n">
        <v>5.66</v>
      </c>
      <c r="L12" s="0" t="n">
        <v>3034</v>
      </c>
      <c r="M12" s="0" t="n">
        <v>1887</v>
      </c>
      <c r="N12" s="0" t="n">
        <v>1147</v>
      </c>
      <c r="O12" s="0" t="n">
        <v>12409</v>
      </c>
      <c r="P12" s="0" t="n">
        <v>34892</v>
      </c>
      <c r="Q12" s="0" t="n">
        <v>22483</v>
      </c>
      <c r="R12" s="0" t="n">
        <v>10662</v>
      </c>
      <c r="S12" s="0" t="n">
        <v>956</v>
      </c>
      <c r="T12" s="0" t="n">
        <v>296</v>
      </c>
      <c r="U12" s="0" t="n">
        <v>42</v>
      </c>
      <c r="V12" s="0" t="n">
        <v>2.36</v>
      </c>
      <c r="AA12" s="0" t="s">
        <v>17</v>
      </c>
      <c r="AB12" s="0" t="s">
        <v>14</v>
      </c>
    </row>
    <row r="13" customFormat="false" ht="15" hidden="false" customHeight="false" outlineLevel="0" collapsed="false">
      <c r="A13" s="0" t="s">
        <v>74</v>
      </c>
      <c r="B13" s="0" t="n">
        <v>10551</v>
      </c>
      <c r="F13" s="0" t="n">
        <v>3522</v>
      </c>
      <c r="G13" s="0" t="n">
        <v>33.3807222064259</v>
      </c>
      <c r="H13" s="0" t="n">
        <v>4581</v>
      </c>
      <c r="I13" s="0" t="n">
        <v>5404</v>
      </c>
      <c r="J13" s="0" t="n">
        <v>51.2178940384798</v>
      </c>
      <c r="K13" s="0" t="n">
        <v>18.76</v>
      </c>
      <c r="L13" s="0" t="n">
        <v>3253</v>
      </c>
      <c r="M13" s="0" t="n">
        <v>1723</v>
      </c>
      <c r="N13" s="0" t="n">
        <v>1530</v>
      </c>
      <c r="O13" s="0" t="n">
        <v>16359</v>
      </c>
      <c r="P13" s="0" t="n">
        <v>35711</v>
      </c>
      <c r="Q13" s="0" t="n">
        <v>19352</v>
      </c>
      <c r="R13" s="0" t="n">
        <v>9736</v>
      </c>
      <c r="S13" s="0" t="n">
        <v>690</v>
      </c>
      <c r="T13" s="0" t="n">
        <v>290.3</v>
      </c>
      <c r="U13" s="0" t="n">
        <v>45</v>
      </c>
      <c r="V13" s="0" t="n">
        <v>2.44</v>
      </c>
      <c r="AA13" s="0" t="s">
        <v>17</v>
      </c>
      <c r="AB13" s="0" t="s">
        <v>14</v>
      </c>
    </row>
    <row r="14" customFormat="false" ht="15" hidden="false" customHeight="false" outlineLevel="0" collapsed="false">
      <c r="A14" s="0" t="s">
        <v>75</v>
      </c>
      <c r="B14" s="0" t="n">
        <v>11458</v>
      </c>
      <c r="F14" s="0" t="n">
        <v>3959</v>
      </c>
      <c r="G14" s="0" t="n">
        <v>34.5522778844476</v>
      </c>
      <c r="H14" s="0" t="n">
        <v>5063</v>
      </c>
      <c r="I14" s="0" t="n">
        <v>2666</v>
      </c>
      <c r="J14" s="0" t="n">
        <v>23.2675859661372</v>
      </c>
      <c r="K14" s="0" t="n">
        <v>9.58</v>
      </c>
      <c r="L14" s="0" t="n">
        <v>3726</v>
      </c>
      <c r="M14" s="0" t="n">
        <v>1951</v>
      </c>
      <c r="N14" s="0" t="n">
        <v>1775</v>
      </c>
      <c r="O14" s="0" t="n">
        <v>15362</v>
      </c>
      <c r="P14" s="0" t="n">
        <v>36239</v>
      </c>
      <c r="Q14" s="0" t="n">
        <v>20877</v>
      </c>
      <c r="R14" s="0" t="n">
        <v>11145</v>
      </c>
      <c r="S14" s="0" t="n">
        <v>358</v>
      </c>
      <c r="T14" s="0" t="n">
        <v>280.2</v>
      </c>
      <c r="U14" s="0" t="n">
        <v>47</v>
      </c>
      <c r="V14" s="0" t="n">
        <v>3.04</v>
      </c>
      <c r="AA14" s="0" t="s">
        <v>17</v>
      </c>
      <c r="AB14" s="0" t="s">
        <v>14</v>
      </c>
    </row>
    <row r="15" customFormat="false" ht="15" hidden="false" customHeight="false" outlineLevel="0" collapsed="false">
      <c r="A15" s="0" t="s">
        <v>76</v>
      </c>
      <c r="B15" s="0" t="n">
        <v>11296</v>
      </c>
      <c r="F15" s="0" t="n">
        <v>3989</v>
      </c>
      <c r="G15" s="0" t="n">
        <v>35.3133852691218</v>
      </c>
      <c r="H15" s="0" t="n">
        <v>5128</v>
      </c>
      <c r="I15" s="0" t="n">
        <v>2722</v>
      </c>
      <c r="J15" s="0" t="n">
        <v>24.0970254957507</v>
      </c>
      <c r="K15" s="0" t="n">
        <v>10.32</v>
      </c>
      <c r="L15" s="0" t="n">
        <v>3892</v>
      </c>
      <c r="M15" s="0" t="n">
        <v>2019</v>
      </c>
      <c r="N15" s="0" t="n">
        <v>1873</v>
      </c>
      <c r="O15" s="0" t="n">
        <v>15184</v>
      </c>
      <c r="P15" s="0" t="n">
        <v>37923</v>
      </c>
      <c r="Q15" s="0" t="n">
        <v>22739</v>
      </c>
      <c r="R15" s="0" t="n">
        <v>12196</v>
      </c>
      <c r="S15" s="0" t="n">
        <v>580</v>
      </c>
      <c r="T15" s="0" t="n">
        <v>265.6</v>
      </c>
      <c r="U15" s="0" t="n">
        <v>53</v>
      </c>
      <c r="V15" s="0" t="n">
        <v>3.6</v>
      </c>
      <c r="AA15" s="0" t="s">
        <v>17</v>
      </c>
      <c r="AB15" s="0" t="s">
        <v>14</v>
      </c>
    </row>
    <row r="16" customFormat="false" ht="15" hidden="false" customHeight="false" outlineLevel="0" collapsed="false">
      <c r="A16" s="0" t="s">
        <v>77</v>
      </c>
      <c r="B16" s="0" t="n">
        <v>9789</v>
      </c>
      <c r="F16" s="0" t="n">
        <v>3002</v>
      </c>
      <c r="G16" s="0" t="n">
        <v>30.6670752885892</v>
      </c>
      <c r="H16" s="0" t="n">
        <v>4156</v>
      </c>
      <c r="I16" s="0" t="n">
        <v>2013</v>
      </c>
      <c r="J16" s="0" t="n">
        <v>20.5638982531413</v>
      </c>
      <c r="K16" s="0" t="n">
        <v>7.88</v>
      </c>
      <c r="L16" s="0" t="n">
        <v>3637</v>
      </c>
      <c r="M16" s="0" t="n">
        <v>1494</v>
      </c>
      <c r="N16" s="0" t="n">
        <v>2143</v>
      </c>
      <c r="O16" s="0" t="n">
        <v>14791</v>
      </c>
      <c r="P16" s="0" t="n">
        <v>37962</v>
      </c>
      <c r="Q16" s="0" t="n">
        <v>23171</v>
      </c>
      <c r="R16" s="0" t="n">
        <v>12681</v>
      </c>
      <c r="S16" s="0" t="n">
        <v>1115</v>
      </c>
      <c r="T16" s="0" t="n">
        <v>256.6</v>
      </c>
      <c r="U16" s="0" t="n">
        <v>28</v>
      </c>
      <c r="V16" s="0" t="n">
        <v>3.76</v>
      </c>
      <c r="AA16" s="0" t="s">
        <v>17</v>
      </c>
      <c r="AB16" s="0" t="s">
        <v>14</v>
      </c>
    </row>
    <row r="17" customFormat="false" ht="15" hidden="false" customHeight="false" outlineLevel="0" collapsed="false">
      <c r="A17" s="0" t="s">
        <v>78</v>
      </c>
      <c r="B17" s="0" t="n">
        <v>11142</v>
      </c>
      <c r="F17" s="0" t="n">
        <v>4447</v>
      </c>
      <c r="G17" s="0" t="n">
        <v>39.9120445162448</v>
      </c>
      <c r="H17" s="0" t="n">
        <v>5628</v>
      </c>
      <c r="I17" s="0" t="n">
        <v>3005</v>
      </c>
      <c r="J17" s="0" t="n">
        <v>26.9700233351284</v>
      </c>
      <c r="K17" s="0" t="n">
        <v>12.16</v>
      </c>
      <c r="L17" s="0" t="n">
        <v>4255</v>
      </c>
      <c r="M17" s="0" t="n">
        <v>1470</v>
      </c>
      <c r="N17" s="0" t="n">
        <v>2785</v>
      </c>
      <c r="O17" s="0" t="n">
        <v>13641</v>
      </c>
      <c r="P17" s="0" t="n">
        <v>38493</v>
      </c>
      <c r="Q17" s="0" t="n">
        <v>24852</v>
      </c>
      <c r="R17" s="0" t="n">
        <v>13840</v>
      </c>
      <c r="S17" s="0" t="n">
        <v>839</v>
      </c>
      <c r="T17" s="0" t="n">
        <v>248.1</v>
      </c>
      <c r="U17" s="0" t="n">
        <v>54</v>
      </c>
      <c r="V17" s="0" t="n">
        <v>4.16</v>
      </c>
      <c r="AA17" s="0" t="s">
        <v>17</v>
      </c>
      <c r="AB17" s="0" t="s">
        <v>14</v>
      </c>
    </row>
    <row r="18" customFormat="false" ht="15" hidden="false" customHeight="false" outlineLevel="0" collapsed="false">
      <c r="A18" s="0" t="s">
        <v>79</v>
      </c>
      <c r="B18" s="0" t="n">
        <v>12745</v>
      </c>
      <c r="F18" s="0" t="n">
        <v>4809</v>
      </c>
      <c r="G18" s="0" t="n">
        <v>37.7324440957238</v>
      </c>
      <c r="H18" s="0" t="n">
        <v>6030</v>
      </c>
      <c r="I18" s="0" t="n">
        <v>3270</v>
      </c>
      <c r="J18" s="0" t="n">
        <v>25.657120439388</v>
      </c>
      <c r="K18" s="0" t="n">
        <v>13.92</v>
      </c>
      <c r="L18" s="0" t="n">
        <v>4222</v>
      </c>
      <c r="M18" s="0" t="n">
        <v>1948</v>
      </c>
      <c r="N18" s="0" t="n">
        <v>2274</v>
      </c>
      <c r="O18" s="0" t="n">
        <v>12733</v>
      </c>
      <c r="P18" s="0" t="n">
        <v>38885</v>
      </c>
      <c r="Q18" s="0" t="n">
        <v>26152</v>
      </c>
      <c r="R18" s="0" t="n">
        <v>15182</v>
      </c>
      <c r="S18" s="0" t="n">
        <v>456</v>
      </c>
      <c r="T18" s="0" t="n">
        <v>235.6</v>
      </c>
      <c r="U18" s="0" t="n">
        <v>53</v>
      </c>
      <c r="V18" s="0" t="n">
        <v>4.96</v>
      </c>
      <c r="AA18" s="0" t="s">
        <v>17</v>
      </c>
      <c r="AB18" s="0" t="s">
        <v>14</v>
      </c>
    </row>
    <row r="19" customFormat="false" ht="15" hidden="false" customHeight="false" outlineLevel="0" collapsed="false">
      <c r="A19" s="0" t="s">
        <v>80</v>
      </c>
      <c r="B19" s="0" t="n">
        <v>12156</v>
      </c>
      <c r="F19" s="0" t="n">
        <v>2851</v>
      </c>
      <c r="G19" s="0" t="n">
        <v>23.4534386311287</v>
      </c>
      <c r="H19" s="0" t="n">
        <v>4149</v>
      </c>
      <c r="I19" s="0" t="n">
        <v>1827</v>
      </c>
      <c r="J19" s="0" t="n">
        <v>15.0296150049358</v>
      </c>
      <c r="K19" s="0" t="n">
        <v>8.04</v>
      </c>
      <c r="L19" s="0" t="n">
        <v>3179</v>
      </c>
      <c r="M19" s="0" t="n">
        <v>2327</v>
      </c>
      <c r="N19" s="0" t="n">
        <v>852</v>
      </c>
      <c r="O19" s="0" t="n">
        <v>12781</v>
      </c>
      <c r="P19" s="0" t="n">
        <v>41652</v>
      </c>
      <c r="Q19" s="0" t="n">
        <v>28871</v>
      </c>
      <c r="R19" s="0" t="n">
        <v>17179</v>
      </c>
      <c r="S19" s="0" t="n">
        <v>1568</v>
      </c>
      <c r="T19" s="0" t="n">
        <v>227.4</v>
      </c>
      <c r="U19" s="0" t="n">
        <v>40</v>
      </c>
      <c r="V19" s="0" t="n">
        <v>5.4</v>
      </c>
      <c r="AA19" s="0" t="s">
        <v>17</v>
      </c>
      <c r="AB19" s="0" t="s">
        <v>14</v>
      </c>
    </row>
    <row r="20" customFormat="false" ht="15" hidden="false" customHeight="false" outlineLevel="0" collapsed="false">
      <c r="A20" s="0" t="s">
        <v>81</v>
      </c>
      <c r="B20" s="0" t="n">
        <v>12123</v>
      </c>
      <c r="F20" s="0" t="n">
        <v>4071</v>
      </c>
      <c r="G20" s="0" t="n">
        <v>33.5807968324672</v>
      </c>
      <c r="H20" s="0" t="n">
        <v>5424</v>
      </c>
      <c r="I20" s="0" t="n">
        <v>2622</v>
      </c>
      <c r="J20" s="0" t="n">
        <v>21.6283098243009</v>
      </c>
      <c r="K20" s="0" t="n">
        <v>11.58</v>
      </c>
      <c r="L20" s="0" t="n">
        <v>4052</v>
      </c>
      <c r="M20" s="0" t="n">
        <v>2381</v>
      </c>
      <c r="N20" s="0" t="n">
        <v>1671</v>
      </c>
      <c r="O20" s="0" t="n">
        <v>14306</v>
      </c>
      <c r="P20" s="0" t="n">
        <v>43682</v>
      </c>
      <c r="Q20" s="0" t="n">
        <v>29376</v>
      </c>
      <c r="R20" s="0" t="n">
        <v>17206</v>
      </c>
      <c r="S20" s="0" t="n">
        <v>1641</v>
      </c>
      <c r="T20" s="0" t="n">
        <v>226.4</v>
      </c>
      <c r="U20" s="0" t="n">
        <v>40</v>
      </c>
      <c r="V20" s="0" t="n">
        <v>5.4</v>
      </c>
      <c r="AA20" s="0" t="s">
        <v>17</v>
      </c>
      <c r="AB20" s="0" t="s">
        <v>14</v>
      </c>
    </row>
    <row r="21" customFormat="false" ht="15" hidden="false" customHeight="false" outlineLevel="0" collapsed="false">
      <c r="A21" s="0" t="s">
        <v>82</v>
      </c>
      <c r="B21" s="0" t="n">
        <v>12180</v>
      </c>
      <c r="F21" s="0" t="n">
        <v>4356</v>
      </c>
      <c r="G21" s="0" t="n">
        <v>35.7635467980296</v>
      </c>
      <c r="H21" s="0" t="n">
        <v>5749</v>
      </c>
      <c r="I21" s="0" t="n">
        <v>2873</v>
      </c>
      <c r="J21" s="0" t="n">
        <v>23.5878489326765</v>
      </c>
      <c r="K21" s="0" t="n">
        <v>12.76</v>
      </c>
      <c r="L21" s="0" t="n">
        <v>4361</v>
      </c>
      <c r="M21" s="0" t="n">
        <v>2204</v>
      </c>
      <c r="N21" s="0" t="n">
        <v>2157</v>
      </c>
      <c r="O21" s="0" t="n">
        <v>15547</v>
      </c>
      <c r="P21" s="0" t="n">
        <v>45236</v>
      </c>
      <c r="Q21" s="0" t="n">
        <v>29689</v>
      </c>
      <c r="R21" s="0" t="n">
        <v>17087</v>
      </c>
      <c r="S21" s="0" t="n">
        <v>1530</v>
      </c>
      <c r="T21" s="0" t="n">
        <v>225.3</v>
      </c>
      <c r="U21" s="0" t="n">
        <v>63</v>
      </c>
      <c r="V21" s="0" t="n">
        <v>5.4</v>
      </c>
      <c r="AA21" s="0" t="s">
        <v>17</v>
      </c>
      <c r="AB2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310.26</v>
      </c>
    </row>
    <row r="3" customFormat="false" ht="15" hidden="false" customHeight="false" outlineLevel="0" collapsed="false">
      <c r="A3" s="0" t="s">
        <v>86</v>
      </c>
      <c r="B3" s="3" t="n">
        <v>225</v>
      </c>
    </row>
    <row r="4" customFormat="false" ht="15" hidden="false" customHeight="false" outlineLevel="0" collapsed="false">
      <c r="A4" s="0" t="s">
        <v>87</v>
      </c>
      <c r="B4" s="3" t="n">
        <v>15547</v>
      </c>
    </row>
    <row r="5" customFormat="false" ht="15" hidden="false" customHeight="false" outlineLevel="0" collapsed="false">
      <c r="A5" s="0" t="s">
        <v>88</v>
      </c>
      <c r="B5" s="3" t="n">
        <v>0</v>
      </c>
    </row>
    <row r="6" customFormat="false" ht="15" hidden="false" customHeight="false" outlineLevel="0" collapsed="false">
      <c r="A6" s="0" t="s">
        <v>89</v>
      </c>
      <c r="B6" s="3" t="n">
        <v>15</v>
      </c>
    </row>
    <row r="7" customFormat="false" ht="15" hidden="false" customHeight="false" outlineLevel="0" collapsed="false">
      <c r="A7" s="0" t="s">
        <v>90</v>
      </c>
      <c r="B7" s="3" t="n">
        <v>12180</v>
      </c>
    </row>
    <row r="8" customFormat="false" ht="15" hidden="false" customHeight="false" outlineLevel="0" collapsed="false">
      <c r="A8" s="0" t="s">
        <v>91</v>
      </c>
      <c r="B8" s="3" t="s">
        <v>82</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3</v>
      </c>
      <c r="D13" s="3" t="n">
        <v>1.5</v>
      </c>
      <c r="E13" s="3" t="n">
        <v>2</v>
      </c>
      <c r="F13" s="3" t="n">
        <v>2</v>
      </c>
      <c r="G13" s="3" t="n">
        <v>2</v>
      </c>
      <c r="H13" s="3" t="n">
        <v>2</v>
      </c>
      <c r="I13" s="3" t="n">
        <v>2</v>
      </c>
      <c r="J13" s="3" t="n">
        <v>2</v>
      </c>
      <c r="K13" s="3" t="n">
        <v>2</v>
      </c>
      <c r="L13" s="3" t="n">
        <v>2</v>
      </c>
    </row>
    <row r="14" customFormat="false" ht="15" hidden="false" customHeight="false" outlineLevel="0" collapsed="false">
      <c r="A14" s="0" t="s">
        <v>107</v>
      </c>
      <c r="C14" s="3" t="n">
        <v>44</v>
      </c>
      <c r="D14" s="3" t="n">
        <v>43.5</v>
      </c>
      <c r="E14" s="3" t="n">
        <v>44</v>
      </c>
      <c r="F14" s="3" t="n">
        <v>44</v>
      </c>
      <c r="G14" s="3" t="n">
        <v>44.5</v>
      </c>
      <c r="H14" s="3" t="n">
        <v>44.5</v>
      </c>
      <c r="I14" s="3" t="n">
        <v>44.5</v>
      </c>
      <c r="J14" s="3" t="n">
        <v>44.5</v>
      </c>
      <c r="K14" s="3" t="n">
        <v>44.5</v>
      </c>
      <c r="L14" s="3" t="n">
        <v>44.5</v>
      </c>
    </row>
    <row r="15" customFormat="false" ht="15" hidden="false" customHeight="false" outlineLevel="0" collapsed="false">
      <c r="A15" s="0" t="s">
        <v>108</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11</v>
      </c>
      <c r="D17" s="3" t="n">
        <v>11</v>
      </c>
      <c r="E17" s="3" t="n">
        <v>11</v>
      </c>
      <c r="F17" s="3" t="n">
        <v>11</v>
      </c>
      <c r="G17" s="3" t="n">
        <v>11</v>
      </c>
      <c r="H17" s="3" t="n">
        <v>11</v>
      </c>
      <c r="I17" s="3" t="n">
        <v>11</v>
      </c>
      <c r="J17" s="3" t="n">
        <v>11</v>
      </c>
      <c r="K17" s="3" t="n">
        <v>11</v>
      </c>
      <c r="L17" s="3" t="n">
        <v>11</v>
      </c>
    </row>
    <row r="18" customFormat="false" ht="15" hidden="false" customHeight="false" outlineLevel="0" collapsed="false">
      <c r="A18" s="0" t="s">
        <v>111</v>
      </c>
      <c r="C18" s="3" t="n">
        <v>18.5</v>
      </c>
      <c r="D18" s="3" t="n">
        <v>18.5</v>
      </c>
      <c r="E18" s="3" t="n">
        <v>18.5</v>
      </c>
      <c r="F18" s="3" t="n">
        <v>18.5</v>
      </c>
      <c r="G18" s="3" t="n">
        <v>18.5</v>
      </c>
      <c r="H18" s="3" t="n">
        <v>18.5</v>
      </c>
      <c r="I18" s="3" t="n">
        <v>18.5</v>
      </c>
      <c r="J18" s="3" t="n">
        <v>18.5</v>
      </c>
      <c r="K18" s="3" t="n">
        <v>18.5</v>
      </c>
      <c r="L18" s="3" t="n">
        <v>18.5</v>
      </c>
    </row>
    <row r="19" customFormat="false" ht="15" hidden="false" customHeight="false" outlineLevel="0" collapsed="false">
      <c r="A19" s="0" t="s">
        <v>112</v>
      </c>
      <c r="C19" s="3" t="n">
        <v>16</v>
      </c>
      <c r="D19" s="3" t="n">
        <v>17</v>
      </c>
      <c r="E19" s="3" t="n">
        <v>18</v>
      </c>
      <c r="F19" s="3" t="n">
        <v>19</v>
      </c>
      <c r="G19" s="3" t="n">
        <v>20</v>
      </c>
      <c r="H19" s="3" t="n">
        <v>21</v>
      </c>
      <c r="I19" s="3" t="n">
        <v>21</v>
      </c>
      <c r="J19" s="3" t="n">
        <v>21</v>
      </c>
      <c r="K19" s="3" t="n">
        <v>21</v>
      </c>
      <c r="L19" s="3" t="n">
        <v>21</v>
      </c>
    </row>
    <row r="20" customFormat="false" ht="15" hidden="false" customHeight="false" outlineLevel="0" collapsed="false">
      <c r="A20" s="0" t="s">
        <v>113</v>
      </c>
      <c r="B20" s="3" t="n">
        <v>8</v>
      </c>
    </row>
    <row r="21" customFormat="false" ht="15" hidden="false" customHeight="false" outlineLevel="0" collapsed="false">
      <c r="A21" s="0" t="s">
        <v>114</v>
      </c>
      <c r="B21" s="3" t="n">
        <v>2</v>
      </c>
    </row>
    <row r="22" customFormat="false" ht="15" hidden="false" customHeight="false" outlineLevel="0" collapsed="false">
      <c r="A22" s="0" t="s">
        <v>115</v>
      </c>
      <c r="B22" s="3" t="n">
        <v>14</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5</v>
      </c>
      <c r="D27" s="3" t="n">
        <v>4</v>
      </c>
      <c r="E27" s="3" t="n">
        <v>4</v>
      </c>
      <c r="F27" s="3" t="n">
        <v>3.5</v>
      </c>
      <c r="G27" s="3" t="n">
        <v>3.5</v>
      </c>
      <c r="H27" s="3" t="n">
        <v>3</v>
      </c>
      <c r="I27" s="3" t="n">
        <v>3</v>
      </c>
      <c r="J27" s="3" t="n">
        <v>3</v>
      </c>
      <c r="K27" s="3" t="n">
        <v>2.5</v>
      </c>
      <c r="L27" s="3" t="n">
        <v>2.5</v>
      </c>
    </row>
    <row r="28" customFormat="false" ht="15" hidden="false" customHeight="false" outlineLevel="0" collapsed="false">
      <c r="A28" s="0" t="s">
        <v>107</v>
      </c>
      <c r="C28" s="3" t="n">
        <v>45</v>
      </c>
      <c r="D28" s="3" t="n">
        <v>45.5</v>
      </c>
      <c r="E28" s="3" t="n">
        <v>46</v>
      </c>
      <c r="F28" s="3" t="n">
        <v>46.5</v>
      </c>
      <c r="G28" s="3" t="n">
        <v>47</v>
      </c>
      <c r="H28" s="3" t="n">
        <v>47.5</v>
      </c>
      <c r="I28" s="3" t="n">
        <v>47.5</v>
      </c>
      <c r="J28" s="3" t="n">
        <v>47.5</v>
      </c>
      <c r="K28" s="3" t="n">
        <v>47.5</v>
      </c>
      <c r="L28" s="3" t="n">
        <v>47.5</v>
      </c>
    </row>
    <row r="29" customFormat="false" ht="15" hidden="false" customHeight="false" outlineLevel="0" collapsed="false">
      <c r="A29" s="0" t="s">
        <v>108</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11</v>
      </c>
      <c r="D31" s="3" t="n">
        <v>11</v>
      </c>
      <c r="E31" s="3" t="n">
        <v>11</v>
      </c>
      <c r="F31" s="3" t="n">
        <v>11</v>
      </c>
      <c r="G31" s="3" t="n">
        <v>11</v>
      </c>
      <c r="H31" s="3" t="n">
        <v>11</v>
      </c>
      <c r="I31" s="3" t="n">
        <v>11</v>
      </c>
      <c r="J31" s="3" t="n">
        <v>11</v>
      </c>
      <c r="K31" s="3" t="n">
        <v>11</v>
      </c>
      <c r="L31" s="3" t="n">
        <v>11</v>
      </c>
    </row>
    <row r="32" customFormat="false" ht="15" hidden="false" customHeight="false" outlineLevel="0" collapsed="false">
      <c r="A32" s="0" t="s">
        <v>111</v>
      </c>
      <c r="C32" s="3" t="n">
        <v>17.5</v>
      </c>
      <c r="D32" s="3" t="n">
        <v>17.5</v>
      </c>
      <c r="E32" s="3" t="n">
        <v>17.5</v>
      </c>
      <c r="F32" s="3" t="n">
        <v>17</v>
      </c>
      <c r="G32" s="3" t="n">
        <v>17</v>
      </c>
      <c r="H32" s="3" t="n">
        <v>17</v>
      </c>
      <c r="I32" s="3" t="n">
        <v>17</v>
      </c>
      <c r="J32" s="3" t="n">
        <v>17</v>
      </c>
      <c r="K32" s="3" t="n">
        <v>17</v>
      </c>
      <c r="L32" s="3" t="n">
        <v>17</v>
      </c>
    </row>
    <row r="33" customFormat="false" ht="15" hidden="false" customHeight="false" outlineLevel="0" collapsed="false">
      <c r="A33" s="0" t="s">
        <v>112</v>
      </c>
      <c r="C33" s="3" t="n">
        <v>15</v>
      </c>
      <c r="D33" s="3" t="n">
        <v>15</v>
      </c>
      <c r="E33" s="3" t="n">
        <v>16</v>
      </c>
      <c r="F33" s="3" t="n">
        <v>16</v>
      </c>
      <c r="G33" s="3" t="n">
        <v>17</v>
      </c>
      <c r="H33" s="3" t="n">
        <v>17</v>
      </c>
      <c r="I33" s="3" t="n">
        <v>18</v>
      </c>
      <c r="J33" s="3" t="n">
        <v>18</v>
      </c>
      <c r="K33" s="3" t="n">
        <v>19</v>
      </c>
      <c r="L33" s="3" t="n">
        <v>19</v>
      </c>
    </row>
    <row r="34" customFormat="false" ht="15" hidden="false" customHeight="false" outlineLevel="0" collapsed="false">
      <c r="A34" s="0" t="s">
        <v>113</v>
      </c>
      <c r="B34" s="3" t="n">
        <v>8</v>
      </c>
    </row>
    <row r="35" customFormat="false" ht="15" hidden="false" customHeight="false" outlineLevel="0" collapsed="false">
      <c r="A35" s="0" t="s">
        <v>114</v>
      </c>
      <c r="B35" s="3" t="n">
        <v>2.5</v>
      </c>
    </row>
    <row r="36" customFormat="false" ht="15" hidden="false" customHeight="false" outlineLevel="0" collapsed="false">
      <c r="A36" s="0" t="s">
        <v>115</v>
      </c>
      <c r="B36" s="3" t="n">
        <v>16</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6</v>
      </c>
      <c r="D41" s="3" t="n">
        <v>5.5</v>
      </c>
      <c r="E41" s="3" t="n">
        <v>5</v>
      </c>
      <c r="F41" s="3" t="n">
        <v>4.5</v>
      </c>
      <c r="G41" s="3" t="n">
        <v>4</v>
      </c>
      <c r="H41" s="3" t="n">
        <v>4</v>
      </c>
      <c r="I41" s="3" t="n">
        <v>3.5</v>
      </c>
      <c r="J41" s="3" t="n">
        <v>3.5</v>
      </c>
      <c r="K41" s="3" t="n">
        <v>3</v>
      </c>
      <c r="L41" s="3" t="n">
        <v>3</v>
      </c>
    </row>
    <row r="42" customFormat="false" ht="15" hidden="false" customHeight="false" outlineLevel="0" collapsed="false">
      <c r="A42" s="0" t="s">
        <v>107</v>
      </c>
      <c r="C42" s="3" t="n">
        <v>45.5</v>
      </c>
      <c r="D42" s="3" t="n">
        <v>46.5</v>
      </c>
      <c r="E42" s="3" t="n">
        <v>47.5</v>
      </c>
      <c r="F42" s="3" t="n">
        <v>48.5</v>
      </c>
      <c r="G42" s="3" t="n">
        <v>49</v>
      </c>
      <c r="H42" s="3" t="n">
        <v>49.5</v>
      </c>
      <c r="I42" s="3" t="n">
        <v>50</v>
      </c>
      <c r="J42" s="3" t="n">
        <v>50</v>
      </c>
      <c r="K42" s="3" t="n">
        <v>50</v>
      </c>
      <c r="L42" s="3" t="n">
        <v>50</v>
      </c>
    </row>
    <row r="43" customFormat="false" ht="15" hidden="false" customHeight="false" outlineLevel="0" collapsed="false">
      <c r="A43" s="0" t="s">
        <v>108</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11</v>
      </c>
      <c r="D45" s="3" t="n">
        <v>11</v>
      </c>
      <c r="E45" s="3" t="n">
        <v>11</v>
      </c>
      <c r="F45" s="3" t="n">
        <v>11</v>
      </c>
      <c r="G45" s="3" t="n">
        <v>11</v>
      </c>
      <c r="H45" s="3" t="n">
        <v>11</v>
      </c>
      <c r="I45" s="3" t="n">
        <v>11</v>
      </c>
      <c r="J45" s="3" t="n">
        <v>11</v>
      </c>
      <c r="K45" s="3" t="n">
        <v>11</v>
      </c>
      <c r="L45" s="3" t="n">
        <v>11</v>
      </c>
    </row>
    <row r="46" customFormat="false" ht="15" hidden="false" customHeight="false" outlineLevel="0" collapsed="false">
      <c r="A46" s="0" t="s">
        <v>111</v>
      </c>
      <c r="C46" s="3" t="n">
        <v>17.5</v>
      </c>
      <c r="D46" s="3" t="n">
        <v>17</v>
      </c>
      <c r="E46" s="3" t="n">
        <v>17</v>
      </c>
      <c r="F46" s="3" t="n">
        <v>16.5</v>
      </c>
      <c r="G46" s="3" t="n">
        <v>16.5</v>
      </c>
      <c r="H46" s="3" t="n">
        <v>16.5</v>
      </c>
      <c r="I46" s="3" t="n">
        <v>16</v>
      </c>
      <c r="J46" s="3" t="n">
        <v>16</v>
      </c>
      <c r="K46" s="3" t="n">
        <v>16</v>
      </c>
      <c r="L46" s="3" t="n">
        <v>16</v>
      </c>
    </row>
    <row r="47" customFormat="false" ht="15" hidden="false" customHeight="false" outlineLevel="0" collapsed="false">
      <c r="A47" s="0" t="s">
        <v>112</v>
      </c>
      <c r="C47" s="3" t="n">
        <v>15</v>
      </c>
      <c r="D47" s="3" t="n">
        <v>15</v>
      </c>
      <c r="E47" s="3" t="n">
        <v>15</v>
      </c>
      <c r="F47" s="3" t="n">
        <v>16</v>
      </c>
      <c r="G47" s="3" t="n">
        <v>16</v>
      </c>
      <c r="H47" s="3" t="n">
        <v>17</v>
      </c>
      <c r="I47" s="3" t="n">
        <v>17</v>
      </c>
      <c r="J47" s="3" t="n">
        <v>18</v>
      </c>
      <c r="K47" s="3" t="n">
        <v>18</v>
      </c>
      <c r="L47" s="3" t="n">
        <v>18</v>
      </c>
    </row>
    <row r="48" customFormat="false" ht="15" hidden="false" customHeight="false" outlineLevel="0" collapsed="false">
      <c r="A48" s="0" t="s">
        <v>113</v>
      </c>
      <c r="B48" s="3" t="n">
        <v>8</v>
      </c>
    </row>
    <row r="49" customFormat="false" ht="15" hidden="false" customHeight="false" outlineLevel="0" collapsed="false">
      <c r="A49" s="0" t="s">
        <v>114</v>
      </c>
      <c r="B49" s="3" t="n">
        <v>3</v>
      </c>
    </row>
    <row r="50" customFormat="false" ht="15" hidden="false" customHeight="false" outlineLevel="0" collapsed="false">
      <c r="A50" s="0" t="s">
        <v>115</v>
      </c>
      <c r="B50" s="3" t="n">
        <v>18</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3</v>
      </c>
      <c r="D5" s="4" t="n">
        <f aca="false">Assumptions!D13</f>
        <v>1.5</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12180</v>
      </c>
      <c r="C6" s="0" t="n">
        <f aca="false">B6*(1+C5/100)</f>
        <v>12545.4</v>
      </c>
      <c r="D6" s="0" t="n">
        <f aca="false">C6*(1+D5/100)</f>
        <v>12733.581</v>
      </c>
      <c r="E6" s="0" t="n">
        <f aca="false">D6*(1+E5/100)</f>
        <v>12988.25262</v>
      </c>
      <c r="F6" s="0" t="n">
        <f aca="false">E6*(1+F5/100)</f>
        <v>13248.0176724</v>
      </c>
      <c r="G6" s="0" t="n">
        <f aca="false">F6*(1+G5/100)</f>
        <v>13512.978025848</v>
      </c>
      <c r="H6" s="0" t="n">
        <f aca="false">G6*(1+H5/100)</f>
        <v>13783.237586365</v>
      </c>
      <c r="I6" s="0" t="n">
        <f aca="false">H6*(1+I5/100)</f>
        <v>14058.9023380923</v>
      </c>
      <c r="J6" s="0" t="n">
        <f aca="false">I6*(1+J5/100)</f>
        <v>14340.0803848541</v>
      </c>
      <c r="K6" s="0" t="n">
        <f aca="false">J6*(1+K5/100)</f>
        <v>14626.8819925512</v>
      </c>
      <c r="L6" s="0" t="n">
        <f aca="false">K6*(1+L5/100)</f>
        <v>14919.4196324022</v>
      </c>
    </row>
    <row r="7" customFormat="false" ht="15" hidden="false" customHeight="false" outlineLevel="0" collapsed="false">
      <c r="A7" s="0" t="s">
        <v>107</v>
      </c>
      <c r="C7" s="4" t="n">
        <f aca="false">Assumptions!C14</f>
        <v>44</v>
      </c>
      <c r="D7" s="4" t="n">
        <f aca="false">Assumptions!D14</f>
        <v>43.5</v>
      </c>
      <c r="E7" s="4" t="n">
        <f aca="false">Assumptions!E14</f>
        <v>44</v>
      </c>
      <c r="F7" s="4" t="n">
        <f aca="false">Assumptions!F14</f>
        <v>44</v>
      </c>
      <c r="G7" s="4" t="n">
        <f aca="false">Assumptions!G14</f>
        <v>44.5</v>
      </c>
      <c r="H7" s="4" t="n">
        <f aca="false">Assumptions!H14</f>
        <v>44.5</v>
      </c>
      <c r="I7" s="4" t="n">
        <f aca="false">Assumptions!I14</f>
        <v>44.5</v>
      </c>
      <c r="J7" s="4" t="n">
        <f aca="false">Assumptions!J14</f>
        <v>44.5</v>
      </c>
      <c r="K7" s="4" t="n">
        <f aca="false">Assumptions!K14</f>
        <v>44.5</v>
      </c>
      <c r="L7" s="4" t="n">
        <f aca="false">Assumptions!L14</f>
        <v>44.5</v>
      </c>
    </row>
    <row r="8" customFormat="false" ht="15" hidden="false" customHeight="false" outlineLevel="0" collapsed="false">
      <c r="A8" s="0" t="s">
        <v>43</v>
      </c>
      <c r="C8" s="0" t="n">
        <f aca="false">C6*C7/100</f>
        <v>5519.976</v>
      </c>
      <c r="D8" s="0" t="n">
        <f aca="false">D6*D7/100</f>
        <v>5539.107735</v>
      </c>
      <c r="E8" s="0" t="n">
        <f aca="false">E6*E7/100</f>
        <v>5714.8311528</v>
      </c>
      <c r="F8" s="0" t="n">
        <f aca="false">F6*F7/100</f>
        <v>5829.127775856</v>
      </c>
      <c r="G8" s="0" t="n">
        <f aca="false">G6*G7/100</f>
        <v>6013.27522150236</v>
      </c>
      <c r="H8" s="0" t="n">
        <f aca="false">H6*H7/100</f>
        <v>6133.54072593241</v>
      </c>
      <c r="I8" s="0" t="n">
        <f aca="false">I6*I7/100</f>
        <v>6256.21154045106</v>
      </c>
      <c r="J8" s="0" t="n">
        <f aca="false">J6*J7/100</f>
        <v>6381.33577126008</v>
      </c>
      <c r="K8" s="0" t="n">
        <f aca="false">K6*K7/100</f>
        <v>6508.96248668528</v>
      </c>
      <c r="L8" s="0" t="n">
        <f aca="false">L6*L7/100</f>
        <v>6639.14173641898</v>
      </c>
    </row>
    <row r="9" customFormat="false" ht="15" hidden="false" customHeight="false" outlineLevel="0" collapsed="false">
      <c r="A9" s="0" t="s">
        <v>108</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123</v>
      </c>
      <c r="C10" s="0" t="n">
        <f aca="false">-C6*C9/100</f>
        <v>-62.727</v>
      </c>
      <c r="D10" s="0" t="n">
        <f aca="false">-D6*D9/100</f>
        <v>-63.667905</v>
      </c>
      <c r="E10" s="0" t="n">
        <f aca="false">-E6*E9/100</f>
        <v>-64.9412631</v>
      </c>
      <c r="F10" s="0" t="n">
        <f aca="false">-F6*F9/100</f>
        <v>-66.240088362</v>
      </c>
      <c r="G10" s="0" t="n">
        <f aca="false">-G6*G9/100</f>
        <v>-67.56489012924</v>
      </c>
      <c r="H10" s="0" t="n">
        <f aca="false">-H6*H9/100</f>
        <v>-68.9161879318248</v>
      </c>
      <c r="I10" s="0" t="n">
        <f aca="false">-I6*I9/100</f>
        <v>-70.2945116904613</v>
      </c>
      <c r="J10" s="0" t="n">
        <f aca="false">-J6*J9/100</f>
        <v>-71.7004019242705</v>
      </c>
      <c r="K10" s="0" t="n">
        <f aca="false">-K6*K9/100</f>
        <v>-73.1344099627559</v>
      </c>
      <c r="L10" s="0" t="n">
        <f aca="false">-L6*L9/100</f>
        <v>-74.5970981620111</v>
      </c>
    </row>
    <row r="11" customFormat="false" ht="15" hidden="false" customHeight="false" outlineLevel="0" collapsed="false">
      <c r="A11" s="0" t="s">
        <v>124</v>
      </c>
      <c r="C11" s="0" t="n">
        <f aca="false">C8+C10+C24</f>
        <v>5457.249</v>
      </c>
      <c r="D11" s="0" t="n">
        <f aca="false">D8+D10+D24</f>
        <v>5475.43983</v>
      </c>
      <c r="E11" s="0" t="n">
        <f aca="false">E8+E10+E24</f>
        <v>5649.8898897</v>
      </c>
      <c r="F11" s="0" t="n">
        <f aca="false">F8+F10+F24</f>
        <v>5762.887687494</v>
      </c>
      <c r="G11" s="0" t="n">
        <f aca="false">G8+G10+G24</f>
        <v>5945.71033137312</v>
      </c>
      <c r="H11" s="0" t="n">
        <f aca="false">H8+H10+H24</f>
        <v>6064.62453800058</v>
      </c>
      <c r="I11" s="0" t="n">
        <f aca="false">I8+I10+I24</f>
        <v>6185.9170287606</v>
      </c>
      <c r="J11" s="0" t="n">
        <f aca="false">J8+J10+J24</f>
        <v>6309.63536933581</v>
      </c>
      <c r="K11" s="0" t="n">
        <f aca="false">K8+K10+K24</f>
        <v>6435.82807672252</v>
      </c>
      <c r="L11" s="0" t="n">
        <f aca="false">L8+L10+L24</f>
        <v>6564.54463825697</v>
      </c>
    </row>
    <row r="12" customFormat="false" ht="15" hidden="false" customHeight="false" outlineLevel="0" collapsed="false">
      <c r="A12" s="0" t="s">
        <v>125</v>
      </c>
      <c r="C12" s="4" t="n">
        <f aca="false">-C6*Assumptions!C17/100</f>
        <v>-1379.994</v>
      </c>
      <c r="D12" s="4" t="n">
        <f aca="false">-D6*Assumptions!D17/100</f>
        <v>-1400.69391</v>
      </c>
      <c r="E12" s="4" t="n">
        <f aca="false">-E6*Assumptions!E17/100</f>
        <v>-1428.7077882</v>
      </c>
      <c r="F12" s="4" t="n">
        <f aca="false">-F6*Assumptions!F17/100</f>
        <v>-1457.281943964</v>
      </c>
      <c r="G12" s="4" t="n">
        <f aca="false">-G6*Assumptions!G17/100</f>
        <v>-1486.42758284328</v>
      </c>
      <c r="H12" s="4" t="n">
        <f aca="false">-H6*Assumptions!H17/100</f>
        <v>-1516.15613450015</v>
      </c>
      <c r="I12" s="4" t="n">
        <f aca="false">-I6*Assumptions!I17/100</f>
        <v>-1546.47925719015</v>
      </c>
      <c r="J12" s="4" t="n">
        <f aca="false">-J6*Assumptions!J17/100</f>
        <v>-1577.40884233395</v>
      </c>
      <c r="K12" s="4" t="n">
        <f aca="false">-K6*Assumptions!K17/100</f>
        <v>-1608.95701918063</v>
      </c>
      <c r="L12" s="4" t="n">
        <f aca="false">-L6*Assumptions!L17/100</f>
        <v>-1641.13615956424</v>
      </c>
    </row>
    <row r="13" customFormat="false" ht="15" hidden="false" customHeight="false" outlineLevel="0" collapsed="false">
      <c r="A13" s="0" t="s">
        <v>126</v>
      </c>
      <c r="C13" s="0" t="n">
        <f aca="false">C11+C12</f>
        <v>4077.255</v>
      </c>
      <c r="D13" s="0" t="n">
        <f aca="false">D11+D12</f>
        <v>4074.74592</v>
      </c>
      <c r="E13" s="0" t="n">
        <f aca="false">E11+E12</f>
        <v>4221.1821015</v>
      </c>
      <c r="F13" s="0" t="n">
        <f aca="false">F11+F12</f>
        <v>4305.60574353</v>
      </c>
      <c r="G13" s="0" t="n">
        <f aca="false">G11+G12</f>
        <v>4459.28274852984</v>
      </c>
      <c r="H13" s="0" t="n">
        <f aca="false">H11+H12</f>
        <v>4548.46840350044</v>
      </c>
      <c r="I13" s="0" t="n">
        <f aca="false">I11+I12</f>
        <v>4639.43777157045</v>
      </c>
      <c r="J13" s="0" t="n">
        <f aca="false">J11+J12</f>
        <v>4732.22652700185</v>
      </c>
      <c r="K13" s="0" t="n">
        <f aca="false">K11+K12</f>
        <v>4826.87105754189</v>
      </c>
      <c r="L13" s="0" t="n">
        <f aca="false">L11+L12</f>
        <v>4923.40847869273</v>
      </c>
    </row>
    <row r="14" customFormat="false" ht="15" hidden="false" customHeight="false" outlineLevel="0" collapsed="false">
      <c r="A14" s="0" t="s">
        <v>112</v>
      </c>
      <c r="C14" s="4" t="n">
        <f aca="false">Assumptions!C19</f>
        <v>16</v>
      </c>
      <c r="D14" s="4" t="n">
        <f aca="false">Assumptions!D19</f>
        <v>17</v>
      </c>
      <c r="E14" s="4" t="n">
        <f aca="false">Assumptions!E19</f>
        <v>18</v>
      </c>
      <c r="F14" s="4" t="n">
        <f aca="false">Assumptions!F19</f>
        <v>19</v>
      </c>
      <c r="G14" s="4" t="n">
        <f aca="false">Assumptions!G19</f>
        <v>20</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127</v>
      </c>
      <c r="C15" s="0" t="n">
        <f aca="false">C13-MAX(0,C13)*C14/100</f>
        <v>3424.8942</v>
      </c>
      <c r="D15" s="0" t="n">
        <f aca="false">D13-MAX(0,D13)*D14/100</f>
        <v>3382.0391136</v>
      </c>
      <c r="E15" s="0" t="n">
        <f aca="false">E13-MAX(0,E13)*E14/100</f>
        <v>3461.36932323</v>
      </c>
      <c r="F15" s="0" t="n">
        <f aca="false">F13-MAX(0,F13)*F14/100</f>
        <v>3487.5406522593</v>
      </c>
      <c r="G15" s="0" t="n">
        <f aca="false">G13-MAX(0,G13)*G14/100</f>
        <v>3567.42619882387</v>
      </c>
      <c r="H15" s="0" t="n">
        <f aca="false">H13-MAX(0,H13)*H14/100</f>
        <v>3593.29003876535</v>
      </c>
      <c r="I15" s="0" t="n">
        <f aca="false">I13-MAX(0,I13)*I14/100</f>
        <v>3665.15583954065</v>
      </c>
      <c r="J15" s="0" t="n">
        <f aca="false">J13-MAX(0,J13)*J14/100</f>
        <v>3738.45895633147</v>
      </c>
      <c r="K15" s="0" t="n">
        <f aca="false">K13-MAX(0,K13)*K14/100</f>
        <v>3813.22813545809</v>
      </c>
      <c r="L15" s="0" t="n">
        <f aca="false">L13-MAX(0,L13)*L14/100</f>
        <v>3889.49269816726</v>
      </c>
    </row>
    <row r="16" customFormat="false" ht="15" hidden="false" customHeight="false" outlineLevel="0" collapsed="false">
      <c r="A16" s="0" t="s">
        <v>128</v>
      </c>
      <c r="C16" s="0" t="n">
        <f aca="false">-C12</f>
        <v>1379.994</v>
      </c>
      <c r="D16" s="0" t="n">
        <f aca="false">-D12</f>
        <v>1400.69391</v>
      </c>
      <c r="E16" s="0" t="n">
        <f aca="false">-E12</f>
        <v>1428.7077882</v>
      </c>
      <c r="F16" s="0" t="n">
        <f aca="false">-F12</f>
        <v>1457.281943964</v>
      </c>
      <c r="G16" s="0" t="n">
        <f aca="false">-G12</f>
        <v>1486.42758284328</v>
      </c>
      <c r="H16" s="0" t="n">
        <f aca="false">-H12</f>
        <v>1516.15613450015</v>
      </c>
      <c r="I16" s="0" t="n">
        <f aca="false">-I12</f>
        <v>1546.47925719015</v>
      </c>
      <c r="J16" s="0" t="n">
        <f aca="false">-J12</f>
        <v>1577.40884233395</v>
      </c>
      <c r="K16" s="0" t="n">
        <f aca="false">-K12</f>
        <v>1608.95701918063</v>
      </c>
      <c r="L16" s="0" t="n">
        <f aca="false">-L12</f>
        <v>1641.13615956424</v>
      </c>
    </row>
    <row r="17" customFormat="false" ht="15" hidden="false" customHeight="false" outlineLevel="0" collapsed="false">
      <c r="A17" s="0" t="s">
        <v>129</v>
      </c>
      <c r="C17" s="4" t="n">
        <f aca="false">-C6*Assumptions!C18/100</f>
        <v>-2320.899</v>
      </c>
      <c r="D17" s="4" t="n">
        <f aca="false">-D6*Assumptions!D18/100</f>
        <v>-2355.712485</v>
      </c>
      <c r="E17" s="4" t="n">
        <f aca="false">-E6*Assumptions!E18/100</f>
        <v>-2402.8267347</v>
      </c>
      <c r="F17" s="4" t="n">
        <f aca="false">-F6*Assumptions!F18/100</f>
        <v>-2450.883269394</v>
      </c>
      <c r="G17" s="4" t="n">
        <f aca="false">-G6*Assumptions!G18/100</f>
        <v>-2499.90093478188</v>
      </c>
      <c r="H17" s="4" t="n">
        <f aca="false">-H6*Assumptions!H18/100</f>
        <v>-2549.89895347752</v>
      </c>
      <c r="I17" s="4" t="n">
        <f aca="false">-I6*Assumptions!I18/100</f>
        <v>-2600.89693254707</v>
      </c>
      <c r="J17" s="4" t="n">
        <f aca="false">-J6*Assumptions!J18/100</f>
        <v>-2652.91487119801</v>
      </c>
      <c r="K17" s="4" t="n">
        <f aca="false">-K6*Assumptions!K18/100</f>
        <v>-2705.97316862197</v>
      </c>
      <c r="L17" s="4" t="n">
        <f aca="false">-L6*Assumptions!L18/100</f>
        <v>-2760.09263199441</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2483.9892</v>
      </c>
      <c r="D19" s="0" t="n">
        <f aca="false">D15+D16+D17+D18</f>
        <v>2427.0205386</v>
      </c>
      <c r="E19" s="0" t="n">
        <f aca="false">E15+E16+E17+E18</f>
        <v>2487.25037673</v>
      </c>
      <c r="F19" s="0" t="n">
        <f aca="false">F15+F16+F17+F18</f>
        <v>2493.9393268293</v>
      </c>
      <c r="G19" s="0" t="n">
        <f aca="false">G15+G16+G17+G18</f>
        <v>2553.95284688527</v>
      </c>
      <c r="H19" s="0" t="n">
        <f aca="false">H15+H16+H17+H18</f>
        <v>2559.54721978797</v>
      </c>
      <c r="I19" s="0" t="n">
        <f aca="false">I15+I16+I17+I18</f>
        <v>2610.73816418373</v>
      </c>
      <c r="J19" s="0" t="n">
        <f aca="false">J15+J16+J17+J18</f>
        <v>2662.95292746741</v>
      </c>
      <c r="K19" s="0" t="n">
        <f aca="false">K15+K16+K17+K18</f>
        <v>2716.21198601676</v>
      </c>
      <c r="L19" s="0" t="n">
        <f aca="false">L15+L16+L17+L18</f>
        <v>2770.53622573709</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2299.99</v>
      </c>
      <c r="D21" s="0" t="n">
        <f aca="false">D19*D20</f>
        <v>2080.77892541152</v>
      </c>
      <c r="E21" s="0" t="n">
        <f aca="false">E19*E20</f>
        <v>1974.45954053784</v>
      </c>
      <c r="F21" s="0" t="n">
        <f aca="false">F19*F20</f>
        <v>1833.11985628263</v>
      </c>
      <c r="G21" s="0" t="n">
        <f aca="false">G19*G20</f>
        <v>1738.17739360663</v>
      </c>
      <c r="H21" s="0" t="n">
        <f aca="false">H19*H20</f>
        <v>1612.94891648347</v>
      </c>
      <c r="I21" s="0" t="n">
        <f aca="false">I19*I20</f>
        <v>1523.3406433455</v>
      </c>
      <c r="J21" s="0" t="n">
        <f aca="false">J19*J20</f>
        <v>1438.71060760409</v>
      </c>
      <c r="K21" s="0" t="n">
        <f aca="false">K19*K20</f>
        <v>1358.78224051497</v>
      </c>
      <c r="L21" s="0" t="n">
        <f aca="false">L19*L20</f>
        <v>1283.29433826414</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8</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14</v>
      </c>
    </row>
    <row r="30" customFormat="false" ht="15" hidden="false" customHeight="false" outlineLevel="0" collapsed="false">
      <c r="A30" s="0" t="s">
        <v>136</v>
      </c>
      <c r="B30" s="0" t="n">
        <f aca="false">SUM(C21:L21)</f>
        <v>17143.6024620508</v>
      </c>
    </row>
    <row r="31" customFormat="false" ht="15" hidden="false" customHeight="false" outlineLevel="0" collapsed="false">
      <c r="A31" s="0" t="s">
        <v>137</v>
      </c>
      <c r="B31" s="0" t="n">
        <f aca="false">L19</f>
        <v>2770.53622573709</v>
      </c>
    </row>
    <row r="32" customFormat="false" ht="15" hidden="false" customHeight="false" outlineLevel="0" collapsed="false">
      <c r="A32" s="0" t="s">
        <v>138</v>
      </c>
      <c r="B32" s="0" t="n">
        <f aca="false">IF(B27&gt;B28,B31*(1+B28/100)/((B27-B28)/100),B31*B29)</f>
        <v>47099.1158375305</v>
      </c>
    </row>
    <row r="33" customFormat="false" ht="15" hidden="false" customHeight="false" outlineLevel="0" collapsed="false">
      <c r="A33" s="0" t="s">
        <v>139</v>
      </c>
      <c r="B33" s="0" t="n">
        <f aca="false">B31*B29</f>
        <v>38787.5071603193</v>
      </c>
    </row>
    <row r="34" customFormat="false" ht="15" hidden="false" customHeight="false" outlineLevel="0" collapsed="false">
      <c r="A34" s="0" t="s">
        <v>140</v>
      </c>
      <c r="B34" s="0" t="n">
        <f aca="false">MAX(0,MIN(B32,B33))</f>
        <v>38787.5071603193</v>
      </c>
    </row>
    <row r="35" customFormat="false" ht="15" hidden="false" customHeight="false" outlineLevel="0" collapsed="false">
      <c r="A35" s="0" t="s">
        <v>141</v>
      </c>
      <c r="B35" s="0" t="n">
        <f aca="false">B34/(1+B27/100)^L4</f>
        <v>17966.1207356979</v>
      </c>
    </row>
    <row r="36" customFormat="false" ht="15" hidden="false" customHeight="false" outlineLevel="0" collapsed="false">
      <c r="A36" s="0" t="s">
        <v>142</v>
      </c>
      <c r="B36" s="0" t="n">
        <f aca="false">B30+B35</f>
        <v>35109.7231977487</v>
      </c>
    </row>
    <row r="37" customFormat="false" ht="15" hidden="false" customHeight="false" outlineLevel="0" collapsed="false">
      <c r="A37" s="0" t="s">
        <v>143</v>
      </c>
      <c r="B37" s="0" t="n">
        <f aca="false">B36+Assumptions!$B$5-Assumptions!$B$4</f>
        <v>19562.7231977487</v>
      </c>
    </row>
    <row r="38" customFormat="false" ht="15" hidden="false" customHeight="false" outlineLevel="0" collapsed="false">
      <c r="A38" s="0" t="s">
        <v>144</v>
      </c>
      <c r="B38" s="0" t="n">
        <f aca="false">B37/Assumptions!$B$3*Assumptions!$B$10</f>
        <v>86.9454364344388</v>
      </c>
    </row>
    <row r="39" customFormat="false" ht="15" hidden="false" customHeight="false" outlineLevel="0" collapsed="false">
      <c r="A39" s="0" t="s">
        <v>145</v>
      </c>
      <c r="B39" s="4" t="n">
        <f aca="false">B38/Assumptions!$B$2-1</f>
        <v>-0.71976588527545</v>
      </c>
    </row>
    <row r="41" customFormat="false" ht="15" hidden="false" customHeight="false" outlineLevel="0" collapsed="false">
      <c r="A41" s="0" t="s">
        <v>146</v>
      </c>
      <c r="B41" s="0" t="n">
        <f aca="false">SUMPRODUCT(-C10:L10/(1+$B$27/100)^C4:L4)</f>
        <v>453.210822026526</v>
      </c>
    </row>
    <row r="42" customFormat="false" ht="15" hidden="false" customHeight="false" outlineLevel="0" collapsed="false">
      <c r="A42" s="0" t="s">
        <v>147</v>
      </c>
      <c r="B42" s="0" t="n">
        <f aca="false">IF(B27&gt;B28,-L10*(1+B28/100)/((B27-B28)/100),-L10*20)/(1+B27/100)^L4</f>
        <v>587.399131677177</v>
      </c>
    </row>
    <row r="43" customFormat="false" ht="15" hidden="false" customHeight="false" outlineLevel="0" collapsed="false">
      <c r="A43" s="0" t="s">
        <v>148</v>
      </c>
      <c r="B43" s="0" t="n">
        <f aca="false">(B37+B41+B42)/Assumptions!$B$3*Assumptions!$B$10</f>
        <v>91.5703695620108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21738.0534634756</v>
      </c>
    </row>
    <row r="47" customFormat="false" ht="15" hidden="false" customHeight="false" outlineLevel="0" collapsed="false">
      <c r="A47" s="0" t="s">
        <v>150</v>
      </c>
      <c r="B47" s="0" t="n">
        <f aca="false">(SUMPRODUCT(C19:L19/(1+B45/100)^C4:L4)+B46/(1+B45/100)^L4+Assumptions!$B$5-Assumptions!$B$4)/Assumptions!$B$3*Assumptions!$B$10</f>
        <v>11.4137056841874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5</v>
      </c>
      <c r="D5" s="4" t="n">
        <f aca="false">Assumptions!D27</f>
        <v>4</v>
      </c>
      <c r="E5" s="4" t="n">
        <f aca="false">Assumptions!E27</f>
        <v>4</v>
      </c>
      <c r="F5" s="4" t="n">
        <f aca="false">Assumptions!F27</f>
        <v>3.5</v>
      </c>
      <c r="G5" s="4" t="n">
        <f aca="false">Assumptions!G27</f>
        <v>3.5</v>
      </c>
      <c r="H5" s="4" t="n">
        <f aca="false">Assumptions!H27</f>
        <v>3</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12180</v>
      </c>
      <c r="C6" s="0" t="n">
        <f aca="false">B6*(1+C5/100)</f>
        <v>12789</v>
      </c>
      <c r="D6" s="0" t="n">
        <f aca="false">C6*(1+D5/100)</f>
        <v>13300.56</v>
      </c>
      <c r="E6" s="0" t="n">
        <f aca="false">D6*(1+E5/100)</f>
        <v>13832.5824</v>
      </c>
      <c r="F6" s="0" t="n">
        <f aca="false">E6*(1+F5/100)</f>
        <v>14316.722784</v>
      </c>
      <c r="G6" s="0" t="n">
        <f aca="false">F6*(1+G5/100)</f>
        <v>14817.80808144</v>
      </c>
      <c r="H6" s="0" t="n">
        <f aca="false">G6*(1+H5/100)</f>
        <v>15262.3423238832</v>
      </c>
      <c r="I6" s="0" t="n">
        <f aca="false">H6*(1+I5/100)</f>
        <v>15720.2125935997</v>
      </c>
      <c r="J6" s="0" t="n">
        <f aca="false">I6*(1+J5/100)</f>
        <v>16191.8189714077</v>
      </c>
      <c r="K6" s="0" t="n">
        <f aca="false">J6*(1+K5/100)</f>
        <v>16596.6144456929</v>
      </c>
      <c r="L6" s="0" t="n">
        <f aca="false">K6*(1+L5/100)</f>
        <v>17011.5298068352</v>
      </c>
    </row>
    <row r="7" customFormat="false" ht="15" hidden="false" customHeight="false" outlineLevel="0" collapsed="false">
      <c r="A7" s="0" t="s">
        <v>107</v>
      </c>
      <c r="C7" s="4" t="n">
        <f aca="false">Assumptions!C28</f>
        <v>45</v>
      </c>
      <c r="D7" s="4" t="n">
        <f aca="false">Assumptions!D28</f>
        <v>45.5</v>
      </c>
      <c r="E7" s="4" t="n">
        <f aca="false">Assumptions!E28</f>
        <v>46</v>
      </c>
      <c r="F7" s="4" t="n">
        <f aca="false">Assumptions!F28</f>
        <v>46.5</v>
      </c>
      <c r="G7" s="4" t="n">
        <f aca="false">Assumptions!G28</f>
        <v>47</v>
      </c>
      <c r="H7" s="4" t="n">
        <f aca="false">Assumptions!H28</f>
        <v>47.5</v>
      </c>
      <c r="I7" s="4" t="n">
        <f aca="false">Assumptions!I28</f>
        <v>47.5</v>
      </c>
      <c r="J7" s="4" t="n">
        <f aca="false">Assumptions!J28</f>
        <v>47.5</v>
      </c>
      <c r="K7" s="4" t="n">
        <f aca="false">Assumptions!K28</f>
        <v>47.5</v>
      </c>
      <c r="L7" s="4" t="n">
        <f aca="false">Assumptions!L28</f>
        <v>47.5</v>
      </c>
    </row>
    <row r="8" customFormat="false" ht="15" hidden="false" customHeight="false" outlineLevel="0" collapsed="false">
      <c r="A8" s="0" t="s">
        <v>43</v>
      </c>
      <c r="C8" s="0" t="n">
        <f aca="false">C6*C7/100</f>
        <v>5755.05</v>
      </c>
      <c r="D8" s="0" t="n">
        <f aca="false">D6*D7/100</f>
        <v>6051.7548</v>
      </c>
      <c r="E8" s="0" t="n">
        <f aca="false">E6*E7/100</f>
        <v>6362.987904</v>
      </c>
      <c r="F8" s="0" t="n">
        <f aca="false">F6*F7/100</f>
        <v>6657.27609456</v>
      </c>
      <c r="G8" s="0" t="n">
        <f aca="false">G6*G7/100</f>
        <v>6964.3697982768</v>
      </c>
      <c r="H8" s="0" t="n">
        <f aca="false">H6*H7/100</f>
        <v>7249.61260384452</v>
      </c>
      <c r="I8" s="0" t="n">
        <f aca="false">I6*I7/100</f>
        <v>7467.10098195986</v>
      </c>
      <c r="J8" s="0" t="n">
        <f aca="false">J6*J7/100</f>
        <v>7691.11401141865</v>
      </c>
      <c r="K8" s="0" t="n">
        <f aca="false">K6*K7/100</f>
        <v>7883.39186170412</v>
      </c>
      <c r="L8" s="0" t="n">
        <f aca="false">L6*L7/100</f>
        <v>8080.47665824672</v>
      </c>
    </row>
    <row r="9" customFormat="false" ht="15" hidden="false" customHeight="false" outlineLevel="0" collapsed="false">
      <c r="A9" s="0" t="s">
        <v>108</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123</v>
      </c>
      <c r="C10" s="0" t="n">
        <f aca="false">-C6*C9/100</f>
        <v>-63.945</v>
      </c>
      <c r="D10" s="0" t="n">
        <f aca="false">-D6*D9/100</f>
        <v>-66.5028</v>
      </c>
      <c r="E10" s="0" t="n">
        <f aca="false">-E6*E9/100</f>
        <v>-69.162912</v>
      </c>
      <c r="F10" s="0" t="n">
        <f aca="false">-F6*F9/100</f>
        <v>-71.58361392</v>
      </c>
      <c r="G10" s="0" t="n">
        <f aca="false">-G6*G9/100</f>
        <v>-74.0890404072</v>
      </c>
      <c r="H10" s="0" t="n">
        <f aca="false">-H6*H9/100</f>
        <v>-76.311711619416</v>
      </c>
      <c r="I10" s="0" t="n">
        <f aca="false">-I6*I9/100</f>
        <v>-78.6010629679985</v>
      </c>
      <c r="J10" s="0" t="n">
        <f aca="false">-J6*J9/100</f>
        <v>-80.9590948570384</v>
      </c>
      <c r="K10" s="0" t="n">
        <f aca="false">-K6*K9/100</f>
        <v>-82.9830722284644</v>
      </c>
      <c r="L10" s="0" t="n">
        <f aca="false">-L6*L9/100</f>
        <v>-85.057649034176</v>
      </c>
    </row>
    <row r="11" customFormat="false" ht="15" hidden="false" customHeight="false" outlineLevel="0" collapsed="false">
      <c r="A11" s="0" t="s">
        <v>124</v>
      </c>
      <c r="C11" s="0" t="n">
        <f aca="false">C8+C10+C24</f>
        <v>5691.105</v>
      </c>
      <c r="D11" s="0" t="n">
        <f aca="false">D8+D10+D24</f>
        <v>5985.252</v>
      </c>
      <c r="E11" s="0" t="n">
        <f aca="false">E8+E10+E24</f>
        <v>6293.824992</v>
      </c>
      <c r="F11" s="0" t="n">
        <f aca="false">F8+F10+F24</f>
        <v>6585.69248064</v>
      </c>
      <c r="G11" s="0" t="n">
        <f aca="false">G8+G10+G24</f>
        <v>6890.2807578696</v>
      </c>
      <c r="H11" s="0" t="n">
        <f aca="false">H8+H10+H24</f>
        <v>7173.3008922251</v>
      </c>
      <c r="I11" s="0" t="n">
        <f aca="false">I8+I10+I24</f>
        <v>7388.49991899186</v>
      </c>
      <c r="J11" s="0" t="n">
        <f aca="false">J8+J10+J24</f>
        <v>7610.15491656161</v>
      </c>
      <c r="K11" s="0" t="n">
        <f aca="false">K8+K10+K24</f>
        <v>7800.40878947565</v>
      </c>
      <c r="L11" s="0" t="n">
        <f aca="false">L8+L10+L24</f>
        <v>7995.41900921254</v>
      </c>
    </row>
    <row r="12" customFormat="false" ht="15" hidden="false" customHeight="false" outlineLevel="0" collapsed="false">
      <c r="A12" s="0" t="s">
        <v>125</v>
      </c>
      <c r="C12" s="4" t="n">
        <f aca="false">-C6*Assumptions!C31/100</f>
        <v>-1406.79</v>
      </c>
      <c r="D12" s="4" t="n">
        <f aca="false">-D6*Assumptions!D31/100</f>
        <v>-1463.0616</v>
      </c>
      <c r="E12" s="4" t="n">
        <f aca="false">-E6*Assumptions!E31/100</f>
        <v>-1521.584064</v>
      </c>
      <c r="F12" s="4" t="n">
        <f aca="false">-F6*Assumptions!F31/100</f>
        <v>-1574.83950624</v>
      </c>
      <c r="G12" s="4" t="n">
        <f aca="false">-G6*Assumptions!G31/100</f>
        <v>-1629.9588889584</v>
      </c>
      <c r="H12" s="4" t="n">
        <f aca="false">-H6*Assumptions!H31/100</f>
        <v>-1678.85765562715</v>
      </c>
      <c r="I12" s="4" t="n">
        <f aca="false">-I6*Assumptions!I31/100</f>
        <v>-1729.22338529597</v>
      </c>
      <c r="J12" s="4" t="n">
        <f aca="false">-J6*Assumptions!J31/100</f>
        <v>-1781.10008685485</v>
      </c>
      <c r="K12" s="4" t="n">
        <f aca="false">-K6*Assumptions!K31/100</f>
        <v>-1825.62758902622</v>
      </c>
      <c r="L12" s="4" t="n">
        <f aca="false">-L6*Assumptions!L31/100</f>
        <v>-1871.26827875187</v>
      </c>
    </row>
    <row r="13" customFormat="false" ht="15" hidden="false" customHeight="false" outlineLevel="0" collapsed="false">
      <c r="A13" s="0" t="s">
        <v>126</v>
      </c>
      <c r="C13" s="0" t="n">
        <f aca="false">C11+C12</f>
        <v>4284.315</v>
      </c>
      <c r="D13" s="0" t="n">
        <f aca="false">D11+D12</f>
        <v>4522.1904</v>
      </c>
      <c r="E13" s="0" t="n">
        <f aca="false">E11+E12</f>
        <v>4772.240928</v>
      </c>
      <c r="F13" s="0" t="n">
        <f aca="false">F11+F12</f>
        <v>5010.8529744</v>
      </c>
      <c r="G13" s="0" t="n">
        <f aca="false">G11+G12</f>
        <v>5260.3218689112</v>
      </c>
      <c r="H13" s="0" t="n">
        <f aca="false">H11+H12</f>
        <v>5494.44323659795</v>
      </c>
      <c r="I13" s="0" t="n">
        <f aca="false">I11+I12</f>
        <v>5659.27653369589</v>
      </c>
      <c r="J13" s="0" t="n">
        <f aca="false">J11+J12</f>
        <v>5829.05482970677</v>
      </c>
      <c r="K13" s="0" t="n">
        <f aca="false">K11+K12</f>
        <v>5974.78120044944</v>
      </c>
      <c r="L13" s="0" t="n">
        <f aca="false">L11+L12</f>
        <v>6124.15073046067</v>
      </c>
    </row>
    <row r="14" customFormat="false" ht="15" hidden="false" customHeight="false" outlineLevel="0" collapsed="false">
      <c r="A14" s="0" t="s">
        <v>112</v>
      </c>
      <c r="C14" s="4" t="n">
        <f aca="false">Assumptions!C33</f>
        <v>15</v>
      </c>
      <c r="D14" s="4" t="n">
        <f aca="false">Assumptions!D33</f>
        <v>15</v>
      </c>
      <c r="E14" s="4" t="n">
        <f aca="false">Assumptions!E33</f>
        <v>16</v>
      </c>
      <c r="F14" s="4" t="n">
        <f aca="false">Assumptions!F33</f>
        <v>16</v>
      </c>
      <c r="G14" s="4" t="n">
        <f aca="false">Assumptions!G33</f>
        <v>17</v>
      </c>
      <c r="H14" s="4" t="n">
        <f aca="false">Assumptions!H33</f>
        <v>17</v>
      </c>
      <c r="I14" s="4" t="n">
        <f aca="false">Assumptions!I33</f>
        <v>18</v>
      </c>
      <c r="J14" s="4" t="n">
        <f aca="false">Assumptions!J33</f>
        <v>18</v>
      </c>
      <c r="K14" s="4" t="n">
        <f aca="false">Assumptions!K33</f>
        <v>19</v>
      </c>
      <c r="L14" s="4" t="n">
        <f aca="false">Assumptions!L33</f>
        <v>19</v>
      </c>
    </row>
    <row r="15" customFormat="false" ht="15" hidden="false" customHeight="false" outlineLevel="0" collapsed="false">
      <c r="A15" s="0" t="s">
        <v>127</v>
      </c>
      <c r="C15" s="0" t="n">
        <f aca="false">C13-MAX(0,C13)*C14/100</f>
        <v>3641.66775</v>
      </c>
      <c r="D15" s="0" t="n">
        <f aca="false">D13-MAX(0,D13)*D14/100</f>
        <v>3843.86184</v>
      </c>
      <c r="E15" s="0" t="n">
        <f aca="false">E13-MAX(0,E13)*E14/100</f>
        <v>4008.68237952</v>
      </c>
      <c r="F15" s="0" t="n">
        <f aca="false">F13-MAX(0,F13)*F14/100</f>
        <v>4209.116498496</v>
      </c>
      <c r="G15" s="0" t="n">
        <f aca="false">G13-MAX(0,G13)*G14/100</f>
        <v>4366.0671511963</v>
      </c>
      <c r="H15" s="0" t="n">
        <f aca="false">H13-MAX(0,H13)*H14/100</f>
        <v>4560.3878863763</v>
      </c>
      <c r="I15" s="0" t="n">
        <f aca="false">I13-MAX(0,I13)*I14/100</f>
        <v>4640.60675763063</v>
      </c>
      <c r="J15" s="0" t="n">
        <f aca="false">J13-MAX(0,J13)*J14/100</f>
        <v>4779.82496035955</v>
      </c>
      <c r="K15" s="0" t="n">
        <f aca="false">K13-MAX(0,K13)*K14/100</f>
        <v>4839.57277236404</v>
      </c>
      <c r="L15" s="0" t="n">
        <f aca="false">L13-MAX(0,L13)*L14/100</f>
        <v>4960.56209167314</v>
      </c>
    </row>
    <row r="16" customFormat="false" ht="15" hidden="false" customHeight="false" outlineLevel="0" collapsed="false">
      <c r="A16" s="0" t="s">
        <v>128</v>
      </c>
      <c r="C16" s="0" t="n">
        <f aca="false">-C12</f>
        <v>1406.79</v>
      </c>
      <c r="D16" s="0" t="n">
        <f aca="false">-D12</f>
        <v>1463.0616</v>
      </c>
      <c r="E16" s="0" t="n">
        <f aca="false">-E12</f>
        <v>1521.584064</v>
      </c>
      <c r="F16" s="0" t="n">
        <f aca="false">-F12</f>
        <v>1574.83950624</v>
      </c>
      <c r="G16" s="0" t="n">
        <f aca="false">-G12</f>
        <v>1629.9588889584</v>
      </c>
      <c r="H16" s="0" t="n">
        <f aca="false">-H12</f>
        <v>1678.85765562715</v>
      </c>
      <c r="I16" s="0" t="n">
        <f aca="false">-I12</f>
        <v>1729.22338529597</v>
      </c>
      <c r="J16" s="0" t="n">
        <f aca="false">-J12</f>
        <v>1781.10008685485</v>
      </c>
      <c r="K16" s="0" t="n">
        <f aca="false">-K12</f>
        <v>1825.62758902622</v>
      </c>
      <c r="L16" s="0" t="n">
        <f aca="false">-L12</f>
        <v>1871.26827875187</v>
      </c>
    </row>
    <row r="17" customFormat="false" ht="15" hidden="false" customHeight="false" outlineLevel="0" collapsed="false">
      <c r="A17" s="0" t="s">
        <v>129</v>
      </c>
      <c r="C17" s="4" t="n">
        <f aca="false">-C6*Assumptions!C32/100</f>
        <v>-2238.075</v>
      </c>
      <c r="D17" s="4" t="n">
        <f aca="false">-D6*Assumptions!D32/100</f>
        <v>-2327.598</v>
      </c>
      <c r="E17" s="4" t="n">
        <f aca="false">-E6*Assumptions!E32/100</f>
        <v>-2420.70192</v>
      </c>
      <c r="F17" s="4" t="n">
        <f aca="false">-F6*Assumptions!F32/100</f>
        <v>-2433.84287328</v>
      </c>
      <c r="G17" s="4" t="n">
        <f aca="false">-G6*Assumptions!G32/100</f>
        <v>-2519.0273738448</v>
      </c>
      <c r="H17" s="4" t="n">
        <f aca="false">-H6*Assumptions!H32/100</f>
        <v>-2594.59819506014</v>
      </c>
      <c r="I17" s="4" t="n">
        <f aca="false">-I6*Assumptions!I32/100</f>
        <v>-2672.43614091195</v>
      </c>
      <c r="J17" s="4" t="n">
        <f aca="false">-J6*Assumptions!J32/100</f>
        <v>-2752.60922513931</v>
      </c>
      <c r="K17" s="4" t="n">
        <f aca="false">-K6*Assumptions!K32/100</f>
        <v>-2821.42445576779</v>
      </c>
      <c r="L17" s="4" t="n">
        <f aca="false">-L6*Assumptions!L32/100</f>
        <v>-2891.96006716198</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2810.38275</v>
      </c>
      <c r="D19" s="0" t="n">
        <f aca="false">D15+D16+D17+D18</f>
        <v>2979.32544</v>
      </c>
      <c r="E19" s="0" t="n">
        <f aca="false">E15+E16+E17+E18</f>
        <v>3109.56452352</v>
      </c>
      <c r="F19" s="0" t="n">
        <f aca="false">F15+F16+F17+F18</f>
        <v>3350.113131456</v>
      </c>
      <c r="G19" s="0" t="n">
        <f aca="false">G15+G16+G17+G18</f>
        <v>3476.9986663099</v>
      </c>
      <c r="H19" s="0" t="n">
        <f aca="false">H15+H16+H17+H18</f>
        <v>3644.64734694331</v>
      </c>
      <c r="I19" s="0" t="n">
        <f aca="false">I15+I16+I17+I18</f>
        <v>3697.39400201465</v>
      </c>
      <c r="J19" s="0" t="n">
        <f aca="false">J15+J16+J17+J18</f>
        <v>3808.31582207509</v>
      </c>
      <c r="K19" s="0" t="n">
        <f aca="false">K15+K16+K17+K18</f>
        <v>3843.77590562247</v>
      </c>
      <c r="L19" s="0" t="n">
        <f aca="false">L15+L16+L17+L18</f>
        <v>3939.87030326303</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2602.20625</v>
      </c>
      <c r="D21" s="0" t="n">
        <f aca="false">D19*D20</f>
        <v>2554.29135802469</v>
      </c>
      <c r="E21" s="0" t="n">
        <f aca="false">E19*E20</f>
        <v>2468.4725743027</v>
      </c>
      <c r="F21" s="0" t="n">
        <f aca="false">F19*F20</f>
        <v>2462.43316186557</v>
      </c>
      <c r="G21" s="0" t="n">
        <f aca="false">G19*G20</f>
        <v>2366.38686839928</v>
      </c>
      <c r="H21" s="0" t="n">
        <f aca="false">H19*H20</f>
        <v>2296.74605874376</v>
      </c>
      <c r="I21" s="0" t="n">
        <f aca="false">I19*I20</f>
        <v>2157.39388767537</v>
      </c>
      <c r="J21" s="0" t="n">
        <f aca="false">J19*J20</f>
        <v>2057.51454102373</v>
      </c>
      <c r="K21" s="0" t="n">
        <f aca="false">K19*K20</f>
        <v>1922.84492667243</v>
      </c>
      <c r="L21" s="0" t="n">
        <f aca="false">L19*L20</f>
        <v>1824.92226836967</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8</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16</v>
      </c>
    </row>
    <row r="30" customFormat="false" ht="15" hidden="false" customHeight="false" outlineLevel="0" collapsed="false">
      <c r="A30" s="0" t="s">
        <v>136</v>
      </c>
      <c r="B30" s="0" t="n">
        <f aca="false">SUM(C21:L21)</f>
        <v>22713.2118950772</v>
      </c>
    </row>
    <row r="31" customFormat="false" ht="15" hidden="false" customHeight="false" outlineLevel="0" collapsed="false">
      <c r="A31" s="0" t="s">
        <v>137</v>
      </c>
      <c r="B31" s="0" t="n">
        <f aca="false">L19</f>
        <v>3939.87030326303</v>
      </c>
    </row>
    <row r="32" customFormat="false" ht="15" hidden="false" customHeight="false" outlineLevel="0" collapsed="false">
      <c r="A32" s="0" t="s">
        <v>138</v>
      </c>
      <c r="B32" s="0" t="n">
        <f aca="false">IF(B27&gt;B28,B31*(1+B28/100)/((B27-B28)/100),B31*B29)</f>
        <v>73424.8556517201</v>
      </c>
    </row>
    <row r="33" customFormat="false" ht="15" hidden="false" customHeight="false" outlineLevel="0" collapsed="false">
      <c r="A33" s="0" t="s">
        <v>139</v>
      </c>
      <c r="B33" s="0" t="n">
        <f aca="false">B31*B29</f>
        <v>63037.9248522085</v>
      </c>
    </row>
    <row r="34" customFormat="false" ht="15" hidden="false" customHeight="false" outlineLevel="0" collapsed="false">
      <c r="A34" s="0" t="s">
        <v>140</v>
      </c>
      <c r="B34" s="0" t="n">
        <f aca="false">MAX(0,MIN(B32,B33))</f>
        <v>63037.9248522085</v>
      </c>
    </row>
    <row r="35" customFormat="false" ht="15" hidden="false" customHeight="false" outlineLevel="0" collapsed="false">
      <c r="A35" s="0" t="s">
        <v>141</v>
      </c>
      <c r="B35" s="0" t="n">
        <f aca="false">B34/(1+B27/100)^L4</f>
        <v>29198.7562939147</v>
      </c>
    </row>
    <row r="36" customFormat="false" ht="15" hidden="false" customHeight="false" outlineLevel="0" collapsed="false">
      <c r="A36" s="0" t="s">
        <v>142</v>
      </c>
      <c r="B36" s="0" t="n">
        <f aca="false">B30+B35</f>
        <v>51911.9681889919</v>
      </c>
    </row>
    <row r="37" customFormat="false" ht="15" hidden="false" customHeight="false" outlineLevel="0" collapsed="false">
      <c r="A37" s="0" t="s">
        <v>143</v>
      </c>
      <c r="B37" s="0" t="n">
        <f aca="false">B36+Assumptions!$B$5-Assumptions!$B$4</f>
        <v>36364.9681889919</v>
      </c>
    </row>
    <row r="38" customFormat="false" ht="15" hidden="false" customHeight="false" outlineLevel="0" collapsed="false">
      <c r="A38" s="0" t="s">
        <v>144</v>
      </c>
      <c r="B38" s="0" t="n">
        <f aca="false">B37/Assumptions!$B$3*Assumptions!$B$10</f>
        <v>161.622080839964</v>
      </c>
    </row>
    <row r="39" customFormat="false" ht="15" hidden="false" customHeight="false" outlineLevel="0" collapsed="false">
      <c r="A39" s="0" t="s">
        <v>145</v>
      </c>
      <c r="B39" s="4" t="n">
        <f aca="false">B38/Assumptions!$B$2-1</f>
        <v>-0.479075353445614</v>
      </c>
    </row>
    <row r="41" customFormat="false" ht="15" hidden="false" customHeight="false" outlineLevel="0" collapsed="false">
      <c r="A41" s="0" t="s">
        <v>146</v>
      </c>
      <c r="B41" s="0" t="n">
        <f aca="false">SUMPRODUCT(-C10:L10/(1+$B$27/100)^C4:L4)</f>
        <v>492.769677370339</v>
      </c>
    </row>
    <row r="42" customFormat="false" ht="15" hidden="false" customHeight="false" outlineLevel="0" collapsed="false">
      <c r="A42" s="0" t="s">
        <v>147</v>
      </c>
      <c r="B42" s="0" t="n">
        <f aca="false">IF(B27&gt;B28,-L10*(1+B28/100)/((B27-B28)/100),-L10*20)/(1+B27/100)^L4</f>
        <v>734.238234055153</v>
      </c>
    </row>
    <row r="43" customFormat="false" ht="15" hidden="false" customHeight="false" outlineLevel="0" collapsed="false">
      <c r="A43" s="0" t="s">
        <v>148</v>
      </c>
      <c r="B43" s="0" t="n">
        <f aca="false">(B37+B41+B42)/Assumptions!$B$3*Assumptions!$B$10</f>
        <v>167.075449335188</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32306.9364867569</v>
      </c>
    </row>
    <row r="47" customFormat="false" ht="15" hidden="false" customHeight="false" outlineLevel="0" collapsed="false">
      <c r="A47" s="0" t="s">
        <v>150</v>
      </c>
      <c r="B47" s="0" t="n">
        <f aca="false">(SUMPRODUCT(C19:L19/(1+B45/100)^C4:L4)+B46/(1+B45/100)^L4+Assumptions!$B$5-Assumptions!$B$4)/Assumptions!$B$3*Assumptions!$B$10</f>
        <v>40.4499141196631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82</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6</v>
      </c>
      <c r="D5" s="4" t="n">
        <f aca="false">Assumptions!D41</f>
        <v>5.5</v>
      </c>
      <c r="E5" s="4" t="n">
        <f aca="false">Assumptions!E41</f>
        <v>5</v>
      </c>
      <c r="F5" s="4" t="n">
        <f aca="false">Assumptions!F41</f>
        <v>4.5</v>
      </c>
      <c r="G5" s="4" t="n">
        <f aca="false">Assumptions!G41</f>
        <v>4</v>
      </c>
      <c r="H5" s="4" t="n">
        <f aca="false">Assumptions!H41</f>
        <v>4</v>
      </c>
      <c r="I5" s="4" t="n">
        <f aca="false">Assumptions!I41</f>
        <v>3.5</v>
      </c>
      <c r="J5" s="4" t="n">
        <f aca="false">Assumptions!J41</f>
        <v>3.5</v>
      </c>
      <c r="K5" s="4" t="n">
        <f aca="false">Assumptions!K41</f>
        <v>3</v>
      </c>
      <c r="L5" s="4" t="n">
        <f aca="false">Assumptions!L41</f>
        <v>3</v>
      </c>
    </row>
    <row r="6" customFormat="false" ht="15" hidden="false" customHeight="false" outlineLevel="0" collapsed="false">
      <c r="A6" s="0" t="s">
        <v>37</v>
      </c>
      <c r="B6" s="3" t="n">
        <v>12180</v>
      </c>
      <c r="C6" s="0" t="n">
        <f aca="false">B6*(1+C5/100)</f>
        <v>12910.8</v>
      </c>
      <c r="D6" s="0" t="n">
        <f aca="false">C6*(1+D5/100)</f>
        <v>13620.894</v>
      </c>
      <c r="E6" s="0" t="n">
        <f aca="false">D6*(1+E5/100)</f>
        <v>14301.9387</v>
      </c>
      <c r="F6" s="0" t="n">
        <f aca="false">E6*(1+F5/100)</f>
        <v>14945.5259415</v>
      </c>
      <c r="G6" s="0" t="n">
        <f aca="false">F6*(1+G5/100)</f>
        <v>15543.34697916</v>
      </c>
      <c r="H6" s="0" t="n">
        <f aca="false">G6*(1+H5/100)</f>
        <v>16165.0808583264</v>
      </c>
      <c r="I6" s="0" t="n">
        <f aca="false">H6*(1+I5/100)</f>
        <v>16730.8586883678</v>
      </c>
      <c r="J6" s="0" t="n">
        <f aca="false">I6*(1+J5/100)</f>
        <v>17316.4387424607</v>
      </c>
      <c r="K6" s="0" t="n">
        <f aca="false">J6*(1+K5/100)</f>
        <v>17835.9319047345</v>
      </c>
      <c r="L6" s="0" t="n">
        <f aca="false">K6*(1+L5/100)</f>
        <v>18371.0098618766</v>
      </c>
    </row>
    <row r="7" customFormat="false" ht="15" hidden="false" customHeight="false" outlineLevel="0" collapsed="false">
      <c r="A7" s="0" t="s">
        <v>107</v>
      </c>
      <c r="C7" s="4" t="n">
        <f aca="false">Assumptions!C42</f>
        <v>45.5</v>
      </c>
      <c r="D7" s="4" t="n">
        <f aca="false">Assumptions!D42</f>
        <v>46.5</v>
      </c>
      <c r="E7" s="4" t="n">
        <f aca="false">Assumptions!E42</f>
        <v>47.5</v>
      </c>
      <c r="F7" s="4" t="n">
        <f aca="false">Assumptions!F42</f>
        <v>48.5</v>
      </c>
      <c r="G7" s="4" t="n">
        <f aca="false">Assumptions!G42</f>
        <v>49</v>
      </c>
      <c r="H7" s="4" t="n">
        <f aca="false">Assumptions!H42</f>
        <v>49.5</v>
      </c>
      <c r="I7" s="4" t="n">
        <f aca="false">Assumptions!I42</f>
        <v>50</v>
      </c>
      <c r="J7" s="4" t="n">
        <f aca="false">Assumptions!J42</f>
        <v>50</v>
      </c>
      <c r="K7" s="4" t="n">
        <f aca="false">Assumptions!K42</f>
        <v>50</v>
      </c>
      <c r="L7" s="4" t="n">
        <f aca="false">Assumptions!L42</f>
        <v>50</v>
      </c>
    </row>
    <row r="8" customFormat="false" ht="15" hidden="false" customHeight="false" outlineLevel="0" collapsed="false">
      <c r="A8" s="0" t="s">
        <v>43</v>
      </c>
      <c r="C8" s="0" t="n">
        <f aca="false">C6*C7/100</f>
        <v>5874.414</v>
      </c>
      <c r="D8" s="0" t="n">
        <f aca="false">D6*D7/100</f>
        <v>6333.71571</v>
      </c>
      <c r="E8" s="0" t="n">
        <f aca="false">E6*E7/100</f>
        <v>6793.4208825</v>
      </c>
      <c r="F8" s="0" t="n">
        <f aca="false">F6*F7/100</f>
        <v>7248.5800816275</v>
      </c>
      <c r="G8" s="0" t="n">
        <f aca="false">G6*G7/100</f>
        <v>7616.2400197884</v>
      </c>
      <c r="H8" s="0" t="n">
        <f aca="false">H6*H7/100</f>
        <v>8001.71502487157</v>
      </c>
      <c r="I8" s="0" t="n">
        <f aca="false">I6*I7/100</f>
        <v>8365.42934418391</v>
      </c>
      <c r="J8" s="0" t="n">
        <f aca="false">J6*J7/100</f>
        <v>8658.21937123035</v>
      </c>
      <c r="K8" s="0" t="n">
        <f aca="false">K6*K7/100</f>
        <v>8917.96595236726</v>
      </c>
      <c r="L8" s="0" t="n">
        <f aca="false">L6*L7/100</f>
        <v>9185.50493093828</v>
      </c>
    </row>
    <row r="9" customFormat="false" ht="15" hidden="false" customHeight="false" outlineLevel="0" collapsed="false">
      <c r="A9" s="0" t="s">
        <v>108</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123</v>
      </c>
      <c r="C10" s="0" t="n">
        <f aca="false">-C6*C9/100</f>
        <v>-64.554</v>
      </c>
      <c r="D10" s="0" t="n">
        <f aca="false">-D6*D9/100</f>
        <v>-68.10447</v>
      </c>
      <c r="E10" s="0" t="n">
        <f aca="false">-E6*E9/100</f>
        <v>-71.5096935</v>
      </c>
      <c r="F10" s="0" t="n">
        <f aca="false">-F6*F9/100</f>
        <v>-74.7276297075</v>
      </c>
      <c r="G10" s="0" t="n">
        <f aca="false">-G6*G9/100</f>
        <v>-77.7167348958</v>
      </c>
      <c r="H10" s="0" t="n">
        <f aca="false">-H6*H9/100</f>
        <v>-80.825404291632</v>
      </c>
      <c r="I10" s="0" t="n">
        <f aca="false">-I6*I9/100</f>
        <v>-83.6542934418391</v>
      </c>
      <c r="J10" s="0" t="n">
        <f aca="false">-J6*J9/100</f>
        <v>-86.5821937123035</v>
      </c>
      <c r="K10" s="0" t="n">
        <f aca="false">-K6*K9/100</f>
        <v>-89.1796595236726</v>
      </c>
      <c r="L10" s="0" t="n">
        <f aca="false">-L6*L9/100</f>
        <v>-91.8550493093828</v>
      </c>
    </row>
    <row r="11" customFormat="false" ht="15" hidden="false" customHeight="false" outlineLevel="0" collapsed="false">
      <c r="A11" s="0" t="s">
        <v>124</v>
      </c>
      <c r="C11" s="0" t="n">
        <f aca="false">C8+C10+C24</f>
        <v>5809.86</v>
      </c>
      <c r="D11" s="0" t="n">
        <f aca="false">D8+D10+D24</f>
        <v>6265.61124</v>
      </c>
      <c r="E11" s="0" t="n">
        <f aca="false">E8+E10+E24</f>
        <v>6721.911189</v>
      </c>
      <c r="F11" s="0" t="n">
        <f aca="false">F8+F10+F24</f>
        <v>7173.85245192</v>
      </c>
      <c r="G11" s="0" t="n">
        <f aca="false">G8+G10+G24</f>
        <v>7538.5232848926</v>
      </c>
      <c r="H11" s="0" t="n">
        <f aca="false">H8+H10+H24</f>
        <v>7920.88962057994</v>
      </c>
      <c r="I11" s="0" t="n">
        <f aca="false">I8+I10+I24</f>
        <v>8281.77505074207</v>
      </c>
      <c r="J11" s="0" t="n">
        <f aca="false">J8+J10+J24</f>
        <v>8571.63717751804</v>
      </c>
      <c r="K11" s="0" t="n">
        <f aca="false">K8+K10+K24</f>
        <v>8828.78629284359</v>
      </c>
      <c r="L11" s="0" t="n">
        <f aca="false">L8+L10+L24</f>
        <v>9093.64988162889</v>
      </c>
    </row>
    <row r="12" customFormat="false" ht="15" hidden="false" customHeight="false" outlineLevel="0" collapsed="false">
      <c r="A12" s="0" t="s">
        <v>125</v>
      </c>
      <c r="C12" s="4" t="n">
        <f aca="false">-C6*Assumptions!C45/100</f>
        <v>-1420.188</v>
      </c>
      <c r="D12" s="4" t="n">
        <f aca="false">-D6*Assumptions!D45/100</f>
        <v>-1498.29834</v>
      </c>
      <c r="E12" s="4" t="n">
        <f aca="false">-E6*Assumptions!E45/100</f>
        <v>-1573.213257</v>
      </c>
      <c r="F12" s="4" t="n">
        <f aca="false">-F6*Assumptions!F45/100</f>
        <v>-1644.007853565</v>
      </c>
      <c r="G12" s="4" t="n">
        <f aca="false">-G6*Assumptions!G45/100</f>
        <v>-1709.7681677076</v>
      </c>
      <c r="H12" s="4" t="n">
        <f aca="false">-H6*Assumptions!H45/100</f>
        <v>-1778.1588944159</v>
      </c>
      <c r="I12" s="4" t="n">
        <f aca="false">-I6*Assumptions!I45/100</f>
        <v>-1840.39445572046</v>
      </c>
      <c r="J12" s="4" t="n">
        <f aca="false">-J6*Assumptions!J45/100</f>
        <v>-1904.80826167068</v>
      </c>
      <c r="K12" s="4" t="n">
        <f aca="false">-K6*Assumptions!K45/100</f>
        <v>-1961.9525095208</v>
      </c>
      <c r="L12" s="4" t="n">
        <f aca="false">-L6*Assumptions!L45/100</f>
        <v>-2020.81108480642</v>
      </c>
    </row>
    <row r="13" customFormat="false" ht="15" hidden="false" customHeight="false" outlineLevel="0" collapsed="false">
      <c r="A13" s="0" t="s">
        <v>126</v>
      </c>
      <c r="C13" s="0" t="n">
        <f aca="false">C11+C12</f>
        <v>4389.672</v>
      </c>
      <c r="D13" s="0" t="n">
        <f aca="false">D11+D12</f>
        <v>4767.3129</v>
      </c>
      <c r="E13" s="0" t="n">
        <f aca="false">E11+E12</f>
        <v>5148.697932</v>
      </c>
      <c r="F13" s="0" t="n">
        <f aca="false">F11+F12</f>
        <v>5529.844598355</v>
      </c>
      <c r="G13" s="0" t="n">
        <f aca="false">G11+G12</f>
        <v>5828.755117185</v>
      </c>
      <c r="H13" s="0" t="n">
        <f aca="false">H11+H12</f>
        <v>6142.73072616403</v>
      </c>
      <c r="I13" s="0" t="n">
        <f aca="false">I11+I12</f>
        <v>6441.38059502161</v>
      </c>
      <c r="J13" s="0" t="n">
        <f aca="false">J11+J12</f>
        <v>6666.82891584737</v>
      </c>
      <c r="K13" s="0" t="n">
        <f aca="false">K11+K12</f>
        <v>6866.83378332279</v>
      </c>
      <c r="L13" s="0" t="n">
        <f aca="false">L11+L12</f>
        <v>7072.83879682247</v>
      </c>
    </row>
    <row r="14" customFormat="false" ht="15" hidden="false" customHeight="false" outlineLevel="0" collapsed="false">
      <c r="A14" s="0" t="s">
        <v>112</v>
      </c>
      <c r="C14" s="4" t="n">
        <f aca="false">Assumptions!C47</f>
        <v>15</v>
      </c>
      <c r="D14" s="4" t="n">
        <f aca="false">Assumptions!D47</f>
        <v>15</v>
      </c>
      <c r="E14" s="4" t="n">
        <f aca="false">Assumptions!E47</f>
        <v>15</v>
      </c>
      <c r="F14" s="4" t="n">
        <f aca="false">Assumptions!F47</f>
        <v>16</v>
      </c>
      <c r="G14" s="4" t="n">
        <f aca="false">Assumptions!G47</f>
        <v>16</v>
      </c>
      <c r="H14" s="4" t="n">
        <f aca="false">Assumptions!H47</f>
        <v>17</v>
      </c>
      <c r="I14" s="4" t="n">
        <f aca="false">Assumptions!I47</f>
        <v>17</v>
      </c>
      <c r="J14" s="4" t="n">
        <f aca="false">Assumptions!J47</f>
        <v>18</v>
      </c>
      <c r="K14" s="4" t="n">
        <f aca="false">Assumptions!K47</f>
        <v>18</v>
      </c>
      <c r="L14" s="4" t="n">
        <f aca="false">Assumptions!L47</f>
        <v>18</v>
      </c>
    </row>
    <row r="15" customFormat="false" ht="15" hidden="false" customHeight="false" outlineLevel="0" collapsed="false">
      <c r="A15" s="0" t="s">
        <v>127</v>
      </c>
      <c r="C15" s="0" t="n">
        <f aca="false">C13-MAX(0,C13)*C14/100</f>
        <v>3731.2212</v>
      </c>
      <c r="D15" s="0" t="n">
        <f aca="false">D13-MAX(0,D13)*D14/100</f>
        <v>4052.215965</v>
      </c>
      <c r="E15" s="0" t="n">
        <f aca="false">E13-MAX(0,E13)*E14/100</f>
        <v>4376.3932422</v>
      </c>
      <c r="F15" s="0" t="n">
        <f aca="false">F13-MAX(0,F13)*F14/100</f>
        <v>4645.0694626182</v>
      </c>
      <c r="G15" s="0" t="n">
        <f aca="false">G13-MAX(0,G13)*G14/100</f>
        <v>4896.1542984354</v>
      </c>
      <c r="H15" s="0" t="n">
        <f aca="false">H13-MAX(0,H13)*H14/100</f>
        <v>5098.46650271615</v>
      </c>
      <c r="I15" s="0" t="n">
        <f aca="false">I13-MAX(0,I13)*I14/100</f>
        <v>5346.34589386794</v>
      </c>
      <c r="J15" s="0" t="n">
        <f aca="false">J13-MAX(0,J13)*J14/100</f>
        <v>5466.79971099484</v>
      </c>
      <c r="K15" s="0" t="n">
        <f aca="false">K13-MAX(0,K13)*K14/100</f>
        <v>5630.80370232469</v>
      </c>
      <c r="L15" s="0" t="n">
        <f aca="false">L13-MAX(0,L13)*L14/100</f>
        <v>5799.72781339443</v>
      </c>
    </row>
    <row r="16" customFormat="false" ht="15" hidden="false" customHeight="false" outlineLevel="0" collapsed="false">
      <c r="A16" s="0" t="s">
        <v>128</v>
      </c>
      <c r="C16" s="0" t="n">
        <f aca="false">-C12</f>
        <v>1420.188</v>
      </c>
      <c r="D16" s="0" t="n">
        <f aca="false">-D12</f>
        <v>1498.29834</v>
      </c>
      <c r="E16" s="0" t="n">
        <f aca="false">-E12</f>
        <v>1573.213257</v>
      </c>
      <c r="F16" s="0" t="n">
        <f aca="false">-F12</f>
        <v>1644.007853565</v>
      </c>
      <c r="G16" s="0" t="n">
        <f aca="false">-G12</f>
        <v>1709.7681677076</v>
      </c>
      <c r="H16" s="0" t="n">
        <f aca="false">-H12</f>
        <v>1778.1588944159</v>
      </c>
      <c r="I16" s="0" t="n">
        <f aca="false">-I12</f>
        <v>1840.39445572046</v>
      </c>
      <c r="J16" s="0" t="n">
        <f aca="false">-J12</f>
        <v>1904.80826167068</v>
      </c>
      <c r="K16" s="0" t="n">
        <f aca="false">-K12</f>
        <v>1961.9525095208</v>
      </c>
      <c r="L16" s="0" t="n">
        <f aca="false">-L12</f>
        <v>2020.81108480642</v>
      </c>
    </row>
    <row r="17" customFormat="false" ht="15" hidden="false" customHeight="false" outlineLevel="0" collapsed="false">
      <c r="A17" s="0" t="s">
        <v>129</v>
      </c>
      <c r="C17" s="4" t="n">
        <f aca="false">-C6*Assumptions!C46/100</f>
        <v>-2259.39</v>
      </c>
      <c r="D17" s="4" t="n">
        <f aca="false">-D6*Assumptions!D46/100</f>
        <v>-2315.55198</v>
      </c>
      <c r="E17" s="4" t="n">
        <f aca="false">-E6*Assumptions!E46/100</f>
        <v>-2431.329579</v>
      </c>
      <c r="F17" s="4" t="n">
        <f aca="false">-F6*Assumptions!F46/100</f>
        <v>-2466.0117803475</v>
      </c>
      <c r="G17" s="4" t="n">
        <f aca="false">-G6*Assumptions!G46/100</f>
        <v>-2564.6522515614</v>
      </c>
      <c r="H17" s="4" t="n">
        <f aca="false">-H6*Assumptions!H46/100</f>
        <v>-2667.23834162386</v>
      </c>
      <c r="I17" s="4" t="n">
        <f aca="false">-I6*Assumptions!I46/100</f>
        <v>-2676.93739013885</v>
      </c>
      <c r="J17" s="4" t="n">
        <f aca="false">-J6*Assumptions!J46/100</f>
        <v>-2770.63019879371</v>
      </c>
      <c r="K17" s="4" t="n">
        <f aca="false">-K6*Assumptions!K46/100</f>
        <v>-2853.74910475752</v>
      </c>
      <c r="L17" s="4" t="n">
        <f aca="false">-L6*Assumptions!L46/100</f>
        <v>-2939.36157790025</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2892.0192</v>
      </c>
      <c r="D19" s="0" t="n">
        <f aca="false">D15+D16+D17+D18</f>
        <v>3234.962325</v>
      </c>
      <c r="E19" s="0" t="n">
        <f aca="false">E15+E16+E17+E18</f>
        <v>3518.2769202</v>
      </c>
      <c r="F19" s="0" t="n">
        <f aca="false">F15+F16+F17+F18</f>
        <v>3823.0655358357</v>
      </c>
      <c r="G19" s="0" t="n">
        <f aca="false">G15+G16+G17+G18</f>
        <v>4041.2702145816</v>
      </c>
      <c r="H19" s="0" t="n">
        <f aca="false">H15+H16+H17+H18</f>
        <v>4209.38705550819</v>
      </c>
      <c r="I19" s="0" t="n">
        <f aca="false">I15+I16+I17+I18</f>
        <v>4509.80295944955</v>
      </c>
      <c r="J19" s="0" t="n">
        <f aca="false">J15+J16+J17+J18</f>
        <v>4600.97777387181</v>
      </c>
      <c r="K19" s="0" t="n">
        <f aca="false">K15+K16+K17+K18</f>
        <v>4739.00710708796</v>
      </c>
      <c r="L19" s="0" t="n">
        <f aca="false">L15+L16+L17+L18</f>
        <v>4881.1773203006</v>
      </c>
    </row>
    <row r="20" customFormat="false" ht="15" hidden="false" customHeight="false" outlineLevel="0" collapsed="false">
      <c r="A20" s="0" t="s">
        <v>132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133</v>
      </c>
      <c r="C21" s="0" t="n">
        <f aca="false">C19*C20</f>
        <v>2677.79555555556</v>
      </c>
      <c r="D21" s="0" t="n">
        <f aca="false">D19*D20</f>
        <v>2773.45878343621</v>
      </c>
      <c r="E21" s="0" t="n">
        <f aca="false">E19*E20</f>
        <v>2792.92165209191</v>
      </c>
      <c r="F21" s="0" t="n">
        <f aca="false">F19*F20</f>
        <v>2810.06729803651</v>
      </c>
      <c r="G21" s="0" t="n">
        <f aca="false">G19*G20</f>
        <v>2750.42060271723</v>
      </c>
      <c r="H21" s="0" t="n">
        <f aca="false">H19*H20</f>
        <v>2652.62787017617</v>
      </c>
      <c r="I21" s="0" t="n">
        <f aca="false">I19*I20</f>
        <v>2631.42671136356</v>
      </c>
      <c r="J21" s="0" t="n">
        <f aca="false">J19*J20</f>
        <v>2485.7651295081</v>
      </c>
      <c r="K21" s="0" t="n">
        <f aca="false">K19*K20</f>
        <v>2370.6834105494</v>
      </c>
      <c r="L21" s="0" t="n">
        <f aca="false">L19*L20</f>
        <v>2260.92954894989</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8</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18</v>
      </c>
    </row>
    <row r="30" customFormat="false" ht="15" hidden="false" customHeight="false" outlineLevel="0" collapsed="false">
      <c r="A30" s="0" t="s">
        <v>136</v>
      </c>
      <c r="B30" s="0" t="n">
        <f aca="false">SUM(C21:L21)</f>
        <v>26206.0965623845</v>
      </c>
    </row>
    <row r="31" customFormat="false" ht="15" hidden="false" customHeight="false" outlineLevel="0" collapsed="false">
      <c r="A31" s="0" t="s">
        <v>137</v>
      </c>
      <c r="B31" s="0" t="n">
        <f aca="false">L19</f>
        <v>4881.1773203006</v>
      </c>
    </row>
    <row r="32" customFormat="false" ht="15" hidden="false" customHeight="false" outlineLevel="0" collapsed="false">
      <c r="A32" s="0" t="s">
        <v>138</v>
      </c>
      <c r="B32" s="0" t="n">
        <f aca="false">IF(B27&gt;B28,B31*(1+B28/100)/((B27-B28)/100),B31*B29)</f>
        <v>100552.252798192</v>
      </c>
    </row>
    <row r="33" customFormat="false" ht="15" hidden="false" customHeight="false" outlineLevel="0" collapsed="false">
      <c r="A33" s="0" t="s">
        <v>139</v>
      </c>
      <c r="B33" s="0" t="n">
        <f aca="false">B31*B29</f>
        <v>87861.1917654108</v>
      </c>
    </row>
    <row r="34" customFormat="false" ht="15" hidden="false" customHeight="false" outlineLevel="0" collapsed="false">
      <c r="A34" s="0" t="s">
        <v>140</v>
      </c>
      <c r="B34" s="0" t="n">
        <f aca="false">MAX(0,MIN(B32,B33))</f>
        <v>87861.1917654108</v>
      </c>
    </row>
    <row r="35" customFormat="false" ht="15" hidden="false" customHeight="false" outlineLevel="0" collapsed="false">
      <c r="A35" s="0" t="s">
        <v>141</v>
      </c>
      <c r="B35" s="0" t="n">
        <f aca="false">B34/(1+B27/100)^L4</f>
        <v>40696.731881098</v>
      </c>
    </row>
    <row r="36" customFormat="false" ht="15" hidden="false" customHeight="false" outlineLevel="0" collapsed="false">
      <c r="A36" s="0" t="s">
        <v>142</v>
      </c>
      <c r="B36" s="0" t="n">
        <f aca="false">B30+B35</f>
        <v>66902.8284434825</v>
      </c>
    </row>
    <row r="37" customFormat="false" ht="15" hidden="false" customHeight="false" outlineLevel="0" collapsed="false">
      <c r="A37" s="0" t="s">
        <v>143</v>
      </c>
      <c r="B37" s="0" t="n">
        <f aca="false">B36+Assumptions!$B$5-Assumptions!$B$4</f>
        <v>51355.8284434825</v>
      </c>
    </row>
    <row r="38" customFormat="false" ht="15" hidden="false" customHeight="false" outlineLevel="0" collapsed="false">
      <c r="A38" s="0" t="s">
        <v>144</v>
      </c>
      <c r="B38" s="0" t="n">
        <f aca="false">B37/Assumptions!$B$3*Assumptions!$B$10</f>
        <v>228.248126415478</v>
      </c>
    </row>
    <row r="39" customFormat="false" ht="15" hidden="false" customHeight="false" outlineLevel="0" collapsed="false">
      <c r="A39" s="0" t="s">
        <v>145</v>
      </c>
      <c r="B39" s="4" t="n">
        <f aca="false">B38/Assumptions!$B$2-1</f>
        <v>-0.26433273249701</v>
      </c>
    </row>
    <row r="41" customFormat="false" ht="15" hidden="false" customHeight="false" outlineLevel="0" collapsed="false">
      <c r="A41" s="0" t="s">
        <v>146</v>
      </c>
      <c r="B41" s="0" t="n">
        <f aca="false">SUMPRODUCT(-C10:L10/(1+$B$27/100)^C4:L4)</f>
        <v>516.428821076434</v>
      </c>
    </row>
    <row r="42" customFormat="false" ht="15" hidden="false" customHeight="false" outlineLevel="0" collapsed="false">
      <c r="A42" s="0" t="s">
        <v>147</v>
      </c>
      <c r="B42" s="0" t="n">
        <f aca="false">IF(B27&gt;B28,-L10*(1+B28/100)/((B27-B28)/100),-L10*20)/(1+B27/100)^L4</f>
        <v>876.461210168755</v>
      </c>
    </row>
    <row r="43" customFormat="false" ht="15" hidden="false" customHeight="false" outlineLevel="0" collapsed="false">
      <c r="A43" s="0" t="s">
        <v>148</v>
      </c>
      <c r="B43" s="0" t="n">
        <f aca="false">(B37+B41+B42)/Assumptions!$B$3*Assumptions!$B$10</f>
        <v>234.438748776567</v>
      </c>
    </row>
    <row r="45" customFormat="false" ht="15" hidden="false" customHeight="false" outlineLevel="0" collapsed="false">
      <c r="A45" s="0" t="s">
        <v>89</v>
      </c>
      <c r="B45" s="4" t="n">
        <f aca="false">Assumptions!$B$6</f>
        <v>15</v>
      </c>
    </row>
    <row r="46" customFormat="false" ht="15" hidden="false" customHeight="false" outlineLevel="0" collapsed="false">
      <c r="A46" s="0" t="s">
        <v>149</v>
      </c>
      <c r="B46" s="0" t="n">
        <f aca="false">MAX(0,MIN(IF(B45&gt;B28,B31*(1+B28/100)/((B45-B28)/100),B31*B29),B31*B29))</f>
        <v>41896.7719992468</v>
      </c>
    </row>
    <row r="47" customFormat="false" ht="15" hidden="false" customHeight="false" outlineLevel="0" collapsed="false">
      <c r="A47" s="0" t="s">
        <v>150</v>
      </c>
      <c r="B47" s="0" t="n">
        <f aca="false">(SUMPRODUCT(C19:L19/(1+B45/100)^C4:L4)+B46/(1+B45/100)^L4+Assumptions!$B$5-Assumptions!$B$4)/Assumptions!$B$3*Assumptions!$B$10</f>
        <v>61.5622872395286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86.9454364344388</v>
      </c>
      <c r="C4" s="0" t="n">
        <f aca="false">B4/Assumptions!$B$2-1</f>
        <v>-0.71976588527545</v>
      </c>
      <c r="D4" s="4" t="n">
        <f aca="false">Assumptions!$B$24</f>
        <v>0.25</v>
      </c>
      <c r="E4" s="4" t="n">
        <f aca="false">DCF_Bear!$B$43</f>
        <v>91.5703695620108</v>
      </c>
      <c r="F4" s="4" t="n">
        <f aca="false">DCF_Bear!$B$47</f>
        <v>11.4137056841874</v>
      </c>
    </row>
    <row r="5" customFormat="false" ht="15" hidden="false" customHeight="false" outlineLevel="0" collapsed="false">
      <c r="A5" s="0" t="s">
        <v>159</v>
      </c>
      <c r="B5" s="4" t="n">
        <f aca="false">DCF_Base!$B$38</f>
        <v>161.622080839964</v>
      </c>
      <c r="C5" s="0" t="n">
        <f aca="false">B5/Assumptions!$B$2-1</f>
        <v>-0.479075353445614</v>
      </c>
      <c r="D5" s="4" t="n">
        <f aca="false">Assumptions!$B$38</f>
        <v>0.5</v>
      </c>
      <c r="E5" s="4" t="n">
        <f aca="false">DCF_Base!$B$43</f>
        <v>167.075449335188</v>
      </c>
      <c r="F5" s="4" t="n">
        <f aca="false">DCF_Base!$B$47</f>
        <v>40.4499141196631</v>
      </c>
    </row>
    <row r="6" customFormat="false" ht="15" hidden="false" customHeight="false" outlineLevel="0" collapsed="false">
      <c r="A6" s="0" t="s">
        <v>160</v>
      </c>
      <c r="B6" s="4" t="n">
        <f aca="false">DCF_Bull!$B$38</f>
        <v>228.248126415478</v>
      </c>
      <c r="C6" s="0" t="n">
        <f aca="false">B6/Assumptions!$B$2-1</f>
        <v>-0.26433273249701</v>
      </c>
      <c r="D6" s="4" t="n">
        <f aca="false">Assumptions!$B$52</f>
        <v>0.25</v>
      </c>
      <c r="E6" s="4" t="n">
        <f aca="false">DCF_Bull!$B$43</f>
        <v>234.438748776567</v>
      </c>
      <c r="F6" s="4" t="n">
        <f aca="false">DCF_Bull!$B$47</f>
        <v>61.5622872395286</v>
      </c>
    </row>
    <row r="8" customFormat="false" ht="15" hidden="false" customHeight="false" outlineLevel="0" collapsed="false">
      <c r="A8" s="0" t="s">
        <v>161</v>
      </c>
      <c r="B8" s="0" t="n">
        <f aca="false">SUMPRODUCT(B4:B6,D4:D6)</f>
        <v>159.609431132461</v>
      </c>
    </row>
    <row r="9" customFormat="false" ht="15" hidden="false" customHeight="false" outlineLevel="0" collapsed="false">
      <c r="A9" s="0" t="s">
        <v>162</v>
      </c>
      <c r="B9" s="0" t="n">
        <f aca="false">SUMPRODUCT(E4:E6,D4:D6)</f>
        <v>165.040004252239</v>
      </c>
    </row>
    <row r="10" customFormat="false" ht="15" hidden="false" customHeight="false" outlineLevel="0" collapsed="false">
      <c r="A10" s="0" t="s">
        <v>163</v>
      </c>
      <c r="B10" s="0" t="n">
        <f aca="false">1-Assumptions!$B$2/B8</f>
        <v>-0.943870094634401</v>
      </c>
    </row>
    <row r="11" customFormat="false" ht="15" hidden="false" customHeight="false" outlineLevel="0" collapsed="false">
      <c r="A11" s="0" t="s">
        <v>164</v>
      </c>
      <c r="B11" s="0" t="n">
        <f aca="false">IF(ABS(B9-B8)&gt;0.01*ABS(B8),(Assumptions!$B$2-B8)/(B9-B8)*100,"n/a")</f>
        <v>2774.1191499454</v>
      </c>
    </row>
    <row r="12" customFormat="false" ht="15" hidden="false" customHeight="false" outlineLevel="0" collapsed="false">
      <c r="A12" s="0" t="s">
        <v>165</v>
      </c>
      <c r="B12" s="0" t="n">
        <f aca="false">SUMPRODUCT(F4:F6,D4:D6)</f>
        <v>38.4689552907605</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161.622080839964</v>
      </c>
      <c r="C15" s="3" t="n">
        <v>8</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143.814048605631</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115.082002738309</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93.1174857076329</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75.783354862233</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40.4499141196631</v>
      </c>
      <c r="C20" s="3" t="n">
        <v>15</v>
      </c>
    </row>
    <row r="22" customFormat="false" ht="15" hidden="false" customHeight="false" outlineLevel="0" collapsed="false">
      <c r="A22" s="2" t="s">
        <v>174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198.717485106754</v>
      </c>
      <c r="C24" s="0" t="n">
        <f aca="false">(SUMPRODUCT(DCF_Base!$C$19:$L$19/(1+$A$24/100)^DCF_Base!$C$4:$L$4)+MAX(0,MIN(IF($A$24&gt;$C$23,DCF_Base!$L$19*(1+$C$23/100)/(($A$24-$C$23)/100),DCF_Base!$L$19*DCF_Base!$B$29),DCF_Base!$L$19*DCF_Base!$B$29))/(1+$A$24/100)^DCF_Base!$L$4+Assumptions!$B$5-Assumptions!$B$4)/Assumptions!$B$3*Assumptions!$B$10</f>
        <v>198.717485106754</v>
      </c>
      <c r="D24" s="0" t="n">
        <f aca="false">(SUMPRODUCT(DCF_Base!$C$19:$L$19/(1+$A$24/100)^DCF_Base!$C$4:$L$4)+MAX(0,MIN(IF($A$24&gt;$D$23,DCF_Base!$L$19*(1+$D$23/100)/(($A$24-$D$23)/100),DCF_Base!$L$19*DCF_Base!$B$29),DCF_Base!$L$19*DCF_Base!$B$29))/(1+$A$24/100)^DCF_Base!$L$4+Assumptions!$B$5-Assumptions!$B$4)/Assumptions!$B$3*Assumptions!$B$10</f>
        <v>198.717485106754</v>
      </c>
      <c r="E24" s="0" t="n">
        <f aca="false">(SUMPRODUCT(DCF_Base!$C$19:$L$19/(1+$A$24/100)^DCF_Base!$C$4:$L$4)+MAX(0,MIN(IF($A$24&gt;$E$23,DCF_Base!$L$19*(1+$E$23/100)/(($A$24-$E$23)/100),DCF_Base!$L$19*DCF_Base!$B$29),DCF_Base!$L$19*DCF_Base!$B$29))/(1+$A$24/100)^DCF_Base!$L$4+Assumptions!$B$5-Assumptions!$B$4)/Assumptions!$B$3*Assumptions!$B$10</f>
        <v>198.717485106754</v>
      </c>
      <c r="F24" s="0" t="n">
        <f aca="false">(SUMPRODUCT(DCF_Base!$C$19:$L$19/(1+$A$24/100)^DCF_Base!$C$4:$L$4)+MAX(0,MIN(IF($A$24&gt;$F$23,DCF_Base!$L$19*(1+$F$23/100)/(($A$24-$F$23)/100),DCF_Base!$L$19*DCF_Base!$B$29),DCF_Base!$L$19*DCF_Base!$B$29))/(1+$A$24/100)^DCF_Base!$L$4+Assumptions!$B$5-Assumptions!$B$4)/Assumptions!$B$3*Assumptions!$B$10</f>
        <v>198.717485106754</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179.295264754228</v>
      </c>
      <c r="C25" s="0" t="n">
        <f aca="false">(SUMPRODUCT(DCF_Base!$C$19:$L$19/(1+$A$25/100)^DCF_Base!$C$4:$L$4)+MAX(0,MIN(IF($A$25&gt;$C$23,DCF_Base!$L$19*(1+$C$23/100)/(($A$25-$C$23)/100),DCF_Base!$L$19*DCF_Base!$B$29),DCF_Base!$L$19*DCF_Base!$B$29))/(1+$A$25/100)^DCF_Base!$L$4+Assumptions!$B$5-Assumptions!$B$4)/Assumptions!$B$3*Assumptions!$B$10</f>
        <v>179.295264754228</v>
      </c>
      <c r="D25" s="0" t="n">
        <f aca="false">(SUMPRODUCT(DCF_Base!$C$19:$L$19/(1+$A$25/100)^DCF_Base!$C$4:$L$4)+MAX(0,MIN(IF($A$25&gt;$D$23,DCF_Base!$L$19*(1+$D$23/100)/(($A$25-$D$23)/100),DCF_Base!$L$19*DCF_Base!$B$29),DCF_Base!$L$19*DCF_Base!$B$29))/(1+$A$25/100)^DCF_Base!$L$4+Assumptions!$B$5-Assumptions!$B$4)/Assumptions!$B$3*Assumptions!$B$10</f>
        <v>179.295264754228</v>
      </c>
      <c r="E25" s="0" t="n">
        <f aca="false">(SUMPRODUCT(DCF_Base!$C$19:$L$19/(1+$A$25/100)^DCF_Base!$C$4:$L$4)+MAX(0,MIN(IF($A$25&gt;$E$23,DCF_Base!$L$19*(1+$E$23/100)/(($A$25-$E$23)/100),DCF_Base!$L$19*DCF_Base!$B$29),DCF_Base!$L$19*DCF_Base!$B$29))/(1+$A$25/100)^DCF_Base!$L$4+Assumptions!$B$5-Assumptions!$B$4)/Assumptions!$B$3*Assumptions!$B$10</f>
        <v>179.295264754228</v>
      </c>
      <c r="F25" s="0" t="n">
        <f aca="false">(SUMPRODUCT(DCF_Base!$C$19:$L$19/(1+$A$25/100)^DCF_Base!$C$4:$L$4)+MAX(0,MIN(IF($A$25&gt;$F$23,DCF_Base!$L$19*(1+$F$23/100)/(($A$25-$F$23)/100),DCF_Base!$L$19*DCF_Base!$B$29),DCF_Base!$L$19*DCF_Base!$B$29))/(1+$A$25/100)^DCF_Base!$L$4+Assumptions!$B$5-Assumptions!$B$4)/Assumptions!$B$3*Assumptions!$B$10</f>
        <v>179.295264754228</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158.502555594887</v>
      </c>
      <c r="C26" s="0" t="n">
        <f aca="false">(SUMPRODUCT(DCF_Base!$C$19:$L$19/(1+$A$26/100)^DCF_Base!$C$4:$L$4)+MAX(0,MIN(IF($A$26&gt;$C$23,DCF_Base!$L$19*(1+$C$23/100)/(($A$26-$C$23)/100),DCF_Base!$L$19*DCF_Base!$B$29),DCF_Base!$L$19*DCF_Base!$B$29))/(1+$A$26/100)^DCF_Base!$L$4+Assumptions!$B$5-Assumptions!$B$4)/Assumptions!$B$3*Assumptions!$B$10</f>
        <v>161.622080839964</v>
      </c>
      <c r="D26" s="0" t="n">
        <f aca="false">(SUMPRODUCT(DCF_Base!$C$19:$L$19/(1+$A$26/100)^DCF_Base!$C$4:$L$4)+MAX(0,MIN(IF($A$26&gt;$D$23,DCF_Base!$L$19*(1+$D$23/100)/(($A$26-$D$23)/100),DCF_Base!$L$19*DCF_Base!$B$29),DCF_Base!$L$19*DCF_Base!$B$29))/(1+$A$26/100)^DCF_Base!$L$4+Assumptions!$B$5-Assumptions!$B$4)/Assumptions!$B$3*Assumptions!$B$10</f>
        <v>161.622080839964</v>
      </c>
      <c r="E26" s="0" t="n">
        <f aca="false">(SUMPRODUCT(DCF_Base!$C$19:$L$19/(1+$A$26/100)^DCF_Base!$C$4:$L$4)+MAX(0,MIN(IF($A$26&gt;$E$23,DCF_Base!$L$19*(1+$E$23/100)/(($A$26-$E$23)/100),DCF_Base!$L$19*DCF_Base!$B$29),DCF_Base!$L$19*DCF_Base!$B$29))/(1+$A$26/100)^DCF_Base!$L$4+Assumptions!$B$5-Assumptions!$B$4)/Assumptions!$B$3*Assumptions!$B$10</f>
        <v>161.622080839964</v>
      </c>
      <c r="F26" s="0" t="n">
        <f aca="false">(SUMPRODUCT(DCF_Base!$C$19:$L$19/(1+$A$26/100)^DCF_Base!$C$4:$L$4)+MAX(0,MIN(IF($A$26&gt;$F$23,DCF_Base!$L$19*(1+$F$23/100)/(($A$26-$F$23)/100),DCF_Base!$L$19*DCF_Base!$B$29),DCF_Base!$L$19*DCF_Base!$B$29))/(1+$A$26/100)^DCF_Base!$L$4+Assumptions!$B$5-Assumptions!$B$4)/Assumptions!$B$3*Assumptions!$B$10</f>
        <v>161.622080839964</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127.275922243798</v>
      </c>
      <c r="C27" s="0" t="n">
        <f aca="false">(SUMPRODUCT(DCF_Base!$C$19:$L$19/(1+$A$27/100)^DCF_Base!$C$4:$L$4)+MAX(0,MIN(IF($A$27&gt;$C$23,DCF_Base!$L$19*(1+$C$23/100)/(($A$27-$C$23)/100),DCF_Base!$L$19*DCF_Base!$B$29),DCF_Base!$L$19*DCF_Base!$B$29))/(1+$A$27/100)^DCF_Base!$L$4+Assumptions!$B$5-Assumptions!$B$4)/Assumptions!$B$3*Assumptions!$B$10</f>
        <v>134.954338054649</v>
      </c>
      <c r="D27" s="0" t="n">
        <f aca="false">(SUMPRODUCT(DCF_Base!$C$19:$L$19/(1+$A$27/100)^DCF_Base!$C$4:$L$4)+MAX(0,MIN(IF($A$27&gt;$D$23,DCF_Base!$L$19*(1+$D$23/100)/(($A$27-$D$23)/100),DCF_Base!$L$19*DCF_Base!$B$29),DCF_Base!$L$19*DCF_Base!$B$29))/(1+$A$27/100)^DCF_Base!$L$4+Assumptions!$B$5-Assumptions!$B$4)/Assumptions!$B$3*Assumptions!$B$10</f>
        <v>143.814048605631</v>
      </c>
      <c r="E27" s="0" t="n">
        <f aca="false">(SUMPRODUCT(DCF_Base!$C$19:$L$19/(1+$A$27/100)^DCF_Base!$C$4:$L$4)+MAX(0,MIN(IF($A$27&gt;$E$23,DCF_Base!$L$19*(1+$E$23/100)/(($A$27-$E$23)/100),DCF_Base!$L$19*DCF_Base!$B$29),DCF_Base!$L$19*DCF_Base!$B$29))/(1+$A$27/100)^DCF_Base!$L$4+Assumptions!$B$5-Assumptions!$B$4)/Assumptions!$B$3*Assumptions!$B$10</f>
        <v>145.520965317288</v>
      </c>
      <c r="F27" s="0" t="n">
        <f aca="false">(SUMPRODUCT(DCF_Base!$C$19:$L$19/(1+$A$27/100)^DCF_Base!$C$4:$L$4)+MAX(0,MIN(IF($A$27&gt;$F$23,DCF_Base!$L$19*(1+$F$23/100)/(($A$27-$F$23)/100),DCF_Base!$L$19*DCF_Base!$B$29),DCF_Base!$L$19*DCF_Base!$B$29))/(1+$A$27/100)^DCF_Base!$L$4+Assumptions!$B$5-Assumptions!$B$4)/Assumptions!$B$3*Assumptions!$B$10</f>
        <v>145.520965317288</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103.433099123074</v>
      </c>
      <c r="C28" s="0" t="n">
        <f aca="false">(SUMPRODUCT(DCF_Base!$C$19:$L$19/(1+$A$28/100)^DCF_Base!$C$4:$L$4)+MAX(0,MIN(IF($A$28&gt;$C$23,DCF_Base!$L$19*(1+$C$23/100)/(($A$28-$C$23)/100),DCF_Base!$L$19*DCF_Base!$B$29),DCF_Base!$L$19*DCF_Base!$B$29))/(1+$A$28/100)^DCF_Base!$L$4+Assumptions!$B$5-Assumptions!$B$4)/Assumptions!$B$3*Assumptions!$B$10</f>
        <v>108.893522692715</v>
      </c>
      <c r="D28" s="0" t="n">
        <f aca="false">(SUMPRODUCT(DCF_Base!$C$19:$L$19/(1+$A$28/100)^DCF_Base!$C$4:$L$4)+MAX(0,MIN(IF($A$28&gt;$D$23,DCF_Base!$L$19*(1+$D$23/100)/(($A$28-$D$23)/100),DCF_Base!$L$19*DCF_Base!$B$29),DCF_Base!$L$19*DCF_Base!$B$29))/(1+$A$28/100)^DCF_Base!$L$4+Assumptions!$B$5-Assumptions!$B$4)/Assumptions!$B$3*Assumptions!$B$10</f>
        <v>115.082002738309</v>
      </c>
      <c r="E28" s="0" t="n">
        <f aca="false">(SUMPRODUCT(DCF_Base!$C$19:$L$19/(1+$A$28/100)^DCF_Base!$C$4:$L$4)+MAX(0,MIN(IF($A$28&gt;$E$23,DCF_Base!$L$19*(1+$E$23/100)/(($A$28-$E$23)/100),DCF_Base!$L$19*DCF_Base!$B$29),DCF_Base!$L$19*DCF_Base!$B$29))/(1+$A$28/100)^DCF_Base!$L$4+Assumptions!$B$5-Assumptions!$B$4)/Assumptions!$B$3*Assumptions!$B$10</f>
        <v>122.154551361845</v>
      </c>
      <c r="F28" s="0" t="n">
        <f aca="false">(SUMPRODUCT(DCF_Base!$C$19:$L$19/(1+$A$28/100)^DCF_Base!$C$4:$L$4)+MAX(0,MIN(IF($A$28&gt;$F$23,DCF_Base!$L$19*(1+$F$23/100)/(($A$28-$F$23)/100),DCF_Base!$L$19*DCF_Base!$B$29),DCF_Base!$L$19*DCF_Base!$B$29))/(1+$A$28/100)^DCF_Base!$L$4+Assumptions!$B$5-Assumptions!$B$4)/Assumptions!$B$3*Assumptions!$B$10</f>
        <v>130.315184389001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2026-10-02T02:49:30Z</dcterms:created>
  <dc:creator>openpyxl</dc:creator>
  <dc:description/>
  <dc:language>en-NZ</dc:language>
  <cp:lastModifiedBy/>
  <dcterms:modified xsi:type="dcterms:W3CDTF">2026-10-02T02:49:30Z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