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<sst xmlns="http://schemas.openxmlformats.org/spreadsheetml/2006/main" count="363" uniqueCount="171">
  <si>
    <t xml:space="preserve">Ticker</t>
  </si>
  <si>
    <t xml:space="preserve">3360.HK</t>
  </si>
  <si>
    <t xml:space="preserve">Company</t>
  </si>
  <si>
    <t xml:space="preserve">Far East Horizon Limited</t>
  </si>
  <si>
    <t xml:space="preserve">Valuation date</t>
  </si>
  <si>
    <t xml:space="preserve">2026-10-22</t>
  </si>
  <si>
    <t xml:space="preserve">Current price</t>
  </si>
  <si>
    <t xml:space="preserve">Price as of</t>
  </si>
  <si>
    <t xml:space="preserve">2026-10-22T08:08:34Z HKEX regular close</t>
  </si>
  <si>
    <t xml:space="preserve">Balance sheet date</t>
  </si>
  <si>
    <t xml:space="preserve">2026-06-30</t>
  </si>
  <si>
    <t xml:space="preserve">Model</t>
  </si>
  <si>
    <t xml:space="preserve">Lender FCFE capitalisation at cost of equity (engine route)</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</si>
  <si>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</si>
  <si>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</si>
  <si>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</si>
  <si>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</si>
  <si>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</si>
  <si>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</si>
  <si>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</si>
  <si>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</si>
  <si>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</si>
  <si>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2026-10-22T09:22:04Z</t>
  </si>
  <si>
    <t xml:space="preserve">Drivers file</t>
  </si>
  <si>
    <t xml:space="preserve">3360.HK_Drivers.json</t>
  </si>
  <si>
    <t xml:space="preserve">Convention</t>
  </si>
  <si>
    <t xml:space="preserve">Percents stored as percents; formulas divide by 100. Blue = input, green = link, black = formula.</t>
  </si>
  <si>
    <t xml:space="preserve">Methodology</t>
  </si>
  <si>
    <t xml:space="preserve">summary: A lender is valued on the cash it can return to equity after funding its own book growth, discounted at the cost of equity, with the borrowings treated as operating funding rather than net debt. For Far East Horizon that stream is ~60% of attributable profit, and the question is whether an ~8% ROE business should trade at 0.44x book. At an 11% cost of equity and ~3% sustainable growth it should trade nearer 0.6x, so the stock screens as cheap, but the discount to book is largely deserved: ROE sits below the cost of equity, the tax rate has halved earning power since FY2023, and the industrial segments are shrinking. The margin of safety is the dividend, not a re-rating.
key_risks_to_valuation: Credit losses in the inclusive-finance (SME) and urban-platform books outrun the 228% provision coverage if the property downturn deepens; Effective tax rate (50.3% FY2025) rises further or stays elevated, keeping ROE structurally below the cost of equity; Wholesale funding cost reverses with PBOC policy or onshore credit stress, compressing the 4.4% net interest spread; Industrial segments (equipment rental -18% FY2025, hospitals -13%) keep shrinking and require fleet impairments; NFRA financial-leasing measures constrain balance-sheet growth or force sale-leaseback run-off; FX: RMB flows vs HKD quote; a weaker RMB lowers the HKD value one-for-one</t>
  </si>
  <si>
    <t xml:space="preserve">Data sources</t>
  </si>
  <si>
    <t xml:space="preserve">price: Yahoo Finance chart API at inputs.price_as_of (HKEX regular close); 52-week range HK$5.02-8.54. FX from Yahoo CNYHKD=X, same date.
financials: 3360.HK_Metrics.csv / core_metrics (RMB millions) from 3360.HK_Annual_FY2017-FY2025.txt and 3360.HK_HalfYear_H1-2024/2025/2026.txt; kpis table (NIM, spread, NPL, ROAE, NetAssetsPerShare, NetInterestEarningAssets). Share count and equity from the H1 FY2026 interim report (30 June 2026).
qualitative: 3360.HK_Analysis.json (2026-10-22); H1 FY2026 interim 'Future Outlook' and MD&amp;A.</t>
  </si>
  <si>
    <t xml:space="preserve">Scenario narrative: bear</t>
  </si>
  <si>
    <t xml:space="preserve">The property downturn feeds through to SME and urban-platform credit losses; write-offs and provisions compress profit ~13% over two years, the payout is trimmed to conserve capital, and tighter leasing regulation caps book growth. The stock stays a deep-discount-to-book yield instrument with a shrinking dividend.</t>
  </si>
  <si>
    <t xml:space="preserve">Scenario narrative: base</t>
  </si>
  <si>
    <t xml:space="preserve">Far East Horizon remains a ~8% ROAE wholesale-funded lessor paying out ~60% of profit. Attributable profit grows ~3-4% a year as the inclusive-finance book scales and funding costs stay low, while the industrial segments stop shrinking but do not drive growth. With ROE below an 11% cost of equity the business is worth less than book (justified P/B ~0.6x), but materially more than the current ~0.44x, so the equity case is a well-covered ~10% dividend yield plus modest growth rather than a re-rating to book.</t>
  </si>
  <si>
    <t xml:space="preserve">Scenario narrative: bull</t>
  </si>
  <si>
    <t xml:space="preserve">NIM holds above 5% as inclusive finance becomes a third of interest income, funding costs fall further, overseas equipment rental grows into a meaningful profit pool and Horizon Healthcare stabilises. ROAE recovers toward 10%, growth runs 5-7% for four years and the market re-rates the stock toward 0.8x book.</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</si>
  <si>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</si>
  <si>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</si>
  <si>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</si>
  <si>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</si>
  <si>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</si>
  <si>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</si>
  <si>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</si>
  <si>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</si>
  <si>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</si>
  <si>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</si>
  <si>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</si>
  <si>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</si>
  <si>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</si>
  <si>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</si>
  <si>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</si>
  <si>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</si>
  <si>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</si>
  <si>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</si>
  <si>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</si>
  <si>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</si>
  <si>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</si>
  <si>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</si>
  <si>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</si>
  <si>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</si>
  <si>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</si>
  <si>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</si>
  <si>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</si>
  <si>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CostToIncomeRatio</t>
  </si>
  <si>
    <t xml:space="preserve">DilutedEPS</t>
  </si>
  <si>
    <t xml:space="preserve">GrossInterestIncome</t>
  </si>
  <si>
    <t xml:space="preserve">NPLRatio</t>
  </si>
  <si>
    <t xml:space="preserve">NetInterestEarningAssets</t>
  </si>
  <si>
    <t xml:space="preserve">NetInterestMargin</t>
  </si>
  <si>
    <t xml:space="preserve">NetInterestSpread</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</si>
  <si>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</si>
  <si>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</si>
  <si>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</si>
  <si>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</si>
  <si>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</si>
  <si>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</si>
  <si>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</si>
  <si>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</si>
  <si>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</si>
  <si>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</si>
  <si>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</si>
  <si>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</si>
  <si>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</si>
  <si>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</si>
  <si>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</si>
  <si>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</si>
  <si>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</si>
  <si>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</si>
  <si>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</si>
  <si>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</si>
  <si>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</si>
  <si>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</si>
  <si>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</si>
  <si>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</si>
  <si>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</si>
  <si>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</si>
  <si>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</si>
  <si>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</si>
  <si>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</si>
  <si>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</si>
  <si>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</si>
  <si>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</si>
  <si>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</si>
  <si>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</si>
  <si>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</si>
  <si>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</si>
  <si>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</si>
  <si>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</si>
  <si>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</si>
  <si>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</si>
  <si>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</si>
  <si>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</si>
  <si>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</si>
  <si>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</si>
  <si>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</si>
  <si>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</si>
  <si>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3360.HK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</si>
  <si>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</si>
  <si>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</si>
  <si>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</si>
  <si>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</si>
  <si>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</si>
  <si>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</si>
  <si>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</si>
  <si>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</si>
  <si>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</si>
  <si>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</si>
  <si>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</si>
  <si>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</si>
  <si>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</si>
  <si>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</si>
  <si>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</si>
  <si>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</si>
  <si>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</si>
  <si>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</si>
  <si>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</si>
  <si>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</si>
  <si>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</si>
  <si>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</si>
  <si>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</si>
  <si>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</si>
  <si>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</si>
  <si>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</si>
  <si>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</si>
  <si>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</si>
  <si>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</si>
  <si>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</si>
  <si>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3360.HK owner-FCF component DCF: base case (millions, CNY)</t>
  </si>
  <si>
    <t xml:space="preserve">3360.HK owner-FCF component DCF: bull case (millions, CNY)</t>
  </si>
  <si>
    <t xml:space="preserve">3360.HK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</si>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</sst>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5.715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row>
    <row r="2" customFormat="false" ht="15" hidden="false" customHeight="false" outlineLevel="0" collapsed="false">
      <c r="A2" s="0" t="s">
        <v>71</v>
      </c>
      <c r="B2" s="0" t="n">
        <v>18782.314</v>
      </c>
      <c r="C2" s="0" t="n">
        <v>8106.962</v>
      </c>
      <c r="D2" s="0" t="n">
        <v>10675.352</v>
      </c>
      <c r="E2" s="0" t="n">
        <v>56.8</v>
      </c>
      <c r="I2" s="0" t="n">
        <v>3229.057</v>
      </c>
      <c r="J2" s="0" t="n">
        <v>17.2</v>
      </c>
      <c r="K2" s="0" t="n">
        <v>0.84</v>
      </c>
      <c r="L2" s="0" t="n">
        <v>-40786.63</v>
      </c>
      <c r="M2" s="0" t="n">
        <v>2524.39</v>
      </c>
      <c r="N2" s="0" t="n">
        <v>-43311.02</v>
      </c>
      <c r="O2" s="0" t="n">
        <v>25340.869</v>
      </c>
      <c r="P2" s="0" t="n">
        <v>227454.273</v>
      </c>
      <c r="Q2" s="0" t="n">
        <v>191046.481</v>
      </c>
      <c r="R2" s="0" t="n">
        <v>144899.68</v>
      </c>
      <c r="S2" s="0" t="n">
        <v>2815.544</v>
      </c>
      <c r="T2" s="0" t="n">
        <v>3953.3</v>
      </c>
      <c r="AA2" s="0" t="s">
        <v>18</v>
      </c>
      <c r="AB2" s="0" t="s">
        <v>14</v>
      </c>
      <c r="AC2" s="0" t="n">
        <v>36.64</v>
      </c>
      <c r="AD2" s="0" t="n">
        <v>0.84</v>
      </c>
      <c r="AE2" s="0" t="n">
        <v>10972.384</v>
      </c>
      <c r="AG2" s="0" t="n">
        <v>193977.583</v>
      </c>
      <c r="AH2" s="0" t="n">
        <v>3.09</v>
      </c>
      <c r="AI2" s="0" t="n">
        <v>1.96</v>
      </c>
    </row>
    <row r="3" customFormat="false" ht="15" hidden="false" customHeight="false" outlineLevel="0" collapsed="false">
      <c r="A3" s="0" t="s">
        <v>72</v>
      </c>
      <c r="B3" s="0" t="n">
        <v>25378.612</v>
      </c>
      <c r="C3" s="0" t="n">
        <v>11484.055</v>
      </c>
      <c r="D3" s="0" t="n">
        <v>13894.557</v>
      </c>
      <c r="E3" s="0" t="n">
        <v>54.7</v>
      </c>
      <c r="I3" s="0" t="n">
        <v>3927.472</v>
      </c>
      <c r="J3" s="0" t="n">
        <v>15.5</v>
      </c>
      <c r="K3" s="0" t="n">
        <v>1.02</v>
      </c>
      <c r="L3" s="0" t="n">
        <v>-14843.234</v>
      </c>
      <c r="M3" s="0" t="n">
        <v>3684.665</v>
      </c>
      <c r="N3" s="0" t="n">
        <v>-18527.899</v>
      </c>
      <c r="O3" s="0" t="n">
        <v>27729.743</v>
      </c>
      <c r="P3" s="0" t="n">
        <v>265969.794</v>
      </c>
      <c r="Q3" s="0" t="n">
        <v>226877.29</v>
      </c>
      <c r="R3" s="0" t="n">
        <v>172514.982</v>
      </c>
      <c r="S3" s="0" t="n">
        <v>5269.392</v>
      </c>
      <c r="T3" s="0" t="n">
        <v>3955.7</v>
      </c>
      <c r="U3" s="0" t="n">
        <v>305.904</v>
      </c>
      <c r="AA3" s="0" t="s">
        <v>18</v>
      </c>
      <c r="AB3" s="0" t="s">
        <v>14</v>
      </c>
      <c r="AC3" s="0" t="n">
        <v>35.36</v>
      </c>
      <c r="AD3" s="0" t="n">
        <v>1.02</v>
      </c>
      <c r="AE3" s="0" t="n">
        <v>16137.698</v>
      </c>
      <c r="AG3" s="0" t="n">
        <v>223989.078</v>
      </c>
      <c r="AH3" s="0" t="n">
        <v>3.51</v>
      </c>
      <c r="AI3" s="0" t="n">
        <v>2.28</v>
      </c>
    </row>
    <row r="4" customFormat="false" ht="15" hidden="false" customHeight="false" outlineLevel="0" collapsed="false">
      <c r="A4" s="0" t="s">
        <v>73</v>
      </c>
      <c r="B4" s="0" t="n">
        <v>26856.461</v>
      </c>
      <c r="C4" s="0" t="n">
        <v>12525.041</v>
      </c>
      <c r="D4" s="0" t="n">
        <v>14331.42</v>
      </c>
      <c r="E4" s="0" t="n">
        <v>53.4</v>
      </c>
      <c r="I4" s="0" t="n">
        <v>4337.602</v>
      </c>
      <c r="J4" s="0" t="n">
        <v>16.2</v>
      </c>
      <c r="K4" s="0" t="n">
        <v>1.14</v>
      </c>
      <c r="L4" s="0" t="n">
        <v>18389.068</v>
      </c>
      <c r="M4" s="0" t="n">
        <v>3295.594</v>
      </c>
      <c r="N4" s="0" t="n">
        <v>15093.474</v>
      </c>
      <c r="O4" s="0" t="n">
        <v>30128.436</v>
      </c>
      <c r="P4" s="0" t="n">
        <v>260570.588</v>
      </c>
      <c r="Q4" s="0" t="n">
        <v>219035.813</v>
      </c>
      <c r="R4" s="0" t="n">
        <v>162396.266</v>
      </c>
      <c r="S4" s="0" t="n">
        <v>3989.571</v>
      </c>
      <c r="T4" s="0" t="n">
        <v>3959.1</v>
      </c>
      <c r="U4" s="0" t="n">
        <v>299.666</v>
      </c>
      <c r="AA4" s="0" t="s">
        <v>18</v>
      </c>
      <c r="AB4" s="0" t="s">
        <v>14</v>
      </c>
      <c r="AC4" s="0" t="n">
        <v>33.53</v>
      </c>
      <c r="AD4" s="0" t="n">
        <v>1.14</v>
      </c>
      <c r="AE4" s="0" t="n">
        <v>15841.562</v>
      </c>
      <c r="AG4" s="0" t="n">
        <v>203149.075</v>
      </c>
      <c r="AH4" s="0" t="n">
        <v>3.66</v>
      </c>
      <c r="AI4" s="0" t="n">
        <v>2.48</v>
      </c>
    </row>
    <row r="5" customFormat="false" ht="15" hidden="false" customHeight="false" outlineLevel="0" collapsed="false">
      <c r="A5" s="0" t="s">
        <v>74</v>
      </c>
      <c r="B5" s="0" t="n">
        <v>29041.801</v>
      </c>
      <c r="C5" s="0" t="n">
        <v>14076.166</v>
      </c>
      <c r="D5" s="0" t="n">
        <v>14965.635</v>
      </c>
      <c r="E5" s="0" t="n">
        <v>51.5</v>
      </c>
      <c r="I5" s="0" t="n">
        <v>4575.751</v>
      </c>
      <c r="J5" s="0" t="n">
        <v>15.8</v>
      </c>
      <c r="K5" s="0" t="n">
        <v>1.2</v>
      </c>
      <c r="L5" s="0" t="n">
        <v>-24462.352</v>
      </c>
      <c r="M5" s="0" t="n">
        <v>7173.044</v>
      </c>
      <c r="N5" s="0" t="n">
        <v>-31635.396</v>
      </c>
      <c r="O5" s="0" t="n">
        <v>34119.452</v>
      </c>
      <c r="P5" s="0" t="n">
        <v>299926.788</v>
      </c>
      <c r="Q5" s="0" t="n">
        <v>254659.655</v>
      </c>
      <c r="R5" s="0" t="n">
        <v>205216.155</v>
      </c>
      <c r="S5" s="0" t="n">
        <v>11877.235</v>
      </c>
      <c r="T5" s="0" t="n">
        <v>3976.6</v>
      </c>
      <c r="U5" s="0" t="n">
        <v>162.846</v>
      </c>
      <c r="AA5" s="0" t="s">
        <v>18</v>
      </c>
      <c r="AB5" s="0" t="s">
        <v>14</v>
      </c>
      <c r="AC5" s="0" t="n">
        <v>33.88</v>
      </c>
      <c r="AD5" s="0" t="n">
        <v>1.16</v>
      </c>
      <c r="AE5" s="0" t="n">
        <v>16521.643</v>
      </c>
      <c r="AG5" s="0" t="n">
        <v>235414.093</v>
      </c>
      <c r="AH5" s="0" t="n">
        <v>3.83</v>
      </c>
      <c r="AI5" s="0" t="n">
        <v>2.85</v>
      </c>
    </row>
    <row r="6" customFormat="false" ht="15" hidden="false" customHeight="false" outlineLevel="0" collapsed="false">
      <c r="A6" s="0" t="s">
        <v>75</v>
      </c>
      <c r="B6" s="0" t="n">
        <v>33643.923</v>
      </c>
      <c r="C6" s="0" t="n">
        <v>16431.419</v>
      </c>
      <c r="D6" s="0" t="n">
        <v>17212.504</v>
      </c>
      <c r="E6" s="0" t="n">
        <v>51.2</v>
      </c>
      <c r="I6" s="0" t="n">
        <v>5512.245</v>
      </c>
      <c r="J6" s="0" t="n">
        <v>16.4</v>
      </c>
      <c r="K6" s="0" t="n">
        <v>1.36</v>
      </c>
      <c r="L6" s="0" t="n">
        <v>-14867.54</v>
      </c>
      <c r="M6" s="0" t="n">
        <v>10458.527</v>
      </c>
      <c r="N6" s="0" t="n">
        <v>-25326.067</v>
      </c>
      <c r="O6" s="0" t="n">
        <v>41522.55</v>
      </c>
      <c r="P6" s="0" t="n">
        <v>335880.288</v>
      </c>
      <c r="Q6" s="0" t="n">
        <v>282826.178</v>
      </c>
      <c r="R6" s="0" t="n">
        <v>230200.742</v>
      </c>
      <c r="S6" s="0" t="n">
        <v>15659.036</v>
      </c>
      <c r="T6" s="0" t="n">
        <v>4311.8</v>
      </c>
      <c r="U6" s="0" t="n">
        <v>99.761</v>
      </c>
      <c r="AA6" s="0" t="s">
        <v>18</v>
      </c>
      <c r="AB6" s="0" t="s">
        <v>14</v>
      </c>
      <c r="AC6" s="0" t="n">
        <v>35.29</v>
      </c>
      <c r="AD6" s="0" t="n">
        <v>1.25</v>
      </c>
      <c r="AE6" s="0" t="n">
        <v>19168.37</v>
      </c>
      <c r="AF6" s="0" t="n">
        <v>1.06</v>
      </c>
      <c r="AG6" s="0" t="n">
        <v>258378.834</v>
      </c>
      <c r="AH6" s="0" t="n">
        <v>4.06</v>
      </c>
      <c r="AI6" s="0" t="n">
        <v>3.21</v>
      </c>
    </row>
    <row r="7" customFormat="false" ht="15" hidden="false" customHeight="false" outlineLevel="0" collapsed="false">
      <c r="A7" s="0" t="s">
        <v>76</v>
      </c>
      <c r="B7" s="0" t="n">
        <v>36585.722</v>
      </c>
      <c r="C7" s="0" t="n">
        <v>18127.725</v>
      </c>
      <c r="D7" s="0" t="n">
        <v>18457.997</v>
      </c>
      <c r="E7" s="0" t="n">
        <v>50.5</v>
      </c>
      <c r="I7" s="0" t="n">
        <v>6128.954</v>
      </c>
      <c r="J7" s="0" t="n">
        <v>16.8</v>
      </c>
      <c r="K7" s="0" t="n">
        <v>1.46</v>
      </c>
      <c r="L7" s="0" t="n">
        <v>-7685.635</v>
      </c>
      <c r="M7" s="0" t="n">
        <v>3958.002</v>
      </c>
      <c r="N7" s="0" t="n">
        <v>-11643.637</v>
      </c>
      <c r="O7" s="0" t="n">
        <v>45248.875</v>
      </c>
      <c r="P7" s="0" t="n">
        <v>346995.497</v>
      </c>
      <c r="Q7" s="0" t="n">
        <v>294554.075</v>
      </c>
      <c r="R7" s="0" t="n">
        <v>251327.48</v>
      </c>
      <c r="S7" s="0" t="n">
        <v>15903.843</v>
      </c>
      <c r="T7" s="0" t="n">
        <v>4313.5</v>
      </c>
      <c r="U7" s="0" t="n">
        <v>246.367</v>
      </c>
      <c r="AA7" s="0" t="s">
        <v>18</v>
      </c>
      <c r="AB7" s="0" t="s">
        <v>14</v>
      </c>
      <c r="AC7" s="0" t="n">
        <v>36.79</v>
      </c>
      <c r="AD7" s="0" t="n">
        <v>1.33</v>
      </c>
      <c r="AE7" s="0" t="n">
        <v>21677.501</v>
      </c>
      <c r="AF7" s="0" t="n">
        <v>1.05</v>
      </c>
      <c r="AG7" s="0" t="n">
        <v>270600.89</v>
      </c>
      <c r="AH7" s="0" t="n">
        <v>4.67</v>
      </c>
      <c r="AI7" s="0" t="n">
        <v>3.94</v>
      </c>
    </row>
    <row r="8" customFormat="false" ht="15" hidden="false" customHeight="false" outlineLevel="0" collapsed="false">
      <c r="A8" s="0" t="s">
        <v>77</v>
      </c>
      <c r="B8" s="0" t="n">
        <v>37959.798</v>
      </c>
      <c r="C8" s="0" t="n">
        <v>19958.815</v>
      </c>
      <c r="D8" s="0" t="n">
        <v>18000.983</v>
      </c>
      <c r="E8" s="0" t="n">
        <v>47.4</v>
      </c>
      <c r="I8" s="0" t="n">
        <v>6192.972</v>
      </c>
      <c r="J8" s="0" t="n">
        <v>16.3</v>
      </c>
      <c r="K8" s="0" t="n">
        <v>1.47</v>
      </c>
      <c r="L8" s="0" t="n">
        <v>3726.527</v>
      </c>
      <c r="M8" s="0" t="n">
        <v>2558.961</v>
      </c>
      <c r="N8" s="0" t="n">
        <v>1167.566</v>
      </c>
      <c r="O8" s="0" t="n">
        <v>50099.369</v>
      </c>
      <c r="P8" s="0" t="n">
        <v>351483.236</v>
      </c>
      <c r="Q8" s="0" t="n">
        <v>293913.636</v>
      </c>
      <c r="R8" s="0" t="n">
        <v>255636.145</v>
      </c>
      <c r="S8" s="0" t="n">
        <v>18852.54</v>
      </c>
      <c r="T8" s="0" t="n">
        <v>4315.2</v>
      </c>
      <c r="U8" s="0" t="n">
        <v>233.148</v>
      </c>
      <c r="AA8" s="0" t="s">
        <v>18</v>
      </c>
      <c r="AB8" s="0" t="s">
        <v>14</v>
      </c>
      <c r="AC8" s="0" t="n">
        <v>45.12</v>
      </c>
      <c r="AD8" s="0" t="n">
        <v>1.33</v>
      </c>
      <c r="AE8" s="0" t="n">
        <v>22467.103</v>
      </c>
      <c r="AF8" s="0" t="n">
        <v>1.04</v>
      </c>
      <c r="AG8" s="0" t="n">
        <v>269084.739</v>
      </c>
      <c r="AH8" s="0" t="n">
        <v>4.58</v>
      </c>
      <c r="AI8" s="0" t="n">
        <v>3.98</v>
      </c>
    </row>
    <row r="9" customFormat="false" ht="15" hidden="false" customHeight="false" outlineLevel="0" collapsed="false">
      <c r="A9" s="0" t="s">
        <v>78</v>
      </c>
      <c r="B9" s="0" t="n">
        <v>37749.156</v>
      </c>
      <c r="C9" s="0" t="n">
        <v>20734.304</v>
      </c>
      <c r="D9" s="0" t="n">
        <v>17014.852</v>
      </c>
      <c r="E9" s="0" t="n">
        <v>45.1</v>
      </c>
      <c r="I9" s="0" t="n">
        <v>3862.461</v>
      </c>
      <c r="J9" s="0" t="n">
        <v>10.2</v>
      </c>
      <c r="K9" s="0" t="n">
        <v>0.92</v>
      </c>
      <c r="L9" s="0" t="n">
        <v>9965.983</v>
      </c>
      <c r="M9" s="0" t="n">
        <v>8411.868</v>
      </c>
      <c r="N9" s="0" t="n">
        <v>1554.115</v>
      </c>
      <c r="O9" s="0" t="n">
        <v>48990.316</v>
      </c>
      <c r="P9" s="0" t="n">
        <v>360390</v>
      </c>
      <c r="Q9" s="0" t="n">
        <v>302912.859</v>
      </c>
      <c r="R9" s="0" t="n">
        <v>264918.183</v>
      </c>
      <c r="S9" s="0" t="n">
        <v>19786.521</v>
      </c>
      <c r="T9" s="0" t="n">
        <v>4320.1</v>
      </c>
      <c r="U9" s="0" t="n">
        <v>204.564</v>
      </c>
      <c r="AA9" s="0" t="s">
        <v>18</v>
      </c>
      <c r="AB9" s="0" t="s">
        <v>14</v>
      </c>
      <c r="AC9" s="0" t="n">
        <v>48.98</v>
      </c>
      <c r="AD9" s="0" t="n">
        <v>0.84</v>
      </c>
      <c r="AE9" s="0" t="n">
        <v>21182.108</v>
      </c>
      <c r="AF9" s="0" t="n">
        <v>1.07</v>
      </c>
      <c r="AG9" s="0" t="n">
        <v>260641.331</v>
      </c>
      <c r="AH9" s="0" t="n">
        <v>4.48</v>
      </c>
      <c r="AI9" s="0" t="n">
        <v>4</v>
      </c>
    </row>
    <row r="10" customFormat="false" ht="15" hidden="false" customHeight="false" outlineLevel="0" collapsed="false">
      <c r="A10" s="0" t="s">
        <v>79</v>
      </c>
      <c r="B10" s="0" t="n">
        <v>35785.015</v>
      </c>
      <c r="C10" s="0" t="n">
        <v>18925.11</v>
      </c>
      <c r="D10" s="0" t="n">
        <v>16859.905</v>
      </c>
      <c r="E10" s="0" t="n">
        <v>47.1</v>
      </c>
      <c r="I10" s="0" t="n">
        <v>3888.519</v>
      </c>
      <c r="J10" s="0" t="n">
        <v>10.9</v>
      </c>
      <c r="K10" s="0" t="n">
        <v>0.87</v>
      </c>
      <c r="L10" s="0" t="n">
        <v>1255.386</v>
      </c>
      <c r="M10" s="0" t="n">
        <v>3023.533</v>
      </c>
      <c r="N10" s="0" t="n">
        <v>-1768.147</v>
      </c>
      <c r="O10" s="0" t="n">
        <v>51942.124</v>
      </c>
      <c r="P10" s="0" t="n">
        <v>370961.369</v>
      </c>
      <c r="Q10" s="0" t="n">
        <v>310667.725</v>
      </c>
      <c r="R10" s="0" t="n">
        <v>266919.667</v>
      </c>
      <c r="S10" s="0" t="n">
        <v>21375.169</v>
      </c>
      <c r="T10" s="0" t="n">
        <v>4800.6</v>
      </c>
      <c r="U10" s="0" t="n">
        <v>219.006</v>
      </c>
      <c r="AA10" s="0" t="s">
        <v>18</v>
      </c>
      <c r="AB10" s="0" t="s">
        <v>14</v>
      </c>
      <c r="AC10" s="0" t="n">
        <v>48.89</v>
      </c>
      <c r="AD10" s="0" t="n">
        <v>0.83</v>
      </c>
      <c r="AE10" s="0" t="n">
        <v>21807.366</v>
      </c>
      <c r="AF10" s="0" t="n">
        <v>1.03</v>
      </c>
      <c r="AG10" s="0" t="n">
        <v>272046.827</v>
      </c>
      <c r="AH10" s="0" t="n">
        <v>4.83</v>
      </c>
      <c r="AI10" s="0" t="n">
        <v>4.39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80</v>
      </c>
      <c r="B1" s="2" t="s">
        <v>81</v>
      </c>
    </row>
    <row r="2" customFormat="false" ht="15" hidden="false" customHeight="false" outlineLevel="0" collapsed="false">
      <c r="A2" s="0" t="s">
        <v>82</v>
      </c>
      <c r="B2" s="3" t="n">
        <v>5.715</v>
      </c>
    </row>
    <row r="3" customFormat="false" ht="15" hidden="false" customHeight="false" outlineLevel="0" collapsed="false">
      <c r="A3" s="0" t="s">
        <v>83</v>
      </c>
      <c r="B3" s="3" t="n">
        <v>4818.1</v>
      </c>
    </row>
    <row r="4" customFormat="false" ht="15" hidden="false" customHeight="false" outlineLevel="0" collapsed="false">
      <c r="A4" s="0" t="s">
        <v>84</v>
      </c>
      <c r="B4" s="3" t="n">
        <v>0</v>
      </c>
    </row>
    <row r="5" customFormat="false" ht="15" hidden="false" customHeight="false" outlineLevel="0" collapsed="false">
      <c r="A5" s="0" t="s">
        <v>85</v>
      </c>
      <c r="B5" s="3" t="n">
        <v>0</v>
      </c>
    </row>
    <row r="6" customFormat="false" ht="15" hidden="false" customHeight="false" outlineLevel="0" collapsed="false">
      <c r="A6" s="0" t="s">
        <v>86</v>
      </c>
      <c r="B6" s="3" t="n">
        <v>15</v>
      </c>
    </row>
    <row r="7" customFormat="false" ht="15" hidden="false" customHeight="false" outlineLevel="0" collapsed="false">
      <c r="A7" s="0" t="s">
        <v>87</v>
      </c>
      <c r="B7" s="3" t="n">
        <v>3888.519</v>
      </c>
    </row>
    <row r="8" customFormat="false" ht="15" hidden="false" customHeight="false" outlineLevel="0" collapsed="false">
      <c r="A8" s="0" t="s">
        <v>88</v>
      </c>
      <c r="B8" s="3" t="s">
        <v>79</v>
      </c>
    </row>
    <row r="9" customFormat="false" ht="15" hidden="false" customHeight="false" outlineLevel="0" collapsed="false">
      <c r="A9" s="0" t="s">
        <v>89</v>
      </c>
      <c r="B9" s="3" t="s">
        <v>90</v>
      </c>
    </row>
    <row r="10" customFormat="false" ht="15" hidden="false" customHeight="false" outlineLevel="0" collapsed="false">
      <c r="A10" s="0" t="s">
        <v>91</v>
      </c>
      <c r="B10" s="3" t="n">
        <v>1.1745</v>
      </c>
    </row>
    <row r="12" customFormat="false" ht="15" hidden="false" customHeight="false" outlineLevel="0" collapsed="false">
      <c r="A12" s="2" t="s">
        <v>92</v>
      </c>
      <c r="C12" s="2" t="s">
        <v>93</v>
      </c>
      <c r="D12" s="2" t="s">
        <v>94</v>
      </c>
      <c r="E12" s="2" t="s">
        <v>95</v>
      </c>
      <c r="F12" s="2" t="s">
        <v>96</v>
      </c>
      <c r="G12" s="2" t="s">
        <v>97</v>
      </c>
      <c r="H12" s="2" t="s">
        <v>98</v>
      </c>
      <c r="I12" s="2" t="s">
        <v>99</v>
      </c>
      <c r="J12" s="2" t="s">
        <v>100</v>
      </c>
      <c r="K12" s="2" t="s">
        <v>101</v>
      </c>
      <c r="L12" s="2" t="s">
        <v>102</v>
      </c>
    </row>
    <row r="13" customFormat="false" ht="15" hidden="false" customHeight="false" outlineLevel="0" collapsed="false">
      <c r="A13" s="0" t="s">
        <v>103</v>
      </c>
      <c r="C13" s="3" t="n">
        <v>-6</v>
      </c>
      <c r="D13" s="3" t="n">
        <v>-5</v>
      </c>
      <c r="E13" s="3" t="n">
        <v>-2</v>
      </c>
      <c r="F13" s="3" t="n">
        <v>0</v>
      </c>
      <c r="G13" s="3" t="n">
        <v>1</v>
      </c>
      <c r="H13" s="3" t="n">
        <v>1.5</v>
      </c>
      <c r="I13" s="3" t="n">
        <v>2</v>
      </c>
      <c r="J13" s="3" t="n">
        <v>2</v>
      </c>
      <c r="K13" s="3" t="n">
        <v>2</v>
      </c>
      <c r="L13" s="3" t="n">
        <v>2</v>
      </c>
    </row>
    <row r="14" customFormat="false" ht="15" hidden="false" customHeight="false" outlineLevel="0" collapsed="false">
      <c r="A14" s="0" t="s">
        <v>104</v>
      </c>
      <c r="C14" s="3" t="n">
        <v>100</v>
      </c>
      <c r="D14" s="3" t="n">
        <v>100</v>
      </c>
      <c r="E14" s="3" t="n">
        <v>100</v>
      </c>
      <c r="F14" s="3" t="n">
        <v>100</v>
      </c>
      <c r="G14" s="3" t="n">
        <v>100</v>
      </c>
      <c r="H14" s="3" t="n">
        <v>100</v>
      </c>
      <c r="I14" s="3" t="n">
        <v>100</v>
      </c>
      <c r="J14" s="3" t="n">
        <v>100</v>
      </c>
      <c r="K14" s="3" t="n">
        <v>100</v>
      </c>
      <c r="L14" s="3" t="n">
        <v>100</v>
      </c>
    </row>
    <row r="15" customFormat="false" ht="15" hidden="false" customHeight="false" outlineLevel="0" collapsed="false">
      <c r="A15" s="0" t="s">
        <v>105</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106</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107</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108</v>
      </c>
      <c r="C18" s="3" t="n">
        <v>45</v>
      </c>
      <c r="D18" s="3" t="n">
        <v>45</v>
      </c>
      <c r="E18" s="3" t="n">
        <v>45</v>
      </c>
      <c r="F18" s="3" t="n">
        <v>45</v>
      </c>
      <c r="G18" s="3" t="n">
        <v>45</v>
      </c>
      <c r="H18" s="3" t="n">
        <v>45</v>
      </c>
      <c r="I18" s="3" t="n">
        <v>45</v>
      </c>
      <c r="J18" s="3" t="n">
        <v>45</v>
      </c>
      <c r="K18" s="3" t="n">
        <v>45</v>
      </c>
      <c r="L18" s="3" t="n">
        <v>45</v>
      </c>
    </row>
    <row r="19" customFormat="false" ht="15" hidden="false" customHeight="false" outlineLevel="0" collapsed="false">
      <c r="A19" s="0" t="s">
        <v>109</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110</v>
      </c>
      <c r="B20" s="3" t="n">
        <v>12.5</v>
      </c>
    </row>
    <row r="21" customFormat="false" ht="15" hidden="false" customHeight="false" outlineLevel="0" collapsed="false">
      <c r="A21" s="0" t="s">
        <v>111</v>
      </c>
      <c r="B21" s="3" t="n">
        <v>1.5</v>
      </c>
    </row>
    <row r="22" customFormat="false" ht="15" hidden="false" customHeight="false" outlineLevel="0" collapsed="false">
      <c r="A22" s="0" t="s">
        <v>112</v>
      </c>
      <c r="B22" s="3" t="n">
        <v>15</v>
      </c>
    </row>
    <row r="23" customFormat="false" ht="15" hidden="false" customHeight="false" outlineLevel="0" collapsed="false">
      <c r="A23" s="0" t="s">
        <v>113</v>
      </c>
      <c r="B23" s="3" t="n">
        <v>0</v>
      </c>
    </row>
    <row r="24" customFormat="false" ht="15" hidden="false" customHeight="false" outlineLevel="0" collapsed="false">
      <c r="A24" s="0" t="s">
        <v>114</v>
      </c>
      <c r="B24" s="3" t="n">
        <v>0.25</v>
      </c>
    </row>
    <row r="26" customFormat="false" ht="15" hidden="false" customHeight="false" outlineLevel="0" collapsed="false">
      <c r="A26" s="2" t="s">
        <v>115</v>
      </c>
      <c r="C26" s="2" t="s">
        <v>93</v>
      </c>
      <c r="D26" s="2" t="s">
        <v>94</v>
      </c>
      <c r="E26" s="2" t="s">
        <v>95</v>
      </c>
      <c r="F26" s="2" t="s">
        <v>96</v>
      </c>
      <c r="G26" s="2" t="s">
        <v>97</v>
      </c>
      <c r="H26" s="2" t="s">
        <v>98</v>
      </c>
      <c r="I26" s="2" t="s">
        <v>99</v>
      </c>
      <c r="J26" s="2" t="s">
        <v>100</v>
      </c>
      <c r="K26" s="2" t="s">
        <v>101</v>
      </c>
      <c r="L26" s="2" t="s">
        <v>102</v>
      </c>
    </row>
    <row r="27" customFormat="false" ht="15" hidden="false" customHeight="false" outlineLevel="0" collapsed="false">
      <c r="A27" s="0" t="s">
        <v>103</v>
      </c>
      <c r="C27" s="3" t="n">
        <v>3</v>
      </c>
      <c r="D27" s="3" t="n">
        <v>3.5</v>
      </c>
      <c r="E27" s="3" t="n">
        <v>4</v>
      </c>
      <c r="F27" s="3" t="n">
        <v>4</v>
      </c>
      <c r="G27" s="3" t="n">
        <v>3.5</v>
      </c>
      <c r="H27" s="3" t="n">
        <v>3</v>
      </c>
      <c r="I27" s="3" t="n">
        <v>3</v>
      </c>
      <c r="J27" s="3" t="n">
        <v>2.5</v>
      </c>
      <c r="K27" s="3" t="n">
        <v>2.5</v>
      </c>
      <c r="L27" s="3" t="n">
        <v>2.5</v>
      </c>
    </row>
    <row r="28" customFormat="false" ht="15" hidden="false" customHeight="false" outlineLevel="0" collapsed="false">
      <c r="A28" s="0" t="s">
        <v>104</v>
      </c>
      <c r="C28" s="3" t="n">
        <v>100</v>
      </c>
      <c r="D28" s="3" t="n">
        <v>100</v>
      </c>
      <c r="E28" s="3" t="n">
        <v>100</v>
      </c>
      <c r="F28" s="3" t="n">
        <v>100</v>
      </c>
      <c r="G28" s="3" t="n">
        <v>100</v>
      </c>
      <c r="H28" s="3" t="n">
        <v>100</v>
      </c>
      <c r="I28" s="3" t="n">
        <v>100</v>
      </c>
      <c r="J28" s="3" t="n">
        <v>100</v>
      </c>
      <c r="K28" s="3" t="n">
        <v>100</v>
      </c>
      <c r="L28" s="3" t="n">
        <v>100</v>
      </c>
    </row>
    <row r="29" customFormat="false" ht="15" hidden="false" customHeight="false" outlineLevel="0" collapsed="false">
      <c r="A29" s="0" t="s">
        <v>105</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106</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107</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108</v>
      </c>
      <c r="C32" s="3" t="n">
        <v>40</v>
      </c>
      <c r="D32" s="3" t="n">
        <v>40</v>
      </c>
      <c r="E32" s="3" t="n">
        <v>40</v>
      </c>
      <c r="F32" s="3" t="n">
        <v>40</v>
      </c>
      <c r="G32" s="3" t="n">
        <v>40</v>
      </c>
      <c r="H32" s="3" t="n">
        <v>40</v>
      </c>
      <c r="I32" s="3" t="n">
        <v>40</v>
      </c>
      <c r="J32" s="3" t="n">
        <v>40</v>
      </c>
      <c r="K32" s="3" t="n">
        <v>40</v>
      </c>
      <c r="L32" s="3" t="n">
        <v>40</v>
      </c>
    </row>
    <row r="33" customFormat="false" ht="15" hidden="false" customHeight="false" outlineLevel="0" collapsed="false">
      <c r="A33" s="0" t="s">
        <v>109</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110</v>
      </c>
      <c r="B34" s="3" t="n">
        <v>11</v>
      </c>
    </row>
    <row r="35" customFormat="false" ht="15" hidden="false" customHeight="false" outlineLevel="0" collapsed="false">
      <c r="A35" s="0" t="s">
        <v>111</v>
      </c>
      <c r="B35" s="3" t="n">
        <v>2.5</v>
      </c>
    </row>
    <row r="36" customFormat="false" ht="15" hidden="false" customHeight="false" outlineLevel="0" collapsed="false">
      <c r="A36" s="0" t="s">
        <v>112</v>
      </c>
      <c r="B36" s="3" t="n">
        <v>15</v>
      </c>
    </row>
    <row r="37" customFormat="false" ht="15" hidden="false" customHeight="false" outlineLevel="0" collapsed="false">
      <c r="A37" s="0" t="s">
        <v>113</v>
      </c>
      <c r="B37" s="3" t="n">
        <v>0</v>
      </c>
    </row>
    <row r="38" customFormat="false" ht="15" hidden="false" customHeight="false" outlineLevel="0" collapsed="false">
      <c r="A38" s="0" t="s">
        <v>114</v>
      </c>
      <c r="B38" s="3" t="n">
        <v>0.5</v>
      </c>
    </row>
    <row r="40" customFormat="false" ht="15" hidden="false" customHeight="false" outlineLevel="0" collapsed="false">
      <c r="A40" s="2" t="s">
        <v>116</v>
      </c>
      <c r="C40" s="2" t="s">
        <v>93</v>
      </c>
      <c r="D40" s="2" t="s">
        <v>94</v>
      </c>
      <c r="E40" s="2" t="s">
        <v>95</v>
      </c>
      <c r="F40" s="2" t="s">
        <v>96</v>
      </c>
      <c r="G40" s="2" t="s">
        <v>97</v>
      </c>
      <c r="H40" s="2" t="s">
        <v>98</v>
      </c>
      <c r="I40" s="2" t="s">
        <v>99</v>
      </c>
      <c r="J40" s="2" t="s">
        <v>100</v>
      </c>
      <c r="K40" s="2" t="s">
        <v>101</v>
      </c>
      <c r="L40" s="2" t="s">
        <v>102</v>
      </c>
    </row>
    <row r="41" customFormat="false" ht="15" hidden="false" customHeight="false" outlineLevel="0" collapsed="false">
      <c r="A41" s="0" t="s">
        <v>103</v>
      </c>
      <c r="C41" s="3" t="n">
        <v>6</v>
      </c>
      <c r="D41" s="3" t="n">
        <v>7</v>
      </c>
      <c r="E41" s="3" t="n">
        <v>7</v>
      </c>
      <c r="F41" s="3" t="n">
        <v>6</v>
      </c>
      <c r="G41" s="3" t="n">
        <v>5</v>
      </c>
      <c r="H41" s="3" t="n">
        <v>4.5</v>
      </c>
      <c r="I41" s="3" t="n">
        <v>4</v>
      </c>
      <c r="J41" s="3" t="n">
        <v>3.5</v>
      </c>
      <c r="K41" s="3" t="n">
        <v>3</v>
      </c>
      <c r="L41" s="3" t="n">
        <v>3</v>
      </c>
    </row>
    <row r="42" customFormat="false" ht="15" hidden="false" customHeight="false" outlineLevel="0" collapsed="false">
      <c r="A42" s="0" t="s">
        <v>104</v>
      </c>
      <c r="C42" s="3" t="n">
        <v>100</v>
      </c>
      <c r="D42" s="3" t="n">
        <v>100</v>
      </c>
      <c r="E42" s="3" t="n">
        <v>100</v>
      </c>
      <c r="F42" s="3" t="n">
        <v>100</v>
      </c>
      <c r="G42" s="3" t="n">
        <v>100</v>
      </c>
      <c r="H42" s="3" t="n">
        <v>100</v>
      </c>
      <c r="I42" s="3" t="n">
        <v>100</v>
      </c>
      <c r="J42" s="3" t="n">
        <v>100</v>
      </c>
      <c r="K42" s="3" t="n">
        <v>100</v>
      </c>
      <c r="L42" s="3" t="n">
        <v>100</v>
      </c>
    </row>
    <row r="43" customFormat="false" ht="15" hidden="false" customHeight="false" outlineLevel="0" collapsed="false">
      <c r="A43" s="0" t="s">
        <v>105</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106</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107</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108</v>
      </c>
      <c r="C46" s="3" t="n">
        <v>40</v>
      </c>
      <c r="D46" s="3" t="n">
        <v>40</v>
      </c>
      <c r="E46" s="3" t="n">
        <v>40</v>
      </c>
      <c r="F46" s="3" t="n">
        <v>40</v>
      </c>
      <c r="G46" s="3" t="n">
        <v>40</v>
      </c>
      <c r="H46" s="3" t="n">
        <v>40</v>
      </c>
      <c r="I46" s="3" t="n">
        <v>40</v>
      </c>
      <c r="J46" s="3" t="n">
        <v>40</v>
      </c>
      <c r="K46" s="3" t="n">
        <v>40</v>
      </c>
      <c r="L46" s="3" t="n">
        <v>40</v>
      </c>
    </row>
    <row r="47" customFormat="false" ht="15" hidden="false" customHeight="false" outlineLevel="0" collapsed="false">
      <c r="A47" s="0" t="s">
        <v>109</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110</v>
      </c>
      <c r="B48" s="3" t="n">
        <v>10</v>
      </c>
    </row>
    <row r="49" customFormat="false" ht="15" hidden="false" customHeight="false" outlineLevel="0" collapsed="false">
      <c r="A49" s="0" t="s">
        <v>111</v>
      </c>
      <c r="B49" s="3" t="n">
        <v>3</v>
      </c>
    </row>
    <row r="50" customFormat="false" ht="15" hidden="false" customHeight="false" outlineLevel="0" collapsed="false">
      <c r="A50" s="0" t="s">
        <v>112</v>
      </c>
      <c r="B50" s="3" t="n">
        <v>15</v>
      </c>
    </row>
    <row r="51" customFormat="false" ht="15" hidden="false" customHeight="false" outlineLevel="0" collapsed="false">
      <c r="A51" s="0" t="s">
        <v>113</v>
      </c>
      <c r="B51" s="3" t="n">
        <v>0</v>
      </c>
    </row>
    <row r="52" customFormat="false" ht="15" hidden="false" customHeight="false" outlineLevel="0" collapsed="false">
      <c r="A52" s="0" t="s">
        <v>114</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117</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Assumptions!C13</f>
        <v>-6</v>
      </c>
      <c r="D5" s="4" t="n">
        <f aca="false">Assumptions!D13</f>
        <v>-5</v>
      </c>
      <c r="E5" s="4" t="n">
        <f aca="false">Assumptions!E13</f>
        <v>-2</v>
      </c>
      <c r="F5" s="4" t="n">
        <f aca="false">Assumptions!F13</f>
        <v>0</v>
      </c>
      <c r="G5" s="4" t="n">
        <f aca="false">Assumptions!G13</f>
        <v>1</v>
      </c>
      <c r="H5" s="4" t="n">
        <f aca="false">Assumptions!H13</f>
        <v>1.5</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3888.519</v>
      </c>
      <c r="C6" s="0" t="n">
        <f aca="false">B6*(1+C5/100)</f>
        <v>3655.20786</v>
      </c>
      <c r="D6" s="0" t="n">
        <f aca="false">C6*(1+D5/100)</f>
        <v>3472.447467</v>
      </c>
      <c r="E6" s="0" t="n">
        <f aca="false">D6*(1+E5/100)</f>
        <v>3402.99851766</v>
      </c>
      <c r="F6" s="0" t="n">
        <f aca="false">E6*(1+F5/100)</f>
        <v>3402.99851766</v>
      </c>
      <c r="G6" s="0" t="n">
        <f aca="false">F6*(1+G5/100)</f>
        <v>3437.0285028366</v>
      </c>
      <c r="H6" s="0" t="n">
        <f aca="false">G6*(1+H5/100)</f>
        <v>3488.58393037915</v>
      </c>
      <c r="I6" s="0" t="n">
        <f aca="false">H6*(1+I5/100)</f>
        <v>3558.35560898673</v>
      </c>
      <c r="J6" s="0" t="n">
        <f aca="false">I6*(1+J5/100)</f>
        <v>3629.52272116647</v>
      </c>
      <c r="K6" s="0" t="n">
        <f aca="false">J6*(1+K5/100)</f>
        <v>3702.1131755898</v>
      </c>
      <c r="L6" s="0" t="n">
        <f aca="false">K6*(1+L5/100)</f>
        <v>3776.15543910159</v>
      </c>
    </row>
    <row r="7" customFormat="false" ht="15" hidden="false" customHeight="false" outlineLevel="0" collapsed="false">
      <c r="A7" s="0" t="s">
        <v>104</v>
      </c>
      <c r="C7" s="4" t="n">
        <f aca="false">Assumptions!C14</f>
        <v>100</v>
      </c>
      <c r="D7" s="4" t="n">
        <f aca="false">Assumptions!D14</f>
        <v>100</v>
      </c>
      <c r="E7" s="4" t="n">
        <f aca="false">Assumptions!E14</f>
        <v>100</v>
      </c>
      <c r="F7" s="4" t="n">
        <f aca="false">Assumptions!F14</f>
        <v>100</v>
      </c>
      <c r="G7" s="4" t="n">
        <f aca="false">Assumptions!G14</f>
        <v>100</v>
      </c>
      <c r="H7" s="4" t="n">
        <f aca="false">Assumptions!H14</f>
        <v>100</v>
      </c>
      <c r="I7" s="4" t="n">
        <f aca="false">Assumptions!I14</f>
        <v>100</v>
      </c>
      <c r="J7" s="4" t="n">
        <f aca="false">Assumptions!J14</f>
        <v>100</v>
      </c>
      <c r="K7" s="4" t="n">
        <f aca="false">Assumptions!K14</f>
        <v>100</v>
      </c>
      <c r="L7" s="4" t="n">
        <f aca="false">Assumptions!L14</f>
        <v>100</v>
      </c>
    </row>
    <row r="8" customFormat="false" ht="15" hidden="false" customHeight="false" outlineLevel="0" collapsed="false">
      <c r="A8" s="0" t="s">
        <v>44</v>
      </c>
      <c r="C8" s="0" t="n">
        <f aca="false">C6*C7/100</f>
        <v>3655.20786</v>
      </c>
      <c r="D8" s="0" t="n">
        <f aca="false">D6*D7/100</f>
        <v>3472.447467</v>
      </c>
      <c r="E8" s="0" t="n">
        <f aca="false">E6*E7/100</f>
        <v>3402.99851766</v>
      </c>
      <c r="F8" s="0" t="n">
        <f aca="false">F6*F7/100</f>
        <v>3402.99851766</v>
      </c>
      <c r="G8" s="0" t="n">
        <f aca="false">G6*G7/100</f>
        <v>3437.0285028366</v>
      </c>
      <c r="H8" s="0" t="n">
        <f aca="false">H6*H7/100</f>
        <v>3488.58393037915</v>
      </c>
      <c r="I8" s="0" t="n">
        <f aca="false">I6*I7/100</f>
        <v>3558.35560898673</v>
      </c>
      <c r="J8" s="0" t="n">
        <f aca="false">J6*J7/100</f>
        <v>3629.52272116647</v>
      </c>
      <c r="K8" s="0" t="n">
        <f aca="false">K6*K7/100</f>
        <v>3702.1131755898</v>
      </c>
      <c r="L8" s="0" t="n">
        <f aca="false">L6*L7/100</f>
        <v>3776.15543910159</v>
      </c>
    </row>
    <row r="9" customFormat="false" ht="15" hidden="false" customHeight="false" outlineLevel="0" collapsed="false">
      <c r="A9" s="0" t="s">
        <v>105</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121</v>
      </c>
      <c r="C11" s="0" t="n">
        <f aca="false">C8+C10+C24</f>
        <v>3655.20786</v>
      </c>
      <c r="D11" s="0" t="n">
        <f aca="false">D8+D10+D24</f>
        <v>3472.447467</v>
      </c>
      <c r="E11" s="0" t="n">
        <f aca="false">E8+E10+E24</f>
        <v>3402.99851766</v>
      </c>
      <c r="F11" s="0" t="n">
        <f aca="false">F8+F10+F24</f>
        <v>3402.99851766</v>
      </c>
      <c r="G11" s="0" t="n">
        <f aca="false">G8+G10+G24</f>
        <v>3437.0285028366</v>
      </c>
      <c r="H11" s="0" t="n">
        <f aca="false">H8+H10+H24</f>
        <v>3488.58393037915</v>
      </c>
      <c r="I11" s="0" t="n">
        <f aca="false">I8+I10+I24</f>
        <v>3558.35560898673</v>
      </c>
      <c r="J11" s="0" t="n">
        <f aca="false">J8+J10+J24</f>
        <v>3629.52272116647</v>
      </c>
      <c r="K11" s="0" t="n">
        <f aca="false">K8+K10+K24</f>
        <v>3702.1131755898</v>
      </c>
      <c r="L11" s="0" t="n">
        <f aca="false">L8+L10+L24</f>
        <v>3776.15543910159</v>
      </c>
    </row>
    <row r="12" customFormat="false" ht="15" hidden="false" customHeight="false" outlineLevel="0" collapsed="false">
      <c r="A12" s="0" t="s">
        <v>122</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123</v>
      </c>
      <c r="C13" s="0" t="n">
        <f aca="false">C11+C12</f>
        <v>3655.20786</v>
      </c>
      <c r="D13" s="0" t="n">
        <f aca="false">D11+D12</f>
        <v>3472.447467</v>
      </c>
      <c r="E13" s="0" t="n">
        <f aca="false">E11+E12</f>
        <v>3402.99851766</v>
      </c>
      <c r="F13" s="0" t="n">
        <f aca="false">F11+F12</f>
        <v>3402.99851766</v>
      </c>
      <c r="G13" s="0" t="n">
        <f aca="false">G11+G12</f>
        <v>3437.0285028366</v>
      </c>
      <c r="H13" s="0" t="n">
        <f aca="false">H11+H12</f>
        <v>3488.58393037915</v>
      </c>
      <c r="I13" s="0" t="n">
        <f aca="false">I11+I12</f>
        <v>3558.35560898673</v>
      </c>
      <c r="J13" s="0" t="n">
        <f aca="false">J11+J12</f>
        <v>3629.52272116647</v>
      </c>
      <c r="K13" s="0" t="n">
        <f aca="false">K11+K12</f>
        <v>3702.1131755898</v>
      </c>
      <c r="L13" s="0" t="n">
        <f aca="false">L11+L12</f>
        <v>3776.15543910159</v>
      </c>
    </row>
    <row r="14" customFormat="false" ht="15" hidden="false" customHeight="false" outlineLevel="0" collapsed="false">
      <c r="A14" s="0" t="s">
        <v>109</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124</v>
      </c>
      <c r="C15" s="0" t="n">
        <f aca="false">C13-MAX(0,C13)*C14/100</f>
        <v>3655.20786</v>
      </c>
      <c r="D15" s="0" t="n">
        <f aca="false">D13-MAX(0,D13)*D14/100</f>
        <v>3472.447467</v>
      </c>
      <c r="E15" s="0" t="n">
        <f aca="false">E13-MAX(0,E13)*E14/100</f>
        <v>3402.99851766</v>
      </c>
      <c r="F15" s="0" t="n">
        <f aca="false">F13-MAX(0,F13)*F14/100</f>
        <v>3402.99851766</v>
      </c>
      <c r="G15" s="0" t="n">
        <f aca="false">G13-MAX(0,G13)*G14/100</f>
        <v>3437.0285028366</v>
      </c>
      <c r="H15" s="0" t="n">
        <f aca="false">H13-MAX(0,H13)*H14/100</f>
        <v>3488.58393037915</v>
      </c>
      <c r="I15" s="0" t="n">
        <f aca="false">I13-MAX(0,I13)*I14/100</f>
        <v>3558.35560898673</v>
      </c>
      <c r="J15" s="0" t="n">
        <f aca="false">J13-MAX(0,J13)*J14/100</f>
        <v>3629.52272116647</v>
      </c>
      <c r="K15" s="0" t="n">
        <f aca="false">K13-MAX(0,K13)*K14/100</f>
        <v>3702.1131755898</v>
      </c>
      <c r="L15" s="0" t="n">
        <f aca="false">L13-MAX(0,L13)*L14/100</f>
        <v>3776.15543910159</v>
      </c>
    </row>
    <row r="16" customFormat="false" ht="15" hidden="false" customHeight="false" outlineLevel="0" collapsed="false">
      <c r="A16" s="0" t="s">
        <v>125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126</v>
      </c>
      <c r="C17" s="4" t="n">
        <f aca="false">-C6*Assumptions!C18/100</f>
        <v>-1644.843537</v>
      </c>
      <c r="D17" s="4" t="n">
        <f aca="false">-D6*Assumptions!D18/100</f>
        <v>-1562.60136015</v>
      </c>
      <c r="E17" s="4" t="n">
        <f aca="false">-E6*Assumptions!E18/100</f>
        <v>-1531.349332947</v>
      </c>
      <c r="F17" s="4" t="n">
        <f aca="false">-F6*Assumptions!F18/100</f>
        <v>-1531.349332947</v>
      </c>
      <c r="G17" s="4" t="n">
        <f aca="false">-G6*Assumptions!G18/100</f>
        <v>-1546.66282627647</v>
      </c>
      <c r="H17" s="4" t="n">
        <f aca="false">-H6*Assumptions!H18/100</f>
        <v>-1569.86276867062</v>
      </c>
      <c r="I17" s="4" t="n">
        <f aca="false">-I6*Assumptions!I18/100</f>
        <v>-1601.26002404403</v>
      </c>
      <c r="J17" s="4" t="n">
        <f aca="false">-J6*Assumptions!J18/100</f>
        <v>-1633.28522452491</v>
      </c>
      <c r="K17" s="4" t="n">
        <f aca="false">-K6*Assumptions!K18/100</f>
        <v>-1665.95092901541</v>
      </c>
      <c r="L17" s="4" t="n">
        <f aca="false">-L6*Assumptions!L18/100</f>
        <v>-1699.26994759572</v>
      </c>
    </row>
    <row r="18" customFormat="false" ht="15" hidden="false" customHeight="false" outlineLevel="0" collapsed="false">
      <c r="A18" s="0" t="s">
        <v>127</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128</v>
      </c>
      <c r="C19" s="0" t="n">
        <f aca="false">C15+C16+C17+C18</f>
        <v>2010.364323</v>
      </c>
      <c r="D19" s="0" t="n">
        <f aca="false">D15+D16+D17+D18</f>
        <v>1909.84610685</v>
      </c>
      <c r="E19" s="0" t="n">
        <f aca="false">E15+E16+E17+E18</f>
        <v>1871.649184713</v>
      </c>
      <c r="F19" s="0" t="n">
        <f aca="false">F15+F16+F17+F18</f>
        <v>1871.649184713</v>
      </c>
      <c r="G19" s="0" t="n">
        <f aca="false">G15+G16+G17+G18</f>
        <v>1890.36567656013</v>
      </c>
      <c r="H19" s="0" t="n">
        <f aca="false">H15+H16+H17+H18</f>
        <v>1918.72116170853</v>
      </c>
      <c r="I19" s="0" t="n">
        <f aca="false">I15+I16+I17+I18</f>
        <v>1957.0955849427</v>
      </c>
      <c r="J19" s="0" t="n">
        <f aca="false">J15+J16+J17+J18</f>
        <v>1996.23749664156</v>
      </c>
      <c r="K19" s="0" t="n">
        <f aca="false">K15+K16+K17+K18</f>
        <v>2036.16224657439</v>
      </c>
      <c r="L19" s="0" t="n">
        <f aca="false">L15+L16+L17+L18</f>
        <v>2076.88549150588</v>
      </c>
    </row>
    <row r="20" customFormat="false" ht="15" hidden="false" customHeight="false" outlineLevel="0" collapsed="false">
      <c r="A20" s="0" t="s">
        <v>129</v>
      </c>
      <c r="C20" s="0" t="n">
        <f aca="false">1/(1+$B$27/100)^C4</f>
        <v>0.888888888888889</v>
      </c>
      <c r="D20" s="0" t="n">
        <f aca="false">1/(1+$B$27/100)^D4</f>
        <v>0.790123456790123</v>
      </c>
      <c r="E20" s="0" t="n">
        <f aca="false">1/(1+$B$27/100)^E4</f>
        <v>0.702331961591221</v>
      </c>
      <c r="F20" s="0" t="n">
        <f aca="false">1/(1+$B$27/100)^F4</f>
        <v>0.624295076969974</v>
      </c>
      <c r="G20" s="0" t="n">
        <f aca="false">1/(1+$B$27/100)^G4</f>
        <v>0.554928957306644</v>
      </c>
      <c r="H20" s="0" t="n">
        <f aca="false">1/(1+$B$27/100)^H4</f>
        <v>0.493270184272572</v>
      </c>
      <c r="I20" s="0" t="n">
        <f aca="false">1/(1+$B$27/100)^I4</f>
        <v>0.438462386020064</v>
      </c>
      <c r="J20" s="0" t="n">
        <f aca="false">1/(1+$B$27/100)^J4</f>
        <v>0.389744343128946</v>
      </c>
      <c r="K20" s="0" t="n">
        <f aca="false">1/(1+$B$27/100)^K4</f>
        <v>0.346439416114619</v>
      </c>
      <c r="L20" s="0" t="n">
        <f aca="false">1/(1+$B$27/100)^L4</f>
        <v>0.307946147657439</v>
      </c>
    </row>
    <row r="21" customFormat="false" ht="15" hidden="false" customHeight="false" outlineLevel="0" collapsed="false">
      <c r="A21" s="0" t="s">
        <v>130</v>
      </c>
      <c r="C21" s="0" t="n">
        <f aca="false">C19*C20</f>
        <v>1786.99050933333</v>
      </c>
      <c r="D21" s="0" t="n">
        <f aca="false">D19*D20</f>
        <v>1509.01420788148</v>
      </c>
      <c r="E21" s="0" t="n">
        <f aca="false">E19*E20</f>
        <v>1314.51904331009</v>
      </c>
      <c r="F21" s="0" t="n">
        <f aca="false">F19*F20</f>
        <v>1168.46137183119</v>
      </c>
      <c r="G21" s="0" t="n">
        <f aca="false">G19*G20</f>
        <v>1049.01865382178</v>
      </c>
      <c r="H21" s="0" t="n">
        <f aca="false">H19*H20</f>
        <v>946.447941003651</v>
      </c>
      <c r="I21" s="0" t="n">
        <f aca="false">I19*I20</f>
        <v>858.11279984331</v>
      </c>
      <c r="J21" s="0" t="n">
        <f aca="false">J19*J20</f>
        <v>778.022271857935</v>
      </c>
      <c r="K21" s="0" t="n">
        <f aca="false">K19*K20</f>
        <v>705.406859817861</v>
      </c>
      <c r="L21" s="0" t="n">
        <f aca="false">L19*L20</f>
        <v>639.568886234861</v>
      </c>
    </row>
    <row r="23" customFormat="false" ht="15" hidden="false" customHeight="false" outlineLevel="0" collapsed="false">
      <c r="A23" s="0" t="s">
        <v>106</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Assumptions!$B$20</f>
        <v>12.5</v>
      </c>
    </row>
    <row r="28" customFormat="false" ht="15" hidden="false" customHeight="false" outlineLevel="0" collapsed="false">
      <c r="A28" s="0" t="s">
        <v>111</v>
      </c>
      <c r="B28" s="4" t="n">
        <f aca="false">Assumptions!$B$21</f>
        <v>1.5</v>
      </c>
    </row>
    <row r="29" customFormat="false" ht="15" hidden="false" customHeight="false" outlineLevel="0" collapsed="false">
      <c r="A29" s="0" t="s">
        <v>112</v>
      </c>
      <c r="B29" s="4" t="n">
        <f aca="false">Assumptions!$B$22</f>
        <v>15</v>
      </c>
    </row>
    <row r="30" customFormat="false" ht="15" hidden="false" customHeight="false" outlineLevel="0" collapsed="false">
      <c r="A30" s="0" t="s">
        <v>133</v>
      </c>
      <c r="B30" s="0" t="n">
        <f aca="false">SUM(C21:L21)</f>
        <v>10755.5625449355</v>
      </c>
    </row>
    <row r="31" customFormat="false" ht="15" hidden="false" customHeight="false" outlineLevel="0" collapsed="false">
      <c r="A31" s="0" t="s">
        <v>134</v>
      </c>
      <c r="B31" s="0" t="n">
        <f aca="false">L19</f>
        <v>2076.88549150588</v>
      </c>
    </row>
    <row r="32" customFormat="false" ht="15" hidden="false" customHeight="false" outlineLevel="0" collapsed="false">
      <c r="A32" s="0" t="s">
        <v>135</v>
      </c>
      <c r="B32" s="0" t="n">
        <f aca="false">IF(B27&gt;B28,B31*(1+B28/100)/((B27-B28)/100),B31*B29)</f>
        <v>19163.9888534406</v>
      </c>
    </row>
    <row r="33" customFormat="false" ht="15" hidden="false" customHeight="false" outlineLevel="0" collapsed="false">
      <c r="A33" s="0" t="s">
        <v>136</v>
      </c>
      <c r="B33" s="0" t="n">
        <f aca="false">B31*B29</f>
        <v>31153.2823725881</v>
      </c>
    </row>
    <row r="34" customFormat="false" ht="15" hidden="false" customHeight="false" outlineLevel="0" collapsed="false">
      <c r="A34" s="0" t="s">
        <v>137</v>
      </c>
      <c r="B34" s="0" t="n">
        <f aca="false">MAX(0,MIN(B32,B33))</f>
        <v>19163.9888534406</v>
      </c>
    </row>
    <row r="35" customFormat="false" ht="15" hidden="false" customHeight="false" outlineLevel="0" collapsed="false">
      <c r="A35" s="0" t="s">
        <v>138</v>
      </c>
      <c r="B35" s="0" t="n">
        <f aca="false">B34/(1+B27/100)^L4</f>
        <v>5901.47654116712</v>
      </c>
    </row>
    <row r="36" customFormat="false" ht="15" hidden="false" customHeight="false" outlineLevel="0" collapsed="false">
      <c r="A36" s="0" t="s">
        <v>139</v>
      </c>
      <c r="B36" s="0" t="n">
        <f aca="false">B30+B35</f>
        <v>16657.0390861026</v>
      </c>
    </row>
    <row r="37" customFormat="false" ht="15" hidden="false" customHeight="false" outlineLevel="0" collapsed="false">
      <c r="A37" s="0" t="s">
        <v>140</v>
      </c>
      <c r="B37" s="0" t="n">
        <f aca="false">B36+Assumptions!$B$5-Assumptions!$B$4</f>
        <v>16657.0390861026</v>
      </c>
    </row>
    <row r="38" customFormat="false" ht="15" hidden="false" customHeight="false" outlineLevel="0" collapsed="false">
      <c r="A38" s="0" t="s">
        <v>141</v>
      </c>
      <c r="B38" s="0" t="n">
        <f aca="false">B37/Assumptions!$B$3*Assumptions!$B$10</f>
        <v>4.06045794122736</v>
      </c>
    </row>
    <row r="39" customFormat="false" ht="15" hidden="false" customHeight="false" outlineLevel="0" collapsed="false">
      <c r="A39" s="0" t="s">
        <v>142</v>
      </c>
      <c r="B39" s="4" t="n">
        <f aca="false">B38/Assumptions!$B$2-1</f>
        <v>-0.28950867170125</v>
      </c>
    </row>
    <row r="41" customFormat="false" ht="15" hidden="false" customHeight="false" outlineLevel="0" collapsed="false">
      <c r="A41" s="0" t="s">
        <v>143</v>
      </c>
      <c r="B41" s="0" t="n">
        <f aca="false">SUMPRODUCT(-C10:L10/(1+$B$27/100)^C4:L4)</f>
        <v>0</v>
      </c>
    </row>
    <row r="42" customFormat="false" ht="15" hidden="false" customHeight="false" outlineLevel="0" collapsed="false">
      <c r="A42" s="0" t="s">
        <v>144</v>
      </c>
      <c r="B42" s="0" t="n">
        <f aca="false">IF(B27&gt;B28,-L10*(1+B28/100)/((B27-B28)/100),-L10*20)/(1+B27/100)^L4</f>
        <v>0</v>
      </c>
    </row>
    <row r="43" customFormat="false" ht="15" hidden="false" customHeight="false" outlineLevel="0" collapsed="false">
      <c r="A43" s="0" t="s">
        <v>145</v>
      </c>
      <c r="B43" s="0" t="n">
        <f aca="false">(B37+B41+B42)/Assumptions!$B$3*Assumptions!$B$10</f>
        <v>4.06045794122736</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15615.1020287294</v>
      </c>
    </row>
    <row r="47" customFormat="false" ht="15" hidden="false" customHeight="false" outlineLevel="0" collapsed="false">
      <c r="A47" s="0" t="s">
        <v>147</v>
      </c>
      <c r="B47" s="0" t="n">
        <f aca="false">(SUMPRODUCT(C19:L19/(1+B45/100)^C4:L4)+B46/(1+B45/100)^L4+Assumptions!$B$5-Assumptions!$B$4)/Assumptions!$B$3*Assumptions!$B$10</f>
        <v>3.31590583056727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Assumptions!C27</f>
        <v>3</v>
      </c>
      <c r="D5" s="4" t="n">
        <f aca="false">Assumptions!D27</f>
        <v>3.5</v>
      </c>
      <c r="E5" s="4" t="n">
        <f aca="false">Assumptions!E27</f>
        <v>4</v>
      </c>
      <c r="F5" s="4" t="n">
        <f aca="false">Assumptions!F27</f>
        <v>4</v>
      </c>
      <c r="G5" s="4" t="n">
        <f aca="false">Assumptions!G27</f>
        <v>3.5</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38</v>
      </c>
      <c r="B6" s="3" t="n">
        <v>3888.519</v>
      </c>
      <c r="C6" s="0" t="n">
        <f aca="false">B6*(1+C5/100)</f>
        <v>4005.17457</v>
      </c>
      <c r="D6" s="0" t="n">
        <f aca="false">C6*(1+D5/100)</f>
        <v>4145.35567995</v>
      </c>
      <c r="E6" s="0" t="n">
        <f aca="false">D6*(1+E5/100)</f>
        <v>4311.169907148</v>
      </c>
      <c r="F6" s="0" t="n">
        <f aca="false">E6*(1+F5/100)</f>
        <v>4483.61670343392</v>
      </c>
      <c r="G6" s="0" t="n">
        <f aca="false">F6*(1+G5/100)</f>
        <v>4640.54328805411</v>
      </c>
      <c r="H6" s="0" t="n">
        <f aca="false">G6*(1+H5/100)</f>
        <v>4779.75958669573</v>
      </c>
      <c r="I6" s="0" t="n">
        <f aca="false">H6*(1+I5/100)</f>
        <v>4923.1523742966</v>
      </c>
      <c r="J6" s="0" t="n">
        <f aca="false">I6*(1+J5/100)</f>
        <v>5046.23118365402</v>
      </c>
      <c r="K6" s="0" t="n">
        <f aca="false">J6*(1+K5/100)</f>
        <v>5172.38696324537</v>
      </c>
      <c r="L6" s="0" t="n">
        <f aca="false">K6*(1+L5/100)</f>
        <v>5301.6966373265</v>
      </c>
    </row>
    <row r="7" customFormat="false" ht="15" hidden="false" customHeight="false" outlineLevel="0" collapsed="false">
      <c r="A7" s="0" t="s">
        <v>104</v>
      </c>
      <c r="C7" s="4" t="n">
        <f aca="false">Assumptions!C28</f>
        <v>100</v>
      </c>
      <c r="D7" s="4" t="n">
        <f aca="false">Assumptions!D28</f>
        <v>100</v>
      </c>
      <c r="E7" s="4" t="n">
        <f aca="false">Assumptions!E28</f>
        <v>100</v>
      </c>
      <c r="F7" s="4" t="n">
        <f aca="false">Assumptions!F28</f>
        <v>100</v>
      </c>
      <c r="G7" s="4" t="n">
        <f aca="false">Assumptions!G28</f>
        <v>100</v>
      </c>
      <c r="H7" s="4" t="n">
        <f aca="false">Assumptions!H28</f>
        <v>100</v>
      </c>
      <c r="I7" s="4" t="n">
        <f aca="false">Assumptions!I28</f>
        <v>100</v>
      </c>
      <c r="J7" s="4" t="n">
        <f aca="false">Assumptions!J28</f>
        <v>100</v>
      </c>
      <c r="K7" s="4" t="n">
        <f aca="false">Assumptions!K28</f>
        <v>100</v>
      </c>
      <c r="L7" s="4" t="n">
        <f aca="false">Assumptions!L28</f>
        <v>100</v>
      </c>
    </row>
    <row r="8" customFormat="false" ht="15" hidden="false" customHeight="false" outlineLevel="0" collapsed="false">
      <c r="A8" s="0" t="s">
        <v>44</v>
      </c>
      <c r="C8" s="0" t="n">
        <f aca="false">C6*C7/100</f>
        <v>4005.17457</v>
      </c>
      <c r="D8" s="0" t="n">
        <f aca="false">D6*D7/100</f>
        <v>4145.35567995</v>
      </c>
      <c r="E8" s="0" t="n">
        <f aca="false">E6*E7/100</f>
        <v>4311.169907148</v>
      </c>
      <c r="F8" s="0" t="n">
        <f aca="false">F6*F7/100</f>
        <v>4483.61670343392</v>
      </c>
      <c r="G8" s="0" t="n">
        <f aca="false">G6*G7/100</f>
        <v>4640.54328805411</v>
      </c>
      <c r="H8" s="0" t="n">
        <f aca="false">H6*H7/100</f>
        <v>4779.75958669573</v>
      </c>
      <c r="I8" s="0" t="n">
        <f aca="false">I6*I7/100</f>
        <v>4923.1523742966</v>
      </c>
      <c r="J8" s="0" t="n">
        <f aca="false">J6*J7/100</f>
        <v>5046.23118365402</v>
      </c>
      <c r="K8" s="0" t="n">
        <f aca="false">K6*K7/100</f>
        <v>5172.38696324537</v>
      </c>
      <c r="L8" s="0" t="n">
        <f aca="false">L6*L7/100</f>
        <v>5301.6966373265</v>
      </c>
    </row>
    <row r="9" customFormat="false" ht="15" hidden="false" customHeight="false" outlineLevel="0" collapsed="false">
      <c r="A9" s="0" t="s">
        <v>105</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121</v>
      </c>
      <c r="C11" s="0" t="n">
        <f aca="false">C8+C10+C24</f>
        <v>4005.17457</v>
      </c>
      <c r="D11" s="0" t="n">
        <f aca="false">D8+D10+D24</f>
        <v>4145.35567995</v>
      </c>
      <c r="E11" s="0" t="n">
        <f aca="false">E8+E10+E24</f>
        <v>4311.169907148</v>
      </c>
      <c r="F11" s="0" t="n">
        <f aca="false">F8+F10+F24</f>
        <v>4483.61670343392</v>
      </c>
      <c r="G11" s="0" t="n">
        <f aca="false">G8+G10+G24</f>
        <v>4640.54328805411</v>
      </c>
      <c r="H11" s="0" t="n">
        <f aca="false">H8+H10+H24</f>
        <v>4779.75958669573</v>
      </c>
      <c r="I11" s="0" t="n">
        <f aca="false">I8+I10+I24</f>
        <v>4923.1523742966</v>
      </c>
      <c r="J11" s="0" t="n">
        <f aca="false">J8+J10+J24</f>
        <v>5046.23118365402</v>
      </c>
      <c r="K11" s="0" t="n">
        <f aca="false">K8+K10+K24</f>
        <v>5172.38696324537</v>
      </c>
      <c r="L11" s="0" t="n">
        <f aca="false">L8+L10+L24</f>
        <v>5301.6966373265</v>
      </c>
    </row>
    <row r="12" customFormat="false" ht="15" hidden="false" customHeight="false" outlineLevel="0" collapsed="false">
      <c r="A12" s="0" t="s">
        <v>122</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123</v>
      </c>
      <c r="C13" s="0" t="n">
        <f aca="false">C11+C12</f>
        <v>4005.17457</v>
      </c>
      <c r="D13" s="0" t="n">
        <f aca="false">D11+D12</f>
        <v>4145.35567995</v>
      </c>
      <c r="E13" s="0" t="n">
        <f aca="false">E11+E12</f>
        <v>4311.169907148</v>
      </c>
      <c r="F13" s="0" t="n">
        <f aca="false">F11+F12</f>
        <v>4483.61670343392</v>
      </c>
      <c r="G13" s="0" t="n">
        <f aca="false">G11+G12</f>
        <v>4640.54328805411</v>
      </c>
      <c r="H13" s="0" t="n">
        <f aca="false">H11+H12</f>
        <v>4779.75958669573</v>
      </c>
      <c r="I13" s="0" t="n">
        <f aca="false">I11+I12</f>
        <v>4923.1523742966</v>
      </c>
      <c r="J13" s="0" t="n">
        <f aca="false">J11+J12</f>
        <v>5046.23118365402</v>
      </c>
      <c r="K13" s="0" t="n">
        <f aca="false">K11+K12</f>
        <v>5172.38696324537</v>
      </c>
      <c r="L13" s="0" t="n">
        <f aca="false">L11+L12</f>
        <v>5301.6966373265</v>
      </c>
    </row>
    <row r="14" customFormat="false" ht="15" hidden="false" customHeight="false" outlineLevel="0" collapsed="false">
      <c r="A14" s="0" t="s">
        <v>109</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124</v>
      </c>
      <c r="C15" s="0" t="n">
        <f aca="false">C13-MAX(0,C13)*C14/100</f>
        <v>4005.17457</v>
      </c>
      <c r="D15" s="0" t="n">
        <f aca="false">D13-MAX(0,D13)*D14/100</f>
        <v>4145.35567995</v>
      </c>
      <c r="E15" s="0" t="n">
        <f aca="false">E13-MAX(0,E13)*E14/100</f>
        <v>4311.169907148</v>
      </c>
      <c r="F15" s="0" t="n">
        <f aca="false">F13-MAX(0,F13)*F14/100</f>
        <v>4483.61670343392</v>
      </c>
      <c r="G15" s="0" t="n">
        <f aca="false">G13-MAX(0,G13)*G14/100</f>
        <v>4640.54328805411</v>
      </c>
      <c r="H15" s="0" t="n">
        <f aca="false">H13-MAX(0,H13)*H14/100</f>
        <v>4779.75958669573</v>
      </c>
      <c r="I15" s="0" t="n">
        <f aca="false">I13-MAX(0,I13)*I14/100</f>
        <v>4923.1523742966</v>
      </c>
      <c r="J15" s="0" t="n">
        <f aca="false">J13-MAX(0,J13)*J14/100</f>
        <v>5046.23118365402</v>
      </c>
      <c r="K15" s="0" t="n">
        <f aca="false">K13-MAX(0,K13)*K14/100</f>
        <v>5172.38696324537</v>
      </c>
      <c r="L15" s="0" t="n">
        <f aca="false">L13-MAX(0,L13)*L14/100</f>
        <v>5301.6966373265</v>
      </c>
    </row>
    <row r="16" customFormat="false" ht="15" hidden="false" customHeight="false" outlineLevel="0" collapsed="false">
      <c r="A16" s="0" t="s">
        <v>125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126</v>
      </c>
      <c r="C17" s="4" t="n">
        <f aca="false">-C6*Assumptions!C32/100</f>
        <v>-1602.069828</v>
      </c>
      <c r="D17" s="4" t="n">
        <f aca="false">-D6*Assumptions!D32/100</f>
        <v>-1658.14227198</v>
      </c>
      <c r="E17" s="4" t="n">
        <f aca="false">-E6*Assumptions!E32/100</f>
        <v>-1724.4679628592</v>
      </c>
      <c r="F17" s="4" t="n">
        <f aca="false">-F6*Assumptions!F32/100</f>
        <v>-1793.44668137357</v>
      </c>
      <c r="G17" s="4" t="n">
        <f aca="false">-G6*Assumptions!G32/100</f>
        <v>-1856.21731522164</v>
      </c>
      <c r="H17" s="4" t="n">
        <f aca="false">-H6*Assumptions!H32/100</f>
        <v>-1911.90383467829</v>
      </c>
      <c r="I17" s="4" t="n">
        <f aca="false">-I6*Assumptions!I32/100</f>
        <v>-1969.26094971864</v>
      </c>
      <c r="J17" s="4" t="n">
        <f aca="false">-J6*Assumptions!J32/100</f>
        <v>-2018.49247346161</v>
      </c>
      <c r="K17" s="4" t="n">
        <f aca="false">-K6*Assumptions!K32/100</f>
        <v>-2068.95478529815</v>
      </c>
      <c r="L17" s="4" t="n">
        <f aca="false">-L6*Assumptions!L32/100</f>
        <v>-2120.6786549306</v>
      </c>
    </row>
    <row r="18" customFormat="false" ht="15" hidden="false" customHeight="false" outlineLevel="0" collapsed="false">
      <c r="A18" s="0" t="s">
        <v>127</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128</v>
      </c>
      <c r="C19" s="0" t="n">
        <f aca="false">C15+C16+C17+C18</f>
        <v>2403.104742</v>
      </c>
      <c r="D19" s="0" t="n">
        <f aca="false">D15+D16+D17+D18</f>
        <v>2487.21340797</v>
      </c>
      <c r="E19" s="0" t="n">
        <f aca="false">E15+E16+E17+E18</f>
        <v>2586.7019442888</v>
      </c>
      <c r="F19" s="0" t="n">
        <f aca="false">F15+F16+F17+F18</f>
        <v>2690.17002206035</v>
      </c>
      <c r="G19" s="0" t="n">
        <f aca="false">G15+G16+G17+G18</f>
        <v>2784.32597283246</v>
      </c>
      <c r="H19" s="0" t="n">
        <f aca="false">H15+H16+H17+H18</f>
        <v>2867.85575201744</v>
      </c>
      <c r="I19" s="0" t="n">
        <f aca="false">I15+I16+I17+I18</f>
        <v>2953.89142457796</v>
      </c>
      <c r="J19" s="0" t="n">
        <f aca="false">J15+J16+J17+J18</f>
        <v>3027.73871019241</v>
      </c>
      <c r="K19" s="0" t="n">
        <f aca="false">K15+K16+K17+K18</f>
        <v>3103.43217794722</v>
      </c>
      <c r="L19" s="0" t="n">
        <f aca="false">L15+L16+L17+L18</f>
        <v>3181.0179823959</v>
      </c>
    </row>
    <row r="20" customFormat="false" ht="15" hidden="false" customHeight="false" outlineLevel="0" collapsed="false">
      <c r="A20" s="0" t="s">
        <v>129</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130</v>
      </c>
      <c r="C21" s="0" t="n">
        <f aca="false">C19*C20</f>
        <v>2164.95922702703</v>
      </c>
      <c r="D21" s="0" t="n">
        <f aca="false">D19*D20</f>
        <v>2018.67819817385</v>
      </c>
      <c r="E21" s="0" t="n">
        <f aca="false">E19*E20</f>
        <v>1891.37416765838</v>
      </c>
      <c r="F21" s="0" t="n">
        <f aca="false">F19*F20</f>
        <v>1772.09831924749</v>
      </c>
      <c r="G21" s="0" t="n">
        <f aca="false">G19*G20</f>
        <v>1652.36194632536</v>
      </c>
      <c r="H21" s="0" t="n">
        <f aca="false">H19*H20</f>
        <v>1533.27279704065</v>
      </c>
      <c r="I21" s="0" t="n">
        <f aca="false">I19*I20</f>
        <v>1422.76664950619</v>
      </c>
      <c r="J21" s="0" t="n">
        <f aca="false">J19*J20</f>
        <v>1313.81605021968</v>
      </c>
      <c r="K21" s="0" t="n">
        <f aca="false">K19*K20</f>
        <v>1213.2085148425</v>
      </c>
      <c r="L21" s="0" t="n">
        <f aca="false">L19*L20</f>
        <v>1120.30516010231</v>
      </c>
    </row>
    <row r="23" customFormat="false" ht="15" hidden="false" customHeight="false" outlineLevel="0" collapsed="false">
      <c r="A23" s="0" t="s">
        <v>106</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Assumptions!$B$34</f>
        <v>11</v>
      </c>
    </row>
    <row r="28" customFormat="false" ht="15" hidden="false" customHeight="false" outlineLevel="0" collapsed="false">
      <c r="A28" s="0" t="s">
        <v>111</v>
      </c>
      <c r="B28" s="4" t="n">
        <f aca="false">Assumptions!$B$35</f>
        <v>2.5</v>
      </c>
    </row>
    <row r="29" customFormat="false" ht="15" hidden="false" customHeight="false" outlineLevel="0" collapsed="false">
      <c r="A29" s="0" t="s">
        <v>112</v>
      </c>
      <c r="B29" s="4" t="n">
        <f aca="false">Assumptions!$B$36</f>
        <v>15</v>
      </c>
    </row>
    <row r="30" customFormat="false" ht="15" hidden="false" customHeight="false" outlineLevel="0" collapsed="false">
      <c r="A30" s="0" t="s">
        <v>133</v>
      </c>
      <c r="B30" s="0" t="n">
        <f aca="false">SUM(C21:L21)</f>
        <v>16102.8410301434</v>
      </c>
    </row>
    <row r="31" customFormat="false" ht="15" hidden="false" customHeight="false" outlineLevel="0" collapsed="false">
      <c r="A31" s="0" t="s">
        <v>134</v>
      </c>
      <c r="B31" s="0" t="n">
        <f aca="false">L19</f>
        <v>3181.0179823959</v>
      </c>
    </row>
    <row r="32" customFormat="false" ht="15" hidden="false" customHeight="false" outlineLevel="0" collapsed="false">
      <c r="A32" s="0" t="s">
        <v>135</v>
      </c>
      <c r="B32" s="0" t="n">
        <f aca="false">IF(B27&gt;B28,B31*(1+B28/100)/((B27-B28)/100),B31*B29)</f>
        <v>38359.3344935976</v>
      </c>
    </row>
    <row r="33" customFormat="false" ht="15" hidden="false" customHeight="false" outlineLevel="0" collapsed="false">
      <c r="A33" s="0" t="s">
        <v>136</v>
      </c>
      <c r="B33" s="0" t="n">
        <f aca="false">B31*B29</f>
        <v>47715.2697359385</v>
      </c>
    </row>
    <row r="34" customFormat="false" ht="15" hidden="false" customHeight="false" outlineLevel="0" collapsed="false">
      <c r="A34" s="0" t="s">
        <v>137</v>
      </c>
      <c r="B34" s="0" t="n">
        <f aca="false">MAX(0,MIN(B32,B33))</f>
        <v>38359.3344935976</v>
      </c>
    </row>
    <row r="35" customFormat="false" ht="15" hidden="false" customHeight="false" outlineLevel="0" collapsed="false">
      <c r="A35" s="0" t="s">
        <v>138</v>
      </c>
      <c r="B35" s="0" t="n">
        <f aca="false">B34/(1+B27/100)^L4</f>
        <v>13509.5622247631</v>
      </c>
    </row>
    <row r="36" customFormat="false" ht="15" hidden="false" customHeight="false" outlineLevel="0" collapsed="false">
      <c r="A36" s="0" t="s">
        <v>139</v>
      </c>
      <c r="B36" s="0" t="n">
        <f aca="false">B30+B35</f>
        <v>29612.4032549065</v>
      </c>
    </row>
    <row r="37" customFormat="false" ht="15" hidden="false" customHeight="false" outlineLevel="0" collapsed="false">
      <c r="A37" s="0" t="s">
        <v>140</v>
      </c>
      <c r="B37" s="0" t="n">
        <f aca="false">B36+Assumptions!$B$5-Assumptions!$B$4</f>
        <v>29612.4032549065</v>
      </c>
    </row>
    <row r="38" customFormat="false" ht="15" hidden="false" customHeight="false" outlineLevel="0" collapsed="false">
      <c r="A38" s="0" t="s">
        <v>141</v>
      </c>
      <c r="B38" s="0" t="n">
        <f aca="false">B37/Assumptions!$B$3*Assumptions!$B$10</f>
        <v>7.21856491623</v>
      </c>
    </row>
    <row r="39" customFormat="false" ht="15" hidden="false" customHeight="false" outlineLevel="0" collapsed="false">
      <c r="A39" s="0" t="s">
        <v>142</v>
      </c>
      <c r="B39" s="4" t="n">
        <f aca="false">B38/Assumptions!$B$2-1</f>
        <v>0.263090973968503</v>
      </c>
    </row>
    <row r="41" customFormat="false" ht="15" hidden="false" customHeight="false" outlineLevel="0" collapsed="false">
      <c r="A41" s="0" t="s">
        <v>143</v>
      </c>
      <c r="B41" s="0" t="n">
        <f aca="false">SUMPRODUCT(-C10:L10/(1+$B$27/100)^C4:L4)</f>
        <v>0</v>
      </c>
    </row>
    <row r="42" customFormat="false" ht="15" hidden="false" customHeight="false" outlineLevel="0" collapsed="false">
      <c r="A42" s="0" t="s">
        <v>144</v>
      </c>
      <c r="B42" s="0" t="n">
        <f aca="false">IF(B27&gt;B28,-L10*(1+B28/100)/((B27-B28)/100),-L10*20)/(1+B27/100)^L4</f>
        <v>0</v>
      </c>
    </row>
    <row r="43" customFormat="false" ht="15" hidden="false" customHeight="false" outlineLevel="0" collapsed="false">
      <c r="A43" s="0" t="s">
        <v>145</v>
      </c>
      <c r="B43" s="0" t="n">
        <f aca="false">(B37+B41+B42)/Assumptions!$B$3*Assumptions!$B$10</f>
        <v>7.21856491623</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26084.3474556464</v>
      </c>
    </row>
    <row r="47" customFormat="false" ht="15" hidden="false" customHeight="false" outlineLevel="0" collapsed="false">
      <c r="A47" s="0" t="s">
        <v>147</v>
      </c>
      <c r="B47" s="0" t="n">
        <f aca="false">(SUMPRODUCT(C19:L19/(1+B45/100)^C4:L4)+B46/(1+B45/100)^L4+Assumptions!$B$5-Assumptions!$B$4)/Assumptions!$B$3*Assumptions!$B$10</f>
        <v>4.8875065484714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Assumptions!C41</f>
        <v>6</v>
      </c>
      <c r="D5" s="4" t="n">
        <f aca="false">Assumptions!D41</f>
        <v>7</v>
      </c>
      <c r="E5" s="4" t="n">
        <f aca="false">Assumptions!E41</f>
        <v>7</v>
      </c>
      <c r="F5" s="4" t="n">
        <f aca="false">Assumptions!F41</f>
        <v>6</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3888.519</v>
      </c>
      <c r="C6" s="0" t="n">
        <f aca="false">B6*(1+C5/100)</f>
        <v>4121.83014</v>
      </c>
      <c r="D6" s="0" t="n">
        <f aca="false">C6*(1+D5/100)</f>
        <v>4410.3582498</v>
      </c>
      <c r="E6" s="0" t="n">
        <f aca="false">D6*(1+E5/100)</f>
        <v>4719.083327286</v>
      </c>
      <c r="F6" s="0" t="n">
        <f aca="false">E6*(1+F5/100)</f>
        <v>5002.22832692316</v>
      </c>
      <c r="G6" s="0" t="n">
        <f aca="false">F6*(1+G5/100)</f>
        <v>5252.33974326932</v>
      </c>
      <c r="H6" s="0" t="n">
        <f aca="false">G6*(1+H5/100)</f>
        <v>5488.69503171644</v>
      </c>
      <c r="I6" s="0" t="n">
        <f aca="false">H6*(1+I5/100)</f>
        <v>5708.2428329851</v>
      </c>
      <c r="J6" s="0" t="n">
        <f aca="false">I6*(1+J5/100)</f>
        <v>5908.03133213957</v>
      </c>
      <c r="K6" s="0" t="n">
        <f aca="false">J6*(1+K5/100)</f>
        <v>6085.27227210376</v>
      </c>
      <c r="L6" s="0" t="n">
        <f aca="false">K6*(1+L5/100)</f>
        <v>6267.83044026688</v>
      </c>
    </row>
    <row r="7" customFormat="false" ht="15" hidden="false" customHeight="false" outlineLevel="0" collapsed="false">
      <c r="A7" s="0" t="s">
        <v>104</v>
      </c>
      <c r="C7" s="4" t="n">
        <f aca="false">Assumptions!C42</f>
        <v>100</v>
      </c>
      <c r="D7" s="4" t="n">
        <f aca="false">Assumptions!D42</f>
        <v>100</v>
      </c>
      <c r="E7" s="4" t="n">
        <f aca="false">Assumptions!E42</f>
        <v>100</v>
      </c>
      <c r="F7" s="4" t="n">
        <f aca="false">Assumptions!F42</f>
        <v>100</v>
      </c>
      <c r="G7" s="4" t="n">
        <f aca="false">Assumptions!G42</f>
        <v>100</v>
      </c>
      <c r="H7" s="4" t="n">
        <f aca="false">Assumptions!H42</f>
        <v>100</v>
      </c>
      <c r="I7" s="4" t="n">
        <f aca="false">Assumptions!I42</f>
        <v>100</v>
      </c>
      <c r="J7" s="4" t="n">
        <f aca="false">Assumptions!J42</f>
        <v>100</v>
      </c>
      <c r="K7" s="4" t="n">
        <f aca="false">Assumptions!K42</f>
        <v>100</v>
      </c>
      <c r="L7" s="4" t="n">
        <f aca="false">Assumptions!L42</f>
        <v>100</v>
      </c>
    </row>
    <row r="8" customFormat="false" ht="15" hidden="false" customHeight="false" outlineLevel="0" collapsed="false">
      <c r="A8" s="0" t="s">
        <v>44</v>
      </c>
      <c r="C8" s="0" t="n">
        <f aca="false">C6*C7/100</f>
        <v>4121.83014</v>
      </c>
      <c r="D8" s="0" t="n">
        <f aca="false">D6*D7/100</f>
        <v>4410.3582498</v>
      </c>
      <c r="E8" s="0" t="n">
        <f aca="false">E6*E7/100</f>
        <v>4719.083327286</v>
      </c>
      <c r="F8" s="0" t="n">
        <f aca="false">F6*F7/100</f>
        <v>5002.22832692316</v>
      </c>
      <c r="G8" s="0" t="n">
        <f aca="false">G6*G7/100</f>
        <v>5252.33974326932</v>
      </c>
      <c r="H8" s="0" t="n">
        <f aca="false">H6*H7/100</f>
        <v>5488.69503171644</v>
      </c>
      <c r="I8" s="0" t="n">
        <f aca="false">I6*I7/100</f>
        <v>5708.2428329851</v>
      </c>
      <c r="J8" s="0" t="n">
        <f aca="false">J6*J7/100</f>
        <v>5908.03133213957</v>
      </c>
      <c r="K8" s="0" t="n">
        <f aca="false">K6*K7/100</f>
        <v>6085.27227210376</v>
      </c>
      <c r="L8" s="0" t="n">
        <f aca="false">L6*L7/100</f>
        <v>6267.83044026688</v>
      </c>
    </row>
    <row r="9" customFormat="false" ht="15" hidden="false" customHeight="false" outlineLevel="0" collapsed="false">
      <c r="A9" s="0" t="s">
        <v>105</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121</v>
      </c>
      <c r="C11" s="0" t="n">
        <f aca="false">C8+C10+C24</f>
        <v>4121.83014</v>
      </c>
      <c r="D11" s="0" t="n">
        <f aca="false">D8+D10+D24</f>
        <v>4410.3582498</v>
      </c>
      <c r="E11" s="0" t="n">
        <f aca="false">E8+E10+E24</f>
        <v>4719.083327286</v>
      </c>
      <c r="F11" s="0" t="n">
        <f aca="false">F8+F10+F24</f>
        <v>5002.22832692316</v>
      </c>
      <c r="G11" s="0" t="n">
        <f aca="false">G8+G10+G24</f>
        <v>5252.33974326932</v>
      </c>
      <c r="H11" s="0" t="n">
        <f aca="false">H8+H10+H24</f>
        <v>5488.69503171644</v>
      </c>
      <c r="I11" s="0" t="n">
        <f aca="false">I8+I10+I24</f>
        <v>5708.2428329851</v>
      </c>
      <c r="J11" s="0" t="n">
        <f aca="false">J8+J10+J24</f>
        <v>5908.03133213957</v>
      </c>
      <c r="K11" s="0" t="n">
        <f aca="false">K8+K10+K24</f>
        <v>6085.27227210376</v>
      </c>
      <c r="L11" s="0" t="n">
        <f aca="false">L8+L10+L24</f>
        <v>6267.83044026688</v>
      </c>
    </row>
    <row r="12" customFormat="false" ht="15" hidden="false" customHeight="false" outlineLevel="0" collapsed="false">
      <c r="A12" s="0" t="s">
        <v>122</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123</v>
      </c>
      <c r="C13" s="0" t="n">
        <f aca="false">C11+C12</f>
        <v>4121.83014</v>
      </c>
      <c r="D13" s="0" t="n">
        <f aca="false">D11+D12</f>
        <v>4410.3582498</v>
      </c>
      <c r="E13" s="0" t="n">
        <f aca="false">E11+E12</f>
        <v>4719.083327286</v>
      </c>
      <c r="F13" s="0" t="n">
        <f aca="false">F11+F12</f>
        <v>5002.22832692316</v>
      </c>
      <c r="G13" s="0" t="n">
        <f aca="false">G11+G12</f>
        <v>5252.33974326932</v>
      </c>
      <c r="H13" s="0" t="n">
        <f aca="false">H11+H12</f>
        <v>5488.69503171644</v>
      </c>
      <c r="I13" s="0" t="n">
        <f aca="false">I11+I12</f>
        <v>5708.2428329851</v>
      </c>
      <c r="J13" s="0" t="n">
        <f aca="false">J11+J12</f>
        <v>5908.03133213957</v>
      </c>
      <c r="K13" s="0" t="n">
        <f aca="false">K11+K12</f>
        <v>6085.27227210376</v>
      </c>
      <c r="L13" s="0" t="n">
        <f aca="false">L11+L12</f>
        <v>6267.83044026688</v>
      </c>
    </row>
    <row r="14" customFormat="false" ht="15" hidden="false" customHeight="false" outlineLevel="0" collapsed="false">
      <c r="A14" s="0" t="s">
        <v>109</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124</v>
      </c>
      <c r="C15" s="0" t="n">
        <f aca="false">C13-MAX(0,C13)*C14/100</f>
        <v>4121.83014</v>
      </c>
      <c r="D15" s="0" t="n">
        <f aca="false">D13-MAX(0,D13)*D14/100</f>
        <v>4410.3582498</v>
      </c>
      <c r="E15" s="0" t="n">
        <f aca="false">E13-MAX(0,E13)*E14/100</f>
        <v>4719.083327286</v>
      </c>
      <c r="F15" s="0" t="n">
        <f aca="false">F13-MAX(0,F13)*F14/100</f>
        <v>5002.22832692316</v>
      </c>
      <c r="G15" s="0" t="n">
        <f aca="false">G13-MAX(0,G13)*G14/100</f>
        <v>5252.33974326932</v>
      </c>
      <c r="H15" s="0" t="n">
        <f aca="false">H13-MAX(0,H13)*H14/100</f>
        <v>5488.69503171644</v>
      </c>
      <c r="I15" s="0" t="n">
        <f aca="false">I13-MAX(0,I13)*I14/100</f>
        <v>5708.2428329851</v>
      </c>
      <c r="J15" s="0" t="n">
        <f aca="false">J13-MAX(0,J13)*J14/100</f>
        <v>5908.03133213957</v>
      </c>
      <c r="K15" s="0" t="n">
        <f aca="false">K13-MAX(0,K13)*K14/100</f>
        <v>6085.27227210376</v>
      </c>
      <c r="L15" s="0" t="n">
        <f aca="false">L13-MAX(0,L13)*L14/100</f>
        <v>6267.83044026688</v>
      </c>
    </row>
    <row r="16" customFormat="false" ht="15" hidden="false" customHeight="false" outlineLevel="0" collapsed="false">
      <c r="A16" s="0" t="s">
        <v>125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126</v>
      </c>
      <c r="C17" s="4" t="n">
        <f aca="false">-C6*Assumptions!C46/100</f>
        <v>-1648.732056</v>
      </c>
      <c r="D17" s="4" t="n">
        <f aca="false">-D6*Assumptions!D46/100</f>
        <v>-1764.14329992</v>
      </c>
      <c r="E17" s="4" t="n">
        <f aca="false">-E6*Assumptions!E46/100</f>
        <v>-1887.6333309144</v>
      </c>
      <c r="F17" s="4" t="n">
        <f aca="false">-F6*Assumptions!F46/100</f>
        <v>-2000.89133076926</v>
      </c>
      <c r="G17" s="4" t="n">
        <f aca="false">-G6*Assumptions!G46/100</f>
        <v>-2100.93589730773</v>
      </c>
      <c r="H17" s="4" t="n">
        <f aca="false">-H6*Assumptions!H46/100</f>
        <v>-2195.47801268658</v>
      </c>
      <c r="I17" s="4" t="n">
        <f aca="false">-I6*Assumptions!I46/100</f>
        <v>-2283.29713319404</v>
      </c>
      <c r="J17" s="4" t="n">
        <f aca="false">-J6*Assumptions!J46/100</f>
        <v>-2363.21253285583</v>
      </c>
      <c r="K17" s="4" t="n">
        <f aca="false">-K6*Assumptions!K46/100</f>
        <v>-2434.1089088415</v>
      </c>
      <c r="L17" s="4" t="n">
        <f aca="false">-L6*Assumptions!L46/100</f>
        <v>-2507.13217610675</v>
      </c>
    </row>
    <row r="18" customFormat="false" ht="15" hidden="false" customHeight="false" outlineLevel="0" collapsed="false">
      <c r="A18" s="0" t="s">
        <v>127</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128</v>
      </c>
      <c r="C19" s="0" t="n">
        <f aca="false">C15+C16+C17+C18</f>
        <v>2473.098084</v>
      </c>
      <c r="D19" s="0" t="n">
        <f aca="false">D15+D16+D17+D18</f>
        <v>2646.21494988</v>
      </c>
      <c r="E19" s="0" t="n">
        <f aca="false">E15+E16+E17+E18</f>
        <v>2831.4499963716</v>
      </c>
      <c r="F19" s="0" t="n">
        <f aca="false">F15+F16+F17+F18</f>
        <v>3001.3369961539</v>
      </c>
      <c r="G19" s="0" t="n">
        <f aca="false">G15+G16+G17+G18</f>
        <v>3151.40384596159</v>
      </c>
      <c r="H19" s="0" t="n">
        <f aca="false">H15+H16+H17+H18</f>
        <v>3293.21701902986</v>
      </c>
      <c r="I19" s="0" t="n">
        <f aca="false">I15+I16+I17+I18</f>
        <v>3424.94569979106</v>
      </c>
      <c r="J19" s="0" t="n">
        <f aca="false">J15+J16+J17+J18</f>
        <v>3544.81879928374</v>
      </c>
      <c r="K19" s="0" t="n">
        <f aca="false">K15+K16+K17+K18</f>
        <v>3651.16336326226</v>
      </c>
      <c r="L19" s="0" t="n">
        <f aca="false">L15+L16+L17+L18</f>
        <v>3760.69826416013</v>
      </c>
    </row>
    <row r="20" customFormat="false" ht="15" hidden="false" customHeight="false" outlineLevel="0" collapsed="false">
      <c r="A20" s="0" t="s">
        <v>129</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130</v>
      </c>
      <c r="C21" s="0" t="n">
        <f aca="false">C19*C20</f>
        <v>2248.27098545455</v>
      </c>
      <c r="D21" s="0" t="n">
        <f aca="false">D19*D20</f>
        <v>2186.95450403306</v>
      </c>
      <c r="E21" s="0" t="n">
        <f aca="false">E19*E20</f>
        <v>2127.3102902867</v>
      </c>
      <c r="F21" s="0" t="n">
        <f aca="false">F19*F20</f>
        <v>2049.95355245809</v>
      </c>
      <c r="G21" s="0" t="n">
        <f aca="false">G19*G20</f>
        <v>1956.77384552818</v>
      </c>
      <c r="H21" s="0" t="n">
        <f aca="false">H19*H20</f>
        <v>1858.93515325177</v>
      </c>
      <c r="I21" s="0" t="n">
        <f aca="false">I19*I20</f>
        <v>1757.53869034713</v>
      </c>
      <c r="J21" s="0" t="n">
        <f aca="false">J19*J20</f>
        <v>1653.68413137207</v>
      </c>
      <c r="K21" s="0" t="n">
        <f aca="false">K19*K20</f>
        <v>1548.44968664839</v>
      </c>
      <c r="L21" s="0" t="n">
        <f aca="false">L19*L20</f>
        <v>1449.91197931622</v>
      </c>
    </row>
    <row r="23" customFormat="false" ht="15" hidden="false" customHeight="false" outlineLevel="0" collapsed="false">
      <c r="A23" s="0" t="s">
        <v>106</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Assumptions!$B$48</f>
        <v>10</v>
      </c>
    </row>
    <row r="28" customFormat="false" ht="15" hidden="false" customHeight="false" outlineLevel="0" collapsed="false">
      <c r="A28" s="0" t="s">
        <v>111</v>
      </c>
      <c r="B28" s="4" t="n">
        <f aca="false">Assumptions!$B$49</f>
        <v>3</v>
      </c>
    </row>
    <row r="29" customFormat="false" ht="15" hidden="false" customHeight="false" outlineLevel="0" collapsed="false">
      <c r="A29" s="0" t="s">
        <v>112</v>
      </c>
      <c r="B29" s="4" t="n">
        <f aca="false">Assumptions!$B$50</f>
        <v>15</v>
      </c>
    </row>
    <row r="30" customFormat="false" ht="15" hidden="false" customHeight="false" outlineLevel="0" collapsed="false">
      <c r="A30" s="0" t="s">
        <v>133</v>
      </c>
      <c r="B30" s="0" t="n">
        <f aca="false">SUM(C21:L21)</f>
        <v>18837.7828186962</v>
      </c>
    </row>
    <row r="31" customFormat="false" ht="15" hidden="false" customHeight="false" outlineLevel="0" collapsed="false">
      <c r="A31" s="0" t="s">
        <v>134</v>
      </c>
      <c r="B31" s="0" t="n">
        <f aca="false">L19</f>
        <v>3760.69826416013</v>
      </c>
    </row>
    <row r="32" customFormat="false" ht="15" hidden="false" customHeight="false" outlineLevel="0" collapsed="false">
      <c r="A32" s="0" t="s">
        <v>135</v>
      </c>
      <c r="B32" s="0" t="n">
        <f aca="false">IF(B27&gt;B28,B31*(1+B28/100)/((B27-B28)/100),B31*B29)</f>
        <v>55335.9887440704</v>
      </c>
    </row>
    <row r="33" customFormat="false" ht="15" hidden="false" customHeight="false" outlineLevel="0" collapsed="false">
      <c r="A33" s="0" t="s">
        <v>136</v>
      </c>
      <c r="B33" s="0" t="n">
        <f aca="false">B31*B29</f>
        <v>56410.4739624019</v>
      </c>
    </row>
    <row r="34" customFormat="false" ht="15" hidden="false" customHeight="false" outlineLevel="0" collapsed="false">
      <c r="A34" s="0" t="s">
        <v>137</v>
      </c>
      <c r="B34" s="0" t="n">
        <f aca="false">MAX(0,MIN(B32,B33))</f>
        <v>55335.9887440704</v>
      </c>
    </row>
    <row r="35" customFormat="false" ht="15" hidden="false" customHeight="false" outlineLevel="0" collapsed="false">
      <c r="A35" s="0" t="s">
        <v>138</v>
      </c>
      <c r="B35" s="0" t="n">
        <f aca="false">B34/(1+B27/100)^L4</f>
        <v>21334.4191242244</v>
      </c>
    </row>
    <row r="36" customFormat="false" ht="15" hidden="false" customHeight="false" outlineLevel="0" collapsed="false">
      <c r="A36" s="0" t="s">
        <v>139</v>
      </c>
      <c r="B36" s="0" t="n">
        <f aca="false">B30+B35</f>
        <v>40172.2019429206</v>
      </c>
    </row>
    <row r="37" customFormat="false" ht="15" hidden="false" customHeight="false" outlineLevel="0" collapsed="false">
      <c r="A37" s="0" t="s">
        <v>140</v>
      </c>
      <c r="B37" s="0" t="n">
        <f aca="false">B36+Assumptions!$B$5-Assumptions!$B$4</f>
        <v>40172.2019429206</v>
      </c>
    </row>
    <row r="38" customFormat="false" ht="15" hidden="false" customHeight="false" outlineLevel="0" collapsed="false">
      <c r="A38" s="0" t="s">
        <v>141</v>
      </c>
      <c r="B38" s="0" t="n">
        <f aca="false">B37/Assumptions!$B$3*Assumptions!$B$10</f>
        <v>9.79270898942742</v>
      </c>
    </row>
    <row r="39" customFormat="false" ht="15" hidden="false" customHeight="false" outlineLevel="0" collapsed="false">
      <c r="A39" s="0" t="s">
        <v>142</v>
      </c>
      <c r="B39" s="4" t="n">
        <f aca="false">B38/Assumptions!$B$2-1</f>
        <v>0.713509884414247</v>
      </c>
    </row>
    <row r="41" customFormat="false" ht="15" hidden="false" customHeight="false" outlineLevel="0" collapsed="false">
      <c r="A41" s="0" t="s">
        <v>143</v>
      </c>
      <c r="B41" s="0" t="n">
        <f aca="false">SUMPRODUCT(-C10:L10/(1+$B$27/100)^C4:L4)</f>
        <v>0</v>
      </c>
    </row>
    <row r="42" customFormat="false" ht="15" hidden="false" customHeight="false" outlineLevel="0" collapsed="false">
      <c r="A42" s="0" t="s">
        <v>144</v>
      </c>
      <c r="B42" s="0" t="n">
        <f aca="false">IF(B27&gt;B28,-L10*(1+B28/100)/((B27-B28)/100),-L10*20)/(1+B27/100)^L4</f>
        <v>0</v>
      </c>
    </row>
    <row r="43" customFormat="false" ht="15" hidden="false" customHeight="false" outlineLevel="0" collapsed="false">
      <c r="A43" s="0" t="s">
        <v>145</v>
      </c>
      <c r="B43" s="0" t="n">
        <f aca="false">(B37+B41+B42)/Assumptions!$B$3*Assumptions!$B$10</f>
        <v>9.79270898942742</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32279.3267673744</v>
      </c>
    </row>
    <row r="47" customFormat="false" ht="15" hidden="false" customHeight="false" outlineLevel="0" collapsed="false">
      <c r="A47" s="0" t="s">
        <v>147</v>
      </c>
      <c r="B47" s="0" t="n">
        <f aca="false">(SUMPRODUCT(C19:L19/(1+B45/100)^C4:L4)+B46/(1+B45/100)^L4+Assumptions!$B$5-Assumptions!$B$4)/Assumptions!$B$3*Assumptions!$B$10</f>
        <v>5.63410522245281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150</v>
      </c>
    </row>
    <row r="3" customFormat="false" ht="15" hidden="false" customHeight="false" outlineLevel="0" collapsed="false">
      <c r="A3" s="2" t="s">
        <v>151</v>
      </c>
      <c r="B3" s="2" t="s">
        <v>152</v>
      </c>
      <c r="C3" s="2" t="s">
        <v>142</v>
      </c>
      <c r="D3" s="2" t="s">
        <v>153</v>
      </c>
      <c r="E3" s="2" t="s">
        <v>145</v>
      </c>
      <c r="F3" s="2" t="s">
        <v>154</v>
      </c>
    </row>
    <row r="4" customFormat="false" ht="15" hidden="false" customHeight="false" outlineLevel="0" collapsed="false">
      <c r="A4" s="0" t="s">
        <v>155</v>
      </c>
      <c r="B4" s="4" t="n">
        <f aca="false">DCF_Bear!$B$38</f>
        <v>4.06045794122736</v>
      </c>
      <c r="C4" s="0" t="n">
        <f aca="false">B4/Assumptions!$B$2-1</f>
        <v>-0.28950867170125</v>
      </c>
      <c r="D4" s="4" t="n">
        <f aca="false">Assumptions!$B$24</f>
        <v>0.25</v>
      </c>
      <c r="E4" s="4" t="n">
        <f aca="false">DCF_Bear!$B$43</f>
        <v>4.06045794122736</v>
      </c>
      <c r="F4" s="4" t="n">
        <f aca="false">DCF_Bear!$B$47</f>
        <v>3.31590583056727</v>
      </c>
    </row>
    <row r="5" customFormat="false" ht="15" hidden="false" customHeight="false" outlineLevel="0" collapsed="false">
      <c r="A5" s="0" t="s">
        <v>156</v>
      </c>
      <c r="B5" s="4" t="n">
        <f aca="false">DCF_Base!$B$38</f>
        <v>7.21856491623</v>
      </c>
      <c r="C5" s="0" t="n">
        <f aca="false">B5/Assumptions!$B$2-1</f>
        <v>0.263090973968503</v>
      </c>
      <c r="D5" s="4" t="n">
        <f aca="false">Assumptions!$B$38</f>
        <v>0.5</v>
      </c>
      <c r="E5" s="4" t="n">
        <f aca="false">DCF_Base!$B$43</f>
        <v>7.21856491623</v>
      </c>
      <c r="F5" s="4" t="n">
        <f aca="false">DCF_Base!$B$47</f>
        <v>4.8875065484714</v>
      </c>
    </row>
    <row r="6" customFormat="false" ht="15" hidden="false" customHeight="false" outlineLevel="0" collapsed="false">
      <c r="A6" s="0" t="s">
        <v>157</v>
      </c>
      <c r="B6" s="4" t="n">
        <f aca="false">DCF_Bull!$B$38</f>
        <v>9.79270898942742</v>
      </c>
      <c r="C6" s="0" t="n">
        <f aca="false">B6/Assumptions!$B$2-1</f>
        <v>0.713509884414247</v>
      </c>
      <c r="D6" s="4" t="n">
        <f aca="false">Assumptions!$B$52</f>
        <v>0.25</v>
      </c>
      <c r="E6" s="4" t="n">
        <f aca="false">DCF_Bull!$B$43</f>
        <v>9.79270898942742</v>
      </c>
      <c r="F6" s="4" t="n">
        <f aca="false">DCF_Bull!$B$47</f>
        <v>5.63410522245281</v>
      </c>
    </row>
    <row r="8" customFormat="false" ht="15" hidden="false" customHeight="false" outlineLevel="0" collapsed="false">
      <c r="A8" s="0" t="s">
        <v>158</v>
      </c>
      <c r="B8" s="0" t="n">
        <f aca="false">SUMPRODUCT(B4:B6,D4:D6)</f>
        <v>7.07257419077869</v>
      </c>
    </row>
    <row r="9" customFormat="false" ht="15" hidden="false" customHeight="false" outlineLevel="0" collapsed="false">
      <c r="A9" s="0" t="s">
        <v>159</v>
      </c>
      <c r="B9" s="0" t="n">
        <f aca="false">SUMPRODUCT(E4:E6,D4:D6)</f>
        <v>7.07257419077869</v>
      </c>
    </row>
    <row r="10" customFormat="false" ht="15" hidden="false" customHeight="false" outlineLevel="0" collapsed="false">
      <c r="A10" s="0" t="s">
        <v>160</v>
      </c>
      <c r="B10" s="0" t="n">
        <f aca="false">1-Assumptions!$B$2/B8</f>
        <v>0.191949091541339</v>
      </c>
    </row>
    <row r="11" customFormat="false" ht="15" hidden="false" customHeight="false" outlineLevel="0" collapsed="false">
      <c r="A11" s="0" t="s">
        <v>161</v>
      </c>
      <c r="B11" s="0" t="str">
        <f aca="false">IF(ABS(B9-B8)&gt;0.01*ABS(B8),(Assumptions!$B$2-B8)/(B9-B8)*100,"n/a")</f>
        <v>n/a</v>
      </c>
    </row>
    <row r="12" customFormat="false" ht="15" hidden="false" customHeight="false" outlineLevel="0" collapsed="false">
      <c r="A12" s="0" t="s">
        <v>162</v>
      </c>
      <c r="B12" s="0" t="n">
        <f aca="false">SUMPRODUCT(F4:F6,D4:D6)</f>
        <v>4.68125603749072</v>
      </c>
    </row>
    <row r="14" customFormat="false" ht="15" hidden="false" customHeight="false" outlineLevel="0" collapsed="false">
      <c r="A14" s="2" t="s">
        <v>163</v>
      </c>
      <c r="C14" s="0" t="s">
        <v>164</v>
      </c>
    </row>
    <row r="15" customFormat="false" ht="15" hidden="false" customHeight="false" outlineLevel="0" collapsed="false">
      <c r="A15" s="0" t="s">
        <v>165</v>
      </c>
      <c r="B15" s="0" t="n">
        <f aca="false">(SUMPRODUCT(DCF_Base!$C$19:$L$19/(1+$C$15/100)^DCF_Base!$C$4:$L$4)+MAX(0,MIN(IF($C$15&gt;DCF_Base!$B$28,DCF_Base!$L$19*(1+DCF_Base!$B$28/100)/(($C$15-DCF_Base!$B$28)/100),DCF_Base!$L$19*DCF_Base!$B$29),DCF_Base!$L$19*DCF_Base!$B$29))/(1+$C$15/100)^DCF_Base!$L$4+Assumptions!$B$5-Assumptions!$B$4)/Assumptions!$B$3*Assumptions!$B$10</f>
        <v>9.21063649270261</v>
      </c>
      <c r="C15" s="3" t="n">
        <v>9</v>
      </c>
    </row>
    <row r="16" customFormat="false" ht="15" hidden="false" customHeight="false" outlineLevel="0" collapsed="false">
      <c r="A16" s="0" t="s">
        <v>166</v>
      </c>
      <c r="B16" s="0" t="n">
        <f aca="false">(SUMPRODUCT(DCF_Base!$C$19:$L$19/(1+$C$16/100)^DCF_Base!$C$4:$L$4)+MAX(0,MIN(IF($C$16&gt;DCF_Base!$B$28,DCF_Base!$L$19*(1+DCF_Base!$B$28/100)/(($C$16-DCF_Base!$B$28)/100),DCF_Base!$L$19*DCF_Base!$B$29),DCF_Base!$L$19*DCF_Base!$B$29))/(1+$C$16/100)^DCF_Base!$L$4+Assumptions!$B$5-Assumptions!$B$4)/Assumptions!$B$3*Assumptions!$B$10</f>
        <v>8.19077184908949</v>
      </c>
      <c r="C16" s="3" t="n">
        <v>10</v>
      </c>
    </row>
    <row r="17" customFormat="false" ht="15" hidden="false" customHeight="false" outlineLevel="0" collapsed="false">
      <c r="A17" s="0" t="s">
        <v>167</v>
      </c>
      <c r="B17" s="0" t="n">
        <f aca="false">(SUMPRODUCT(DCF_Base!$C$19:$L$19/(1+$C$17/100)^DCF_Base!$C$4:$L$4)+MAX(0,MIN(IF($C$17&gt;DCF_Base!$B$28,DCF_Base!$L$19*(1+DCF_Base!$B$28/100)/(($C$17-DCF_Base!$B$28)/100),DCF_Base!$L$19*DCF_Base!$B$29),DCF_Base!$L$19*DCF_Base!$B$29))/(1+$C$17/100)^DCF_Base!$L$4+Assumptions!$B$5-Assumptions!$B$4)/Assumptions!$B$3*Assumptions!$B$10</f>
        <v>7.21856491623</v>
      </c>
      <c r="C17" s="3" t="n">
        <v>11</v>
      </c>
    </row>
    <row r="18" customFormat="false" ht="15" hidden="false" customHeight="false" outlineLevel="0" collapsed="false">
      <c r="A18" s="0" t="s">
        <v>168</v>
      </c>
      <c r="B18" s="0" t="n">
        <f aca="false">(SUMPRODUCT(DCF_Base!$C$19:$L$19/(1+$C$18/100)^DCF_Base!$C$4:$L$4)+MAX(0,MIN(IF($C$18&gt;DCF_Base!$B$28,DCF_Base!$L$19*(1+DCF_Base!$B$28/100)/(($C$18-DCF_Base!$B$28)/100),DCF_Base!$L$19*DCF_Base!$B$29),DCF_Base!$L$19*DCF_Base!$B$29))/(1+$C$18/100)^DCF_Base!$L$4+Assumptions!$B$5-Assumptions!$B$4)/Assumptions!$B$3*Assumptions!$B$10</f>
        <v>6.45134346442942</v>
      </c>
      <c r="C18" s="3" t="n">
        <v>12</v>
      </c>
    </row>
    <row r="19" customFormat="false" ht="15" hidden="false" customHeight="false" outlineLevel="0" collapsed="false">
      <c r="A19" s="0" t="s">
        <v>169</v>
      </c>
      <c r="B19" s="0" t="n">
        <f aca="false">(SUMPRODUCT(DCF_Base!$C$19:$L$19/(1+$C$19/100)^DCF_Base!$C$4:$L$4)+MAX(0,MIN(IF($C$19&gt;DCF_Base!$B$28,DCF_Base!$L$19*(1+DCF_Base!$B$28/100)/(($C$19-DCF_Base!$B$28)/100),DCF_Base!$L$19*DCF_Base!$B$29),DCF_Base!$L$19*DCF_Base!$B$29))/(1+$C$19/100)^DCF_Base!$L$4+Assumptions!$B$5-Assumptions!$B$4)/Assumptions!$B$3*Assumptions!$B$10</f>
        <v>4.8875065484714</v>
      </c>
      <c r="C19" s="3" t="n">
        <v>15</v>
      </c>
    </row>
    <row r="21" customFormat="false" ht="15" hidden="false" customHeight="false" outlineLevel="0" collapsed="false">
      <c r="A21" s="2" t="s">
        <v>170</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8.73022899356355</v>
      </c>
      <c r="C23" s="0" t="n">
        <f aca="false">(SUMPRODUCT(DCF_Base!$C$19:$L$19/(1+$A$23/100)^DCF_Base!$C$4:$L$4)+MAX(0,MIN(IF($A$23&gt;$C$22,DCF_Base!$L$19*(1+$C$22/100)/(($A$23-$C$22)/100),DCF_Base!$L$19*DCF_Base!$B$29),DCF_Base!$L$19*DCF_Base!$B$29))/(1+$A$23/100)^DCF_Base!$L$4+Assumptions!$B$5-Assumptions!$B$4)/Assumptions!$B$3*Assumptions!$B$10</f>
        <v>9.07025767801912</v>
      </c>
      <c r="D23" s="0" t="n">
        <f aca="false">(SUMPRODUCT(DCF_Base!$C$19:$L$19/(1+$A$23/100)^DCF_Base!$C$4:$L$4)+MAX(0,MIN(IF($A$23&gt;$D$22,DCF_Base!$L$19*(1+$D$22/100)/(($A$23-$D$22)/100),DCF_Base!$L$19*DCF_Base!$B$29),DCF_Base!$L$19*DCF_Base!$B$29))/(1+$A$23/100)^DCF_Base!$L$4+Assumptions!$B$5-Assumptions!$B$4)/Assumptions!$B$3*Assumptions!$B$10</f>
        <v>9.21063649270261</v>
      </c>
      <c r="E23" s="0" t="n">
        <f aca="false">(SUMPRODUCT(DCF_Base!$C$19:$L$19/(1+$A$23/100)^DCF_Base!$C$4:$L$4)+MAX(0,MIN(IF($A$23&gt;$E$22,DCF_Base!$L$19*(1+$E$22/100)/(($A$23-$E$22)/100),DCF_Base!$L$19*DCF_Base!$B$29),DCF_Base!$L$19*DCF_Base!$B$29))/(1+$A$23/100)^DCF_Base!$L$4+Assumptions!$B$5-Assumptions!$B$4)/Assumptions!$B$3*Assumptions!$B$10</f>
        <v>9.21063649270261</v>
      </c>
      <c r="F23" s="0" t="n">
        <f aca="false">(SUMPRODUCT(DCF_Base!$C$19:$L$19/(1+$A$23/100)^DCF_Base!$C$4:$L$4)+MAX(0,MIN(IF($A$23&gt;$F$22,DCF_Base!$L$19*(1+$F$22/100)/(($A$23-$F$22)/100),DCF_Base!$L$19*DCF_Base!$B$29),DCF_Base!$L$19*DCF_Base!$B$29))/(1+$A$23/100)^DCF_Base!$L$4+Assumptions!$B$5-Assumptions!$B$4)/Assumptions!$B$3*Assumptions!$B$10</f>
        <v>9.21063649270261</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7.67491526236485</v>
      </c>
      <c r="C24" s="0" t="n">
        <f aca="false">(SUMPRODUCT(DCF_Base!$C$19:$L$19/(1+$A$24/100)^DCF_Base!$C$4:$L$4)+MAX(0,MIN(IF($A$24&gt;$C$22,DCF_Base!$L$19*(1+$C$22/100)/(($A$24-$C$22)/100),DCF_Base!$L$19*DCF_Base!$B$29),DCF_Base!$L$19*DCF_Base!$B$29))/(1+$A$24/100)^DCF_Base!$L$4+Assumptions!$B$5-Assumptions!$B$4)/Assumptions!$B$3*Assumptions!$B$10</f>
        <v>7.91672303739203</v>
      </c>
      <c r="D24" s="0" t="n">
        <f aca="false">(SUMPRODUCT(DCF_Base!$C$19:$L$19/(1+$A$24/100)^DCF_Base!$C$4:$L$4)+MAX(0,MIN(IF($A$24&gt;$D$22,DCF_Base!$L$19*(1+$D$22/100)/(($A$24-$D$22)/100),DCF_Base!$L$19*DCF_Base!$B$29),DCF_Base!$L$19*DCF_Base!$B$29))/(1+$A$24/100)^DCF_Base!$L$4+Assumptions!$B$5-Assumptions!$B$4)/Assumptions!$B$3*Assumptions!$B$10</f>
        <v>8.19077184908949</v>
      </c>
      <c r="E24" s="0" t="n">
        <f aca="false">(SUMPRODUCT(DCF_Base!$C$19:$L$19/(1+$A$24/100)^DCF_Base!$C$4:$L$4)+MAX(0,MIN(IF($A$24&gt;$E$22,DCF_Base!$L$19*(1+$E$22/100)/(($A$24-$E$22)/100),DCF_Base!$L$19*DCF_Base!$B$29),DCF_Base!$L$19*DCF_Base!$B$29))/(1+$A$24/100)^DCF_Base!$L$4+Assumptions!$B$5-Assumptions!$B$4)/Assumptions!$B$3*Assumptions!$B$10</f>
        <v>8.50397049102945</v>
      </c>
      <c r="F24" s="0" t="n">
        <f aca="false">(SUMPRODUCT(DCF_Base!$C$19:$L$19/(1+$A$24/100)^DCF_Base!$C$4:$L$4)+MAX(0,MIN(IF($A$24&gt;$F$22,DCF_Base!$L$19*(1+$F$22/100)/(($A$24-$F$22)/100),DCF_Base!$L$19*DCF_Base!$B$29),DCF_Base!$L$19*DCF_Base!$B$29))/(1+$A$24/100)^DCF_Base!$L$4+Assumptions!$B$5-Assumptions!$B$4)/Assumptions!$B$3*Assumptions!$B$10</f>
        <v>8.58938830246762</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6.84316515188689</v>
      </c>
      <c r="C25" s="0" t="n">
        <f aca="false">(SUMPRODUCT(DCF_Base!$C$19:$L$19/(1+$A$25/100)^DCF_Base!$C$4:$L$4)+MAX(0,MIN(IF($A$25&gt;$C$22,DCF_Base!$L$19*(1+$C$22/100)/(($A$25-$C$22)/100),DCF_Base!$L$19*DCF_Base!$B$29),DCF_Base!$L$19*DCF_Base!$B$29))/(1+$A$25/100)^DCF_Base!$L$4+Assumptions!$B$5-Assumptions!$B$4)/Assumptions!$B$3*Assumptions!$B$10</f>
        <v>7.02043726282669</v>
      </c>
      <c r="D25" s="0" t="n">
        <f aca="false">(SUMPRODUCT(DCF_Base!$C$19:$L$19/(1+$A$25/100)^DCF_Base!$C$4:$L$4)+MAX(0,MIN(IF($A$25&gt;$D$22,DCF_Base!$L$19*(1+$D$22/100)/(($A$25-$D$22)/100),DCF_Base!$L$19*DCF_Base!$B$29),DCF_Base!$L$19*DCF_Base!$B$29))/(1+$A$25/100)^DCF_Base!$L$4+Assumptions!$B$5-Assumptions!$B$4)/Assumptions!$B$3*Assumptions!$B$10</f>
        <v>7.21856491623</v>
      </c>
      <c r="E25" s="0" t="n">
        <f aca="false">(SUMPRODUCT(DCF_Base!$C$19:$L$19/(1+$A$25/100)^DCF_Base!$C$4:$L$4)+MAX(0,MIN(IF($A$25&gt;$E$22,DCF_Base!$L$19*(1+$E$22/100)/(($A$25-$E$22)/100),DCF_Base!$L$19*DCF_Base!$B$29),DCF_Base!$L$19*DCF_Base!$B$29))/(1+$A$25/100)^DCF_Base!$L$4+Assumptions!$B$5-Assumptions!$B$4)/Assumptions!$B$3*Assumptions!$B$10</f>
        <v>7.44145852630871</v>
      </c>
      <c r="F25" s="0" t="n">
        <f aca="false">(SUMPRODUCT(DCF_Base!$C$19:$L$19/(1+$A$25/100)^DCF_Base!$C$4:$L$4)+MAX(0,MIN(IF($A$25&gt;$F$22,DCF_Base!$L$19*(1+$F$22/100)/(($A$25-$F$22)/100),DCF_Base!$L$19*DCF_Base!$B$29),DCF_Base!$L$19*DCF_Base!$B$29))/(1+$A$25/100)^DCF_Base!$L$4+Assumptions!$B$5-Assumptions!$B$4)/Assumptions!$B$3*Assumptions!$B$10</f>
        <v>7.69407128439793</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6.1710143356198</v>
      </c>
      <c r="C26" s="0" t="n">
        <f aca="false">(SUMPRODUCT(DCF_Base!$C$19:$L$19/(1+$A$26/100)^DCF_Base!$C$4:$L$4)+MAX(0,MIN(IF($A$26&gt;$C$22,DCF_Base!$L$19*(1+$C$22/100)/(($A$26-$C$22)/100),DCF_Base!$L$19*DCF_Base!$B$29),DCF_Base!$L$19*DCF_Base!$B$29))/(1+$A$26/100)^DCF_Base!$L$4+Assumptions!$B$5-Assumptions!$B$4)/Assumptions!$B$3*Assumptions!$B$10</f>
        <v>6.30417067180437</v>
      </c>
      <c r="D26" s="0" t="n">
        <f aca="false">(SUMPRODUCT(DCF_Base!$C$19:$L$19/(1+$A$26/100)^DCF_Base!$C$4:$L$4)+MAX(0,MIN(IF($A$26&gt;$D$22,DCF_Base!$L$19*(1+$D$22/100)/(($A$26-$D$22)/100),DCF_Base!$L$19*DCF_Base!$B$29),DCF_Base!$L$19*DCF_Base!$B$29))/(1+$A$26/100)^DCF_Base!$L$4+Assumptions!$B$5-Assumptions!$B$4)/Assumptions!$B$3*Assumptions!$B$10</f>
        <v>6.45134346442942</v>
      </c>
      <c r="E26" s="0" t="n">
        <f aca="false">(SUMPRODUCT(DCF_Base!$C$19:$L$19/(1+$A$26/100)^DCF_Base!$C$4:$L$4)+MAX(0,MIN(IF($A$26&gt;$E$22,DCF_Base!$L$19*(1+$E$22/100)/(($A$26-$E$22)/100),DCF_Base!$L$19*DCF_Base!$B$29),DCF_Base!$L$19*DCF_Base!$B$29))/(1+$A$26/100)^DCF_Base!$L$4+Assumptions!$B$5-Assumptions!$B$4)/Assumptions!$B$3*Assumptions!$B$10</f>
        <v>6.61486878956837</v>
      </c>
      <c r="F26" s="0" t="n">
        <f aca="false">(SUMPRODUCT(DCF_Base!$C$19:$L$19/(1+$A$26/100)^DCF_Base!$C$4:$L$4)+MAX(0,MIN(IF($A$26&gt;$F$22,DCF_Base!$L$19*(1+$F$22/100)/(($A$26-$F$22)/100),DCF_Base!$L$19*DCF_Base!$B$29),DCF_Base!$L$19*DCF_Base!$B$29))/(1+$A$26/100)^DCF_Base!$L$4+Assumptions!$B$5-Assumptions!$B$4)/Assumptions!$B$3*Assumptions!$B$10</f>
        <v>6.79763238825308</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5.61675373281462</v>
      </c>
      <c r="C27" s="0" t="n">
        <f aca="false">(SUMPRODUCT(DCF_Base!$C$19:$L$19/(1+$A$27/100)^DCF_Base!$C$4:$L$4)+MAX(0,MIN(IF($A$27&gt;$C$22,DCF_Base!$L$19*(1+$C$22/100)/(($A$27-$C$22)/100),DCF_Base!$L$19*DCF_Base!$B$29),DCF_Base!$L$19*DCF_Base!$B$29))/(1+$A$27/100)^DCF_Base!$L$4+Assumptions!$B$5-Assumptions!$B$4)/Assumptions!$B$3*Assumptions!$B$10</f>
        <v>5.71878113368361</v>
      </c>
      <c r="D27" s="0" t="n">
        <f aca="false">(SUMPRODUCT(DCF_Base!$C$19:$L$19/(1+$A$27/100)^DCF_Base!$C$4:$L$4)+MAX(0,MIN(IF($A$27&gt;$D$22,DCF_Base!$L$19*(1+$D$22/100)/(($A$27-$D$22)/100),DCF_Base!$L$19*DCF_Base!$B$29),DCF_Base!$L$19*DCF_Base!$B$29))/(1+$A$27/100)^DCF_Base!$L$4+Assumptions!$B$5-Assumptions!$B$4)/Assumptions!$B$3*Assumptions!$B$10</f>
        <v>5.83052542987346</v>
      </c>
      <c r="E27" s="0" t="n">
        <f aca="false">(SUMPRODUCT(DCF_Base!$C$19:$L$19/(1+$A$27/100)^DCF_Base!$C$4:$L$4)+MAX(0,MIN(IF($A$27&gt;$E$22,DCF_Base!$L$19*(1+$E$22/100)/(($A$27-$E$22)/100),DCF_Base!$L$19*DCF_Base!$B$29),DCF_Base!$L$19*DCF_Base!$B$29))/(1+$A$27/100)^DCF_Base!$L$4+Assumptions!$B$5-Assumptions!$B$4)/Assumptions!$B$3*Assumptions!$B$10</f>
        <v>5.9534441556823</v>
      </c>
      <c r="F27" s="0" t="n">
        <f aca="false">(SUMPRODUCT(DCF_Base!$C$19:$L$19/(1+$A$27/100)^DCF_Base!$C$4:$L$4)+MAX(0,MIN(IF($A$27&gt;$F$22,DCF_Base!$L$19*(1+$F$22/100)/(($A$27-$F$22)/100),DCF_Base!$L$19*DCF_Base!$B$29),DCF_Base!$L$19*DCF_Base!$B$29))/(1+$A$27/100)^DCF_Base!$L$4+Assumptions!$B$5-Assumptions!$B$4)/Assumptions!$B$3*Assumptions!$B$10</f>
        <v>6.08930169473417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2026-10-22T09:22:04Z</dcterms:created>
  <dc:creator>openpyxl</dc:creator>
  <dc:description/>
  <dc:language>en-NZ</dc:language>
  <cp:lastModifiedBy/>
  <dcterms:modified xsi:type="dcterms:W3CDTF">2026-10-22T09:22:04Z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