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<sst xmlns="http://schemas.openxmlformats.org/spreadsheetml/2006/main" count="389" uniqueCount="174">
  <si>
    <t xml:space="preserve">Ticker</t>
  </si>
  <si>
    <t xml:space="preserve">MAS</t>
  </si>
  <si>
    <t xml:space="preserve">Company</t>
  </si>
  <si>
    <t xml:space="preserve">Masco Corporation</t>
  </si>
  <si>
    <t xml:space="preserve">Valuation date</t>
  </si>
  <si>
    <t xml:space="preserve">2026-10-02</t>
  </si>
  <si>
    <t xml:space="preserve">Current price</t>
  </si>
  <si>
    <t xml:space="preserve">Price as of</t>
  </si>
  <si>
    <t xml:space="preserve">2026-10-01T20:00:02Z regular close (NYSE)</t>
  </si>
  <si>
    <t xml:space="preserve">Balance sheet date</t>
  </si>
  <si>
    <t xml:space="preserve">2026-06-30</t>
  </si>
  <si>
    <t xml:space="preserve">Model</t>
  </si>
  <si>
    <t xml:space="preserve">owner_fcf_dcf_component</t>
  </si>
  <si>
    <t xml:space="preserve">Currency (model)</t>
  </si>
  <si>
    <t xml:space="preserve">USD</t>
  </si>
  <si>
    <t xml:space="preserve">Currency (quote)</t>
  </si>
  <si>
    <t xml:space="preserve">Units</t>
  </si>
  <si>
    <t xml:space="preserve">millions</t>
  </si>
  <si>
    <t xml:space="preserve">Engine</t>
  </si>
  <si>
    <t xml:space="preserve">dcf_engine v1</t>
  </si>
  <si>
    <t xml:space="preserve">Built at</t>
  </si>
  <si>
    <t xml:space="preserve">2026-10-02T00:42:50Z</t>
  </si>
  <si>
    <t xml:space="preserve">Drivers file</t>
  </si>
  <si>
    <t xml:space="preserve">MAS_Drivers.json</t>
  </si>
  <si>
    <t xml:space="preserve">Convention</t>
  </si>
  <si>
    <t xml:space="preserve">Percents stored as percents; formulas divide by 100. Blue = input, green = link, black = formula.</t>
  </si>
  <si>
    <t xml:space="preserve">Methodology</t>
  </si>
  <si>
    <t xml:space="preserve">summary: Owner-FCF DCF on consolidated flows with SBC (~0.5% of revenue, immaterial) fully expensed and the share count flat; a 10-year explicit build so the margin recovery is matured before capitalising; a 15x cyclical terminal cap; WACC 9% in all scenarios with cycle risk carried in the scenario paths and weights. The bridge is EV less June-2026 net debt less the Hansgrohe minority at 15x earnings, adjusted for the H1-2026 cash already spent on buybacks; book equity is negative and plays no role. House and street values nearly coincide because SBC is tiny.
key_risks_to_valuation: Repair-and-remodel cycle: the base case assumes turnover recovers from 2027; every year of delay is roughly $2-3/share.; Customer concentration: Home Depot ~35% of sales (Behr is exclusive to Home Depot); a paint reset or private-label push would hit the Decorative segment's 20%+ margins directly.; Tariffs and sourcing: plumbing and hardware are substantially sourced from China/Asia; the ~$85m IEEPA refund is treated as one-off, and re-escalation is the bear axis.; Leverage with negative book equity: ~$3.2bn debt, BBB rating, buybacks funded partly by a term loan; a downgrade would force buybacks to pause and raise the cost of debt.; Terminal-cap sensitivity: the 15x cap binds in base and bull; at a 16-18x exit (Masco's own 10-year EV/EBITDA has run 10-13x, i.e. ~18-22x owner FCF) the value is materially higher -- the gap is the price of not assuming re-rating.; Hansgrohe minority valued at 15x NCI earnings in the bridge; at book ($247m) the value is ~$2.4/share higher.</t>
  </si>
  <si>
    <t xml:space="preserve">Data sources</t>
  </si>
  <si>
    <t xml:space="preserve">price: Yahoo Finance chart API regular close at inputs.price_as_of; 52-week range 58.16-83.64
financials: MAS_Metrics.csv (SEC XBRL, FY2006-Q1 2026, USD millions) for history; FY2025 10-K and Q2-2026 10-Q (filed 2026-07-29, accession 0000062996-26-000027) read directly for the 2026-06-30 balance sheet, share count, NCI, H1 cash flows and ASR; SEC companyfacts API for SBC, withholding taxes, cash taxes, D&amp;A, leases and interest.
qualitative: Q2-2026 earnings release (8-K ex-99.1, 2026-07-29) for FY2026 guidance and the IEEPA refund; MAS_Analysis.json was not yet available at build time.</t>
  </si>
  <si>
    <t xml:space="preserve">Scenario narrative: bear</t>
  </si>
  <si>
    <t xml:space="preserve">The 2027 R&amp;R recovery does not arrive: rates stay high, big-ticket remodel spending falls another 4%, Behr loses DIY share at Home Depot (Masco's largest customer, ~35% of sales) and tariffs on China-sourced plumbing and hardware re-escalate without full price recovery, compressing EBITDA to 16.5% before a partial recovery to 17.5%. Buybacks slow to protect the BBB rating given the shareholders' deficit, and the leadership transition (new CEO and CFO, reorganised executive committee in January 2026, senior Plumbing and operations retirements through 2026) costs a year of execution. Terminal growth 2%; no scenario hits the zero-FCF floor -- the business remains solidly cash generative even here.</t>
  </si>
  <si>
    <t xml:space="preserve">Scenario narrative: base</t>
  </si>
  <si>
    <t xml:space="preserve">Repair-and-remodel demand (~89-90% of sales) bottoms in 2026 after four years of volume decline (FY2026 sales up low-single-digits on pricing, North American volumes still negative) and recovers from 2027 as lower mortgage rates release pent-up housing turnover; Masco grows a point or two above the market on Delta/Behr share gains and pricing, with EBITDA margin returning to the FY2024 ~19.3% level and edging to ~19.8% on cost savings. Capital allocation stays dividends plus ~$600m/yr of buybacks, so the per-share compounding comes from the count, not from book equity. The one-off tariff refund is treated as cash in the bridge, not as margin.</t>
  </si>
  <si>
    <t xml:space="preserve">Scenario narrative: bull</t>
  </si>
  <si>
    <t xml:space="preserve">Housing turnover rebounds hard (existing-home sales back toward 5m from ~4m) and the deferred-project backlog converts into two to three years of 6% growth; tariff relief and cost programmes hold, so operating leverage takes EBITDA to ~21% (OI ~19%, the company's long-run aspiration). Hansgrohe's European recovery and premium mix add to it. Terminal growth 3% but the 15x cyclical cap still binds, so the bull case is mainly a flows story.</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</si>
  <si>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</si>
  <si>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</si>
  <si>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</si>
  <si>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</si>
  <si>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</si>
  <si>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</si>
  <si>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</si>
  <si>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</si>
  <si>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</si>
  <si>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</si>
  <si>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</si>
  <si>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</si>
  <si>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</si>
  <si>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</si>
  <si>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</si>
  <si>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</si>
  <si>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</si>
  <si>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</si>
  <si>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</si>
  <si>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</si>
  <si>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</si>
  <si>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</si>
  <si>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</si>
  <si>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</si>
  <si>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</si>
  <si>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</si>
  <si>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</si>
  <si>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FY2006</t>
  </si>
  <si>
    <t xml:space="preserve">FY2007</t>
  </si>
  <si>
    <t xml:space="preserve">FY2008</t>
  </si>
  <si>
    <t xml:space="preserve">FY2009</t>
  </si>
  <si>
    <t xml:space="preserve">FY2010</t>
  </si>
  <si>
    <t xml:space="preserve">FY2011</t>
  </si>
  <si>
    <t xml:space="preserve">FY2012</t>
  </si>
  <si>
    <t xml:space="preserve">FY2013</t>
  </si>
  <si>
    <t xml:space="preserve">FY2014</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</si>
  <si>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</si>
  <si>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</si>
  <si>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</si>
  <si>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</si>
  <si>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</si>
  <si>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</si>
  <si>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</si>
  <si>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</si>
  <si>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</si>
  <si>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</si>
  <si>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</si>
  <si>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</si>
  <si>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</si>
  <si>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</si>
  <si>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</si>
  <si>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</si>
  <si>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</si>
  <si>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</si>
  <si>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</si>
  <si>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</si>
  <si>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</si>
  <si>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USD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</si>
  <si>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</si>
  <si>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</si>
  <si>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</si>
  <si>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</si>
  <si>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</si>
  <si>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</si>
  <si>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</si>
  <si>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</si>
  <si>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</si>
  <si>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</si>
  <si>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</si>
  <si>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</si>
  <si>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</si>
  <si>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</si>
  <si>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</si>
  <si>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</si>
  <si>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</si>
  <si>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</si>
  <si>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</si>
  <si>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</si>
  <si>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</si>
  <si>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</si>
  <si>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</si>
  <si>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</si>
  <si>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</si>
  <si>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</si>
  <si>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MAS owner-FCF component DCF: bear case (millions, USD)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</si>
  <si>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</si>
  <si>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</si>
  <si>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</si>
  <si>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</si>
  <si>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</si>
  <si>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</si>
  <si>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</si>
  <si>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</si>
  <si>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</si>
  <si>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</si>
  <si>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</si>
  <si>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</si>
  <si>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</si>
  <si>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</si>
  <si>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</si>
  <si>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</si>
  <si>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</si>
  <si>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</si>
  <si>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</si>
  <si>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</si>
  <si>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</si>
  <si>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</si>
  <si>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</si>
  <si>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</si>
  <si>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</si>
  <si>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</si>
  <si>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</si>
  <si>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</si>
  <si>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</si>
  <si>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</si>
  <si>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MAS owner-FCF component DCF: base case (millions, USD)</t>
  </si>
  <si>
    <t xml:space="preserve">MAS owner-FCF component DCF: bull case (millions, USD)</t>
  </si>
  <si>
    <t xml:space="preserve">MAS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</si>
  <si>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</si>
  <si>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</si>
  <si>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</si>
  <si>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</si>
  <si>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</si>
  <si>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</si>
  <si>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</si>
  <si>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</si>
  <si>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</si>
  <si>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</si>
  <si>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</si>
  <si>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</si>
  <si>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</si>
  <si>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</si>
  <si>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 (WACC)</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</si>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</sst>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68.28</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row>
    <row r="2" customFormat="false" ht="15" hidden="false" customHeight="false" outlineLevel="0" collapsed="false">
      <c r="A2" s="0" t="s">
        <v>63</v>
      </c>
      <c r="O2" s="0" t="n">
        <v>4579</v>
      </c>
      <c r="S2" s="0" t="n">
        <v>1958</v>
      </c>
      <c r="AA2" s="0" t="s">
        <v>17</v>
      </c>
      <c r="AB2" s="0" t="s">
        <v>14</v>
      </c>
    </row>
    <row r="3" customFormat="false" ht="15" hidden="false" customHeight="false" outlineLevel="0" collapsed="false">
      <c r="A3" s="0" t="s">
        <v>64</v>
      </c>
      <c r="B3" s="0" t="n">
        <v>11413</v>
      </c>
      <c r="C3" s="0" t="n">
        <v>8280</v>
      </c>
      <c r="D3" s="0" t="n">
        <v>3133</v>
      </c>
      <c r="E3" s="0" t="n">
        <v>27.4511521948655</v>
      </c>
      <c r="F3" s="0" t="n">
        <v>1061</v>
      </c>
      <c r="G3" s="0" t="n">
        <v>9.29641636730045</v>
      </c>
      <c r="I3" s="0" t="n">
        <v>423</v>
      </c>
      <c r="J3" s="0" t="n">
        <v>3.70629983352318</v>
      </c>
      <c r="K3" s="0" t="n">
        <v>1.02</v>
      </c>
      <c r="L3" s="0" t="n">
        <v>1270</v>
      </c>
      <c r="M3" s="0" t="n">
        <v>248</v>
      </c>
      <c r="N3" s="0" t="n">
        <v>1022</v>
      </c>
      <c r="O3" s="0" t="n">
        <v>4142</v>
      </c>
      <c r="S3" s="0" t="n">
        <v>922</v>
      </c>
      <c r="U3" s="0" t="n">
        <v>94</v>
      </c>
      <c r="AA3" s="0" t="s">
        <v>17</v>
      </c>
      <c r="AB3" s="0" t="s">
        <v>14</v>
      </c>
    </row>
    <row r="4" customFormat="false" ht="15" hidden="false" customHeight="false" outlineLevel="0" collapsed="false">
      <c r="A4" s="0" t="s">
        <v>65</v>
      </c>
      <c r="B4" s="0" t="n">
        <v>9484</v>
      </c>
      <c r="C4" s="0" t="n">
        <v>7125</v>
      </c>
      <c r="D4" s="0" t="n">
        <v>2359</v>
      </c>
      <c r="E4" s="0" t="n">
        <v>24.8734711092366</v>
      </c>
      <c r="F4" s="0" t="n">
        <v>90</v>
      </c>
      <c r="G4" s="0" t="n">
        <v>0.948966680725432</v>
      </c>
      <c r="H4" s="0" t="n">
        <v>322</v>
      </c>
      <c r="I4" s="0" t="n">
        <v>-391</v>
      </c>
      <c r="J4" s="0" t="n">
        <v>-4.12273302404049</v>
      </c>
      <c r="K4" s="0" t="n">
        <v>-1.13</v>
      </c>
      <c r="L4" s="0" t="n">
        <v>797</v>
      </c>
      <c r="M4" s="0" t="n">
        <v>200</v>
      </c>
      <c r="N4" s="0" t="n">
        <v>597</v>
      </c>
      <c r="O4" s="0" t="n">
        <v>2981</v>
      </c>
      <c r="P4" s="0" t="n">
        <v>9483</v>
      </c>
      <c r="Q4" s="0" t="n">
        <v>6502</v>
      </c>
      <c r="R4" s="0" t="n">
        <v>3915</v>
      </c>
      <c r="S4" s="0" t="n">
        <v>1028</v>
      </c>
      <c r="T4" s="0" t="n">
        <v>353</v>
      </c>
      <c r="U4" s="0" t="n">
        <v>74</v>
      </c>
      <c r="V4" s="0" t="n">
        <v>0.93</v>
      </c>
      <c r="AA4" s="0" t="s">
        <v>17</v>
      </c>
      <c r="AB4" s="0" t="s">
        <v>14</v>
      </c>
    </row>
    <row r="5" customFormat="false" ht="15" hidden="false" customHeight="false" outlineLevel="0" collapsed="false">
      <c r="A5" s="0" t="s">
        <v>66</v>
      </c>
      <c r="B5" s="0" t="n">
        <v>7657</v>
      </c>
      <c r="C5" s="0" t="n">
        <v>5647</v>
      </c>
      <c r="D5" s="0" t="n">
        <v>2010</v>
      </c>
      <c r="E5" s="0" t="n">
        <v>26.2504897479431</v>
      </c>
      <c r="F5" s="0" t="n">
        <v>70</v>
      </c>
      <c r="G5" s="0" t="n">
        <v>0.914196160376126</v>
      </c>
      <c r="H5" s="0" t="n">
        <v>315</v>
      </c>
      <c r="I5" s="0" t="n">
        <v>-183</v>
      </c>
      <c r="J5" s="0" t="n">
        <v>-2.38996996212616</v>
      </c>
      <c r="K5" s="0" t="n">
        <v>-0.53</v>
      </c>
      <c r="L5" s="0" t="n">
        <v>705</v>
      </c>
      <c r="M5" s="0" t="n">
        <v>125</v>
      </c>
      <c r="N5" s="0" t="n">
        <v>580</v>
      </c>
      <c r="O5" s="0" t="n">
        <v>2817</v>
      </c>
      <c r="P5" s="0" t="n">
        <v>9175</v>
      </c>
      <c r="Q5" s="0" t="n">
        <v>6358</v>
      </c>
      <c r="R5" s="0" t="n">
        <v>4332</v>
      </c>
      <c r="S5" s="0" t="n">
        <v>1413</v>
      </c>
      <c r="T5" s="0" t="n">
        <v>351</v>
      </c>
      <c r="U5" s="0" t="n">
        <v>69</v>
      </c>
      <c r="V5" s="0" t="n">
        <v>0.3</v>
      </c>
      <c r="AA5" s="0" t="s">
        <v>17</v>
      </c>
      <c r="AB5" s="0" t="s">
        <v>14</v>
      </c>
    </row>
    <row r="6" customFormat="false" ht="15" hidden="false" customHeight="false" outlineLevel="0" collapsed="false">
      <c r="A6" s="0" t="s">
        <v>67</v>
      </c>
      <c r="B6" s="0" t="n">
        <v>7486</v>
      </c>
      <c r="C6" s="0" t="n">
        <v>5653</v>
      </c>
      <c r="D6" s="0" t="n">
        <v>1833</v>
      </c>
      <c r="E6" s="0" t="n">
        <v>24.4857066524179</v>
      </c>
      <c r="F6" s="0" t="n">
        <v>-463</v>
      </c>
      <c r="G6" s="0" t="n">
        <v>-6.18487843975421</v>
      </c>
      <c r="H6" s="0" t="n">
        <v>-191</v>
      </c>
      <c r="I6" s="0" t="n">
        <v>-1043</v>
      </c>
      <c r="J6" s="0" t="n">
        <v>-13.9326743254074</v>
      </c>
      <c r="K6" s="0" t="n">
        <v>-3</v>
      </c>
      <c r="L6" s="0" t="n">
        <v>465</v>
      </c>
      <c r="M6" s="0" t="n">
        <v>137</v>
      </c>
      <c r="N6" s="0" t="n">
        <v>328</v>
      </c>
      <c r="O6" s="0" t="n">
        <v>1582</v>
      </c>
      <c r="P6" s="0" t="n">
        <v>8140</v>
      </c>
      <c r="Q6" s="0" t="n">
        <v>6558</v>
      </c>
      <c r="R6" s="0" t="n">
        <v>4164</v>
      </c>
      <c r="S6" s="0" t="n">
        <v>1425</v>
      </c>
      <c r="T6" s="0" t="n">
        <v>349</v>
      </c>
      <c r="U6" s="0" t="n">
        <v>62</v>
      </c>
      <c r="V6" s="0" t="n">
        <v>0.3</v>
      </c>
      <c r="AA6" s="0" t="s">
        <v>17</v>
      </c>
      <c r="AB6" s="0" t="s">
        <v>14</v>
      </c>
    </row>
    <row r="7" customFormat="false" ht="15" hidden="false" customHeight="false" outlineLevel="0" collapsed="false">
      <c r="A7" s="0" t="s">
        <v>68</v>
      </c>
      <c r="B7" s="0" t="n">
        <v>7170</v>
      </c>
      <c r="C7" s="0" t="n">
        <v>5383</v>
      </c>
      <c r="D7" s="0" t="n">
        <v>1787</v>
      </c>
      <c r="E7" s="0" t="n">
        <v>24.9232914923292</v>
      </c>
      <c r="F7" s="0" t="n">
        <v>-215</v>
      </c>
      <c r="G7" s="0" t="n">
        <v>-2.99860529986053</v>
      </c>
      <c r="H7" s="0" t="n">
        <v>48</v>
      </c>
      <c r="I7" s="0" t="n">
        <v>-575</v>
      </c>
      <c r="J7" s="0" t="n">
        <v>-8.01952580195258</v>
      </c>
      <c r="K7" s="0" t="n">
        <v>-1.66</v>
      </c>
      <c r="L7" s="0" t="n">
        <v>239</v>
      </c>
      <c r="M7" s="0" t="n">
        <v>151</v>
      </c>
      <c r="N7" s="0" t="n">
        <v>88</v>
      </c>
      <c r="O7" s="0" t="n">
        <v>750</v>
      </c>
      <c r="P7" s="0" t="n">
        <v>7297</v>
      </c>
      <c r="Q7" s="0" t="n">
        <v>6555</v>
      </c>
      <c r="R7" s="0" t="n">
        <v>4828</v>
      </c>
      <c r="S7" s="0" t="n">
        <v>1353</v>
      </c>
      <c r="T7" s="0" t="n">
        <v>348</v>
      </c>
      <c r="U7" s="0" t="n">
        <v>61</v>
      </c>
      <c r="V7" s="0" t="n">
        <v>0.3</v>
      </c>
      <c r="AA7" s="0" t="s">
        <v>17</v>
      </c>
      <c r="AB7" s="0" t="s">
        <v>14</v>
      </c>
    </row>
    <row r="8" customFormat="false" ht="15" hidden="false" customHeight="false" outlineLevel="0" collapsed="false">
      <c r="A8" s="0" t="s">
        <v>69</v>
      </c>
      <c r="B8" s="0" t="n">
        <v>7495</v>
      </c>
      <c r="C8" s="0" t="n">
        <v>5539</v>
      </c>
      <c r="D8" s="0" t="n">
        <v>1956</v>
      </c>
      <c r="E8" s="0" t="n">
        <v>26.0973982655103</v>
      </c>
      <c r="F8" s="0" t="n">
        <v>302</v>
      </c>
      <c r="G8" s="0" t="n">
        <v>4.02935290193462</v>
      </c>
      <c r="H8" s="0" t="n">
        <v>516</v>
      </c>
      <c r="I8" s="0" t="n">
        <v>-114</v>
      </c>
      <c r="J8" s="0" t="n">
        <v>-1.52101400933956</v>
      </c>
      <c r="K8" s="0" t="n">
        <v>-0.33</v>
      </c>
      <c r="L8" s="0" t="n">
        <v>281</v>
      </c>
      <c r="M8" s="0" t="n">
        <v>119</v>
      </c>
      <c r="N8" s="0" t="n">
        <v>162</v>
      </c>
      <c r="O8" s="0" t="n">
        <v>542</v>
      </c>
      <c r="P8" s="0" t="n">
        <v>6883</v>
      </c>
      <c r="Q8" s="0" t="n">
        <v>6341</v>
      </c>
      <c r="R8" s="0" t="n">
        <v>3834</v>
      </c>
      <c r="S8" s="0" t="n">
        <v>1040</v>
      </c>
      <c r="T8" s="0" t="n">
        <v>349</v>
      </c>
      <c r="U8" s="0" t="n">
        <v>61</v>
      </c>
      <c r="V8" s="0" t="n">
        <v>0.3</v>
      </c>
      <c r="AA8" s="0" t="s">
        <v>17</v>
      </c>
      <c r="AB8" s="0" t="s">
        <v>14</v>
      </c>
    </row>
    <row r="9" customFormat="false" ht="15" hidden="false" customHeight="false" outlineLevel="0" collapsed="false">
      <c r="A9" s="0" t="s">
        <v>70</v>
      </c>
      <c r="B9" s="0" t="n">
        <v>6761</v>
      </c>
      <c r="C9" s="0" t="n">
        <v>4802</v>
      </c>
      <c r="D9" s="0" t="n">
        <v>1959</v>
      </c>
      <c r="E9" s="0" t="n">
        <v>28.9750036976779</v>
      </c>
      <c r="F9" s="0" t="n">
        <v>612</v>
      </c>
      <c r="G9" s="0" t="n">
        <v>9.0519153971306</v>
      </c>
      <c r="H9" s="0" t="n">
        <v>798</v>
      </c>
      <c r="I9" s="0" t="n">
        <v>329</v>
      </c>
      <c r="J9" s="0" t="n">
        <v>4.86614406152936</v>
      </c>
      <c r="K9" s="0" t="n">
        <v>0.8</v>
      </c>
      <c r="L9" s="0" t="n">
        <v>645</v>
      </c>
      <c r="M9" s="0" t="n">
        <v>126</v>
      </c>
      <c r="N9" s="0" t="n">
        <v>519</v>
      </c>
      <c r="O9" s="0" t="n">
        <v>787</v>
      </c>
      <c r="P9" s="0" t="n">
        <v>6885</v>
      </c>
      <c r="Q9" s="0" t="n">
        <v>6170</v>
      </c>
      <c r="R9" s="0" t="n">
        <v>3427</v>
      </c>
      <c r="S9" s="0" t="n">
        <v>1223</v>
      </c>
      <c r="T9" s="0" t="n">
        <v>352</v>
      </c>
      <c r="U9" s="0" t="n">
        <v>54</v>
      </c>
      <c r="V9" s="0" t="n">
        <v>0.3</v>
      </c>
      <c r="AA9" s="0" t="s">
        <v>17</v>
      </c>
      <c r="AB9" s="0" t="s">
        <v>14</v>
      </c>
    </row>
    <row r="10" customFormat="false" ht="15" hidden="false" customHeight="false" outlineLevel="0" collapsed="false">
      <c r="A10" s="0" t="s">
        <v>71</v>
      </c>
      <c r="B10" s="0" t="n">
        <v>7006</v>
      </c>
      <c r="C10" s="0" t="n">
        <v>4946</v>
      </c>
      <c r="D10" s="0" t="n">
        <v>2060</v>
      </c>
      <c r="E10" s="0" t="n">
        <v>29.4033685412504</v>
      </c>
      <c r="F10" s="0" t="n">
        <v>721</v>
      </c>
      <c r="G10" s="0" t="n">
        <v>10.2911789894376</v>
      </c>
      <c r="H10" s="0" t="n">
        <v>888</v>
      </c>
      <c r="I10" s="0" t="n">
        <v>903</v>
      </c>
      <c r="J10" s="0" t="n">
        <v>12.8889523265772</v>
      </c>
      <c r="K10" s="0" t="n">
        <v>2.4</v>
      </c>
      <c r="L10" s="0" t="n">
        <v>602</v>
      </c>
      <c r="M10" s="0" t="n">
        <v>128</v>
      </c>
      <c r="N10" s="0" t="n">
        <v>474</v>
      </c>
      <c r="O10" s="0" t="n">
        <v>1128</v>
      </c>
      <c r="P10" s="0" t="n">
        <v>7208</v>
      </c>
      <c r="Q10" s="0" t="n">
        <v>6080</v>
      </c>
      <c r="R10" s="0" t="n">
        <v>3424</v>
      </c>
      <c r="S10" s="0" t="n">
        <v>1379</v>
      </c>
      <c r="T10" s="0" t="n">
        <v>352</v>
      </c>
      <c r="U10" s="0" t="n">
        <v>47</v>
      </c>
      <c r="V10" s="0" t="n">
        <v>0.345</v>
      </c>
      <c r="AA10" s="0" t="s">
        <v>17</v>
      </c>
      <c r="AB10" s="0" t="s">
        <v>14</v>
      </c>
    </row>
    <row r="11" customFormat="false" ht="15" hidden="false" customHeight="false" outlineLevel="0" collapsed="false">
      <c r="A11" s="0" t="s">
        <v>72</v>
      </c>
      <c r="B11" s="0" t="n">
        <v>7142</v>
      </c>
      <c r="C11" s="0" t="n">
        <v>4889</v>
      </c>
      <c r="D11" s="0" t="n">
        <v>2253</v>
      </c>
      <c r="E11" s="0" t="n">
        <v>31.5457854942593</v>
      </c>
      <c r="F11" s="0" t="n">
        <v>914</v>
      </c>
      <c r="G11" s="0" t="n">
        <v>12.7975357042845</v>
      </c>
      <c r="H11" s="0" t="n">
        <v>1047</v>
      </c>
      <c r="I11" s="0" t="n">
        <v>394</v>
      </c>
      <c r="J11" s="0" t="n">
        <v>5.51666199943993</v>
      </c>
      <c r="K11" s="0" t="n">
        <v>1.03</v>
      </c>
      <c r="L11" s="0" t="n">
        <v>810</v>
      </c>
      <c r="M11" s="0" t="n">
        <v>158</v>
      </c>
      <c r="N11" s="0" t="n">
        <v>652</v>
      </c>
      <c r="O11" s="0" t="n">
        <v>58</v>
      </c>
      <c r="P11" s="0" t="n">
        <v>5664</v>
      </c>
      <c r="Q11" s="0" t="n">
        <v>5606</v>
      </c>
      <c r="R11" s="0" t="n">
        <v>3407</v>
      </c>
      <c r="S11" s="0" t="n">
        <v>1468</v>
      </c>
      <c r="T11" s="0" t="n">
        <v>341</v>
      </c>
      <c r="U11" s="0" t="n">
        <v>41</v>
      </c>
      <c r="V11" s="0" t="n">
        <v>0.37</v>
      </c>
      <c r="AA11" s="0" t="s">
        <v>17</v>
      </c>
      <c r="AB11" s="0" t="s">
        <v>14</v>
      </c>
    </row>
    <row r="12" customFormat="false" ht="15" hidden="false" customHeight="false" outlineLevel="0" collapsed="false">
      <c r="A12" s="0" t="s">
        <v>73</v>
      </c>
      <c r="B12" s="0" t="n">
        <v>7361</v>
      </c>
      <c r="C12" s="0" t="n">
        <v>4899</v>
      </c>
      <c r="D12" s="0" t="n">
        <v>2462</v>
      </c>
      <c r="E12" s="0" t="n">
        <v>33.4465425893221</v>
      </c>
      <c r="F12" s="0" t="n">
        <v>1087</v>
      </c>
      <c r="G12" s="0" t="n">
        <v>14.7670153511751</v>
      </c>
      <c r="H12" s="0" t="n">
        <v>1221</v>
      </c>
      <c r="I12" s="0" t="n">
        <v>536</v>
      </c>
      <c r="J12" s="0" t="n">
        <v>7.28161934519766</v>
      </c>
      <c r="K12" s="0" t="n">
        <v>1.49</v>
      </c>
      <c r="L12" s="0" t="n">
        <v>789</v>
      </c>
      <c r="M12" s="0" t="n">
        <v>180</v>
      </c>
      <c r="N12" s="0" t="n">
        <v>609</v>
      </c>
      <c r="O12" s="0" t="n">
        <v>-96</v>
      </c>
      <c r="P12" s="0" t="n">
        <v>5164</v>
      </c>
      <c r="Q12" s="0" t="n">
        <v>5240</v>
      </c>
      <c r="R12" s="0" t="n">
        <v>2997</v>
      </c>
      <c r="S12" s="0" t="n">
        <v>990</v>
      </c>
      <c r="T12" s="0" t="n">
        <v>330</v>
      </c>
      <c r="U12" s="0" t="n">
        <v>29</v>
      </c>
      <c r="V12" s="0" t="n">
        <v>0.39</v>
      </c>
      <c r="AA12" s="0" t="s">
        <v>17</v>
      </c>
      <c r="AB12" s="0" t="s">
        <v>14</v>
      </c>
    </row>
    <row r="13" customFormat="false" ht="15" hidden="false" customHeight="false" outlineLevel="0" collapsed="false">
      <c r="A13" s="0" t="s">
        <v>74</v>
      </c>
      <c r="B13" s="0" t="n">
        <v>6014</v>
      </c>
      <c r="C13" s="0" t="n">
        <v>3794</v>
      </c>
      <c r="D13" s="0" t="n">
        <v>2220</v>
      </c>
      <c r="E13" s="0" t="n">
        <v>36.9138676421683</v>
      </c>
      <c r="F13" s="0" t="n">
        <v>1029</v>
      </c>
      <c r="G13" s="0" t="n">
        <v>17.1100764881942</v>
      </c>
      <c r="H13" s="0" t="n">
        <v>1156</v>
      </c>
      <c r="I13" s="0" t="n">
        <v>580</v>
      </c>
      <c r="J13" s="0" t="n">
        <v>9.64416361822415</v>
      </c>
      <c r="K13" s="0" t="n">
        <v>1.68</v>
      </c>
      <c r="L13" s="0" t="n">
        <v>751</v>
      </c>
      <c r="M13" s="0" t="n">
        <v>173</v>
      </c>
      <c r="N13" s="0" t="n">
        <v>578</v>
      </c>
      <c r="O13" s="0" t="n">
        <v>183</v>
      </c>
      <c r="P13" s="0" t="n">
        <v>5534</v>
      </c>
      <c r="Q13" s="0" t="n">
        <v>5351</v>
      </c>
      <c r="R13" s="0" t="n">
        <v>3085</v>
      </c>
      <c r="S13" s="0" t="n">
        <v>1194</v>
      </c>
      <c r="T13" s="0" t="n">
        <v>318</v>
      </c>
      <c r="U13" s="0" t="n">
        <v>38</v>
      </c>
      <c r="V13" s="0" t="n">
        <v>0.41</v>
      </c>
      <c r="AA13" s="0" t="s">
        <v>17</v>
      </c>
      <c r="AB13" s="0" t="s">
        <v>14</v>
      </c>
    </row>
    <row r="14" customFormat="false" ht="15" hidden="false" customHeight="false" outlineLevel="0" collapsed="false">
      <c r="A14" s="0" t="s">
        <v>75</v>
      </c>
      <c r="B14" s="0" t="n">
        <v>6654</v>
      </c>
      <c r="C14" s="0" t="n">
        <v>4327</v>
      </c>
      <c r="D14" s="0" t="n">
        <v>2327</v>
      </c>
      <c r="E14" s="0" t="n">
        <v>34.9714457469191</v>
      </c>
      <c r="F14" s="0" t="n">
        <v>1077</v>
      </c>
      <c r="G14" s="0" t="n">
        <v>16.1857529305681</v>
      </c>
      <c r="H14" s="0" t="n">
        <v>1233</v>
      </c>
      <c r="I14" s="0" t="n">
        <v>784</v>
      </c>
      <c r="J14" s="0" t="n">
        <v>11.7823865344154</v>
      </c>
      <c r="K14" s="0" t="n">
        <v>2.38</v>
      </c>
      <c r="L14" s="0" t="n">
        <v>1032</v>
      </c>
      <c r="M14" s="0" t="n">
        <v>219</v>
      </c>
      <c r="N14" s="0" t="n">
        <v>813</v>
      </c>
      <c r="O14" s="0" t="n">
        <v>69</v>
      </c>
      <c r="P14" s="0" t="n">
        <v>5393</v>
      </c>
      <c r="Q14" s="0" t="n">
        <v>5324</v>
      </c>
      <c r="R14" s="0" t="n">
        <v>2979</v>
      </c>
      <c r="S14" s="0" t="n">
        <v>552</v>
      </c>
      <c r="T14" s="0" t="n">
        <v>307</v>
      </c>
      <c r="U14" s="0" t="n">
        <v>27</v>
      </c>
      <c r="V14" s="0" t="n">
        <v>0.45</v>
      </c>
      <c r="AA14" s="0" t="s">
        <v>17</v>
      </c>
      <c r="AB14" s="0" t="s">
        <v>14</v>
      </c>
    </row>
    <row r="15" customFormat="false" ht="15" hidden="false" customHeight="false" outlineLevel="0" collapsed="false">
      <c r="A15" s="0" t="s">
        <v>76</v>
      </c>
      <c r="B15" s="0" t="n">
        <v>6707</v>
      </c>
      <c r="C15" s="0" t="n">
        <v>4336</v>
      </c>
      <c r="D15" s="0" t="n">
        <v>2371</v>
      </c>
      <c r="E15" s="0" t="n">
        <v>35.3511256895781</v>
      </c>
      <c r="F15" s="0" t="n">
        <v>1088</v>
      </c>
      <c r="G15" s="0" t="n">
        <v>16.2218577605487</v>
      </c>
      <c r="H15" s="0" t="n">
        <v>1247</v>
      </c>
      <c r="I15" s="0" t="n">
        <v>980</v>
      </c>
      <c r="J15" s="0" t="n">
        <v>14.6115998210825</v>
      </c>
      <c r="K15" s="0" t="n">
        <v>3.24</v>
      </c>
      <c r="L15" s="0" t="n">
        <v>833</v>
      </c>
      <c r="M15" s="0" t="n">
        <v>162</v>
      </c>
      <c r="N15" s="0" t="n">
        <v>671</v>
      </c>
      <c r="O15" s="0" t="n">
        <v>-57</v>
      </c>
      <c r="P15" s="0" t="n">
        <v>5027</v>
      </c>
      <c r="Q15" s="0" t="n">
        <v>5083</v>
      </c>
      <c r="R15" s="0" t="n">
        <v>2773</v>
      </c>
      <c r="S15" s="0" t="n">
        <v>697</v>
      </c>
      <c r="T15" s="0" t="n">
        <v>288</v>
      </c>
      <c r="U15" s="0" t="n">
        <v>35</v>
      </c>
      <c r="V15" s="0" t="n">
        <v>0.51</v>
      </c>
      <c r="AA15" s="0" t="s">
        <v>17</v>
      </c>
      <c r="AB15" s="0" t="s">
        <v>14</v>
      </c>
    </row>
    <row r="16" customFormat="false" ht="15" hidden="false" customHeight="false" outlineLevel="0" collapsed="false">
      <c r="A16" s="0" t="s">
        <v>77</v>
      </c>
      <c r="B16" s="0" t="n">
        <v>7188</v>
      </c>
      <c r="C16" s="0" t="n">
        <v>4601</v>
      </c>
      <c r="D16" s="0" t="n">
        <v>2587</v>
      </c>
      <c r="E16" s="0" t="n">
        <v>35.9905397885365</v>
      </c>
      <c r="F16" s="0" t="n">
        <v>1295</v>
      </c>
      <c r="G16" s="0" t="n">
        <v>18.0161380077908</v>
      </c>
      <c r="H16" s="0" t="n">
        <v>1428</v>
      </c>
      <c r="I16" s="0" t="n">
        <v>1276</v>
      </c>
      <c r="J16" s="0" t="n">
        <v>17.7518085698386</v>
      </c>
      <c r="K16" s="0" t="n">
        <v>4.6</v>
      </c>
      <c r="L16" s="0" t="n">
        <v>953</v>
      </c>
      <c r="M16" s="0" t="n">
        <v>114</v>
      </c>
      <c r="N16" s="0" t="n">
        <v>839</v>
      </c>
      <c r="O16" s="0" t="n">
        <v>421</v>
      </c>
      <c r="P16" s="0" t="n">
        <v>5777</v>
      </c>
      <c r="Q16" s="0" t="n">
        <v>5356</v>
      </c>
      <c r="R16" s="0" t="n">
        <v>2795</v>
      </c>
      <c r="S16" s="0" t="n">
        <v>1326</v>
      </c>
      <c r="T16" s="0" t="n">
        <v>264</v>
      </c>
      <c r="U16" s="0" t="n">
        <v>45</v>
      </c>
      <c r="V16" s="0" t="n">
        <v>0.55</v>
      </c>
      <c r="AA16" s="0" t="s">
        <v>17</v>
      </c>
      <c r="AB16" s="0" t="s">
        <v>14</v>
      </c>
    </row>
    <row r="17" customFormat="false" ht="15" hidden="false" customHeight="false" outlineLevel="0" collapsed="false">
      <c r="A17" s="0" t="s">
        <v>78</v>
      </c>
      <c r="B17" s="0" t="n">
        <v>8375</v>
      </c>
      <c r="C17" s="0" t="n">
        <v>5512</v>
      </c>
      <c r="D17" s="0" t="n">
        <v>2863</v>
      </c>
      <c r="E17" s="0" t="n">
        <v>34.1850746268657</v>
      </c>
      <c r="F17" s="0" t="n">
        <v>1405</v>
      </c>
      <c r="G17" s="0" t="n">
        <v>16.7761194029851</v>
      </c>
      <c r="H17" s="0" t="n">
        <v>1556</v>
      </c>
      <c r="I17" s="0" t="n">
        <v>478</v>
      </c>
      <c r="J17" s="0" t="n">
        <v>5.70746268656716</v>
      </c>
      <c r="K17" s="0" t="n">
        <v>1.63</v>
      </c>
      <c r="L17" s="0" t="n">
        <v>930</v>
      </c>
      <c r="M17" s="0" t="n">
        <v>128</v>
      </c>
      <c r="N17" s="0" t="n">
        <v>802</v>
      </c>
      <c r="O17" s="0" t="n">
        <v>56</v>
      </c>
      <c r="P17" s="0" t="n">
        <v>5575</v>
      </c>
      <c r="Q17" s="0" t="n">
        <v>5497</v>
      </c>
      <c r="R17" s="0" t="n">
        <v>2959</v>
      </c>
      <c r="S17" s="0" t="n">
        <v>926</v>
      </c>
      <c r="T17" s="0" t="n">
        <v>251</v>
      </c>
      <c r="U17" s="0" t="n">
        <v>61</v>
      </c>
      <c r="V17" s="0" t="n">
        <v>0.705</v>
      </c>
      <c r="AA17" s="0" t="s">
        <v>17</v>
      </c>
      <c r="AB17" s="0" t="s">
        <v>14</v>
      </c>
    </row>
    <row r="18" customFormat="false" ht="15" hidden="false" customHeight="false" outlineLevel="0" collapsed="false">
      <c r="A18" s="0" t="s">
        <v>79</v>
      </c>
      <c r="B18" s="0" t="n">
        <v>8680</v>
      </c>
      <c r="C18" s="0" t="n">
        <v>5967</v>
      </c>
      <c r="D18" s="0" t="n">
        <v>2713</v>
      </c>
      <c r="E18" s="0" t="n">
        <v>31.2557603686636</v>
      </c>
      <c r="F18" s="0" t="n">
        <v>1297</v>
      </c>
      <c r="G18" s="0" t="n">
        <v>14.9423963133641</v>
      </c>
      <c r="H18" s="0" t="n">
        <v>1442</v>
      </c>
      <c r="I18" s="0" t="n">
        <v>905</v>
      </c>
      <c r="J18" s="0" t="n">
        <v>10.426267281106</v>
      </c>
      <c r="K18" s="0" t="n">
        <v>3.65</v>
      </c>
      <c r="L18" s="0" t="n">
        <v>840</v>
      </c>
      <c r="M18" s="0" t="n">
        <v>224</v>
      </c>
      <c r="N18" s="0" t="n">
        <v>616</v>
      </c>
      <c r="O18" s="0" t="n">
        <v>-262</v>
      </c>
      <c r="P18" s="0" t="n">
        <v>5187</v>
      </c>
      <c r="Q18" s="0" t="n">
        <v>5429</v>
      </c>
      <c r="R18" s="0" t="n">
        <v>3151</v>
      </c>
      <c r="S18" s="0" t="n">
        <v>452</v>
      </c>
      <c r="T18" s="0" t="n">
        <v>232</v>
      </c>
      <c r="U18" s="0" t="n">
        <v>49</v>
      </c>
      <c r="V18" s="0" t="n">
        <v>1.12</v>
      </c>
      <c r="AA18" s="0" t="s">
        <v>17</v>
      </c>
      <c r="AB18" s="0" t="s">
        <v>14</v>
      </c>
    </row>
    <row r="19" customFormat="false" ht="15" hidden="false" customHeight="false" outlineLevel="0" collapsed="false">
      <c r="A19" s="0" t="s">
        <v>80</v>
      </c>
      <c r="B19" s="0" t="n">
        <v>7967</v>
      </c>
      <c r="C19" s="0" t="n">
        <v>5131</v>
      </c>
      <c r="D19" s="0" t="n">
        <v>2836</v>
      </c>
      <c r="E19" s="0" t="n">
        <v>35.5968369524288</v>
      </c>
      <c r="F19" s="0" t="n">
        <v>1348</v>
      </c>
      <c r="G19" s="0" t="n">
        <v>16.9197941508724</v>
      </c>
      <c r="H19" s="0" t="n">
        <v>1497</v>
      </c>
      <c r="I19" s="0" t="n">
        <v>960</v>
      </c>
      <c r="J19" s="0" t="n">
        <v>12.0497050332622</v>
      </c>
      <c r="K19" s="0" t="n">
        <v>4.03</v>
      </c>
      <c r="L19" s="0" t="n">
        <v>1413</v>
      </c>
      <c r="M19" s="0" t="n">
        <v>243</v>
      </c>
      <c r="N19" s="0" t="n">
        <v>1170</v>
      </c>
      <c r="O19" s="0" t="n">
        <v>98</v>
      </c>
      <c r="P19" s="0" t="n">
        <v>5363</v>
      </c>
      <c r="Q19" s="0" t="n">
        <v>5247</v>
      </c>
      <c r="R19" s="0" t="n">
        <v>2948</v>
      </c>
      <c r="S19" s="0" t="n">
        <v>634</v>
      </c>
      <c r="T19" s="0" t="n">
        <v>226</v>
      </c>
      <c r="U19" s="0" t="n">
        <v>31</v>
      </c>
      <c r="V19" s="0" t="n">
        <v>1.14</v>
      </c>
      <c r="AA19" s="0" t="s">
        <v>17</v>
      </c>
      <c r="AB19" s="0" t="s">
        <v>14</v>
      </c>
    </row>
    <row r="20" customFormat="false" ht="15" hidden="false" customHeight="false" outlineLevel="0" collapsed="false">
      <c r="A20" s="0" t="s">
        <v>81</v>
      </c>
      <c r="B20" s="0" t="n">
        <v>7828</v>
      </c>
      <c r="C20" s="0" t="n">
        <v>4997</v>
      </c>
      <c r="D20" s="0" t="n">
        <v>2831</v>
      </c>
      <c r="E20" s="0" t="n">
        <v>36.1650485436893</v>
      </c>
      <c r="F20" s="0" t="n">
        <v>1363</v>
      </c>
      <c r="G20" s="0" t="n">
        <v>17.4118548799182</v>
      </c>
      <c r="H20" s="0" t="n">
        <v>1513</v>
      </c>
      <c r="I20" s="0" t="n">
        <v>874</v>
      </c>
      <c r="J20" s="0" t="n">
        <v>11.1650485436893</v>
      </c>
      <c r="K20" s="0" t="n">
        <v>3.77</v>
      </c>
      <c r="L20" s="0" t="n">
        <v>1075</v>
      </c>
      <c r="M20" s="0" t="n">
        <v>168</v>
      </c>
      <c r="N20" s="0" t="n">
        <v>907</v>
      </c>
      <c r="O20" s="0" t="n">
        <v>-279</v>
      </c>
      <c r="P20" s="0" t="n">
        <v>5016</v>
      </c>
      <c r="Q20" s="0" t="n">
        <v>5069</v>
      </c>
      <c r="R20" s="0" t="n">
        <v>2948</v>
      </c>
      <c r="S20" s="0" t="n">
        <v>634</v>
      </c>
      <c r="T20" s="0" t="n">
        <v>219</v>
      </c>
      <c r="U20" s="0" t="n">
        <v>39</v>
      </c>
      <c r="V20" s="0" t="n">
        <v>1.16</v>
      </c>
      <c r="AA20" s="0" t="s">
        <v>17</v>
      </c>
      <c r="AB20" s="0" t="s">
        <v>14</v>
      </c>
    </row>
    <row r="21" customFormat="false" ht="15" hidden="false" customHeight="false" outlineLevel="0" collapsed="false">
      <c r="A21" s="0" t="s">
        <v>82</v>
      </c>
      <c r="B21" s="0" t="n">
        <v>7562</v>
      </c>
      <c r="C21" s="0" t="n">
        <v>4883</v>
      </c>
      <c r="D21" s="0" t="n">
        <v>2679</v>
      </c>
      <c r="E21" s="0" t="n">
        <v>35.427135678392</v>
      </c>
      <c r="F21" s="0" t="n">
        <v>1248</v>
      </c>
      <c r="G21" s="0" t="n">
        <v>16.5035704839989</v>
      </c>
      <c r="H21" s="0" t="n">
        <v>1396</v>
      </c>
      <c r="I21" s="0" t="n">
        <v>858</v>
      </c>
      <c r="J21" s="0" t="n">
        <v>11.3462047077493</v>
      </c>
      <c r="K21" s="0" t="n">
        <v>3.87</v>
      </c>
      <c r="L21" s="0" t="n">
        <v>1022</v>
      </c>
      <c r="M21" s="0" t="n">
        <v>156</v>
      </c>
      <c r="N21" s="0" t="n">
        <v>866</v>
      </c>
      <c r="O21" s="0" t="n">
        <v>-185</v>
      </c>
      <c r="P21" s="0" t="n">
        <v>5201</v>
      </c>
      <c r="Q21" s="0" t="n">
        <v>5125</v>
      </c>
      <c r="R21" s="0" t="n">
        <v>2947</v>
      </c>
      <c r="S21" s="0" t="n">
        <v>647</v>
      </c>
      <c r="T21" s="0" t="n">
        <v>210</v>
      </c>
      <c r="U21" s="0" t="n">
        <v>30</v>
      </c>
      <c r="V21" s="0" t="n">
        <v>1.24</v>
      </c>
      <c r="AA21" s="0" t="s">
        <v>17</v>
      </c>
      <c r="AB21"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83</v>
      </c>
      <c r="B1" s="2" t="s">
        <v>84</v>
      </c>
    </row>
    <row r="2" customFormat="false" ht="15" hidden="false" customHeight="false" outlineLevel="0" collapsed="false">
      <c r="A2" s="0" t="s">
        <v>85</v>
      </c>
      <c r="B2" s="3" t="n">
        <v>68.28</v>
      </c>
    </row>
    <row r="3" customFormat="false" ht="15" hidden="false" customHeight="false" outlineLevel="0" collapsed="false">
      <c r="A3" s="0" t="s">
        <v>86</v>
      </c>
      <c r="B3" s="3" t="n">
        <v>197.4</v>
      </c>
    </row>
    <row r="4" customFormat="false" ht="15" hidden="false" customHeight="false" outlineLevel="0" collapsed="false">
      <c r="A4" s="0" t="s">
        <v>87</v>
      </c>
      <c r="B4" s="3" t="n">
        <v>2699</v>
      </c>
    </row>
    <row r="5" customFormat="false" ht="15" hidden="false" customHeight="false" outlineLevel="0" collapsed="false">
      <c r="A5" s="0" t="s">
        <v>88</v>
      </c>
      <c r="B5" s="3" t="n">
        <v>-1022</v>
      </c>
    </row>
    <row r="6" customFormat="false" ht="15" hidden="false" customHeight="false" outlineLevel="0" collapsed="false">
      <c r="A6" s="0" t="s">
        <v>89</v>
      </c>
      <c r="B6" s="3" t="n">
        <v>15</v>
      </c>
    </row>
    <row r="7" customFormat="false" ht="15" hidden="false" customHeight="false" outlineLevel="0" collapsed="false">
      <c r="A7" s="0" t="s">
        <v>90</v>
      </c>
      <c r="B7" s="3" t="n">
        <v>7562</v>
      </c>
    </row>
    <row r="8" customFormat="false" ht="15" hidden="false" customHeight="false" outlineLevel="0" collapsed="false">
      <c r="A8" s="0" t="s">
        <v>91</v>
      </c>
      <c r="B8" s="3" t="s">
        <v>82</v>
      </c>
    </row>
    <row r="9" customFormat="false" ht="15" hidden="false" customHeight="false" outlineLevel="0" collapsed="false">
      <c r="A9" s="0" t="s">
        <v>92</v>
      </c>
      <c r="B9" s="3" t="s">
        <v>93</v>
      </c>
    </row>
    <row r="10" customFormat="false" ht="15" hidden="false" customHeight="false" outlineLevel="0" collapsed="false">
      <c r="A10" s="0" t="s">
        <v>94</v>
      </c>
      <c r="B10" s="3" t="n">
        <v>1</v>
      </c>
    </row>
    <row r="12" customFormat="false" ht="15" hidden="false" customHeight="false" outlineLevel="0" collapsed="false">
      <c r="A12" s="2" t="s">
        <v>95</v>
      </c>
      <c r="C12" s="2" t="s">
        <v>96</v>
      </c>
      <c r="D12" s="2" t="s">
        <v>97</v>
      </c>
      <c r="E12" s="2" t="s">
        <v>98</v>
      </c>
      <c r="F12" s="2" t="s">
        <v>99</v>
      </c>
      <c r="G12" s="2" t="s">
        <v>100</v>
      </c>
      <c r="H12" s="2" t="s">
        <v>101</v>
      </c>
      <c r="I12" s="2" t="s">
        <v>102</v>
      </c>
      <c r="J12" s="2" t="s">
        <v>103</v>
      </c>
      <c r="K12" s="2" t="s">
        <v>104</v>
      </c>
      <c r="L12" s="2" t="s">
        <v>105</v>
      </c>
    </row>
    <row r="13" customFormat="false" ht="15" hidden="false" customHeight="false" outlineLevel="0" collapsed="false">
      <c r="A13" s="0" t="s">
        <v>106</v>
      </c>
      <c r="C13" s="3" t="n">
        <v>0</v>
      </c>
      <c r="D13" s="3" t="n">
        <v>-4</v>
      </c>
      <c r="E13" s="3" t="n">
        <v>0</v>
      </c>
      <c r="F13" s="3" t="n">
        <v>2</v>
      </c>
      <c r="G13" s="3" t="n">
        <v>2.5</v>
      </c>
      <c r="H13" s="3" t="n">
        <v>2.5</v>
      </c>
      <c r="I13" s="3" t="n">
        <v>2</v>
      </c>
      <c r="J13" s="3" t="n">
        <v>2</v>
      </c>
      <c r="K13" s="3" t="n">
        <v>2</v>
      </c>
      <c r="L13" s="3" t="n">
        <v>2</v>
      </c>
    </row>
    <row r="14" customFormat="false" ht="15" hidden="false" customHeight="false" outlineLevel="0" collapsed="false">
      <c r="A14" s="0" t="s">
        <v>107</v>
      </c>
      <c r="C14" s="3" t="n">
        <v>18.5</v>
      </c>
      <c r="D14" s="3" t="n">
        <v>17</v>
      </c>
      <c r="E14" s="3" t="n">
        <v>16.5</v>
      </c>
      <c r="F14" s="3" t="n">
        <v>17</v>
      </c>
      <c r="G14" s="3" t="n">
        <v>17.5</v>
      </c>
      <c r="H14" s="3" t="n">
        <v>17.5</v>
      </c>
      <c r="I14" s="3" t="n">
        <v>17.5</v>
      </c>
      <c r="J14" s="3" t="n">
        <v>17.5</v>
      </c>
      <c r="K14" s="3" t="n">
        <v>17.5</v>
      </c>
      <c r="L14" s="3" t="n">
        <v>17.5</v>
      </c>
    </row>
    <row r="15" customFormat="false" ht="15" hidden="false" customHeight="false" outlineLevel="0" collapsed="false">
      <c r="A15" s="0" t="s">
        <v>108</v>
      </c>
      <c r="C15" s="3" t="n">
        <v>0.5</v>
      </c>
      <c r="D15" s="3" t="n">
        <v>0.5</v>
      </c>
      <c r="E15" s="3" t="n">
        <v>0.5</v>
      </c>
      <c r="F15" s="3" t="n">
        <v>0.5</v>
      </c>
      <c r="G15" s="3" t="n">
        <v>0.5</v>
      </c>
      <c r="H15" s="3" t="n">
        <v>0.5</v>
      </c>
      <c r="I15" s="3" t="n">
        <v>0.5</v>
      </c>
      <c r="J15" s="3" t="n">
        <v>0.5</v>
      </c>
      <c r="K15" s="3" t="n">
        <v>0.5</v>
      </c>
      <c r="L15" s="3" t="n">
        <v>0.5</v>
      </c>
    </row>
    <row r="16" customFormat="false" ht="15" hidden="false" customHeight="false" outlineLevel="0" collapsed="false">
      <c r="A16" s="0" t="s">
        <v>109</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110</v>
      </c>
      <c r="C17" s="3" t="n">
        <v>2</v>
      </c>
      <c r="D17" s="3" t="n">
        <v>2</v>
      </c>
      <c r="E17" s="3" t="n">
        <v>2</v>
      </c>
      <c r="F17" s="3" t="n">
        <v>2</v>
      </c>
      <c r="G17" s="3" t="n">
        <v>2</v>
      </c>
      <c r="H17" s="3" t="n">
        <v>2</v>
      </c>
      <c r="I17" s="3" t="n">
        <v>2</v>
      </c>
      <c r="J17" s="3" t="n">
        <v>2</v>
      </c>
      <c r="K17" s="3" t="n">
        <v>2</v>
      </c>
      <c r="L17" s="3" t="n">
        <v>2</v>
      </c>
    </row>
    <row r="18" customFormat="false" ht="15" hidden="false" customHeight="false" outlineLevel="0" collapsed="false">
      <c r="A18" s="0" t="s">
        <v>111</v>
      </c>
      <c r="C18" s="3" t="n">
        <v>2</v>
      </c>
      <c r="D18" s="3" t="n">
        <v>2</v>
      </c>
      <c r="E18" s="3" t="n">
        <v>2</v>
      </c>
      <c r="F18" s="3" t="n">
        <v>2</v>
      </c>
      <c r="G18" s="3" t="n">
        <v>2</v>
      </c>
      <c r="H18" s="3" t="n">
        <v>2</v>
      </c>
      <c r="I18" s="3" t="n">
        <v>2</v>
      </c>
      <c r="J18" s="3" t="n">
        <v>2</v>
      </c>
      <c r="K18" s="3" t="n">
        <v>2</v>
      </c>
      <c r="L18" s="3" t="n">
        <v>2</v>
      </c>
    </row>
    <row r="19" customFormat="false" ht="15" hidden="false" customHeight="false" outlineLevel="0" collapsed="false">
      <c r="A19" s="0" t="s">
        <v>112</v>
      </c>
      <c r="C19" s="3" t="n">
        <v>24</v>
      </c>
      <c r="D19" s="3" t="n">
        <v>24</v>
      </c>
      <c r="E19" s="3" t="n">
        <v>24</v>
      </c>
      <c r="F19" s="3" t="n">
        <v>24</v>
      </c>
      <c r="G19" s="3" t="n">
        <v>24</v>
      </c>
      <c r="H19" s="3" t="n">
        <v>24</v>
      </c>
      <c r="I19" s="3" t="n">
        <v>24</v>
      </c>
      <c r="J19" s="3" t="n">
        <v>24</v>
      </c>
      <c r="K19" s="3" t="n">
        <v>24</v>
      </c>
      <c r="L19" s="3" t="n">
        <v>24</v>
      </c>
    </row>
    <row r="20" customFormat="false" ht="15" hidden="false" customHeight="false" outlineLevel="0" collapsed="false">
      <c r="A20" s="0" t="s">
        <v>113</v>
      </c>
      <c r="B20" s="3" t="n">
        <v>9</v>
      </c>
    </row>
    <row r="21" customFormat="false" ht="15" hidden="false" customHeight="false" outlineLevel="0" collapsed="false">
      <c r="A21" s="0" t="s">
        <v>114</v>
      </c>
      <c r="B21" s="3" t="n">
        <v>2</v>
      </c>
    </row>
    <row r="22" customFormat="false" ht="15" hidden="false" customHeight="false" outlineLevel="0" collapsed="false">
      <c r="A22" s="0" t="s">
        <v>115</v>
      </c>
      <c r="B22" s="3" t="n">
        <v>15</v>
      </c>
    </row>
    <row r="23" customFormat="false" ht="15" hidden="false" customHeight="false" outlineLevel="0" collapsed="false">
      <c r="A23" s="0" t="s">
        <v>116</v>
      </c>
      <c r="B23" s="3" t="n">
        <v>-12</v>
      </c>
    </row>
    <row r="24" customFormat="false" ht="15" hidden="false" customHeight="false" outlineLevel="0" collapsed="false">
      <c r="A24" s="0" t="s">
        <v>117</v>
      </c>
      <c r="B24" s="3" t="n">
        <v>0.2</v>
      </c>
    </row>
    <row r="26" customFormat="false" ht="15" hidden="false" customHeight="false" outlineLevel="0" collapsed="false">
      <c r="A26" s="2" t="s">
        <v>118</v>
      </c>
      <c r="C26" s="2" t="s">
        <v>96</v>
      </c>
      <c r="D26" s="2" t="s">
        <v>97</v>
      </c>
      <c r="E26" s="2" t="s">
        <v>98</v>
      </c>
      <c r="F26" s="2" t="s">
        <v>99</v>
      </c>
      <c r="G26" s="2" t="s">
        <v>100</v>
      </c>
      <c r="H26" s="2" t="s">
        <v>101</v>
      </c>
      <c r="I26" s="2" t="s">
        <v>102</v>
      </c>
      <c r="J26" s="2" t="s">
        <v>103</v>
      </c>
      <c r="K26" s="2" t="s">
        <v>104</v>
      </c>
      <c r="L26" s="2" t="s">
        <v>105</v>
      </c>
    </row>
    <row r="27" customFormat="false" ht="15" hidden="false" customHeight="false" outlineLevel="0" collapsed="false">
      <c r="A27" s="0" t="s">
        <v>106</v>
      </c>
      <c r="C27" s="3" t="n">
        <v>1</v>
      </c>
      <c r="D27" s="3" t="n">
        <v>4</v>
      </c>
      <c r="E27" s="3" t="n">
        <v>4.5</v>
      </c>
      <c r="F27" s="3" t="n">
        <v>4</v>
      </c>
      <c r="G27" s="3" t="n">
        <v>3.5</v>
      </c>
      <c r="H27" s="3" t="n">
        <v>3</v>
      </c>
      <c r="I27" s="3" t="n">
        <v>3</v>
      </c>
      <c r="J27" s="3" t="n">
        <v>2.5</v>
      </c>
      <c r="K27" s="3" t="n">
        <v>2.5</v>
      </c>
      <c r="L27" s="3" t="n">
        <v>2.5</v>
      </c>
    </row>
    <row r="28" customFormat="false" ht="15" hidden="false" customHeight="false" outlineLevel="0" collapsed="false">
      <c r="A28" s="0" t="s">
        <v>107</v>
      </c>
      <c r="C28" s="3" t="n">
        <v>18.9</v>
      </c>
      <c r="D28" s="3" t="n">
        <v>19</v>
      </c>
      <c r="E28" s="3" t="n">
        <v>19.3</v>
      </c>
      <c r="F28" s="3" t="n">
        <v>19.5</v>
      </c>
      <c r="G28" s="3" t="n">
        <v>19.7</v>
      </c>
      <c r="H28" s="3" t="n">
        <v>19.8</v>
      </c>
      <c r="I28" s="3" t="n">
        <v>19.8</v>
      </c>
      <c r="J28" s="3" t="n">
        <v>19.8</v>
      </c>
      <c r="K28" s="3" t="n">
        <v>19.8</v>
      </c>
      <c r="L28" s="3" t="n">
        <v>19.8</v>
      </c>
    </row>
    <row r="29" customFormat="false" ht="15" hidden="false" customHeight="false" outlineLevel="0" collapsed="false">
      <c r="A29" s="0" t="s">
        <v>108</v>
      </c>
      <c r="C29" s="3" t="n">
        <v>0.5</v>
      </c>
      <c r="D29" s="3" t="n">
        <v>0.5</v>
      </c>
      <c r="E29" s="3" t="n">
        <v>0.5</v>
      </c>
      <c r="F29" s="3" t="n">
        <v>0.5</v>
      </c>
      <c r="G29" s="3" t="n">
        <v>0.5</v>
      </c>
      <c r="H29" s="3" t="n">
        <v>0.5</v>
      </c>
      <c r="I29" s="3" t="n">
        <v>0.5</v>
      </c>
      <c r="J29" s="3" t="n">
        <v>0.5</v>
      </c>
      <c r="K29" s="3" t="n">
        <v>0.5</v>
      </c>
      <c r="L29" s="3" t="n">
        <v>0.5</v>
      </c>
    </row>
    <row r="30" customFormat="false" ht="15" hidden="false" customHeight="false" outlineLevel="0" collapsed="false">
      <c r="A30" s="0" t="s">
        <v>109</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110</v>
      </c>
      <c r="C31" s="3" t="n">
        <v>2</v>
      </c>
      <c r="D31" s="3" t="n">
        <v>2</v>
      </c>
      <c r="E31" s="3" t="n">
        <v>2</v>
      </c>
      <c r="F31" s="3" t="n">
        <v>2</v>
      </c>
      <c r="G31" s="3" t="n">
        <v>2</v>
      </c>
      <c r="H31" s="3" t="n">
        <v>2</v>
      </c>
      <c r="I31" s="3" t="n">
        <v>2</v>
      </c>
      <c r="J31" s="3" t="n">
        <v>2</v>
      </c>
      <c r="K31" s="3" t="n">
        <v>2</v>
      </c>
      <c r="L31" s="3" t="n">
        <v>2</v>
      </c>
    </row>
    <row r="32" customFormat="false" ht="15" hidden="false" customHeight="false" outlineLevel="0" collapsed="false">
      <c r="A32" s="0" t="s">
        <v>111</v>
      </c>
      <c r="C32" s="3" t="n">
        <v>2.2</v>
      </c>
      <c r="D32" s="3" t="n">
        <v>2.2</v>
      </c>
      <c r="E32" s="3" t="n">
        <v>2.2</v>
      </c>
      <c r="F32" s="3" t="n">
        <v>2.2</v>
      </c>
      <c r="G32" s="3" t="n">
        <v>2.2</v>
      </c>
      <c r="H32" s="3" t="n">
        <v>2.2</v>
      </c>
      <c r="I32" s="3" t="n">
        <v>2.2</v>
      </c>
      <c r="J32" s="3" t="n">
        <v>2.2</v>
      </c>
      <c r="K32" s="3" t="n">
        <v>2.2</v>
      </c>
      <c r="L32" s="3" t="n">
        <v>2.2</v>
      </c>
    </row>
    <row r="33" customFormat="false" ht="15" hidden="false" customHeight="false" outlineLevel="0" collapsed="false">
      <c r="A33" s="0" t="s">
        <v>112</v>
      </c>
      <c r="C33" s="3" t="n">
        <v>24</v>
      </c>
      <c r="D33" s="3" t="n">
        <v>24</v>
      </c>
      <c r="E33" s="3" t="n">
        <v>24</v>
      </c>
      <c r="F33" s="3" t="n">
        <v>24</v>
      </c>
      <c r="G33" s="3" t="n">
        <v>24</v>
      </c>
      <c r="H33" s="3" t="n">
        <v>24</v>
      </c>
      <c r="I33" s="3" t="n">
        <v>24</v>
      </c>
      <c r="J33" s="3" t="n">
        <v>24</v>
      </c>
      <c r="K33" s="3" t="n">
        <v>24</v>
      </c>
      <c r="L33" s="3" t="n">
        <v>24</v>
      </c>
    </row>
    <row r="34" customFormat="false" ht="15" hidden="false" customHeight="false" outlineLevel="0" collapsed="false">
      <c r="A34" s="0" t="s">
        <v>113</v>
      </c>
      <c r="B34" s="3" t="n">
        <v>9</v>
      </c>
    </row>
    <row r="35" customFormat="false" ht="15" hidden="false" customHeight="false" outlineLevel="0" collapsed="false">
      <c r="A35" s="0" t="s">
        <v>114</v>
      </c>
      <c r="B35" s="3" t="n">
        <v>2.5</v>
      </c>
    </row>
    <row r="36" customFormat="false" ht="15" hidden="false" customHeight="false" outlineLevel="0" collapsed="false">
      <c r="A36" s="0" t="s">
        <v>115</v>
      </c>
      <c r="B36" s="3" t="n">
        <v>15</v>
      </c>
    </row>
    <row r="37" customFormat="false" ht="15" hidden="false" customHeight="false" outlineLevel="0" collapsed="false">
      <c r="A37" s="0" t="s">
        <v>116</v>
      </c>
      <c r="B37" s="3" t="n">
        <v>-12</v>
      </c>
    </row>
    <row r="38" customFormat="false" ht="15" hidden="false" customHeight="false" outlineLevel="0" collapsed="false">
      <c r="A38" s="0" t="s">
        <v>117</v>
      </c>
      <c r="B38" s="3" t="n">
        <v>0.5</v>
      </c>
    </row>
    <row r="40" customFormat="false" ht="15" hidden="false" customHeight="false" outlineLevel="0" collapsed="false">
      <c r="A40" s="2" t="s">
        <v>119</v>
      </c>
      <c r="C40" s="2" t="s">
        <v>96</v>
      </c>
      <c r="D40" s="2" t="s">
        <v>97</v>
      </c>
      <c r="E40" s="2" t="s">
        <v>98</v>
      </c>
      <c r="F40" s="2" t="s">
        <v>99</v>
      </c>
      <c r="G40" s="2" t="s">
        <v>100</v>
      </c>
      <c r="H40" s="2" t="s">
        <v>101</v>
      </c>
      <c r="I40" s="2" t="s">
        <v>102</v>
      </c>
      <c r="J40" s="2" t="s">
        <v>103</v>
      </c>
      <c r="K40" s="2" t="s">
        <v>104</v>
      </c>
      <c r="L40" s="2" t="s">
        <v>105</v>
      </c>
    </row>
    <row r="41" customFormat="false" ht="15" hidden="false" customHeight="false" outlineLevel="0" collapsed="false">
      <c r="A41" s="0" t="s">
        <v>106</v>
      </c>
      <c r="C41" s="3" t="n">
        <v>2</v>
      </c>
      <c r="D41" s="3" t="n">
        <v>6</v>
      </c>
      <c r="E41" s="3" t="n">
        <v>6.5</v>
      </c>
      <c r="F41" s="3" t="n">
        <v>6</v>
      </c>
      <c r="G41" s="3" t="n">
        <v>5</v>
      </c>
      <c r="H41" s="3" t="n">
        <v>4</v>
      </c>
      <c r="I41" s="3" t="n">
        <v>3.5</v>
      </c>
      <c r="J41" s="3" t="n">
        <v>3</v>
      </c>
      <c r="K41" s="3" t="n">
        <v>3</v>
      </c>
      <c r="L41" s="3" t="n">
        <v>3</v>
      </c>
    </row>
    <row r="42" customFormat="false" ht="15" hidden="false" customHeight="false" outlineLevel="0" collapsed="false">
      <c r="A42" s="0" t="s">
        <v>107</v>
      </c>
      <c r="C42" s="3" t="n">
        <v>19.1</v>
      </c>
      <c r="D42" s="3" t="n">
        <v>19.5</v>
      </c>
      <c r="E42" s="3" t="n">
        <v>20</v>
      </c>
      <c r="F42" s="3" t="n">
        <v>20.5</v>
      </c>
      <c r="G42" s="3" t="n">
        <v>21</v>
      </c>
      <c r="H42" s="3" t="n">
        <v>21.2</v>
      </c>
      <c r="I42" s="3" t="n">
        <v>21.2</v>
      </c>
      <c r="J42" s="3" t="n">
        <v>21.2</v>
      </c>
      <c r="K42" s="3" t="n">
        <v>21.2</v>
      </c>
      <c r="L42" s="3" t="n">
        <v>21.2</v>
      </c>
    </row>
    <row r="43" customFormat="false" ht="15" hidden="false" customHeight="false" outlineLevel="0" collapsed="false">
      <c r="A43" s="0" t="s">
        <v>108</v>
      </c>
      <c r="C43" s="3" t="n">
        <v>0.5</v>
      </c>
      <c r="D43" s="3" t="n">
        <v>0.5</v>
      </c>
      <c r="E43" s="3" t="n">
        <v>0.5</v>
      </c>
      <c r="F43" s="3" t="n">
        <v>0.5</v>
      </c>
      <c r="G43" s="3" t="n">
        <v>0.5</v>
      </c>
      <c r="H43" s="3" t="n">
        <v>0.5</v>
      </c>
      <c r="I43" s="3" t="n">
        <v>0.5</v>
      </c>
      <c r="J43" s="3" t="n">
        <v>0.5</v>
      </c>
      <c r="K43" s="3" t="n">
        <v>0.5</v>
      </c>
      <c r="L43" s="3" t="n">
        <v>0.5</v>
      </c>
    </row>
    <row r="44" customFormat="false" ht="15" hidden="false" customHeight="false" outlineLevel="0" collapsed="false">
      <c r="A44" s="0" t="s">
        <v>109</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110</v>
      </c>
      <c r="C45" s="3" t="n">
        <v>2</v>
      </c>
      <c r="D45" s="3" t="n">
        <v>2</v>
      </c>
      <c r="E45" s="3" t="n">
        <v>2</v>
      </c>
      <c r="F45" s="3" t="n">
        <v>2</v>
      </c>
      <c r="G45" s="3" t="n">
        <v>2</v>
      </c>
      <c r="H45" s="3" t="n">
        <v>2</v>
      </c>
      <c r="I45" s="3" t="n">
        <v>2</v>
      </c>
      <c r="J45" s="3" t="n">
        <v>2</v>
      </c>
      <c r="K45" s="3" t="n">
        <v>2</v>
      </c>
      <c r="L45" s="3" t="n">
        <v>2</v>
      </c>
    </row>
    <row r="46" customFormat="false" ht="15" hidden="false" customHeight="false" outlineLevel="0" collapsed="false">
      <c r="A46" s="0" t="s">
        <v>111</v>
      </c>
      <c r="C46" s="3" t="n">
        <v>2.3</v>
      </c>
      <c r="D46" s="3" t="n">
        <v>2.3</v>
      </c>
      <c r="E46" s="3" t="n">
        <v>2.3</v>
      </c>
      <c r="F46" s="3" t="n">
        <v>2.3</v>
      </c>
      <c r="G46" s="3" t="n">
        <v>2.3</v>
      </c>
      <c r="H46" s="3" t="n">
        <v>2.3</v>
      </c>
      <c r="I46" s="3" t="n">
        <v>2.3</v>
      </c>
      <c r="J46" s="3" t="n">
        <v>2.3</v>
      </c>
      <c r="K46" s="3" t="n">
        <v>2.3</v>
      </c>
      <c r="L46" s="3" t="n">
        <v>2.3</v>
      </c>
    </row>
    <row r="47" customFormat="false" ht="15" hidden="false" customHeight="false" outlineLevel="0" collapsed="false">
      <c r="A47" s="0" t="s">
        <v>112</v>
      </c>
      <c r="C47" s="3" t="n">
        <v>24</v>
      </c>
      <c r="D47" s="3" t="n">
        <v>24</v>
      </c>
      <c r="E47" s="3" t="n">
        <v>24</v>
      </c>
      <c r="F47" s="3" t="n">
        <v>24</v>
      </c>
      <c r="G47" s="3" t="n">
        <v>24</v>
      </c>
      <c r="H47" s="3" t="n">
        <v>24</v>
      </c>
      <c r="I47" s="3" t="n">
        <v>24</v>
      </c>
      <c r="J47" s="3" t="n">
        <v>24</v>
      </c>
      <c r="K47" s="3" t="n">
        <v>24</v>
      </c>
      <c r="L47" s="3" t="n">
        <v>24</v>
      </c>
    </row>
    <row r="48" customFormat="false" ht="15" hidden="false" customHeight="false" outlineLevel="0" collapsed="false">
      <c r="A48" s="0" t="s">
        <v>113</v>
      </c>
      <c r="B48" s="3" t="n">
        <v>9</v>
      </c>
    </row>
    <row r="49" customFormat="false" ht="15" hidden="false" customHeight="false" outlineLevel="0" collapsed="false">
      <c r="A49" s="0" t="s">
        <v>114</v>
      </c>
      <c r="B49" s="3" t="n">
        <v>3</v>
      </c>
    </row>
    <row r="50" customFormat="false" ht="15" hidden="false" customHeight="false" outlineLevel="0" collapsed="false">
      <c r="A50" s="0" t="s">
        <v>115</v>
      </c>
      <c r="B50" s="3" t="n">
        <v>15</v>
      </c>
    </row>
    <row r="51" customFormat="false" ht="15" hidden="false" customHeight="false" outlineLevel="0" collapsed="false">
      <c r="A51" s="0" t="s">
        <v>116</v>
      </c>
      <c r="B51" s="3" t="n">
        <v>-12</v>
      </c>
    </row>
    <row r="52" customFormat="false" ht="15" hidden="false" customHeight="false" outlineLevel="0" collapsed="false">
      <c r="A52" s="0" t="s">
        <v>117</v>
      </c>
      <c r="B52" s="3" t="n">
        <v>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120</v>
      </c>
    </row>
    <row r="3" customFormat="false" ht="15" hidden="false" customHeight="false" outlineLevel="0" collapsed="false">
      <c r="A3" s="0" t="s">
        <v>121</v>
      </c>
      <c r="B3" s="0" t="s">
        <v>82</v>
      </c>
      <c r="C3" s="2" t="s">
        <v>96</v>
      </c>
      <c r="D3" s="2" t="s">
        <v>97</v>
      </c>
      <c r="E3" s="2" t="s">
        <v>98</v>
      </c>
      <c r="F3" s="2" t="s">
        <v>99</v>
      </c>
      <c r="G3" s="2" t="s">
        <v>100</v>
      </c>
      <c r="H3" s="2" t="s">
        <v>101</v>
      </c>
      <c r="I3" s="2" t="s">
        <v>102</v>
      </c>
      <c r="J3" s="2" t="s">
        <v>103</v>
      </c>
      <c r="K3" s="2" t="s">
        <v>104</v>
      </c>
      <c r="L3" s="2" t="s">
        <v>105</v>
      </c>
    </row>
    <row r="4" customFormat="false" ht="15" hidden="false" customHeight="false" outlineLevel="0" collapsed="false">
      <c r="A4" s="0" t="s">
        <v>122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106</v>
      </c>
      <c r="C5" s="4" t="n">
        <f aca="false">Assumptions!C13</f>
        <v>0</v>
      </c>
      <c r="D5" s="4" t="n">
        <f aca="false">Assumptions!D13</f>
        <v>-4</v>
      </c>
      <c r="E5" s="4" t="n">
        <f aca="false">Assumptions!E13</f>
        <v>0</v>
      </c>
      <c r="F5" s="4" t="n">
        <f aca="false">Assumptions!F13</f>
        <v>2</v>
      </c>
      <c r="G5" s="4" t="n">
        <f aca="false">Assumptions!G13</f>
        <v>2.5</v>
      </c>
      <c r="H5" s="4" t="n">
        <f aca="false">Assumptions!H13</f>
        <v>2.5</v>
      </c>
      <c r="I5" s="4" t="n">
        <f aca="false">Assumptions!I13</f>
        <v>2</v>
      </c>
      <c r="J5" s="4" t="n">
        <f aca="false">Assumptions!J13</f>
        <v>2</v>
      </c>
      <c r="K5" s="4" t="n">
        <f aca="false">Assumptions!K13</f>
        <v>2</v>
      </c>
      <c r="L5" s="4" t="n">
        <f aca="false">Assumptions!L13</f>
        <v>2</v>
      </c>
    </row>
    <row r="6" customFormat="false" ht="15" hidden="false" customHeight="false" outlineLevel="0" collapsed="false">
      <c r="A6" s="0" t="s">
        <v>37</v>
      </c>
      <c r="B6" s="3" t="n">
        <v>7562</v>
      </c>
      <c r="C6" s="0" t="n">
        <f aca="false">B6*(1+C5/100)</f>
        <v>7562</v>
      </c>
      <c r="D6" s="0" t="n">
        <f aca="false">C6*(1+D5/100)</f>
        <v>7259.52</v>
      </c>
      <c r="E6" s="0" t="n">
        <f aca="false">D6*(1+E5/100)</f>
        <v>7259.52</v>
      </c>
      <c r="F6" s="0" t="n">
        <f aca="false">E6*(1+F5/100)</f>
        <v>7404.7104</v>
      </c>
      <c r="G6" s="0" t="n">
        <f aca="false">F6*(1+G5/100)</f>
        <v>7589.82816</v>
      </c>
      <c r="H6" s="0" t="n">
        <f aca="false">G6*(1+H5/100)</f>
        <v>7779.573864</v>
      </c>
      <c r="I6" s="0" t="n">
        <f aca="false">H6*(1+I5/100)</f>
        <v>7935.16534128</v>
      </c>
      <c r="J6" s="0" t="n">
        <f aca="false">I6*(1+J5/100)</f>
        <v>8093.8686481056</v>
      </c>
      <c r="K6" s="0" t="n">
        <f aca="false">J6*(1+K5/100)</f>
        <v>8255.74602106771</v>
      </c>
      <c r="L6" s="0" t="n">
        <f aca="false">K6*(1+L5/100)</f>
        <v>8420.86094148907</v>
      </c>
    </row>
    <row r="7" customFormat="false" ht="15" hidden="false" customHeight="false" outlineLevel="0" collapsed="false">
      <c r="A7" s="0" t="s">
        <v>107</v>
      </c>
      <c r="C7" s="4" t="n">
        <f aca="false">Assumptions!C14</f>
        <v>18.5</v>
      </c>
      <c r="D7" s="4" t="n">
        <f aca="false">Assumptions!D14</f>
        <v>17</v>
      </c>
      <c r="E7" s="4" t="n">
        <f aca="false">Assumptions!E14</f>
        <v>16.5</v>
      </c>
      <c r="F7" s="4" t="n">
        <f aca="false">Assumptions!F14</f>
        <v>17</v>
      </c>
      <c r="G7" s="4" t="n">
        <f aca="false">Assumptions!G14</f>
        <v>17.5</v>
      </c>
      <c r="H7" s="4" t="n">
        <f aca="false">Assumptions!H14</f>
        <v>17.5</v>
      </c>
      <c r="I7" s="4" t="n">
        <f aca="false">Assumptions!I14</f>
        <v>17.5</v>
      </c>
      <c r="J7" s="4" t="n">
        <f aca="false">Assumptions!J14</f>
        <v>17.5</v>
      </c>
      <c r="K7" s="4" t="n">
        <f aca="false">Assumptions!K14</f>
        <v>17.5</v>
      </c>
      <c r="L7" s="4" t="n">
        <f aca="false">Assumptions!L14</f>
        <v>17.5</v>
      </c>
    </row>
    <row r="8" customFormat="false" ht="15" hidden="false" customHeight="false" outlineLevel="0" collapsed="false">
      <c r="A8" s="0" t="s">
        <v>43</v>
      </c>
      <c r="C8" s="0" t="n">
        <f aca="false">C6*C7/100</f>
        <v>1398.97</v>
      </c>
      <c r="D8" s="0" t="n">
        <f aca="false">D6*D7/100</f>
        <v>1234.1184</v>
      </c>
      <c r="E8" s="0" t="n">
        <f aca="false">E6*E7/100</f>
        <v>1197.8208</v>
      </c>
      <c r="F8" s="0" t="n">
        <f aca="false">F6*F7/100</f>
        <v>1258.800768</v>
      </c>
      <c r="G8" s="0" t="n">
        <f aca="false">G6*G7/100</f>
        <v>1328.219928</v>
      </c>
      <c r="H8" s="0" t="n">
        <f aca="false">H6*H7/100</f>
        <v>1361.4254262</v>
      </c>
      <c r="I8" s="0" t="n">
        <f aca="false">I6*I7/100</f>
        <v>1388.653934724</v>
      </c>
      <c r="J8" s="0" t="n">
        <f aca="false">J6*J7/100</f>
        <v>1416.42701341848</v>
      </c>
      <c r="K8" s="0" t="n">
        <f aca="false">K6*K7/100</f>
        <v>1444.75555368685</v>
      </c>
      <c r="L8" s="0" t="n">
        <f aca="false">L6*L7/100</f>
        <v>1473.65066476059</v>
      </c>
    </row>
    <row r="9" customFormat="false" ht="15" hidden="false" customHeight="false" outlineLevel="0" collapsed="false">
      <c r="A9" s="0" t="s">
        <v>108</v>
      </c>
      <c r="C9" s="4" t="n">
        <f aca="false">Assumptions!C15</f>
        <v>0.5</v>
      </c>
      <c r="D9" s="4" t="n">
        <f aca="false">Assumptions!D15</f>
        <v>0.5</v>
      </c>
      <c r="E9" s="4" t="n">
        <f aca="false">Assumptions!E15</f>
        <v>0.5</v>
      </c>
      <c r="F9" s="4" t="n">
        <f aca="false">Assumptions!F15</f>
        <v>0.5</v>
      </c>
      <c r="G9" s="4" t="n">
        <f aca="false">Assumptions!G15</f>
        <v>0.5</v>
      </c>
      <c r="H9" s="4" t="n">
        <f aca="false">Assumptions!H15</f>
        <v>0.5</v>
      </c>
      <c r="I9" s="4" t="n">
        <f aca="false">Assumptions!I15</f>
        <v>0.5</v>
      </c>
      <c r="J9" s="4" t="n">
        <f aca="false">Assumptions!J15</f>
        <v>0.5</v>
      </c>
      <c r="K9" s="4" t="n">
        <f aca="false">Assumptions!K15</f>
        <v>0.5</v>
      </c>
      <c r="L9" s="4" t="n">
        <f aca="false">Assumptions!L15</f>
        <v>0.5</v>
      </c>
    </row>
    <row r="10" customFormat="false" ht="15" hidden="false" customHeight="false" outlineLevel="0" collapsed="false">
      <c r="A10" s="0" t="s">
        <v>123</v>
      </c>
      <c r="C10" s="0" t="n">
        <f aca="false">-C6*C9/100</f>
        <v>-37.81</v>
      </c>
      <c r="D10" s="0" t="n">
        <f aca="false">-D6*D9/100</f>
        <v>-36.2976</v>
      </c>
      <c r="E10" s="0" t="n">
        <f aca="false">-E6*E9/100</f>
        <v>-36.2976</v>
      </c>
      <c r="F10" s="0" t="n">
        <f aca="false">-F6*F9/100</f>
        <v>-37.023552</v>
      </c>
      <c r="G10" s="0" t="n">
        <f aca="false">-G6*G9/100</f>
        <v>-37.9491408</v>
      </c>
      <c r="H10" s="0" t="n">
        <f aca="false">-H6*H9/100</f>
        <v>-38.89786932</v>
      </c>
      <c r="I10" s="0" t="n">
        <f aca="false">-I6*I9/100</f>
        <v>-39.6758267064</v>
      </c>
      <c r="J10" s="0" t="n">
        <f aca="false">-J6*J9/100</f>
        <v>-40.469343240528</v>
      </c>
      <c r="K10" s="0" t="n">
        <f aca="false">-K6*K9/100</f>
        <v>-41.2787301053386</v>
      </c>
      <c r="L10" s="0" t="n">
        <f aca="false">-L6*L9/100</f>
        <v>-42.1043047074453</v>
      </c>
    </row>
    <row r="11" customFormat="false" ht="15" hidden="false" customHeight="false" outlineLevel="0" collapsed="false">
      <c r="A11" s="0" t="s">
        <v>124</v>
      </c>
      <c r="C11" s="0" t="n">
        <f aca="false">C8+C10+C24</f>
        <v>1361.16</v>
      </c>
      <c r="D11" s="0" t="n">
        <f aca="false">D8+D10+D24</f>
        <v>1197.8208</v>
      </c>
      <c r="E11" s="0" t="n">
        <f aca="false">E8+E10+E24</f>
        <v>1161.5232</v>
      </c>
      <c r="F11" s="0" t="n">
        <f aca="false">F8+F10+F24</f>
        <v>1221.777216</v>
      </c>
      <c r="G11" s="0" t="n">
        <f aca="false">G8+G10+G24</f>
        <v>1290.2707872</v>
      </c>
      <c r="H11" s="0" t="n">
        <f aca="false">H8+H10+H24</f>
        <v>1322.52755688</v>
      </c>
      <c r="I11" s="0" t="n">
        <f aca="false">I8+I10+I24</f>
        <v>1348.9781080176</v>
      </c>
      <c r="J11" s="0" t="n">
        <f aca="false">J8+J10+J24</f>
        <v>1375.95767017795</v>
      </c>
      <c r="K11" s="0" t="n">
        <f aca="false">K8+K10+K24</f>
        <v>1403.47682358151</v>
      </c>
      <c r="L11" s="0" t="n">
        <f aca="false">L8+L10+L24</f>
        <v>1431.54636005314</v>
      </c>
    </row>
    <row r="12" customFormat="false" ht="15" hidden="false" customHeight="false" outlineLevel="0" collapsed="false">
      <c r="A12" s="0" t="s">
        <v>125</v>
      </c>
      <c r="C12" s="4" t="n">
        <f aca="false">-C6*Assumptions!C17/100</f>
        <v>-151.24</v>
      </c>
      <c r="D12" s="4" t="n">
        <f aca="false">-D6*Assumptions!D17/100</f>
        <v>-145.1904</v>
      </c>
      <c r="E12" s="4" t="n">
        <f aca="false">-E6*Assumptions!E17/100</f>
        <v>-145.1904</v>
      </c>
      <c r="F12" s="4" t="n">
        <f aca="false">-F6*Assumptions!F17/100</f>
        <v>-148.094208</v>
      </c>
      <c r="G12" s="4" t="n">
        <f aca="false">-G6*Assumptions!G17/100</f>
        <v>-151.7965632</v>
      </c>
      <c r="H12" s="4" t="n">
        <f aca="false">-H6*Assumptions!H17/100</f>
        <v>-155.59147728</v>
      </c>
      <c r="I12" s="4" t="n">
        <f aca="false">-I6*Assumptions!I17/100</f>
        <v>-158.7033068256</v>
      </c>
      <c r="J12" s="4" t="n">
        <f aca="false">-J6*Assumptions!J17/100</f>
        <v>-161.877372962112</v>
      </c>
      <c r="K12" s="4" t="n">
        <f aca="false">-K6*Assumptions!K17/100</f>
        <v>-165.114920421354</v>
      </c>
      <c r="L12" s="4" t="n">
        <f aca="false">-L6*Assumptions!L17/100</f>
        <v>-168.417218829781</v>
      </c>
    </row>
    <row r="13" customFormat="false" ht="15" hidden="false" customHeight="false" outlineLevel="0" collapsed="false">
      <c r="A13" s="0" t="s">
        <v>126</v>
      </c>
      <c r="C13" s="0" t="n">
        <f aca="false">C11+C12</f>
        <v>1209.92</v>
      </c>
      <c r="D13" s="0" t="n">
        <f aca="false">D11+D12</f>
        <v>1052.6304</v>
      </c>
      <c r="E13" s="0" t="n">
        <f aca="false">E11+E12</f>
        <v>1016.3328</v>
      </c>
      <c r="F13" s="0" t="n">
        <f aca="false">F11+F12</f>
        <v>1073.683008</v>
      </c>
      <c r="G13" s="0" t="n">
        <f aca="false">G11+G12</f>
        <v>1138.474224</v>
      </c>
      <c r="H13" s="0" t="n">
        <f aca="false">H11+H12</f>
        <v>1166.9360796</v>
      </c>
      <c r="I13" s="0" t="n">
        <f aca="false">I11+I12</f>
        <v>1190.274801192</v>
      </c>
      <c r="J13" s="0" t="n">
        <f aca="false">J11+J12</f>
        <v>1214.08029721584</v>
      </c>
      <c r="K13" s="0" t="n">
        <f aca="false">K11+K12</f>
        <v>1238.36190316016</v>
      </c>
      <c r="L13" s="0" t="n">
        <f aca="false">L11+L12</f>
        <v>1263.12914122336</v>
      </c>
    </row>
    <row r="14" customFormat="false" ht="15" hidden="false" customHeight="false" outlineLevel="0" collapsed="false">
      <c r="A14" s="0" t="s">
        <v>112</v>
      </c>
      <c r="C14" s="4" t="n">
        <f aca="false">Assumptions!C19</f>
        <v>24</v>
      </c>
      <c r="D14" s="4" t="n">
        <f aca="false">Assumptions!D19</f>
        <v>24</v>
      </c>
      <c r="E14" s="4" t="n">
        <f aca="false">Assumptions!E19</f>
        <v>24</v>
      </c>
      <c r="F14" s="4" t="n">
        <f aca="false">Assumptions!F19</f>
        <v>24</v>
      </c>
      <c r="G14" s="4" t="n">
        <f aca="false">Assumptions!G19</f>
        <v>24</v>
      </c>
      <c r="H14" s="4" t="n">
        <f aca="false">Assumptions!H19</f>
        <v>24</v>
      </c>
      <c r="I14" s="4" t="n">
        <f aca="false">Assumptions!I19</f>
        <v>24</v>
      </c>
      <c r="J14" s="4" t="n">
        <f aca="false">Assumptions!J19</f>
        <v>24</v>
      </c>
      <c r="K14" s="4" t="n">
        <f aca="false">Assumptions!K19</f>
        <v>24</v>
      </c>
      <c r="L14" s="4" t="n">
        <f aca="false">Assumptions!L19</f>
        <v>24</v>
      </c>
    </row>
    <row r="15" customFormat="false" ht="15" hidden="false" customHeight="false" outlineLevel="0" collapsed="false">
      <c r="A15" s="0" t="s">
        <v>127</v>
      </c>
      <c r="C15" s="0" t="n">
        <f aca="false">C13-MAX(0,C13)*C14/100</f>
        <v>919.5392</v>
      </c>
      <c r="D15" s="0" t="n">
        <f aca="false">D13-MAX(0,D13)*D14/100</f>
        <v>799.999104</v>
      </c>
      <c r="E15" s="0" t="n">
        <f aca="false">E13-MAX(0,E13)*E14/100</f>
        <v>772.412928</v>
      </c>
      <c r="F15" s="0" t="n">
        <f aca="false">F13-MAX(0,F13)*F14/100</f>
        <v>815.99908608</v>
      </c>
      <c r="G15" s="0" t="n">
        <f aca="false">G13-MAX(0,G13)*G14/100</f>
        <v>865.24041024</v>
      </c>
      <c r="H15" s="0" t="n">
        <f aca="false">H13-MAX(0,H13)*H14/100</f>
        <v>886.871420496</v>
      </c>
      <c r="I15" s="0" t="n">
        <f aca="false">I13-MAX(0,I13)*I14/100</f>
        <v>904.60884890592</v>
      </c>
      <c r="J15" s="0" t="n">
        <f aca="false">J13-MAX(0,J13)*J14/100</f>
        <v>922.701025884038</v>
      </c>
      <c r="K15" s="0" t="n">
        <f aca="false">K13-MAX(0,K13)*K14/100</f>
        <v>941.155046401719</v>
      </c>
      <c r="L15" s="0" t="n">
        <f aca="false">L13-MAX(0,L13)*L14/100</f>
        <v>959.978147329754</v>
      </c>
    </row>
    <row r="16" customFormat="false" ht="15" hidden="false" customHeight="false" outlineLevel="0" collapsed="false">
      <c r="A16" s="0" t="s">
        <v>128</v>
      </c>
      <c r="C16" s="0" t="n">
        <f aca="false">-C12</f>
        <v>151.24</v>
      </c>
      <c r="D16" s="0" t="n">
        <f aca="false">-D12</f>
        <v>145.1904</v>
      </c>
      <c r="E16" s="0" t="n">
        <f aca="false">-E12</f>
        <v>145.1904</v>
      </c>
      <c r="F16" s="0" t="n">
        <f aca="false">-F12</f>
        <v>148.094208</v>
      </c>
      <c r="G16" s="0" t="n">
        <f aca="false">-G12</f>
        <v>151.7965632</v>
      </c>
      <c r="H16" s="0" t="n">
        <f aca="false">-H12</f>
        <v>155.59147728</v>
      </c>
      <c r="I16" s="0" t="n">
        <f aca="false">-I12</f>
        <v>158.7033068256</v>
      </c>
      <c r="J16" s="0" t="n">
        <f aca="false">-J12</f>
        <v>161.877372962112</v>
      </c>
      <c r="K16" s="0" t="n">
        <f aca="false">-K12</f>
        <v>165.114920421354</v>
      </c>
      <c r="L16" s="0" t="n">
        <f aca="false">-L12</f>
        <v>168.417218829781</v>
      </c>
    </row>
    <row r="17" customFormat="false" ht="15" hidden="false" customHeight="false" outlineLevel="0" collapsed="false">
      <c r="A17" s="0" t="s">
        <v>129</v>
      </c>
      <c r="C17" s="4" t="n">
        <f aca="false">-C6*Assumptions!C18/100</f>
        <v>-151.24</v>
      </c>
      <c r="D17" s="4" t="n">
        <f aca="false">-D6*Assumptions!D18/100</f>
        <v>-145.1904</v>
      </c>
      <c r="E17" s="4" t="n">
        <f aca="false">-E6*Assumptions!E18/100</f>
        <v>-145.1904</v>
      </c>
      <c r="F17" s="4" t="n">
        <f aca="false">-F6*Assumptions!F18/100</f>
        <v>-148.094208</v>
      </c>
      <c r="G17" s="4" t="n">
        <f aca="false">-G6*Assumptions!G18/100</f>
        <v>-151.7965632</v>
      </c>
      <c r="H17" s="4" t="n">
        <f aca="false">-H6*Assumptions!H18/100</f>
        <v>-155.59147728</v>
      </c>
      <c r="I17" s="4" t="n">
        <f aca="false">-I6*Assumptions!I18/100</f>
        <v>-158.7033068256</v>
      </c>
      <c r="J17" s="4" t="n">
        <f aca="false">-J6*Assumptions!J18/100</f>
        <v>-161.877372962112</v>
      </c>
      <c r="K17" s="4" t="n">
        <f aca="false">-K6*Assumptions!K18/100</f>
        <v>-165.114920421354</v>
      </c>
      <c r="L17" s="4" t="n">
        <f aca="false">-L6*Assumptions!L18/100</f>
        <v>-168.417218829781</v>
      </c>
    </row>
    <row r="18" customFormat="false" ht="15" hidden="false" customHeight="false" outlineLevel="0" collapsed="false">
      <c r="A18" s="0" t="s">
        <v>130</v>
      </c>
      <c r="C18" s="4" t="n">
        <f aca="false">(C6-B6)*Assumptions!$B$23/100</f>
        <v>-0</v>
      </c>
      <c r="D18" s="4" t="n">
        <f aca="false">(D6-C6)*Assumptions!$B$23/100</f>
        <v>36.2976000000001</v>
      </c>
      <c r="E18" s="4" t="n">
        <f aca="false">(E6-D6)*Assumptions!$B$23/100</f>
        <v>-0</v>
      </c>
      <c r="F18" s="4" t="n">
        <f aca="false">(F6-E6)*Assumptions!$B$23/100</f>
        <v>-17.422848</v>
      </c>
      <c r="G18" s="4" t="n">
        <f aca="false">(G6-F6)*Assumptions!$B$23/100</f>
        <v>-22.2141311999999</v>
      </c>
      <c r="H18" s="4" t="n">
        <f aca="false">(H6-G6)*Assumptions!$B$23/100</f>
        <v>-22.7694844799999</v>
      </c>
      <c r="I18" s="4" t="n">
        <f aca="false">(I6-H6)*Assumptions!$B$23/100</f>
        <v>-18.6709772736</v>
      </c>
      <c r="J18" s="4" t="n">
        <f aca="false">(J6-I6)*Assumptions!$B$23/100</f>
        <v>-19.0443968190721</v>
      </c>
      <c r="K18" s="4" t="n">
        <f aca="false">(K6-J6)*Assumptions!$B$23/100</f>
        <v>-19.4252847554535</v>
      </c>
      <c r="L18" s="4" t="n">
        <f aca="false">(L6-K6)*Assumptions!$B$23/100</f>
        <v>-19.8137904505625</v>
      </c>
    </row>
    <row r="19" customFormat="false" ht="15" hidden="false" customHeight="false" outlineLevel="0" collapsed="false">
      <c r="A19" s="0" t="s">
        <v>131</v>
      </c>
      <c r="C19" s="0" t="n">
        <f aca="false">C15+C16+C17+C18</f>
        <v>919.5392</v>
      </c>
      <c r="D19" s="0" t="n">
        <f aca="false">D15+D16+D17+D18</f>
        <v>836.296704</v>
      </c>
      <c r="E19" s="0" t="n">
        <f aca="false">E15+E16+E17+E18</f>
        <v>772.412928</v>
      </c>
      <c r="F19" s="0" t="n">
        <f aca="false">F15+F16+F17+F18</f>
        <v>798.57623808</v>
      </c>
      <c r="G19" s="0" t="n">
        <f aca="false">G15+G16+G17+G18</f>
        <v>843.02627904</v>
      </c>
      <c r="H19" s="0" t="n">
        <f aca="false">H15+H16+H17+H18</f>
        <v>864.101936016</v>
      </c>
      <c r="I19" s="0" t="n">
        <f aca="false">I15+I16+I17+I18</f>
        <v>885.93787163232</v>
      </c>
      <c r="J19" s="0" t="n">
        <f aca="false">J15+J16+J17+J18</f>
        <v>903.656629064966</v>
      </c>
      <c r="K19" s="0" t="n">
        <f aca="false">K15+K16+K17+K18</f>
        <v>921.729761646265</v>
      </c>
      <c r="L19" s="0" t="n">
        <f aca="false">L15+L16+L17+L18</f>
        <v>940.164356879191</v>
      </c>
    </row>
    <row r="20" customFormat="false" ht="15" hidden="false" customHeight="false" outlineLevel="0" collapsed="false">
      <c r="A20" s="0" t="s">
        <v>132</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133</v>
      </c>
      <c r="C21" s="0" t="n">
        <f aca="false">C19*C20</f>
        <v>843.613944954128</v>
      </c>
      <c r="D21" s="0" t="n">
        <f aca="false">D19*D20</f>
        <v>703.894204191566</v>
      </c>
      <c r="E21" s="0" t="n">
        <f aca="false">E19*E20</f>
        <v>596.444502787196</v>
      </c>
      <c r="F21" s="0" t="n">
        <f aca="false">F19*F20</f>
        <v>565.731540013474</v>
      </c>
      <c r="G21" s="0" t="n">
        <f aca="false">G19*G20</f>
        <v>547.909238222403</v>
      </c>
      <c r="H21" s="0" t="n">
        <f aca="false">H19*H20</f>
        <v>515.235751539416</v>
      </c>
      <c r="I21" s="0" t="n">
        <f aca="false">I19*I20</f>
        <v>484.638354586482</v>
      </c>
      <c r="J21" s="0" t="n">
        <f aca="false">J19*J20</f>
        <v>453.514790530469</v>
      </c>
      <c r="K21" s="0" t="n">
        <f aca="false">K19*K20</f>
        <v>424.389987468879</v>
      </c>
      <c r="L21" s="0" t="n">
        <f aca="false">L19*L20</f>
        <v>397.135584603906</v>
      </c>
    </row>
    <row r="23" customFormat="false" ht="15" hidden="false" customHeight="false" outlineLevel="0" collapsed="false">
      <c r="A23" s="0" t="s">
        <v>109</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134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135</v>
      </c>
    </row>
    <row r="27" customFormat="false" ht="15" hidden="false" customHeight="false" outlineLevel="0" collapsed="false">
      <c r="A27" s="0" t="s">
        <v>113</v>
      </c>
      <c r="B27" s="4" t="n">
        <f aca="false">Assumptions!$B$20</f>
        <v>9</v>
      </c>
    </row>
    <row r="28" customFormat="false" ht="15" hidden="false" customHeight="false" outlineLevel="0" collapsed="false">
      <c r="A28" s="0" t="s">
        <v>114</v>
      </c>
      <c r="B28" s="4" t="n">
        <f aca="false">Assumptions!$B$21</f>
        <v>2</v>
      </c>
    </row>
    <row r="29" customFormat="false" ht="15" hidden="false" customHeight="false" outlineLevel="0" collapsed="false">
      <c r="A29" s="0" t="s">
        <v>115</v>
      </c>
      <c r="B29" s="4" t="n">
        <f aca="false">Assumptions!$B$22</f>
        <v>15</v>
      </c>
    </row>
    <row r="30" customFormat="false" ht="15" hidden="false" customHeight="false" outlineLevel="0" collapsed="false">
      <c r="A30" s="0" t="s">
        <v>136</v>
      </c>
      <c r="B30" s="0" t="n">
        <f aca="false">SUM(C21:L21)</f>
        <v>5532.50789889792</v>
      </c>
    </row>
    <row r="31" customFormat="false" ht="15" hidden="false" customHeight="false" outlineLevel="0" collapsed="false">
      <c r="A31" s="0" t="s">
        <v>137</v>
      </c>
      <c r="B31" s="0" t="n">
        <f aca="false">L19</f>
        <v>940.164356879191</v>
      </c>
    </row>
    <row r="32" customFormat="false" ht="15" hidden="false" customHeight="false" outlineLevel="0" collapsed="false">
      <c r="A32" s="0" t="s">
        <v>138</v>
      </c>
      <c r="B32" s="0" t="n">
        <f aca="false">IF(B27&gt;B28,B31*(1+B28/100)/((B27-B28)/100),B31*B29)</f>
        <v>13699.5377716682</v>
      </c>
    </row>
    <row r="33" customFormat="false" ht="15" hidden="false" customHeight="false" outlineLevel="0" collapsed="false">
      <c r="A33" s="0" t="s">
        <v>139</v>
      </c>
      <c r="B33" s="0" t="n">
        <f aca="false">B31*B29</f>
        <v>14102.4653531879</v>
      </c>
    </row>
    <row r="34" customFormat="false" ht="15" hidden="false" customHeight="false" outlineLevel="0" collapsed="false">
      <c r="A34" s="0" t="s">
        <v>140</v>
      </c>
      <c r="B34" s="0" t="n">
        <f aca="false">MAX(0,MIN(B32,B33))</f>
        <v>13699.5377716682</v>
      </c>
    </row>
    <row r="35" customFormat="false" ht="15" hidden="false" customHeight="false" outlineLevel="0" collapsed="false">
      <c r="A35" s="0" t="s">
        <v>141</v>
      </c>
      <c r="B35" s="0" t="n">
        <f aca="false">B34/(1+B27/100)^L4</f>
        <v>5786.83280422834</v>
      </c>
    </row>
    <row r="36" customFormat="false" ht="15" hidden="false" customHeight="false" outlineLevel="0" collapsed="false">
      <c r="A36" s="0" t="s">
        <v>142</v>
      </c>
      <c r="B36" s="0" t="n">
        <f aca="false">B30+B35</f>
        <v>11319.3407031263</v>
      </c>
    </row>
    <row r="37" customFormat="false" ht="15" hidden="false" customHeight="false" outlineLevel="0" collapsed="false">
      <c r="A37" s="0" t="s">
        <v>143</v>
      </c>
      <c r="B37" s="0" t="n">
        <f aca="false">B36+Assumptions!$B$5-Assumptions!$B$4</f>
        <v>7598.34070312626</v>
      </c>
    </row>
    <row r="38" customFormat="false" ht="15" hidden="false" customHeight="false" outlineLevel="0" collapsed="false">
      <c r="A38" s="0" t="s">
        <v>144</v>
      </c>
      <c r="B38" s="0" t="n">
        <f aca="false">B37/Assumptions!$B$3*Assumptions!$B$10</f>
        <v>38.4921008263741</v>
      </c>
    </row>
    <row r="39" customFormat="false" ht="15" hidden="false" customHeight="false" outlineLevel="0" collapsed="false">
      <c r="A39" s="0" t="s">
        <v>145</v>
      </c>
      <c r="B39" s="4" t="n">
        <f aca="false">B38/Assumptions!$B$2-1</f>
        <v>-0.436260972080051</v>
      </c>
    </row>
    <row r="41" customFormat="false" ht="15" hidden="false" customHeight="false" outlineLevel="0" collapsed="false">
      <c r="A41" s="0" t="s">
        <v>146</v>
      </c>
      <c r="B41" s="0" t="n">
        <f aca="false">SUMPRODUCT(-C10:L10/(1+$B$27/100)^C4:L4)</f>
        <v>246.159150096346</v>
      </c>
    </row>
    <row r="42" customFormat="false" ht="15" hidden="false" customHeight="false" outlineLevel="0" collapsed="false">
      <c r="A42" s="0" t="s">
        <v>147</v>
      </c>
      <c r="B42" s="0" t="n">
        <f aca="false">IF(B27&gt;B28,-L10*(1+B28/100)/((B27-B28)/100),-L10*20)/(1+B27/100)^L4</f>
        <v>259.157422739414</v>
      </c>
    </row>
    <row r="43" customFormat="false" ht="15" hidden="false" customHeight="false" outlineLevel="0" collapsed="false">
      <c r="A43" s="0" t="s">
        <v>148</v>
      </c>
      <c r="B43" s="0" t="n">
        <f aca="false">(B37+B41+B42)/Assumptions!$B$3*Assumptions!$B$10</f>
        <v>41.0519618843061</v>
      </c>
    </row>
    <row r="45" customFormat="false" ht="15" hidden="false" customHeight="false" outlineLevel="0" collapsed="false">
      <c r="A45" s="0" t="s">
        <v>89</v>
      </c>
      <c r="B45" s="4" t="n">
        <f aca="false">Assumptions!$B$6</f>
        <v>15</v>
      </c>
    </row>
    <row r="46" customFormat="false" ht="15" hidden="false" customHeight="false" outlineLevel="0" collapsed="false">
      <c r="A46" s="0" t="s">
        <v>149</v>
      </c>
      <c r="B46" s="0" t="n">
        <f aca="false">MAX(0,MIN(IF(B45&gt;B28,B31*(1+B28/100)/((B45-B28)/100),B31*B29),B31*B29))</f>
        <v>7376.67418474442</v>
      </c>
    </row>
    <row r="47" customFormat="false" ht="15" hidden="false" customHeight="false" outlineLevel="0" collapsed="false">
      <c r="A47" s="0" t="s">
        <v>150</v>
      </c>
      <c r="B47" s="0" t="n">
        <f aca="false">(SUMPRODUCT(C19:L19/(1+B45/100)^C4:L4)+B46/(1+B45/100)^L4+Assumptions!$B$5-Assumptions!$B$4)/Assumptions!$B$3*Assumptions!$B$10</f>
        <v>12.2310169869003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151</v>
      </c>
    </row>
    <row r="3" customFormat="false" ht="15" hidden="false" customHeight="false" outlineLevel="0" collapsed="false">
      <c r="A3" s="0" t="s">
        <v>121</v>
      </c>
      <c r="B3" s="0" t="s">
        <v>82</v>
      </c>
      <c r="C3" s="2" t="s">
        <v>96</v>
      </c>
      <c r="D3" s="2" t="s">
        <v>97</v>
      </c>
      <c r="E3" s="2" t="s">
        <v>98</v>
      </c>
      <c r="F3" s="2" t="s">
        <v>99</v>
      </c>
      <c r="G3" s="2" t="s">
        <v>100</v>
      </c>
      <c r="H3" s="2" t="s">
        <v>101</v>
      </c>
      <c r="I3" s="2" t="s">
        <v>102</v>
      </c>
      <c r="J3" s="2" t="s">
        <v>103</v>
      </c>
      <c r="K3" s="2" t="s">
        <v>104</v>
      </c>
      <c r="L3" s="2" t="s">
        <v>105</v>
      </c>
    </row>
    <row r="4" customFormat="false" ht="15" hidden="false" customHeight="false" outlineLevel="0" collapsed="false">
      <c r="A4" s="0" t="s">
        <v>122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106</v>
      </c>
      <c r="C5" s="4" t="n">
        <f aca="false">Assumptions!C27</f>
        <v>1</v>
      </c>
      <c r="D5" s="4" t="n">
        <f aca="false">Assumptions!D27</f>
        <v>4</v>
      </c>
      <c r="E5" s="4" t="n">
        <f aca="false">Assumptions!E27</f>
        <v>4.5</v>
      </c>
      <c r="F5" s="4" t="n">
        <f aca="false">Assumptions!F27</f>
        <v>4</v>
      </c>
      <c r="G5" s="4" t="n">
        <f aca="false">Assumptions!G27</f>
        <v>3.5</v>
      </c>
      <c r="H5" s="4" t="n">
        <f aca="false">Assumptions!H27</f>
        <v>3</v>
      </c>
      <c r="I5" s="4" t="n">
        <f aca="false">Assumptions!I27</f>
        <v>3</v>
      </c>
      <c r="J5" s="4" t="n">
        <f aca="false">Assumptions!J27</f>
        <v>2.5</v>
      </c>
      <c r="K5" s="4" t="n">
        <f aca="false">Assumptions!K27</f>
        <v>2.5</v>
      </c>
      <c r="L5" s="4" t="n">
        <f aca="false">Assumptions!L27</f>
        <v>2.5</v>
      </c>
    </row>
    <row r="6" customFormat="false" ht="15" hidden="false" customHeight="false" outlineLevel="0" collapsed="false">
      <c r="A6" s="0" t="s">
        <v>37</v>
      </c>
      <c r="B6" s="3" t="n">
        <v>7562</v>
      </c>
      <c r="C6" s="0" t="n">
        <f aca="false">B6*(1+C5/100)</f>
        <v>7637.62</v>
      </c>
      <c r="D6" s="0" t="n">
        <f aca="false">C6*(1+D5/100)</f>
        <v>7943.1248</v>
      </c>
      <c r="E6" s="0" t="n">
        <f aca="false">D6*(1+E5/100)</f>
        <v>8300.565416</v>
      </c>
      <c r="F6" s="0" t="n">
        <f aca="false">E6*(1+F5/100)</f>
        <v>8632.58803264</v>
      </c>
      <c r="G6" s="0" t="n">
        <f aca="false">F6*(1+G5/100)</f>
        <v>8934.7286137824</v>
      </c>
      <c r="H6" s="0" t="n">
        <f aca="false">G6*(1+H5/100)</f>
        <v>9202.77047219587</v>
      </c>
      <c r="I6" s="0" t="n">
        <f aca="false">H6*(1+I5/100)</f>
        <v>9478.85358636175</v>
      </c>
      <c r="J6" s="0" t="n">
        <f aca="false">I6*(1+J5/100)</f>
        <v>9715.82492602079</v>
      </c>
      <c r="K6" s="0" t="n">
        <f aca="false">J6*(1+K5/100)</f>
        <v>9958.72054917131</v>
      </c>
      <c r="L6" s="0" t="n">
        <f aca="false">K6*(1+L5/100)</f>
        <v>10207.6885629006</v>
      </c>
    </row>
    <row r="7" customFormat="false" ht="15" hidden="false" customHeight="false" outlineLevel="0" collapsed="false">
      <c r="A7" s="0" t="s">
        <v>107</v>
      </c>
      <c r="C7" s="4" t="n">
        <f aca="false">Assumptions!C28</f>
        <v>18.9</v>
      </c>
      <c r="D7" s="4" t="n">
        <f aca="false">Assumptions!D28</f>
        <v>19</v>
      </c>
      <c r="E7" s="4" t="n">
        <f aca="false">Assumptions!E28</f>
        <v>19.3</v>
      </c>
      <c r="F7" s="4" t="n">
        <f aca="false">Assumptions!F28</f>
        <v>19.5</v>
      </c>
      <c r="G7" s="4" t="n">
        <f aca="false">Assumptions!G28</f>
        <v>19.7</v>
      </c>
      <c r="H7" s="4" t="n">
        <f aca="false">Assumptions!H28</f>
        <v>19.8</v>
      </c>
      <c r="I7" s="4" t="n">
        <f aca="false">Assumptions!I28</f>
        <v>19.8</v>
      </c>
      <c r="J7" s="4" t="n">
        <f aca="false">Assumptions!J28</f>
        <v>19.8</v>
      </c>
      <c r="K7" s="4" t="n">
        <f aca="false">Assumptions!K28</f>
        <v>19.8</v>
      </c>
      <c r="L7" s="4" t="n">
        <f aca="false">Assumptions!L28</f>
        <v>19.8</v>
      </c>
    </row>
    <row r="8" customFormat="false" ht="15" hidden="false" customHeight="false" outlineLevel="0" collapsed="false">
      <c r="A8" s="0" t="s">
        <v>43</v>
      </c>
      <c r="C8" s="0" t="n">
        <f aca="false">C6*C7/100</f>
        <v>1443.51018</v>
      </c>
      <c r="D8" s="0" t="n">
        <f aca="false">D6*D7/100</f>
        <v>1509.193712</v>
      </c>
      <c r="E8" s="0" t="n">
        <f aca="false">E6*E7/100</f>
        <v>1602.009125288</v>
      </c>
      <c r="F8" s="0" t="n">
        <f aca="false">F6*F7/100</f>
        <v>1683.3546663648</v>
      </c>
      <c r="G8" s="0" t="n">
        <f aca="false">G6*G7/100</f>
        <v>1760.14153691513</v>
      </c>
      <c r="H8" s="0" t="n">
        <f aca="false">H6*H7/100</f>
        <v>1822.14855349478</v>
      </c>
      <c r="I8" s="0" t="n">
        <f aca="false">I6*I7/100</f>
        <v>1876.81301009963</v>
      </c>
      <c r="J8" s="0" t="n">
        <f aca="false">J6*J7/100</f>
        <v>1923.73333535212</v>
      </c>
      <c r="K8" s="0" t="n">
        <f aca="false">K6*K7/100</f>
        <v>1971.82666873592</v>
      </c>
      <c r="L8" s="0" t="n">
        <f aca="false">L6*L7/100</f>
        <v>2021.12233545432</v>
      </c>
    </row>
    <row r="9" customFormat="false" ht="15" hidden="false" customHeight="false" outlineLevel="0" collapsed="false">
      <c r="A9" s="0" t="s">
        <v>108</v>
      </c>
      <c r="C9" s="4" t="n">
        <f aca="false">Assumptions!C29</f>
        <v>0.5</v>
      </c>
      <c r="D9" s="4" t="n">
        <f aca="false">Assumptions!D29</f>
        <v>0.5</v>
      </c>
      <c r="E9" s="4" t="n">
        <f aca="false">Assumptions!E29</f>
        <v>0.5</v>
      </c>
      <c r="F9" s="4" t="n">
        <f aca="false">Assumptions!F29</f>
        <v>0.5</v>
      </c>
      <c r="G9" s="4" t="n">
        <f aca="false">Assumptions!G29</f>
        <v>0.5</v>
      </c>
      <c r="H9" s="4" t="n">
        <f aca="false">Assumptions!H29</f>
        <v>0.5</v>
      </c>
      <c r="I9" s="4" t="n">
        <f aca="false">Assumptions!I29</f>
        <v>0.5</v>
      </c>
      <c r="J9" s="4" t="n">
        <f aca="false">Assumptions!J29</f>
        <v>0.5</v>
      </c>
      <c r="K9" s="4" t="n">
        <f aca="false">Assumptions!K29</f>
        <v>0.5</v>
      </c>
      <c r="L9" s="4" t="n">
        <f aca="false">Assumptions!L29</f>
        <v>0.5</v>
      </c>
    </row>
    <row r="10" customFormat="false" ht="15" hidden="false" customHeight="false" outlineLevel="0" collapsed="false">
      <c r="A10" s="0" t="s">
        <v>123</v>
      </c>
      <c r="C10" s="0" t="n">
        <f aca="false">-C6*C9/100</f>
        <v>-38.1881</v>
      </c>
      <c r="D10" s="0" t="n">
        <f aca="false">-D6*D9/100</f>
        <v>-39.715624</v>
      </c>
      <c r="E10" s="0" t="n">
        <f aca="false">-E6*E9/100</f>
        <v>-41.50282708</v>
      </c>
      <c r="F10" s="0" t="n">
        <f aca="false">-F6*F9/100</f>
        <v>-43.1629401632</v>
      </c>
      <c r="G10" s="0" t="n">
        <f aca="false">-G6*G9/100</f>
        <v>-44.673643068912</v>
      </c>
      <c r="H10" s="0" t="n">
        <f aca="false">-H6*H9/100</f>
        <v>-46.0138523609794</v>
      </c>
      <c r="I10" s="0" t="n">
        <f aca="false">-I6*I9/100</f>
        <v>-47.3942679318087</v>
      </c>
      <c r="J10" s="0" t="n">
        <f aca="false">-J6*J9/100</f>
        <v>-48.579124630104</v>
      </c>
      <c r="K10" s="0" t="n">
        <f aca="false">-K6*K9/100</f>
        <v>-49.7936027458565</v>
      </c>
      <c r="L10" s="0" t="n">
        <f aca="false">-L6*L9/100</f>
        <v>-51.038442814503</v>
      </c>
    </row>
    <row r="11" customFormat="false" ht="15" hidden="false" customHeight="false" outlineLevel="0" collapsed="false">
      <c r="A11" s="0" t="s">
        <v>124</v>
      </c>
      <c r="C11" s="0" t="n">
        <f aca="false">C8+C10+C24</f>
        <v>1405.32208</v>
      </c>
      <c r="D11" s="0" t="n">
        <f aca="false">D8+D10+D24</f>
        <v>1469.478088</v>
      </c>
      <c r="E11" s="0" t="n">
        <f aca="false">E8+E10+E24</f>
        <v>1560.506298208</v>
      </c>
      <c r="F11" s="0" t="n">
        <f aca="false">F8+F10+F24</f>
        <v>1640.1917262016</v>
      </c>
      <c r="G11" s="0" t="n">
        <f aca="false">G8+G10+G24</f>
        <v>1715.46789384622</v>
      </c>
      <c r="H11" s="0" t="n">
        <f aca="false">H8+H10+H24</f>
        <v>1776.1347011338</v>
      </c>
      <c r="I11" s="0" t="n">
        <f aca="false">I8+I10+I24</f>
        <v>1829.41874216782</v>
      </c>
      <c r="J11" s="0" t="n">
        <f aca="false">J8+J10+J24</f>
        <v>1875.15421072201</v>
      </c>
      <c r="K11" s="0" t="n">
        <f aca="false">K8+K10+K24</f>
        <v>1922.03306599006</v>
      </c>
      <c r="L11" s="0" t="n">
        <f aca="false">L8+L10+L24</f>
        <v>1970.08389263981</v>
      </c>
    </row>
    <row r="12" customFormat="false" ht="15" hidden="false" customHeight="false" outlineLevel="0" collapsed="false">
      <c r="A12" s="0" t="s">
        <v>125</v>
      </c>
      <c r="C12" s="4" t="n">
        <f aca="false">-C6*Assumptions!C31/100</f>
        <v>-152.7524</v>
      </c>
      <c r="D12" s="4" t="n">
        <f aca="false">-D6*Assumptions!D31/100</f>
        <v>-158.862496</v>
      </c>
      <c r="E12" s="4" t="n">
        <f aca="false">-E6*Assumptions!E31/100</f>
        <v>-166.01130832</v>
      </c>
      <c r="F12" s="4" t="n">
        <f aca="false">-F6*Assumptions!F31/100</f>
        <v>-172.6517606528</v>
      </c>
      <c r="G12" s="4" t="n">
        <f aca="false">-G6*Assumptions!G31/100</f>
        <v>-178.694572275648</v>
      </c>
      <c r="H12" s="4" t="n">
        <f aca="false">-H6*Assumptions!H31/100</f>
        <v>-184.055409443917</v>
      </c>
      <c r="I12" s="4" t="n">
        <f aca="false">-I6*Assumptions!I31/100</f>
        <v>-189.577071727235</v>
      </c>
      <c r="J12" s="4" t="n">
        <f aca="false">-J6*Assumptions!J31/100</f>
        <v>-194.316498520416</v>
      </c>
      <c r="K12" s="4" t="n">
        <f aca="false">-K6*Assumptions!K31/100</f>
        <v>-199.174410983426</v>
      </c>
      <c r="L12" s="4" t="n">
        <f aca="false">-L6*Assumptions!L31/100</f>
        <v>-204.153771258012</v>
      </c>
    </row>
    <row r="13" customFormat="false" ht="15" hidden="false" customHeight="false" outlineLevel="0" collapsed="false">
      <c r="A13" s="0" t="s">
        <v>126</v>
      </c>
      <c r="C13" s="0" t="n">
        <f aca="false">C11+C12</f>
        <v>1252.56968</v>
      </c>
      <c r="D13" s="0" t="n">
        <f aca="false">D11+D12</f>
        <v>1310.615592</v>
      </c>
      <c r="E13" s="0" t="n">
        <f aca="false">E11+E12</f>
        <v>1394.494989888</v>
      </c>
      <c r="F13" s="0" t="n">
        <f aca="false">F11+F12</f>
        <v>1467.5399655488</v>
      </c>
      <c r="G13" s="0" t="n">
        <f aca="false">G11+G12</f>
        <v>1536.77332157057</v>
      </c>
      <c r="H13" s="0" t="n">
        <f aca="false">H11+H12</f>
        <v>1592.07929168989</v>
      </c>
      <c r="I13" s="0" t="n">
        <f aca="false">I11+I12</f>
        <v>1639.84167044058</v>
      </c>
      <c r="J13" s="0" t="n">
        <f aca="false">J11+J12</f>
        <v>1680.8377122016</v>
      </c>
      <c r="K13" s="0" t="n">
        <f aca="false">K11+K12</f>
        <v>1722.85865500664</v>
      </c>
      <c r="L13" s="0" t="n">
        <f aca="false">L11+L12</f>
        <v>1765.9301213818</v>
      </c>
    </row>
    <row r="14" customFormat="false" ht="15" hidden="false" customHeight="false" outlineLevel="0" collapsed="false">
      <c r="A14" s="0" t="s">
        <v>112</v>
      </c>
      <c r="C14" s="4" t="n">
        <f aca="false">Assumptions!C33</f>
        <v>24</v>
      </c>
      <c r="D14" s="4" t="n">
        <f aca="false">Assumptions!D33</f>
        <v>24</v>
      </c>
      <c r="E14" s="4" t="n">
        <f aca="false">Assumptions!E33</f>
        <v>24</v>
      </c>
      <c r="F14" s="4" t="n">
        <f aca="false">Assumptions!F33</f>
        <v>24</v>
      </c>
      <c r="G14" s="4" t="n">
        <f aca="false">Assumptions!G33</f>
        <v>24</v>
      </c>
      <c r="H14" s="4" t="n">
        <f aca="false">Assumptions!H33</f>
        <v>24</v>
      </c>
      <c r="I14" s="4" t="n">
        <f aca="false">Assumptions!I33</f>
        <v>24</v>
      </c>
      <c r="J14" s="4" t="n">
        <f aca="false">Assumptions!J33</f>
        <v>24</v>
      </c>
      <c r="K14" s="4" t="n">
        <f aca="false">Assumptions!K33</f>
        <v>24</v>
      </c>
      <c r="L14" s="4" t="n">
        <f aca="false">Assumptions!L33</f>
        <v>24</v>
      </c>
    </row>
    <row r="15" customFormat="false" ht="15" hidden="false" customHeight="false" outlineLevel="0" collapsed="false">
      <c r="A15" s="0" t="s">
        <v>127</v>
      </c>
      <c r="C15" s="0" t="n">
        <f aca="false">C13-MAX(0,C13)*C14/100</f>
        <v>951.9529568</v>
      </c>
      <c r="D15" s="0" t="n">
        <f aca="false">D13-MAX(0,D13)*D14/100</f>
        <v>996.06784992</v>
      </c>
      <c r="E15" s="0" t="n">
        <f aca="false">E13-MAX(0,E13)*E14/100</f>
        <v>1059.81619231488</v>
      </c>
      <c r="F15" s="0" t="n">
        <f aca="false">F13-MAX(0,F13)*F14/100</f>
        <v>1115.33037381709</v>
      </c>
      <c r="G15" s="0" t="n">
        <f aca="false">G13-MAX(0,G13)*G14/100</f>
        <v>1167.94772439364</v>
      </c>
      <c r="H15" s="0" t="n">
        <f aca="false">H13-MAX(0,H13)*H14/100</f>
        <v>1209.98026168431</v>
      </c>
      <c r="I15" s="0" t="n">
        <f aca="false">I13-MAX(0,I13)*I14/100</f>
        <v>1246.27966953484</v>
      </c>
      <c r="J15" s="0" t="n">
        <f aca="false">J13-MAX(0,J13)*J14/100</f>
        <v>1277.43666127321</v>
      </c>
      <c r="K15" s="0" t="n">
        <f aca="false">K13-MAX(0,K13)*K14/100</f>
        <v>1309.37257780504</v>
      </c>
      <c r="L15" s="0" t="n">
        <f aca="false">L13-MAX(0,L13)*L14/100</f>
        <v>1342.10689225017</v>
      </c>
    </row>
    <row r="16" customFormat="false" ht="15" hidden="false" customHeight="false" outlineLevel="0" collapsed="false">
      <c r="A16" s="0" t="s">
        <v>128</v>
      </c>
      <c r="C16" s="0" t="n">
        <f aca="false">-C12</f>
        <v>152.7524</v>
      </c>
      <c r="D16" s="0" t="n">
        <f aca="false">-D12</f>
        <v>158.862496</v>
      </c>
      <c r="E16" s="0" t="n">
        <f aca="false">-E12</f>
        <v>166.01130832</v>
      </c>
      <c r="F16" s="0" t="n">
        <f aca="false">-F12</f>
        <v>172.6517606528</v>
      </c>
      <c r="G16" s="0" t="n">
        <f aca="false">-G12</f>
        <v>178.694572275648</v>
      </c>
      <c r="H16" s="0" t="n">
        <f aca="false">-H12</f>
        <v>184.055409443917</v>
      </c>
      <c r="I16" s="0" t="n">
        <f aca="false">-I12</f>
        <v>189.577071727235</v>
      </c>
      <c r="J16" s="0" t="n">
        <f aca="false">-J12</f>
        <v>194.316498520416</v>
      </c>
      <c r="K16" s="0" t="n">
        <f aca="false">-K12</f>
        <v>199.174410983426</v>
      </c>
      <c r="L16" s="0" t="n">
        <f aca="false">-L12</f>
        <v>204.153771258012</v>
      </c>
    </row>
    <row r="17" customFormat="false" ht="15" hidden="false" customHeight="false" outlineLevel="0" collapsed="false">
      <c r="A17" s="0" t="s">
        <v>129</v>
      </c>
      <c r="C17" s="4" t="n">
        <f aca="false">-C6*Assumptions!C32/100</f>
        <v>-168.02764</v>
      </c>
      <c r="D17" s="4" t="n">
        <f aca="false">-D6*Assumptions!D32/100</f>
        <v>-174.7487456</v>
      </c>
      <c r="E17" s="4" t="n">
        <f aca="false">-E6*Assumptions!E32/100</f>
        <v>-182.612439152</v>
      </c>
      <c r="F17" s="4" t="n">
        <f aca="false">-F6*Assumptions!F32/100</f>
        <v>-189.91693671808</v>
      </c>
      <c r="G17" s="4" t="n">
        <f aca="false">-G6*Assumptions!G32/100</f>
        <v>-196.564029503213</v>
      </c>
      <c r="H17" s="4" t="n">
        <f aca="false">-H6*Assumptions!H32/100</f>
        <v>-202.460950388309</v>
      </c>
      <c r="I17" s="4" t="n">
        <f aca="false">-I6*Assumptions!I32/100</f>
        <v>-208.534778899958</v>
      </c>
      <c r="J17" s="4" t="n">
        <f aca="false">-J6*Assumptions!J32/100</f>
        <v>-213.748148372457</v>
      </c>
      <c r="K17" s="4" t="n">
        <f aca="false">-K6*Assumptions!K32/100</f>
        <v>-219.091852081769</v>
      </c>
      <c r="L17" s="4" t="n">
        <f aca="false">-L6*Assumptions!L32/100</f>
        <v>-224.569148383813</v>
      </c>
    </row>
    <row r="18" customFormat="false" ht="15" hidden="false" customHeight="false" outlineLevel="0" collapsed="false">
      <c r="A18" s="0" t="s">
        <v>130</v>
      </c>
      <c r="C18" s="4" t="n">
        <f aca="false">(C6-B6)*Assumptions!$B$37/100</f>
        <v>-9.07439999999999</v>
      </c>
      <c r="D18" s="4" t="n">
        <f aca="false">(D6-C6)*Assumptions!$B$37/100</f>
        <v>-36.6605760000001</v>
      </c>
      <c r="E18" s="4" t="n">
        <f aca="false">(E6-D6)*Assumptions!$B$37/100</f>
        <v>-42.8928739199999</v>
      </c>
      <c r="F18" s="4" t="n">
        <f aca="false">(F6-E6)*Assumptions!$B$37/100</f>
        <v>-39.8427139968001</v>
      </c>
      <c r="G18" s="4" t="n">
        <f aca="false">(G6-F6)*Assumptions!$B$37/100</f>
        <v>-36.2568697370879</v>
      </c>
      <c r="H18" s="4" t="n">
        <f aca="false">(H6-G6)*Assumptions!$B$37/100</f>
        <v>-32.1650230096166</v>
      </c>
      <c r="I18" s="4" t="n">
        <f aca="false">(I6-H6)*Assumptions!$B$37/100</f>
        <v>-33.1299736999052</v>
      </c>
      <c r="J18" s="4" t="n">
        <f aca="false">(J6-I6)*Assumptions!$B$37/100</f>
        <v>-28.4365607590852</v>
      </c>
      <c r="K18" s="4" t="n">
        <f aca="false">(K6-J6)*Assumptions!$B$37/100</f>
        <v>-29.1474747780622</v>
      </c>
      <c r="L18" s="4" t="n">
        <f aca="false">(L6-K6)*Assumptions!$B$37/100</f>
        <v>-29.8761616475138</v>
      </c>
    </row>
    <row r="19" customFormat="false" ht="15" hidden="false" customHeight="false" outlineLevel="0" collapsed="false">
      <c r="A19" s="0" t="s">
        <v>131</v>
      </c>
      <c r="C19" s="0" t="n">
        <f aca="false">C15+C16+C17+C18</f>
        <v>927.6033168</v>
      </c>
      <c r="D19" s="0" t="n">
        <f aca="false">D15+D16+D17+D18</f>
        <v>943.52102432</v>
      </c>
      <c r="E19" s="0" t="n">
        <f aca="false">E15+E16+E17+E18</f>
        <v>1000.32218756288</v>
      </c>
      <c r="F19" s="0" t="n">
        <f aca="false">F15+F16+F17+F18</f>
        <v>1058.22248375501</v>
      </c>
      <c r="G19" s="0" t="n">
        <f aca="false">G15+G16+G17+G18</f>
        <v>1113.82139742898</v>
      </c>
      <c r="H19" s="0" t="n">
        <f aca="false">H15+H16+H17+H18</f>
        <v>1159.40969773031</v>
      </c>
      <c r="I19" s="0" t="n">
        <f aca="false">I15+I16+I17+I18</f>
        <v>1194.19198866221</v>
      </c>
      <c r="J19" s="0" t="n">
        <f aca="false">J15+J16+J17+J18</f>
        <v>1229.56845066209</v>
      </c>
      <c r="K19" s="0" t="n">
        <f aca="false">K15+K16+K17+K18</f>
        <v>1260.30766192864</v>
      </c>
      <c r="L19" s="0" t="n">
        <f aca="false">L15+L16+L17+L18</f>
        <v>1291.81535347685</v>
      </c>
    </row>
    <row r="20" customFormat="false" ht="15" hidden="false" customHeight="false" outlineLevel="0" collapsed="false">
      <c r="A20" s="0" t="s">
        <v>132</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133</v>
      </c>
      <c r="C21" s="0" t="n">
        <f aca="false">C19*C20</f>
        <v>851.012217247706</v>
      </c>
      <c r="D21" s="0" t="n">
        <f aca="false">D19*D20</f>
        <v>794.142769396516</v>
      </c>
      <c r="E21" s="0" t="n">
        <f aca="false">E19*E20</f>
        <v>772.432267974601</v>
      </c>
      <c r="F21" s="0" t="n">
        <f aca="false">F19*F20</f>
        <v>749.671486408078</v>
      </c>
      <c r="G21" s="0" t="n">
        <f aca="false">G19*G20</f>
        <v>723.907484919779</v>
      </c>
      <c r="H21" s="0" t="n">
        <f aca="false">H19*H20</f>
        <v>691.318121223489</v>
      </c>
      <c r="I21" s="0" t="n">
        <f aca="false">I19*I20</f>
        <v>653.263912715773</v>
      </c>
      <c r="J21" s="0" t="n">
        <f aca="false">J19*J20</f>
        <v>617.078943936791</v>
      </c>
      <c r="K21" s="0" t="n">
        <f aca="false">K19*K20</f>
        <v>580.280658289184</v>
      </c>
      <c r="L21" s="0" t="n">
        <f aca="false">L19*L20</f>
        <v>545.676765822398</v>
      </c>
    </row>
    <row r="23" customFormat="false" ht="15" hidden="false" customHeight="false" outlineLevel="0" collapsed="false">
      <c r="A23" s="0" t="s">
        <v>109</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134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135</v>
      </c>
    </row>
    <row r="27" customFormat="false" ht="15" hidden="false" customHeight="false" outlineLevel="0" collapsed="false">
      <c r="A27" s="0" t="s">
        <v>113</v>
      </c>
      <c r="B27" s="4" t="n">
        <f aca="false">Assumptions!$B$34</f>
        <v>9</v>
      </c>
    </row>
    <row r="28" customFormat="false" ht="15" hidden="false" customHeight="false" outlineLevel="0" collapsed="false">
      <c r="A28" s="0" t="s">
        <v>114</v>
      </c>
      <c r="B28" s="4" t="n">
        <f aca="false">Assumptions!$B$35</f>
        <v>2.5</v>
      </c>
    </row>
    <row r="29" customFormat="false" ht="15" hidden="false" customHeight="false" outlineLevel="0" collapsed="false">
      <c r="A29" s="0" t="s">
        <v>115</v>
      </c>
      <c r="B29" s="4" t="n">
        <f aca="false">Assumptions!$B$36</f>
        <v>15</v>
      </c>
    </row>
    <row r="30" customFormat="false" ht="15" hidden="false" customHeight="false" outlineLevel="0" collapsed="false">
      <c r="A30" s="0" t="s">
        <v>136</v>
      </c>
      <c r="B30" s="0" t="n">
        <f aca="false">SUM(C21:L21)</f>
        <v>6978.78462793431</v>
      </c>
    </row>
    <row r="31" customFormat="false" ht="15" hidden="false" customHeight="false" outlineLevel="0" collapsed="false">
      <c r="A31" s="0" t="s">
        <v>137</v>
      </c>
      <c r="B31" s="0" t="n">
        <f aca="false">L19</f>
        <v>1291.81535347685</v>
      </c>
    </row>
    <row r="32" customFormat="false" ht="15" hidden="false" customHeight="false" outlineLevel="0" collapsed="false">
      <c r="A32" s="0" t="s">
        <v>138</v>
      </c>
      <c r="B32" s="0" t="n">
        <f aca="false">IF(B27&gt;B28,B31*(1+B28/100)/((B27-B28)/100),B31*B29)</f>
        <v>20370.9344202119</v>
      </c>
    </row>
    <row r="33" customFormat="false" ht="15" hidden="false" customHeight="false" outlineLevel="0" collapsed="false">
      <c r="A33" s="0" t="s">
        <v>139</v>
      </c>
      <c r="B33" s="0" t="n">
        <f aca="false">B31*B29</f>
        <v>19377.2303021528</v>
      </c>
    </row>
    <row r="34" customFormat="false" ht="15" hidden="false" customHeight="false" outlineLevel="0" collapsed="false">
      <c r="A34" s="0" t="s">
        <v>140</v>
      </c>
      <c r="B34" s="0" t="n">
        <f aca="false">MAX(0,MIN(B32,B33))</f>
        <v>19377.2303021528</v>
      </c>
    </row>
    <row r="35" customFormat="false" ht="15" hidden="false" customHeight="false" outlineLevel="0" collapsed="false">
      <c r="A35" s="0" t="s">
        <v>141</v>
      </c>
      <c r="B35" s="0" t="n">
        <f aca="false">B34/(1+B27/100)^L4</f>
        <v>8185.15148733597</v>
      </c>
    </row>
    <row r="36" customFormat="false" ht="15" hidden="false" customHeight="false" outlineLevel="0" collapsed="false">
      <c r="A36" s="0" t="s">
        <v>142</v>
      </c>
      <c r="B36" s="0" t="n">
        <f aca="false">B30+B35</f>
        <v>15163.9361152703</v>
      </c>
    </row>
    <row r="37" customFormat="false" ht="15" hidden="false" customHeight="false" outlineLevel="0" collapsed="false">
      <c r="A37" s="0" t="s">
        <v>143</v>
      </c>
      <c r="B37" s="0" t="n">
        <f aca="false">B36+Assumptions!$B$5-Assumptions!$B$4</f>
        <v>11442.9361152703</v>
      </c>
    </row>
    <row r="38" customFormat="false" ht="15" hidden="false" customHeight="false" outlineLevel="0" collapsed="false">
      <c r="A38" s="0" t="s">
        <v>144</v>
      </c>
      <c r="B38" s="0" t="n">
        <f aca="false">B37/Assumptions!$B$3*Assumptions!$B$10</f>
        <v>57.9682680611463</v>
      </c>
    </row>
    <row r="39" customFormat="false" ht="15" hidden="false" customHeight="false" outlineLevel="0" collapsed="false">
      <c r="A39" s="0" t="s">
        <v>145</v>
      </c>
      <c r="B39" s="4" t="n">
        <f aca="false">B38/Assumptions!$B$2-1</f>
        <v>-0.151021264482333</v>
      </c>
    </row>
    <row r="41" customFormat="false" ht="15" hidden="false" customHeight="false" outlineLevel="0" collapsed="false">
      <c r="A41" s="0" t="s">
        <v>146</v>
      </c>
      <c r="B41" s="0" t="n">
        <f aca="false">SUMPRODUCT(-C10:L10/(1+$B$27/100)^C4:L4)</f>
        <v>282.35173210334</v>
      </c>
    </row>
    <row r="42" customFormat="false" ht="15" hidden="false" customHeight="false" outlineLevel="0" collapsed="false">
      <c r="A42" s="0" t="s">
        <v>147</v>
      </c>
      <c r="B42" s="0" t="n">
        <f aca="false">IF(B27&gt;B28,-L10*(1+B28/100)/((B27-B28)/100),-L10*20)/(1+B27/100)^L4</f>
        <v>339.971839342662</v>
      </c>
    </row>
    <row r="43" customFormat="false" ht="15" hidden="false" customHeight="false" outlineLevel="0" collapsed="false">
      <c r="A43" s="0" t="s">
        <v>148</v>
      </c>
      <c r="B43" s="0" t="n">
        <f aca="false">(B37+B41+B42)/Assumptions!$B$3*Assumptions!$B$10</f>
        <v>61.1208697402041</v>
      </c>
    </row>
    <row r="45" customFormat="false" ht="15" hidden="false" customHeight="false" outlineLevel="0" collapsed="false">
      <c r="A45" s="0" t="s">
        <v>89</v>
      </c>
      <c r="B45" s="4" t="n">
        <f aca="false">Assumptions!$B$6</f>
        <v>15</v>
      </c>
    </row>
    <row r="46" customFormat="false" ht="15" hidden="false" customHeight="false" outlineLevel="0" collapsed="false">
      <c r="A46" s="0" t="s">
        <v>149</v>
      </c>
      <c r="B46" s="0" t="n">
        <f aca="false">MAX(0,MIN(IF(B45&gt;B28,B31*(1+B28/100)/((B45-B28)/100),B31*B29),B31*B29))</f>
        <v>10592.8858985102</v>
      </c>
    </row>
    <row r="47" customFormat="false" ht="15" hidden="false" customHeight="false" outlineLevel="0" collapsed="false">
      <c r="A47" s="0" t="s">
        <v>150</v>
      </c>
      <c r="B47" s="0" t="n">
        <f aca="false">(SUMPRODUCT(C19:L19/(1+B45/100)^C4:L4)+B46/(1+B45/100)^L4+Assumptions!$B$5-Assumptions!$B$4)/Assumptions!$B$3*Assumptions!$B$10</f>
        <v>21.5992590042995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152</v>
      </c>
    </row>
    <row r="3" customFormat="false" ht="15" hidden="false" customHeight="false" outlineLevel="0" collapsed="false">
      <c r="A3" s="0" t="s">
        <v>121</v>
      </c>
      <c r="B3" s="0" t="s">
        <v>82</v>
      </c>
      <c r="C3" s="2" t="s">
        <v>96</v>
      </c>
      <c r="D3" s="2" t="s">
        <v>97</v>
      </c>
      <c r="E3" s="2" t="s">
        <v>98</v>
      </c>
      <c r="F3" s="2" t="s">
        <v>99</v>
      </c>
      <c r="G3" s="2" t="s">
        <v>100</v>
      </c>
      <c r="H3" s="2" t="s">
        <v>101</v>
      </c>
      <c r="I3" s="2" t="s">
        <v>102</v>
      </c>
      <c r="J3" s="2" t="s">
        <v>103</v>
      </c>
      <c r="K3" s="2" t="s">
        <v>104</v>
      </c>
      <c r="L3" s="2" t="s">
        <v>105</v>
      </c>
    </row>
    <row r="4" customFormat="false" ht="15" hidden="false" customHeight="false" outlineLevel="0" collapsed="false">
      <c r="A4" s="0" t="s">
        <v>122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106</v>
      </c>
      <c r="C5" s="4" t="n">
        <f aca="false">Assumptions!C41</f>
        <v>2</v>
      </c>
      <c r="D5" s="4" t="n">
        <f aca="false">Assumptions!D41</f>
        <v>6</v>
      </c>
      <c r="E5" s="4" t="n">
        <f aca="false">Assumptions!E41</f>
        <v>6.5</v>
      </c>
      <c r="F5" s="4" t="n">
        <f aca="false">Assumptions!F41</f>
        <v>6</v>
      </c>
      <c r="G5" s="4" t="n">
        <f aca="false">Assumptions!G41</f>
        <v>5</v>
      </c>
      <c r="H5" s="4" t="n">
        <f aca="false">Assumptions!H41</f>
        <v>4</v>
      </c>
      <c r="I5" s="4" t="n">
        <f aca="false">Assumptions!I41</f>
        <v>3.5</v>
      </c>
      <c r="J5" s="4" t="n">
        <f aca="false">Assumptions!J41</f>
        <v>3</v>
      </c>
      <c r="K5" s="4" t="n">
        <f aca="false">Assumptions!K41</f>
        <v>3</v>
      </c>
      <c r="L5" s="4" t="n">
        <f aca="false">Assumptions!L41</f>
        <v>3</v>
      </c>
    </row>
    <row r="6" customFormat="false" ht="15" hidden="false" customHeight="false" outlineLevel="0" collapsed="false">
      <c r="A6" s="0" t="s">
        <v>37</v>
      </c>
      <c r="B6" s="3" t="n">
        <v>7562</v>
      </c>
      <c r="C6" s="0" t="n">
        <f aca="false">B6*(1+C5/100)</f>
        <v>7713.24</v>
      </c>
      <c r="D6" s="0" t="n">
        <f aca="false">C6*(1+D5/100)</f>
        <v>8176.0344</v>
      </c>
      <c r="E6" s="0" t="n">
        <f aca="false">D6*(1+E5/100)</f>
        <v>8707.476636</v>
      </c>
      <c r="F6" s="0" t="n">
        <f aca="false">E6*(1+F5/100)</f>
        <v>9229.92523416</v>
      </c>
      <c r="G6" s="0" t="n">
        <f aca="false">F6*(1+G5/100)</f>
        <v>9691.421495868</v>
      </c>
      <c r="H6" s="0" t="n">
        <f aca="false">G6*(1+H5/100)</f>
        <v>10079.0783557027</v>
      </c>
      <c r="I6" s="0" t="n">
        <f aca="false">H6*(1+I5/100)</f>
        <v>10431.8460981523</v>
      </c>
      <c r="J6" s="0" t="n">
        <f aca="false">I6*(1+J5/100)</f>
        <v>10744.8014810969</v>
      </c>
      <c r="K6" s="0" t="n">
        <f aca="false">J6*(1+K5/100)</f>
        <v>11067.1455255298</v>
      </c>
      <c r="L6" s="0" t="n">
        <f aca="false">K6*(1+L5/100)</f>
        <v>11399.1598912957</v>
      </c>
    </row>
    <row r="7" customFormat="false" ht="15" hidden="false" customHeight="false" outlineLevel="0" collapsed="false">
      <c r="A7" s="0" t="s">
        <v>107</v>
      </c>
      <c r="C7" s="4" t="n">
        <f aca="false">Assumptions!C42</f>
        <v>19.1</v>
      </c>
      <c r="D7" s="4" t="n">
        <f aca="false">Assumptions!D42</f>
        <v>19.5</v>
      </c>
      <c r="E7" s="4" t="n">
        <f aca="false">Assumptions!E42</f>
        <v>20</v>
      </c>
      <c r="F7" s="4" t="n">
        <f aca="false">Assumptions!F42</f>
        <v>20.5</v>
      </c>
      <c r="G7" s="4" t="n">
        <f aca="false">Assumptions!G42</f>
        <v>21</v>
      </c>
      <c r="H7" s="4" t="n">
        <f aca="false">Assumptions!H42</f>
        <v>21.2</v>
      </c>
      <c r="I7" s="4" t="n">
        <f aca="false">Assumptions!I42</f>
        <v>21.2</v>
      </c>
      <c r="J7" s="4" t="n">
        <f aca="false">Assumptions!J42</f>
        <v>21.2</v>
      </c>
      <c r="K7" s="4" t="n">
        <f aca="false">Assumptions!K42</f>
        <v>21.2</v>
      </c>
      <c r="L7" s="4" t="n">
        <f aca="false">Assumptions!L42</f>
        <v>21.2</v>
      </c>
    </row>
    <row r="8" customFormat="false" ht="15" hidden="false" customHeight="false" outlineLevel="0" collapsed="false">
      <c r="A8" s="0" t="s">
        <v>43</v>
      </c>
      <c r="C8" s="0" t="n">
        <f aca="false">C6*C7/100</f>
        <v>1473.22884</v>
      </c>
      <c r="D8" s="0" t="n">
        <f aca="false">D6*D7/100</f>
        <v>1594.326708</v>
      </c>
      <c r="E8" s="0" t="n">
        <f aca="false">E6*E7/100</f>
        <v>1741.4953272</v>
      </c>
      <c r="F8" s="0" t="n">
        <f aca="false">F6*F7/100</f>
        <v>1892.1346730028</v>
      </c>
      <c r="G8" s="0" t="n">
        <f aca="false">G6*G7/100</f>
        <v>2035.19851413228</v>
      </c>
      <c r="H8" s="0" t="n">
        <f aca="false">H6*H7/100</f>
        <v>2136.76461140898</v>
      </c>
      <c r="I8" s="0" t="n">
        <f aca="false">I6*I7/100</f>
        <v>2211.55137280829</v>
      </c>
      <c r="J8" s="0" t="n">
        <f aca="false">J6*J7/100</f>
        <v>2277.89791399254</v>
      </c>
      <c r="K8" s="0" t="n">
        <f aca="false">K6*K7/100</f>
        <v>2346.23485141232</v>
      </c>
      <c r="L8" s="0" t="n">
        <f aca="false">L6*L7/100</f>
        <v>2416.62189695469</v>
      </c>
    </row>
    <row r="9" customFormat="false" ht="15" hidden="false" customHeight="false" outlineLevel="0" collapsed="false">
      <c r="A9" s="0" t="s">
        <v>108</v>
      </c>
      <c r="C9" s="4" t="n">
        <f aca="false">Assumptions!C43</f>
        <v>0.5</v>
      </c>
      <c r="D9" s="4" t="n">
        <f aca="false">Assumptions!D43</f>
        <v>0.5</v>
      </c>
      <c r="E9" s="4" t="n">
        <f aca="false">Assumptions!E43</f>
        <v>0.5</v>
      </c>
      <c r="F9" s="4" t="n">
        <f aca="false">Assumptions!F43</f>
        <v>0.5</v>
      </c>
      <c r="G9" s="4" t="n">
        <f aca="false">Assumptions!G43</f>
        <v>0.5</v>
      </c>
      <c r="H9" s="4" t="n">
        <f aca="false">Assumptions!H43</f>
        <v>0.5</v>
      </c>
      <c r="I9" s="4" t="n">
        <f aca="false">Assumptions!I43</f>
        <v>0.5</v>
      </c>
      <c r="J9" s="4" t="n">
        <f aca="false">Assumptions!J43</f>
        <v>0.5</v>
      </c>
      <c r="K9" s="4" t="n">
        <f aca="false">Assumptions!K43</f>
        <v>0.5</v>
      </c>
      <c r="L9" s="4" t="n">
        <f aca="false">Assumptions!L43</f>
        <v>0.5</v>
      </c>
    </row>
    <row r="10" customFormat="false" ht="15" hidden="false" customHeight="false" outlineLevel="0" collapsed="false">
      <c r="A10" s="0" t="s">
        <v>123</v>
      </c>
      <c r="C10" s="0" t="n">
        <f aca="false">-C6*C9/100</f>
        <v>-38.5662</v>
      </c>
      <c r="D10" s="0" t="n">
        <f aca="false">-D6*D9/100</f>
        <v>-40.880172</v>
      </c>
      <c r="E10" s="0" t="n">
        <f aca="false">-E6*E9/100</f>
        <v>-43.53738318</v>
      </c>
      <c r="F10" s="0" t="n">
        <f aca="false">-F6*F9/100</f>
        <v>-46.1496261708</v>
      </c>
      <c r="G10" s="0" t="n">
        <f aca="false">-G6*G9/100</f>
        <v>-48.45710747934</v>
      </c>
      <c r="H10" s="0" t="n">
        <f aca="false">-H6*H9/100</f>
        <v>-50.3953917785136</v>
      </c>
      <c r="I10" s="0" t="n">
        <f aca="false">-I6*I9/100</f>
        <v>-52.1592304907616</v>
      </c>
      <c r="J10" s="0" t="n">
        <f aca="false">-J6*J9/100</f>
        <v>-53.7240074054844</v>
      </c>
      <c r="K10" s="0" t="n">
        <f aca="false">-K6*K9/100</f>
        <v>-55.335727627649</v>
      </c>
      <c r="L10" s="0" t="n">
        <f aca="false">-L6*L9/100</f>
        <v>-56.9957994564784</v>
      </c>
    </row>
    <row r="11" customFormat="false" ht="15" hidden="false" customHeight="false" outlineLevel="0" collapsed="false">
      <c r="A11" s="0" t="s">
        <v>124</v>
      </c>
      <c r="C11" s="0" t="n">
        <f aca="false">C8+C10+C24</f>
        <v>1434.66264</v>
      </c>
      <c r="D11" s="0" t="n">
        <f aca="false">D8+D10+D24</f>
        <v>1553.446536</v>
      </c>
      <c r="E11" s="0" t="n">
        <f aca="false">E8+E10+E24</f>
        <v>1697.95794402</v>
      </c>
      <c r="F11" s="0" t="n">
        <f aca="false">F8+F10+F24</f>
        <v>1845.985046832</v>
      </c>
      <c r="G11" s="0" t="n">
        <f aca="false">G8+G10+G24</f>
        <v>1986.74140665294</v>
      </c>
      <c r="H11" s="0" t="n">
        <f aca="false">H8+H10+H24</f>
        <v>2086.36921963046</v>
      </c>
      <c r="I11" s="0" t="n">
        <f aca="false">I8+I10+I24</f>
        <v>2159.39214231753</v>
      </c>
      <c r="J11" s="0" t="n">
        <f aca="false">J8+J10+J24</f>
        <v>2224.17390658706</v>
      </c>
      <c r="K11" s="0" t="n">
        <f aca="false">K8+K10+K24</f>
        <v>2290.89912378467</v>
      </c>
      <c r="L11" s="0" t="n">
        <f aca="false">L8+L10+L24</f>
        <v>2359.62609749821</v>
      </c>
    </row>
    <row r="12" customFormat="false" ht="15" hidden="false" customHeight="false" outlineLevel="0" collapsed="false">
      <c r="A12" s="0" t="s">
        <v>125</v>
      </c>
      <c r="C12" s="4" t="n">
        <f aca="false">-C6*Assumptions!C45/100</f>
        <v>-154.2648</v>
      </c>
      <c r="D12" s="4" t="n">
        <f aca="false">-D6*Assumptions!D45/100</f>
        <v>-163.520688</v>
      </c>
      <c r="E12" s="4" t="n">
        <f aca="false">-E6*Assumptions!E45/100</f>
        <v>-174.14953272</v>
      </c>
      <c r="F12" s="4" t="n">
        <f aca="false">-F6*Assumptions!F45/100</f>
        <v>-184.5985046832</v>
      </c>
      <c r="G12" s="4" t="n">
        <f aca="false">-G6*Assumptions!G45/100</f>
        <v>-193.82842991736</v>
      </c>
      <c r="H12" s="4" t="n">
        <f aca="false">-H6*Assumptions!H45/100</f>
        <v>-201.581567114054</v>
      </c>
      <c r="I12" s="4" t="n">
        <f aca="false">-I6*Assumptions!I45/100</f>
        <v>-208.636921963046</v>
      </c>
      <c r="J12" s="4" t="n">
        <f aca="false">-J6*Assumptions!J45/100</f>
        <v>-214.896029621938</v>
      </c>
      <c r="K12" s="4" t="n">
        <f aca="false">-K6*Assumptions!K45/100</f>
        <v>-221.342910510596</v>
      </c>
      <c r="L12" s="4" t="n">
        <f aca="false">-L6*Assumptions!L45/100</f>
        <v>-227.983197825914</v>
      </c>
    </row>
    <row r="13" customFormat="false" ht="15" hidden="false" customHeight="false" outlineLevel="0" collapsed="false">
      <c r="A13" s="0" t="s">
        <v>126</v>
      </c>
      <c r="C13" s="0" t="n">
        <f aca="false">C11+C12</f>
        <v>1280.39784</v>
      </c>
      <c r="D13" s="0" t="n">
        <f aca="false">D11+D12</f>
        <v>1389.925848</v>
      </c>
      <c r="E13" s="0" t="n">
        <f aca="false">E11+E12</f>
        <v>1523.8084113</v>
      </c>
      <c r="F13" s="0" t="n">
        <f aca="false">F11+F12</f>
        <v>1661.3865421488</v>
      </c>
      <c r="G13" s="0" t="n">
        <f aca="false">G11+G12</f>
        <v>1792.91297673558</v>
      </c>
      <c r="H13" s="0" t="n">
        <f aca="false">H11+H12</f>
        <v>1884.78765251641</v>
      </c>
      <c r="I13" s="0" t="n">
        <f aca="false">I11+I12</f>
        <v>1950.75522035448</v>
      </c>
      <c r="J13" s="0" t="n">
        <f aca="false">J11+J12</f>
        <v>2009.27787696512</v>
      </c>
      <c r="K13" s="0" t="n">
        <f aca="false">K11+K12</f>
        <v>2069.55621327407</v>
      </c>
      <c r="L13" s="0" t="n">
        <f aca="false">L11+L12</f>
        <v>2131.64289967229</v>
      </c>
    </row>
    <row r="14" customFormat="false" ht="15" hidden="false" customHeight="false" outlineLevel="0" collapsed="false">
      <c r="A14" s="0" t="s">
        <v>112</v>
      </c>
      <c r="C14" s="4" t="n">
        <f aca="false">Assumptions!C47</f>
        <v>24</v>
      </c>
      <c r="D14" s="4" t="n">
        <f aca="false">Assumptions!D47</f>
        <v>24</v>
      </c>
      <c r="E14" s="4" t="n">
        <f aca="false">Assumptions!E47</f>
        <v>24</v>
      </c>
      <c r="F14" s="4" t="n">
        <f aca="false">Assumptions!F47</f>
        <v>24</v>
      </c>
      <c r="G14" s="4" t="n">
        <f aca="false">Assumptions!G47</f>
        <v>24</v>
      </c>
      <c r="H14" s="4" t="n">
        <f aca="false">Assumptions!H47</f>
        <v>24</v>
      </c>
      <c r="I14" s="4" t="n">
        <f aca="false">Assumptions!I47</f>
        <v>24</v>
      </c>
      <c r="J14" s="4" t="n">
        <f aca="false">Assumptions!J47</f>
        <v>24</v>
      </c>
      <c r="K14" s="4" t="n">
        <f aca="false">Assumptions!K47</f>
        <v>24</v>
      </c>
      <c r="L14" s="4" t="n">
        <f aca="false">Assumptions!L47</f>
        <v>24</v>
      </c>
    </row>
    <row r="15" customFormat="false" ht="15" hidden="false" customHeight="false" outlineLevel="0" collapsed="false">
      <c r="A15" s="0" t="s">
        <v>127</v>
      </c>
      <c r="C15" s="0" t="n">
        <f aca="false">C13-MAX(0,C13)*C14/100</f>
        <v>973.1023584</v>
      </c>
      <c r="D15" s="0" t="n">
        <f aca="false">D13-MAX(0,D13)*D14/100</f>
        <v>1056.34364448</v>
      </c>
      <c r="E15" s="0" t="n">
        <f aca="false">E13-MAX(0,E13)*E14/100</f>
        <v>1158.094392588</v>
      </c>
      <c r="F15" s="0" t="n">
        <f aca="false">F13-MAX(0,F13)*F14/100</f>
        <v>1262.65377203309</v>
      </c>
      <c r="G15" s="0" t="n">
        <f aca="false">G13-MAX(0,G13)*G14/100</f>
        <v>1362.61386231904</v>
      </c>
      <c r="H15" s="0" t="n">
        <f aca="false">H13-MAX(0,H13)*H14/100</f>
        <v>1432.43861591247</v>
      </c>
      <c r="I15" s="0" t="n">
        <f aca="false">I13-MAX(0,I13)*I14/100</f>
        <v>1482.57396746941</v>
      </c>
      <c r="J15" s="0" t="n">
        <f aca="false">J13-MAX(0,J13)*J14/100</f>
        <v>1527.05118649349</v>
      </c>
      <c r="K15" s="0" t="n">
        <f aca="false">K13-MAX(0,K13)*K14/100</f>
        <v>1572.86272208829</v>
      </c>
      <c r="L15" s="0" t="n">
        <f aca="false">L13-MAX(0,L13)*L14/100</f>
        <v>1620.04860375094</v>
      </c>
    </row>
    <row r="16" customFormat="false" ht="15" hidden="false" customHeight="false" outlineLevel="0" collapsed="false">
      <c r="A16" s="0" t="s">
        <v>128</v>
      </c>
      <c r="C16" s="0" t="n">
        <f aca="false">-C12</f>
        <v>154.2648</v>
      </c>
      <c r="D16" s="0" t="n">
        <f aca="false">-D12</f>
        <v>163.520688</v>
      </c>
      <c r="E16" s="0" t="n">
        <f aca="false">-E12</f>
        <v>174.14953272</v>
      </c>
      <c r="F16" s="0" t="n">
        <f aca="false">-F12</f>
        <v>184.5985046832</v>
      </c>
      <c r="G16" s="0" t="n">
        <f aca="false">-G12</f>
        <v>193.82842991736</v>
      </c>
      <c r="H16" s="0" t="n">
        <f aca="false">-H12</f>
        <v>201.581567114054</v>
      </c>
      <c r="I16" s="0" t="n">
        <f aca="false">-I12</f>
        <v>208.636921963046</v>
      </c>
      <c r="J16" s="0" t="n">
        <f aca="false">-J12</f>
        <v>214.896029621938</v>
      </c>
      <c r="K16" s="0" t="n">
        <f aca="false">-K12</f>
        <v>221.342910510596</v>
      </c>
      <c r="L16" s="0" t="n">
        <f aca="false">-L12</f>
        <v>227.983197825914</v>
      </c>
    </row>
    <row r="17" customFormat="false" ht="15" hidden="false" customHeight="false" outlineLevel="0" collapsed="false">
      <c r="A17" s="0" t="s">
        <v>129</v>
      </c>
      <c r="C17" s="4" t="n">
        <f aca="false">-C6*Assumptions!C46/100</f>
        <v>-177.40452</v>
      </c>
      <c r="D17" s="4" t="n">
        <f aca="false">-D6*Assumptions!D46/100</f>
        <v>-188.0487912</v>
      </c>
      <c r="E17" s="4" t="n">
        <f aca="false">-E6*Assumptions!E46/100</f>
        <v>-200.271962628</v>
      </c>
      <c r="F17" s="4" t="n">
        <f aca="false">-F6*Assumptions!F46/100</f>
        <v>-212.28828038568</v>
      </c>
      <c r="G17" s="4" t="n">
        <f aca="false">-G6*Assumptions!G46/100</f>
        <v>-222.902694404964</v>
      </c>
      <c r="H17" s="4" t="n">
        <f aca="false">-H6*Assumptions!H46/100</f>
        <v>-231.818802181163</v>
      </c>
      <c r="I17" s="4" t="n">
        <f aca="false">-I6*Assumptions!I46/100</f>
        <v>-239.932460257503</v>
      </c>
      <c r="J17" s="4" t="n">
        <f aca="false">-J6*Assumptions!J46/100</f>
        <v>-247.130434065228</v>
      </c>
      <c r="K17" s="4" t="n">
        <f aca="false">-K6*Assumptions!K46/100</f>
        <v>-254.544347087185</v>
      </c>
      <c r="L17" s="4" t="n">
        <f aca="false">-L6*Assumptions!L46/100</f>
        <v>-262.180677499801</v>
      </c>
    </row>
    <row r="18" customFormat="false" ht="15" hidden="false" customHeight="false" outlineLevel="0" collapsed="false">
      <c r="A18" s="0" t="s">
        <v>130</v>
      </c>
      <c r="C18" s="4" t="n">
        <f aca="false">(C6-B6)*Assumptions!$B$51/100</f>
        <v>-18.1488</v>
      </c>
      <c r="D18" s="4" t="n">
        <f aca="false">(D6-C6)*Assumptions!$B$51/100</f>
        <v>-55.5353280000001</v>
      </c>
      <c r="E18" s="4" t="n">
        <f aca="false">(E6-D6)*Assumptions!$B$51/100</f>
        <v>-63.7730683199999</v>
      </c>
      <c r="F18" s="4" t="n">
        <f aca="false">(F6-E6)*Assumptions!$B$51/100</f>
        <v>-62.6938317792001</v>
      </c>
      <c r="G18" s="4" t="n">
        <f aca="false">(G6-F6)*Assumptions!$B$51/100</f>
        <v>-55.37955140496</v>
      </c>
      <c r="H18" s="4" t="n">
        <f aca="false">(H6-G6)*Assumptions!$B$51/100</f>
        <v>-46.5188231801664</v>
      </c>
      <c r="I18" s="4" t="n">
        <f aca="false">(I6-H6)*Assumptions!$B$51/100</f>
        <v>-42.3321290939513</v>
      </c>
      <c r="J18" s="4" t="n">
        <f aca="false">(J6-I6)*Assumptions!$B$51/100</f>
        <v>-37.5546459533485</v>
      </c>
      <c r="K18" s="4" t="n">
        <f aca="false">(K6-J6)*Assumptions!$B$51/100</f>
        <v>-38.6812853319488</v>
      </c>
      <c r="L18" s="4" t="n">
        <f aca="false">(L6-K6)*Assumptions!$B$51/100</f>
        <v>-39.8417238919072</v>
      </c>
    </row>
    <row r="19" customFormat="false" ht="15" hidden="false" customHeight="false" outlineLevel="0" collapsed="false">
      <c r="A19" s="0" t="s">
        <v>131</v>
      </c>
      <c r="C19" s="0" t="n">
        <f aca="false">C15+C16+C17+C18</f>
        <v>931.8138384</v>
      </c>
      <c r="D19" s="0" t="n">
        <f aca="false">D15+D16+D17+D18</f>
        <v>976.28021328</v>
      </c>
      <c r="E19" s="0" t="n">
        <f aca="false">E15+E16+E17+E18</f>
        <v>1068.19889436</v>
      </c>
      <c r="F19" s="0" t="n">
        <f aca="false">F15+F16+F17+F18</f>
        <v>1172.27016455141</v>
      </c>
      <c r="G19" s="0" t="n">
        <f aca="false">G15+G16+G17+G18</f>
        <v>1278.16004642648</v>
      </c>
      <c r="H19" s="0" t="n">
        <f aca="false">H15+H16+H17+H18</f>
        <v>1355.6825576652</v>
      </c>
      <c r="I19" s="0" t="n">
        <f aca="false">I15+I16+I17+I18</f>
        <v>1408.946300081</v>
      </c>
      <c r="J19" s="0" t="n">
        <f aca="false">J15+J16+J17+J18</f>
        <v>1457.26213609685</v>
      </c>
      <c r="K19" s="0" t="n">
        <f aca="false">K15+K16+K17+K18</f>
        <v>1500.98000017976</v>
      </c>
      <c r="L19" s="0" t="n">
        <f aca="false">L15+L16+L17+L18</f>
        <v>1546.00940018515</v>
      </c>
    </row>
    <row r="20" customFormat="false" ht="15" hidden="false" customHeight="false" outlineLevel="0" collapsed="false">
      <c r="A20" s="0" t="s">
        <v>132</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133</v>
      </c>
      <c r="C21" s="0" t="n">
        <f aca="false">C19*C20</f>
        <v>854.875081100918</v>
      </c>
      <c r="D21" s="0" t="n">
        <f aca="false">D19*D20</f>
        <v>821.715523339786</v>
      </c>
      <c r="E21" s="0" t="n">
        <f aca="false">E19*E20</f>
        <v>824.845539644286</v>
      </c>
      <c r="F21" s="0" t="n">
        <f aca="false">F19*F20</f>
        <v>830.465738747764</v>
      </c>
      <c r="G21" s="0" t="n">
        <f aca="false">G19*G20</f>
        <v>830.716330885117</v>
      </c>
      <c r="H21" s="0" t="n">
        <f aca="false">H19*H20</f>
        <v>808.349214755805</v>
      </c>
      <c r="I21" s="0" t="n">
        <f aca="false">I19*I20</f>
        <v>770.741875289595</v>
      </c>
      <c r="J21" s="0" t="n">
        <f aca="false">J19*J20</f>
        <v>731.350726750917</v>
      </c>
      <c r="K21" s="0" t="n">
        <f aca="false">K19*K20</f>
        <v>691.092888581142</v>
      </c>
      <c r="L21" s="0" t="n">
        <f aca="false">L19*L20</f>
        <v>653.051078200529</v>
      </c>
    </row>
    <row r="23" customFormat="false" ht="15" hidden="false" customHeight="false" outlineLevel="0" collapsed="false">
      <c r="A23" s="0" t="s">
        <v>109</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134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135</v>
      </c>
    </row>
    <row r="27" customFormat="false" ht="15" hidden="false" customHeight="false" outlineLevel="0" collapsed="false">
      <c r="A27" s="0" t="s">
        <v>113</v>
      </c>
      <c r="B27" s="4" t="n">
        <f aca="false">Assumptions!$B$48</f>
        <v>9</v>
      </c>
    </row>
    <row r="28" customFormat="false" ht="15" hidden="false" customHeight="false" outlineLevel="0" collapsed="false">
      <c r="A28" s="0" t="s">
        <v>114</v>
      </c>
      <c r="B28" s="4" t="n">
        <f aca="false">Assumptions!$B$49</f>
        <v>3</v>
      </c>
    </row>
    <row r="29" customFormat="false" ht="15" hidden="false" customHeight="false" outlineLevel="0" collapsed="false">
      <c r="A29" s="0" t="s">
        <v>115</v>
      </c>
      <c r="B29" s="4" t="n">
        <f aca="false">Assumptions!$B$50</f>
        <v>15</v>
      </c>
    </row>
    <row r="30" customFormat="false" ht="15" hidden="false" customHeight="false" outlineLevel="0" collapsed="false">
      <c r="A30" s="0" t="s">
        <v>136</v>
      </c>
      <c r="B30" s="0" t="n">
        <f aca="false">SUM(C21:L21)</f>
        <v>7817.20399729586</v>
      </c>
    </row>
    <row r="31" customFormat="false" ht="15" hidden="false" customHeight="false" outlineLevel="0" collapsed="false">
      <c r="A31" s="0" t="s">
        <v>137</v>
      </c>
      <c r="B31" s="0" t="n">
        <f aca="false">L19</f>
        <v>1546.00940018515</v>
      </c>
    </row>
    <row r="32" customFormat="false" ht="15" hidden="false" customHeight="false" outlineLevel="0" collapsed="false">
      <c r="A32" s="0" t="s">
        <v>138</v>
      </c>
      <c r="B32" s="0" t="n">
        <f aca="false">IF(B27&gt;B28,B31*(1+B28/100)/((B27-B28)/100),B31*B29)</f>
        <v>26539.8280365117</v>
      </c>
    </row>
    <row r="33" customFormat="false" ht="15" hidden="false" customHeight="false" outlineLevel="0" collapsed="false">
      <c r="A33" s="0" t="s">
        <v>139</v>
      </c>
      <c r="B33" s="0" t="n">
        <f aca="false">B31*B29</f>
        <v>23190.1410027772</v>
      </c>
    </row>
    <row r="34" customFormat="false" ht="15" hidden="false" customHeight="false" outlineLevel="0" collapsed="false">
      <c r="A34" s="0" t="s">
        <v>140</v>
      </c>
      <c r="B34" s="0" t="n">
        <f aca="false">MAX(0,MIN(B32,B33))</f>
        <v>23190.1410027772</v>
      </c>
    </row>
    <row r="35" customFormat="false" ht="15" hidden="false" customHeight="false" outlineLevel="0" collapsed="false">
      <c r="A35" s="0" t="s">
        <v>141</v>
      </c>
      <c r="B35" s="0" t="n">
        <f aca="false">B34/(1+B27/100)^L4</f>
        <v>9795.76617300793</v>
      </c>
    </row>
    <row r="36" customFormat="false" ht="15" hidden="false" customHeight="false" outlineLevel="0" collapsed="false">
      <c r="A36" s="0" t="s">
        <v>142</v>
      </c>
      <c r="B36" s="0" t="n">
        <f aca="false">B30+B35</f>
        <v>17612.9701703038</v>
      </c>
    </row>
    <row r="37" customFormat="false" ht="15" hidden="false" customHeight="false" outlineLevel="0" collapsed="false">
      <c r="A37" s="0" t="s">
        <v>143</v>
      </c>
      <c r="B37" s="0" t="n">
        <f aca="false">B36+Assumptions!$B$5-Assumptions!$B$4</f>
        <v>13891.9701703038</v>
      </c>
    </row>
    <row r="38" customFormat="false" ht="15" hidden="false" customHeight="false" outlineLevel="0" collapsed="false">
      <c r="A38" s="0" t="s">
        <v>144</v>
      </c>
      <c r="B38" s="0" t="n">
        <f aca="false">B37/Assumptions!$B$3*Assumptions!$B$10</f>
        <v>70.3747222406473</v>
      </c>
    </row>
    <row r="39" customFormat="false" ht="15" hidden="false" customHeight="false" outlineLevel="0" collapsed="false">
      <c r="A39" s="0" t="s">
        <v>145</v>
      </c>
      <c r="B39" s="4" t="n">
        <f aca="false">B38/Assumptions!$B$2-1</f>
        <v>0.0306784159438684</v>
      </c>
    </row>
    <row r="41" customFormat="false" ht="15" hidden="false" customHeight="false" outlineLevel="0" collapsed="false">
      <c r="A41" s="0" t="s">
        <v>146</v>
      </c>
      <c r="B41" s="0" t="n">
        <f aca="false">SUMPRODUCT(-C10:L10/(1+$B$27/100)^C4:L4)</f>
        <v>302.694085882673</v>
      </c>
    </row>
    <row r="42" customFormat="false" ht="15" hidden="false" customHeight="false" outlineLevel="0" collapsed="false">
      <c r="A42" s="0" t="s">
        <v>147</v>
      </c>
      <c r="B42" s="0" t="n">
        <f aca="false">IF(B27&gt;B28,-L10*(1+B28/100)/((B27-B28)/100),-L10*20)/(1+B27/100)^L4</f>
        <v>413.29851478697</v>
      </c>
    </row>
    <row r="43" customFormat="false" ht="15" hidden="false" customHeight="false" outlineLevel="0" collapsed="false">
      <c r="A43" s="0" t="s">
        <v>148</v>
      </c>
      <c r="B43" s="0" t="n">
        <f aca="false">(B37+B41+B42)/Assumptions!$B$3*Assumptions!$B$10</f>
        <v>74.0018377455594</v>
      </c>
    </row>
    <row r="45" customFormat="false" ht="15" hidden="false" customHeight="false" outlineLevel="0" collapsed="false">
      <c r="A45" s="0" t="s">
        <v>89</v>
      </c>
      <c r="B45" s="4" t="n">
        <f aca="false">Assumptions!$B$6</f>
        <v>15</v>
      </c>
    </row>
    <row r="46" customFormat="false" ht="15" hidden="false" customHeight="false" outlineLevel="0" collapsed="false">
      <c r="A46" s="0" t="s">
        <v>149</v>
      </c>
      <c r="B46" s="0" t="n">
        <f aca="false">MAX(0,MIN(IF(B45&gt;B28,B31*(1+B28/100)/((B45-B28)/100),B31*B29),B31*B29))</f>
        <v>13269.9140182559</v>
      </c>
    </row>
    <row r="47" customFormat="false" ht="15" hidden="false" customHeight="false" outlineLevel="0" collapsed="false">
      <c r="A47" s="0" t="s">
        <v>150</v>
      </c>
      <c r="B47" s="0" t="n">
        <f aca="false">(SUMPRODUCT(C19:L19/(1+B45/100)^C4:L4)+B46/(1+B45/100)^L4+Assumptions!$B$5-Assumptions!$B$4)/Assumptions!$B$3*Assumptions!$B$10</f>
        <v>27.9465924907864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153</v>
      </c>
    </row>
    <row r="3" customFormat="false" ht="15" hidden="false" customHeight="false" outlineLevel="0" collapsed="false">
      <c r="A3" s="2" t="s">
        <v>154</v>
      </c>
      <c r="B3" s="2" t="s">
        <v>155</v>
      </c>
      <c r="C3" s="2" t="s">
        <v>145</v>
      </c>
      <c r="D3" s="2" t="s">
        <v>156</v>
      </c>
      <c r="E3" s="2" t="s">
        <v>148</v>
      </c>
      <c r="F3" s="2" t="s">
        <v>157</v>
      </c>
    </row>
    <row r="4" customFormat="false" ht="15" hidden="false" customHeight="false" outlineLevel="0" collapsed="false">
      <c r="A4" s="0" t="s">
        <v>158</v>
      </c>
      <c r="B4" s="4" t="n">
        <f aca="false">DCF_Bear!$B$38</f>
        <v>38.4921008263741</v>
      </c>
      <c r="C4" s="0" t="n">
        <f aca="false">B4/Assumptions!$B$2-1</f>
        <v>-0.436260972080051</v>
      </c>
      <c r="D4" s="4" t="n">
        <f aca="false">Assumptions!$B$24</f>
        <v>0.2</v>
      </c>
      <c r="E4" s="4" t="n">
        <f aca="false">DCF_Bear!$B$43</f>
        <v>41.0519618843061</v>
      </c>
      <c r="F4" s="4" t="n">
        <f aca="false">DCF_Bear!$B$47</f>
        <v>12.2310169869003</v>
      </c>
    </row>
    <row r="5" customFormat="false" ht="15" hidden="false" customHeight="false" outlineLevel="0" collapsed="false">
      <c r="A5" s="0" t="s">
        <v>159</v>
      </c>
      <c r="B5" s="4" t="n">
        <f aca="false">DCF_Base!$B$38</f>
        <v>57.9682680611463</v>
      </c>
      <c r="C5" s="0" t="n">
        <f aca="false">B5/Assumptions!$B$2-1</f>
        <v>-0.151021264482333</v>
      </c>
      <c r="D5" s="4" t="n">
        <f aca="false">Assumptions!$B$38</f>
        <v>0.5</v>
      </c>
      <c r="E5" s="4" t="n">
        <f aca="false">DCF_Base!$B$43</f>
        <v>61.1208697402041</v>
      </c>
      <c r="F5" s="4" t="n">
        <f aca="false">DCF_Base!$B$47</f>
        <v>21.5992590042995</v>
      </c>
    </row>
    <row r="6" customFormat="false" ht="15" hidden="false" customHeight="false" outlineLevel="0" collapsed="false">
      <c r="A6" s="0" t="s">
        <v>160</v>
      </c>
      <c r="B6" s="4" t="n">
        <f aca="false">DCF_Bull!$B$38</f>
        <v>70.3747222406473</v>
      </c>
      <c r="C6" s="0" t="n">
        <f aca="false">B6/Assumptions!$B$2-1</f>
        <v>0.0306784159438684</v>
      </c>
      <c r="D6" s="4" t="n">
        <f aca="false">Assumptions!$B$52</f>
        <v>0.3</v>
      </c>
      <c r="E6" s="4" t="n">
        <f aca="false">DCF_Bull!$B$43</f>
        <v>74.0018377455594</v>
      </c>
      <c r="F6" s="4" t="n">
        <f aca="false">DCF_Bull!$B$47</f>
        <v>27.9465924907864</v>
      </c>
    </row>
    <row r="8" customFormat="false" ht="15" hidden="false" customHeight="false" outlineLevel="0" collapsed="false">
      <c r="A8" s="0" t="s">
        <v>161</v>
      </c>
      <c r="B8" s="0" t="n">
        <f aca="false">SUMPRODUCT(B4:B6,D4:D6)</f>
        <v>57.7949708680422</v>
      </c>
    </row>
    <row r="9" customFormat="false" ht="15" hidden="false" customHeight="false" outlineLevel="0" collapsed="false">
      <c r="A9" s="0" t="s">
        <v>162</v>
      </c>
      <c r="B9" s="0" t="n">
        <f aca="false">SUMPRODUCT(E4:E6,D4:D6)</f>
        <v>60.9713785706311</v>
      </c>
    </row>
    <row r="10" customFormat="false" ht="15" hidden="false" customHeight="false" outlineLevel="0" collapsed="false">
      <c r="A10" s="0" t="s">
        <v>163</v>
      </c>
      <c r="B10" s="0" t="n">
        <f aca="false">1-Assumptions!$B$2/B8</f>
        <v>-0.181417673103379</v>
      </c>
    </row>
    <row r="11" customFormat="false" ht="15" hidden="false" customHeight="false" outlineLevel="0" collapsed="false">
      <c r="A11" s="0" t="s">
        <v>164</v>
      </c>
      <c r="B11" s="0" t="n">
        <f aca="false">IF(ABS(B9-B8)&gt;0.01*ABS(B8),(Assumptions!$B$2-B8)/(B9-B8)*100,"n/a")</f>
        <v>330.090785367765</v>
      </c>
    </row>
    <row r="12" customFormat="false" ht="15" hidden="false" customHeight="false" outlineLevel="0" collapsed="false">
      <c r="A12" s="0" t="s">
        <v>165</v>
      </c>
      <c r="B12" s="0" t="n">
        <f aca="false">SUMPRODUCT(F4:F6,D4:D6)</f>
        <v>21.6298106467658</v>
      </c>
    </row>
    <row r="14" customFormat="false" ht="15" hidden="false" customHeight="false" outlineLevel="0" collapsed="false">
      <c r="A14" s="2" t="s">
        <v>166</v>
      </c>
      <c r="C14" s="0" t="s">
        <v>167</v>
      </c>
    </row>
    <row r="15" customFormat="false" ht="15" hidden="false" customHeight="false" outlineLevel="0" collapsed="false">
      <c r="A15" s="0" t="s">
        <v>168</v>
      </c>
      <c r="B15" s="0" t="n">
        <f aca="false">(SUMPRODUCT(DCF_Base!$C$19:$L$19/(1+$C$15/100)^DCF_Base!$C$4:$L$4)+MAX(0,MIN(IF($C$15&gt;DCF_Base!$B$28,DCF_Base!$L$19*(1+DCF_Base!$B$28/100)/(($C$15-DCF_Base!$B$28)/100),DCF_Base!$L$19*DCF_Base!$B$29),DCF_Base!$L$19*DCF_Base!$B$29))/(1+$C$15/100)^DCF_Base!$L$4+Assumptions!$B$5-Assumptions!$B$4)/Assumptions!$B$3*Assumptions!$B$10</f>
        <v>57.9682680611463</v>
      </c>
      <c r="C15" s="3" t="n">
        <v>9</v>
      </c>
    </row>
    <row r="16" customFormat="false" ht="15" hidden="false" customHeight="false" outlineLevel="0" collapsed="false">
      <c r="A16" s="0" t="s">
        <v>169</v>
      </c>
      <c r="B16" s="0" t="n">
        <f aca="false">(SUMPRODUCT(DCF_Base!$C$19:$L$19/(1+$C$16/100)^DCF_Base!$C$4:$L$4)+MAX(0,MIN(IF($C$16&gt;DCF_Base!$B$28,DCF_Base!$L$19*(1+DCF_Base!$B$28/100)/(($C$16-DCF_Base!$B$28)/100),DCF_Base!$L$19*DCF_Base!$B$29),DCF_Base!$L$19*DCF_Base!$B$29))/(1+$C$16/100)^DCF_Base!$L$4+Assumptions!$B$5-Assumptions!$B$4)/Assumptions!$B$3*Assumptions!$B$10</f>
        <v>49.3823910550451</v>
      </c>
      <c r="C16" s="3" t="n">
        <v>10</v>
      </c>
    </row>
    <row r="17" customFormat="false" ht="15" hidden="false" customHeight="false" outlineLevel="0" collapsed="false">
      <c r="A17" s="0" t="s">
        <v>170</v>
      </c>
      <c r="B17" s="0" t="n">
        <f aca="false">(SUMPRODUCT(DCF_Base!$C$19:$L$19/(1+$C$17/100)^DCF_Base!$C$4:$L$4)+MAX(0,MIN(IF($C$17&gt;DCF_Base!$B$28,DCF_Base!$L$19*(1+DCF_Base!$B$28/100)/(($C$17-DCF_Base!$B$28)/100),DCF_Base!$L$19*DCF_Base!$B$29),DCF_Base!$L$19*DCF_Base!$B$29))/(1+$C$17/100)^DCF_Base!$L$4+Assumptions!$B$5-Assumptions!$B$4)/Assumptions!$B$3*Assumptions!$B$10</f>
        <v>41.1979062107144</v>
      </c>
      <c r="C17" s="3" t="n">
        <v>11</v>
      </c>
    </row>
    <row r="18" customFormat="false" ht="15" hidden="false" customHeight="false" outlineLevel="0" collapsed="false">
      <c r="A18" s="0" t="s">
        <v>171</v>
      </c>
      <c r="B18" s="0" t="n">
        <f aca="false">(SUMPRODUCT(DCF_Base!$C$19:$L$19/(1+$C$18/100)^DCF_Base!$C$4:$L$4)+MAX(0,MIN(IF($C$18&gt;DCF_Base!$B$28,DCF_Base!$L$19*(1+DCF_Base!$B$28/100)/(($C$18-DCF_Base!$B$28)/100),DCF_Base!$L$19*DCF_Base!$B$29),DCF_Base!$L$19*DCF_Base!$B$29))/(1+$C$18/100)^DCF_Base!$L$4+Assumptions!$B$5-Assumptions!$B$4)/Assumptions!$B$3*Assumptions!$B$10</f>
        <v>34.7426020048896</v>
      </c>
      <c r="C18" s="3" t="n">
        <v>12</v>
      </c>
    </row>
    <row r="19" customFormat="false" ht="15" hidden="false" customHeight="false" outlineLevel="0" collapsed="false">
      <c r="A19" s="0" t="s">
        <v>172</v>
      </c>
      <c r="B19" s="0" t="n">
        <f aca="false">(SUMPRODUCT(DCF_Base!$C$19:$L$19/(1+$C$19/100)^DCF_Base!$C$4:$L$4)+MAX(0,MIN(IF($C$19&gt;DCF_Base!$B$28,DCF_Base!$L$19*(1+DCF_Base!$B$28/100)/(($C$19-DCF_Base!$B$28)/100),DCF_Base!$L$19*DCF_Base!$B$29),DCF_Base!$L$19*DCF_Base!$B$29))/(1+$C$19/100)^DCF_Base!$L$4+Assumptions!$B$5-Assumptions!$B$4)/Assumptions!$B$3*Assumptions!$B$10</f>
        <v>21.5992590042995</v>
      </c>
      <c r="C19" s="3" t="n">
        <v>15</v>
      </c>
    </row>
    <row r="21" customFormat="false" ht="15" hidden="false" customHeight="false" outlineLevel="0" collapsed="false">
      <c r="A21" s="2" t="s">
        <v>173</v>
      </c>
    </row>
    <row r="22" customFormat="false" ht="15" hidden="false" customHeight="false" outlineLevel="0" collapsed="false">
      <c r="B22" s="3" t="n">
        <v>1.5</v>
      </c>
      <c r="C22" s="3" t="n">
        <v>2</v>
      </c>
      <c r="D22" s="3" t="n">
        <v>2.5</v>
      </c>
      <c r="E22" s="3" t="n">
        <v>3</v>
      </c>
      <c r="F22" s="3" t="n">
        <v>3.5</v>
      </c>
    </row>
    <row r="23" customFormat="false" ht="15" hidden="false" customHeight="false" outlineLevel="0" collapsed="false">
      <c r="A23" s="3" t="n">
        <v>7</v>
      </c>
      <c r="B23" s="0" t="n">
        <f aca="false">(SUMPRODUCT(DCF_Base!$C$19:$L$19/(1+$A$23/100)^DCF_Base!$C$4:$L$4)+MAX(0,MIN(IF($A$23&gt;$B$22,DCF_Base!$L$19*(1+$B$22/100)/(($A$23-$B$22)/100),DCF_Base!$L$19*DCF_Base!$B$29),DCF_Base!$L$19*DCF_Base!$B$29))/(1+$A$23/100)^DCF_Base!$L$4+Assumptions!$B$5-Assumptions!$B$4)/Assumptions!$B$3*Assumptions!$B$10</f>
        <v>69.9722634830193</v>
      </c>
      <c r="C23" s="0" t="n">
        <f aca="false">(SUMPRODUCT(DCF_Base!$C$19:$L$19/(1+$A$23/100)^DCF_Base!$C$4:$L$4)+MAX(0,MIN(IF($A$23&gt;$C$22,DCF_Base!$L$19*(1+$C$22/100)/(($A$23-$C$22)/100),DCF_Base!$L$19*DCF_Base!$B$29),DCF_Base!$L$19*DCF_Base!$B$29))/(1+$A$23/100)^DCF_Base!$L$4+Assumptions!$B$5-Assumptions!$B$4)/Assumptions!$B$3*Assumptions!$B$10</f>
        <v>69.9722634830193</v>
      </c>
      <c r="D23" s="0" t="n">
        <f aca="false">(SUMPRODUCT(DCF_Base!$C$19:$L$19/(1+$A$23/100)^DCF_Base!$C$4:$L$4)+MAX(0,MIN(IF($A$23&gt;$D$22,DCF_Base!$L$19*(1+$D$22/100)/(($A$23-$D$22)/100),DCF_Base!$L$19*DCF_Base!$B$29),DCF_Base!$L$19*DCF_Base!$B$29))/(1+$A$23/100)^DCF_Base!$L$4+Assumptions!$B$5-Assumptions!$B$4)/Assumptions!$B$3*Assumptions!$B$10</f>
        <v>69.9722634830193</v>
      </c>
      <c r="E23" s="0" t="n">
        <f aca="false">(SUMPRODUCT(DCF_Base!$C$19:$L$19/(1+$A$23/100)^DCF_Base!$C$4:$L$4)+MAX(0,MIN(IF($A$23&gt;$E$22,DCF_Base!$L$19*(1+$E$22/100)/(($A$23-$E$22)/100),DCF_Base!$L$19*DCF_Base!$B$29),DCF_Base!$L$19*DCF_Base!$B$29))/(1+$A$23/100)^DCF_Base!$L$4+Assumptions!$B$5-Assumptions!$B$4)/Assumptions!$B$3*Assumptions!$B$10</f>
        <v>69.9722634830193</v>
      </c>
      <c r="F23" s="0" t="n">
        <f aca="false">(SUMPRODUCT(DCF_Base!$C$19:$L$19/(1+$A$23/100)^DCF_Base!$C$4:$L$4)+MAX(0,MIN(IF($A$23&gt;$F$22,DCF_Base!$L$19*(1+$F$22/100)/(($A$23-$F$22)/100),DCF_Base!$L$19*DCF_Base!$B$29),DCF_Base!$L$19*DCF_Base!$B$29))/(1+$A$23/100)^DCF_Base!$L$4+Assumptions!$B$5-Assumptions!$B$4)/Assumptions!$B$3*Assumptions!$B$10</f>
        <v>69.9722634830193</v>
      </c>
    </row>
    <row r="24" customFormat="false" ht="15" hidden="false" customHeight="false" outlineLevel="0" collapsed="false">
      <c r="A24" s="3" t="n">
        <v>8</v>
      </c>
      <c r="B24" s="0" t="n">
        <f aca="false">(SUMPRODUCT(DCF_Base!$C$19:$L$19/(1+$A$24/100)^DCF_Base!$C$4:$L$4)+MAX(0,MIN(IF($A$24&gt;$B$22,DCF_Base!$L$19*(1+$B$22/100)/(($A$24-$B$22)/100),DCF_Base!$L$19*DCF_Base!$B$29),DCF_Base!$L$19*DCF_Base!$B$29))/(1+$A$24/100)^DCF_Base!$L$4+Assumptions!$B$5-Assumptions!$B$4)/Assumptions!$B$3*Assumptions!$B$10</f>
        <v>63.691627537933</v>
      </c>
      <c r="C24" s="0" t="n">
        <f aca="false">(SUMPRODUCT(DCF_Base!$C$19:$L$19/(1+$A$24/100)^DCF_Base!$C$4:$L$4)+MAX(0,MIN(IF($A$24&gt;$C$22,DCF_Base!$L$19*(1+$C$22/100)/(($A$24-$C$22)/100),DCF_Base!$L$19*DCF_Base!$B$29),DCF_Base!$L$19*DCF_Base!$B$29))/(1+$A$24/100)^DCF_Base!$L$4+Assumptions!$B$5-Assumptions!$B$4)/Assumptions!$B$3*Assumptions!$B$10</f>
        <v>63.691627537933</v>
      </c>
      <c r="D24" s="0" t="n">
        <f aca="false">(SUMPRODUCT(DCF_Base!$C$19:$L$19/(1+$A$24/100)^DCF_Base!$C$4:$L$4)+MAX(0,MIN(IF($A$24&gt;$D$22,DCF_Base!$L$19*(1+$D$22/100)/(($A$24-$D$22)/100),DCF_Base!$L$19*DCF_Base!$B$29),DCF_Base!$L$19*DCF_Base!$B$29))/(1+$A$24/100)^DCF_Base!$L$4+Assumptions!$B$5-Assumptions!$B$4)/Assumptions!$B$3*Assumptions!$B$10</f>
        <v>63.691627537933</v>
      </c>
      <c r="E24" s="0" t="n">
        <f aca="false">(SUMPRODUCT(DCF_Base!$C$19:$L$19/(1+$A$24/100)^DCF_Base!$C$4:$L$4)+MAX(0,MIN(IF($A$24&gt;$E$22,DCF_Base!$L$19*(1+$E$22/100)/(($A$24-$E$22)/100),DCF_Base!$L$19*DCF_Base!$B$29),DCF_Base!$L$19*DCF_Base!$B$29))/(1+$A$24/100)^DCF_Base!$L$4+Assumptions!$B$5-Assumptions!$B$4)/Assumptions!$B$3*Assumptions!$B$10</f>
        <v>63.691627537933</v>
      </c>
      <c r="F24" s="0" t="n">
        <f aca="false">(SUMPRODUCT(DCF_Base!$C$19:$L$19/(1+$A$24/100)^DCF_Base!$C$4:$L$4)+MAX(0,MIN(IF($A$24&gt;$F$22,DCF_Base!$L$19*(1+$F$22/100)/(($A$24-$F$22)/100),DCF_Base!$L$19*DCF_Base!$B$29),DCF_Base!$L$19*DCF_Base!$B$29))/(1+$A$24/100)^DCF_Base!$L$4+Assumptions!$B$5-Assumptions!$B$4)/Assumptions!$B$3*Assumptions!$B$10</f>
        <v>63.691627537933</v>
      </c>
    </row>
    <row r="25" customFormat="false" ht="15" hidden="false" customHeight="false" outlineLevel="0" collapsed="false">
      <c r="A25" s="3" t="n">
        <v>9</v>
      </c>
      <c r="B25" s="0" t="n">
        <f aca="false">(SUMPRODUCT(DCF_Base!$C$19:$L$19/(1+$A$25/100)^DCF_Base!$C$4:$L$4)+MAX(0,MIN(IF($A$25&gt;$B$22,DCF_Base!$L$19*(1+$B$22/100)/(($A$25-$B$22)/100),DCF_Base!$L$19*DCF_Base!$B$29),DCF_Base!$L$19*DCF_Base!$B$29))/(1+$A$25/100)^DCF_Base!$L$4+Assumptions!$B$5-Assumptions!$B$4)/Assumptions!$B$3*Assumptions!$B$10</f>
        <v>53.9139320773257</v>
      </c>
      <c r="C25" s="0" t="n">
        <f aca="false">(SUMPRODUCT(DCF_Base!$C$19:$L$19/(1+$A$25/100)^DCF_Base!$C$4:$L$4)+MAX(0,MIN(IF($A$25&gt;$C$22,DCF_Base!$L$19*(1+$C$22/100)/(($A$25-$C$22)/100),DCF_Base!$L$19*DCF_Base!$B$29),DCF_Base!$L$19*DCF_Base!$B$29))/(1+$A$25/100)^DCF_Base!$L$4+Assumptions!$B$5-Assumptions!$B$4)/Assumptions!$B$3*Assumptions!$B$10</f>
        <v>56.7835594944455</v>
      </c>
      <c r="D25" s="0" t="n">
        <f aca="false">(SUMPRODUCT(DCF_Base!$C$19:$L$19/(1+$A$25/100)^DCF_Base!$C$4:$L$4)+MAX(0,MIN(IF($A$25&gt;$D$22,DCF_Base!$L$19*(1+$D$22/100)/(($A$25-$D$22)/100),DCF_Base!$L$19*DCF_Base!$B$29),DCF_Base!$L$19*DCF_Base!$B$29))/(1+$A$25/100)^DCF_Base!$L$4+Assumptions!$B$5-Assumptions!$B$4)/Assumptions!$B$3*Assumptions!$B$10</f>
        <v>57.9682680611463</v>
      </c>
      <c r="E25" s="0" t="n">
        <f aca="false">(SUMPRODUCT(DCF_Base!$C$19:$L$19/(1+$A$25/100)^DCF_Base!$C$4:$L$4)+MAX(0,MIN(IF($A$25&gt;$E$22,DCF_Base!$L$19*(1+$E$22/100)/(($A$25-$E$22)/100),DCF_Base!$L$19*DCF_Base!$B$29),DCF_Base!$L$19*DCF_Base!$B$29))/(1+$A$25/100)^DCF_Base!$L$4+Assumptions!$B$5-Assumptions!$B$4)/Assumptions!$B$3*Assumptions!$B$10</f>
        <v>57.9682680611463</v>
      </c>
      <c r="F25" s="0" t="n">
        <f aca="false">(SUMPRODUCT(DCF_Base!$C$19:$L$19/(1+$A$25/100)^DCF_Base!$C$4:$L$4)+MAX(0,MIN(IF($A$25&gt;$F$22,DCF_Base!$L$19*(1+$F$22/100)/(($A$25-$F$22)/100),DCF_Base!$L$19*DCF_Base!$B$29),DCF_Base!$L$19*DCF_Base!$B$29))/(1+$A$25/100)^DCF_Base!$L$4+Assumptions!$B$5-Assumptions!$B$4)/Assumptions!$B$3*Assumptions!$B$10</f>
        <v>57.9682680611463</v>
      </c>
    </row>
    <row r="26" customFormat="false" ht="15" hidden="false" customHeight="false" outlineLevel="0" collapsed="false">
      <c r="A26" s="3" t="n">
        <v>10</v>
      </c>
      <c r="B26" s="0" t="n">
        <f aca="false">(SUMPRODUCT(DCF_Base!$C$19:$L$19/(1+$A$26/100)^DCF_Base!$C$4:$L$4)+MAX(0,MIN(IF($A$26&gt;$B$22,DCF_Base!$L$19*(1+$B$22/100)/(($A$26-$B$22)/100),DCF_Base!$L$19*DCF_Base!$B$29),DCF_Base!$L$19*DCF_Base!$B$29))/(1+$A$26/100)^DCF_Base!$L$4+Assumptions!$B$5-Assumptions!$B$4)/Assumptions!$B$3*Assumptions!$B$10</f>
        <v>45.0288871530522</v>
      </c>
      <c r="C26" s="0" t="n">
        <f aca="false">(SUMPRODUCT(DCF_Base!$C$19:$L$19/(1+$A$26/100)^DCF_Base!$C$4:$L$4)+MAX(0,MIN(IF($A$26&gt;$C$22,DCF_Base!$L$19*(1+$C$22/100)/(($A$26-$C$22)/100),DCF_Base!$L$19*DCF_Base!$B$29),DCF_Base!$L$19*DCF_Base!$B$29))/(1+$A$26/100)^DCF_Base!$L$4+Assumptions!$B$5-Assumptions!$B$4)/Assumptions!$B$3*Assumptions!$B$10</f>
        <v>47.0695921071114</v>
      </c>
      <c r="D26" s="0" t="n">
        <f aca="false">(SUMPRODUCT(DCF_Base!$C$19:$L$19/(1+$A$26/100)^DCF_Base!$C$4:$L$4)+MAX(0,MIN(IF($A$26&gt;$D$22,DCF_Base!$L$19*(1+$D$22/100)/(($A$26-$D$22)/100),DCF_Base!$L$19*DCF_Base!$B$29),DCF_Base!$L$19*DCF_Base!$B$29))/(1+$A$26/100)^DCF_Base!$L$4+Assumptions!$B$5-Assumptions!$B$4)/Assumptions!$B$3*Assumptions!$B$10</f>
        <v>49.3823910550451</v>
      </c>
      <c r="E26" s="0" t="n">
        <f aca="false">(SUMPRODUCT(DCF_Base!$C$19:$L$19/(1+$A$26/100)^DCF_Base!$C$4:$L$4)+MAX(0,MIN(IF($A$26&gt;$E$22,DCF_Base!$L$19*(1+$E$22/100)/(($A$26-$E$22)/100),DCF_Base!$L$19*DCF_Base!$B$29),DCF_Base!$L$19*DCF_Base!$B$29))/(1+$A$26/100)^DCF_Base!$L$4+Assumptions!$B$5-Assumptions!$B$4)/Assumptions!$B$3*Assumptions!$B$10</f>
        <v>52.0255898526837</v>
      </c>
      <c r="F26" s="0" t="n">
        <f aca="false">(SUMPRODUCT(DCF_Base!$C$19:$L$19/(1+$A$26/100)^DCF_Base!$C$4:$L$4)+MAX(0,MIN(IF($A$26&gt;$F$22,DCF_Base!$L$19*(1+$F$22/100)/(($A$26-$F$22)/100),DCF_Base!$L$19*DCF_Base!$B$29),DCF_Base!$L$19*DCF_Base!$B$29))/(1+$A$26/100)^DCF_Base!$L$4+Assumptions!$B$5-Assumptions!$B$4)/Assumptions!$B$3*Assumptions!$B$10</f>
        <v>52.7464622520396</v>
      </c>
    </row>
    <row r="27" customFormat="false" ht="15" hidden="false" customHeight="false" outlineLevel="0" collapsed="false">
      <c r="A27" s="3" t="n">
        <v>11</v>
      </c>
      <c r="B27" s="0" t="n">
        <f aca="false">(SUMPRODUCT(DCF_Base!$C$19:$L$19/(1+$A$27/100)^DCF_Base!$C$4:$L$4)+MAX(0,MIN(IF($A$27&gt;$B$22,DCF_Base!$L$19*(1+$B$22/100)/(($A$27-$B$22)/100),DCF_Base!$L$19*DCF_Base!$B$29),DCF_Base!$L$19*DCF_Base!$B$29))/(1+$A$27/100)^DCF_Base!$L$4+Assumptions!$B$5-Assumptions!$B$4)/Assumptions!$B$3*Assumptions!$B$10</f>
        <v>38.029769211143</v>
      </c>
      <c r="C27" s="0" t="n">
        <f aca="false">(SUMPRODUCT(DCF_Base!$C$19:$L$19/(1+$A$27/100)^DCF_Base!$C$4:$L$4)+MAX(0,MIN(IF($A$27&gt;$C$22,DCF_Base!$L$19*(1+$C$22/100)/(($A$27-$C$22)/100),DCF_Base!$L$19*DCF_Base!$B$29),DCF_Base!$L$19*DCF_Base!$B$29))/(1+$A$27/100)^DCF_Base!$L$4+Assumptions!$B$5-Assumptions!$B$4)/Assumptions!$B$3*Assumptions!$B$10</f>
        <v>39.5258339053851</v>
      </c>
      <c r="D27" s="0" t="n">
        <f aca="false">(SUMPRODUCT(DCF_Base!$C$19:$L$19/(1+$A$27/100)^DCF_Base!$C$4:$L$4)+MAX(0,MIN(IF($A$27&gt;$D$22,DCF_Base!$L$19*(1+$D$22/100)/(($A$27-$D$22)/100),DCF_Base!$L$19*DCF_Base!$B$29),DCF_Base!$L$19*DCF_Base!$B$29))/(1+$A$27/100)^DCF_Base!$L$4+Assumptions!$B$5-Assumptions!$B$4)/Assumptions!$B$3*Assumptions!$B$10</f>
        <v>41.1979062107144</v>
      </c>
      <c r="E27" s="0" t="n">
        <f aca="false">(SUMPRODUCT(DCF_Base!$C$19:$L$19/(1+$A$27/100)^DCF_Base!$C$4:$L$4)+MAX(0,MIN(IF($A$27&gt;$E$22,DCF_Base!$L$19*(1+$E$22/100)/(($A$27-$E$22)/100),DCF_Base!$L$19*DCF_Base!$B$29),DCF_Base!$L$19*DCF_Base!$B$29))/(1+$A$27/100)^DCF_Base!$L$4+Assumptions!$B$5-Assumptions!$B$4)/Assumptions!$B$3*Assumptions!$B$10</f>
        <v>43.07898755421</v>
      </c>
      <c r="F27" s="0" t="n">
        <f aca="false">(SUMPRODUCT(DCF_Base!$C$19:$L$19/(1+$A$27/100)^DCF_Base!$C$4:$L$4)+MAX(0,MIN(IF($A$27&gt;$F$22,DCF_Base!$L$19*(1+$F$22/100)/(($A$27-$F$22)/100),DCF_Base!$L$19*DCF_Base!$B$29),DCF_Base!$L$19*DCF_Base!$B$29))/(1+$A$27/100)^DCF_Base!$L$4+Assumptions!$B$5-Assumptions!$B$4)/Assumptions!$B$3*Assumptions!$B$10</f>
        <v>45.2108797435049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2026-10-02T00:42:50Z</dcterms:created>
  <dc:creator>openpyxl</dc:creator>
  <dc:description/>
  <dc:language>en-NZ</dc:language>
  <cp:lastModifiedBy/>
  <dcterms:modified xsi:type="dcterms:W3CDTF">2026-10-02T00:42:50Z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