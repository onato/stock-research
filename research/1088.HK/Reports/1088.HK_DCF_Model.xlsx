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<sst xmlns="http://schemas.openxmlformats.org/spreadsheetml/2006/main" count="357" uniqueCount="166">
  <si>
    <t xml:space="preserve">Ticker</t>
  </si>
  <si>
    <t xml:space="preserve">1088.HK</t>
  </si>
  <si>
    <t xml:space="preserve">Company</t>
  </si>
  <si>
    <t xml:space="preserve">China Shenhua Energy Company Limited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</si>
  <si>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</si>
  <si>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</si>
  <si>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</si>
  <si>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</si>
  <si>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regular close (HKEX, Friday); not after-hours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</si>
  <si>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</si>
  <si>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</si>
  <si>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</si>
  <si>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</si>
  <si>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</si>
  <si>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</si>
  <si>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</si>
  <si>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</si>
  <si>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</si>
  <si>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</si>
  <si>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</si>
  <si>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</si>
  <si>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</si>
  <si>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2026-10-11T16:14:19Z</t>
  </si>
  <si>
    <t xml:space="preserve">Drivers file</t>
  </si>
  <si>
    <t xml:space="preserve">1088.HK_Drivers.json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</si>
  <si>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</si>
  <si>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</si>
  <si>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</si>
  <si>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vertically integrated coal-power-rail conglomerate is valued as the owner-FCF stream it actually produces after real capex and after the minority partners' share, not on the ~79% dividend payout the market anchors to. The structural question is whether the current RMB56bn/yr capital programme is mine replacement (value-preserving) or policy-driven expansion (value-dilutive); the base case assumes it fades, the bear assumes it does not. The terminal value is capped at 12x FCF because the market will not pay a Gordon multiple for a coal major, and that cap -- not the WACC -- is what sets the headline in base and bull.
key_risks_to_valuation: Coal price: each RMB50/t move on ~620Mt of sales is roughly RMB30bn of revenue and, with integration offsets, perhaps RMB10-15bn of EBITDA -- the dominant swing factor the three scenarios bracket; Capex intensity: if the RMB56bn/yr programme does not fade toward D&amp;A, base owner FCF never reaches the modelled year-10 level; every 1pp of revenue in perpetual capex is ~RMB4bn/yr of FCF; Related-party governance: ~30% of coal sales to the parent, RMB70bn of deposits at the parent's Finance Company, and a demonstrated pattern of share-funded asset injections at parent-set prices (the March 2026 consideration shares were issued at RMB29.40 vs an A-share price of ~RMB43-48); NCI leakage: 18% of profit accrues to minority partners in subsidiaries; charged at 35.5% combined leakage, which ties to H1 2026 attributable profit but assumes the NCI share does not rise with the injected assets; Decarbonisation policy: coal-plant utilisation hours are falling every year; the base case's 33% margin and 1% terminal growth assume the decline is gradual and offset by chemicals, transport and new energy; Currency: the valuation is in CNY converted at 1.1722; a 5% CNY depreciation against HKD lowers the HKD headline ~5% with no change in the business</t>
  </si>
  <si>
    <t xml:space="preserve">Data sources</t>
  </si>
  <si>
    <t xml:space="preserve">price: Yahoo Finance chart API at inputs.price_as_of; 52-week range 38.20-49.62 HKD. A-share cross-check from 601088.SS same date; CNY/HKD from Yahoo CNYHKD=X same date.
financials: 1088.HK_Metrics.csv (FY2017-FY2025 annual + interims, RMB millions); 2026 Interim Report (1088.HK_HalfYear_H1-2026.txt): condensed income statement p.111, balance sheet p.112-113, cash flow p.117-119, segment capex note, Finance Company deposits section; 2026 First Quarter Report (1088.HK_Quarterly_Q1-2026.txt): adjusted FY2026 business targets and RMB55,987m capex plan.
qualitative: 1088.HK_Analysis.json (qualitative-analyst, 2026-10-12): segment mix, injection terms, guidance, bull/bear axes.</t>
  </si>
  <si>
    <t xml:space="preserve">Scenario narrative: bear</t>
  </si>
  <si>
    <t xml:space="preserve">Early decarbonisation and a coal-price retrace to trough levels: revenue -10% over four years then flat, margin 30.5%, capex stuck at 13.5-15.5% of revenue, 0% terminal growth.</t>
  </si>
  <si>
    <t xml:space="preserve">Scenario narrative: base</t>
  </si>
  <si>
    <t xml:space="preserve">Coal-price band holds; enlarged group earns ~33-34% EBITDA margins; nominal growth 3% fading to 1%; capex intensity normalises from 15% to 11.5% of revenue over eight years; terminal growth 1%, terminal multiple capped at 12x owner FCF.</t>
  </si>
  <si>
    <t xml:space="preserve">Scenario narrative: bull</t>
  </si>
  <si>
    <t xml:space="preserve">Tight coal market and clean integration of the injected assets: ~35% margins, 6% growth fading to 2%, capex back to 10% of revenue, 2% terminal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</si>
  <si>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</si>
  <si>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</si>
  <si>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</si>
  <si>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</si>
  <si>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</si>
  <si>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</si>
  <si>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</si>
  <si>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</si>
  <si>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</si>
  <si>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</si>
  <si>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</si>
  <si>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</si>
  <si>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</si>
  <si>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</si>
  <si>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</si>
  <si>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</si>
  <si>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</si>
  <si>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</si>
  <si>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</si>
  <si>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</si>
  <si>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</si>
  <si>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</si>
  <si>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</si>
  <si>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</si>
  <si>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</si>
  <si>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</si>
  <si>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</si>
  <si>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</si>
  <si>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</si>
  <si>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</si>
  <si>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</si>
  <si>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</si>
  <si>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</si>
  <si>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</si>
  <si>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</si>
  <si>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</si>
  <si>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</si>
  <si>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</si>
  <si>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</si>
  <si>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</si>
  <si>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</si>
  <si>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</si>
  <si>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</si>
  <si>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</si>
  <si>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</si>
  <si>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</si>
  <si>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</si>
  <si>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</si>
  <si>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</si>
  <si>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</si>
  <si>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</si>
  <si>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</si>
  <si>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</si>
  <si>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</si>
  <si>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</si>
  <si>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</si>
  <si>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</si>
  <si>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</si>
  <si>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</si>
  <si>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</si>
  <si>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</si>
  <si>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</si>
  <si>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</si>
  <si>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</si>
  <si>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</si>
  <si>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</si>
  <si>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</si>
  <si>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</si>
  <si>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</si>
  <si>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</si>
  <si>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</si>
  <si>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</si>
  <si>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</si>
  <si>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</si>
  <si>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1088.HK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</si>
  <si>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</si>
  <si>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</si>
  <si>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</si>
  <si>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</si>
  <si>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</si>
  <si>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</si>
  <si>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</si>
  <si>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</si>
  <si>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</si>
  <si>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</si>
  <si>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</si>
  <si>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</si>
  <si>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</si>
  <si>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</si>
  <si>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</si>
  <si>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</si>
  <si>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</si>
  <si>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</si>
  <si>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</si>
  <si>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</si>
  <si>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</si>
  <si>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</si>
  <si>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</si>
  <si>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</si>
  <si>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</si>
  <si>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</si>
  <si>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</si>
  <si>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</si>
  <si>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</si>
  <si>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</si>
  <si>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1088.HK owner-FCF component DCF: base case (millions, CNY)</t>
  </si>
  <si>
    <t xml:space="preserve">1088.HK owner-FCF component DCF: bull case (millions, CNY)</t>
  </si>
  <si>
    <t xml:space="preserve">1088.HK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</si>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</sst>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44.22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248746</v>
      </c>
      <c r="C2" s="0" t="n">
        <v>-160460</v>
      </c>
      <c r="D2" s="0" t="n">
        <v>88286</v>
      </c>
      <c r="E2" s="0" t="n">
        <v>35.5</v>
      </c>
      <c r="F2" s="0" t="n">
        <v>76504</v>
      </c>
      <c r="G2" s="0" t="n">
        <v>30.8</v>
      </c>
      <c r="H2" s="0" t="n">
        <v>101844</v>
      </c>
      <c r="I2" s="0" t="n">
        <v>47795</v>
      </c>
      <c r="J2" s="0" t="n">
        <v>19.2</v>
      </c>
      <c r="K2" s="0" t="n">
        <v>2.403</v>
      </c>
      <c r="L2" s="0" t="n">
        <v>95152</v>
      </c>
      <c r="M2" s="0" t="n">
        <v>19602</v>
      </c>
      <c r="N2" s="0" t="n">
        <v>75550</v>
      </c>
      <c r="O2" s="0" t="n">
        <v>305541</v>
      </c>
      <c r="P2" s="0" t="n">
        <v>571602</v>
      </c>
      <c r="Q2" s="0" t="n">
        <v>192497</v>
      </c>
      <c r="R2" s="0" t="n">
        <v>94853</v>
      </c>
      <c r="S2" s="0" t="n">
        <v>71872</v>
      </c>
      <c r="T2" s="0" t="n">
        <v>19890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264101</v>
      </c>
      <c r="C3" s="0" t="n">
        <v>-173677</v>
      </c>
      <c r="D3" s="0" t="n">
        <v>90424</v>
      </c>
      <c r="E3" s="0" t="n">
        <v>34.2</v>
      </c>
      <c r="F3" s="0" t="n">
        <v>74083</v>
      </c>
      <c r="G3" s="0" t="n">
        <v>28.1</v>
      </c>
      <c r="H3" s="0" t="n">
        <v>97811</v>
      </c>
      <c r="I3" s="0" t="n">
        <v>44137</v>
      </c>
      <c r="J3" s="0" t="n">
        <v>16.7</v>
      </c>
      <c r="K3" s="0" t="n">
        <v>2.219</v>
      </c>
      <c r="L3" s="0" t="n">
        <v>88248</v>
      </c>
      <c r="M3" s="0" t="n">
        <v>19385</v>
      </c>
      <c r="N3" s="0" t="n">
        <v>68863</v>
      </c>
      <c r="O3" s="0" t="n">
        <v>331693</v>
      </c>
      <c r="P3" s="0" t="n">
        <v>591626</v>
      </c>
      <c r="Q3" s="0" t="n">
        <v>182789</v>
      </c>
      <c r="R3" s="0" t="n">
        <v>59360</v>
      </c>
      <c r="S3" s="0" t="n">
        <v>61863</v>
      </c>
      <c r="T3" s="0" t="n">
        <v>19890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241871</v>
      </c>
      <c r="C4" s="0" t="n">
        <v>-164979</v>
      </c>
      <c r="D4" s="0" t="n">
        <v>76892</v>
      </c>
      <c r="E4" s="0" t="n">
        <v>31.8</v>
      </c>
      <c r="F4" s="0" t="n">
        <v>67046</v>
      </c>
      <c r="G4" s="0" t="n">
        <v>27.7</v>
      </c>
      <c r="H4" s="0" t="n">
        <v>87425</v>
      </c>
      <c r="I4" s="0" t="n">
        <v>41707</v>
      </c>
      <c r="J4" s="0" t="n">
        <v>17.2</v>
      </c>
      <c r="K4" s="0" t="n">
        <v>2.097</v>
      </c>
      <c r="L4" s="0" t="n">
        <v>63106</v>
      </c>
      <c r="M4" s="0" t="n">
        <v>18133</v>
      </c>
      <c r="N4" s="0" t="n">
        <v>44973</v>
      </c>
      <c r="O4" s="0" t="n">
        <v>356077</v>
      </c>
      <c r="P4" s="0" t="n">
        <v>563083</v>
      </c>
      <c r="Q4" s="0" t="n">
        <v>142865</v>
      </c>
      <c r="R4" s="0" t="n">
        <v>48884</v>
      </c>
      <c r="S4" s="0" t="n">
        <v>41827</v>
      </c>
      <c r="T4" s="0" t="n">
        <v>19890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233263</v>
      </c>
      <c r="C5" s="0" t="n">
        <v>-162374</v>
      </c>
      <c r="D5" s="0" t="n">
        <v>70889</v>
      </c>
      <c r="E5" s="0" t="n">
        <v>30.4</v>
      </c>
      <c r="F5" s="0" t="n">
        <v>59941</v>
      </c>
      <c r="G5" s="0" t="n">
        <v>25.7</v>
      </c>
      <c r="H5" s="0" t="n">
        <v>79926</v>
      </c>
      <c r="I5" s="0" t="n">
        <v>35849</v>
      </c>
      <c r="J5" s="0" t="n">
        <v>15.4</v>
      </c>
      <c r="K5" s="0" t="n">
        <v>1.803</v>
      </c>
      <c r="L5" s="0" t="n">
        <v>81289</v>
      </c>
      <c r="M5" s="0" t="n">
        <v>20030</v>
      </c>
      <c r="N5" s="0" t="n">
        <v>61259</v>
      </c>
      <c r="O5" s="0" t="n">
        <v>364203</v>
      </c>
      <c r="P5" s="0" t="n">
        <v>562904</v>
      </c>
      <c r="Q5" s="0" t="n">
        <v>133317</v>
      </c>
      <c r="R5" s="0" t="n">
        <v>63187</v>
      </c>
      <c r="S5" s="0" t="n">
        <v>112880</v>
      </c>
      <c r="T5" s="0" t="n">
        <v>19890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335216</v>
      </c>
      <c r="C6" s="0" t="n">
        <v>-239156</v>
      </c>
      <c r="D6" s="0" t="n">
        <v>96060</v>
      </c>
      <c r="E6" s="0" t="n">
        <v>28.7</v>
      </c>
      <c r="F6" s="0" t="n">
        <v>79261</v>
      </c>
      <c r="G6" s="0" t="n">
        <v>23.6</v>
      </c>
      <c r="H6" s="0" t="n">
        <v>100806</v>
      </c>
      <c r="I6" s="0" t="n">
        <v>51607</v>
      </c>
      <c r="J6" s="0" t="n">
        <v>15.4</v>
      </c>
      <c r="K6" s="0" t="n">
        <v>2.597</v>
      </c>
      <c r="L6" s="0" t="n">
        <v>94575</v>
      </c>
      <c r="M6" s="0" t="n">
        <v>23236</v>
      </c>
      <c r="N6" s="0" t="n">
        <v>71339</v>
      </c>
      <c r="O6" s="0" t="n">
        <v>380038</v>
      </c>
      <c r="P6" s="0" t="n">
        <v>610597</v>
      </c>
      <c r="Q6" s="0" t="n">
        <v>161376</v>
      </c>
      <c r="R6" s="0" t="n">
        <v>63979</v>
      </c>
      <c r="S6" s="0" t="n">
        <v>156706</v>
      </c>
      <c r="T6" s="0" t="n">
        <v>19869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344533</v>
      </c>
      <c r="C7" s="0" t="n">
        <v>-226624</v>
      </c>
      <c r="D7" s="0" t="n">
        <v>117909</v>
      </c>
      <c r="E7" s="0" t="n">
        <v>34.2</v>
      </c>
      <c r="F7" s="0" t="n">
        <v>100513</v>
      </c>
      <c r="G7" s="0" t="n">
        <v>29.2</v>
      </c>
      <c r="H7" s="0" t="n">
        <v>123761</v>
      </c>
      <c r="I7" s="0" t="n">
        <v>72903</v>
      </c>
      <c r="J7" s="0" t="n">
        <v>21.2</v>
      </c>
      <c r="K7" s="0" t="n">
        <v>3.669</v>
      </c>
      <c r="L7" s="0" t="n">
        <v>109734</v>
      </c>
      <c r="M7" s="0" t="n">
        <v>26865</v>
      </c>
      <c r="N7" s="0" t="n">
        <v>82869</v>
      </c>
      <c r="O7" s="0" t="n">
        <v>396937</v>
      </c>
      <c r="P7" s="0" t="n">
        <v>625178</v>
      </c>
      <c r="Q7" s="0" t="n">
        <v>162456</v>
      </c>
      <c r="R7" s="0" t="n">
        <v>56263</v>
      </c>
      <c r="S7" s="0" t="n">
        <v>131458</v>
      </c>
      <c r="T7" s="0" t="n">
        <v>19869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343074</v>
      </c>
      <c r="C8" s="0" t="n">
        <v>-232537</v>
      </c>
      <c r="D8" s="0" t="n">
        <v>110537</v>
      </c>
      <c r="E8" s="0" t="n">
        <v>32.2</v>
      </c>
      <c r="F8" s="0" t="n">
        <v>93259</v>
      </c>
      <c r="G8" s="0" t="n">
        <v>27.2</v>
      </c>
      <c r="H8" s="0" t="n">
        <v>118138</v>
      </c>
      <c r="I8" s="0" t="n">
        <v>64625</v>
      </c>
      <c r="J8" s="0" t="n">
        <v>18.8</v>
      </c>
      <c r="K8" s="0" t="n">
        <v>3.253</v>
      </c>
      <c r="L8" s="0" t="n">
        <v>89687</v>
      </c>
      <c r="M8" s="0" t="n">
        <v>36103</v>
      </c>
      <c r="N8" s="0" t="n">
        <v>53584</v>
      </c>
      <c r="O8" s="0" t="n">
        <v>411478</v>
      </c>
      <c r="P8" s="0" t="n">
        <v>633412</v>
      </c>
      <c r="Q8" s="0" t="n">
        <v>151761</v>
      </c>
      <c r="R8" s="0" t="n">
        <v>38862</v>
      </c>
      <c r="S8" s="0" t="n">
        <v>108174</v>
      </c>
      <c r="T8" s="0" t="n">
        <v>19869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338375</v>
      </c>
      <c r="C9" s="0" t="n">
        <v>-236555</v>
      </c>
      <c r="D9" s="0" t="n">
        <v>101820</v>
      </c>
      <c r="E9" s="0" t="n">
        <v>30.1</v>
      </c>
      <c r="F9" s="0" t="n">
        <v>90317</v>
      </c>
      <c r="G9" s="0" t="n">
        <v>26.7</v>
      </c>
      <c r="H9" s="0" t="n">
        <v>114572</v>
      </c>
      <c r="I9" s="0" t="n">
        <v>62421</v>
      </c>
      <c r="J9" s="0" t="n">
        <v>18.4</v>
      </c>
      <c r="K9" s="0" t="n">
        <v>3.142</v>
      </c>
      <c r="L9" s="0" t="n">
        <v>93348</v>
      </c>
      <c r="M9" s="0" t="n">
        <v>36138</v>
      </c>
      <c r="N9" s="0" t="n">
        <v>57210</v>
      </c>
      <c r="O9" s="0" t="n">
        <v>429653</v>
      </c>
      <c r="P9" s="0" t="n">
        <v>661436</v>
      </c>
      <c r="Q9" s="0" t="n">
        <v>154116</v>
      </c>
      <c r="R9" s="0" t="n">
        <v>37495</v>
      </c>
      <c r="S9" s="0" t="n">
        <v>65074</v>
      </c>
      <c r="T9" s="0" t="n">
        <v>19869</v>
      </c>
      <c r="U9" s="0" t="n">
        <v>0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294916</v>
      </c>
      <c r="C10" s="0" t="n">
        <v>-206720</v>
      </c>
      <c r="D10" s="0" t="n">
        <v>88196</v>
      </c>
      <c r="E10" s="0" t="n">
        <v>29.9</v>
      </c>
      <c r="F10" s="0" t="n">
        <v>81490</v>
      </c>
      <c r="G10" s="0" t="n">
        <v>27.6</v>
      </c>
      <c r="H10" s="0" t="n">
        <v>105928</v>
      </c>
      <c r="I10" s="0" t="n">
        <v>54218</v>
      </c>
      <c r="J10" s="0" t="n">
        <v>18.4</v>
      </c>
      <c r="K10" s="0" t="n">
        <v>2.729</v>
      </c>
      <c r="L10" s="0" t="n">
        <v>75059</v>
      </c>
      <c r="M10" s="0" t="n">
        <v>46674</v>
      </c>
      <c r="N10" s="0" t="n">
        <v>28385</v>
      </c>
      <c r="O10" s="0" t="n">
        <v>412576</v>
      </c>
      <c r="P10" s="0" t="n">
        <v>631777</v>
      </c>
      <c r="Q10" s="0" t="n">
        <v>146310</v>
      </c>
      <c r="R10" s="0" t="n">
        <v>35871</v>
      </c>
      <c r="S10" s="0" t="n">
        <v>23288</v>
      </c>
      <c r="T10" s="0" t="n">
        <v>19869</v>
      </c>
      <c r="U10" s="0" t="n">
        <v>0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44.22</v>
      </c>
    </row>
    <row r="3" customFormat="false" ht="15" hidden="false" customHeight="false" outlineLevel="0" collapsed="false">
      <c r="A3" s="0" t="s">
        <v>76</v>
      </c>
      <c r="B3" s="3" t="n">
        <v>21689</v>
      </c>
    </row>
    <row r="4" customFormat="false" ht="15" hidden="false" customHeight="false" outlineLevel="0" collapsed="false">
      <c r="A4" s="0" t="s">
        <v>77</v>
      </c>
      <c r="B4" s="3" t="n">
        <v>34745</v>
      </c>
    </row>
    <row r="5" customFormat="false" ht="15" hidden="false" customHeight="false" outlineLevel="0" collapsed="false">
      <c r="A5" s="0" t="s">
        <v>78</v>
      </c>
      <c r="B5" s="3" t="n">
        <v>52293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370000</v>
      </c>
    </row>
    <row r="8" customFormat="false" ht="15" hidden="false" customHeight="false" outlineLevel="0" collapsed="false">
      <c r="A8" s="0" t="s">
        <v>81</v>
      </c>
      <c r="B8" s="3" t="s">
        <v>82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1.1722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-4</v>
      </c>
      <c r="D13" s="3" t="n">
        <v>-3</v>
      </c>
      <c r="E13" s="3" t="n">
        <v>-2</v>
      </c>
      <c r="F13" s="3" t="n">
        <v>-1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98</v>
      </c>
      <c r="C14" s="3" t="n">
        <v>32</v>
      </c>
      <c r="D14" s="3" t="n">
        <v>31.5</v>
      </c>
      <c r="E14" s="3" t="n">
        <v>31</v>
      </c>
      <c r="F14" s="3" t="n">
        <v>30.8</v>
      </c>
      <c r="G14" s="3" t="n">
        <v>30.6</v>
      </c>
      <c r="H14" s="3" t="n">
        <v>30.5</v>
      </c>
      <c r="I14" s="3" t="n">
        <v>30.5</v>
      </c>
      <c r="J14" s="3" t="n">
        <v>30.5</v>
      </c>
      <c r="K14" s="3" t="n">
        <v>30.5</v>
      </c>
      <c r="L14" s="3" t="n">
        <v>30.5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9.3</v>
      </c>
      <c r="D17" s="3" t="n">
        <v>9.5</v>
      </c>
      <c r="E17" s="3" t="n">
        <v>9.7</v>
      </c>
      <c r="F17" s="3" t="n">
        <v>9.9</v>
      </c>
      <c r="G17" s="3" t="n">
        <v>10</v>
      </c>
      <c r="H17" s="3" t="n">
        <v>10</v>
      </c>
      <c r="I17" s="3" t="n">
        <v>10</v>
      </c>
      <c r="J17" s="3" t="n">
        <v>10</v>
      </c>
      <c r="K17" s="3" t="n">
        <v>10</v>
      </c>
      <c r="L17" s="3" t="n">
        <v>10</v>
      </c>
    </row>
    <row r="18" customFormat="false" ht="15" hidden="false" customHeight="false" outlineLevel="0" collapsed="false">
      <c r="A18" s="0" t="s">
        <v>102</v>
      </c>
      <c r="C18" s="3" t="n">
        <v>15.5</v>
      </c>
      <c r="D18" s="3" t="n">
        <v>15.5</v>
      </c>
      <c r="E18" s="3" t="n">
        <v>15</v>
      </c>
      <c r="F18" s="3" t="n">
        <v>14.5</v>
      </c>
      <c r="G18" s="3" t="n">
        <v>14</v>
      </c>
      <c r="H18" s="3" t="n">
        <v>13.5</v>
      </c>
      <c r="I18" s="3" t="n">
        <v>13.5</v>
      </c>
      <c r="J18" s="3" t="n">
        <v>13.5</v>
      </c>
      <c r="K18" s="3" t="n">
        <v>13.5</v>
      </c>
      <c r="L18" s="3" t="n">
        <v>13.5</v>
      </c>
    </row>
    <row r="19" customFormat="false" ht="15" hidden="false" customHeight="false" outlineLevel="0" collapsed="false">
      <c r="A19" s="0" t="s">
        <v>103</v>
      </c>
      <c r="C19" s="3" t="n">
        <v>35.5</v>
      </c>
      <c r="D19" s="3" t="n">
        <v>35.5</v>
      </c>
      <c r="E19" s="3" t="n">
        <v>35.5</v>
      </c>
      <c r="F19" s="3" t="n">
        <v>35.5</v>
      </c>
      <c r="G19" s="3" t="n">
        <v>35.5</v>
      </c>
      <c r="H19" s="3" t="n">
        <v>35.5</v>
      </c>
      <c r="I19" s="3" t="n">
        <v>35.5</v>
      </c>
      <c r="J19" s="3" t="n">
        <v>35.5</v>
      </c>
      <c r="K19" s="3" t="n">
        <v>35.5</v>
      </c>
      <c r="L19" s="3" t="n">
        <v>35.5</v>
      </c>
    </row>
    <row r="20" customFormat="false" ht="15" hidden="false" customHeight="false" outlineLevel="0" collapsed="false">
      <c r="A20" s="0" t="s">
        <v>104</v>
      </c>
      <c r="B20" s="3" t="n">
        <v>7.5</v>
      </c>
    </row>
    <row r="21" customFormat="false" ht="15" hidden="false" customHeight="false" outlineLevel="0" collapsed="false">
      <c r="A21" s="0" t="s">
        <v>105</v>
      </c>
      <c r="B21" s="3" t="n">
        <v>0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</v>
      </c>
      <c r="D27" s="3" t="n">
        <v>2.5</v>
      </c>
      <c r="E27" s="3" t="n">
        <v>2</v>
      </c>
      <c r="F27" s="3" t="n">
        <v>2</v>
      </c>
      <c r="G27" s="3" t="n">
        <v>1.5</v>
      </c>
      <c r="H27" s="3" t="n">
        <v>1.5</v>
      </c>
      <c r="I27" s="3" t="n">
        <v>1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98</v>
      </c>
      <c r="C28" s="3" t="n">
        <v>34</v>
      </c>
      <c r="D28" s="3" t="n">
        <v>33.8</v>
      </c>
      <c r="E28" s="3" t="n">
        <v>33.6</v>
      </c>
      <c r="F28" s="3" t="n">
        <v>33.4</v>
      </c>
      <c r="G28" s="3" t="n">
        <v>33.2</v>
      </c>
      <c r="H28" s="3" t="n">
        <v>33</v>
      </c>
      <c r="I28" s="3" t="n">
        <v>33</v>
      </c>
      <c r="J28" s="3" t="n">
        <v>33</v>
      </c>
      <c r="K28" s="3" t="n">
        <v>33</v>
      </c>
      <c r="L28" s="3" t="n">
        <v>33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9</v>
      </c>
      <c r="D31" s="3" t="n">
        <v>9.1</v>
      </c>
      <c r="E31" s="3" t="n">
        <v>9.2</v>
      </c>
      <c r="F31" s="3" t="n">
        <v>9.3</v>
      </c>
      <c r="G31" s="3" t="n">
        <v>9.4</v>
      </c>
      <c r="H31" s="3" t="n">
        <v>9.5</v>
      </c>
      <c r="I31" s="3" t="n">
        <v>9.5</v>
      </c>
      <c r="J31" s="3" t="n">
        <v>9.5</v>
      </c>
      <c r="K31" s="3" t="n">
        <v>9.5</v>
      </c>
      <c r="L31" s="3" t="n">
        <v>9.5</v>
      </c>
    </row>
    <row r="32" customFormat="false" ht="15" hidden="false" customHeight="false" outlineLevel="0" collapsed="false">
      <c r="A32" s="0" t="s">
        <v>102</v>
      </c>
      <c r="C32" s="3" t="n">
        <v>15</v>
      </c>
      <c r="D32" s="3" t="n">
        <v>14.5</v>
      </c>
      <c r="E32" s="3" t="n">
        <v>14</v>
      </c>
      <c r="F32" s="3" t="n">
        <v>13.5</v>
      </c>
      <c r="G32" s="3" t="n">
        <v>13</v>
      </c>
      <c r="H32" s="3" t="n">
        <v>12.5</v>
      </c>
      <c r="I32" s="3" t="n">
        <v>12</v>
      </c>
      <c r="J32" s="3" t="n">
        <v>11.5</v>
      </c>
      <c r="K32" s="3" t="n">
        <v>11.5</v>
      </c>
      <c r="L32" s="3" t="n">
        <v>11.5</v>
      </c>
    </row>
    <row r="33" customFormat="false" ht="15" hidden="false" customHeight="false" outlineLevel="0" collapsed="false">
      <c r="A33" s="0" t="s">
        <v>103</v>
      </c>
      <c r="C33" s="3" t="n">
        <v>35.5</v>
      </c>
      <c r="D33" s="3" t="n">
        <v>35.5</v>
      </c>
      <c r="E33" s="3" t="n">
        <v>35.5</v>
      </c>
      <c r="F33" s="3" t="n">
        <v>35.5</v>
      </c>
      <c r="G33" s="3" t="n">
        <v>35.5</v>
      </c>
      <c r="H33" s="3" t="n">
        <v>35.5</v>
      </c>
      <c r="I33" s="3" t="n">
        <v>35.5</v>
      </c>
      <c r="J33" s="3" t="n">
        <v>35.5</v>
      </c>
      <c r="K33" s="3" t="n">
        <v>35.5</v>
      </c>
      <c r="L33" s="3" t="n">
        <v>35.5</v>
      </c>
    </row>
    <row r="34" customFormat="false" ht="15" hidden="false" customHeight="false" outlineLevel="0" collapsed="false">
      <c r="A34" s="0" t="s">
        <v>104</v>
      </c>
      <c r="B34" s="3" t="n">
        <v>7.5</v>
      </c>
    </row>
    <row r="35" customFormat="false" ht="15" hidden="false" customHeight="false" outlineLevel="0" collapsed="false">
      <c r="A35" s="0" t="s">
        <v>105</v>
      </c>
      <c r="B35" s="3" t="n">
        <v>1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6</v>
      </c>
      <c r="D41" s="3" t="n">
        <v>5</v>
      </c>
      <c r="E41" s="3" t="n">
        <v>4</v>
      </c>
      <c r="F41" s="3" t="n">
        <v>3</v>
      </c>
      <c r="G41" s="3" t="n">
        <v>3</v>
      </c>
      <c r="H41" s="3" t="n">
        <v>2.5</v>
      </c>
      <c r="I41" s="3" t="n">
        <v>2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98</v>
      </c>
      <c r="C42" s="3" t="n">
        <v>35.5</v>
      </c>
      <c r="D42" s="3" t="n">
        <v>35.5</v>
      </c>
      <c r="E42" s="3" t="n">
        <v>35.3</v>
      </c>
      <c r="F42" s="3" t="n">
        <v>35.2</v>
      </c>
      <c r="G42" s="3" t="n">
        <v>35</v>
      </c>
      <c r="H42" s="3" t="n">
        <v>35</v>
      </c>
      <c r="I42" s="3" t="n">
        <v>35</v>
      </c>
      <c r="J42" s="3" t="n">
        <v>35</v>
      </c>
      <c r="K42" s="3" t="n">
        <v>35</v>
      </c>
      <c r="L42" s="3" t="n">
        <v>35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9</v>
      </c>
      <c r="D45" s="3" t="n">
        <v>9</v>
      </c>
      <c r="E45" s="3" t="n">
        <v>9.1</v>
      </c>
      <c r="F45" s="3" t="n">
        <v>9.2</v>
      </c>
      <c r="G45" s="3" t="n">
        <v>9.3</v>
      </c>
      <c r="H45" s="3" t="n">
        <v>9.4</v>
      </c>
      <c r="I45" s="3" t="n">
        <v>9.5</v>
      </c>
      <c r="J45" s="3" t="n">
        <v>9.5</v>
      </c>
      <c r="K45" s="3" t="n">
        <v>9.5</v>
      </c>
      <c r="L45" s="3" t="n">
        <v>9.5</v>
      </c>
    </row>
    <row r="46" customFormat="false" ht="15" hidden="false" customHeight="false" outlineLevel="0" collapsed="false">
      <c r="A46" s="0" t="s">
        <v>102</v>
      </c>
      <c r="C46" s="3" t="n">
        <v>14</v>
      </c>
      <c r="D46" s="3" t="n">
        <v>13.5</v>
      </c>
      <c r="E46" s="3" t="n">
        <v>13</v>
      </c>
      <c r="F46" s="3" t="n">
        <v>12</v>
      </c>
      <c r="G46" s="3" t="n">
        <v>11.5</v>
      </c>
      <c r="H46" s="3" t="n">
        <v>11</v>
      </c>
      <c r="I46" s="3" t="n">
        <v>10.5</v>
      </c>
      <c r="J46" s="3" t="n">
        <v>10</v>
      </c>
      <c r="K46" s="3" t="n">
        <v>10</v>
      </c>
      <c r="L46" s="3" t="n">
        <v>10</v>
      </c>
    </row>
    <row r="47" customFormat="false" ht="15" hidden="false" customHeight="false" outlineLevel="0" collapsed="false">
      <c r="A47" s="0" t="s">
        <v>103</v>
      </c>
      <c r="C47" s="3" t="n">
        <v>35.5</v>
      </c>
      <c r="D47" s="3" t="n">
        <v>35.5</v>
      </c>
      <c r="E47" s="3" t="n">
        <v>35.5</v>
      </c>
      <c r="F47" s="3" t="n">
        <v>35.5</v>
      </c>
      <c r="G47" s="3" t="n">
        <v>35.5</v>
      </c>
      <c r="H47" s="3" t="n">
        <v>35.5</v>
      </c>
      <c r="I47" s="3" t="n">
        <v>35.5</v>
      </c>
      <c r="J47" s="3" t="n">
        <v>35.5</v>
      </c>
      <c r="K47" s="3" t="n">
        <v>35.5</v>
      </c>
      <c r="L47" s="3" t="n">
        <v>35.5</v>
      </c>
    </row>
    <row r="48" customFormat="false" ht="15" hidden="false" customHeight="false" outlineLevel="0" collapsed="false">
      <c r="A48" s="0" t="s">
        <v>104</v>
      </c>
      <c r="B48" s="3" t="n">
        <v>7.5</v>
      </c>
    </row>
    <row r="49" customFormat="false" ht="15" hidden="false" customHeight="false" outlineLevel="0" collapsed="false">
      <c r="A49" s="0" t="s">
        <v>105</v>
      </c>
      <c r="B49" s="3" t="n">
        <v>2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-4</v>
      </c>
      <c r="D5" s="4" t="n">
        <f aca="false">Assumptions!D13</f>
        <v>-3</v>
      </c>
      <c r="E5" s="4" t="n">
        <f aca="false">Assumptions!E13</f>
        <v>-2</v>
      </c>
      <c r="F5" s="4" t="n">
        <f aca="false">Assumptions!F13</f>
        <v>-1</v>
      </c>
      <c r="G5" s="4" t="n">
        <f aca="false">Assumptions!G13</f>
        <v>0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370000</v>
      </c>
      <c r="C6" s="0" t="n">
        <f aca="false">B6*(1+C5/100)</f>
        <v>355200</v>
      </c>
      <c r="D6" s="0" t="n">
        <f aca="false">C6*(1+D5/100)</f>
        <v>344544</v>
      </c>
      <c r="E6" s="0" t="n">
        <f aca="false">D6*(1+E5/100)</f>
        <v>337653.12</v>
      </c>
      <c r="F6" s="0" t="n">
        <f aca="false">E6*(1+F5/100)</f>
        <v>334276.5888</v>
      </c>
      <c r="G6" s="0" t="n">
        <f aca="false">F6*(1+G5/100)</f>
        <v>334276.5888</v>
      </c>
      <c r="H6" s="0" t="n">
        <f aca="false">G6*(1+H5/100)</f>
        <v>334276.5888</v>
      </c>
      <c r="I6" s="0" t="n">
        <f aca="false">H6*(1+I5/100)</f>
        <v>334276.5888</v>
      </c>
      <c r="J6" s="0" t="n">
        <f aca="false">I6*(1+J5/100)</f>
        <v>334276.5888</v>
      </c>
      <c r="K6" s="0" t="n">
        <f aca="false">J6*(1+K5/100)</f>
        <v>334276.5888</v>
      </c>
      <c r="L6" s="0" t="n">
        <f aca="false">K6*(1+L5/100)</f>
        <v>334276.5888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32</v>
      </c>
      <c r="D7" s="4" t="n">
        <f aca="false">Assumptions!D14</f>
        <v>31.5</v>
      </c>
      <c r="E7" s="4" t="n">
        <f aca="false">Assumptions!E14</f>
        <v>31</v>
      </c>
      <c r="F7" s="4" t="n">
        <f aca="false">Assumptions!F14</f>
        <v>30.8</v>
      </c>
      <c r="G7" s="4" t="n">
        <f aca="false">Assumptions!G14</f>
        <v>30.6</v>
      </c>
      <c r="H7" s="4" t="n">
        <f aca="false">Assumptions!H14</f>
        <v>30.5</v>
      </c>
      <c r="I7" s="4" t="n">
        <f aca="false">Assumptions!I14</f>
        <v>30.5</v>
      </c>
      <c r="J7" s="4" t="n">
        <f aca="false">Assumptions!J14</f>
        <v>30.5</v>
      </c>
      <c r="K7" s="4" t="n">
        <f aca="false">Assumptions!K14</f>
        <v>30.5</v>
      </c>
      <c r="L7" s="4" t="n">
        <f aca="false">Assumptions!L14</f>
        <v>30.5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113664</v>
      </c>
      <c r="D8" s="0" t="n">
        <f aca="false">D6*D7/100</f>
        <v>108531.36</v>
      </c>
      <c r="E8" s="0" t="n">
        <f aca="false">E6*E7/100</f>
        <v>104672.4672</v>
      </c>
      <c r="F8" s="0" t="n">
        <f aca="false">F6*F7/100</f>
        <v>102957.1893504</v>
      </c>
      <c r="G8" s="0" t="n">
        <f aca="false">G6*G7/100</f>
        <v>102288.6361728</v>
      </c>
      <c r="H8" s="0" t="n">
        <f aca="false">H6*H7/100</f>
        <v>101954.359584</v>
      </c>
      <c r="I8" s="0" t="n">
        <f aca="false">I6*I7/100</f>
        <v>101954.359584</v>
      </c>
      <c r="J8" s="0" t="n">
        <f aca="false">J6*J7/100</f>
        <v>101954.359584</v>
      </c>
      <c r="K8" s="0" t="n">
        <f aca="false">K6*K7/100</f>
        <v>101954.359584</v>
      </c>
      <c r="L8" s="0" t="n">
        <f aca="false">L6*L7/100</f>
        <v>101954.359584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113664</v>
      </c>
      <c r="D11" s="0" t="n">
        <f aca="false">D8+D10+D24</f>
        <v>108531.36</v>
      </c>
      <c r="E11" s="0" t="n">
        <f aca="false">E8+E10+E24</f>
        <v>104672.4672</v>
      </c>
      <c r="F11" s="0" t="n">
        <f aca="false">F8+F10+F24</f>
        <v>102957.1893504</v>
      </c>
      <c r="G11" s="0" t="n">
        <f aca="false">G8+G10+G24</f>
        <v>102288.6361728</v>
      </c>
      <c r="H11" s="0" t="n">
        <f aca="false">H8+H10+H24</f>
        <v>101954.359584</v>
      </c>
      <c r="I11" s="0" t="n">
        <f aca="false">I8+I10+I24</f>
        <v>101954.359584</v>
      </c>
      <c r="J11" s="0" t="n">
        <f aca="false">J8+J10+J24</f>
        <v>101954.359584</v>
      </c>
      <c r="K11" s="0" t="n">
        <f aca="false">K8+K10+K24</f>
        <v>101954.359584</v>
      </c>
      <c r="L11" s="0" t="n">
        <f aca="false">L8+L10+L24</f>
        <v>101954.359584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-33033.6</v>
      </c>
      <c r="D12" s="4" t="n">
        <f aca="false">-D6*Assumptions!D17/100</f>
        <v>-32731.68</v>
      </c>
      <c r="E12" s="4" t="n">
        <f aca="false">-E6*Assumptions!E17/100</f>
        <v>-32752.35264</v>
      </c>
      <c r="F12" s="4" t="n">
        <f aca="false">-F6*Assumptions!F17/100</f>
        <v>-33093.3822912</v>
      </c>
      <c r="G12" s="4" t="n">
        <f aca="false">-G6*Assumptions!G17/100</f>
        <v>-33427.65888</v>
      </c>
      <c r="H12" s="4" t="n">
        <f aca="false">-H6*Assumptions!H17/100</f>
        <v>-33427.65888</v>
      </c>
      <c r="I12" s="4" t="n">
        <f aca="false">-I6*Assumptions!I17/100</f>
        <v>-33427.65888</v>
      </c>
      <c r="J12" s="4" t="n">
        <f aca="false">-J6*Assumptions!J17/100</f>
        <v>-33427.65888</v>
      </c>
      <c r="K12" s="4" t="n">
        <f aca="false">-K6*Assumptions!K17/100</f>
        <v>-33427.65888</v>
      </c>
      <c r="L12" s="4" t="n">
        <f aca="false">-L6*Assumptions!L17/100</f>
        <v>-33427.65888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80630.4</v>
      </c>
      <c r="D13" s="0" t="n">
        <f aca="false">D11+D12</f>
        <v>75799.68</v>
      </c>
      <c r="E13" s="0" t="n">
        <f aca="false">E11+E12</f>
        <v>71920.11456</v>
      </c>
      <c r="F13" s="0" t="n">
        <f aca="false">F11+F12</f>
        <v>69863.8070592</v>
      </c>
      <c r="G13" s="0" t="n">
        <f aca="false">G11+G12</f>
        <v>68860.9772928</v>
      </c>
      <c r="H13" s="0" t="n">
        <f aca="false">H11+H12</f>
        <v>68526.700704</v>
      </c>
      <c r="I13" s="0" t="n">
        <f aca="false">I11+I12</f>
        <v>68526.700704</v>
      </c>
      <c r="J13" s="0" t="n">
        <f aca="false">J11+J12</f>
        <v>68526.700704</v>
      </c>
      <c r="K13" s="0" t="n">
        <f aca="false">K11+K12</f>
        <v>68526.700704</v>
      </c>
      <c r="L13" s="0" t="n">
        <f aca="false">L11+L12</f>
        <v>68526.700704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35.5</v>
      </c>
      <c r="D14" s="4" t="n">
        <f aca="false">Assumptions!D19</f>
        <v>35.5</v>
      </c>
      <c r="E14" s="4" t="n">
        <f aca="false">Assumptions!E19</f>
        <v>35.5</v>
      </c>
      <c r="F14" s="4" t="n">
        <f aca="false">Assumptions!F19</f>
        <v>35.5</v>
      </c>
      <c r="G14" s="4" t="n">
        <f aca="false">Assumptions!G19</f>
        <v>35.5</v>
      </c>
      <c r="H14" s="4" t="n">
        <f aca="false">Assumptions!H19</f>
        <v>35.5</v>
      </c>
      <c r="I14" s="4" t="n">
        <f aca="false">Assumptions!I19</f>
        <v>35.5</v>
      </c>
      <c r="J14" s="4" t="n">
        <f aca="false">Assumptions!J19</f>
        <v>35.5</v>
      </c>
      <c r="K14" s="4" t="n">
        <f aca="false">Assumptions!K19</f>
        <v>35.5</v>
      </c>
      <c r="L14" s="4" t="n">
        <f aca="false">Assumptions!L19</f>
        <v>35.5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52006.608</v>
      </c>
      <c r="D15" s="0" t="n">
        <f aca="false">D13-MAX(0,D13)*D14/100</f>
        <v>48890.7936</v>
      </c>
      <c r="E15" s="0" t="n">
        <f aca="false">E13-MAX(0,E13)*E14/100</f>
        <v>46388.4738912</v>
      </c>
      <c r="F15" s="0" t="n">
        <f aca="false">F13-MAX(0,F13)*F14/100</f>
        <v>45062.155553184</v>
      </c>
      <c r="G15" s="0" t="n">
        <f aca="false">G13-MAX(0,G13)*G14/100</f>
        <v>44415.330353856</v>
      </c>
      <c r="H15" s="0" t="n">
        <f aca="false">H13-MAX(0,H13)*H14/100</f>
        <v>44199.72195408</v>
      </c>
      <c r="I15" s="0" t="n">
        <f aca="false">I13-MAX(0,I13)*I14/100</f>
        <v>44199.72195408</v>
      </c>
      <c r="J15" s="0" t="n">
        <f aca="false">J13-MAX(0,J13)*J14/100</f>
        <v>44199.72195408</v>
      </c>
      <c r="K15" s="0" t="n">
        <f aca="false">K13-MAX(0,K13)*K14/100</f>
        <v>44199.72195408</v>
      </c>
      <c r="L15" s="0" t="n">
        <f aca="false">L13-MAX(0,L13)*L14/100</f>
        <v>44199.72195408</v>
      </c>
    </row>
    <row r="16" customFormat="false" ht="15" hidden="false" customHeight="false" outlineLevel="0" collapsed="false">
      <c r="A16" s="0" t="s">
        <v>119</v>
      </c>
      <c r="C16" s="0" t="n">
        <f aca="false">-C12</f>
        <v>33033.6</v>
      </c>
      <c r="D16" s="0" t="n">
        <f aca="false">-D12</f>
        <v>32731.68</v>
      </c>
      <c r="E16" s="0" t="n">
        <f aca="false">-E12</f>
        <v>32752.35264</v>
      </c>
      <c r="F16" s="0" t="n">
        <f aca="false">-F12</f>
        <v>33093.3822912</v>
      </c>
      <c r="G16" s="0" t="n">
        <f aca="false">-G12</f>
        <v>33427.65888</v>
      </c>
      <c r="H16" s="0" t="n">
        <f aca="false">-H12</f>
        <v>33427.65888</v>
      </c>
      <c r="I16" s="0" t="n">
        <f aca="false">-I12</f>
        <v>33427.65888</v>
      </c>
      <c r="J16" s="0" t="n">
        <f aca="false">-J12</f>
        <v>33427.65888</v>
      </c>
      <c r="K16" s="0" t="n">
        <f aca="false">-K12</f>
        <v>33427.65888</v>
      </c>
      <c r="L16" s="0" t="n">
        <f aca="false">-L12</f>
        <v>33427.65888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-55056</v>
      </c>
      <c r="D17" s="4" t="n">
        <f aca="false">-D6*Assumptions!D18/100</f>
        <v>-53404.32</v>
      </c>
      <c r="E17" s="4" t="n">
        <f aca="false">-E6*Assumptions!E18/100</f>
        <v>-50647.968</v>
      </c>
      <c r="F17" s="4" t="n">
        <f aca="false">-F6*Assumptions!F18/100</f>
        <v>-48470.105376</v>
      </c>
      <c r="G17" s="4" t="n">
        <f aca="false">-G6*Assumptions!G18/100</f>
        <v>-46798.722432</v>
      </c>
      <c r="H17" s="4" t="n">
        <f aca="false">-H6*Assumptions!H18/100</f>
        <v>-45127.339488</v>
      </c>
      <c r="I17" s="4" t="n">
        <f aca="false">-I6*Assumptions!I18/100</f>
        <v>-45127.339488</v>
      </c>
      <c r="J17" s="4" t="n">
        <f aca="false">-J6*Assumptions!J18/100</f>
        <v>-45127.339488</v>
      </c>
      <c r="K17" s="4" t="n">
        <f aca="false">-K6*Assumptions!K18/100</f>
        <v>-45127.339488</v>
      </c>
      <c r="L17" s="4" t="n">
        <f aca="false">-L6*Assumptions!L18/100</f>
        <v>-45127.339488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29984.208</v>
      </c>
      <c r="D19" s="0" t="n">
        <f aca="false">D15+D16+D17+D18</f>
        <v>28218.1536</v>
      </c>
      <c r="E19" s="0" t="n">
        <f aca="false">E15+E16+E17+E18</f>
        <v>28492.8585312</v>
      </c>
      <c r="F19" s="0" t="n">
        <f aca="false">F15+F16+F17+F18</f>
        <v>29685.432468384</v>
      </c>
      <c r="G19" s="0" t="n">
        <f aca="false">G15+G16+G17+G18</f>
        <v>31044.266801856</v>
      </c>
      <c r="H19" s="0" t="n">
        <f aca="false">H15+H16+H17+H18</f>
        <v>32500.04134608</v>
      </c>
      <c r="I19" s="0" t="n">
        <f aca="false">I15+I16+I17+I18</f>
        <v>32500.04134608</v>
      </c>
      <c r="J19" s="0" t="n">
        <f aca="false">J15+J16+J17+J18</f>
        <v>32500.04134608</v>
      </c>
      <c r="K19" s="0" t="n">
        <f aca="false">K15+K16+K17+K18</f>
        <v>32500.04134608</v>
      </c>
      <c r="L19" s="0" t="n">
        <f aca="false">L15+L16+L17+L18</f>
        <v>32500.04134608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27892.2865116279</v>
      </c>
      <c r="D21" s="0" t="n">
        <f aca="false">D19*D20</f>
        <v>24418.0885667929</v>
      </c>
      <c r="E21" s="0" t="n">
        <f aca="false">E19*E20</f>
        <v>22935.6276302313</v>
      </c>
      <c r="F21" s="0" t="n">
        <f aca="false">F19*F20</f>
        <v>22228.4675589667</v>
      </c>
      <c r="G21" s="0" t="n">
        <f aca="false">G19*G20</f>
        <v>21624.1520258129</v>
      </c>
      <c r="H21" s="0" t="n">
        <f aca="false">H19*H20</f>
        <v>21058.7761407886</v>
      </c>
      <c r="I21" s="0" t="n">
        <f aca="false">I19*I20</f>
        <v>19589.5592007336</v>
      </c>
      <c r="J21" s="0" t="n">
        <f aca="false">J19*J20</f>
        <v>18222.8457681243</v>
      </c>
      <c r="K21" s="0" t="n">
        <f aca="false">K19*K20</f>
        <v>16951.4844354644</v>
      </c>
      <c r="L21" s="0" t="n">
        <f aca="false">L19*L20</f>
        <v>15768.8227306646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210690.110569207</v>
      </c>
    </row>
    <row r="31" customFormat="false" ht="15" hidden="false" customHeight="false" outlineLevel="0" collapsed="false">
      <c r="A31" s="0" t="s">
        <v>128</v>
      </c>
      <c r="B31" s="0" t="n">
        <f aca="false">L19</f>
        <v>32500.04134608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433333.8846144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390000.49615296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390000.49615296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189225.872767975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399915.983337182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417463.983337182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22.5621873423323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-0.489774144225864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22.5621873423323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216666.9423072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12.0966301310397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</v>
      </c>
      <c r="D5" s="4" t="n">
        <f aca="false">Assumptions!D27</f>
        <v>2.5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1.5</v>
      </c>
      <c r="H5" s="4" t="n">
        <f aca="false">Assumptions!H27</f>
        <v>1.5</v>
      </c>
      <c r="I5" s="4" t="n">
        <f aca="false">Assumptions!I27</f>
        <v>1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38</v>
      </c>
      <c r="B6" s="3" t="n">
        <v>370000</v>
      </c>
      <c r="C6" s="0" t="n">
        <f aca="false">B6*(1+C5/100)</f>
        <v>381100</v>
      </c>
      <c r="D6" s="0" t="n">
        <f aca="false">C6*(1+D5/100)</f>
        <v>390627.5</v>
      </c>
      <c r="E6" s="0" t="n">
        <f aca="false">D6*(1+E5/100)</f>
        <v>398440.05</v>
      </c>
      <c r="F6" s="0" t="n">
        <f aca="false">E6*(1+F5/100)</f>
        <v>406408.851</v>
      </c>
      <c r="G6" s="0" t="n">
        <f aca="false">F6*(1+G5/100)</f>
        <v>412504.983765</v>
      </c>
      <c r="H6" s="0" t="n">
        <f aca="false">G6*(1+H5/100)</f>
        <v>418692.558521475</v>
      </c>
      <c r="I6" s="0" t="n">
        <f aca="false">H6*(1+I5/100)</f>
        <v>422879.48410669</v>
      </c>
      <c r="J6" s="0" t="n">
        <f aca="false">I6*(1+J5/100)</f>
        <v>427108.278947756</v>
      </c>
      <c r="K6" s="0" t="n">
        <f aca="false">J6*(1+K5/100)</f>
        <v>431379.361737234</v>
      </c>
      <c r="L6" s="0" t="n">
        <f aca="false">K6*(1+L5/100)</f>
        <v>435693.155354606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34</v>
      </c>
      <c r="D7" s="4" t="n">
        <f aca="false">Assumptions!D28</f>
        <v>33.8</v>
      </c>
      <c r="E7" s="4" t="n">
        <f aca="false">Assumptions!E28</f>
        <v>33.6</v>
      </c>
      <c r="F7" s="4" t="n">
        <f aca="false">Assumptions!F28</f>
        <v>33.4</v>
      </c>
      <c r="G7" s="4" t="n">
        <f aca="false">Assumptions!G28</f>
        <v>33.2</v>
      </c>
      <c r="H7" s="4" t="n">
        <f aca="false">Assumptions!H28</f>
        <v>33</v>
      </c>
      <c r="I7" s="4" t="n">
        <f aca="false">Assumptions!I28</f>
        <v>33</v>
      </c>
      <c r="J7" s="4" t="n">
        <f aca="false">Assumptions!J28</f>
        <v>33</v>
      </c>
      <c r="K7" s="4" t="n">
        <f aca="false">Assumptions!K28</f>
        <v>33</v>
      </c>
      <c r="L7" s="4" t="n">
        <f aca="false">Assumptions!L28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129574</v>
      </c>
      <c r="D8" s="0" t="n">
        <f aca="false">D6*D7/100</f>
        <v>132032.095</v>
      </c>
      <c r="E8" s="0" t="n">
        <f aca="false">E6*E7/100</f>
        <v>133875.8568</v>
      </c>
      <c r="F8" s="0" t="n">
        <f aca="false">F6*F7/100</f>
        <v>135740.556234</v>
      </c>
      <c r="G8" s="0" t="n">
        <f aca="false">G6*G7/100</f>
        <v>136951.65460998</v>
      </c>
      <c r="H8" s="0" t="n">
        <f aca="false">H6*H7/100</f>
        <v>138168.544312087</v>
      </c>
      <c r="I8" s="0" t="n">
        <f aca="false">I6*I7/100</f>
        <v>139550.229755208</v>
      </c>
      <c r="J8" s="0" t="n">
        <f aca="false">J6*J7/100</f>
        <v>140945.73205276</v>
      </c>
      <c r="K8" s="0" t="n">
        <f aca="false">K6*K7/100</f>
        <v>142355.189373287</v>
      </c>
      <c r="L8" s="0" t="n">
        <f aca="false">L6*L7/100</f>
        <v>143778.74126702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129574</v>
      </c>
      <c r="D11" s="0" t="n">
        <f aca="false">D8+D10+D24</f>
        <v>132032.095</v>
      </c>
      <c r="E11" s="0" t="n">
        <f aca="false">E8+E10+E24</f>
        <v>133875.8568</v>
      </c>
      <c r="F11" s="0" t="n">
        <f aca="false">F8+F10+F24</f>
        <v>135740.556234</v>
      </c>
      <c r="G11" s="0" t="n">
        <f aca="false">G8+G10+G24</f>
        <v>136951.65460998</v>
      </c>
      <c r="H11" s="0" t="n">
        <f aca="false">H8+H10+H24</f>
        <v>138168.544312087</v>
      </c>
      <c r="I11" s="0" t="n">
        <f aca="false">I8+I10+I24</f>
        <v>139550.229755208</v>
      </c>
      <c r="J11" s="0" t="n">
        <f aca="false">J8+J10+J24</f>
        <v>140945.73205276</v>
      </c>
      <c r="K11" s="0" t="n">
        <f aca="false">K8+K10+K24</f>
        <v>142355.189373287</v>
      </c>
      <c r="L11" s="0" t="n">
        <f aca="false">L8+L10+L24</f>
        <v>143778.74126702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-34299</v>
      </c>
      <c r="D12" s="4" t="n">
        <f aca="false">-D6*Assumptions!D31/100</f>
        <v>-35547.1025</v>
      </c>
      <c r="E12" s="4" t="n">
        <f aca="false">-E6*Assumptions!E31/100</f>
        <v>-36656.4846</v>
      </c>
      <c r="F12" s="4" t="n">
        <f aca="false">-F6*Assumptions!F31/100</f>
        <v>-37796.023143</v>
      </c>
      <c r="G12" s="4" t="n">
        <f aca="false">-G6*Assumptions!G31/100</f>
        <v>-38775.46847391</v>
      </c>
      <c r="H12" s="4" t="n">
        <f aca="false">-H6*Assumptions!H31/100</f>
        <v>-39775.7930595401</v>
      </c>
      <c r="I12" s="4" t="n">
        <f aca="false">-I6*Assumptions!I31/100</f>
        <v>-40173.5509901355</v>
      </c>
      <c r="J12" s="4" t="n">
        <f aca="false">-J6*Assumptions!J31/100</f>
        <v>-40575.2865000369</v>
      </c>
      <c r="K12" s="4" t="n">
        <f aca="false">-K6*Assumptions!K31/100</f>
        <v>-40981.0393650372</v>
      </c>
      <c r="L12" s="4" t="n">
        <f aca="false">-L6*Assumptions!L31/100</f>
        <v>-41390.8497586876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95275</v>
      </c>
      <c r="D13" s="0" t="n">
        <f aca="false">D11+D12</f>
        <v>96484.9925</v>
      </c>
      <c r="E13" s="0" t="n">
        <f aca="false">E11+E12</f>
        <v>97219.3722</v>
      </c>
      <c r="F13" s="0" t="n">
        <f aca="false">F11+F12</f>
        <v>97944.533091</v>
      </c>
      <c r="G13" s="0" t="n">
        <f aca="false">G11+G12</f>
        <v>98176.18613607</v>
      </c>
      <c r="H13" s="0" t="n">
        <f aca="false">H11+H12</f>
        <v>98392.7512525466</v>
      </c>
      <c r="I13" s="0" t="n">
        <f aca="false">I11+I12</f>
        <v>99376.678765072</v>
      </c>
      <c r="J13" s="0" t="n">
        <f aca="false">J11+J12</f>
        <v>100370.445552723</v>
      </c>
      <c r="K13" s="0" t="n">
        <f aca="false">K11+K12</f>
        <v>101374.15000825</v>
      </c>
      <c r="L13" s="0" t="n">
        <f aca="false">L11+L12</f>
        <v>102387.891508332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35.5</v>
      </c>
      <c r="D14" s="4" t="n">
        <f aca="false">Assumptions!D33</f>
        <v>35.5</v>
      </c>
      <c r="E14" s="4" t="n">
        <f aca="false">Assumptions!E33</f>
        <v>35.5</v>
      </c>
      <c r="F14" s="4" t="n">
        <f aca="false">Assumptions!F33</f>
        <v>35.5</v>
      </c>
      <c r="G14" s="4" t="n">
        <f aca="false">Assumptions!G33</f>
        <v>35.5</v>
      </c>
      <c r="H14" s="4" t="n">
        <f aca="false">Assumptions!H33</f>
        <v>35.5</v>
      </c>
      <c r="I14" s="4" t="n">
        <f aca="false">Assumptions!I33</f>
        <v>35.5</v>
      </c>
      <c r="J14" s="4" t="n">
        <f aca="false">Assumptions!J33</f>
        <v>35.5</v>
      </c>
      <c r="K14" s="4" t="n">
        <f aca="false">Assumptions!K33</f>
        <v>35.5</v>
      </c>
      <c r="L14" s="4" t="n">
        <f aca="false">Assumptions!L33</f>
        <v>35.5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61452.375</v>
      </c>
      <c r="D15" s="0" t="n">
        <f aca="false">D13-MAX(0,D13)*D14/100</f>
        <v>62232.8201625</v>
      </c>
      <c r="E15" s="0" t="n">
        <f aca="false">E13-MAX(0,E13)*E14/100</f>
        <v>62706.495069</v>
      </c>
      <c r="F15" s="0" t="n">
        <f aca="false">F13-MAX(0,F13)*F14/100</f>
        <v>63174.223843695</v>
      </c>
      <c r="G15" s="0" t="n">
        <f aca="false">G13-MAX(0,G13)*G14/100</f>
        <v>63323.6400577651</v>
      </c>
      <c r="H15" s="0" t="n">
        <f aca="false">H13-MAX(0,H13)*H14/100</f>
        <v>63463.3245578926</v>
      </c>
      <c r="I15" s="0" t="n">
        <f aca="false">I13-MAX(0,I13)*I14/100</f>
        <v>64097.9578034715</v>
      </c>
      <c r="J15" s="0" t="n">
        <f aca="false">J13-MAX(0,J13)*J14/100</f>
        <v>64738.9373815062</v>
      </c>
      <c r="K15" s="0" t="n">
        <f aca="false">K13-MAX(0,K13)*K14/100</f>
        <v>65386.3267553213</v>
      </c>
      <c r="L15" s="0" t="n">
        <f aca="false">L13-MAX(0,L13)*L14/100</f>
        <v>66040.1900228745</v>
      </c>
    </row>
    <row r="16" customFormat="false" ht="15" hidden="false" customHeight="false" outlineLevel="0" collapsed="false">
      <c r="A16" s="0" t="s">
        <v>119</v>
      </c>
      <c r="C16" s="0" t="n">
        <f aca="false">-C12</f>
        <v>34299</v>
      </c>
      <c r="D16" s="0" t="n">
        <f aca="false">-D12</f>
        <v>35547.1025</v>
      </c>
      <c r="E16" s="0" t="n">
        <f aca="false">-E12</f>
        <v>36656.4846</v>
      </c>
      <c r="F16" s="0" t="n">
        <f aca="false">-F12</f>
        <v>37796.023143</v>
      </c>
      <c r="G16" s="0" t="n">
        <f aca="false">-G12</f>
        <v>38775.46847391</v>
      </c>
      <c r="H16" s="0" t="n">
        <f aca="false">-H12</f>
        <v>39775.7930595401</v>
      </c>
      <c r="I16" s="0" t="n">
        <f aca="false">-I12</f>
        <v>40173.5509901355</v>
      </c>
      <c r="J16" s="0" t="n">
        <f aca="false">-J12</f>
        <v>40575.2865000369</v>
      </c>
      <c r="K16" s="0" t="n">
        <f aca="false">-K12</f>
        <v>40981.0393650372</v>
      </c>
      <c r="L16" s="0" t="n">
        <f aca="false">-L12</f>
        <v>41390.8497586876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-57165</v>
      </c>
      <c r="D17" s="4" t="n">
        <f aca="false">-D6*Assumptions!D32/100</f>
        <v>-56640.9875</v>
      </c>
      <c r="E17" s="4" t="n">
        <f aca="false">-E6*Assumptions!E32/100</f>
        <v>-55781.607</v>
      </c>
      <c r="F17" s="4" t="n">
        <f aca="false">-F6*Assumptions!F32/100</f>
        <v>-54865.194885</v>
      </c>
      <c r="G17" s="4" t="n">
        <f aca="false">-G6*Assumptions!G32/100</f>
        <v>-53625.64788945</v>
      </c>
      <c r="H17" s="4" t="n">
        <f aca="false">-H6*Assumptions!H32/100</f>
        <v>-52336.5698151844</v>
      </c>
      <c r="I17" s="4" t="n">
        <f aca="false">-I6*Assumptions!I32/100</f>
        <v>-50745.5380928027</v>
      </c>
      <c r="J17" s="4" t="n">
        <f aca="false">-J6*Assumptions!J32/100</f>
        <v>-49117.452078992</v>
      </c>
      <c r="K17" s="4" t="n">
        <f aca="false">-K6*Assumptions!K32/100</f>
        <v>-49608.6265997819</v>
      </c>
      <c r="L17" s="4" t="n">
        <f aca="false">-L6*Assumptions!L32/100</f>
        <v>-50104.7128657797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38586.375</v>
      </c>
      <c r="D19" s="0" t="n">
        <f aca="false">D15+D16+D17+D18</f>
        <v>41138.9351625</v>
      </c>
      <c r="E19" s="0" t="n">
        <f aca="false">E15+E16+E17+E18</f>
        <v>43581.372669</v>
      </c>
      <c r="F19" s="0" t="n">
        <f aca="false">F15+F16+F17+F18</f>
        <v>46105.052101695</v>
      </c>
      <c r="G19" s="0" t="n">
        <f aca="false">G15+G16+G17+G18</f>
        <v>48473.4606422251</v>
      </c>
      <c r="H19" s="0" t="n">
        <f aca="false">H15+H16+H17+H18</f>
        <v>50902.5478022483</v>
      </c>
      <c r="I19" s="0" t="n">
        <f aca="false">I15+I16+I17+I18</f>
        <v>53525.9707008042</v>
      </c>
      <c r="J19" s="0" t="n">
        <f aca="false">J15+J16+J17+J18</f>
        <v>56196.771802551</v>
      </c>
      <c r="K19" s="0" t="n">
        <f aca="false">K15+K16+K17+K18</f>
        <v>56758.7395205766</v>
      </c>
      <c r="L19" s="0" t="n">
        <f aca="false">L15+L16+L17+L18</f>
        <v>57326.3269157823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35894.3023255814</v>
      </c>
      <c r="D21" s="0" t="n">
        <f aca="false">D19*D20</f>
        <v>35598.8622282315</v>
      </c>
      <c r="E21" s="0" t="n">
        <f aca="false">E19*E20</f>
        <v>35081.2865636485</v>
      </c>
      <c r="F21" s="0" t="n">
        <f aca="false">F19*F20</f>
        <v>34523.4874391166</v>
      </c>
      <c r="G21" s="0" t="n">
        <f aca="false">G19*G20</f>
        <v>33764.6074502255</v>
      </c>
      <c r="H21" s="0" t="n">
        <f aca="false">H19*H20</f>
        <v>32982.8921676935</v>
      </c>
      <c r="I21" s="0" t="n">
        <f aca="false">I19*I20</f>
        <v>32263.0411652263</v>
      </c>
      <c r="J21" s="0" t="n">
        <f aca="false">J19*J20</f>
        <v>31509.6554591885</v>
      </c>
      <c r="K21" s="0" t="n">
        <f aca="false">K19*K20</f>
        <v>29604.4204779352</v>
      </c>
      <c r="L21" s="0" t="n">
        <f aca="false">L19*L20</f>
        <v>27814.3857513624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329036.941028209</v>
      </c>
    </row>
    <row r="31" customFormat="false" ht="15" hidden="false" customHeight="false" outlineLevel="0" collapsed="false">
      <c r="A31" s="0" t="s">
        <v>128</v>
      </c>
      <c r="B31" s="0" t="n">
        <f aca="false">L19</f>
        <v>57326.3269157823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890762.925922156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687915.922989388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687915.922989388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333772.629016349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662809.570044558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680357.570044558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36.7704893543377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-0.168464736446456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36.7704893543377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413568.501321001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19.1514930100626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6</v>
      </c>
      <c r="D5" s="4" t="n">
        <f aca="false">Assumptions!D41</f>
        <v>5</v>
      </c>
      <c r="E5" s="4" t="n">
        <f aca="false">Assumptions!E41</f>
        <v>4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2.5</v>
      </c>
      <c r="I5" s="4" t="n">
        <f aca="false">Assumptions!I41</f>
        <v>2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370000</v>
      </c>
      <c r="C6" s="0" t="n">
        <f aca="false">B6*(1+C5/100)</f>
        <v>392200</v>
      </c>
      <c r="D6" s="0" t="n">
        <f aca="false">C6*(1+D5/100)</f>
        <v>411810</v>
      </c>
      <c r="E6" s="0" t="n">
        <f aca="false">D6*(1+E5/100)</f>
        <v>428282.4</v>
      </c>
      <c r="F6" s="0" t="n">
        <f aca="false">E6*(1+F5/100)</f>
        <v>441130.872</v>
      </c>
      <c r="G6" s="0" t="n">
        <f aca="false">F6*(1+G5/100)</f>
        <v>454364.79816</v>
      </c>
      <c r="H6" s="0" t="n">
        <f aca="false">G6*(1+H5/100)</f>
        <v>465723.918114</v>
      </c>
      <c r="I6" s="0" t="n">
        <f aca="false">H6*(1+I5/100)</f>
        <v>475038.39647628</v>
      </c>
      <c r="J6" s="0" t="n">
        <f aca="false">I6*(1+J5/100)</f>
        <v>484539.164405806</v>
      </c>
      <c r="K6" s="0" t="n">
        <f aca="false">J6*(1+K5/100)</f>
        <v>494229.947693922</v>
      </c>
      <c r="L6" s="0" t="n">
        <f aca="false">K6*(1+L5/100)</f>
        <v>504114.5466478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35.5</v>
      </c>
      <c r="D7" s="4" t="n">
        <f aca="false">Assumptions!D42</f>
        <v>35.5</v>
      </c>
      <c r="E7" s="4" t="n">
        <f aca="false">Assumptions!E42</f>
        <v>35.3</v>
      </c>
      <c r="F7" s="4" t="n">
        <f aca="false">Assumptions!F42</f>
        <v>35.2</v>
      </c>
      <c r="G7" s="4" t="n">
        <f aca="false">Assumptions!G42</f>
        <v>35</v>
      </c>
      <c r="H7" s="4" t="n">
        <f aca="false">Assumptions!H42</f>
        <v>35</v>
      </c>
      <c r="I7" s="4" t="n">
        <f aca="false">Assumptions!I42</f>
        <v>35</v>
      </c>
      <c r="J7" s="4" t="n">
        <f aca="false">Assumptions!J42</f>
        <v>35</v>
      </c>
      <c r="K7" s="4" t="n">
        <f aca="false">Assumptions!K42</f>
        <v>35</v>
      </c>
      <c r="L7" s="4" t="n">
        <f aca="false">Assumptions!L42</f>
        <v>35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139231</v>
      </c>
      <c r="D8" s="0" t="n">
        <f aca="false">D6*D7/100</f>
        <v>146192.55</v>
      </c>
      <c r="E8" s="0" t="n">
        <f aca="false">E6*E7/100</f>
        <v>151183.6872</v>
      </c>
      <c r="F8" s="0" t="n">
        <f aca="false">F6*F7/100</f>
        <v>155278.066944</v>
      </c>
      <c r="G8" s="0" t="n">
        <f aca="false">G6*G7/100</f>
        <v>159027.679356</v>
      </c>
      <c r="H8" s="0" t="n">
        <f aca="false">H6*H7/100</f>
        <v>163003.3713399</v>
      </c>
      <c r="I8" s="0" t="n">
        <f aca="false">I6*I7/100</f>
        <v>166263.438766698</v>
      </c>
      <c r="J8" s="0" t="n">
        <f aca="false">J6*J7/100</f>
        <v>169588.707542032</v>
      </c>
      <c r="K8" s="0" t="n">
        <f aca="false">K6*K7/100</f>
        <v>172980.481692873</v>
      </c>
      <c r="L8" s="0" t="n">
        <f aca="false">L6*L7/100</f>
        <v>176440.09132673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139231</v>
      </c>
      <c r="D11" s="0" t="n">
        <f aca="false">D8+D10+D24</f>
        <v>146192.55</v>
      </c>
      <c r="E11" s="0" t="n">
        <f aca="false">E8+E10+E24</f>
        <v>151183.6872</v>
      </c>
      <c r="F11" s="0" t="n">
        <f aca="false">F8+F10+F24</f>
        <v>155278.066944</v>
      </c>
      <c r="G11" s="0" t="n">
        <f aca="false">G8+G10+G24</f>
        <v>159027.679356</v>
      </c>
      <c r="H11" s="0" t="n">
        <f aca="false">H8+H10+H24</f>
        <v>163003.3713399</v>
      </c>
      <c r="I11" s="0" t="n">
        <f aca="false">I8+I10+I24</f>
        <v>166263.438766698</v>
      </c>
      <c r="J11" s="0" t="n">
        <f aca="false">J8+J10+J24</f>
        <v>169588.707542032</v>
      </c>
      <c r="K11" s="0" t="n">
        <f aca="false">K8+K10+K24</f>
        <v>172980.481692873</v>
      </c>
      <c r="L11" s="0" t="n">
        <f aca="false">L8+L10+L24</f>
        <v>176440.09132673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-35298</v>
      </c>
      <c r="D12" s="4" t="n">
        <f aca="false">-D6*Assumptions!D45/100</f>
        <v>-37062.9</v>
      </c>
      <c r="E12" s="4" t="n">
        <f aca="false">-E6*Assumptions!E45/100</f>
        <v>-38973.6984</v>
      </c>
      <c r="F12" s="4" t="n">
        <f aca="false">-F6*Assumptions!F45/100</f>
        <v>-40584.040224</v>
      </c>
      <c r="G12" s="4" t="n">
        <f aca="false">-G6*Assumptions!G45/100</f>
        <v>-42255.92622888</v>
      </c>
      <c r="H12" s="4" t="n">
        <f aca="false">-H6*Assumptions!H45/100</f>
        <v>-43778.048302716</v>
      </c>
      <c r="I12" s="4" t="n">
        <f aca="false">-I6*Assumptions!I45/100</f>
        <v>-45128.6476652466</v>
      </c>
      <c r="J12" s="4" t="n">
        <f aca="false">-J6*Assumptions!J45/100</f>
        <v>-46031.2206185515</v>
      </c>
      <c r="K12" s="4" t="n">
        <f aca="false">-K6*Assumptions!K45/100</f>
        <v>-46951.8450309226</v>
      </c>
      <c r="L12" s="4" t="n">
        <f aca="false">-L6*Assumptions!L45/100</f>
        <v>-47890.881931541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103933</v>
      </c>
      <c r="D13" s="0" t="n">
        <f aca="false">D11+D12</f>
        <v>109129.65</v>
      </c>
      <c r="E13" s="0" t="n">
        <f aca="false">E11+E12</f>
        <v>112209.9888</v>
      </c>
      <c r="F13" s="0" t="n">
        <f aca="false">F11+F12</f>
        <v>114694.02672</v>
      </c>
      <c r="G13" s="0" t="n">
        <f aca="false">G11+G12</f>
        <v>116771.75312712</v>
      </c>
      <c r="H13" s="0" t="n">
        <f aca="false">H11+H12</f>
        <v>119225.323037184</v>
      </c>
      <c r="I13" s="0" t="n">
        <f aca="false">I11+I12</f>
        <v>121134.791101451</v>
      </c>
      <c r="J13" s="0" t="n">
        <f aca="false">J11+J12</f>
        <v>123557.48692348</v>
      </c>
      <c r="K13" s="0" t="n">
        <f aca="false">K11+K12</f>
        <v>126028.63666195</v>
      </c>
      <c r="L13" s="0" t="n">
        <f aca="false">L11+L12</f>
        <v>128549.209395189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35.5</v>
      </c>
      <c r="D14" s="4" t="n">
        <f aca="false">Assumptions!D47</f>
        <v>35.5</v>
      </c>
      <c r="E14" s="4" t="n">
        <f aca="false">Assumptions!E47</f>
        <v>35.5</v>
      </c>
      <c r="F14" s="4" t="n">
        <f aca="false">Assumptions!F47</f>
        <v>35.5</v>
      </c>
      <c r="G14" s="4" t="n">
        <f aca="false">Assumptions!G47</f>
        <v>35.5</v>
      </c>
      <c r="H14" s="4" t="n">
        <f aca="false">Assumptions!H47</f>
        <v>35.5</v>
      </c>
      <c r="I14" s="4" t="n">
        <f aca="false">Assumptions!I47</f>
        <v>35.5</v>
      </c>
      <c r="J14" s="4" t="n">
        <f aca="false">Assumptions!J47</f>
        <v>35.5</v>
      </c>
      <c r="K14" s="4" t="n">
        <f aca="false">Assumptions!K47</f>
        <v>35.5</v>
      </c>
      <c r="L14" s="4" t="n">
        <f aca="false">Assumptions!L47</f>
        <v>35.5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67036.785</v>
      </c>
      <c r="D15" s="0" t="n">
        <f aca="false">D13-MAX(0,D13)*D14/100</f>
        <v>70388.62425</v>
      </c>
      <c r="E15" s="0" t="n">
        <f aca="false">E13-MAX(0,E13)*E14/100</f>
        <v>72375.442776</v>
      </c>
      <c r="F15" s="0" t="n">
        <f aca="false">F13-MAX(0,F13)*F14/100</f>
        <v>73977.6472344</v>
      </c>
      <c r="G15" s="0" t="n">
        <f aca="false">G13-MAX(0,G13)*G14/100</f>
        <v>75317.7807669924</v>
      </c>
      <c r="H15" s="0" t="n">
        <f aca="false">H13-MAX(0,H13)*H14/100</f>
        <v>76900.3333589837</v>
      </c>
      <c r="I15" s="0" t="n">
        <f aca="false">I13-MAX(0,I13)*I14/100</f>
        <v>78131.9402604362</v>
      </c>
      <c r="J15" s="0" t="n">
        <f aca="false">J13-MAX(0,J13)*J14/100</f>
        <v>79694.5790656449</v>
      </c>
      <c r="K15" s="0" t="n">
        <f aca="false">K13-MAX(0,K13)*K14/100</f>
        <v>81288.4706469578</v>
      </c>
      <c r="L15" s="0" t="n">
        <f aca="false">L13-MAX(0,L13)*L14/100</f>
        <v>82914.2400598969</v>
      </c>
    </row>
    <row r="16" customFormat="false" ht="15" hidden="false" customHeight="false" outlineLevel="0" collapsed="false">
      <c r="A16" s="0" t="s">
        <v>119</v>
      </c>
      <c r="C16" s="0" t="n">
        <f aca="false">-C12</f>
        <v>35298</v>
      </c>
      <c r="D16" s="0" t="n">
        <f aca="false">-D12</f>
        <v>37062.9</v>
      </c>
      <c r="E16" s="0" t="n">
        <f aca="false">-E12</f>
        <v>38973.6984</v>
      </c>
      <c r="F16" s="0" t="n">
        <f aca="false">-F12</f>
        <v>40584.040224</v>
      </c>
      <c r="G16" s="0" t="n">
        <f aca="false">-G12</f>
        <v>42255.92622888</v>
      </c>
      <c r="H16" s="0" t="n">
        <f aca="false">-H12</f>
        <v>43778.048302716</v>
      </c>
      <c r="I16" s="0" t="n">
        <f aca="false">-I12</f>
        <v>45128.6476652466</v>
      </c>
      <c r="J16" s="0" t="n">
        <f aca="false">-J12</f>
        <v>46031.2206185515</v>
      </c>
      <c r="K16" s="0" t="n">
        <f aca="false">-K12</f>
        <v>46951.8450309226</v>
      </c>
      <c r="L16" s="0" t="n">
        <f aca="false">-L12</f>
        <v>47890.881931541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-54908</v>
      </c>
      <c r="D17" s="4" t="n">
        <f aca="false">-D6*Assumptions!D46/100</f>
        <v>-55594.35</v>
      </c>
      <c r="E17" s="4" t="n">
        <f aca="false">-E6*Assumptions!E46/100</f>
        <v>-55676.712</v>
      </c>
      <c r="F17" s="4" t="n">
        <f aca="false">-F6*Assumptions!F46/100</f>
        <v>-52935.70464</v>
      </c>
      <c r="G17" s="4" t="n">
        <f aca="false">-G6*Assumptions!G46/100</f>
        <v>-52251.9517884</v>
      </c>
      <c r="H17" s="4" t="n">
        <f aca="false">-H6*Assumptions!H46/100</f>
        <v>-51229.63099254</v>
      </c>
      <c r="I17" s="4" t="n">
        <f aca="false">-I6*Assumptions!I46/100</f>
        <v>-49879.0316300094</v>
      </c>
      <c r="J17" s="4" t="n">
        <f aca="false">-J6*Assumptions!J46/100</f>
        <v>-48453.9164405806</v>
      </c>
      <c r="K17" s="4" t="n">
        <f aca="false">-K6*Assumptions!K46/100</f>
        <v>-49422.9947693922</v>
      </c>
      <c r="L17" s="4" t="n">
        <f aca="false">-L6*Assumptions!L46/100</f>
        <v>-50411.45466478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47426.785</v>
      </c>
      <c r="D19" s="0" t="n">
        <f aca="false">D15+D16+D17+D18</f>
        <v>51857.17425</v>
      </c>
      <c r="E19" s="0" t="n">
        <f aca="false">E15+E16+E17+E18</f>
        <v>55672.429176</v>
      </c>
      <c r="F19" s="0" t="n">
        <f aca="false">F15+F16+F17+F18</f>
        <v>61625.9828184</v>
      </c>
      <c r="G19" s="0" t="n">
        <f aca="false">G15+G16+G17+G18</f>
        <v>65321.7552074724</v>
      </c>
      <c r="H19" s="0" t="n">
        <f aca="false">H15+H16+H17+H18</f>
        <v>69448.7506691597</v>
      </c>
      <c r="I19" s="0" t="n">
        <f aca="false">I15+I16+I17+I18</f>
        <v>73381.5562956733</v>
      </c>
      <c r="J19" s="0" t="n">
        <f aca="false">J15+J16+J17+J18</f>
        <v>77271.8832436159</v>
      </c>
      <c r="K19" s="0" t="n">
        <f aca="false">K15+K16+K17+K18</f>
        <v>78817.3209084882</v>
      </c>
      <c r="L19" s="0" t="n">
        <f aca="false">L15+L16+L17+L18</f>
        <v>80393.6673266579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44117.9395348837</v>
      </c>
      <c r="D21" s="0" t="n">
        <f aca="false">D19*D20</f>
        <v>44873.7040562466</v>
      </c>
      <c r="E21" s="0" t="n">
        <f aca="false">E19*E20</f>
        <v>44814.110295496</v>
      </c>
      <c r="F21" s="0" t="n">
        <f aca="false">F19*F20</f>
        <v>46145.5685824077</v>
      </c>
      <c r="G21" s="0" t="n">
        <f aca="false">G19*G20</f>
        <v>45500.4324700261</v>
      </c>
      <c r="H21" s="0" t="n">
        <f aca="false">H19*H20</f>
        <v>45000.1179391015</v>
      </c>
      <c r="I21" s="0" t="n">
        <f aca="false">I19*I20</f>
        <v>44231.092692731</v>
      </c>
      <c r="J21" s="0" t="n">
        <f aca="false">J19*J20</f>
        <v>43326.5175132079</v>
      </c>
      <c r="K21" s="0" t="n">
        <f aca="false">K19*K20</f>
        <v>41109.8119660205</v>
      </c>
      <c r="L21" s="0" t="n">
        <f aca="false">L19*L20</f>
        <v>39006.5192607822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438125.814310903</v>
      </c>
    </row>
    <row r="31" customFormat="false" ht="15" hidden="false" customHeight="false" outlineLevel="0" collapsed="false">
      <c r="A31" s="0" t="s">
        <v>128</v>
      </c>
      <c r="B31" s="0" t="n">
        <f aca="false">L19</f>
        <v>80393.6673266579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1490937.10314893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964724.007919895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964724.007919895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468078.231129387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906204.04544029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923752.04544029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49.9249457174193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0.129012793247836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49.9249457174193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630781.08210147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26.1249482702728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22.5621873423323</v>
      </c>
      <c r="C4" s="0" t="n">
        <f aca="false">B4/Assumptions!$B$2-1</f>
        <v>-0.489774144225864</v>
      </c>
      <c r="D4" s="4" t="n">
        <f aca="false">Assumptions!$B$24</f>
        <v>0.25</v>
      </c>
      <c r="E4" s="4" t="n">
        <f aca="false">DCF_Bear!$B$43</f>
        <v>22.5621873423323</v>
      </c>
      <c r="F4" s="4" t="n">
        <f aca="false">DCF_Bear!$B$47</f>
        <v>12.0966301310397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36.7704893543377</v>
      </c>
      <c r="C5" s="0" t="n">
        <f aca="false">B5/Assumptions!$B$2-1</f>
        <v>-0.168464736446456</v>
      </c>
      <c r="D5" s="4" t="n">
        <f aca="false">Assumptions!$B$38</f>
        <v>0.5</v>
      </c>
      <c r="E5" s="4" t="n">
        <f aca="false">DCF_Base!$B$43</f>
        <v>36.7704893543377</v>
      </c>
      <c r="F5" s="4" t="n">
        <f aca="false">DCF_Base!$B$47</f>
        <v>19.1514930100626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49.9249457174193</v>
      </c>
      <c r="C6" s="0" t="n">
        <f aca="false">B6/Assumptions!$B$2-1</f>
        <v>0.129012793247836</v>
      </c>
      <c r="D6" s="4" t="n">
        <f aca="false">Assumptions!$B$52</f>
        <v>0.25</v>
      </c>
      <c r="E6" s="4" t="n">
        <f aca="false">DCF_Bull!$B$43</f>
        <v>49.9249457174193</v>
      </c>
      <c r="F6" s="4" t="n">
        <f aca="false">DCF_Bull!$B$47</f>
        <v>26.1249482702728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36.5070279421068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36.5070279421068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-0.211273622989101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19.1311411053594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36.7704893543377</v>
      </c>
      <c r="C15" s="3" t="n">
        <v>7.5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33.1928080440537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30.1347832717835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27.0432287750992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24.5216318165206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19.1514930100626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42.3815456522658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42.3815456522658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42.3815456522658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42.3815456522658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42.3815456522658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39.4450583828102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39.4450583828102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39.4450583828102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39.4450583828102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39.4450583828102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36.7704893543377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36.7704893543377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36.7704893543377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36.7704893543377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36.7704893543377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34.0090216635493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34.3314476167265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34.3314476167265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34.3314476167265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34.3314476167265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30.2620717114636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31.0626303004533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31.9573722528535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32.1044531217412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32.1044531217412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2026-10-11T16:14:19Z</dcterms:created>
  <dc:creator>openpyxl</dc:creator>
  <dc:description/>
  <dc:language>en-NZ</dc:language>
  <cp:lastModifiedBy/>
  <dcterms:modified xsi:type="dcterms:W3CDTF">2026-10-11T16:14:19Z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