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<sst xmlns="http://schemas.openxmlformats.org/spreadsheetml/2006/main" count="386" uniqueCount="174">
  <si>
    <t xml:space="preserve">Ticker</t>
  </si>
  <si>
    <t xml:space="preserve">SWKS</t>
  </si>
  <si>
    <t xml:space="preserve">Company</t>
  </si>
  <si>
    <t xml:space="preserve">Skyworks Solutions, Inc.</t>
  </si>
  <si>
    <t xml:space="preserve">Valuation date</t>
  </si>
  <si>
    <t xml:space="preserve">2026-10-02</t>
  </si>
  <si>
    <t xml:space="preserve">Current price</t>
  </si>
  <si>
    <t xml:space="preserve">Price as of</t>
  </si>
  <si>
    <t xml:space="preserve">2026-10-01T20:00:01Z regular close (Yahoo regularMarketTime; no 2026-10-02 bar yet at valuation time)</t>
  </si>
  <si>
    <t xml:space="preserve">Balance sheet date</t>
  </si>
  <si>
    <t xml:space="preserve">2026-07-03</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</si>
  <si>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</si>
  <si>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</si>
  <si>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</si>
  <si>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</si>
  <si>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</si>
  <si>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</si>
  <si>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</si>
  <si>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</si>
  <si>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</si>
  <si>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</si>
  <si>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2026-10-02T09:15:09Z</t>
  </si>
  <si>
    <t xml:space="preserve">Drivers file</t>
  </si>
  <si>
    <t xml:space="preserve">SWKS_Drivers.json</t>
  </si>
  <si>
    <t xml:space="preserve">Convention</t>
  </si>
  <si>
    <t xml:space="preserve">Percents stored as percents; formulas divide by 100. Blue = input, green = link, black = formula.</t>
  </si>
  <si>
    <t xml:space="preserve">Methodology</t>
  </si>
  <si>
    <t xml:space="preserve">summary: STANDALONE, PRE-CLOSE VALUATION WITH LIMITED FORWARD RELEVANCE. (1) The Skyworks-Qorvo merger (announced 2025-10-27; both shareholder votes passed 2026-02-11; all regulatory clearances obtained by 2026-09-30) is expected to close on or about 2026-10-05 -- three days after this valuation date. Closing risk is now minimal. (2) At close Qorvo holders receive 0.960 Skyworks shares + $32.50 cash per Qorvo share (~89M new SWKS shares and ~$3B of cash consideration, largely debt-funded), leaving Skyworks holders with ~63% of the combined company. From that point a SWKS share is a ~63/37 claim on a ~$7.7B-revenue, ~$2.1B-adjusted-EBITDA combined RF/analog company with $500M+ of targeted cost synergies and new acquisition debt -- NOT the standalone Skyworks valued here. This model excludes the new shares, the new debt, Qorvo's cash flows and the synergies, so it answers 'what is standalone Skyworks worth?', which stops being the security's economics within days. It should be superseded by a combined-company valuation once the first post-close 10-Q gives a pro forma balance sheet and share count. (3) The standalone business has shrunk: revenue fell from a $5.49B FY2022 peak to $4.09B in FY2025 and a ~$3.95B FY2026 run-rate (quarters of $935M-$1.04B), first on the post-pandemic smartphone slowdown and then on Apple's February 2026 decision to dual-source a premier RF socket for iPhone 17 (~20-25% content loss). Because of that cyclicality and the Apple concentration the projection is built at MID-CYCLE margins from components, not from the trough TTM owner FCF ($159M, 4% of revenue, depressed by merger costs, a working-capital build and capacity capex) nor from the FY23-24 peak (~30-35%, flattered by inventory release). The gap between this standalone value and the market price is best read as the market's valuation of the merger (synergies and Qorvo's diversification away from Apple) plus SBC treatment -- not as a standalone mispricing. (4) Result: the house (SBC-expensed) weighted value sits well below the market price and the price also sits ABOVE the street (SBC-as-non-cash) weighted value -- band_position above 100% -- so not even the most generous accounting regime justifies the price on standalone flows. Every scenario's terminal value binds on the cyclical exit cap (12x base, 14x bull, 10x bear owner FCF), below today's ~15x EV / FY2025 owner FCF, so no multiple expansion is assumed. The price is pricing the combination; on standalone numbers the stock does not meet the 15% hurdle in any scenario.
key_risks_to_valuation: Merger close (~2026-10-05) changes the share count (+~89M), the balance sheet (~$3B cash consideration, debt-funded) and the cash flows; this standalone value has little forward relevance beyond the close; Apple concentration (~57% of revenue): depth and persistence of the iPhone dual-sourcing content loss is the dominant swing factor between scenarios; Smartphone unit cycle and RF share competition from Qualcomm (modem-RF integration), Broadcom (FBAR filters) and Chinese entrants; Mid-cycle margin assumption: adj. EBITDA has run ~27-29% in FY25-26 versus ~40% at the FY23 level; the base assumes partial recovery to 31.5%; US-China export controls, Entity List restrictions and tariffs on Asia-billed revenue; SBC has risen to ~5.8% of revenue; the house basis expenses it in full, and the street basis memo shows how much of the price rests on treating it as non-cash</t>
  </si>
  <si>
    <t xml:space="preserve">Data sources</t>
  </si>
  <si>
    <t xml:space="preserve">price: Yahoo Finance chart API at inputs.price_as_of (regular close); 52-week range 51.93-92.80
financials: SWKS_Metrics.csv (SEC XBRL, FY2007-Q3 FY2026) and SEC XBRL companyfacts CIK 4127 for depreciation, intangible amortization, cash taxes paid, equity-award withholding, marketable securities, debt split and the 9M FY26 cash flow (10-Q for the quarter ended 2026-07-03)
qualitative: SWKS_Analysis.json (2026-10-02): Qorvo merger terms and timeline, Apple dual-sourcing content loss, Q3 FY26 results and Q4 FY26 guidance ($1.01-1.06B revenue, ~$1.27 non-GAAP EPS)</t>
  </si>
  <si>
    <t xml:space="preserve">Scenario narrative: bear</t>
  </si>
  <si>
    <t xml:space="preserve">Apple diversification is structural: a full 25% content loss in FY27 (-12% revenue) and further share loss the next generation (-3%), with Chinese suppliers and Qualcomm's integrated modem-RF squeezing the Android book. Broad Markets only offsets the decline from FY29. Adj. EBITDA stuck at 25-27%, SBC sticky at ~6% of a smaller revenue base, capex 6.5% to defend filter technology. Owner-FCF margin ~11-13%.</t>
  </si>
  <si>
    <t xml:space="preserve">Scenario narrative: base</t>
  </si>
  <si>
    <t xml:space="preserve">Mid-cycle standalone Skyworks. Apple's dual-sourcing of a premier RF socket costs ~20% of Apple content as the new iPhone generation ramps, so FY27 revenue falls ~5% to ~$3.75B before Broad Markets (Wi-Fi 7, data centre, automotive, defence -- growing ~10-15% with demand ahead of supply) brings consolidated growth back to 3-4%. Adj. EBITDA (pre-SBC) troughs at 28% and recovers to 31.5% -- well below the FY22-23 peak because the old Apple share is not coming back. Capex normalises from ~7% to 6%. Owner-FCF margin ~14% in FY27 rising to ~16%, i.e. below the FY20-25 average of ~22% which was flattered by FY23-24 inventory releases and sub-4% capex.</t>
  </si>
  <si>
    <t xml:space="preserve">Scenario narrative: bull</t>
  </si>
  <si>
    <t xml:space="preserve">The content loss is shallow and temporary, Broad Markets becomes the majority of revenue faster than expected, and rising RF complexity (5G-Advanced, Wi-Fi 7, satellite-to-phone) lifts dollar content per handset. Revenue flat in FY27 then 5-7% growth; adj. EBITDA back to 35% on mix and fab utilisation; capex 5.5%. Still a standalone case -- no Qorvo synergies are credited.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</si>
  <si>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</si>
  <si>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</si>
  <si>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</si>
  <si>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</si>
  <si>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</si>
  <si>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</si>
  <si>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</si>
  <si>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</si>
  <si>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</si>
  <si>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</si>
  <si>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</si>
  <si>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</si>
  <si>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</si>
  <si>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</si>
  <si>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</si>
  <si>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</si>
  <si>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</si>
  <si>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</si>
  <si>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</si>
  <si>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</si>
  <si>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</si>
  <si>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</si>
  <si>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</si>
  <si>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</si>
  <si>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</si>
  <si>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</si>
  <si>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</si>
  <si>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</si>
  <si>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</si>
  <si>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</si>
  <si>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</si>
  <si>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</si>
  <si>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</si>
  <si>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</si>
  <si>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</si>
  <si>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</si>
  <si>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</si>
  <si>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</si>
  <si>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</si>
  <si>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</si>
  <si>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</si>
  <si>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</si>
  <si>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</si>
  <si>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</si>
  <si>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</si>
  <si>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</si>
  <si>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</si>
  <si>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</si>
  <si>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</si>
  <si>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</si>
  <si>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</si>
  <si>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</si>
  <si>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</si>
  <si>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</si>
  <si>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</si>
  <si>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</si>
  <si>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</si>
  <si>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</si>
  <si>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</si>
  <si>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</si>
  <si>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</si>
  <si>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</si>
  <si>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</si>
  <si>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</si>
  <si>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</si>
  <si>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</si>
  <si>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</si>
  <si>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</si>
  <si>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</si>
  <si>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</si>
  <si>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</si>
  <si>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</si>
  <si>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</si>
  <si>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</si>
  <si>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</si>
  <si>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</si>
  <si>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</si>
  <si>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</si>
  <si>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</si>
  <si>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</si>
  <si>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</si>
  <si>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</si>
  <si>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</si>
  <si>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</si>
  <si>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SWKS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</si>
  <si>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</si>
  <si>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</si>
  <si>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</si>
  <si>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</si>
  <si>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</si>
  <si>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</si>
  <si>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</si>
  <si>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</si>
  <si>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</si>
  <si>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</si>
  <si>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</si>
  <si>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</si>
  <si>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</si>
  <si>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</si>
  <si>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</si>
  <si>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</si>
  <si>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</si>
  <si>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</si>
  <si>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</si>
  <si>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</si>
  <si>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</si>
  <si>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</si>
  <si>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</si>
  <si>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</si>
  <si>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</si>
  <si>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</si>
  <si>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</si>
  <si>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</si>
  <si>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</si>
  <si>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</si>
  <si>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SWKS owner-FCF component DCF: base case (millions, USD)</t>
  </si>
  <si>
    <t xml:space="preserve">SWKS owner-FCF component DCF: bull case (millions, USD)</t>
  </si>
  <si>
    <t xml:space="preserve">SWKS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</si>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</sst>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83.16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818.543</v>
      </c>
      <c r="S2" s="0" t="n">
        <v>241.577</v>
      </c>
      <c r="AA2" s="0" t="s">
        <v>17</v>
      </c>
      <c r="AB2" s="0" t="s">
        <v>14</v>
      </c>
    </row>
    <row r="3" customFormat="false" ht="15" hidden="false" customHeight="false" outlineLevel="0" collapsed="false">
      <c r="A3" s="0" t="s">
        <v>64</v>
      </c>
      <c r="B3" s="0" t="n">
        <v>860.017</v>
      </c>
      <c r="D3" s="0" t="n">
        <v>342.963</v>
      </c>
      <c r="E3" s="0" t="n">
        <v>39.8786303061451</v>
      </c>
      <c r="F3" s="0" t="n">
        <v>90.371</v>
      </c>
      <c r="G3" s="0" t="n">
        <v>10.5080480967237</v>
      </c>
      <c r="I3" s="0" t="n">
        <v>111.006</v>
      </c>
      <c r="J3" s="0" t="n">
        <v>12.9074192719446</v>
      </c>
      <c r="K3" s="0" t="n">
        <v>0.69</v>
      </c>
      <c r="L3" s="0" t="n">
        <v>182.673</v>
      </c>
      <c r="M3" s="0" t="n">
        <v>64.832</v>
      </c>
      <c r="N3" s="0" t="n">
        <v>117.841</v>
      </c>
      <c r="O3" s="0" t="n">
        <v>961.604</v>
      </c>
      <c r="S3" s="0" t="n">
        <v>225.104</v>
      </c>
      <c r="T3" s="0" t="n">
        <v>164.755</v>
      </c>
      <c r="U3" s="0" t="n">
        <v>23.212</v>
      </c>
      <c r="AA3" s="0" t="s">
        <v>17</v>
      </c>
      <c r="AB3" s="0" t="s">
        <v>14</v>
      </c>
    </row>
    <row r="4" customFormat="false" ht="15" hidden="false" customHeight="false" outlineLevel="0" collapsed="false">
      <c r="A4" s="0" t="s">
        <v>65</v>
      </c>
      <c r="B4" s="0" t="n">
        <v>802.577</v>
      </c>
      <c r="D4" s="0" t="n">
        <v>318.22</v>
      </c>
      <c r="E4" s="0" t="n">
        <v>39.6497781521275</v>
      </c>
      <c r="F4" s="0" t="n">
        <v>71.703</v>
      </c>
      <c r="G4" s="0" t="n">
        <v>8.9340960431211</v>
      </c>
      <c r="I4" s="0" t="n">
        <v>94.983</v>
      </c>
      <c r="J4" s="0" t="n">
        <v>11.8347523041403</v>
      </c>
      <c r="K4" s="0" t="n">
        <v>0.57</v>
      </c>
      <c r="L4" s="0" t="n">
        <v>218.805</v>
      </c>
      <c r="M4" s="0" t="n">
        <v>39.172</v>
      </c>
      <c r="N4" s="0" t="n">
        <v>179.633</v>
      </c>
      <c r="O4" s="0" t="n">
        <v>1108.779</v>
      </c>
      <c r="P4" s="0" t="n">
        <v>1352.591</v>
      </c>
      <c r="Q4" s="0" t="n">
        <v>243.812</v>
      </c>
      <c r="R4" s="0" t="n">
        <v>81.865</v>
      </c>
      <c r="S4" s="0" t="n">
        <v>364.221</v>
      </c>
      <c r="T4" s="0" t="n">
        <v>172.815</v>
      </c>
      <c r="U4" s="0" t="n">
        <v>23.466</v>
      </c>
      <c r="AA4" s="0" t="s">
        <v>17</v>
      </c>
      <c r="AB4" s="0" t="s">
        <v>14</v>
      </c>
    </row>
    <row r="5" customFormat="false" ht="15" hidden="false" customHeight="false" outlineLevel="0" collapsed="false">
      <c r="A5" s="0" t="s">
        <v>66</v>
      </c>
      <c r="B5" s="0" t="n">
        <v>1071.849</v>
      </c>
      <c r="D5" s="0" t="n">
        <v>456.833</v>
      </c>
      <c r="E5" s="0" t="n">
        <v>42.6210221775642</v>
      </c>
      <c r="F5" s="0" t="n">
        <v>199.744</v>
      </c>
      <c r="G5" s="0" t="n">
        <v>18.6354607785238</v>
      </c>
      <c r="I5" s="0" t="n">
        <v>137.294</v>
      </c>
      <c r="J5" s="0" t="n">
        <v>12.8090803835242</v>
      </c>
      <c r="K5" s="0" t="n">
        <v>0.78</v>
      </c>
      <c r="L5" s="0" t="n">
        <v>222.962</v>
      </c>
      <c r="M5" s="0" t="n">
        <v>88.929</v>
      </c>
      <c r="N5" s="0" t="n">
        <v>134.033</v>
      </c>
      <c r="O5" s="0" t="n">
        <v>1316.7</v>
      </c>
      <c r="P5" s="0" t="n">
        <v>1564.052</v>
      </c>
      <c r="Q5" s="0" t="n">
        <v>247.456</v>
      </c>
      <c r="R5" s="0" t="n">
        <v>50</v>
      </c>
      <c r="S5" s="0" t="n">
        <v>459.4</v>
      </c>
      <c r="T5" s="0" t="n">
        <v>182.738</v>
      </c>
      <c r="U5" s="0" t="n">
        <v>40.741</v>
      </c>
      <c r="AA5" s="0" t="s">
        <v>17</v>
      </c>
      <c r="AB5" s="0" t="s">
        <v>14</v>
      </c>
    </row>
    <row r="6" customFormat="false" ht="15" hidden="false" customHeight="false" outlineLevel="0" collapsed="false">
      <c r="A6" s="0" t="s">
        <v>67</v>
      </c>
      <c r="B6" s="0" t="n">
        <v>1418.9</v>
      </c>
      <c r="D6" s="0" t="n">
        <v>620.3</v>
      </c>
      <c r="E6" s="0" t="n">
        <v>43.7169638452322</v>
      </c>
      <c r="F6" s="0" t="n">
        <v>295.3</v>
      </c>
      <c r="G6" s="0" t="n">
        <v>20.8118965395729</v>
      </c>
      <c r="I6" s="0" t="n">
        <v>226.6</v>
      </c>
      <c r="J6" s="0" t="n">
        <v>15.9701176968074</v>
      </c>
      <c r="K6" s="0" t="n">
        <v>1.24</v>
      </c>
      <c r="L6" s="0" t="n">
        <v>365.818</v>
      </c>
      <c r="M6" s="0" t="n">
        <v>100.6</v>
      </c>
      <c r="N6" s="0" t="n">
        <v>265.218</v>
      </c>
      <c r="O6" s="0" t="n">
        <v>1609.3</v>
      </c>
      <c r="P6" s="0" t="n">
        <v>1890.389</v>
      </c>
      <c r="Q6" s="0" t="n">
        <v>281.294</v>
      </c>
      <c r="R6" s="0" t="n">
        <v>26.089</v>
      </c>
      <c r="S6" s="0" t="n">
        <v>410.8</v>
      </c>
      <c r="T6" s="0" t="n">
        <v>190.7</v>
      </c>
      <c r="U6" s="0" t="n">
        <v>58.3</v>
      </c>
      <c r="AA6" s="0" t="s">
        <v>17</v>
      </c>
      <c r="AB6" s="0" t="s">
        <v>14</v>
      </c>
    </row>
    <row r="7" customFormat="false" ht="15" hidden="false" customHeight="false" outlineLevel="0" collapsed="false">
      <c r="A7" s="0" t="s">
        <v>68</v>
      </c>
      <c r="B7" s="0" t="n">
        <v>1568.6</v>
      </c>
      <c r="D7" s="0" t="n">
        <v>667.1</v>
      </c>
      <c r="E7" s="0" t="n">
        <v>42.5283692464618</v>
      </c>
      <c r="F7" s="0" t="n">
        <v>255.6</v>
      </c>
      <c r="G7" s="0" t="n">
        <v>16.2947851587403</v>
      </c>
      <c r="I7" s="0" t="n">
        <v>202</v>
      </c>
      <c r="J7" s="0" t="n">
        <v>12.8777253601938</v>
      </c>
      <c r="K7" s="0" t="n">
        <v>1.09</v>
      </c>
      <c r="L7" s="0" t="n">
        <v>285.239</v>
      </c>
      <c r="M7" s="0" t="n">
        <v>94.1</v>
      </c>
      <c r="N7" s="0" t="n">
        <v>191.139</v>
      </c>
      <c r="O7" s="0" t="n">
        <v>1905.5</v>
      </c>
      <c r="P7" s="0" t="n">
        <v>2136.6</v>
      </c>
      <c r="Q7" s="0" t="n">
        <v>231.1</v>
      </c>
      <c r="R7" s="0" t="n">
        <v>0</v>
      </c>
      <c r="S7" s="0" t="n">
        <v>307.1</v>
      </c>
      <c r="T7" s="0" t="n">
        <v>192.3</v>
      </c>
      <c r="U7" s="0" t="n">
        <v>72.2</v>
      </c>
      <c r="V7" s="0" t="n">
        <v>0</v>
      </c>
      <c r="AA7" s="0" t="s">
        <v>17</v>
      </c>
      <c r="AB7" s="0" t="s">
        <v>14</v>
      </c>
    </row>
    <row r="8" customFormat="false" ht="15" hidden="false" customHeight="false" outlineLevel="0" collapsed="false">
      <c r="A8" s="0" t="s">
        <v>69</v>
      </c>
      <c r="B8" s="0" t="n">
        <v>1792</v>
      </c>
      <c r="D8" s="0" t="n">
        <v>766.6</v>
      </c>
      <c r="E8" s="0" t="n">
        <v>42.7790178571429</v>
      </c>
      <c r="F8" s="0" t="n">
        <v>345.1</v>
      </c>
      <c r="G8" s="0" t="n">
        <v>19.2578125</v>
      </c>
      <c r="I8" s="0" t="n">
        <v>278.1</v>
      </c>
      <c r="J8" s="0" t="n">
        <v>15.5189732142857</v>
      </c>
      <c r="K8" s="0" t="n">
        <v>1.48</v>
      </c>
      <c r="M8" s="0" t="n">
        <v>123.8</v>
      </c>
      <c r="O8" s="0" t="n">
        <v>2101.1</v>
      </c>
      <c r="P8" s="0" t="n">
        <v>2333.1</v>
      </c>
      <c r="Q8" s="0" t="n">
        <v>232</v>
      </c>
      <c r="S8" s="0" t="n">
        <v>511.1</v>
      </c>
      <c r="T8" s="0" t="n">
        <v>192.2</v>
      </c>
      <c r="U8" s="0" t="n">
        <v>71.7</v>
      </c>
      <c r="V8" s="0" t="n">
        <v>0</v>
      </c>
      <c r="AA8" s="0" t="s">
        <v>17</v>
      </c>
      <c r="AB8" s="0" t="s">
        <v>14</v>
      </c>
    </row>
    <row r="9" customFormat="false" ht="15" hidden="false" customHeight="false" outlineLevel="0" collapsed="false">
      <c r="A9" s="0" t="s">
        <v>70</v>
      </c>
      <c r="B9" s="0" t="n">
        <v>2291.5</v>
      </c>
      <c r="D9" s="0" t="n">
        <v>1022.7</v>
      </c>
      <c r="E9" s="0" t="n">
        <v>44.6301549203579</v>
      </c>
      <c r="F9" s="0" t="n">
        <v>565.2</v>
      </c>
      <c r="G9" s="0" t="n">
        <v>24.6650665502946</v>
      </c>
      <c r="I9" s="0" t="n">
        <v>457.7</v>
      </c>
      <c r="J9" s="0" t="n">
        <v>19.9738162775475</v>
      </c>
      <c r="K9" s="0" t="n">
        <v>2.44</v>
      </c>
      <c r="M9" s="0" t="n">
        <v>208.6</v>
      </c>
      <c r="O9" s="0" t="n">
        <v>2532.4</v>
      </c>
      <c r="P9" s="0" t="n">
        <v>2973.8</v>
      </c>
      <c r="Q9" s="0" t="n">
        <v>441.4</v>
      </c>
      <c r="S9" s="0" t="n">
        <v>1083.8</v>
      </c>
      <c r="T9" s="0" t="n">
        <v>192.6</v>
      </c>
      <c r="U9" s="0" t="n">
        <v>86</v>
      </c>
      <c r="V9" s="0" t="n">
        <v>0.22</v>
      </c>
      <c r="AA9" s="0" t="s">
        <v>17</v>
      </c>
      <c r="AB9" s="0" t="s">
        <v>14</v>
      </c>
    </row>
    <row r="10" customFormat="false" ht="15" hidden="false" customHeight="false" outlineLevel="0" collapsed="false">
      <c r="A10" s="0" t="s">
        <v>71</v>
      </c>
      <c r="B10" s="0" t="n">
        <v>3258.4</v>
      </c>
      <c r="D10" s="0" t="n">
        <v>1554.5</v>
      </c>
      <c r="E10" s="0" t="n">
        <v>47.7074637859072</v>
      </c>
      <c r="F10" s="0" t="n">
        <v>1023.1</v>
      </c>
      <c r="G10" s="0" t="n">
        <v>31.3988460594157</v>
      </c>
      <c r="I10" s="0" t="n">
        <v>798.3</v>
      </c>
      <c r="J10" s="0" t="n">
        <v>24.4997544807267</v>
      </c>
      <c r="K10" s="0" t="n">
        <v>4.21</v>
      </c>
      <c r="M10" s="0" t="n">
        <v>430.1</v>
      </c>
      <c r="O10" s="0" t="n">
        <v>3159.2</v>
      </c>
      <c r="P10" s="0" t="n">
        <v>3719.4</v>
      </c>
      <c r="Q10" s="0" t="n">
        <v>560.2</v>
      </c>
      <c r="S10" s="0" t="n">
        <v>1083.8</v>
      </c>
      <c r="T10" s="0" t="n">
        <v>194.9</v>
      </c>
      <c r="U10" s="0" t="n">
        <v>99.8</v>
      </c>
      <c r="V10" s="0" t="n">
        <v>0.65</v>
      </c>
      <c r="AA10" s="0" t="s">
        <v>17</v>
      </c>
      <c r="AB10" s="0" t="s">
        <v>14</v>
      </c>
    </row>
    <row r="11" customFormat="false" ht="15" hidden="false" customHeight="false" outlineLevel="0" collapsed="false">
      <c r="A11" s="0" t="s">
        <v>72</v>
      </c>
      <c r="B11" s="0" t="n">
        <v>3289</v>
      </c>
      <c r="D11" s="0" t="n">
        <v>1665.2</v>
      </c>
      <c r="E11" s="0" t="n">
        <v>50.6293706293706</v>
      </c>
      <c r="F11" s="0" t="n">
        <v>1118.7</v>
      </c>
      <c r="G11" s="0" t="n">
        <v>34.0133779264214</v>
      </c>
      <c r="I11" s="0" t="n">
        <v>995.2</v>
      </c>
      <c r="J11" s="0" t="n">
        <v>30.258437214959</v>
      </c>
      <c r="K11" s="0" t="n">
        <v>5.27</v>
      </c>
      <c r="M11" s="0" t="n">
        <v>189.3</v>
      </c>
      <c r="O11" s="0" t="n">
        <v>3541.4</v>
      </c>
      <c r="P11" s="0" t="n">
        <v>3855.4</v>
      </c>
      <c r="Q11" s="0" t="n">
        <v>314</v>
      </c>
      <c r="S11" s="0" t="n">
        <v>1083.8</v>
      </c>
      <c r="T11" s="0" t="n">
        <v>192.1</v>
      </c>
      <c r="U11" s="0" t="n">
        <v>78</v>
      </c>
      <c r="V11" s="0" t="n">
        <v>1.06</v>
      </c>
      <c r="AA11" s="0" t="s">
        <v>17</v>
      </c>
      <c r="AB11" s="0" t="s">
        <v>14</v>
      </c>
    </row>
    <row r="12" customFormat="false" ht="15" hidden="false" customHeight="false" outlineLevel="0" collapsed="false">
      <c r="A12" s="0" t="s">
        <v>73</v>
      </c>
      <c r="B12" s="0" t="n">
        <v>3651.4</v>
      </c>
      <c r="C12" s="0" t="n">
        <v>1809.6</v>
      </c>
      <c r="D12" s="0" t="n">
        <v>1841.8</v>
      </c>
      <c r="E12" s="0" t="n">
        <v>50.4409267678151</v>
      </c>
      <c r="F12" s="0" t="n">
        <v>1253.8</v>
      </c>
      <c r="G12" s="0" t="n">
        <v>34.3375143780468</v>
      </c>
      <c r="I12" s="0" t="n">
        <v>1010.2</v>
      </c>
      <c r="J12" s="0" t="n">
        <v>27.6661006737142</v>
      </c>
      <c r="K12" s="0" t="n">
        <v>5.48</v>
      </c>
      <c r="L12" s="0" t="n">
        <v>1456.3</v>
      </c>
      <c r="M12" s="0" t="n">
        <v>303.3</v>
      </c>
      <c r="N12" s="0" t="n">
        <v>1153</v>
      </c>
      <c r="O12" s="0" t="n">
        <v>4065.7</v>
      </c>
      <c r="P12" s="0" t="n">
        <v>4573.6</v>
      </c>
      <c r="Q12" s="0" t="n">
        <v>507.9</v>
      </c>
      <c r="S12" s="0" t="n">
        <v>1616.8</v>
      </c>
      <c r="T12" s="0" t="n">
        <v>186.7</v>
      </c>
      <c r="U12" s="0" t="n">
        <v>88.5</v>
      </c>
      <c r="V12" s="0" t="n">
        <v>1.16</v>
      </c>
      <c r="AA12" s="0" t="s">
        <v>17</v>
      </c>
      <c r="AB12" s="0" t="s">
        <v>14</v>
      </c>
    </row>
    <row r="13" customFormat="false" ht="15" hidden="false" customHeight="false" outlineLevel="0" collapsed="false">
      <c r="A13" s="0" t="s">
        <v>74</v>
      </c>
      <c r="B13" s="0" t="n">
        <v>3868</v>
      </c>
      <c r="C13" s="0" t="n">
        <v>1917.3</v>
      </c>
      <c r="D13" s="0" t="n">
        <v>1950.7</v>
      </c>
      <c r="E13" s="0" t="n">
        <v>50.4317476732161</v>
      </c>
      <c r="F13" s="0" t="n">
        <v>1319.3</v>
      </c>
      <c r="G13" s="0" t="n">
        <v>34.1080661840745</v>
      </c>
      <c r="I13" s="0" t="n">
        <v>918.4</v>
      </c>
      <c r="J13" s="0" t="n">
        <v>23.7435367114788</v>
      </c>
      <c r="K13" s="0" t="n">
        <v>5.06</v>
      </c>
      <c r="L13" s="0" t="n">
        <v>1260.6</v>
      </c>
      <c r="M13" s="0" t="n">
        <v>422.3</v>
      </c>
      <c r="N13" s="0" t="n">
        <v>838.3</v>
      </c>
      <c r="O13" s="0" t="n">
        <v>4097</v>
      </c>
      <c r="P13" s="0" t="n">
        <v>4828.9</v>
      </c>
      <c r="Q13" s="0" t="n">
        <v>731.9</v>
      </c>
      <c r="S13" s="0" t="n">
        <v>733.3</v>
      </c>
      <c r="T13" s="0" t="n">
        <v>183.2</v>
      </c>
      <c r="U13" s="0" t="n">
        <v>107.8</v>
      </c>
      <c r="V13" s="0" t="n">
        <v>1.34</v>
      </c>
      <c r="AA13" s="0" t="s">
        <v>17</v>
      </c>
      <c r="AB13" s="0" t="s">
        <v>14</v>
      </c>
    </row>
    <row r="14" customFormat="false" ht="15" hidden="false" customHeight="false" outlineLevel="0" collapsed="false">
      <c r="A14" s="0" t="s">
        <v>75</v>
      </c>
      <c r="B14" s="0" t="n">
        <v>3376.8</v>
      </c>
      <c r="C14" s="0" t="n">
        <v>1773</v>
      </c>
      <c r="D14" s="0" t="n">
        <v>1603.8</v>
      </c>
      <c r="E14" s="0" t="n">
        <v>47.4946695095949</v>
      </c>
      <c r="F14" s="0" t="n">
        <v>952</v>
      </c>
      <c r="G14" s="0" t="n">
        <v>28.1923714759536</v>
      </c>
      <c r="I14" s="0" t="n">
        <v>853.6</v>
      </c>
      <c r="J14" s="0" t="n">
        <v>25.2783700544895</v>
      </c>
      <c r="K14" s="0" t="n">
        <v>4.92</v>
      </c>
      <c r="L14" s="0" t="n">
        <v>1367.4</v>
      </c>
      <c r="M14" s="0" t="n">
        <v>398.4</v>
      </c>
      <c r="N14" s="0" t="n">
        <v>969</v>
      </c>
      <c r="O14" s="0" t="n">
        <v>4122.3</v>
      </c>
      <c r="P14" s="0" t="n">
        <v>4839.6</v>
      </c>
      <c r="Q14" s="0" t="n">
        <v>717.3</v>
      </c>
      <c r="S14" s="0" t="n">
        <v>851.3</v>
      </c>
      <c r="T14" s="0" t="n">
        <v>174.5</v>
      </c>
      <c r="U14" s="0" t="n">
        <v>80.1</v>
      </c>
      <c r="V14" s="0" t="n">
        <v>1.58</v>
      </c>
      <c r="AA14" s="0" t="s">
        <v>17</v>
      </c>
      <c r="AB14" s="0" t="s">
        <v>14</v>
      </c>
    </row>
    <row r="15" customFormat="false" ht="15" hidden="false" customHeight="false" outlineLevel="0" collapsed="false">
      <c r="A15" s="0" t="s">
        <v>76</v>
      </c>
      <c r="B15" s="0" t="n">
        <v>3355.7</v>
      </c>
      <c r="C15" s="0" t="n">
        <v>1742.8</v>
      </c>
      <c r="D15" s="0" t="n">
        <v>1612.9</v>
      </c>
      <c r="E15" s="0" t="n">
        <v>48.0644872902822</v>
      </c>
      <c r="F15" s="0" t="n">
        <v>891.8</v>
      </c>
      <c r="G15" s="0" t="n">
        <v>26.5756772059481</v>
      </c>
      <c r="I15" s="0" t="n">
        <v>814.8</v>
      </c>
      <c r="J15" s="0" t="n">
        <v>24.2810739935036</v>
      </c>
      <c r="K15" s="0" t="n">
        <v>4.84</v>
      </c>
      <c r="L15" s="0" t="n">
        <v>1204.5</v>
      </c>
      <c r="M15" s="0" t="n">
        <v>389.4</v>
      </c>
      <c r="N15" s="0" t="n">
        <v>815.1</v>
      </c>
      <c r="O15" s="0" t="n">
        <v>4164.2</v>
      </c>
      <c r="P15" s="0" t="n">
        <v>5106.7</v>
      </c>
      <c r="Q15" s="0" t="n">
        <v>942.5</v>
      </c>
      <c r="R15" s="0" t="n">
        <v>0</v>
      </c>
      <c r="S15" s="0" t="n">
        <v>566.7</v>
      </c>
      <c r="T15" s="0" t="n">
        <v>169.9</v>
      </c>
      <c r="U15" s="0" t="n">
        <v>156.6</v>
      </c>
      <c r="V15" s="0" t="n">
        <v>1.82</v>
      </c>
      <c r="AA15" s="0" t="s">
        <v>17</v>
      </c>
      <c r="AB15" s="0" t="s">
        <v>14</v>
      </c>
    </row>
    <row r="16" customFormat="false" ht="15" hidden="false" customHeight="false" outlineLevel="0" collapsed="false">
      <c r="A16" s="0" t="s">
        <v>77</v>
      </c>
      <c r="B16" s="0" t="n">
        <v>5109.1</v>
      </c>
      <c r="C16" s="0" t="n">
        <v>2596.7</v>
      </c>
      <c r="D16" s="0" t="n">
        <v>2512.4</v>
      </c>
      <c r="E16" s="0" t="n">
        <v>49.1750014679689</v>
      </c>
      <c r="F16" s="0" t="n">
        <v>1612.7</v>
      </c>
      <c r="G16" s="0" t="n">
        <v>31.5652463251845</v>
      </c>
      <c r="I16" s="0" t="n">
        <v>1498.3</v>
      </c>
      <c r="J16" s="0" t="n">
        <v>29.3261044019495</v>
      </c>
      <c r="K16" s="0" t="n">
        <v>9.07</v>
      </c>
      <c r="L16" s="0" t="n">
        <v>1772</v>
      </c>
      <c r="M16" s="0" t="n">
        <v>637.8</v>
      </c>
      <c r="N16" s="0" t="n">
        <v>1134.2</v>
      </c>
      <c r="O16" s="0" t="n">
        <v>5297.1</v>
      </c>
      <c r="P16" s="0" t="n">
        <v>8590.7</v>
      </c>
      <c r="Q16" s="0" t="n">
        <v>3293.6</v>
      </c>
      <c r="R16" s="0" t="n">
        <v>2235.6</v>
      </c>
      <c r="S16" s="0" t="n">
        <v>882.9</v>
      </c>
      <c r="T16" s="0" t="n">
        <v>167</v>
      </c>
      <c r="U16" s="0" t="n">
        <v>191.9</v>
      </c>
      <c r="V16" s="0" t="n">
        <v>2.06</v>
      </c>
      <c r="AA16" s="0" t="s">
        <v>17</v>
      </c>
      <c r="AB16" s="0" t="s">
        <v>14</v>
      </c>
    </row>
    <row r="17" customFormat="false" ht="15" hidden="false" customHeight="false" outlineLevel="0" collapsed="false">
      <c r="A17" s="0" t="s">
        <v>78</v>
      </c>
      <c r="B17" s="0" t="n">
        <v>5485.5</v>
      </c>
      <c r="C17" s="0" t="n">
        <v>2881.2</v>
      </c>
      <c r="D17" s="0" t="n">
        <v>2604.3</v>
      </c>
      <c r="E17" s="0" t="n">
        <v>47.4760732841127</v>
      </c>
      <c r="F17" s="0" t="n">
        <v>1527</v>
      </c>
      <c r="G17" s="0" t="n">
        <v>27.8370248837845</v>
      </c>
      <c r="I17" s="0" t="n">
        <v>1275.2</v>
      </c>
      <c r="J17" s="0" t="n">
        <v>23.2467414091696</v>
      </c>
      <c r="K17" s="0" t="n">
        <v>7.85</v>
      </c>
      <c r="L17" s="0" t="n">
        <v>1424.6</v>
      </c>
      <c r="M17" s="0" t="n">
        <v>489.4</v>
      </c>
      <c r="N17" s="0" t="n">
        <v>935.2</v>
      </c>
      <c r="O17" s="0" t="n">
        <v>5469</v>
      </c>
      <c r="P17" s="0" t="n">
        <v>8873.8</v>
      </c>
      <c r="Q17" s="0" t="n">
        <v>3404.8</v>
      </c>
      <c r="R17" s="0" t="n">
        <v>2189.1</v>
      </c>
      <c r="S17" s="0" t="n">
        <v>566</v>
      </c>
      <c r="T17" s="0" t="n">
        <v>163.3</v>
      </c>
      <c r="U17" s="0" t="n">
        <v>195.2</v>
      </c>
      <c r="V17" s="0" t="n">
        <v>2.3</v>
      </c>
      <c r="AA17" s="0" t="s">
        <v>17</v>
      </c>
      <c r="AB17" s="0" t="s">
        <v>14</v>
      </c>
    </row>
    <row r="18" customFormat="false" ht="15" hidden="false" customHeight="false" outlineLevel="0" collapsed="false">
      <c r="A18" s="0" t="s">
        <v>79</v>
      </c>
      <c r="B18" s="0" t="n">
        <v>4772.4</v>
      </c>
      <c r="C18" s="0" t="n">
        <v>2665.1</v>
      </c>
      <c r="D18" s="0" t="n">
        <v>2107.3</v>
      </c>
      <c r="E18" s="0" t="n">
        <v>44.155980219596</v>
      </c>
      <c r="F18" s="0" t="n">
        <v>1125</v>
      </c>
      <c r="G18" s="0" t="n">
        <v>23.5730450088006</v>
      </c>
      <c r="I18" s="0" t="n">
        <v>982.8</v>
      </c>
      <c r="J18" s="0" t="n">
        <v>20.5934121196882</v>
      </c>
      <c r="K18" s="0" t="n">
        <v>6.17</v>
      </c>
      <c r="L18" s="0" t="n">
        <v>1856.4</v>
      </c>
      <c r="M18" s="0" t="n">
        <v>210.3</v>
      </c>
      <c r="N18" s="0" t="n">
        <v>1646.1</v>
      </c>
      <c r="O18" s="0" t="n">
        <v>6082.7</v>
      </c>
      <c r="P18" s="0" t="n">
        <v>8426.7</v>
      </c>
      <c r="Q18" s="0" t="n">
        <v>2344</v>
      </c>
      <c r="R18" s="0" t="n">
        <v>1292.3</v>
      </c>
      <c r="S18" s="0" t="n">
        <v>718.8</v>
      </c>
      <c r="T18" s="0" t="n">
        <v>160.3</v>
      </c>
      <c r="U18" s="0" t="n">
        <v>185.1</v>
      </c>
      <c r="V18" s="0" t="n">
        <v>2.54</v>
      </c>
      <c r="AA18" s="0" t="s">
        <v>17</v>
      </c>
      <c r="AB18" s="0" t="s">
        <v>14</v>
      </c>
    </row>
    <row r="19" customFormat="false" ht="15" hidden="false" customHeight="false" outlineLevel="0" collapsed="false">
      <c r="A19" s="0" t="s">
        <v>80</v>
      </c>
      <c r="B19" s="0" t="n">
        <v>4178</v>
      </c>
      <c r="C19" s="0" t="n">
        <v>2457.2</v>
      </c>
      <c r="D19" s="0" t="n">
        <v>1720.8</v>
      </c>
      <c r="E19" s="0" t="n">
        <v>41.1871708951652</v>
      </c>
      <c r="F19" s="0" t="n">
        <v>637.4</v>
      </c>
      <c r="G19" s="0" t="n">
        <v>15.2561033987554</v>
      </c>
      <c r="I19" s="0" t="n">
        <v>596</v>
      </c>
      <c r="J19" s="0" t="n">
        <v>14.2651986596458</v>
      </c>
      <c r="K19" s="0" t="n">
        <v>3.72</v>
      </c>
      <c r="L19" s="0" t="n">
        <v>1824.7</v>
      </c>
      <c r="M19" s="0" t="n">
        <v>157</v>
      </c>
      <c r="N19" s="0" t="n">
        <v>1667.7</v>
      </c>
      <c r="O19" s="0" t="n">
        <v>6336.7</v>
      </c>
      <c r="P19" s="0" t="n">
        <v>8283.3</v>
      </c>
      <c r="Q19" s="0" t="n">
        <v>1946.6</v>
      </c>
      <c r="R19" s="0" t="n">
        <v>994.3</v>
      </c>
      <c r="S19" s="0" t="n">
        <v>1368.6</v>
      </c>
      <c r="T19" s="0" t="n">
        <v>161.5</v>
      </c>
      <c r="U19" s="0" t="n">
        <v>180.3</v>
      </c>
      <c r="V19" s="0" t="n">
        <v>2.74</v>
      </c>
      <c r="AA19" s="0" t="s">
        <v>17</v>
      </c>
      <c r="AB19" s="0" t="s">
        <v>14</v>
      </c>
    </row>
    <row r="20" customFormat="false" ht="15" hidden="false" customHeight="false" outlineLevel="0" collapsed="false">
      <c r="A20" s="0" t="s">
        <v>81</v>
      </c>
      <c r="B20" s="0" t="n">
        <v>4086.9</v>
      </c>
      <c r="C20" s="0" t="n">
        <v>2404.8</v>
      </c>
      <c r="D20" s="0" t="n">
        <v>1682.1</v>
      </c>
      <c r="E20" s="0" t="n">
        <v>41.1583351684651</v>
      </c>
      <c r="F20" s="0" t="n">
        <v>500</v>
      </c>
      <c r="G20" s="0" t="n">
        <v>12.234211749737</v>
      </c>
      <c r="I20" s="0" t="n">
        <v>477.1</v>
      </c>
      <c r="J20" s="0" t="n">
        <v>11.673884851599</v>
      </c>
      <c r="K20" s="0" t="n">
        <v>3.09</v>
      </c>
      <c r="L20" s="0" t="n">
        <v>1300.8</v>
      </c>
      <c r="M20" s="0" t="n">
        <v>195</v>
      </c>
      <c r="N20" s="0" t="n">
        <v>1105.8</v>
      </c>
      <c r="O20" s="0" t="n">
        <v>5757.1</v>
      </c>
      <c r="P20" s="0" t="n">
        <v>7917</v>
      </c>
      <c r="Q20" s="0" t="n">
        <v>2159.9</v>
      </c>
      <c r="R20" s="0" t="n">
        <v>995.8</v>
      </c>
      <c r="S20" s="0" t="n">
        <v>1161.3</v>
      </c>
      <c r="T20" s="0" t="n">
        <v>155.1</v>
      </c>
      <c r="U20" s="0" t="n">
        <v>232.4</v>
      </c>
      <c r="V20" s="0" t="n">
        <v>2.81</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83.16</v>
      </c>
    </row>
    <row r="3" customFormat="false" ht="15" hidden="false" customHeight="false" outlineLevel="0" collapsed="false">
      <c r="A3" s="0" t="s">
        <v>85</v>
      </c>
      <c r="B3" s="3" t="n">
        <v>151.4</v>
      </c>
    </row>
    <row r="4" customFormat="false" ht="15" hidden="false" customHeight="false" outlineLevel="0" collapsed="false">
      <c r="A4" s="0" t="s">
        <v>86</v>
      </c>
      <c r="B4" s="3" t="n">
        <v>-316.9</v>
      </c>
    </row>
    <row r="5" customFormat="false" ht="15" hidden="false" customHeight="false" outlineLevel="0" collapsed="false">
      <c r="A5" s="0" t="s">
        <v>87</v>
      </c>
      <c r="B5" s="3" t="n">
        <v>0</v>
      </c>
    </row>
    <row r="6" customFormat="false" ht="15" hidden="false" customHeight="false" outlineLevel="0" collapsed="false">
      <c r="A6" s="0" t="s">
        <v>88</v>
      </c>
      <c r="B6" s="3" t="n">
        <v>15</v>
      </c>
    </row>
    <row r="7" customFormat="false" ht="15" hidden="false" customHeight="false" outlineLevel="0" collapsed="false">
      <c r="A7" s="0" t="s">
        <v>89</v>
      </c>
      <c r="B7" s="3" t="n">
        <v>3949</v>
      </c>
    </row>
    <row r="8" customFormat="false" ht="15" hidden="false" customHeight="false" outlineLevel="0" collapsed="false">
      <c r="A8" s="0" t="s">
        <v>90</v>
      </c>
      <c r="B8" s="3" t="s">
        <v>91</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-12</v>
      </c>
      <c r="D13" s="3" t="n">
        <v>-3</v>
      </c>
      <c r="E13" s="3" t="n">
        <v>1</v>
      </c>
      <c r="F13" s="3" t="n">
        <v>2</v>
      </c>
      <c r="G13" s="3" t="n">
        <v>2</v>
      </c>
      <c r="H13" s="3" t="n">
        <v>2</v>
      </c>
      <c r="I13" s="3" t="n">
        <v>2</v>
      </c>
      <c r="J13" s="3" t="n">
        <v>2</v>
      </c>
      <c r="K13" s="3" t="n">
        <v>2</v>
      </c>
      <c r="L13" s="3" t="n">
        <v>2</v>
      </c>
    </row>
    <row r="14" customFormat="false" ht="15" hidden="false" customHeight="false" outlineLevel="0" collapsed="false">
      <c r="A14" s="0" t="s">
        <v>107</v>
      </c>
      <c r="C14" s="3" t="n">
        <v>25</v>
      </c>
      <c r="D14" s="3" t="n">
        <v>25.5</v>
      </c>
      <c r="E14" s="3" t="n">
        <v>26</v>
      </c>
      <c r="F14" s="3" t="n">
        <v>26.5</v>
      </c>
      <c r="G14" s="3" t="n">
        <v>27</v>
      </c>
      <c r="H14" s="3" t="n">
        <v>27</v>
      </c>
      <c r="I14" s="3" t="n">
        <v>27</v>
      </c>
      <c r="J14" s="3" t="n">
        <v>27</v>
      </c>
      <c r="K14" s="3" t="n">
        <v>27</v>
      </c>
      <c r="L14" s="3" t="n">
        <v>27</v>
      </c>
    </row>
    <row r="15" customFormat="false" ht="15" hidden="false" customHeight="false" outlineLevel="0" collapsed="false">
      <c r="A15" s="0" t="s">
        <v>108</v>
      </c>
      <c r="C15" s="3" t="n">
        <v>6.2</v>
      </c>
      <c r="D15" s="3" t="n">
        <v>6.1</v>
      </c>
      <c r="E15" s="3" t="n">
        <v>6</v>
      </c>
      <c r="F15" s="3" t="n">
        <v>5.9</v>
      </c>
      <c r="G15" s="3" t="n">
        <v>5.8</v>
      </c>
      <c r="H15" s="3" t="n">
        <v>5.7</v>
      </c>
      <c r="I15" s="3" t="n">
        <v>5.6</v>
      </c>
      <c r="J15" s="3" t="n">
        <v>5.5</v>
      </c>
      <c r="K15" s="3" t="n">
        <v>5.5</v>
      </c>
      <c r="L15" s="3" t="n">
        <v>5.5</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7.8</v>
      </c>
      <c r="D17" s="3" t="n">
        <v>7.6</v>
      </c>
      <c r="E17" s="3" t="n">
        <v>7.3</v>
      </c>
      <c r="F17" s="3" t="n">
        <v>7</v>
      </c>
      <c r="G17" s="3" t="n">
        <v>6.8</v>
      </c>
      <c r="H17" s="3" t="n">
        <v>6.6</v>
      </c>
      <c r="I17" s="3" t="n">
        <v>6.5</v>
      </c>
      <c r="J17" s="3" t="n">
        <v>6.5</v>
      </c>
      <c r="K17" s="3" t="n">
        <v>6.5</v>
      </c>
      <c r="L17" s="3" t="n">
        <v>6.5</v>
      </c>
    </row>
    <row r="18" customFormat="false" ht="15" hidden="false" customHeight="false" outlineLevel="0" collapsed="false">
      <c r="A18" s="0" t="s">
        <v>111</v>
      </c>
      <c r="C18" s="3" t="n">
        <v>7</v>
      </c>
      <c r="D18" s="3" t="n">
        <v>6.5</v>
      </c>
      <c r="E18" s="3" t="n">
        <v>6.5</v>
      </c>
      <c r="F18" s="3" t="n">
        <v>6.5</v>
      </c>
      <c r="G18" s="3" t="n">
        <v>6.5</v>
      </c>
      <c r="H18" s="3" t="n">
        <v>6.5</v>
      </c>
      <c r="I18" s="3" t="n">
        <v>6.5</v>
      </c>
      <c r="J18" s="3" t="n">
        <v>6.5</v>
      </c>
      <c r="K18" s="3" t="n">
        <v>6.5</v>
      </c>
      <c r="L18" s="3" t="n">
        <v>6.5</v>
      </c>
    </row>
    <row r="19" customFormat="false" ht="15" hidden="false" customHeight="false" outlineLevel="0" collapsed="false">
      <c r="A19" s="0" t="s">
        <v>112</v>
      </c>
      <c r="C19" s="3" t="n">
        <v>20</v>
      </c>
      <c r="D19" s="3" t="n">
        <v>20</v>
      </c>
      <c r="E19" s="3" t="n">
        <v>20</v>
      </c>
      <c r="F19" s="3" t="n">
        <v>20</v>
      </c>
      <c r="G19" s="3" t="n">
        <v>20</v>
      </c>
      <c r="H19" s="3" t="n">
        <v>20</v>
      </c>
      <c r="I19" s="3" t="n">
        <v>20</v>
      </c>
      <c r="J19" s="3" t="n">
        <v>20</v>
      </c>
      <c r="K19" s="3" t="n">
        <v>20</v>
      </c>
      <c r="L19" s="3" t="n">
        <v>20</v>
      </c>
    </row>
    <row r="20" customFormat="false" ht="15" hidden="false" customHeight="false" outlineLevel="0" collapsed="false">
      <c r="A20" s="0" t="s">
        <v>113</v>
      </c>
      <c r="B20" s="3" t="n">
        <v>10</v>
      </c>
    </row>
    <row r="21" customFormat="false" ht="15" hidden="false" customHeight="false" outlineLevel="0" collapsed="false">
      <c r="A21" s="0" t="s">
        <v>114</v>
      </c>
      <c r="B21" s="3" t="n">
        <v>1.5</v>
      </c>
    </row>
    <row r="22" customFormat="false" ht="15" hidden="false" customHeight="false" outlineLevel="0" collapsed="false">
      <c r="A22" s="0" t="s">
        <v>115</v>
      </c>
      <c r="B22" s="3" t="n">
        <v>10</v>
      </c>
    </row>
    <row r="23" customFormat="false" ht="15" hidden="false" customHeight="false" outlineLevel="0" collapsed="false">
      <c r="A23" s="0" t="s">
        <v>116</v>
      </c>
      <c r="B23" s="3" t="n">
        <v>-20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-5</v>
      </c>
      <c r="D27" s="3" t="n">
        <v>2</v>
      </c>
      <c r="E27" s="3" t="n">
        <v>4</v>
      </c>
      <c r="F27" s="3" t="n">
        <v>4</v>
      </c>
      <c r="G27" s="3" t="n">
        <v>4</v>
      </c>
      <c r="H27" s="3" t="n">
        <v>3.5</v>
      </c>
      <c r="I27" s="3" t="n">
        <v>3</v>
      </c>
      <c r="J27" s="3" t="n">
        <v>3</v>
      </c>
      <c r="K27" s="3" t="n">
        <v>3</v>
      </c>
      <c r="L27" s="3" t="n">
        <v>3</v>
      </c>
    </row>
    <row r="28" customFormat="false" ht="15" hidden="false" customHeight="false" outlineLevel="0" collapsed="false">
      <c r="A28" s="0" t="s">
        <v>107</v>
      </c>
      <c r="C28" s="3" t="n">
        <v>28</v>
      </c>
      <c r="D28" s="3" t="n">
        <v>29.5</v>
      </c>
      <c r="E28" s="3" t="n">
        <v>30.5</v>
      </c>
      <c r="F28" s="3" t="n">
        <v>31</v>
      </c>
      <c r="G28" s="3" t="n">
        <v>31.5</v>
      </c>
      <c r="H28" s="3" t="n">
        <v>31.5</v>
      </c>
      <c r="I28" s="3" t="n">
        <v>31.5</v>
      </c>
      <c r="J28" s="3" t="n">
        <v>31.5</v>
      </c>
      <c r="K28" s="3" t="n">
        <v>31.5</v>
      </c>
      <c r="L28" s="3" t="n">
        <v>31.5</v>
      </c>
    </row>
    <row r="29" customFormat="false" ht="15" hidden="false" customHeight="false" outlineLevel="0" collapsed="false">
      <c r="A29" s="0" t="s">
        <v>108</v>
      </c>
      <c r="C29" s="3" t="n">
        <v>5.8</v>
      </c>
      <c r="D29" s="3" t="n">
        <v>5.7</v>
      </c>
      <c r="E29" s="3" t="n">
        <v>5.6</v>
      </c>
      <c r="F29" s="3" t="n">
        <v>5.5</v>
      </c>
      <c r="G29" s="3" t="n">
        <v>5.4</v>
      </c>
      <c r="H29" s="3" t="n">
        <v>5.3</v>
      </c>
      <c r="I29" s="3" t="n">
        <v>5.2</v>
      </c>
      <c r="J29" s="3" t="n">
        <v>5.1</v>
      </c>
      <c r="K29" s="3" t="n">
        <v>5</v>
      </c>
      <c r="L29" s="3" t="n">
        <v>5</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7.3</v>
      </c>
      <c r="D31" s="3" t="n">
        <v>7</v>
      </c>
      <c r="E31" s="3" t="n">
        <v>6.8</v>
      </c>
      <c r="F31" s="3" t="n">
        <v>6.6</v>
      </c>
      <c r="G31" s="3" t="n">
        <v>6.5</v>
      </c>
      <c r="H31" s="3" t="n">
        <v>6.3</v>
      </c>
      <c r="I31" s="3" t="n">
        <v>6.2</v>
      </c>
      <c r="J31" s="3" t="n">
        <v>6</v>
      </c>
      <c r="K31" s="3" t="n">
        <v>6</v>
      </c>
      <c r="L31" s="3" t="n">
        <v>6</v>
      </c>
    </row>
    <row r="32" customFormat="false" ht="15" hidden="false" customHeight="false" outlineLevel="0" collapsed="false">
      <c r="A32" s="0" t="s">
        <v>111</v>
      </c>
      <c r="C32" s="3" t="n">
        <v>7</v>
      </c>
      <c r="D32" s="3" t="n">
        <v>6.5</v>
      </c>
      <c r="E32" s="3" t="n">
        <v>6</v>
      </c>
      <c r="F32" s="3" t="n">
        <v>6</v>
      </c>
      <c r="G32" s="3" t="n">
        <v>6</v>
      </c>
      <c r="H32" s="3" t="n">
        <v>6</v>
      </c>
      <c r="I32" s="3" t="n">
        <v>6</v>
      </c>
      <c r="J32" s="3" t="n">
        <v>6</v>
      </c>
      <c r="K32" s="3" t="n">
        <v>6</v>
      </c>
      <c r="L32" s="3" t="n">
        <v>6</v>
      </c>
    </row>
    <row r="33" customFormat="false" ht="15" hidden="false" customHeight="false" outlineLevel="0" collapsed="false">
      <c r="A33" s="0" t="s">
        <v>112</v>
      </c>
      <c r="C33" s="3" t="n">
        <v>20</v>
      </c>
      <c r="D33" s="3" t="n">
        <v>20</v>
      </c>
      <c r="E33" s="3" t="n">
        <v>20</v>
      </c>
      <c r="F33" s="3" t="n">
        <v>20</v>
      </c>
      <c r="G33" s="3" t="n">
        <v>20</v>
      </c>
      <c r="H33" s="3" t="n">
        <v>20</v>
      </c>
      <c r="I33" s="3" t="n">
        <v>20</v>
      </c>
      <c r="J33" s="3" t="n">
        <v>20</v>
      </c>
      <c r="K33" s="3" t="n">
        <v>20</v>
      </c>
      <c r="L33" s="3" t="n">
        <v>20</v>
      </c>
    </row>
    <row r="34" customFormat="false" ht="15" hidden="false" customHeight="false" outlineLevel="0" collapsed="false">
      <c r="A34" s="0" t="s">
        <v>113</v>
      </c>
      <c r="B34" s="3" t="n">
        <v>10</v>
      </c>
    </row>
    <row r="35" customFormat="false" ht="15" hidden="false" customHeight="false" outlineLevel="0" collapsed="false">
      <c r="A35" s="0" t="s">
        <v>114</v>
      </c>
      <c r="B35" s="3" t="n">
        <v>2.5</v>
      </c>
    </row>
    <row r="36" customFormat="false" ht="15" hidden="false" customHeight="false" outlineLevel="0" collapsed="false">
      <c r="A36" s="0" t="s">
        <v>115</v>
      </c>
      <c r="B36" s="3" t="n">
        <v>12</v>
      </c>
    </row>
    <row r="37" customFormat="false" ht="15" hidden="false" customHeight="false" outlineLevel="0" collapsed="false">
      <c r="A37" s="0" t="s">
        <v>116</v>
      </c>
      <c r="B37" s="3" t="n">
        <v>-20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0</v>
      </c>
      <c r="D41" s="3" t="n">
        <v>6</v>
      </c>
      <c r="E41" s="3" t="n">
        <v>7</v>
      </c>
      <c r="F41" s="3" t="n">
        <v>6</v>
      </c>
      <c r="G41" s="3" t="n">
        <v>5</v>
      </c>
      <c r="H41" s="3" t="n">
        <v>4.5</v>
      </c>
      <c r="I41" s="3" t="n">
        <v>4</v>
      </c>
      <c r="J41" s="3" t="n">
        <v>3.5</v>
      </c>
      <c r="K41" s="3" t="n">
        <v>3</v>
      </c>
      <c r="L41" s="3" t="n">
        <v>3</v>
      </c>
    </row>
    <row r="42" customFormat="false" ht="15" hidden="false" customHeight="false" outlineLevel="0" collapsed="false">
      <c r="A42" s="0" t="s">
        <v>107</v>
      </c>
      <c r="C42" s="3" t="n">
        <v>30</v>
      </c>
      <c r="D42" s="3" t="n">
        <v>32</v>
      </c>
      <c r="E42" s="3" t="n">
        <v>33.5</v>
      </c>
      <c r="F42" s="3" t="n">
        <v>34.5</v>
      </c>
      <c r="G42" s="3" t="n">
        <v>35</v>
      </c>
      <c r="H42" s="3" t="n">
        <v>35</v>
      </c>
      <c r="I42" s="3" t="n">
        <v>35</v>
      </c>
      <c r="J42" s="3" t="n">
        <v>35</v>
      </c>
      <c r="K42" s="3" t="n">
        <v>35</v>
      </c>
      <c r="L42" s="3" t="n">
        <v>35</v>
      </c>
    </row>
    <row r="43" customFormat="false" ht="15" hidden="false" customHeight="false" outlineLevel="0" collapsed="false">
      <c r="A43" s="0" t="s">
        <v>108</v>
      </c>
      <c r="C43" s="3" t="n">
        <v>5.6</v>
      </c>
      <c r="D43" s="3" t="n">
        <v>5.4</v>
      </c>
      <c r="E43" s="3" t="n">
        <v>5.2</v>
      </c>
      <c r="F43" s="3" t="n">
        <v>5</v>
      </c>
      <c r="G43" s="3" t="n">
        <v>4.8</v>
      </c>
      <c r="H43" s="3" t="n">
        <v>4.6</v>
      </c>
      <c r="I43" s="3" t="n">
        <v>4.5</v>
      </c>
      <c r="J43" s="3" t="n">
        <v>4.5</v>
      </c>
      <c r="K43" s="3" t="n">
        <v>4.5</v>
      </c>
      <c r="L43" s="3" t="n">
        <v>4.5</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7</v>
      </c>
      <c r="D45" s="3" t="n">
        <v>6.7</v>
      </c>
      <c r="E45" s="3" t="n">
        <v>6.4</v>
      </c>
      <c r="F45" s="3" t="n">
        <v>6.2</v>
      </c>
      <c r="G45" s="3" t="n">
        <v>6</v>
      </c>
      <c r="H45" s="3" t="n">
        <v>5.8</v>
      </c>
      <c r="I45" s="3" t="n">
        <v>5.6</v>
      </c>
      <c r="J45" s="3" t="n">
        <v>5.5</v>
      </c>
      <c r="K45" s="3" t="n">
        <v>5.5</v>
      </c>
      <c r="L45" s="3" t="n">
        <v>5.5</v>
      </c>
    </row>
    <row r="46" customFormat="false" ht="15" hidden="false" customHeight="false" outlineLevel="0" collapsed="false">
      <c r="A46" s="0" t="s">
        <v>111</v>
      </c>
      <c r="C46" s="3" t="n">
        <v>6.5</v>
      </c>
      <c r="D46" s="3" t="n">
        <v>6</v>
      </c>
      <c r="E46" s="3" t="n">
        <v>5.5</v>
      </c>
      <c r="F46" s="3" t="n">
        <v>5.5</v>
      </c>
      <c r="G46" s="3" t="n">
        <v>5.5</v>
      </c>
      <c r="H46" s="3" t="n">
        <v>5.5</v>
      </c>
      <c r="I46" s="3" t="n">
        <v>5.5</v>
      </c>
      <c r="J46" s="3" t="n">
        <v>5.5</v>
      </c>
      <c r="K46" s="3" t="n">
        <v>5.5</v>
      </c>
      <c r="L46" s="3" t="n">
        <v>5.5</v>
      </c>
    </row>
    <row r="47" customFormat="false" ht="15" hidden="false" customHeight="false" outlineLevel="0" collapsed="false">
      <c r="A47" s="0" t="s">
        <v>112</v>
      </c>
      <c r="C47" s="3" t="n">
        <v>20</v>
      </c>
      <c r="D47" s="3" t="n">
        <v>20</v>
      </c>
      <c r="E47" s="3" t="n">
        <v>20</v>
      </c>
      <c r="F47" s="3" t="n">
        <v>20</v>
      </c>
      <c r="G47" s="3" t="n">
        <v>20</v>
      </c>
      <c r="H47" s="3" t="n">
        <v>20</v>
      </c>
      <c r="I47" s="3" t="n">
        <v>20</v>
      </c>
      <c r="J47" s="3" t="n">
        <v>20</v>
      </c>
      <c r="K47" s="3" t="n">
        <v>20</v>
      </c>
      <c r="L47" s="3" t="n">
        <v>20</v>
      </c>
    </row>
    <row r="48" customFormat="false" ht="15" hidden="false" customHeight="false" outlineLevel="0" collapsed="false">
      <c r="A48" s="0" t="s">
        <v>113</v>
      </c>
      <c r="B48" s="3" t="n">
        <v>10</v>
      </c>
    </row>
    <row r="49" customFormat="false" ht="15" hidden="false" customHeight="false" outlineLevel="0" collapsed="false">
      <c r="A49" s="0" t="s">
        <v>114</v>
      </c>
      <c r="B49" s="3" t="n">
        <v>3</v>
      </c>
    </row>
    <row r="50" customFormat="false" ht="15" hidden="false" customHeight="false" outlineLevel="0" collapsed="false">
      <c r="A50" s="0" t="s">
        <v>115</v>
      </c>
      <c r="B50" s="3" t="n">
        <v>14</v>
      </c>
    </row>
    <row r="51" customFormat="false" ht="15" hidden="false" customHeight="false" outlineLevel="0" collapsed="false">
      <c r="A51" s="0" t="s">
        <v>116</v>
      </c>
      <c r="B51" s="3" t="n">
        <v>-20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-12</v>
      </c>
      <c r="D5" s="4" t="n">
        <f aca="false">Assumptions!D13</f>
        <v>-3</v>
      </c>
      <c r="E5" s="4" t="n">
        <f aca="false">Assumptions!E13</f>
        <v>1</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3949</v>
      </c>
      <c r="C6" s="0" t="n">
        <f aca="false">B6*(1+C5/100)</f>
        <v>3475.12</v>
      </c>
      <c r="D6" s="0" t="n">
        <f aca="false">C6*(1+D5/100)</f>
        <v>3370.8664</v>
      </c>
      <c r="E6" s="0" t="n">
        <f aca="false">D6*(1+E5/100)</f>
        <v>3404.575064</v>
      </c>
      <c r="F6" s="0" t="n">
        <f aca="false">E6*(1+F5/100)</f>
        <v>3472.66656528</v>
      </c>
      <c r="G6" s="0" t="n">
        <f aca="false">F6*(1+G5/100)</f>
        <v>3542.1198965856</v>
      </c>
      <c r="H6" s="0" t="n">
        <f aca="false">G6*(1+H5/100)</f>
        <v>3612.96229451731</v>
      </c>
      <c r="I6" s="0" t="n">
        <f aca="false">H6*(1+I5/100)</f>
        <v>3685.22154040766</v>
      </c>
      <c r="J6" s="0" t="n">
        <f aca="false">I6*(1+J5/100)</f>
        <v>3758.92597121581</v>
      </c>
      <c r="K6" s="0" t="n">
        <f aca="false">J6*(1+K5/100)</f>
        <v>3834.10449064013</v>
      </c>
      <c r="L6" s="0" t="n">
        <f aca="false">K6*(1+L5/100)</f>
        <v>3910.78658045293</v>
      </c>
    </row>
    <row r="7" customFormat="false" ht="15" hidden="false" customHeight="false" outlineLevel="0" collapsed="false">
      <c r="A7" s="0" t="s">
        <v>107</v>
      </c>
      <c r="C7" s="4" t="n">
        <f aca="false">Assumptions!C14</f>
        <v>25</v>
      </c>
      <c r="D7" s="4" t="n">
        <f aca="false">Assumptions!D14</f>
        <v>25.5</v>
      </c>
      <c r="E7" s="4" t="n">
        <f aca="false">Assumptions!E14</f>
        <v>26</v>
      </c>
      <c r="F7" s="4" t="n">
        <f aca="false">Assumptions!F14</f>
        <v>26.5</v>
      </c>
      <c r="G7" s="4" t="n">
        <f aca="false">Assumptions!G14</f>
        <v>27</v>
      </c>
      <c r="H7" s="4" t="n">
        <f aca="false">Assumptions!H14</f>
        <v>27</v>
      </c>
      <c r="I7" s="4" t="n">
        <f aca="false">Assumptions!I14</f>
        <v>27</v>
      </c>
      <c r="J7" s="4" t="n">
        <f aca="false">Assumptions!J14</f>
        <v>27</v>
      </c>
      <c r="K7" s="4" t="n">
        <f aca="false">Assumptions!K14</f>
        <v>27</v>
      </c>
      <c r="L7" s="4" t="n">
        <f aca="false">Assumptions!L14</f>
        <v>27</v>
      </c>
    </row>
    <row r="8" customFormat="false" ht="15" hidden="false" customHeight="false" outlineLevel="0" collapsed="false">
      <c r="A8" s="0" t="s">
        <v>43</v>
      </c>
      <c r="C8" s="0" t="n">
        <f aca="false">C6*C7/100</f>
        <v>868.78</v>
      </c>
      <c r="D8" s="0" t="n">
        <f aca="false">D6*D7/100</f>
        <v>859.570932</v>
      </c>
      <c r="E8" s="0" t="n">
        <f aca="false">E6*E7/100</f>
        <v>885.18951664</v>
      </c>
      <c r="F8" s="0" t="n">
        <f aca="false">F6*F7/100</f>
        <v>920.2566397992</v>
      </c>
      <c r="G8" s="0" t="n">
        <f aca="false">G6*G7/100</f>
        <v>956.372372078112</v>
      </c>
      <c r="H8" s="0" t="n">
        <f aca="false">H6*H7/100</f>
        <v>975.499819519674</v>
      </c>
      <c r="I8" s="0" t="n">
        <f aca="false">I6*I7/100</f>
        <v>995.009815910068</v>
      </c>
      <c r="J8" s="0" t="n">
        <f aca="false">J6*J7/100</f>
        <v>1014.91001222827</v>
      </c>
      <c r="K8" s="0" t="n">
        <f aca="false">K6*K7/100</f>
        <v>1035.20821247283</v>
      </c>
      <c r="L8" s="0" t="n">
        <f aca="false">L6*L7/100</f>
        <v>1055.91237672229</v>
      </c>
    </row>
    <row r="9" customFormat="false" ht="15" hidden="false" customHeight="false" outlineLevel="0" collapsed="false">
      <c r="A9" s="0" t="s">
        <v>108</v>
      </c>
      <c r="C9" s="4" t="n">
        <f aca="false">Assumptions!C15</f>
        <v>6.2</v>
      </c>
      <c r="D9" s="4" t="n">
        <f aca="false">Assumptions!D15</f>
        <v>6.1</v>
      </c>
      <c r="E9" s="4" t="n">
        <f aca="false">Assumptions!E15</f>
        <v>6</v>
      </c>
      <c r="F9" s="4" t="n">
        <f aca="false">Assumptions!F15</f>
        <v>5.9</v>
      </c>
      <c r="G9" s="4" t="n">
        <f aca="false">Assumptions!G15</f>
        <v>5.8</v>
      </c>
      <c r="H9" s="4" t="n">
        <f aca="false">Assumptions!H15</f>
        <v>5.7</v>
      </c>
      <c r="I9" s="4" t="n">
        <f aca="false">Assumptions!I15</f>
        <v>5.6</v>
      </c>
      <c r="J9" s="4" t="n">
        <f aca="false">Assumptions!J15</f>
        <v>5.5</v>
      </c>
      <c r="K9" s="4" t="n">
        <f aca="false">Assumptions!K15</f>
        <v>5.5</v>
      </c>
      <c r="L9" s="4" t="n">
        <f aca="false">Assumptions!L15</f>
        <v>5.5</v>
      </c>
    </row>
    <row r="10" customFormat="false" ht="15" hidden="false" customHeight="false" outlineLevel="0" collapsed="false">
      <c r="A10" s="0" t="s">
        <v>123</v>
      </c>
      <c r="C10" s="0" t="n">
        <f aca="false">-C6*C9/100</f>
        <v>-215.45744</v>
      </c>
      <c r="D10" s="0" t="n">
        <f aca="false">-D6*D9/100</f>
        <v>-205.6228504</v>
      </c>
      <c r="E10" s="0" t="n">
        <f aca="false">-E6*E9/100</f>
        <v>-204.27450384</v>
      </c>
      <c r="F10" s="0" t="n">
        <f aca="false">-F6*F9/100</f>
        <v>-204.88732735152</v>
      </c>
      <c r="G10" s="0" t="n">
        <f aca="false">-G6*G9/100</f>
        <v>-205.442954001965</v>
      </c>
      <c r="H10" s="0" t="n">
        <f aca="false">-H6*H9/100</f>
        <v>-205.938850787487</v>
      </c>
      <c r="I10" s="0" t="n">
        <f aca="false">-I6*I9/100</f>
        <v>-206.372406262829</v>
      </c>
      <c r="J10" s="0" t="n">
        <f aca="false">-J6*J9/100</f>
        <v>-206.74092841687</v>
      </c>
      <c r="K10" s="0" t="n">
        <f aca="false">-K6*K9/100</f>
        <v>-210.875746985207</v>
      </c>
      <c r="L10" s="0" t="n">
        <f aca="false">-L6*L9/100</f>
        <v>-215.093261924911</v>
      </c>
    </row>
    <row r="11" customFormat="false" ht="15" hidden="false" customHeight="false" outlineLevel="0" collapsed="false">
      <c r="A11" s="0" t="s">
        <v>124</v>
      </c>
      <c r="C11" s="0" t="n">
        <f aca="false">C8+C10+C24</f>
        <v>653.32256</v>
      </c>
      <c r="D11" s="0" t="n">
        <f aca="false">D8+D10+D24</f>
        <v>653.9480816</v>
      </c>
      <c r="E11" s="0" t="n">
        <f aca="false">E8+E10+E24</f>
        <v>680.9150128</v>
      </c>
      <c r="F11" s="0" t="n">
        <f aca="false">F8+F10+F24</f>
        <v>715.36931244768</v>
      </c>
      <c r="G11" s="0" t="n">
        <f aca="false">G8+G10+G24</f>
        <v>750.929418076147</v>
      </c>
      <c r="H11" s="0" t="n">
        <f aca="false">H8+H10+H24</f>
        <v>769.560968732188</v>
      </c>
      <c r="I11" s="0" t="n">
        <f aca="false">I8+I10+I24</f>
        <v>788.637409647239</v>
      </c>
      <c r="J11" s="0" t="n">
        <f aca="false">J8+J10+J24</f>
        <v>808.1690838114</v>
      </c>
      <c r="K11" s="0" t="n">
        <f aca="false">K8+K10+K24</f>
        <v>824.332465487628</v>
      </c>
      <c r="L11" s="0" t="n">
        <f aca="false">L8+L10+L24</f>
        <v>840.81911479738</v>
      </c>
    </row>
    <row r="12" customFormat="false" ht="15" hidden="false" customHeight="false" outlineLevel="0" collapsed="false">
      <c r="A12" s="0" t="s">
        <v>125</v>
      </c>
      <c r="C12" s="4" t="n">
        <f aca="false">-C6*Assumptions!C17/100</f>
        <v>-271.05936</v>
      </c>
      <c r="D12" s="4" t="n">
        <f aca="false">-D6*Assumptions!D17/100</f>
        <v>-256.1858464</v>
      </c>
      <c r="E12" s="4" t="n">
        <f aca="false">-E6*Assumptions!E17/100</f>
        <v>-248.533979672</v>
      </c>
      <c r="F12" s="4" t="n">
        <f aca="false">-F6*Assumptions!F17/100</f>
        <v>-243.0866595696</v>
      </c>
      <c r="G12" s="4" t="n">
        <f aca="false">-G6*Assumptions!G17/100</f>
        <v>-240.864152967821</v>
      </c>
      <c r="H12" s="4" t="n">
        <f aca="false">-H6*Assumptions!H17/100</f>
        <v>-238.455511438143</v>
      </c>
      <c r="I12" s="4" t="n">
        <f aca="false">-I6*Assumptions!I17/100</f>
        <v>-239.539400126498</v>
      </c>
      <c r="J12" s="4" t="n">
        <f aca="false">-J6*Assumptions!J17/100</f>
        <v>-244.330188129028</v>
      </c>
      <c r="K12" s="4" t="n">
        <f aca="false">-K6*Assumptions!K17/100</f>
        <v>-249.216791891608</v>
      </c>
      <c r="L12" s="4" t="n">
        <f aca="false">-L6*Assumptions!L17/100</f>
        <v>-254.201127729441</v>
      </c>
    </row>
    <row r="13" customFormat="false" ht="15" hidden="false" customHeight="false" outlineLevel="0" collapsed="false">
      <c r="A13" s="0" t="s">
        <v>126</v>
      </c>
      <c r="C13" s="0" t="n">
        <f aca="false">C11+C12</f>
        <v>382.2632</v>
      </c>
      <c r="D13" s="0" t="n">
        <f aca="false">D11+D12</f>
        <v>397.7622352</v>
      </c>
      <c r="E13" s="0" t="n">
        <f aca="false">E11+E12</f>
        <v>432.381033128</v>
      </c>
      <c r="F13" s="0" t="n">
        <f aca="false">F11+F12</f>
        <v>472.28265287808</v>
      </c>
      <c r="G13" s="0" t="n">
        <f aca="false">G11+G12</f>
        <v>510.065265108327</v>
      </c>
      <c r="H13" s="0" t="n">
        <f aca="false">H11+H12</f>
        <v>531.105457294045</v>
      </c>
      <c r="I13" s="0" t="n">
        <f aca="false">I11+I12</f>
        <v>549.098009520741</v>
      </c>
      <c r="J13" s="0" t="n">
        <f aca="false">J11+J12</f>
        <v>563.838895682372</v>
      </c>
      <c r="K13" s="0" t="n">
        <f aca="false">K11+K12</f>
        <v>575.115673596019</v>
      </c>
      <c r="L13" s="0" t="n">
        <f aca="false">L11+L12</f>
        <v>586.61798706794</v>
      </c>
    </row>
    <row r="14" customFormat="false" ht="15" hidden="false" customHeight="false" outlineLevel="0" collapsed="false">
      <c r="A14" s="0" t="s">
        <v>112</v>
      </c>
      <c r="C14" s="4" t="n">
        <f aca="false">Assumptions!C19</f>
        <v>20</v>
      </c>
      <c r="D14" s="4" t="n">
        <f aca="false">Assumptions!D19</f>
        <v>20</v>
      </c>
      <c r="E14" s="4" t="n">
        <f aca="false">Assumptions!E19</f>
        <v>20</v>
      </c>
      <c r="F14" s="4" t="n">
        <f aca="false">Assumptions!F19</f>
        <v>20</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127</v>
      </c>
      <c r="C15" s="0" t="n">
        <f aca="false">C13-MAX(0,C13)*C14/100</f>
        <v>305.81056</v>
      </c>
      <c r="D15" s="0" t="n">
        <f aca="false">D13-MAX(0,D13)*D14/100</f>
        <v>318.20978816</v>
      </c>
      <c r="E15" s="0" t="n">
        <f aca="false">E13-MAX(0,E13)*E14/100</f>
        <v>345.9048265024</v>
      </c>
      <c r="F15" s="0" t="n">
        <f aca="false">F13-MAX(0,F13)*F14/100</f>
        <v>377.826122302464</v>
      </c>
      <c r="G15" s="0" t="n">
        <f aca="false">G13-MAX(0,G13)*G14/100</f>
        <v>408.052212086661</v>
      </c>
      <c r="H15" s="0" t="n">
        <f aca="false">H13-MAX(0,H13)*H14/100</f>
        <v>424.884365835236</v>
      </c>
      <c r="I15" s="0" t="n">
        <f aca="false">I13-MAX(0,I13)*I14/100</f>
        <v>439.278407616593</v>
      </c>
      <c r="J15" s="0" t="n">
        <f aca="false">J13-MAX(0,J13)*J14/100</f>
        <v>451.071116545897</v>
      </c>
      <c r="K15" s="0" t="n">
        <f aca="false">K13-MAX(0,K13)*K14/100</f>
        <v>460.092538876815</v>
      </c>
      <c r="L15" s="0" t="n">
        <f aca="false">L13-MAX(0,L13)*L14/100</f>
        <v>469.294389654352</v>
      </c>
    </row>
    <row r="16" customFormat="false" ht="15" hidden="false" customHeight="false" outlineLevel="0" collapsed="false">
      <c r="A16" s="0" t="s">
        <v>128</v>
      </c>
      <c r="C16" s="0" t="n">
        <f aca="false">-C12</f>
        <v>271.05936</v>
      </c>
      <c r="D16" s="0" t="n">
        <f aca="false">-D12</f>
        <v>256.1858464</v>
      </c>
      <c r="E16" s="0" t="n">
        <f aca="false">-E12</f>
        <v>248.533979672</v>
      </c>
      <c r="F16" s="0" t="n">
        <f aca="false">-F12</f>
        <v>243.0866595696</v>
      </c>
      <c r="G16" s="0" t="n">
        <f aca="false">-G12</f>
        <v>240.864152967821</v>
      </c>
      <c r="H16" s="0" t="n">
        <f aca="false">-H12</f>
        <v>238.455511438143</v>
      </c>
      <c r="I16" s="0" t="n">
        <f aca="false">-I12</f>
        <v>239.539400126498</v>
      </c>
      <c r="J16" s="0" t="n">
        <f aca="false">-J12</f>
        <v>244.330188129028</v>
      </c>
      <c r="K16" s="0" t="n">
        <f aca="false">-K12</f>
        <v>249.216791891608</v>
      </c>
      <c r="L16" s="0" t="n">
        <f aca="false">-L12</f>
        <v>254.201127729441</v>
      </c>
    </row>
    <row r="17" customFormat="false" ht="15" hidden="false" customHeight="false" outlineLevel="0" collapsed="false">
      <c r="A17" s="0" t="s">
        <v>129</v>
      </c>
      <c r="C17" s="4" t="n">
        <f aca="false">-C6*Assumptions!C18/100</f>
        <v>-243.2584</v>
      </c>
      <c r="D17" s="4" t="n">
        <f aca="false">-D6*Assumptions!D18/100</f>
        <v>-219.106316</v>
      </c>
      <c r="E17" s="4" t="n">
        <f aca="false">-E6*Assumptions!E18/100</f>
        <v>-221.29737916</v>
      </c>
      <c r="F17" s="4" t="n">
        <f aca="false">-F6*Assumptions!F18/100</f>
        <v>-225.7233267432</v>
      </c>
      <c r="G17" s="4" t="n">
        <f aca="false">-G6*Assumptions!G18/100</f>
        <v>-230.237793278064</v>
      </c>
      <c r="H17" s="4" t="n">
        <f aca="false">-H6*Assumptions!H18/100</f>
        <v>-234.842549143625</v>
      </c>
      <c r="I17" s="4" t="n">
        <f aca="false">-I6*Assumptions!I18/100</f>
        <v>-239.539400126498</v>
      </c>
      <c r="J17" s="4" t="n">
        <f aca="false">-J6*Assumptions!J18/100</f>
        <v>-244.330188129028</v>
      </c>
      <c r="K17" s="4" t="n">
        <f aca="false">-K6*Assumptions!K18/100</f>
        <v>-249.216791891608</v>
      </c>
      <c r="L17" s="4" t="n">
        <f aca="false">-L6*Assumptions!L18/100</f>
        <v>-254.201127729441</v>
      </c>
    </row>
    <row r="18" customFormat="false" ht="15" hidden="false" customHeight="false" outlineLevel="0" collapsed="false">
      <c r="A18" s="0" t="s">
        <v>130</v>
      </c>
      <c r="C18" s="4" t="n">
        <f aca="false">(C6-B6)*Assumptions!$B$23/100</f>
        <v>94.776</v>
      </c>
      <c r="D18" s="4" t="n">
        <f aca="false">(D6-C6)*Assumptions!$B$23/100</f>
        <v>20.85072</v>
      </c>
      <c r="E18" s="4" t="n">
        <f aca="false">(E6-D6)*Assumptions!$B$23/100</f>
        <v>-6.74173280000005</v>
      </c>
      <c r="F18" s="4" t="n">
        <f aca="false">(F6-E6)*Assumptions!$B$23/100</f>
        <v>-13.618300256</v>
      </c>
      <c r="G18" s="4" t="n">
        <f aca="false">(G6-F6)*Assumptions!$B$23/100</f>
        <v>-13.89066626112</v>
      </c>
      <c r="H18" s="4" t="n">
        <f aca="false">(H6-G6)*Assumptions!$B$23/100</f>
        <v>-14.1684795863424</v>
      </c>
      <c r="I18" s="4" t="n">
        <f aca="false">(I6-H6)*Assumptions!$B$23/100</f>
        <v>-14.4518491780693</v>
      </c>
      <c r="J18" s="4" t="n">
        <f aca="false">(J6-I6)*Assumptions!$B$23/100</f>
        <v>-14.7408861616306</v>
      </c>
      <c r="K18" s="4" t="n">
        <f aca="false">(K6-J6)*Assumptions!$B$23/100</f>
        <v>-15.0357038848632</v>
      </c>
      <c r="L18" s="4" t="n">
        <f aca="false">(L6-K6)*Assumptions!$B$23/100</f>
        <v>-15.3364179625605</v>
      </c>
    </row>
    <row r="19" customFormat="false" ht="15" hidden="false" customHeight="false" outlineLevel="0" collapsed="false">
      <c r="A19" s="0" t="s">
        <v>131</v>
      </c>
      <c r="C19" s="0" t="n">
        <f aca="false">C15+C16+C17+C18</f>
        <v>428.38752</v>
      </c>
      <c r="D19" s="0" t="n">
        <f aca="false">D15+D16+D17+D18</f>
        <v>376.14003856</v>
      </c>
      <c r="E19" s="0" t="n">
        <f aca="false">E15+E16+E17+E18</f>
        <v>366.3996942144</v>
      </c>
      <c r="F19" s="0" t="n">
        <f aca="false">F15+F16+F17+F18</f>
        <v>381.571154872864</v>
      </c>
      <c r="G19" s="0" t="n">
        <f aca="false">G15+G16+G17+G18</f>
        <v>404.787905515298</v>
      </c>
      <c r="H19" s="0" t="n">
        <f aca="false">H15+H16+H17+H18</f>
        <v>414.328848543411</v>
      </c>
      <c r="I19" s="0" t="n">
        <f aca="false">I15+I16+I17+I18</f>
        <v>424.826558438524</v>
      </c>
      <c r="J19" s="0" t="n">
        <f aca="false">J15+J16+J17+J18</f>
        <v>436.330230384267</v>
      </c>
      <c r="K19" s="0" t="n">
        <f aca="false">K15+K16+K17+K18</f>
        <v>445.056834991952</v>
      </c>
      <c r="L19" s="0" t="n">
        <f aca="false">L15+L16+L17+L18</f>
        <v>453.957971691791</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389.4432</v>
      </c>
      <c r="D21" s="0" t="n">
        <f aca="false">D19*D20</f>
        <v>310.859536</v>
      </c>
      <c r="E21" s="0" t="n">
        <f aca="false">E19*E20</f>
        <v>275.281513309091</v>
      </c>
      <c r="F21" s="0" t="n">
        <f aca="false">F19*F20</f>
        <v>260.618232957355</v>
      </c>
      <c r="G21" s="0" t="n">
        <f aca="false">G19*G20</f>
        <v>251.341441850903</v>
      </c>
      <c r="H21" s="0" t="n">
        <f aca="false">H19*H20</f>
        <v>233.877833471955</v>
      </c>
      <c r="I21" s="0" t="n">
        <f aca="false">I19*I20</f>
        <v>218.00319730274</v>
      </c>
      <c r="J21" s="0" t="n">
        <f aca="false">J19*J20</f>
        <v>203.551272682874</v>
      </c>
      <c r="K21" s="0" t="n">
        <f aca="false">K19*K20</f>
        <v>188.747543760483</v>
      </c>
      <c r="L21" s="0" t="n">
        <f aca="false">L19*L20</f>
        <v>175.020449668811</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10</v>
      </c>
    </row>
    <row r="28" customFormat="false" ht="15" hidden="false" customHeight="false" outlineLevel="0" collapsed="false">
      <c r="A28" s="0" t="s">
        <v>114</v>
      </c>
      <c r="B28" s="4" t="n">
        <f aca="false">Assumptions!$B$21</f>
        <v>1.5</v>
      </c>
    </row>
    <row r="29" customFormat="false" ht="15" hidden="false" customHeight="false" outlineLevel="0" collapsed="false">
      <c r="A29" s="0" t="s">
        <v>115</v>
      </c>
      <c r="B29" s="4" t="n">
        <f aca="false">Assumptions!$B$22</f>
        <v>10</v>
      </c>
    </row>
    <row r="30" customFormat="false" ht="15" hidden="false" customHeight="false" outlineLevel="0" collapsed="false">
      <c r="A30" s="0" t="s">
        <v>136</v>
      </c>
      <c r="B30" s="0" t="n">
        <f aca="false">SUM(C21:L21)</f>
        <v>2506.74422100421</v>
      </c>
    </row>
    <row r="31" customFormat="false" ht="15" hidden="false" customHeight="false" outlineLevel="0" collapsed="false">
      <c r="A31" s="0" t="s">
        <v>137</v>
      </c>
      <c r="B31" s="0" t="n">
        <f aca="false">L19</f>
        <v>453.957971691791</v>
      </c>
    </row>
    <row r="32" customFormat="false" ht="15" hidden="false" customHeight="false" outlineLevel="0" collapsed="false">
      <c r="A32" s="0" t="s">
        <v>138</v>
      </c>
      <c r="B32" s="0" t="n">
        <f aca="false">IF(B27&gt;B28,B31*(1+B28/100)/((B27-B28)/100),B31*B29)</f>
        <v>5420.79225020198</v>
      </c>
    </row>
    <row r="33" customFormat="false" ht="15" hidden="false" customHeight="false" outlineLevel="0" collapsed="false">
      <c r="A33" s="0" t="s">
        <v>139</v>
      </c>
      <c r="B33" s="0" t="n">
        <f aca="false">B31*B29</f>
        <v>4539.57971691791</v>
      </c>
    </row>
    <row r="34" customFormat="false" ht="15" hidden="false" customHeight="false" outlineLevel="0" collapsed="false">
      <c r="A34" s="0" t="s">
        <v>140</v>
      </c>
      <c r="B34" s="0" t="n">
        <f aca="false">MAX(0,MIN(B32,B33))</f>
        <v>4539.57971691791</v>
      </c>
    </row>
    <row r="35" customFormat="false" ht="15" hidden="false" customHeight="false" outlineLevel="0" collapsed="false">
      <c r="A35" s="0" t="s">
        <v>141</v>
      </c>
      <c r="B35" s="0" t="n">
        <f aca="false">B34/(1+B27/100)^L4</f>
        <v>1750.20449668811</v>
      </c>
    </row>
    <row r="36" customFormat="false" ht="15" hidden="false" customHeight="false" outlineLevel="0" collapsed="false">
      <c r="A36" s="0" t="s">
        <v>142</v>
      </c>
      <c r="B36" s="0" t="n">
        <f aca="false">B30+B35</f>
        <v>4256.94871769233</v>
      </c>
    </row>
    <row r="37" customFormat="false" ht="15" hidden="false" customHeight="false" outlineLevel="0" collapsed="false">
      <c r="A37" s="0" t="s">
        <v>143</v>
      </c>
      <c r="B37" s="0" t="n">
        <f aca="false">B36+Assumptions!$B$5-Assumptions!$B$4</f>
        <v>4573.84871769232</v>
      </c>
    </row>
    <row r="38" customFormat="false" ht="15" hidden="false" customHeight="false" outlineLevel="0" collapsed="false">
      <c r="A38" s="0" t="s">
        <v>144</v>
      </c>
      <c r="B38" s="0" t="n">
        <f aca="false">B37/Assumptions!$B$3*Assumptions!$B$10</f>
        <v>30.210361411442</v>
      </c>
    </row>
    <row r="39" customFormat="false" ht="15" hidden="false" customHeight="false" outlineLevel="0" collapsed="false">
      <c r="A39" s="0" t="s">
        <v>145</v>
      </c>
      <c r="B39" s="4" t="n">
        <f aca="false">B38/Assumptions!$B$2-1</f>
        <v>-0.63672004074745</v>
      </c>
    </row>
    <row r="41" customFormat="false" ht="15" hidden="false" customHeight="false" outlineLevel="0" collapsed="false">
      <c r="A41" s="0" t="s">
        <v>146</v>
      </c>
      <c r="B41" s="0" t="n">
        <f aca="false">SUMPRODUCT(-C10:L10/(1+$B$27/100)^C4:L4)</f>
        <v>1277.74043321961</v>
      </c>
    </row>
    <row r="42" customFormat="false" ht="15" hidden="false" customHeight="false" outlineLevel="0" collapsed="false">
      <c r="A42" s="0" t="s">
        <v>147</v>
      </c>
      <c r="B42" s="0" t="n">
        <f aca="false">IF(B27&gt;B28,-L10*(1+B28/100)/((B27-B28)/100),-L10*20)/(1+B27/100)^L4</f>
        <v>990.255061090681</v>
      </c>
    </row>
    <row r="43" customFormat="false" ht="15" hidden="false" customHeight="false" outlineLevel="0" collapsed="false">
      <c r="A43" s="0" t="s">
        <v>148</v>
      </c>
      <c r="B43" s="0" t="n">
        <f aca="false">(B37+B41+B42)/Assumptions!$B$3*Assumptions!$B$10</f>
        <v>45.190516591827</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3413.09141679384</v>
      </c>
    </row>
    <row r="47" customFormat="false" ht="15" hidden="false" customHeight="false" outlineLevel="0" collapsed="false">
      <c r="A47" s="0" t="s">
        <v>150</v>
      </c>
      <c r="B47" s="0" t="n">
        <f aca="false">(SUMPRODUCT(C19:L19/(1+B45/100)^C4:L4)+B46/(1+B45/100)^L4+Assumptions!$B$5-Assumptions!$B$4)/Assumptions!$B$3*Assumptions!$B$10</f>
        <v>21.122956231403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-5</v>
      </c>
      <c r="D5" s="4" t="n">
        <f aca="false">Assumptions!D27</f>
        <v>2</v>
      </c>
      <c r="E5" s="4" t="n">
        <f aca="false">Assumptions!E27</f>
        <v>4</v>
      </c>
      <c r="F5" s="4" t="n">
        <f aca="false">Assumptions!F27</f>
        <v>4</v>
      </c>
      <c r="G5" s="4" t="n">
        <f aca="false">Assumptions!G27</f>
        <v>4</v>
      </c>
      <c r="H5" s="4" t="n">
        <f aca="false">Assumptions!H27</f>
        <v>3.5</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37</v>
      </c>
      <c r="B6" s="3" t="n">
        <v>3949</v>
      </c>
      <c r="C6" s="0" t="n">
        <f aca="false">B6*(1+C5/100)</f>
        <v>3751.55</v>
      </c>
      <c r="D6" s="0" t="n">
        <f aca="false">C6*(1+D5/100)</f>
        <v>3826.581</v>
      </c>
      <c r="E6" s="0" t="n">
        <f aca="false">D6*(1+E5/100)</f>
        <v>3979.64424</v>
      </c>
      <c r="F6" s="0" t="n">
        <f aca="false">E6*(1+F5/100)</f>
        <v>4138.8300096</v>
      </c>
      <c r="G6" s="0" t="n">
        <f aca="false">F6*(1+G5/100)</f>
        <v>4304.383209984</v>
      </c>
      <c r="H6" s="0" t="n">
        <f aca="false">G6*(1+H5/100)</f>
        <v>4455.03662233344</v>
      </c>
      <c r="I6" s="0" t="n">
        <f aca="false">H6*(1+I5/100)</f>
        <v>4588.68772100344</v>
      </c>
      <c r="J6" s="0" t="n">
        <f aca="false">I6*(1+J5/100)</f>
        <v>4726.34835263355</v>
      </c>
      <c r="K6" s="0" t="n">
        <f aca="false">J6*(1+K5/100)</f>
        <v>4868.13880321255</v>
      </c>
      <c r="L6" s="0" t="n">
        <f aca="false">K6*(1+L5/100)</f>
        <v>5014.18296730893</v>
      </c>
    </row>
    <row r="7" customFormat="false" ht="15" hidden="false" customHeight="false" outlineLevel="0" collapsed="false">
      <c r="A7" s="0" t="s">
        <v>107</v>
      </c>
      <c r="C7" s="4" t="n">
        <f aca="false">Assumptions!C28</f>
        <v>28</v>
      </c>
      <c r="D7" s="4" t="n">
        <f aca="false">Assumptions!D28</f>
        <v>29.5</v>
      </c>
      <c r="E7" s="4" t="n">
        <f aca="false">Assumptions!E28</f>
        <v>30.5</v>
      </c>
      <c r="F7" s="4" t="n">
        <f aca="false">Assumptions!F28</f>
        <v>31</v>
      </c>
      <c r="G7" s="4" t="n">
        <f aca="false">Assumptions!G28</f>
        <v>31.5</v>
      </c>
      <c r="H7" s="4" t="n">
        <f aca="false">Assumptions!H28</f>
        <v>31.5</v>
      </c>
      <c r="I7" s="4" t="n">
        <f aca="false">Assumptions!I28</f>
        <v>31.5</v>
      </c>
      <c r="J7" s="4" t="n">
        <f aca="false">Assumptions!J28</f>
        <v>31.5</v>
      </c>
      <c r="K7" s="4" t="n">
        <f aca="false">Assumptions!K28</f>
        <v>31.5</v>
      </c>
      <c r="L7" s="4" t="n">
        <f aca="false">Assumptions!L28</f>
        <v>31.5</v>
      </c>
    </row>
    <row r="8" customFormat="false" ht="15" hidden="false" customHeight="false" outlineLevel="0" collapsed="false">
      <c r="A8" s="0" t="s">
        <v>43</v>
      </c>
      <c r="C8" s="0" t="n">
        <f aca="false">C6*C7/100</f>
        <v>1050.434</v>
      </c>
      <c r="D8" s="0" t="n">
        <f aca="false">D6*D7/100</f>
        <v>1128.841395</v>
      </c>
      <c r="E8" s="0" t="n">
        <f aca="false">E6*E7/100</f>
        <v>1213.7914932</v>
      </c>
      <c r="F8" s="0" t="n">
        <f aca="false">F6*F7/100</f>
        <v>1283.037302976</v>
      </c>
      <c r="G8" s="0" t="n">
        <f aca="false">G6*G7/100</f>
        <v>1355.88071114496</v>
      </c>
      <c r="H8" s="0" t="n">
        <f aca="false">H6*H7/100</f>
        <v>1403.33653603503</v>
      </c>
      <c r="I8" s="0" t="n">
        <f aca="false">I6*I7/100</f>
        <v>1445.43663211608</v>
      </c>
      <c r="J8" s="0" t="n">
        <f aca="false">J6*J7/100</f>
        <v>1488.79973107957</v>
      </c>
      <c r="K8" s="0" t="n">
        <f aca="false">K6*K7/100</f>
        <v>1533.46372301195</v>
      </c>
      <c r="L8" s="0" t="n">
        <f aca="false">L6*L7/100</f>
        <v>1579.46763470231</v>
      </c>
    </row>
    <row r="9" customFormat="false" ht="15" hidden="false" customHeight="false" outlineLevel="0" collapsed="false">
      <c r="A9" s="0" t="s">
        <v>108</v>
      </c>
      <c r="C9" s="4" t="n">
        <f aca="false">Assumptions!C29</f>
        <v>5.8</v>
      </c>
      <c r="D9" s="4" t="n">
        <f aca="false">Assumptions!D29</f>
        <v>5.7</v>
      </c>
      <c r="E9" s="4" t="n">
        <f aca="false">Assumptions!E29</f>
        <v>5.6</v>
      </c>
      <c r="F9" s="4" t="n">
        <f aca="false">Assumptions!F29</f>
        <v>5.5</v>
      </c>
      <c r="G9" s="4" t="n">
        <f aca="false">Assumptions!G29</f>
        <v>5.4</v>
      </c>
      <c r="H9" s="4" t="n">
        <f aca="false">Assumptions!H29</f>
        <v>5.3</v>
      </c>
      <c r="I9" s="4" t="n">
        <f aca="false">Assumptions!I29</f>
        <v>5.2</v>
      </c>
      <c r="J9" s="4" t="n">
        <f aca="false">Assumptions!J29</f>
        <v>5.1</v>
      </c>
      <c r="K9" s="4" t="n">
        <f aca="false">Assumptions!K29</f>
        <v>5</v>
      </c>
      <c r="L9" s="4" t="n">
        <f aca="false">Assumptions!L29</f>
        <v>5</v>
      </c>
    </row>
    <row r="10" customFormat="false" ht="15" hidden="false" customHeight="false" outlineLevel="0" collapsed="false">
      <c r="A10" s="0" t="s">
        <v>123</v>
      </c>
      <c r="C10" s="0" t="n">
        <f aca="false">-C6*C9/100</f>
        <v>-217.5899</v>
      </c>
      <c r="D10" s="0" t="n">
        <f aca="false">-D6*D9/100</f>
        <v>-218.115117</v>
      </c>
      <c r="E10" s="0" t="n">
        <f aca="false">-E6*E9/100</f>
        <v>-222.86007744</v>
      </c>
      <c r="F10" s="0" t="n">
        <f aca="false">-F6*F9/100</f>
        <v>-227.635650528</v>
      </c>
      <c r="G10" s="0" t="n">
        <f aca="false">-G6*G9/100</f>
        <v>-232.436693339136</v>
      </c>
      <c r="H10" s="0" t="n">
        <f aca="false">-H6*H9/100</f>
        <v>-236.116940983672</v>
      </c>
      <c r="I10" s="0" t="n">
        <f aca="false">-I6*I9/100</f>
        <v>-238.611761492179</v>
      </c>
      <c r="J10" s="0" t="n">
        <f aca="false">-J6*J9/100</f>
        <v>-241.043765984311</v>
      </c>
      <c r="K10" s="0" t="n">
        <f aca="false">-K6*K9/100</f>
        <v>-243.406940160628</v>
      </c>
      <c r="L10" s="0" t="n">
        <f aca="false">-L6*L9/100</f>
        <v>-250.709148365446</v>
      </c>
    </row>
    <row r="11" customFormat="false" ht="15" hidden="false" customHeight="false" outlineLevel="0" collapsed="false">
      <c r="A11" s="0" t="s">
        <v>124</v>
      </c>
      <c r="C11" s="0" t="n">
        <f aca="false">C8+C10+C24</f>
        <v>832.8441</v>
      </c>
      <c r="D11" s="0" t="n">
        <f aca="false">D8+D10+D24</f>
        <v>910.726278</v>
      </c>
      <c r="E11" s="0" t="n">
        <f aca="false">E8+E10+E24</f>
        <v>990.93141576</v>
      </c>
      <c r="F11" s="0" t="n">
        <f aca="false">F8+F10+F24</f>
        <v>1055.401652448</v>
      </c>
      <c r="G11" s="0" t="n">
        <f aca="false">G8+G10+G24</f>
        <v>1123.44401780582</v>
      </c>
      <c r="H11" s="0" t="n">
        <f aca="false">H8+H10+H24</f>
        <v>1167.21959505136</v>
      </c>
      <c r="I11" s="0" t="n">
        <f aca="false">I8+I10+I24</f>
        <v>1206.82487062391</v>
      </c>
      <c r="J11" s="0" t="n">
        <f aca="false">J8+J10+J24</f>
        <v>1247.75596509526</v>
      </c>
      <c r="K11" s="0" t="n">
        <f aca="false">K8+K10+K24</f>
        <v>1290.05678285133</v>
      </c>
      <c r="L11" s="0" t="n">
        <f aca="false">L8+L10+L24</f>
        <v>1328.75848633687</v>
      </c>
    </row>
    <row r="12" customFormat="false" ht="15" hidden="false" customHeight="false" outlineLevel="0" collapsed="false">
      <c r="A12" s="0" t="s">
        <v>125</v>
      </c>
      <c r="C12" s="4" t="n">
        <f aca="false">-C6*Assumptions!C31/100</f>
        <v>-273.86315</v>
      </c>
      <c r="D12" s="4" t="n">
        <f aca="false">-D6*Assumptions!D31/100</f>
        <v>-267.86067</v>
      </c>
      <c r="E12" s="4" t="n">
        <f aca="false">-E6*Assumptions!E31/100</f>
        <v>-270.61580832</v>
      </c>
      <c r="F12" s="4" t="n">
        <f aca="false">-F6*Assumptions!F31/100</f>
        <v>-273.1627806336</v>
      </c>
      <c r="G12" s="4" t="n">
        <f aca="false">-G6*Assumptions!G31/100</f>
        <v>-279.78490864896</v>
      </c>
      <c r="H12" s="4" t="n">
        <f aca="false">-H6*Assumptions!H31/100</f>
        <v>-280.667307207007</v>
      </c>
      <c r="I12" s="4" t="n">
        <f aca="false">-I6*Assumptions!I31/100</f>
        <v>-284.498638702213</v>
      </c>
      <c r="J12" s="4" t="n">
        <f aca="false">-J6*Assumptions!J31/100</f>
        <v>-283.580901158013</v>
      </c>
      <c r="K12" s="4" t="n">
        <f aca="false">-K6*Assumptions!K31/100</f>
        <v>-292.088328192753</v>
      </c>
      <c r="L12" s="4" t="n">
        <f aca="false">-L6*Assumptions!L31/100</f>
        <v>-300.850978038536</v>
      </c>
    </row>
    <row r="13" customFormat="false" ht="15" hidden="false" customHeight="false" outlineLevel="0" collapsed="false">
      <c r="A13" s="0" t="s">
        <v>126</v>
      </c>
      <c r="C13" s="0" t="n">
        <f aca="false">C11+C12</f>
        <v>558.98095</v>
      </c>
      <c r="D13" s="0" t="n">
        <f aca="false">D11+D12</f>
        <v>642.865608</v>
      </c>
      <c r="E13" s="0" t="n">
        <f aca="false">E11+E12</f>
        <v>720.31560744</v>
      </c>
      <c r="F13" s="0" t="n">
        <f aca="false">F11+F12</f>
        <v>782.2388718144</v>
      </c>
      <c r="G13" s="0" t="n">
        <f aca="false">G11+G12</f>
        <v>843.659109156864</v>
      </c>
      <c r="H13" s="0" t="n">
        <f aca="false">H11+H12</f>
        <v>886.552287844354</v>
      </c>
      <c r="I13" s="0" t="n">
        <f aca="false">I11+I12</f>
        <v>922.326231921692</v>
      </c>
      <c r="J13" s="0" t="n">
        <f aca="false">J11+J12</f>
        <v>964.175063937243</v>
      </c>
      <c r="K13" s="0" t="n">
        <f aca="false">K11+K12</f>
        <v>997.968454658573</v>
      </c>
      <c r="L13" s="0" t="n">
        <f aca="false">L11+L12</f>
        <v>1027.90750829833</v>
      </c>
    </row>
    <row r="14" customFormat="false" ht="15" hidden="false" customHeight="false" outlineLevel="0" collapsed="false">
      <c r="A14" s="0" t="s">
        <v>112</v>
      </c>
      <c r="C14" s="4" t="n">
        <f aca="false">Assumptions!C33</f>
        <v>20</v>
      </c>
      <c r="D14" s="4" t="n">
        <f aca="false">Assumptions!D33</f>
        <v>20</v>
      </c>
      <c r="E14" s="4" t="n">
        <f aca="false">Assumptions!E33</f>
        <v>20</v>
      </c>
      <c r="F14" s="4" t="n">
        <f aca="false">Assumptions!F33</f>
        <v>20</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127</v>
      </c>
      <c r="C15" s="0" t="n">
        <f aca="false">C13-MAX(0,C13)*C14/100</f>
        <v>447.18476</v>
      </c>
      <c r="D15" s="0" t="n">
        <f aca="false">D13-MAX(0,D13)*D14/100</f>
        <v>514.2924864</v>
      </c>
      <c r="E15" s="0" t="n">
        <f aca="false">E13-MAX(0,E13)*E14/100</f>
        <v>576.252485952</v>
      </c>
      <c r="F15" s="0" t="n">
        <f aca="false">F13-MAX(0,F13)*F14/100</f>
        <v>625.79109745152</v>
      </c>
      <c r="G15" s="0" t="n">
        <f aca="false">G13-MAX(0,G13)*G14/100</f>
        <v>674.927287325491</v>
      </c>
      <c r="H15" s="0" t="n">
        <f aca="false">H13-MAX(0,H13)*H14/100</f>
        <v>709.241830275483</v>
      </c>
      <c r="I15" s="0" t="n">
        <f aca="false">I13-MAX(0,I13)*I14/100</f>
        <v>737.860985537353</v>
      </c>
      <c r="J15" s="0" t="n">
        <f aca="false">J13-MAX(0,J13)*J14/100</f>
        <v>771.340051149795</v>
      </c>
      <c r="K15" s="0" t="n">
        <f aca="false">K13-MAX(0,K13)*K14/100</f>
        <v>798.374763726859</v>
      </c>
      <c r="L15" s="0" t="n">
        <f aca="false">L13-MAX(0,L13)*L14/100</f>
        <v>822.326006638664</v>
      </c>
    </row>
    <row r="16" customFormat="false" ht="15" hidden="false" customHeight="false" outlineLevel="0" collapsed="false">
      <c r="A16" s="0" t="s">
        <v>128</v>
      </c>
      <c r="C16" s="0" t="n">
        <f aca="false">-C12</f>
        <v>273.86315</v>
      </c>
      <c r="D16" s="0" t="n">
        <f aca="false">-D12</f>
        <v>267.86067</v>
      </c>
      <c r="E16" s="0" t="n">
        <f aca="false">-E12</f>
        <v>270.61580832</v>
      </c>
      <c r="F16" s="0" t="n">
        <f aca="false">-F12</f>
        <v>273.1627806336</v>
      </c>
      <c r="G16" s="0" t="n">
        <f aca="false">-G12</f>
        <v>279.78490864896</v>
      </c>
      <c r="H16" s="0" t="n">
        <f aca="false">-H12</f>
        <v>280.667307207007</v>
      </c>
      <c r="I16" s="0" t="n">
        <f aca="false">-I12</f>
        <v>284.498638702213</v>
      </c>
      <c r="J16" s="0" t="n">
        <f aca="false">-J12</f>
        <v>283.580901158013</v>
      </c>
      <c r="K16" s="0" t="n">
        <f aca="false">-K12</f>
        <v>292.088328192753</v>
      </c>
      <c r="L16" s="0" t="n">
        <f aca="false">-L12</f>
        <v>300.850978038536</v>
      </c>
    </row>
    <row r="17" customFormat="false" ht="15" hidden="false" customHeight="false" outlineLevel="0" collapsed="false">
      <c r="A17" s="0" t="s">
        <v>129</v>
      </c>
      <c r="C17" s="4" t="n">
        <f aca="false">-C6*Assumptions!C32/100</f>
        <v>-262.6085</v>
      </c>
      <c r="D17" s="4" t="n">
        <f aca="false">-D6*Assumptions!D32/100</f>
        <v>-248.727765</v>
      </c>
      <c r="E17" s="4" t="n">
        <f aca="false">-E6*Assumptions!E32/100</f>
        <v>-238.7786544</v>
      </c>
      <c r="F17" s="4" t="n">
        <f aca="false">-F6*Assumptions!F32/100</f>
        <v>-248.329800576</v>
      </c>
      <c r="G17" s="4" t="n">
        <f aca="false">-G6*Assumptions!G32/100</f>
        <v>-258.26299259904</v>
      </c>
      <c r="H17" s="4" t="n">
        <f aca="false">-H6*Assumptions!H32/100</f>
        <v>-267.302197340006</v>
      </c>
      <c r="I17" s="4" t="n">
        <f aca="false">-I6*Assumptions!I32/100</f>
        <v>-275.321263260207</v>
      </c>
      <c r="J17" s="4" t="n">
        <f aca="false">-J6*Assumptions!J32/100</f>
        <v>-283.580901158013</v>
      </c>
      <c r="K17" s="4" t="n">
        <f aca="false">-K6*Assumptions!K32/100</f>
        <v>-292.088328192753</v>
      </c>
      <c r="L17" s="4" t="n">
        <f aca="false">-L6*Assumptions!L32/100</f>
        <v>-300.850978038536</v>
      </c>
    </row>
    <row r="18" customFormat="false" ht="15" hidden="false" customHeight="false" outlineLevel="0" collapsed="false">
      <c r="A18" s="0" t="s">
        <v>130</v>
      </c>
      <c r="C18" s="4" t="n">
        <f aca="false">(C6-B6)*Assumptions!$B$37/100</f>
        <v>39.4900000000001</v>
      </c>
      <c r="D18" s="4" t="n">
        <f aca="false">(D6-C6)*Assumptions!$B$37/100</f>
        <v>-15.0062</v>
      </c>
      <c r="E18" s="4" t="n">
        <f aca="false">(E6-D6)*Assumptions!$B$37/100</f>
        <v>-30.612648</v>
      </c>
      <c r="F18" s="4" t="n">
        <f aca="false">(F6-E6)*Assumptions!$B$37/100</f>
        <v>-31.8371539199999</v>
      </c>
      <c r="G18" s="4" t="n">
        <f aca="false">(G6-F6)*Assumptions!$B$37/100</f>
        <v>-33.1106400768</v>
      </c>
      <c r="H18" s="4" t="n">
        <f aca="false">(H6-G6)*Assumptions!$B$37/100</f>
        <v>-30.1306824698879</v>
      </c>
      <c r="I18" s="4" t="n">
        <f aca="false">(I6-H6)*Assumptions!$B$37/100</f>
        <v>-26.7302197340006</v>
      </c>
      <c r="J18" s="4" t="n">
        <f aca="false">(J6-I6)*Assumptions!$B$37/100</f>
        <v>-27.5321263260206</v>
      </c>
      <c r="K18" s="4" t="n">
        <f aca="false">(K6-J6)*Assumptions!$B$37/100</f>
        <v>-28.3580901158013</v>
      </c>
      <c r="L18" s="4" t="n">
        <f aca="false">(L6-K6)*Assumptions!$B$37/100</f>
        <v>-29.2088328192753</v>
      </c>
    </row>
    <row r="19" customFormat="false" ht="15" hidden="false" customHeight="false" outlineLevel="0" collapsed="false">
      <c r="A19" s="0" t="s">
        <v>131</v>
      </c>
      <c r="C19" s="0" t="n">
        <f aca="false">C15+C16+C17+C18</f>
        <v>497.92941</v>
      </c>
      <c r="D19" s="0" t="n">
        <f aca="false">D15+D16+D17+D18</f>
        <v>518.4191914</v>
      </c>
      <c r="E19" s="0" t="n">
        <f aca="false">E15+E16+E17+E18</f>
        <v>577.476991872</v>
      </c>
      <c r="F19" s="0" t="n">
        <f aca="false">F15+F16+F17+F18</f>
        <v>618.78692358912</v>
      </c>
      <c r="G19" s="0" t="n">
        <f aca="false">G15+G16+G17+G18</f>
        <v>663.338563298611</v>
      </c>
      <c r="H19" s="0" t="n">
        <f aca="false">H15+H16+H17+H18</f>
        <v>692.476257672596</v>
      </c>
      <c r="I19" s="0" t="n">
        <f aca="false">I15+I16+I17+I18</f>
        <v>720.30814124536</v>
      </c>
      <c r="J19" s="0" t="n">
        <f aca="false">J15+J16+J17+J18</f>
        <v>743.807924823774</v>
      </c>
      <c r="K19" s="0" t="n">
        <f aca="false">K15+K16+K17+K18</f>
        <v>770.016673611057</v>
      </c>
      <c r="L19" s="0" t="n">
        <f aca="false">L15+L16+L17+L18</f>
        <v>793.117173819389</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452.6631</v>
      </c>
      <c r="D21" s="0" t="n">
        <f aca="false">D19*D20</f>
        <v>428.445612727273</v>
      </c>
      <c r="E21" s="0" t="n">
        <f aca="false">E19*E20</f>
        <v>433.867011173554</v>
      </c>
      <c r="F21" s="0" t="n">
        <f aca="false">F19*F20</f>
        <v>422.639794815327</v>
      </c>
      <c r="G21" s="0" t="n">
        <f aca="false">G19*G20</f>
        <v>411.881058359533</v>
      </c>
      <c r="H21" s="0" t="n">
        <f aca="false">H19*H20</f>
        <v>390.884794637382</v>
      </c>
      <c r="I21" s="0" t="n">
        <f aca="false">I19*I20</f>
        <v>369.631970307727</v>
      </c>
      <c r="J21" s="0" t="n">
        <f aca="false">J19*J20</f>
        <v>346.991886388777</v>
      </c>
      <c r="K21" s="0" t="n">
        <f aca="false">K19*K20</f>
        <v>326.562237385552</v>
      </c>
      <c r="L21" s="0" t="n">
        <f aca="false">L19*L20</f>
        <v>305.781004097381</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10</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12</v>
      </c>
    </row>
    <row r="30" customFormat="false" ht="15" hidden="false" customHeight="false" outlineLevel="0" collapsed="false">
      <c r="A30" s="0" t="s">
        <v>136</v>
      </c>
      <c r="B30" s="0" t="n">
        <f aca="false">SUM(C21:L21)</f>
        <v>3889.3484698925</v>
      </c>
    </row>
    <row r="31" customFormat="false" ht="15" hidden="false" customHeight="false" outlineLevel="0" collapsed="false">
      <c r="A31" s="0" t="s">
        <v>137</v>
      </c>
      <c r="B31" s="0" t="n">
        <f aca="false">L19</f>
        <v>793.117173819389</v>
      </c>
    </row>
    <row r="32" customFormat="false" ht="15" hidden="false" customHeight="false" outlineLevel="0" collapsed="false">
      <c r="A32" s="0" t="s">
        <v>138</v>
      </c>
      <c r="B32" s="0" t="n">
        <f aca="false">IF(B27&gt;B28,B31*(1+B28/100)/((B27-B28)/100),B31*B29)</f>
        <v>10839.2680421983</v>
      </c>
    </row>
    <row r="33" customFormat="false" ht="15" hidden="false" customHeight="false" outlineLevel="0" collapsed="false">
      <c r="A33" s="0" t="s">
        <v>139</v>
      </c>
      <c r="B33" s="0" t="n">
        <f aca="false">B31*B29</f>
        <v>9517.40608583267</v>
      </c>
    </row>
    <row r="34" customFormat="false" ht="15" hidden="false" customHeight="false" outlineLevel="0" collapsed="false">
      <c r="A34" s="0" t="s">
        <v>140</v>
      </c>
      <c r="B34" s="0" t="n">
        <f aca="false">MAX(0,MIN(B32,B33))</f>
        <v>9517.40608583267</v>
      </c>
    </row>
    <row r="35" customFormat="false" ht="15" hidden="false" customHeight="false" outlineLevel="0" collapsed="false">
      <c r="A35" s="0" t="s">
        <v>141</v>
      </c>
      <c r="B35" s="0" t="n">
        <f aca="false">B34/(1+B27/100)^L4</f>
        <v>3669.37204916857</v>
      </c>
    </row>
    <row r="36" customFormat="false" ht="15" hidden="false" customHeight="false" outlineLevel="0" collapsed="false">
      <c r="A36" s="0" t="s">
        <v>142</v>
      </c>
      <c r="B36" s="0" t="n">
        <f aca="false">B30+B35</f>
        <v>7558.72051906107</v>
      </c>
    </row>
    <row r="37" customFormat="false" ht="15" hidden="false" customHeight="false" outlineLevel="0" collapsed="false">
      <c r="A37" s="0" t="s">
        <v>143</v>
      </c>
      <c r="B37" s="0" t="n">
        <f aca="false">B36+Assumptions!$B$5-Assumptions!$B$4</f>
        <v>7875.62051906107</v>
      </c>
    </row>
    <row r="38" customFormat="false" ht="15" hidden="false" customHeight="false" outlineLevel="0" collapsed="false">
      <c r="A38" s="0" t="s">
        <v>144</v>
      </c>
      <c r="B38" s="0" t="n">
        <f aca="false">B37/Assumptions!$B$3*Assumptions!$B$10</f>
        <v>52.0186295842871</v>
      </c>
    </row>
    <row r="39" customFormat="false" ht="15" hidden="false" customHeight="false" outlineLevel="0" collapsed="false">
      <c r="A39" s="0" t="s">
        <v>145</v>
      </c>
      <c r="B39" s="4" t="n">
        <f aca="false">B38/Assumptions!$B$2-1</f>
        <v>-0.374475353724301</v>
      </c>
    </row>
    <row r="41" customFormat="false" ht="15" hidden="false" customHeight="false" outlineLevel="0" collapsed="false">
      <c r="A41" s="0" t="s">
        <v>146</v>
      </c>
      <c r="B41" s="0" t="n">
        <f aca="false">SUMPRODUCT(-C10:L10/(1+$B$27/100)^C4:L4)</f>
        <v>1413.37426266845</v>
      </c>
    </row>
    <row r="42" customFormat="false" ht="15" hidden="false" customHeight="false" outlineLevel="0" collapsed="false">
      <c r="A42" s="0" t="s">
        <v>147</v>
      </c>
      <c r="B42" s="0" t="n">
        <f aca="false">IF(B27&gt;B28,-L10*(1+B28/100)/((B27-B28)/100),-L10*20)/(1+B27/100)^L4</f>
        <v>1321.00947326217</v>
      </c>
    </row>
    <row r="43" customFormat="false" ht="15" hidden="false" customHeight="false" outlineLevel="0" collapsed="false">
      <c r="A43" s="0" t="s">
        <v>148</v>
      </c>
      <c r="B43" s="0" t="n">
        <f aca="false">(B37+B41+B42)/Assumptions!$B$3*Assumptions!$B$10</f>
        <v>70.0792883420852</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6503.56082531899</v>
      </c>
    </row>
    <row r="47" customFormat="false" ht="15" hidden="false" customHeight="false" outlineLevel="0" collapsed="false">
      <c r="A47" s="0" t="s">
        <v>150</v>
      </c>
      <c r="B47" s="0" t="n">
        <f aca="false">(SUMPRODUCT(C19:L19/(1+B45/100)^C4:L4)+B46/(1+B45/100)^L4+Assumptions!$B$5-Assumptions!$B$4)/Assumptions!$B$3*Assumptions!$B$10</f>
        <v>33.2959389263888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0</v>
      </c>
      <c r="D5" s="4" t="n">
        <f aca="false">Assumptions!D41</f>
        <v>6</v>
      </c>
      <c r="E5" s="4" t="n">
        <f aca="false">Assumptions!E41</f>
        <v>7</v>
      </c>
      <c r="F5" s="4" t="n">
        <f aca="false">Assumptions!F41</f>
        <v>6</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3949</v>
      </c>
      <c r="C6" s="0" t="n">
        <f aca="false">B6*(1+C5/100)</f>
        <v>3949</v>
      </c>
      <c r="D6" s="0" t="n">
        <f aca="false">C6*(1+D5/100)</f>
        <v>4185.94</v>
      </c>
      <c r="E6" s="0" t="n">
        <f aca="false">D6*(1+E5/100)</f>
        <v>4478.9558</v>
      </c>
      <c r="F6" s="0" t="n">
        <f aca="false">E6*(1+F5/100)</f>
        <v>4747.693148</v>
      </c>
      <c r="G6" s="0" t="n">
        <f aca="false">F6*(1+G5/100)</f>
        <v>4985.0778054</v>
      </c>
      <c r="H6" s="0" t="n">
        <f aca="false">G6*(1+H5/100)</f>
        <v>5209.406306643</v>
      </c>
      <c r="I6" s="0" t="n">
        <f aca="false">H6*(1+I5/100)</f>
        <v>5417.78255890872</v>
      </c>
      <c r="J6" s="0" t="n">
        <f aca="false">I6*(1+J5/100)</f>
        <v>5607.40494847053</v>
      </c>
      <c r="K6" s="0" t="n">
        <f aca="false">J6*(1+K5/100)</f>
        <v>5775.62709692464</v>
      </c>
      <c r="L6" s="0" t="n">
        <f aca="false">K6*(1+L5/100)</f>
        <v>5948.89590983238</v>
      </c>
    </row>
    <row r="7" customFormat="false" ht="15" hidden="false" customHeight="false" outlineLevel="0" collapsed="false">
      <c r="A7" s="0" t="s">
        <v>107</v>
      </c>
      <c r="C7" s="4" t="n">
        <f aca="false">Assumptions!C42</f>
        <v>30</v>
      </c>
      <c r="D7" s="4" t="n">
        <f aca="false">Assumptions!D42</f>
        <v>32</v>
      </c>
      <c r="E7" s="4" t="n">
        <f aca="false">Assumptions!E42</f>
        <v>33.5</v>
      </c>
      <c r="F7" s="4" t="n">
        <f aca="false">Assumptions!F42</f>
        <v>34.5</v>
      </c>
      <c r="G7" s="4" t="n">
        <f aca="false">Assumptions!G42</f>
        <v>35</v>
      </c>
      <c r="H7" s="4" t="n">
        <f aca="false">Assumptions!H42</f>
        <v>35</v>
      </c>
      <c r="I7" s="4" t="n">
        <f aca="false">Assumptions!I42</f>
        <v>35</v>
      </c>
      <c r="J7" s="4" t="n">
        <f aca="false">Assumptions!J42</f>
        <v>35</v>
      </c>
      <c r="K7" s="4" t="n">
        <f aca="false">Assumptions!K42</f>
        <v>35</v>
      </c>
      <c r="L7" s="4" t="n">
        <f aca="false">Assumptions!L42</f>
        <v>35</v>
      </c>
    </row>
    <row r="8" customFormat="false" ht="15" hidden="false" customHeight="false" outlineLevel="0" collapsed="false">
      <c r="A8" s="0" t="s">
        <v>43</v>
      </c>
      <c r="C8" s="0" t="n">
        <f aca="false">C6*C7/100</f>
        <v>1184.7</v>
      </c>
      <c r="D8" s="0" t="n">
        <f aca="false">D6*D7/100</f>
        <v>1339.5008</v>
      </c>
      <c r="E8" s="0" t="n">
        <f aca="false">E6*E7/100</f>
        <v>1500.450193</v>
      </c>
      <c r="F8" s="0" t="n">
        <f aca="false">F6*F7/100</f>
        <v>1637.95413606</v>
      </c>
      <c r="G8" s="0" t="n">
        <f aca="false">G6*G7/100</f>
        <v>1744.77723189</v>
      </c>
      <c r="H8" s="0" t="n">
        <f aca="false">H6*H7/100</f>
        <v>1823.29220732505</v>
      </c>
      <c r="I8" s="0" t="n">
        <f aca="false">I6*I7/100</f>
        <v>1896.22389561805</v>
      </c>
      <c r="J8" s="0" t="n">
        <f aca="false">J6*J7/100</f>
        <v>1962.59173196468</v>
      </c>
      <c r="K8" s="0" t="n">
        <f aca="false">K6*K7/100</f>
        <v>2021.46948392362</v>
      </c>
      <c r="L8" s="0" t="n">
        <f aca="false">L6*L7/100</f>
        <v>2082.11356844133</v>
      </c>
    </row>
    <row r="9" customFormat="false" ht="15" hidden="false" customHeight="false" outlineLevel="0" collapsed="false">
      <c r="A9" s="0" t="s">
        <v>108</v>
      </c>
      <c r="C9" s="4" t="n">
        <f aca="false">Assumptions!C43</f>
        <v>5.6</v>
      </c>
      <c r="D9" s="4" t="n">
        <f aca="false">Assumptions!D43</f>
        <v>5.4</v>
      </c>
      <c r="E9" s="4" t="n">
        <f aca="false">Assumptions!E43</f>
        <v>5.2</v>
      </c>
      <c r="F9" s="4" t="n">
        <f aca="false">Assumptions!F43</f>
        <v>5</v>
      </c>
      <c r="G9" s="4" t="n">
        <f aca="false">Assumptions!G43</f>
        <v>4.8</v>
      </c>
      <c r="H9" s="4" t="n">
        <f aca="false">Assumptions!H43</f>
        <v>4.6</v>
      </c>
      <c r="I9" s="4" t="n">
        <f aca="false">Assumptions!I43</f>
        <v>4.5</v>
      </c>
      <c r="J9" s="4" t="n">
        <f aca="false">Assumptions!J43</f>
        <v>4.5</v>
      </c>
      <c r="K9" s="4" t="n">
        <f aca="false">Assumptions!K43</f>
        <v>4.5</v>
      </c>
      <c r="L9" s="4" t="n">
        <f aca="false">Assumptions!L43</f>
        <v>4.5</v>
      </c>
    </row>
    <row r="10" customFormat="false" ht="15" hidden="false" customHeight="false" outlineLevel="0" collapsed="false">
      <c r="A10" s="0" t="s">
        <v>123</v>
      </c>
      <c r="C10" s="0" t="n">
        <f aca="false">-C6*C9/100</f>
        <v>-221.144</v>
      </c>
      <c r="D10" s="0" t="n">
        <f aca="false">-D6*D9/100</f>
        <v>-226.04076</v>
      </c>
      <c r="E10" s="0" t="n">
        <f aca="false">-E6*E9/100</f>
        <v>-232.9057016</v>
      </c>
      <c r="F10" s="0" t="n">
        <f aca="false">-F6*F9/100</f>
        <v>-237.3846574</v>
      </c>
      <c r="G10" s="0" t="n">
        <f aca="false">-G6*G9/100</f>
        <v>-239.2837346592</v>
      </c>
      <c r="H10" s="0" t="n">
        <f aca="false">-H6*H9/100</f>
        <v>-239.632690105578</v>
      </c>
      <c r="I10" s="0" t="n">
        <f aca="false">-I6*I9/100</f>
        <v>-243.800215150892</v>
      </c>
      <c r="J10" s="0" t="n">
        <f aca="false">-J6*J9/100</f>
        <v>-252.333222681174</v>
      </c>
      <c r="K10" s="0" t="n">
        <f aca="false">-K6*K9/100</f>
        <v>-259.903219361609</v>
      </c>
      <c r="L10" s="0" t="n">
        <f aca="false">-L6*L9/100</f>
        <v>-267.700315942457</v>
      </c>
    </row>
    <row r="11" customFormat="false" ht="15" hidden="false" customHeight="false" outlineLevel="0" collapsed="false">
      <c r="A11" s="0" t="s">
        <v>124</v>
      </c>
      <c r="C11" s="0" t="n">
        <f aca="false">C8+C10+C24</f>
        <v>963.556</v>
      </c>
      <c r="D11" s="0" t="n">
        <f aca="false">D8+D10+D24</f>
        <v>1113.46004</v>
      </c>
      <c r="E11" s="0" t="n">
        <f aca="false">E8+E10+E24</f>
        <v>1267.5444914</v>
      </c>
      <c r="F11" s="0" t="n">
        <f aca="false">F8+F10+F24</f>
        <v>1400.56947866</v>
      </c>
      <c r="G11" s="0" t="n">
        <f aca="false">G8+G10+G24</f>
        <v>1505.4934972308</v>
      </c>
      <c r="H11" s="0" t="n">
        <f aca="false">H8+H10+H24</f>
        <v>1583.65951721947</v>
      </c>
      <c r="I11" s="0" t="n">
        <f aca="false">I8+I10+I24</f>
        <v>1652.42368046716</v>
      </c>
      <c r="J11" s="0" t="n">
        <f aca="false">J8+J10+J24</f>
        <v>1710.25850928351</v>
      </c>
      <c r="K11" s="0" t="n">
        <f aca="false">K8+K10+K24</f>
        <v>1761.56626456202</v>
      </c>
      <c r="L11" s="0" t="n">
        <f aca="false">L8+L10+L24</f>
        <v>1814.41325249888</v>
      </c>
    </row>
    <row r="12" customFormat="false" ht="15" hidden="false" customHeight="false" outlineLevel="0" collapsed="false">
      <c r="A12" s="0" t="s">
        <v>125</v>
      </c>
      <c r="C12" s="4" t="n">
        <f aca="false">-C6*Assumptions!C45/100</f>
        <v>-276.43</v>
      </c>
      <c r="D12" s="4" t="n">
        <f aca="false">-D6*Assumptions!D45/100</f>
        <v>-280.45798</v>
      </c>
      <c r="E12" s="4" t="n">
        <f aca="false">-E6*Assumptions!E45/100</f>
        <v>-286.6531712</v>
      </c>
      <c r="F12" s="4" t="n">
        <f aca="false">-F6*Assumptions!F45/100</f>
        <v>-294.356975176</v>
      </c>
      <c r="G12" s="4" t="n">
        <f aca="false">-G6*Assumptions!G45/100</f>
        <v>-299.104668324</v>
      </c>
      <c r="H12" s="4" t="n">
        <f aca="false">-H6*Assumptions!H45/100</f>
        <v>-302.145565785294</v>
      </c>
      <c r="I12" s="4" t="n">
        <f aca="false">-I6*Assumptions!I45/100</f>
        <v>-303.395823298888</v>
      </c>
      <c r="J12" s="4" t="n">
        <f aca="false">-J6*Assumptions!J45/100</f>
        <v>-308.407272165879</v>
      </c>
      <c r="K12" s="4" t="n">
        <f aca="false">-K6*Assumptions!K45/100</f>
        <v>-317.659490330855</v>
      </c>
      <c r="L12" s="4" t="n">
        <f aca="false">-L6*Assumptions!L45/100</f>
        <v>-327.189275040781</v>
      </c>
    </row>
    <row r="13" customFormat="false" ht="15" hidden="false" customHeight="false" outlineLevel="0" collapsed="false">
      <c r="A13" s="0" t="s">
        <v>126</v>
      </c>
      <c r="C13" s="0" t="n">
        <f aca="false">C11+C12</f>
        <v>687.126</v>
      </c>
      <c r="D13" s="0" t="n">
        <f aca="false">D11+D12</f>
        <v>833.00206</v>
      </c>
      <c r="E13" s="0" t="n">
        <f aca="false">E11+E12</f>
        <v>980.8913202</v>
      </c>
      <c r="F13" s="0" t="n">
        <f aca="false">F11+F12</f>
        <v>1106.212503484</v>
      </c>
      <c r="G13" s="0" t="n">
        <f aca="false">G11+G12</f>
        <v>1206.3888289068</v>
      </c>
      <c r="H13" s="0" t="n">
        <f aca="false">H11+H12</f>
        <v>1281.51395143418</v>
      </c>
      <c r="I13" s="0" t="n">
        <f aca="false">I11+I12</f>
        <v>1349.02785716827</v>
      </c>
      <c r="J13" s="0" t="n">
        <f aca="false">J11+J12</f>
        <v>1401.85123711763</v>
      </c>
      <c r="K13" s="0" t="n">
        <f aca="false">K11+K12</f>
        <v>1443.90677423116</v>
      </c>
      <c r="L13" s="0" t="n">
        <f aca="false">L11+L12</f>
        <v>1487.2239774581</v>
      </c>
    </row>
    <row r="14" customFormat="false" ht="15" hidden="false" customHeight="false" outlineLevel="0" collapsed="false">
      <c r="A14" s="0" t="s">
        <v>112</v>
      </c>
      <c r="C14" s="4" t="n">
        <f aca="false">Assumptions!C47</f>
        <v>20</v>
      </c>
      <c r="D14" s="4" t="n">
        <f aca="false">Assumptions!D47</f>
        <v>20</v>
      </c>
      <c r="E14" s="4" t="n">
        <f aca="false">Assumptions!E47</f>
        <v>20</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127</v>
      </c>
      <c r="C15" s="0" t="n">
        <f aca="false">C13-MAX(0,C13)*C14/100</f>
        <v>549.7008</v>
      </c>
      <c r="D15" s="0" t="n">
        <f aca="false">D13-MAX(0,D13)*D14/100</f>
        <v>666.401648</v>
      </c>
      <c r="E15" s="0" t="n">
        <f aca="false">E13-MAX(0,E13)*E14/100</f>
        <v>784.71305616</v>
      </c>
      <c r="F15" s="0" t="n">
        <f aca="false">F13-MAX(0,F13)*F14/100</f>
        <v>884.9700027872</v>
      </c>
      <c r="G15" s="0" t="n">
        <f aca="false">G13-MAX(0,G13)*G14/100</f>
        <v>965.11106312544</v>
      </c>
      <c r="H15" s="0" t="n">
        <f aca="false">H13-MAX(0,H13)*H14/100</f>
        <v>1025.21116114734</v>
      </c>
      <c r="I15" s="0" t="n">
        <f aca="false">I13-MAX(0,I13)*I14/100</f>
        <v>1079.22228573462</v>
      </c>
      <c r="J15" s="0" t="n">
        <f aca="false">J13-MAX(0,J13)*J14/100</f>
        <v>1121.48098969411</v>
      </c>
      <c r="K15" s="0" t="n">
        <f aca="false">K13-MAX(0,K13)*K14/100</f>
        <v>1155.12541938493</v>
      </c>
      <c r="L15" s="0" t="n">
        <f aca="false">L13-MAX(0,L13)*L14/100</f>
        <v>1189.77918196648</v>
      </c>
    </row>
    <row r="16" customFormat="false" ht="15" hidden="false" customHeight="false" outlineLevel="0" collapsed="false">
      <c r="A16" s="0" t="s">
        <v>128</v>
      </c>
      <c r="C16" s="0" t="n">
        <f aca="false">-C12</f>
        <v>276.43</v>
      </c>
      <c r="D16" s="0" t="n">
        <f aca="false">-D12</f>
        <v>280.45798</v>
      </c>
      <c r="E16" s="0" t="n">
        <f aca="false">-E12</f>
        <v>286.6531712</v>
      </c>
      <c r="F16" s="0" t="n">
        <f aca="false">-F12</f>
        <v>294.356975176</v>
      </c>
      <c r="G16" s="0" t="n">
        <f aca="false">-G12</f>
        <v>299.104668324</v>
      </c>
      <c r="H16" s="0" t="n">
        <f aca="false">-H12</f>
        <v>302.145565785294</v>
      </c>
      <c r="I16" s="0" t="n">
        <f aca="false">-I12</f>
        <v>303.395823298888</v>
      </c>
      <c r="J16" s="0" t="n">
        <f aca="false">-J12</f>
        <v>308.407272165879</v>
      </c>
      <c r="K16" s="0" t="n">
        <f aca="false">-K12</f>
        <v>317.659490330855</v>
      </c>
      <c r="L16" s="0" t="n">
        <f aca="false">-L12</f>
        <v>327.189275040781</v>
      </c>
    </row>
    <row r="17" customFormat="false" ht="15" hidden="false" customHeight="false" outlineLevel="0" collapsed="false">
      <c r="A17" s="0" t="s">
        <v>129</v>
      </c>
      <c r="C17" s="4" t="n">
        <f aca="false">-C6*Assumptions!C46/100</f>
        <v>-256.685</v>
      </c>
      <c r="D17" s="4" t="n">
        <f aca="false">-D6*Assumptions!D46/100</f>
        <v>-251.1564</v>
      </c>
      <c r="E17" s="4" t="n">
        <f aca="false">-E6*Assumptions!E46/100</f>
        <v>-246.342569</v>
      </c>
      <c r="F17" s="4" t="n">
        <f aca="false">-F6*Assumptions!F46/100</f>
        <v>-261.12312314</v>
      </c>
      <c r="G17" s="4" t="n">
        <f aca="false">-G6*Assumptions!G46/100</f>
        <v>-274.179279297</v>
      </c>
      <c r="H17" s="4" t="n">
        <f aca="false">-H6*Assumptions!H46/100</f>
        <v>-286.517346865365</v>
      </c>
      <c r="I17" s="4" t="n">
        <f aca="false">-I6*Assumptions!I46/100</f>
        <v>-297.97804073998</v>
      </c>
      <c r="J17" s="4" t="n">
        <f aca="false">-J6*Assumptions!J46/100</f>
        <v>-308.407272165879</v>
      </c>
      <c r="K17" s="4" t="n">
        <f aca="false">-K6*Assumptions!K46/100</f>
        <v>-317.659490330855</v>
      </c>
      <c r="L17" s="4" t="n">
        <f aca="false">-L6*Assumptions!L46/100</f>
        <v>-327.189275040781</v>
      </c>
    </row>
    <row r="18" customFormat="false" ht="15" hidden="false" customHeight="false" outlineLevel="0" collapsed="false">
      <c r="A18" s="0" t="s">
        <v>130</v>
      </c>
      <c r="C18" s="4" t="n">
        <f aca="false">(C6-B6)*Assumptions!$B$51/100</f>
        <v>-0</v>
      </c>
      <c r="D18" s="4" t="n">
        <f aca="false">(D6-C6)*Assumptions!$B$51/100</f>
        <v>-47.3880000000001</v>
      </c>
      <c r="E18" s="4" t="n">
        <f aca="false">(E6-D6)*Assumptions!$B$51/100</f>
        <v>-58.60316</v>
      </c>
      <c r="F18" s="4" t="n">
        <f aca="false">(F6-E6)*Assumptions!$B$51/100</f>
        <v>-53.7474696000001</v>
      </c>
      <c r="G18" s="4" t="n">
        <f aca="false">(G6-F6)*Assumptions!$B$51/100</f>
        <v>-47.47693148</v>
      </c>
      <c r="H18" s="4" t="n">
        <f aca="false">(H6-G6)*Assumptions!$B$51/100</f>
        <v>-44.8657002485999</v>
      </c>
      <c r="I18" s="4" t="n">
        <f aca="false">(I6-H6)*Assumptions!$B$51/100</f>
        <v>-41.675250453144</v>
      </c>
      <c r="J18" s="4" t="n">
        <f aca="false">(J6-I6)*Assumptions!$B$51/100</f>
        <v>-37.924477912361</v>
      </c>
      <c r="K18" s="4" t="n">
        <f aca="false">(K6-J6)*Assumptions!$B$51/100</f>
        <v>-33.6444296908232</v>
      </c>
      <c r="L18" s="4" t="n">
        <f aca="false">(L6-K6)*Assumptions!$B$51/100</f>
        <v>-34.6537625815479</v>
      </c>
    </row>
    <row r="19" customFormat="false" ht="15" hidden="false" customHeight="false" outlineLevel="0" collapsed="false">
      <c r="A19" s="0" t="s">
        <v>131</v>
      </c>
      <c r="C19" s="0" t="n">
        <f aca="false">C15+C16+C17+C18</f>
        <v>569.4458</v>
      </c>
      <c r="D19" s="0" t="n">
        <f aca="false">D15+D16+D17+D18</f>
        <v>648.315228</v>
      </c>
      <c r="E19" s="0" t="n">
        <f aca="false">E15+E16+E17+E18</f>
        <v>766.42049836</v>
      </c>
      <c r="F19" s="0" t="n">
        <f aca="false">F15+F16+F17+F18</f>
        <v>864.4563852232</v>
      </c>
      <c r="G19" s="0" t="n">
        <f aca="false">G15+G16+G17+G18</f>
        <v>942.55952067244</v>
      </c>
      <c r="H19" s="0" t="n">
        <f aca="false">H15+H16+H17+H18</f>
        <v>995.973679818671</v>
      </c>
      <c r="I19" s="0" t="n">
        <f aca="false">I15+I16+I17+I18</f>
        <v>1042.96481784038</v>
      </c>
      <c r="J19" s="0" t="n">
        <f aca="false">J15+J16+J17+J18</f>
        <v>1083.55651178174</v>
      </c>
      <c r="K19" s="0" t="n">
        <f aca="false">K15+K16+K17+K18</f>
        <v>1121.48098969411</v>
      </c>
      <c r="L19" s="0" t="n">
        <f aca="false">L15+L16+L17+L18</f>
        <v>1155.12541938493</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517.678</v>
      </c>
      <c r="D21" s="0" t="n">
        <f aca="false">D19*D20</f>
        <v>535.797709090909</v>
      </c>
      <c r="E21" s="0" t="n">
        <f aca="false">E19*E20</f>
        <v>575.823064132231</v>
      </c>
      <c r="F21" s="0" t="n">
        <f aca="false">F19*F20</f>
        <v>590.435342683696</v>
      </c>
      <c r="G21" s="0" t="n">
        <f aca="false">G19*G20</f>
        <v>585.255304637935</v>
      </c>
      <c r="H21" s="0" t="n">
        <f aca="false">H19*H20</f>
        <v>562.201177277368</v>
      </c>
      <c r="I21" s="0" t="n">
        <f aca="false">I19*I20</f>
        <v>535.205863303802</v>
      </c>
      <c r="J21" s="0" t="n">
        <f aca="false">J19*J20</f>
        <v>505.487109620498</v>
      </c>
      <c r="K21" s="0" t="n">
        <f aca="false">K19*K20</f>
        <v>475.617416779287</v>
      </c>
      <c r="L21" s="0" t="n">
        <f aca="false">L19*L20</f>
        <v>445.350853893332</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10</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14</v>
      </c>
    </row>
    <row r="30" customFormat="false" ht="15" hidden="false" customHeight="false" outlineLevel="0" collapsed="false">
      <c r="A30" s="0" t="s">
        <v>136</v>
      </c>
      <c r="B30" s="0" t="n">
        <f aca="false">SUM(C21:L21)</f>
        <v>5328.85184141906</v>
      </c>
    </row>
    <row r="31" customFormat="false" ht="15" hidden="false" customHeight="false" outlineLevel="0" collapsed="false">
      <c r="A31" s="0" t="s">
        <v>137</v>
      </c>
      <c r="B31" s="0" t="n">
        <f aca="false">L19</f>
        <v>1155.12541938493</v>
      </c>
    </row>
    <row r="32" customFormat="false" ht="15" hidden="false" customHeight="false" outlineLevel="0" collapsed="false">
      <c r="A32" s="0" t="s">
        <v>138</v>
      </c>
      <c r="B32" s="0" t="n">
        <f aca="false">IF(B27&gt;B28,B31*(1+B28/100)/((B27-B28)/100),B31*B29)</f>
        <v>16996.8454566639</v>
      </c>
    </row>
    <row r="33" customFormat="false" ht="15" hidden="false" customHeight="false" outlineLevel="0" collapsed="false">
      <c r="A33" s="0" t="s">
        <v>139</v>
      </c>
      <c r="B33" s="0" t="n">
        <f aca="false">B31*B29</f>
        <v>16171.755871389</v>
      </c>
    </row>
    <row r="34" customFormat="false" ht="15" hidden="false" customHeight="false" outlineLevel="0" collapsed="false">
      <c r="A34" s="0" t="s">
        <v>140</v>
      </c>
      <c r="B34" s="0" t="n">
        <f aca="false">MAX(0,MIN(B32,B33))</f>
        <v>16171.755871389</v>
      </c>
    </row>
    <row r="35" customFormat="false" ht="15" hidden="false" customHeight="false" outlineLevel="0" collapsed="false">
      <c r="A35" s="0" t="s">
        <v>141</v>
      </c>
      <c r="B35" s="0" t="n">
        <f aca="false">B34/(1+B27/100)^L4</f>
        <v>6234.91195450665</v>
      </c>
    </row>
    <row r="36" customFormat="false" ht="15" hidden="false" customHeight="false" outlineLevel="0" collapsed="false">
      <c r="A36" s="0" t="s">
        <v>142</v>
      </c>
      <c r="B36" s="0" t="n">
        <f aca="false">B30+B35</f>
        <v>11563.7637959257</v>
      </c>
    </row>
    <row r="37" customFormat="false" ht="15" hidden="false" customHeight="false" outlineLevel="0" collapsed="false">
      <c r="A37" s="0" t="s">
        <v>143</v>
      </c>
      <c r="B37" s="0" t="n">
        <f aca="false">B36+Assumptions!$B$5-Assumptions!$B$4</f>
        <v>11880.6637959257</v>
      </c>
    </row>
    <row r="38" customFormat="false" ht="15" hidden="false" customHeight="false" outlineLevel="0" collapsed="false">
      <c r="A38" s="0" t="s">
        <v>144</v>
      </c>
      <c r="B38" s="0" t="n">
        <f aca="false">B37/Assumptions!$B$3*Assumptions!$B$10</f>
        <v>78.4720197881487</v>
      </c>
    </row>
    <row r="39" customFormat="false" ht="15" hidden="false" customHeight="false" outlineLevel="0" collapsed="false">
      <c r="A39" s="0" t="s">
        <v>145</v>
      </c>
      <c r="B39" s="4" t="n">
        <f aca="false">B38/Assumptions!$B$2-1</f>
        <v>-0.0563730184205304</v>
      </c>
    </row>
    <row r="41" customFormat="false" ht="15" hidden="false" customHeight="false" outlineLevel="0" collapsed="false">
      <c r="A41" s="0" t="s">
        <v>146</v>
      </c>
      <c r="B41" s="0" t="n">
        <f aca="false">SUMPRODUCT(-C10:L10/(1+$B$27/100)^C4:L4)</f>
        <v>1465.07350785913</v>
      </c>
    </row>
    <row r="42" customFormat="false" ht="15" hidden="false" customHeight="false" outlineLevel="0" collapsed="false">
      <c r="A42" s="0" t="s">
        <v>147</v>
      </c>
      <c r="B42" s="0" t="n">
        <f aca="false">IF(B27&gt;B28,-L10*(1+B28/100)/((B27-B28)/100),-L10*20)/(1+B27/100)^L4</f>
        <v>1518.6623171639</v>
      </c>
    </row>
    <row r="43" customFormat="false" ht="15" hidden="false" customHeight="false" outlineLevel="0" collapsed="false">
      <c r="A43" s="0" t="s">
        <v>148</v>
      </c>
      <c r="B43" s="0" t="n">
        <f aca="false">(B37+B41+B42)/Assumptions!$B$3*Assumptions!$B$10</f>
        <v>98.1796540353285</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9914.8265163873</v>
      </c>
    </row>
    <row r="47" customFormat="false" ht="15" hidden="false" customHeight="false" outlineLevel="0" collapsed="false">
      <c r="A47" s="0" t="s">
        <v>150</v>
      </c>
      <c r="B47" s="0" t="n">
        <f aca="false">(SUMPRODUCT(C19:L19/(1+B45/100)^C4:L4)+B46/(1+B45/100)^L4+Assumptions!$B$5-Assumptions!$B$4)/Assumptions!$B$3*Assumptions!$B$10</f>
        <v>46.2424591059451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30.210361411442</v>
      </c>
      <c r="C4" s="0" t="n">
        <f aca="false">B4/Assumptions!$B$2-1</f>
        <v>-0.63672004074745</v>
      </c>
      <c r="D4" s="4" t="n">
        <f aca="false">Assumptions!$B$24</f>
        <v>0.25</v>
      </c>
      <c r="E4" s="4" t="n">
        <f aca="false">DCF_Bear!$B$43</f>
        <v>45.190516591827</v>
      </c>
      <c r="F4" s="4" t="n">
        <f aca="false">DCF_Bear!$B$47</f>
        <v>21.122956231403</v>
      </c>
    </row>
    <row r="5" customFormat="false" ht="15" hidden="false" customHeight="false" outlineLevel="0" collapsed="false">
      <c r="A5" s="0" t="s">
        <v>159</v>
      </c>
      <c r="B5" s="4" t="n">
        <f aca="false">DCF_Base!$B$38</f>
        <v>52.0186295842871</v>
      </c>
      <c r="C5" s="0" t="n">
        <f aca="false">B5/Assumptions!$B$2-1</f>
        <v>-0.374475353724301</v>
      </c>
      <c r="D5" s="4" t="n">
        <f aca="false">Assumptions!$B$38</f>
        <v>0.5</v>
      </c>
      <c r="E5" s="4" t="n">
        <f aca="false">DCF_Base!$B$43</f>
        <v>70.0792883420852</v>
      </c>
      <c r="F5" s="4" t="n">
        <f aca="false">DCF_Base!$B$47</f>
        <v>33.2959389263888</v>
      </c>
    </row>
    <row r="6" customFormat="false" ht="15" hidden="false" customHeight="false" outlineLevel="0" collapsed="false">
      <c r="A6" s="0" t="s">
        <v>160</v>
      </c>
      <c r="B6" s="4" t="n">
        <f aca="false">DCF_Bull!$B$38</f>
        <v>78.4720197881487</v>
      </c>
      <c r="C6" s="0" t="n">
        <f aca="false">B6/Assumptions!$B$2-1</f>
        <v>-0.0563730184205304</v>
      </c>
      <c r="D6" s="4" t="n">
        <f aca="false">Assumptions!$B$52</f>
        <v>0.25</v>
      </c>
      <c r="E6" s="4" t="n">
        <f aca="false">DCF_Bull!$B$43</f>
        <v>98.1796540353285</v>
      </c>
      <c r="F6" s="4" t="n">
        <f aca="false">DCF_Bull!$B$47</f>
        <v>46.2424591059451</v>
      </c>
    </row>
    <row r="8" customFormat="false" ht="15" hidden="false" customHeight="false" outlineLevel="0" collapsed="false">
      <c r="A8" s="0" t="s">
        <v>161</v>
      </c>
      <c r="B8" s="0" t="n">
        <f aca="false">SUMPRODUCT(B4:B6,D4:D6)</f>
        <v>53.1799100920413</v>
      </c>
    </row>
    <row r="9" customFormat="false" ht="15" hidden="false" customHeight="false" outlineLevel="0" collapsed="false">
      <c r="A9" s="0" t="s">
        <v>162</v>
      </c>
      <c r="B9" s="0" t="n">
        <f aca="false">SUMPRODUCT(E4:E6,D4:D6)</f>
        <v>70.8821868278315</v>
      </c>
    </row>
    <row r="10" customFormat="false" ht="15" hidden="false" customHeight="false" outlineLevel="0" collapsed="false">
      <c r="A10" s="0" t="s">
        <v>163</v>
      </c>
      <c r="B10" s="0" t="n">
        <f aca="false">1-Assumptions!$B$2/B8</f>
        <v>-0.56374841281361</v>
      </c>
    </row>
    <row r="11" customFormat="false" ht="15" hidden="false" customHeight="false" outlineLevel="0" collapsed="false">
      <c r="A11" s="0" t="s">
        <v>164</v>
      </c>
      <c r="B11" s="0" t="n">
        <f aca="false">IF(ABS(B9-B8)&gt;0.01*ABS(B8),(Assumptions!$B$2-B8)/(B9-B8)*100,"n/a")</f>
        <v>169.357254749867</v>
      </c>
    </row>
    <row r="12" customFormat="false" ht="15" hidden="false" customHeight="false" outlineLevel="0" collapsed="false">
      <c r="A12" s="0" t="s">
        <v>165</v>
      </c>
      <c r="B12" s="0" t="n">
        <f aca="false">SUMPRODUCT(F4:F6,D4:D6)</f>
        <v>33.4893232975314</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55.5845829344855</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52.0186295842871</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48.7577050349066</v>
      </c>
      <c r="C17" s="3" t="n">
        <v>11</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43.730390893313</v>
      </c>
      <c r="C18" s="3" t="n">
        <v>12</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33.2959389263888</v>
      </c>
      <c r="C19" s="3" t="n">
        <v>15</v>
      </c>
    </row>
    <row r="21" customFormat="false" ht="15" hidden="false" customHeight="false" outlineLevel="0" collapsed="false">
      <c r="A21" s="2" t="s">
        <v>173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59.4888004433097</v>
      </c>
      <c r="C23" s="0" t="n">
        <f aca="false">(SUMPRODUCT(DCF_Base!$C$19:$L$19/(1+$A$23/100)^DCF_Base!$C$4:$L$4)+MAX(0,MIN(IF($A$23&gt;$C$22,DCF_Base!$L$19*(1+$C$22/100)/(($A$23-$C$22)/100),DCF_Base!$L$19*DCF_Base!$B$29),DCF_Base!$L$19*DCF_Base!$B$29))/(1+$A$23/100)^DCF_Base!$L$4+Assumptions!$B$5-Assumptions!$B$4)/Assumptions!$B$3*Assumptions!$B$10</f>
        <v>59.4888004433097</v>
      </c>
      <c r="D23" s="0" t="n">
        <f aca="false">(SUMPRODUCT(DCF_Base!$C$19:$L$19/(1+$A$23/100)^DCF_Base!$C$4:$L$4)+MAX(0,MIN(IF($A$23&gt;$D$22,DCF_Base!$L$19*(1+$D$22/100)/(($A$23-$D$22)/100),DCF_Base!$L$19*DCF_Base!$B$29),DCF_Base!$L$19*DCF_Base!$B$29))/(1+$A$23/100)^DCF_Base!$L$4+Assumptions!$B$5-Assumptions!$B$4)/Assumptions!$B$3*Assumptions!$B$10</f>
        <v>59.4888004433097</v>
      </c>
      <c r="E23" s="0" t="n">
        <f aca="false">(SUMPRODUCT(DCF_Base!$C$19:$L$19/(1+$A$23/100)^DCF_Base!$C$4:$L$4)+MAX(0,MIN(IF($A$23&gt;$E$22,DCF_Base!$L$19*(1+$E$22/100)/(($A$23-$E$22)/100),DCF_Base!$L$19*DCF_Base!$B$29),DCF_Base!$L$19*DCF_Base!$B$29))/(1+$A$23/100)^DCF_Base!$L$4+Assumptions!$B$5-Assumptions!$B$4)/Assumptions!$B$3*Assumptions!$B$10</f>
        <v>59.4888004433097</v>
      </c>
      <c r="F23" s="0" t="n">
        <f aca="false">(SUMPRODUCT(DCF_Base!$C$19:$L$19/(1+$A$23/100)^DCF_Base!$C$4:$L$4)+MAX(0,MIN(IF($A$23&gt;$F$22,DCF_Base!$L$19*(1+$F$22/100)/(($A$23-$F$22)/100),DCF_Base!$L$19*DCF_Base!$B$29),DCF_Base!$L$19*DCF_Base!$B$29))/(1+$A$23/100)^DCF_Base!$L$4+Assumptions!$B$5-Assumptions!$B$4)/Assumptions!$B$3*Assumptions!$B$10</f>
        <v>59.4888004433097</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55.5845829344855</v>
      </c>
      <c r="C24" s="0" t="n">
        <f aca="false">(SUMPRODUCT(DCF_Base!$C$19:$L$19/(1+$A$24/100)^DCF_Base!$C$4:$L$4)+MAX(0,MIN(IF($A$24&gt;$C$22,DCF_Base!$L$19*(1+$C$22/100)/(($A$24-$C$22)/100),DCF_Base!$L$19*DCF_Base!$B$29),DCF_Base!$L$19*DCF_Base!$B$29))/(1+$A$24/100)^DCF_Base!$L$4+Assumptions!$B$5-Assumptions!$B$4)/Assumptions!$B$3*Assumptions!$B$10</f>
        <v>55.5845829344855</v>
      </c>
      <c r="D24" s="0" t="n">
        <f aca="false">(SUMPRODUCT(DCF_Base!$C$19:$L$19/(1+$A$24/100)^DCF_Base!$C$4:$L$4)+MAX(0,MIN(IF($A$24&gt;$D$22,DCF_Base!$L$19*(1+$D$22/100)/(($A$24-$D$22)/100),DCF_Base!$L$19*DCF_Base!$B$29),DCF_Base!$L$19*DCF_Base!$B$29))/(1+$A$24/100)^DCF_Base!$L$4+Assumptions!$B$5-Assumptions!$B$4)/Assumptions!$B$3*Assumptions!$B$10</f>
        <v>55.5845829344855</v>
      </c>
      <c r="E24" s="0" t="n">
        <f aca="false">(SUMPRODUCT(DCF_Base!$C$19:$L$19/(1+$A$24/100)^DCF_Base!$C$4:$L$4)+MAX(0,MIN(IF($A$24&gt;$E$22,DCF_Base!$L$19*(1+$E$22/100)/(($A$24-$E$22)/100),DCF_Base!$L$19*DCF_Base!$B$29),DCF_Base!$L$19*DCF_Base!$B$29))/(1+$A$24/100)^DCF_Base!$L$4+Assumptions!$B$5-Assumptions!$B$4)/Assumptions!$B$3*Assumptions!$B$10</f>
        <v>55.5845829344855</v>
      </c>
      <c r="F24" s="0" t="n">
        <f aca="false">(SUMPRODUCT(DCF_Base!$C$19:$L$19/(1+$A$24/100)^DCF_Base!$C$4:$L$4)+MAX(0,MIN(IF($A$24&gt;$F$22,DCF_Base!$L$19*(1+$F$22/100)/(($A$24-$F$22)/100),DCF_Base!$L$19*DCF_Base!$B$29),DCF_Base!$L$19*DCF_Base!$B$29))/(1+$A$24/100)^DCF_Base!$L$4+Assumptions!$B$5-Assumptions!$B$4)/Assumptions!$B$3*Assumptions!$B$10</f>
        <v>55.5845829344855</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51.8998243142205</v>
      </c>
      <c r="C25" s="0" t="n">
        <f aca="false">(SUMPRODUCT(DCF_Base!$C$19:$L$19/(1+$A$25/100)^DCF_Base!$C$4:$L$4)+MAX(0,MIN(IF($A$25&gt;$C$22,DCF_Base!$L$19*(1+$C$22/100)/(($A$25-$C$22)/100),DCF_Base!$L$19*DCF_Base!$B$29),DCF_Base!$L$19*DCF_Base!$B$29))/(1+$A$25/100)^DCF_Base!$L$4+Assumptions!$B$5-Assumptions!$B$4)/Assumptions!$B$3*Assumptions!$B$10</f>
        <v>52.0186295842871</v>
      </c>
      <c r="D25" s="0" t="n">
        <f aca="false">(SUMPRODUCT(DCF_Base!$C$19:$L$19/(1+$A$25/100)^DCF_Base!$C$4:$L$4)+MAX(0,MIN(IF($A$25&gt;$D$22,DCF_Base!$L$19*(1+$D$22/100)/(($A$25-$D$22)/100),DCF_Base!$L$19*DCF_Base!$B$29),DCF_Base!$L$19*DCF_Base!$B$29))/(1+$A$25/100)^DCF_Base!$L$4+Assumptions!$B$5-Assumptions!$B$4)/Assumptions!$B$3*Assumptions!$B$10</f>
        <v>52.0186295842871</v>
      </c>
      <c r="E25" s="0" t="n">
        <f aca="false">(SUMPRODUCT(DCF_Base!$C$19:$L$19/(1+$A$25/100)^DCF_Base!$C$4:$L$4)+MAX(0,MIN(IF($A$25&gt;$E$22,DCF_Base!$L$19*(1+$E$22/100)/(($A$25-$E$22)/100),DCF_Base!$L$19*DCF_Base!$B$29),DCF_Base!$L$19*DCF_Base!$B$29))/(1+$A$25/100)^DCF_Base!$L$4+Assumptions!$B$5-Assumptions!$B$4)/Assumptions!$B$3*Assumptions!$B$10</f>
        <v>52.0186295842871</v>
      </c>
      <c r="F25" s="0" t="n">
        <f aca="false">(SUMPRODUCT(DCF_Base!$C$19:$L$19/(1+$A$25/100)^DCF_Base!$C$4:$L$4)+MAX(0,MIN(IF($A$25&gt;$F$22,DCF_Base!$L$19*(1+$F$22/100)/(($A$25-$F$22)/100),DCF_Base!$L$19*DCF_Base!$B$29),DCF_Base!$L$19*DCF_Base!$B$29))/(1+$A$25/100)^DCF_Base!$L$4+Assumptions!$B$5-Assumptions!$B$4)/Assumptions!$B$3*Assumptions!$B$10</f>
        <v>52.0186295842871</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46.3301555105666</v>
      </c>
      <c r="C26" s="0" t="n">
        <f aca="false">(SUMPRODUCT(DCF_Base!$C$19:$L$19/(1+$A$26/100)^DCF_Base!$C$4:$L$4)+MAX(0,MIN(IF($A$26&gt;$C$22,DCF_Base!$L$19*(1+$C$22/100)/(($A$26-$C$22)/100),DCF_Base!$L$19*DCF_Base!$B$29),DCF_Base!$L$19*DCF_Base!$B$29))/(1+$A$26/100)^DCF_Base!$L$4+Assumptions!$B$5-Assumptions!$B$4)/Assumptions!$B$3*Assumptions!$B$10</f>
        <v>47.527746609241</v>
      </c>
      <c r="D26" s="0" t="n">
        <f aca="false">(SUMPRODUCT(DCF_Base!$C$19:$L$19/(1+$A$26/100)^DCF_Base!$C$4:$L$4)+MAX(0,MIN(IF($A$26&gt;$D$22,DCF_Base!$L$19*(1+$D$22/100)/(($A$26-$D$22)/100),DCF_Base!$L$19*DCF_Base!$B$29),DCF_Base!$L$19*DCF_Base!$B$29))/(1+$A$26/100)^DCF_Base!$L$4+Assumptions!$B$5-Assumptions!$B$4)/Assumptions!$B$3*Assumptions!$B$10</f>
        <v>48.7577050349066</v>
      </c>
      <c r="E26" s="0" t="n">
        <f aca="false">(SUMPRODUCT(DCF_Base!$C$19:$L$19/(1+$A$26/100)^DCF_Base!$C$4:$L$4)+MAX(0,MIN(IF($A$26&gt;$E$22,DCF_Base!$L$19*(1+$E$22/100)/(($A$26-$E$22)/100),DCF_Base!$L$19*DCF_Base!$B$29),DCF_Base!$L$19*DCF_Base!$B$29))/(1+$A$26/100)^DCF_Base!$L$4+Assumptions!$B$5-Assumptions!$B$4)/Assumptions!$B$3*Assumptions!$B$10</f>
        <v>48.7577050349066</v>
      </c>
      <c r="F26" s="0" t="n">
        <f aca="false">(SUMPRODUCT(DCF_Base!$C$19:$L$19/(1+$A$26/100)^DCF_Base!$C$4:$L$4)+MAX(0,MIN(IF($A$26&gt;$F$22,DCF_Base!$L$19*(1+$F$22/100)/(($A$26-$F$22)/100),DCF_Base!$L$19*DCF_Base!$B$29),DCF_Base!$L$19*DCF_Base!$B$29))/(1+$A$26/100)^DCF_Base!$L$4+Assumptions!$B$5-Assumptions!$B$4)/Assumptions!$B$3*Assumptions!$B$10</f>
        <v>48.7577050349066</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41.8365810459447</v>
      </c>
      <c r="C27" s="0" t="n">
        <f aca="false">(SUMPRODUCT(DCF_Base!$C$19:$L$19/(1+$A$27/100)^DCF_Base!$C$4:$L$4)+MAX(0,MIN(IF($A$27&gt;$C$22,DCF_Base!$L$19*(1+$C$22/100)/(($A$27-$C$22)/100),DCF_Base!$L$19*DCF_Base!$B$29),DCF_Base!$L$19*DCF_Base!$B$29))/(1+$A$27/100)^DCF_Base!$L$4+Assumptions!$B$5-Assumptions!$B$4)/Assumptions!$B$3*Assumptions!$B$10</f>
        <v>42.7361407234446</v>
      </c>
      <c r="D27" s="0" t="n">
        <f aca="false">(SUMPRODUCT(DCF_Base!$C$19:$L$19/(1+$A$27/100)^DCF_Base!$C$4:$L$4)+MAX(0,MIN(IF($A$27&gt;$D$22,DCF_Base!$L$19*(1+$D$22/100)/(($A$27-$D$22)/100),DCF_Base!$L$19*DCF_Base!$B$29),DCF_Base!$L$19*DCF_Base!$B$29))/(1+$A$27/100)^DCF_Base!$L$4+Assumptions!$B$5-Assumptions!$B$4)/Assumptions!$B$3*Assumptions!$B$10</f>
        <v>43.730390893313</v>
      </c>
      <c r="E27" s="0" t="n">
        <f aca="false">(SUMPRODUCT(DCF_Base!$C$19:$L$19/(1+$A$27/100)^DCF_Base!$C$4:$L$4)+MAX(0,MIN(IF($A$27&gt;$E$22,DCF_Base!$L$19*(1+$E$22/100)/(($A$27-$E$22)/100),DCF_Base!$L$19*DCF_Base!$B$29),DCF_Base!$L$19*DCF_Base!$B$29))/(1+$A$27/100)^DCF_Base!$L$4+Assumptions!$B$5-Assumptions!$B$4)/Assumptions!$B$3*Assumptions!$B$10</f>
        <v>44.8351133042778</v>
      </c>
      <c r="F27" s="0" t="n">
        <f aca="false">(SUMPRODUCT(DCF_Base!$C$19:$L$19/(1+$A$27/100)^DCF_Base!$C$4:$L$4)+MAX(0,MIN(IF($A$27&gt;$F$22,DCF_Base!$L$19*(1+$F$22/100)/(($A$27-$F$22)/100),DCF_Base!$L$19*DCF_Base!$B$29),DCF_Base!$L$19*DCF_Base!$B$29))/(1+$A$27/100)^DCF_Base!$L$4+Assumptions!$B$5-Assumptions!$B$4)/Assumptions!$B$3*Assumptions!$B$10</f>
        <v>45.7721546350069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2026-10-02T09:15:09Z</dcterms:created>
  <dc:creator>openpyxl</dc:creator>
  <dc:description/>
  <dc:language>en-NZ</dc:language>
  <cp:lastModifiedBy/>
  <dcterms:modified xsi:type="dcterms:W3CDTF">2026-10-02T09:15:09Z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