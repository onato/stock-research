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<sst xmlns="http://schemas.openxmlformats.org/spreadsheetml/2006/main" count="354" uniqueCount="164">
  <si>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</si>
  <si>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SHEL.L</t>
  </si>
  <si>
    <t xml:space="preserve">Company</t>
  </si>
  <si>
    <t xml:space="preserve">Shell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</si>
  <si>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</si>
  <si>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</si>
  <si>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</si>
  <si>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</si>
  <si>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2026-10-09T16:15:00Z regular LSE close (Yahoo chart API); not an after-hours print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</si>
  <si>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</si>
  <si>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</si>
  <si>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</si>
  <si>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</si>
  <si>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</si>
  <si>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</si>
  <si>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</si>
  <si>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</si>
  <si>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</si>
  <si>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</si>
  <si>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</si>
  <si>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</si>
  <si>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</si>
  <si>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2026-10-10T01:24:53Z</t>
  </si>
  <si>
    <t xml:space="preserve">Drivers file</t>
  </si>
  <si>
    <t xml:space="preserve">SHEL.L_Drivers.json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</si>
  <si>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</si>
  <si>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</si>
  <si>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</si>
  <si>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Shell on mid-cycle owner cash flow, not on the current year: FY2025 (Brent ~$68-71) is the anchor because Shell's own normalisation deck says it is mid-cycle, and FY2026's above-cycle earnings are given one year and then reverted. Leases are an operating cost (treatment B), impairments and divestment gains are outside the base, buybacks are value-neutral with a flat share count, and the terminal value is capped at 13x owner FCF so that the valuation does not assume the market will pay a growth multiple for a depleting, transition-exposed asset base. The number of interest is the probability-weighted value in pence against the LSE price; the ADR parity check ties the FX bridge to 0.2%.
key_risks_to_valuation: Commodity price deck: each $10/bbl on Brent is ~$2.6bn of Upstream earnings and ~$1.1bn in Integrated Gas (FY2025 AR sensitivities); the base deck is FY2025 actuals.; LNG supply wave 2027-30 compressing spot LNG/TTF and Shell's trading margins (43% of segment earnings).; Stale anchors: balance sheet and share count are 31 Dec 2025; 2026 buybacks, the ARC Resources acquisition (cash + new shares, ~$16.5bn EV) and Q2-26 net debt are not in the bridge. ARC is excluded on both sides; the first update must bring it in with the interim filing.; Lease treatment: $7.1bn/yr of lease cash is charged in perpetuity; treating leases as finite debt (treatment A) would add ~$1.7/share (~130p).; Terminal cap: at 13x the cap binds in every scenario; each 1x on the cap is ~$1.4/share (~105p) in the base.; Cash tax: 36% is FY2025's actual on component EBIT; windfall taxes (UK EPL and similar) move it up, not down.; Climate litigation (Milieudefensie Supreme Court appeal) and Nigeria legacy claims: unquantified tail, not in the flows.; FX: value is built in USD and converted at 1.3233; a 5% GBP move is ~5% on the pence value with no change to the USD economics.</t>
  </si>
  <si>
    <t xml:space="preserve">Data sources</t>
  </si>
  <si>
    <t xml:space="preserve">price: Yahoo Finance chart API for SHEL.L at inputs.price_as_of; 52-week range 2,554-3,807p. FX from GBPUSD=X and ADR parity from SHEL (NYSE), both Yahoo, 2026-10-09.
financials: SHEL.L_Metrics.csv FY2018-FY2025 (USD millions) and the FY2025 Annual Report (SHEL.L_Annual_FY2025.txt): consolidated cash flow statement (p.232-233), Note 22 Leases (lease cash outflow $7,127m; ROU depreciation $5,600m), Note 27/28 shares and share-based compensation, Note 31 EPS, segment note (DD&amp;A $25,299m of which impairments $3,175m), net debt reconciliation (p.434), price-normalisation deck.
qualitative: SHEL.L_Analysis.json (2026-10-10): segment mix, CMD25 guidance (capex $20-22bn p.a. ex-ARC, FY2026 $24-26bn incl. ~$4bn ARC; distributions 40-50% of CFFO; LNG +4-5% p.a.; $5-7bn cost savings by 2028), ARC Resources completion, LNG Canada Phase 2 FID, Q2-2026 results.</t>
  </si>
  <si>
    <t xml:space="preserve">Scenario narrative: bear</t>
  </si>
  <si>
    <t xml:space="preserve">Price-deck reset lower and an LNG glut hit the two segments that are 83% of earnings at the same time, while Chemicals stays depressed and the energy-transition pullback leaves no second engine. Value falls to ~half the base; the balance sheet is not at risk.</t>
  </si>
  <si>
    <t xml:space="preserve">Scenario narrative: base</t>
  </si>
  <si>
    <t xml:space="preserve">Shell is valued as a mid-cycle hydrocarbon cash machine at the FY2025 price deck, with one above-cycle year (FY2026) and modest LNG-led growth. The axes that matter are the Brent/TTF/JCC price deck, LNG supply-demand into the 2027-30 supply wave, trading and optimisation margins, and whether the structural cost programme keeps offsetting carbon and inflation costs. The base assumes the $20-22bn capex framework holds production flat to 2030, LNG sales grow 4-5% a year, and the remaining $1-2bn of cost savings arrive by 2028.</t>
  </si>
  <si>
    <t xml:space="preserve">Scenario narrative: bull</t>
  </si>
  <si>
    <t xml:space="preserve">A higher mid-cycle price deck (~$80-85 Brent) plus a tight LNG market and continued trading outperformance; Shell's integrated-gas lead (largest listed LNG supplier, LNG Canada Phase 2, ARC Montney feedstock) compounds on it. Capex stays disciplined so the extra margin is all owner cash.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</si>
  <si>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</si>
  <si>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</si>
  <si>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</si>
  <si>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</si>
  <si>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</si>
  <si>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</si>
  <si>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</si>
  <si>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</si>
  <si>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</si>
  <si>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</si>
  <si>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</si>
  <si>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</si>
  <si>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</si>
  <si>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</si>
  <si>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</si>
  <si>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</si>
  <si>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</si>
  <si>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</si>
  <si>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</si>
  <si>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</si>
  <si>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</si>
  <si>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</si>
  <si>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</si>
  <si>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</si>
  <si>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</si>
  <si>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</si>
  <si>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</si>
  <si>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</si>
  <si>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</si>
  <si>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</si>
  <si>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</si>
  <si>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</si>
  <si>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</si>
  <si>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</si>
  <si>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</si>
  <si>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</si>
  <si>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</si>
  <si>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</si>
  <si>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</si>
  <si>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</si>
  <si>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</si>
  <si>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</si>
  <si>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</si>
  <si>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</si>
  <si>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</si>
  <si>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</si>
  <si>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</si>
  <si>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</si>
  <si>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</si>
  <si>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</si>
  <si>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</si>
  <si>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</si>
  <si>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</si>
  <si>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</si>
  <si>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</si>
  <si>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</si>
  <si>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</si>
  <si>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</si>
  <si>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</si>
  <si>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</si>
  <si>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</si>
  <si>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</si>
  <si>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</si>
  <si>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</si>
  <si>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</si>
  <si>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</si>
  <si>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</si>
  <si>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</si>
  <si>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</si>
  <si>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</si>
  <si>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</si>
  <si>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</si>
  <si>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SHEL.L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</si>
  <si>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</si>
  <si>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</si>
  <si>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</si>
  <si>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</si>
  <si>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</si>
  <si>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</si>
  <si>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</si>
  <si>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</si>
  <si>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</si>
  <si>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</si>
  <si>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</si>
  <si>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</si>
  <si>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</si>
  <si>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</si>
  <si>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</si>
  <si>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</si>
  <si>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</si>
  <si>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</si>
  <si>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</si>
  <si>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</si>
  <si>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</si>
  <si>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</si>
  <si>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</si>
  <si>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</si>
  <si>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</si>
  <si>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</si>
  <si>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</si>
  <si>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</si>
  <si>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</si>
  <si>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</si>
  <si>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SHEL.L owner-FCF component DCF: base case (millions, USD)</t>
  </si>
  <si>
    <t xml:space="preserve">SHEL.L owner-FCF component DCF: bull case (millions, USD)</t>
  </si>
  <si>
    <t xml:space="preserve">SHEL.L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</si>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</sst>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3793.5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388379</v>
      </c>
      <c r="F2" s="0" t="n">
        <v>39366</v>
      </c>
      <c r="G2" s="0" t="n">
        <v>10.1</v>
      </c>
      <c r="H2" s="0" t="n">
        <v>61501</v>
      </c>
      <c r="I2" s="0" t="n">
        <v>23352</v>
      </c>
      <c r="J2" s="0" t="n">
        <v>6</v>
      </c>
      <c r="K2" s="0" t="n">
        <v>2.8</v>
      </c>
      <c r="L2" s="0" t="n">
        <v>53085</v>
      </c>
      <c r="M2" s="0" t="n">
        <v>23011</v>
      </c>
      <c r="N2" s="0" t="n">
        <v>30074</v>
      </c>
      <c r="O2" s="0" t="n">
        <v>198646</v>
      </c>
      <c r="P2" s="0" t="n">
        <v>399194</v>
      </c>
      <c r="Q2" s="0" t="n">
        <v>196660</v>
      </c>
      <c r="R2" s="0" t="n">
        <v>76824</v>
      </c>
      <c r="S2" s="0" t="n">
        <v>26741</v>
      </c>
      <c r="T2" s="0" t="n">
        <v>8348.7</v>
      </c>
      <c r="U2" s="0" t="n">
        <v>531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344877</v>
      </c>
      <c r="F3" s="0" t="n">
        <v>30175</v>
      </c>
      <c r="G3" s="0" t="n">
        <v>8.7</v>
      </c>
      <c r="H3" s="0" t="n">
        <v>58876</v>
      </c>
      <c r="I3" s="0" t="n">
        <v>15842</v>
      </c>
      <c r="J3" s="0" t="n">
        <v>4.6</v>
      </c>
      <c r="K3" s="0" t="n">
        <v>1.95</v>
      </c>
      <c r="L3" s="0" t="n">
        <v>42178</v>
      </c>
      <c r="M3" s="0" t="n">
        <v>22971</v>
      </c>
      <c r="N3" s="0" t="n">
        <v>19207</v>
      </c>
      <c r="O3" s="0" t="n">
        <v>186476</v>
      </c>
      <c r="P3" s="0" t="n">
        <v>404336</v>
      </c>
      <c r="Q3" s="0" t="n">
        <v>213873</v>
      </c>
      <c r="R3" s="0" t="n">
        <v>96424</v>
      </c>
      <c r="S3" s="0" t="n">
        <v>18055</v>
      </c>
      <c r="T3" s="0" t="n">
        <v>8112.5</v>
      </c>
      <c r="U3" s="0" t="n">
        <v>537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180543</v>
      </c>
      <c r="F4" s="0" t="n">
        <v>-22878</v>
      </c>
      <c r="G4" s="0" t="n">
        <v>-12.7</v>
      </c>
      <c r="H4" s="0" t="n">
        <v>29566</v>
      </c>
      <c r="I4" s="0" t="n">
        <v>-21680</v>
      </c>
      <c r="J4" s="0" t="n">
        <v>-12</v>
      </c>
      <c r="K4" s="0" t="n">
        <v>-2.78</v>
      </c>
      <c r="L4" s="0" t="n">
        <v>34105</v>
      </c>
      <c r="M4" s="0" t="n">
        <v>16585</v>
      </c>
      <c r="N4" s="0" t="n">
        <v>17520</v>
      </c>
      <c r="O4" s="0" t="n">
        <v>155310</v>
      </c>
      <c r="P4" s="0" t="n">
        <v>379268</v>
      </c>
      <c r="Q4" s="0" t="n">
        <v>220731</v>
      </c>
      <c r="R4" s="0" t="n">
        <v>108014</v>
      </c>
      <c r="S4" s="0" t="n">
        <v>31830</v>
      </c>
      <c r="T4" s="0" t="n">
        <v>7795.6</v>
      </c>
      <c r="U4" s="0" t="n">
        <v>359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261504</v>
      </c>
      <c r="F5" s="0" t="n">
        <v>33436</v>
      </c>
      <c r="G5" s="0" t="n">
        <v>12.8</v>
      </c>
      <c r="H5" s="0" t="n">
        <v>60357</v>
      </c>
      <c r="I5" s="0" t="n">
        <v>20101</v>
      </c>
      <c r="J5" s="0" t="n">
        <v>7.7</v>
      </c>
      <c r="K5" s="0" t="n">
        <v>2.57</v>
      </c>
      <c r="L5" s="0" t="n">
        <v>45104</v>
      </c>
      <c r="M5" s="0" t="n">
        <v>19000</v>
      </c>
      <c r="N5" s="0" t="n">
        <v>26104</v>
      </c>
      <c r="O5" s="0" t="n">
        <v>171966</v>
      </c>
      <c r="P5" s="0" t="n">
        <v>404379</v>
      </c>
      <c r="Q5" s="0" t="n">
        <v>229053</v>
      </c>
      <c r="R5" s="0" t="n">
        <v>89086</v>
      </c>
      <c r="S5" s="0" t="n">
        <v>36970</v>
      </c>
      <c r="T5" s="0" t="n">
        <v>7806.8</v>
      </c>
      <c r="U5" s="0" t="n">
        <v>539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381314</v>
      </c>
      <c r="F6" s="0" t="n">
        <v>67996</v>
      </c>
      <c r="G6" s="0" t="n">
        <v>17.8</v>
      </c>
      <c r="H6" s="0" t="n">
        <v>86525</v>
      </c>
      <c r="I6" s="0" t="n">
        <v>42309</v>
      </c>
      <c r="J6" s="0" t="n">
        <v>11.1</v>
      </c>
      <c r="K6" s="0" t="n">
        <v>5.71</v>
      </c>
      <c r="L6" s="0" t="n">
        <v>68414</v>
      </c>
      <c r="M6" s="0" t="n">
        <v>22600</v>
      </c>
      <c r="N6" s="0" t="n">
        <v>45814</v>
      </c>
      <c r="O6" s="0" t="n">
        <v>190472</v>
      </c>
      <c r="P6" s="0" t="n">
        <v>443024</v>
      </c>
      <c r="Q6" s="0" t="n">
        <v>250427</v>
      </c>
      <c r="R6" s="0" t="n">
        <v>83795</v>
      </c>
      <c r="S6" s="0" t="n">
        <v>40246</v>
      </c>
      <c r="T6" s="0" t="n">
        <v>7410.5</v>
      </c>
      <c r="U6" s="0" t="n">
        <v>807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316620</v>
      </c>
      <c r="F7" s="0" t="n">
        <v>37300</v>
      </c>
      <c r="G7" s="0" t="n">
        <v>11.8</v>
      </c>
      <c r="H7" s="0" t="n">
        <v>68590</v>
      </c>
      <c r="I7" s="0" t="n">
        <v>19359</v>
      </c>
      <c r="J7" s="0" t="n">
        <v>6.1</v>
      </c>
      <c r="K7" s="0" t="n">
        <v>2.85</v>
      </c>
      <c r="L7" s="0" t="n">
        <v>54191</v>
      </c>
      <c r="M7" s="0" t="n">
        <v>22993</v>
      </c>
      <c r="N7" s="0" t="n">
        <v>31198</v>
      </c>
      <c r="O7" s="0" t="n">
        <v>186607</v>
      </c>
      <c r="P7" s="0" t="n">
        <v>406270</v>
      </c>
      <c r="Q7" s="0" t="n">
        <v>217908</v>
      </c>
      <c r="R7" s="0" t="n">
        <v>81541</v>
      </c>
      <c r="S7" s="0" t="n">
        <v>38774</v>
      </c>
      <c r="T7" s="0" t="n">
        <v>6799.8</v>
      </c>
      <c r="U7" s="0" t="n">
        <v>700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284312</v>
      </c>
      <c r="F8" s="0" t="n">
        <v>34709</v>
      </c>
      <c r="G8" s="0" t="n">
        <v>12.2</v>
      </c>
      <c r="H8" s="0" t="n">
        <v>61581</v>
      </c>
      <c r="I8" s="0" t="n">
        <v>16094</v>
      </c>
      <c r="J8" s="0" t="n">
        <v>5.7</v>
      </c>
      <c r="K8" s="0" t="n">
        <v>2.53</v>
      </c>
      <c r="L8" s="0" t="n">
        <v>54687</v>
      </c>
      <c r="M8" s="0" t="n">
        <v>19601</v>
      </c>
      <c r="N8" s="0" t="n">
        <v>35086</v>
      </c>
      <c r="O8" s="0" t="n">
        <v>178307</v>
      </c>
      <c r="P8" s="0" t="n">
        <v>387609</v>
      </c>
      <c r="Q8" s="0" t="n">
        <v>207441</v>
      </c>
      <c r="R8" s="0" t="n">
        <v>77078</v>
      </c>
      <c r="S8" s="0" t="n">
        <v>39110</v>
      </c>
      <c r="T8" s="0" t="n">
        <v>6363.7</v>
      </c>
      <c r="U8" s="0" t="n">
        <v>732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266886</v>
      </c>
      <c r="F9" s="0" t="n">
        <v>34427</v>
      </c>
      <c r="G9" s="0" t="n">
        <v>12.9</v>
      </c>
      <c r="H9" s="0" t="n">
        <v>59726</v>
      </c>
      <c r="I9" s="0" t="n">
        <v>17837</v>
      </c>
      <c r="J9" s="0" t="n">
        <v>6.7</v>
      </c>
      <c r="K9" s="0" t="n">
        <v>3</v>
      </c>
      <c r="L9" s="0" t="n">
        <v>42863</v>
      </c>
      <c r="M9" s="0" t="n">
        <v>18947</v>
      </c>
      <c r="N9" s="0" t="n">
        <v>23916</v>
      </c>
      <c r="O9" s="0" t="n">
        <v>174392</v>
      </c>
      <c r="P9" s="0" t="n">
        <v>370350</v>
      </c>
      <c r="Q9" s="0" t="n">
        <v>195031</v>
      </c>
      <c r="R9" s="0" t="n">
        <v>75643</v>
      </c>
      <c r="S9" s="0" t="n">
        <v>30216</v>
      </c>
      <c r="T9" s="0" t="n">
        <v>5948.6</v>
      </c>
      <c r="U9" s="0" t="n">
        <v>774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3793.5</v>
      </c>
    </row>
    <row r="3" customFormat="false" ht="15" hidden="false" customHeight="false" outlineLevel="0" collapsed="false">
      <c r="A3" s="0" t="s">
        <v>75</v>
      </c>
      <c r="B3" s="3" t="n">
        <v>5719</v>
      </c>
    </row>
    <row r="4" customFormat="false" ht="15" hidden="false" customHeight="false" outlineLevel="0" collapsed="false">
      <c r="A4" s="0" t="s">
        <v>76</v>
      </c>
      <c r="B4" s="3" t="n">
        <v>16754</v>
      </c>
    </row>
    <row r="5" customFormat="false" ht="15" hidden="false" customHeight="false" outlineLevel="0" collapsed="false">
      <c r="A5" s="0" t="s">
        <v>77</v>
      </c>
      <c r="B5" s="3" t="n">
        <v>-927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266886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75.57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5</v>
      </c>
      <c r="D13" s="3" t="n">
        <v>-15</v>
      </c>
      <c r="E13" s="3" t="n">
        <v>0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22</v>
      </c>
      <c r="D14" s="3" t="n">
        <v>18.5</v>
      </c>
      <c r="E14" s="3" t="n">
        <v>18.5</v>
      </c>
      <c r="F14" s="3" t="n">
        <v>19</v>
      </c>
      <c r="G14" s="3" t="n">
        <v>19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97</v>
      </c>
      <c r="C15" s="3" t="n">
        <v>0.29</v>
      </c>
      <c r="D15" s="3" t="n">
        <v>0.29</v>
      </c>
      <c r="E15" s="3" t="n">
        <v>0.29</v>
      </c>
      <c r="F15" s="3" t="n">
        <v>0.29</v>
      </c>
      <c r="G15" s="3" t="n">
        <v>0.29</v>
      </c>
      <c r="H15" s="3" t="n">
        <v>0.29</v>
      </c>
      <c r="I15" s="3" t="n">
        <v>0.29</v>
      </c>
      <c r="J15" s="3" t="n">
        <v>0.29</v>
      </c>
      <c r="K15" s="3" t="n">
        <v>0.29</v>
      </c>
      <c r="L15" s="3" t="n">
        <v>0.29</v>
      </c>
    </row>
    <row r="16" customFormat="false" ht="15" hidden="false" customHeight="false" outlineLevel="0" collapsed="false">
      <c r="A16" s="0" t="s">
        <v>98</v>
      </c>
      <c r="C16" s="3" t="n">
        <v>2.7</v>
      </c>
      <c r="D16" s="3" t="n">
        <v>2.7</v>
      </c>
      <c r="E16" s="3" t="n">
        <v>2.7</v>
      </c>
      <c r="F16" s="3" t="n">
        <v>2.7</v>
      </c>
      <c r="G16" s="3" t="n">
        <v>2.7</v>
      </c>
      <c r="H16" s="3" t="n">
        <v>2.7</v>
      </c>
      <c r="I16" s="3" t="n">
        <v>2.7</v>
      </c>
      <c r="J16" s="3" t="n">
        <v>2.7</v>
      </c>
      <c r="K16" s="3" t="n">
        <v>2.7</v>
      </c>
      <c r="L16" s="3" t="n">
        <v>2.7</v>
      </c>
    </row>
    <row r="17" customFormat="false" ht="15" hidden="false" customHeight="false" outlineLevel="0" collapsed="false">
      <c r="A17" s="0" t="s">
        <v>99</v>
      </c>
      <c r="C17" s="3" t="n">
        <v>6.3</v>
      </c>
      <c r="D17" s="3" t="n">
        <v>6.3</v>
      </c>
      <c r="E17" s="3" t="n">
        <v>6.3</v>
      </c>
      <c r="F17" s="3" t="n">
        <v>6.3</v>
      </c>
      <c r="G17" s="3" t="n">
        <v>6.3</v>
      </c>
      <c r="H17" s="3" t="n">
        <v>6.3</v>
      </c>
      <c r="I17" s="3" t="n">
        <v>6.3</v>
      </c>
      <c r="J17" s="3" t="n">
        <v>6.3</v>
      </c>
      <c r="K17" s="3" t="n">
        <v>6.3</v>
      </c>
      <c r="L17" s="3" t="n">
        <v>6.3</v>
      </c>
    </row>
    <row r="18" customFormat="false" ht="15" hidden="false" customHeight="false" outlineLevel="0" collapsed="false">
      <c r="A18" s="0" t="s">
        <v>100</v>
      </c>
      <c r="C18" s="3" t="n">
        <v>7.5</v>
      </c>
      <c r="D18" s="3" t="n">
        <v>8.3</v>
      </c>
      <c r="E18" s="3" t="n">
        <v>8.3</v>
      </c>
      <c r="F18" s="3" t="n">
        <v>8.3</v>
      </c>
      <c r="G18" s="3" t="n">
        <v>8.3</v>
      </c>
      <c r="H18" s="3" t="n">
        <v>8.3</v>
      </c>
      <c r="I18" s="3" t="n">
        <v>8.3</v>
      </c>
      <c r="J18" s="3" t="n">
        <v>8.3</v>
      </c>
      <c r="K18" s="3" t="n">
        <v>8.3</v>
      </c>
      <c r="L18" s="3" t="n">
        <v>8.3</v>
      </c>
    </row>
    <row r="19" customFormat="false" ht="15" hidden="false" customHeight="false" outlineLevel="0" collapsed="false">
      <c r="A19" s="0" t="s">
        <v>101</v>
      </c>
      <c r="C19" s="3" t="n">
        <v>36</v>
      </c>
      <c r="D19" s="3" t="n">
        <v>36</v>
      </c>
      <c r="E19" s="3" t="n">
        <v>36</v>
      </c>
      <c r="F19" s="3" t="n">
        <v>36</v>
      </c>
      <c r="G19" s="3" t="n">
        <v>36</v>
      </c>
      <c r="H19" s="3" t="n">
        <v>36</v>
      </c>
      <c r="I19" s="3" t="n">
        <v>36</v>
      </c>
      <c r="J19" s="3" t="n">
        <v>36</v>
      </c>
      <c r="K19" s="3" t="n">
        <v>36</v>
      </c>
      <c r="L19" s="3" t="n">
        <v>36</v>
      </c>
    </row>
    <row r="20" customFormat="false" ht="15" hidden="false" customHeight="false" outlineLevel="0" collapsed="false">
      <c r="A20" s="0" t="s">
        <v>102</v>
      </c>
      <c r="B20" s="3" t="n">
        <v>8</v>
      </c>
    </row>
    <row r="21" customFormat="false" ht="15" hidden="false" customHeight="false" outlineLevel="0" collapsed="false">
      <c r="A21" s="0" t="s">
        <v>103</v>
      </c>
      <c r="B21" s="3" t="n">
        <v>0.5</v>
      </c>
    </row>
    <row r="22" customFormat="false" ht="15" hidden="false" customHeight="false" outlineLevel="0" collapsed="false">
      <c r="A22" s="0" t="s">
        <v>104</v>
      </c>
      <c r="B22" s="3" t="n">
        <v>13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8</v>
      </c>
      <c r="D27" s="3" t="n">
        <v>-4</v>
      </c>
      <c r="E27" s="3" t="n">
        <v>2.5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23</v>
      </c>
      <c r="D28" s="3" t="n">
        <v>21.5</v>
      </c>
      <c r="E28" s="3" t="n">
        <v>21.5</v>
      </c>
      <c r="F28" s="3" t="n">
        <v>21.7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97</v>
      </c>
      <c r="C29" s="3" t="n">
        <v>0.29</v>
      </c>
      <c r="D29" s="3" t="n">
        <v>0.29</v>
      </c>
      <c r="E29" s="3" t="n">
        <v>0.29</v>
      </c>
      <c r="F29" s="3" t="n">
        <v>0.29</v>
      </c>
      <c r="G29" s="3" t="n">
        <v>0.29</v>
      </c>
      <c r="H29" s="3" t="n">
        <v>0.29</v>
      </c>
      <c r="I29" s="3" t="n">
        <v>0.29</v>
      </c>
      <c r="J29" s="3" t="n">
        <v>0.29</v>
      </c>
      <c r="K29" s="3" t="n">
        <v>0.29</v>
      </c>
      <c r="L29" s="3" t="n">
        <v>0.29</v>
      </c>
    </row>
    <row r="30" customFormat="false" ht="15" hidden="false" customHeight="false" outlineLevel="0" collapsed="false">
      <c r="A30" s="0" t="s">
        <v>98</v>
      </c>
      <c r="C30" s="3" t="n">
        <v>2.6</v>
      </c>
      <c r="D30" s="3" t="n">
        <v>2.6</v>
      </c>
      <c r="E30" s="3" t="n">
        <v>2.6</v>
      </c>
      <c r="F30" s="3" t="n">
        <v>2.6</v>
      </c>
      <c r="G30" s="3" t="n">
        <v>2.6</v>
      </c>
      <c r="H30" s="3" t="n">
        <v>2.6</v>
      </c>
      <c r="I30" s="3" t="n">
        <v>2.6</v>
      </c>
      <c r="J30" s="3" t="n">
        <v>2.6</v>
      </c>
      <c r="K30" s="3" t="n">
        <v>2.6</v>
      </c>
      <c r="L30" s="3" t="n">
        <v>2.6</v>
      </c>
    </row>
    <row r="31" customFormat="false" ht="15" hidden="false" customHeight="false" outlineLevel="0" collapsed="false">
      <c r="A31" s="0" t="s">
        <v>99</v>
      </c>
      <c r="C31" s="3" t="n">
        <v>6.3</v>
      </c>
      <c r="D31" s="3" t="n">
        <v>6.3</v>
      </c>
      <c r="E31" s="3" t="n">
        <v>6.3</v>
      </c>
      <c r="F31" s="3" t="n">
        <v>6.3</v>
      </c>
      <c r="G31" s="3" t="n">
        <v>6.3</v>
      </c>
      <c r="H31" s="3" t="n">
        <v>6.3</v>
      </c>
      <c r="I31" s="3" t="n">
        <v>6.3</v>
      </c>
      <c r="J31" s="3" t="n">
        <v>6.3</v>
      </c>
      <c r="K31" s="3" t="n">
        <v>6.3</v>
      </c>
      <c r="L31" s="3" t="n">
        <v>6.3</v>
      </c>
    </row>
    <row r="32" customFormat="false" ht="15" hidden="false" customHeight="false" outlineLevel="0" collapsed="false">
      <c r="A32" s="0" t="s">
        <v>100</v>
      </c>
      <c r="C32" s="3" t="n">
        <v>7.3</v>
      </c>
      <c r="D32" s="3" t="n">
        <v>7.6</v>
      </c>
      <c r="E32" s="3" t="n">
        <v>7.6</v>
      </c>
      <c r="F32" s="3" t="n">
        <v>7.6</v>
      </c>
      <c r="G32" s="3" t="n">
        <v>7.6</v>
      </c>
      <c r="H32" s="3" t="n">
        <v>7.6</v>
      </c>
      <c r="I32" s="3" t="n">
        <v>7.6</v>
      </c>
      <c r="J32" s="3" t="n">
        <v>7.6</v>
      </c>
      <c r="K32" s="3" t="n">
        <v>7.6</v>
      </c>
      <c r="L32" s="3" t="n">
        <v>7.6</v>
      </c>
    </row>
    <row r="33" customFormat="false" ht="15" hidden="false" customHeight="false" outlineLevel="0" collapsed="false">
      <c r="A33" s="0" t="s">
        <v>101</v>
      </c>
      <c r="C33" s="3" t="n">
        <v>36</v>
      </c>
      <c r="D33" s="3" t="n">
        <v>36</v>
      </c>
      <c r="E33" s="3" t="n">
        <v>36</v>
      </c>
      <c r="F33" s="3" t="n">
        <v>36</v>
      </c>
      <c r="G33" s="3" t="n">
        <v>36</v>
      </c>
      <c r="H33" s="3" t="n">
        <v>36</v>
      </c>
      <c r="I33" s="3" t="n">
        <v>36</v>
      </c>
      <c r="J33" s="3" t="n">
        <v>36</v>
      </c>
      <c r="K33" s="3" t="n">
        <v>36</v>
      </c>
      <c r="L33" s="3" t="n">
        <v>36</v>
      </c>
    </row>
    <row r="34" customFormat="false" ht="15" hidden="false" customHeight="false" outlineLevel="0" collapsed="false">
      <c r="A34" s="0" t="s">
        <v>102</v>
      </c>
      <c r="B34" s="3" t="n">
        <v>8</v>
      </c>
    </row>
    <row r="35" customFormat="false" ht="15" hidden="false" customHeight="false" outlineLevel="0" collapsed="false">
      <c r="A35" s="0" t="s">
        <v>103</v>
      </c>
      <c r="B35" s="3" t="n">
        <v>1.5</v>
      </c>
    </row>
    <row r="36" customFormat="false" ht="15" hidden="false" customHeight="false" outlineLevel="0" collapsed="false">
      <c r="A36" s="0" t="s">
        <v>104</v>
      </c>
      <c r="B36" s="3" t="n">
        <v>13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12</v>
      </c>
      <c r="D41" s="3" t="n">
        <v>0</v>
      </c>
      <c r="E41" s="3" t="n">
        <v>3</v>
      </c>
      <c r="F41" s="3" t="n">
        <v>3</v>
      </c>
      <c r="G41" s="3" t="n">
        <v>3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24</v>
      </c>
      <c r="D42" s="3" t="n">
        <v>23.5</v>
      </c>
      <c r="E42" s="3" t="n">
        <v>23</v>
      </c>
      <c r="F42" s="3" t="n">
        <v>23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97</v>
      </c>
      <c r="C43" s="3" t="n">
        <v>0.29</v>
      </c>
      <c r="D43" s="3" t="n">
        <v>0.29</v>
      </c>
      <c r="E43" s="3" t="n">
        <v>0.29</v>
      </c>
      <c r="F43" s="3" t="n">
        <v>0.29</v>
      </c>
      <c r="G43" s="3" t="n">
        <v>0.29</v>
      </c>
      <c r="H43" s="3" t="n">
        <v>0.29</v>
      </c>
      <c r="I43" s="3" t="n">
        <v>0.29</v>
      </c>
      <c r="J43" s="3" t="n">
        <v>0.29</v>
      </c>
      <c r="K43" s="3" t="n">
        <v>0.29</v>
      </c>
      <c r="L43" s="3" t="n">
        <v>0.29</v>
      </c>
    </row>
    <row r="44" customFormat="false" ht="15" hidden="false" customHeight="false" outlineLevel="0" collapsed="false">
      <c r="A44" s="0" t="s">
        <v>98</v>
      </c>
      <c r="C44" s="3" t="n">
        <v>2.6</v>
      </c>
      <c r="D44" s="3" t="n">
        <v>2.6</v>
      </c>
      <c r="E44" s="3" t="n">
        <v>2.6</v>
      </c>
      <c r="F44" s="3" t="n">
        <v>2.6</v>
      </c>
      <c r="G44" s="3" t="n">
        <v>2.6</v>
      </c>
      <c r="H44" s="3" t="n">
        <v>2.6</v>
      </c>
      <c r="I44" s="3" t="n">
        <v>2.6</v>
      </c>
      <c r="J44" s="3" t="n">
        <v>2.6</v>
      </c>
      <c r="K44" s="3" t="n">
        <v>2.6</v>
      </c>
      <c r="L44" s="3" t="n">
        <v>2.6</v>
      </c>
    </row>
    <row r="45" customFormat="false" ht="15" hidden="false" customHeight="false" outlineLevel="0" collapsed="false">
      <c r="A45" s="0" t="s">
        <v>99</v>
      </c>
      <c r="C45" s="3" t="n">
        <v>6.3</v>
      </c>
      <c r="D45" s="3" t="n">
        <v>6.3</v>
      </c>
      <c r="E45" s="3" t="n">
        <v>6.3</v>
      </c>
      <c r="F45" s="3" t="n">
        <v>6.3</v>
      </c>
      <c r="G45" s="3" t="n">
        <v>6.3</v>
      </c>
      <c r="H45" s="3" t="n">
        <v>6.3</v>
      </c>
      <c r="I45" s="3" t="n">
        <v>6.3</v>
      </c>
      <c r="J45" s="3" t="n">
        <v>6.3</v>
      </c>
      <c r="K45" s="3" t="n">
        <v>6.3</v>
      </c>
      <c r="L45" s="3" t="n">
        <v>6.3</v>
      </c>
    </row>
    <row r="46" customFormat="false" ht="15" hidden="false" customHeight="false" outlineLevel="0" collapsed="false">
      <c r="A46" s="0" t="s">
        <v>100</v>
      </c>
      <c r="C46" s="3" t="n">
        <v>7</v>
      </c>
      <c r="D46" s="3" t="n">
        <v>7.3</v>
      </c>
      <c r="E46" s="3" t="n">
        <v>7.3</v>
      </c>
      <c r="F46" s="3" t="n">
        <v>7.3</v>
      </c>
      <c r="G46" s="3" t="n">
        <v>7.3</v>
      </c>
      <c r="H46" s="3" t="n">
        <v>7.3</v>
      </c>
      <c r="I46" s="3" t="n">
        <v>7.3</v>
      </c>
      <c r="J46" s="3" t="n">
        <v>7.3</v>
      </c>
      <c r="K46" s="3" t="n">
        <v>7.3</v>
      </c>
      <c r="L46" s="3" t="n">
        <v>7.3</v>
      </c>
    </row>
    <row r="47" customFormat="false" ht="15" hidden="false" customHeight="false" outlineLevel="0" collapsed="false">
      <c r="A47" s="0" t="s">
        <v>101</v>
      </c>
      <c r="C47" s="3" t="n">
        <v>36</v>
      </c>
      <c r="D47" s="3" t="n">
        <v>36</v>
      </c>
      <c r="E47" s="3" t="n">
        <v>36</v>
      </c>
      <c r="F47" s="3" t="n">
        <v>36</v>
      </c>
      <c r="G47" s="3" t="n">
        <v>36</v>
      </c>
      <c r="H47" s="3" t="n">
        <v>36</v>
      </c>
      <c r="I47" s="3" t="n">
        <v>36</v>
      </c>
      <c r="J47" s="3" t="n">
        <v>36</v>
      </c>
      <c r="K47" s="3" t="n">
        <v>36</v>
      </c>
      <c r="L47" s="3" t="n">
        <v>36</v>
      </c>
    </row>
    <row r="48" customFormat="false" ht="15" hidden="false" customHeight="false" outlineLevel="0" collapsed="false">
      <c r="A48" s="0" t="s">
        <v>102</v>
      </c>
      <c r="B48" s="3" t="n">
        <v>8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13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5</v>
      </c>
      <c r="D5" s="4" t="n">
        <f aca="false">Assumptions!D13</f>
        <v>-15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266886</v>
      </c>
      <c r="C6" s="0" t="n">
        <f aca="false">B6*(1+C5/100)</f>
        <v>280230.3</v>
      </c>
      <c r="D6" s="0" t="n">
        <f aca="false">C6*(1+D5/100)</f>
        <v>238195.755</v>
      </c>
      <c r="E6" s="0" t="n">
        <f aca="false">D6*(1+E5/100)</f>
        <v>238195.755</v>
      </c>
      <c r="F6" s="0" t="n">
        <f aca="false">E6*(1+F5/100)</f>
        <v>240577.71255</v>
      </c>
      <c r="G6" s="0" t="n">
        <f aca="false">F6*(1+G5/100)</f>
        <v>244186.37823825</v>
      </c>
      <c r="H6" s="0" t="n">
        <f aca="false">G6*(1+H5/100)</f>
        <v>247849.173911824</v>
      </c>
      <c r="I6" s="0" t="n">
        <f aca="false">H6*(1+I5/100)</f>
        <v>251566.911520501</v>
      </c>
      <c r="J6" s="0" t="n">
        <f aca="false">I6*(1+J5/100)</f>
        <v>255340.415193309</v>
      </c>
      <c r="K6" s="0" t="n">
        <f aca="false">J6*(1+K5/100)</f>
        <v>259170.521421208</v>
      </c>
      <c r="L6" s="0" t="n">
        <f aca="false">K6*(1+L5/100)</f>
        <v>263058.079242526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22</v>
      </c>
      <c r="D7" s="4" t="n">
        <f aca="false">Assumptions!D14</f>
        <v>18.5</v>
      </c>
      <c r="E7" s="4" t="n">
        <f aca="false">Assumptions!E14</f>
        <v>18.5</v>
      </c>
      <c r="F7" s="4" t="n">
        <f aca="false">Assumptions!F14</f>
        <v>19</v>
      </c>
      <c r="G7" s="4" t="n">
        <f aca="false">Assumptions!G14</f>
        <v>19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61650.666</v>
      </c>
      <c r="D8" s="0" t="n">
        <f aca="false">D6*D7/100</f>
        <v>44066.214675</v>
      </c>
      <c r="E8" s="0" t="n">
        <f aca="false">E6*E7/100</f>
        <v>44066.214675</v>
      </c>
      <c r="F8" s="0" t="n">
        <f aca="false">F6*F7/100</f>
        <v>45709.7653845</v>
      </c>
      <c r="G8" s="0" t="n">
        <f aca="false">G6*G7/100</f>
        <v>46395.4118652675</v>
      </c>
      <c r="H8" s="0" t="n">
        <f aca="false">H6*H7/100</f>
        <v>48330.5889128056</v>
      </c>
      <c r="I8" s="0" t="n">
        <f aca="false">I6*I7/100</f>
        <v>49055.5477464977</v>
      </c>
      <c r="J8" s="0" t="n">
        <f aca="false">J6*J7/100</f>
        <v>49791.3809626952</v>
      </c>
      <c r="K8" s="0" t="n">
        <f aca="false">K6*K7/100</f>
        <v>50538.2516771356</v>
      </c>
      <c r="L8" s="0" t="n">
        <f aca="false">L6*L7/100</f>
        <v>51296.3254522926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0.29</v>
      </c>
      <c r="D9" s="4" t="n">
        <f aca="false">Assumptions!D15</f>
        <v>0.29</v>
      </c>
      <c r="E9" s="4" t="n">
        <f aca="false">Assumptions!E15</f>
        <v>0.29</v>
      </c>
      <c r="F9" s="4" t="n">
        <f aca="false">Assumptions!F15</f>
        <v>0.29</v>
      </c>
      <c r="G9" s="4" t="n">
        <f aca="false">Assumptions!G15</f>
        <v>0.29</v>
      </c>
      <c r="H9" s="4" t="n">
        <f aca="false">Assumptions!H15</f>
        <v>0.29</v>
      </c>
      <c r="I9" s="4" t="n">
        <f aca="false">Assumptions!I15</f>
        <v>0.29</v>
      </c>
      <c r="J9" s="4" t="n">
        <f aca="false">Assumptions!J15</f>
        <v>0.29</v>
      </c>
      <c r="K9" s="4" t="n">
        <f aca="false">Assumptions!K15</f>
        <v>0.29</v>
      </c>
      <c r="L9" s="4" t="n">
        <f aca="false">Assumptions!L15</f>
        <v>0.29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-812.66787</v>
      </c>
      <c r="D10" s="0" t="n">
        <f aca="false">-D6*D9/100</f>
        <v>-690.7676895</v>
      </c>
      <c r="E10" s="0" t="n">
        <f aca="false">-E6*E9/100</f>
        <v>-690.7676895</v>
      </c>
      <c r="F10" s="0" t="n">
        <f aca="false">-F6*F9/100</f>
        <v>-697.675366395</v>
      </c>
      <c r="G10" s="0" t="n">
        <f aca="false">-G6*G9/100</f>
        <v>-708.140496890925</v>
      </c>
      <c r="H10" s="0" t="n">
        <f aca="false">-H6*H9/100</f>
        <v>-718.762604344289</v>
      </c>
      <c r="I10" s="0" t="n">
        <f aca="false">-I6*I9/100</f>
        <v>-729.544043409453</v>
      </c>
      <c r="J10" s="0" t="n">
        <f aca="false">-J6*J9/100</f>
        <v>-740.487204060595</v>
      </c>
      <c r="K10" s="0" t="n">
        <f aca="false">-K6*K9/100</f>
        <v>-751.594512121504</v>
      </c>
      <c r="L10" s="0" t="n">
        <f aca="false">-L6*L9/100</f>
        <v>-762.868429803326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53271.78003</v>
      </c>
      <c r="D11" s="0" t="n">
        <f aca="false">D8+D10+D24</f>
        <v>36944.1616005</v>
      </c>
      <c r="E11" s="0" t="n">
        <f aca="false">E8+E10+E24</f>
        <v>36944.1616005</v>
      </c>
      <c r="F11" s="0" t="n">
        <f aca="false">F8+F10+F24</f>
        <v>38516.491779255</v>
      </c>
      <c r="G11" s="0" t="n">
        <f aca="false">G8+G10+G24</f>
        <v>39094.2391559438</v>
      </c>
      <c r="H11" s="0" t="n">
        <f aca="false">H8+H10+H24</f>
        <v>40919.8986128421</v>
      </c>
      <c r="I11" s="0" t="n">
        <f aca="false">I8+I10+I24</f>
        <v>41533.6970920347</v>
      </c>
      <c r="J11" s="0" t="n">
        <f aca="false">J8+J10+J24</f>
        <v>42156.7025484152</v>
      </c>
      <c r="K11" s="0" t="n">
        <f aca="false">K8+K10+K24</f>
        <v>42789.0530866415</v>
      </c>
      <c r="L11" s="0" t="n">
        <f aca="false">L8+L10+L24</f>
        <v>43430.8888829411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-17654.5089</v>
      </c>
      <c r="D12" s="4" t="n">
        <f aca="false">-D6*Assumptions!D17/100</f>
        <v>-15006.332565</v>
      </c>
      <c r="E12" s="4" t="n">
        <f aca="false">-E6*Assumptions!E17/100</f>
        <v>-15006.332565</v>
      </c>
      <c r="F12" s="4" t="n">
        <f aca="false">-F6*Assumptions!F17/100</f>
        <v>-15156.39589065</v>
      </c>
      <c r="G12" s="4" t="n">
        <f aca="false">-G6*Assumptions!G17/100</f>
        <v>-15383.7418290097</v>
      </c>
      <c r="H12" s="4" t="n">
        <f aca="false">-H6*Assumptions!H17/100</f>
        <v>-15614.4979564449</v>
      </c>
      <c r="I12" s="4" t="n">
        <f aca="false">-I6*Assumptions!I17/100</f>
        <v>-15848.7154257916</v>
      </c>
      <c r="J12" s="4" t="n">
        <f aca="false">-J6*Assumptions!J17/100</f>
        <v>-16086.4461571784</v>
      </c>
      <c r="K12" s="4" t="n">
        <f aca="false">-K6*Assumptions!K17/100</f>
        <v>-16327.7428495361</v>
      </c>
      <c r="L12" s="4" t="n">
        <f aca="false">-L6*Assumptions!L17/100</f>
        <v>-16572.6589922792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35617.27113</v>
      </c>
      <c r="D13" s="0" t="n">
        <f aca="false">D11+D12</f>
        <v>21937.8290355</v>
      </c>
      <c r="E13" s="0" t="n">
        <f aca="false">E11+E12</f>
        <v>21937.8290355</v>
      </c>
      <c r="F13" s="0" t="n">
        <f aca="false">F11+F12</f>
        <v>23360.095888605</v>
      </c>
      <c r="G13" s="0" t="n">
        <f aca="false">G11+G12</f>
        <v>23710.4973269341</v>
      </c>
      <c r="H13" s="0" t="n">
        <f aca="false">H11+H12</f>
        <v>25305.4006563972</v>
      </c>
      <c r="I13" s="0" t="n">
        <f aca="false">I11+I12</f>
        <v>25684.9816662432</v>
      </c>
      <c r="J13" s="0" t="n">
        <f aca="false">J11+J12</f>
        <v>26070.2563912368</v>
      </c>
      <c r="K13" s="0" t="n">
        <f aca="false">K11+K12</f>
        <v>26461.3102371053</v>
      </c>
      <c r="L13" s="0" t="n">
        <f aca="false">L11+L12</f>
        <v>26858.2298906619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36</v>
      </c>
      <c r="D14" s="4" t="n">
        <f aca="false">Assumptions!D19</f>
        <v>36</v>
      </c>
      <c r="E14" s="4" t="n">
        <f aca="false">Assumptions!E19</f>
        <v>36</v>
      </c>
      <c r="F14" s="4" t="n">
        <f aca="false">Assumptions!F19</f>
        <v>36</v>
      </c>
      <c r="G14" s="4" t="n">
        <f aca="false">Assumptions!G19</f>
        <v>36</v>
      </c>
      <c r="H14" s="4" t="n">
        <f aca="false">Assumptions!H19</f>
        <v>36</v>
      </c>
      <c r="I14" s="4" t="n">
        <f aca="false">Assumptions!I19</f>
        <v>36</v>
      </c>
      <c r="J14" s="4" t="n">
        <f aca="false">Assumptions!J19</f>
        <v>36</v>
      </c>
      <c r="K14" s="4" t="n">
        <f aca="false">Assumptions!K19</f>
        <v>36</v>
      </c>
      <c r="L14" s="4" t="n">
        <f aca="false">Assumptions!L19</f>
        <v>36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22795.0535232</v>
      </c>
      <c r="D15" s="0" t="n">
        <f aca="false">D13-MAX(0,D13)*D14/100</f>
        <v>14040.21058272</v>
      </c>
      <c r="E15" s="0" t="n">
        <f aca="false">E13-MAX(0,E13)*E14/100</f>
        <v>14040.21058272</v>
      </c>
      <c r="F15" s="0" t="n">
        <f aca="false">F13-MAX(0,F13)*F14/100</f>
        <v>14950.4613687072</v>
      </c>
      <c r="G15" s="0" t="n">
        <f aca="false">G13-MAX(0,G13)*G14/100</f>
        <v>15174.7182892378</v>
      </c>
      <c r="H15" s="0" t="n">
        <f aca="false">H13-MAX(0,H13)*H14/100</f>
        <v>16195.4564200942</v>
      </c>
      <c r="I15" s="0" t="n">
        <f aca="false">I13-MAX(0,I13)*I14/100</f>
        <v>16438.3882663956</v>
      </c>
      <c r="J15" s="0" t="n">
        <f aca="false">J13-MAX(0,J13)*J14/100</f>
        <v>16684.9640903916</v>
      </c>
      <c r="K15" s="0" t="n">
        <f aca="false">K13-MAX(0,K13)*K14/100</f>
        <v>16935.2385517474</v>
      </c>
      <c r="L15" s="0" t="n">
        <f aca="false">L13-MAX(0,L13)*L14/100</f>
        <v>17189.2671300236</v>
      </c>
    </row>
    <row r="16" customFormat="false" ht="15" hidden="false" customHeight="false" outlineLevel="0" collapsed="false">
      <c r="A16" s="0" t="s">
        <v>117</v>
      </c>
      <c r="C16" s="0" t="n">
        <f aca="false">-C12</f>
        <v>17654.5089</v>
      </c>
      <c r="D16" s="0" t="n">
        <f aca="false">-D12</f>
        <v>15006.332565</v>
      </c>
      <c r="E16" s="0" t="n">
        <f aca="false">-E12</f>
        <v>15006.332565</v>
      </c>
      <c r="F16" s="0" t="n">
        <f aca="false">-F12</f>
        <v>15156.39589065</v>
      </c>
      <c r="G16" s="0" t="n">
        <f aca="false">-G12</f>
        <v>15383.7418290097</v>
      </c>
      <c r="H16" s="0" t="n">
        <f aca="false">-H12</f>
        <v>15614.4979564449</v>
      </c>
      <c r="I16" s="0" t="n">
        <f aca="false">-I12</f>
        <v>15848.7154257916</v>
      </c>
      <c r="J16" s="0" t="n">
        <f aca="false">-J12</f>
        <v>16086.4461571784</v>
      </c>
      <c r="K16" s="0" t="n">
        <f aca="false">-K12</f>
        <v>16327.7428495361</v>
      </c>
      <c r="L16" s="0" t="n">
        <f aca="false">-L12</f>
        <v>16572.6589922792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-21017.2725</v>
      </c>
      <c r="D17" s="4" t="n">
        <f aca="false">-D6*Assumptions!D18/100</f>
        <v>-19770.247665</v>
      </c>
      <c r="E17" s="4" t="n">
        <f aca="false">-E6*Assumptions!E18/100</f>
        <v>-19770.247665</v>
      </c>
      <c r="F17" s="4" t="n">
        <f aca="false">-F6*Assumptions!F18/100</f>
        <v>-19967.95014165</v>
      </c>
      <c r="G17" s="4" t="n">
        <f aca="false">-G6*Assumptions!G18/100</f>
        <v>-20267.4693937747</v>
      </c>
      <c r="H17" s="4" t="n">
        <f aca="false">-H6*Assumptions!H18/100</f>
        <v>-20571.4814346814</v>
      </c>
      <c r="I17" s="4" t="n">
        <f aca="false">-I6*Assumptions!I18/100</f>
        <v>-20880.0536562016</v>
      </c>
      <c r="J17" s="4" t="n">
        <f aca="false">-J6*Assumptions!J18/100</f>
        <v>-21193.2544610446</v>
      </c>
      <c r="K17" s="4" t="n">
        <f aca="false">-K6*Assumptions!K18/100</f>
        <v>-21511.1532779603</v>
      </c>
      <c r="L17" s="4" t="n">
        <f aca="false">-L6*Assumptions!L18/100</f>
        <v>-21833.8205771297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19432.2899232</v>
      </c>
      <c r="D19" s="0" t="n">
        <f aca="false">D15+D16+D17+D18</f>
        <v>9276.29548272</v>
      </c>
      <c r="E19" s="0" t="n">
        <f aca="false">E15+E16+E17+E18</f>
        <v>9276.29548272</v>
      </c>
      <c r="F19" s="0" t="n">
        <f aca="false">F15+F16+F17+F18</f>
        <v>10138.9071177072</v>
      </c>
      <c r="G19" s="0" t="n">
        <f aca="false">G15+G16+G17+G18</f>
        <v>10290.9907244728</v>
      </c>
      <c r="H19" s="0" t="n">
        <f aca="false">H15+H16+H17+H18</f>
        <v>11238.4729418577</v>
      </c>
      <c r="I19" s="0" t="n">
        <f aca="false">I15+I16+I17+I18</f>
        <v>11407.0500359856</v>
      </c>
      <c r="J19" s="0" t="n">
        <f aca="false">J15+J16+J17+J18</f>
        <v>11578.1557865254</v>
      </c>
      <c r="K19" s="0" t="n">
        <f aca="false">K15+K16+K17+K18</f>
        <v>11751.8281233233</v>
      </c>
      <c r="L19" s="0" t="n">
        <f aca="false">L15+L16+L17+L18</f>
        <v>11928.1055451731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17992.86104</v>
      </c>
      <c r="D21" s="0" t="n">
        <f aca="false">D19*D20</f>
        <v>7952.92822592592</v>
      </c>
      <c r="E21" s="0" t="n">
        <f aca="false">E19*E20</f>
        <v>7363.82243141289</v>
      </c>
      <c r="F21" s="0" t="n">
        <f aca="false">F19*F20</f>
        <v>7452.39940624523</v>
      </c>
      <c r="G21" s="0" t="n">
        <f aca="false">G19*G20</f>
        <v>7003.8753679064</v>
      </c>
      <c r="H21" s="0" t="n">
        <f aca="false">H19*H20</f>
        <v>7082.14430050635</v>
      </c>
      <c r="I21" s="0" t="n">
        <f aca="false">I19*I20</f>
        <v>6655.90413427217</v>
      </c>
      <c r="J21" s="0" t="n">
        <f aca="false">J19*J20</f>
        <v>6255.31731137616</v>
      </c>
      <c r="K21" s="0" t="n">
        <f aca="false">K19*K20</f>
        <v>5878.83988059889</v>
      </c>
      <c r="L21" s="0" t="n">
        <f aca="false">L19*L20</f>
        <v>5525.02081371099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2.7</v>
      </c>
      <c r="D23" s="4" t="n">
        <f aca="false">Assumptions!D16</f>
        <v>2.7</v>
      </c>
      <c r="E23" s="4" t="n">
        <f aca="false">Assumptions!E16</f>
        <v>2.7</v>
      </c>
      <c r="F23" s="4" t="n">
        <f aca="false">Assumptions!F16</f>
        <v>2.7</v>
      </c>
      <c r="G23" s="4" t="n">
        <f aca="false">Assumptions!G16</f>
        <v>2.7</v>
      </c>
      <c r="H23" s="4" t="n">
        <f aca="false">Assumptions!H16</f>
        <v>2.7</v>
      </c>
      <c r="I23" s="4" t="n">
        <f aca="false">Assumptions!I16</f>
        <v>2.7</v>
      </c>
      <c r="J23" s="4" t="n">
        <f aca="false">Assumptions!J16</f>
        <v>2.7</v>
      </c>
      <c r="K23" s="4" t="n">
        <f aca="false">Assumptions!K16</f>
        <v>2.7</v>
      </c>
      <c r="L23" s="4" t="n">
        <f aca="false">Assumptions!L16</f>
        <v>2.7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-7566.2181</v>
      </c>
      <c r="D24" s="0" t="n">
        <f aca="false">-D6*D23/100</f>
        <v>-6431.285385</v>
      </c>
      <c r="E24" s="0" t="n">
        <f aca="false">-E6*E23/100</f>
        <v>-6431.285385</v>
      </c>
      <c r="F24" s="0" t="n">
        <f aca="false">-F6*F23/100</f>
        <v>-6495.59823885</v>
      </c>
      <c r="G24" s="0" t="n">
        <f aca="false">-G6*G23/100</f>
        <v>-6593.03221243275</v>
      </c>
      <c r="H24" s="0" t="n">
        <f aca="false">-H6*H23/100</f>
        <v>-6691.92769561924</v>
      </c>
      <c r="I24" s="0" t="n">
        <f aca="false">-I6*I23/100</f>
        <v>-6792.30661105353</v>
      </c>
      <c r="J24" s="0" t="n">
        <f aca="false">-J6*J23/100</f>
        <v>-6894.19121021933</v>
      </c>
      <c r="K24" s="0" t="n">
        <f aca="false">-K6*K23/100</f>
        <v>-6997.60407837262</v>
      </c>
      <c r="L24" s="0" t="n">
        <f aca="false">-L6*L23/100</f>
        <v>-7102.56813954821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79163.112911955</v>
      </c>
    </row>
    <row r="31" customFormat="false" ht="15" hidden="false" customHeight="false" outlineLevel="0" collapsed="false">
      <c r="A31" s="0" t="s">
        <v>126</v>
      </c>
      <c r="B31" s="0" t="n">
        <f aca="false">L19</f>
        <v>11928.1055451731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159836.61430532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155065.37208725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155065.37208725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71825.2705782429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150988.383490198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133307.383490198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1761.50357935902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-0.53565214726268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4895.83318169659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4734.96623193387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1888.76350446622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82674.1108475791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831.15560665315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8</v>
      </c>
      <c r="D5" s="4" t="n">
        <f aca="false">Assumptions!D27</f>
        <v>-4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266886</v>
      </c>
      <c r="C6" s="0" t="n">
        <f aca="false">B6*(1+C5/100)</f>
        <v>288236.88</v>
      </c>
      <c r="D6" s="0" t="n">
        <f aca="false">C6*(1+D5/100)</f>
        <v>276707.4048</v>
      </c>
      <c r="E6" s="0" t="n">
        <f aca="false">D6*(1+E5/100)</f>
        <v>283625.08992</v>
      </c>
      <c r="F6" s="0" t="n">
        <f aca="false">E6*(1+F5/100)</f>
        <v>290715.717168</v>
      </c>
      <c r="G6" s="0" t="n">
        <f aca="false">F6*(1+G5/100)</f>
        <v>297983.6100972</v>
      </c>
      <c r="H6" s="0" t="n">
        <f aca="false">G6*(1+H5/100)</f>
        <v>303943.282299144</v>
      </c>
      <c r="I6" s="0" t="n">
        <f aca="false">H6*(1+I5/100)</f>
        <v>310022.147945127</v>
      </c>
      <c r="J6" s="0" t="n">
        <f aca="false">I6*(1+J5/100)</f>
        <v>316222.590904029</v>
      </c>
      <c r="K6" s="0" t="n">
        <f aca="false">J6*(1+K5/100)</f>
        <v>322547.04272211</v>
      </c>
      <c r="L6" s="0" t="n">
        <f aca="false">K6*(1+L5/100)</f>
        <v>328997.983576552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23</v>
      </c>
      <c r="D7" s="4" t="n">
        <f aca="false">Assumptions!D28</f>
        <v>21.5</v>
      </c>
      <c r="E7" s="4" t="n">
        <f aca="false">Assumptions!E28</f>
        <v>21.5</v>
      </c>
      <c r="F7" s="4" t="n">
        <f aca="false">Assumptions!F28</f>
        <v>21.7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66294.4824</v>
      </c>
      <c r="D8" s="0" t="n">
        <f aca="false">D6*D7/100</f>
        <v>59492.092032</v>
      </c>
      <c r="E8" s="0" t="n">
        <f aca="false">E6*E7/100</f>
        <v>60979.3943328</v>
      </c>
      <c r="F8" s="0" t="n">
        <f aca="false">F6*F7/100</f>
        <v>63085.310625456</v>
      </c>
      <c r="G8" s="0" t="n">
        <f aca="false">G6*G7/100</f>
        <v>65556.394221384</v>
      </c>
      <c r="H8" s="0" t="n">
        <f aca="false">H6*H7/100</f>
        <v>66867.5221058117</v>
      </c>
      <c r="I8" s="0" t="n">
        <f aca="false">I6*I7/100</f>
        <v>68204.8725479279</v>
      </c>
      <c r="J8" s="0" t="n">
        <f aca="false">J6*J7/100</f>
        <v>69568.9699988865</v>
      </c>
      <c r="K8" s="0" t="n">
        <f aca="false">K6*K7/100</f>
        <v>70960.3493988642</v>
      </c>
      <c r="L8" s="0" t="n">
        <f aca="false">L6*L7/100</f>
        <v>72379.5563868415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0.29</v>
      </c>
      <c r="D9" s="4" t="n">
        <f aca="false">Assumptions!D29</f>
        <v>0.29</v>
      </c>
      <c r="E9" s="4" t="n">
        <f aca="false">Assumptions!E29</f>
        <v>0.29</v>
      </c>
      <c r="F9" s="4" t="n">
        <f aca="false">Assumptions!F29</f>
        <v>0.29</v>
      </c>
      <c r="G9" s="4" t="n">
        <f aca="false">Assumptions!G29</f>
        <v>0.29</v>
      </c>
      <c r="H9" s="4" t="n">
        <f aca="false">Assumptions!H29</f>
        <v>0.29</v>
      </c>
      <c r="I9" s="4" t="n">
        <f aca="false">Assumptions!I29</f>
        <v>0.29</v>
      </c>
      <c r="J9" s="4" t="n">
        <f aca="false">Assumptions!J29</f>
        <v>0.29</v>
      </c>
      <c r="K9" s="4" t="n">
        <f aca="false">Assumptions!K29</f>
        <v>0.29</v>
      </c>
      <c r="L9" s="4" t="n">
        <f aca="false">Assumptions!L29</f>
        <v>0.29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-835.886952</v>
      </c>
      <c r="D10" s="0" t="n">
        <f aca="false">-D6*D9/100</f>
        <v>-802.45147392</v>
      </c>
      <c r="E10" s="0" t="n">
        <f aca="false">-E6*E9/100</f>
        <v>-822.512760768</v>
      </c>
      <c r="F10" s="0" t="n">
        <f aca="false">-F6*F9/100</f>
        <v>-843.0755797872</v>
      </c>
      <c r="G10" s="0" t="n">
        <f aca="false">-G6*G9/100</f>
        <v>-864.15246928188</v>
      </c>
      <c r="H10" s="0" t="n">
        <f aca="false">-H6*H9/100</f>
        <v>-881.435518667517</v>
      </c>
      <c r="I10" s="0" t="n">
        <f aca="false">-I6*I9/100</f>
        <v>-899.064229040868</v>
      </c>
      <c r="J10" s="0" t="n">
        <f aca="false">-J6*J9/100</f>
        <v>-917.045513621685</v>
      </c>
      <c r="K10" s="0" t="n">
        <f aca="false">-K6*K9/100</f>
        <v>-935.386423894119</v>
      </c>
      <c r="L10" s="0" t="n">
        <f aca="false">-L6*L9/100</f>
        <v>-954.094152372001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57964.436568</v>
      </c>
      <c r="D11" s="0" t="n">
        <f aca="false">D8+D10+D24</f>
        <v>51495.24803328</v>
      </c>
      <c r="E11" s="0" t="n">
        <f aca="false">E8+E10+E24</f>
        <v>52782.629234112</v>
      </c>
      <c r="F11" s="0" t="n">
        <f aca="false">F8+F10+F24</f>
        <v>54683.6263993008</v>
      </c>
      <c r="G11" s="0" t="n">
        <f aca="false">G8+G10+G24</f>
        <v>56944.6678895749</v>
      </c>
      <c r="H11" s="0" t="n">
        <f aca="false">H8+H10+H24</f>
        <v>58083.5612473664</v>
      </c>
      <c r="I11" s="0" t="n">
        <f aca="false">I8+I10+I24</f>
        <v>59245.2324723137</v>
      </c>
      <c r="J11" s="0" t="n">
        <f aca="false">J8+J10+J24</f>
        <v>60430.13712176</v>
      </c>
      <c r="K11" s="0" t="n">
        <f aca="false">K8+K10+K24</f>
        <v>61638.7398641952</v>
      </c>
      <c r="L11" s="0" t="n">
        <f aca="false">L8+L10+L24</f>
        <v>62871.5146614791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-18158.92344</v>
      </c>
      <c r="D12" s="4" t="n">
        <f aca="false">-D6*Assumptions!D31/100</f>
        <v>-17432.5665024</v>
      </c>
      <c r="E12" s="4" t="n">
        <f aca="false">-E6*Assumptions!E31/100</f>
        <v>-17868.38066496</v>
      </c>
      <c r="F12" s="4" t="n">
        <f aca="false">-F6*Assumptions!F31/100</f>
        <v>-18315.090181584</v>
      </c>
      <c r="G12" s="4" t="n">
        <f aca="false">-G6*Assumptions!G31/100</f>
        <v>-18772.9674361236</v>
      </c>
      <c r="H12" s="4" t="n">
        <f aca="false">-H6*Assumptions!H31/100</f>
        <v>-19148.4267848461</v>
      </c>
      <c r="I12" s="4" t="n">
        <f aca="false">-I6*Assumptions!I31/100</f>
        <v>-19531.395320543</v>
      </c>
      <c r="J12" s="4" t="n">
        <f aca="false">-J6*Assumptions!J31/100</f>
        <v>-19922.0232269539</v>
      </c>
      <c r="K12" s="4" t="n">
        <f aca="false">-K6*Assumptions!K31/100</f>
        <v>-20320.4636914929</v>
      </c>
      <c r="L12" s="4" t="n">
        <f aca="false">-L6*Assumptions!L31/100</f>
        <v>-20726.8729653228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39805.513128</v>
      </c>
      <c r="D13" s="0" t="n">
        <f aca="false">D11+D12</f>
        <v>34062.68153088</v>
      </c>
      <c r="E13" s="0" t="n">
        <f aca="false">E11+E12</f>
        <v>34914.248569152</v>
      </c>
      <c r="F13" s="0" t="n">
        <f aca="false">F11+F12</f>
        <v>36368.5362177168</v>
      </c>
      <c r="G13" s="0" t="n">
        <f aca="false">G11+G12</f>
        <v>38171.7004534513</v>
      </c>
      <c r="H13" s="0" t="n">
        <f aca="false">H11+H12</f>
        <v>38935.1344625203</v>
      </c>
      <c r="I13" s="0" t="n">
        <f aca="false">I11+I12</f>
        <v>39713.8371517707</v>
      </c>
      <c r="J13" s="0" t="n">
        <f aca="false">J11+J12</f>
        <v>40508.1138948062</v>
      </c>
      <c r="K13" s="0" t="n">
        <f aca="false">K11+K12</f>
        <v>41318.2761727023</v>
      </c>
      <c r="L13" s="0" t="n">
        <f aca="false">L11+L12</f>
        <v>42144.6416961563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36</v>
      </c>
      <c r="D14" s="4" t="n">
        <f aca="false">Assumptions!D33</f>
        <v>36</v>
      </c>
      <c r="E14" s="4" t="n">
        <f aca="false">Assumptions!E33</f>
        <v>36</v>
      </c>
      <c r="F14" s="4" t="n">
        <f aca="false">Assumptions!F33</f>
        <v>36</v>
      </c>
      <c r="G14" s="4" t="n">
        <f aca="false">Assumptions!G33</f>
        <v>36</v>
      </c>
      <c r="H14" s="4" t="n">
        <f aca="false">Assumptions!H33</f>
        <v>36</v>
      </c>
      <c r="I14" s="4" t="n">
        <f aca="false">Assumptions!I33</f>
        <v>36</v>
      </c>
      <c r="J14" s="4" t="n">
        <f aca="false">Assumptions!J33</f>
        <v>36</v>
      </c>
      <c r="K14" s="4" t="n">
        <f aca="false">Assumptions!K33</f>
        <v>36</v>
      </c>
      <c r="L14" s="4" t="n">
        <f aca="false">Assumptions!L33</f>
        <v>36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25475.52840192</v>
      </c>
      <c r="D15" s="0" t="n">
        <f aca="false">D13-MAX(0,D13)*D14/100</f>
        <v>21800.1161797632</v>
      </c>
      <c r="E15" s="0" t="n">
        <f aca="false">E13-MAX(0,E13)*E14/100</f>
        <v>22345.1190842573</v>
      </c>
      <c r="F15" s="0" t="n">
        <f aca="false">F13-MAX(0,F13)*F14/100</f>
        <v>23275.8631793388</v>
      </c>
      <c r="G15" s="0" t="n">
        <f aca="false">G13-MAX(0,G13)*G14/100</f>
        <v>24429.8882902088</v>
      </c>
      <c r="H15" s="0" t="n">
        <f aca="false">H13-MAX(0,H13)*H14/100</f>
        <v>24918.486056013</v>
      </c>
      <c r="I15" s="0" t="n">
        <f aca="false">I13-MAX(0,I13)*I14/100</f>
        <v>25416.8557771333</v>
      </c>
      <c r="J15" s="0" t="n">
        <f aca="false">J13-MAX(0,J13)*J14/100</f>
        <v>25925.1928926759</v>
      </c>
      <c r="K15" s="0" t="n">
        <f aca="false">K13-MAX(0,K13)*K14/100</f>
        <v>26443.6967505295</v>
      </c>
      <c r="L15" s="0" t="n">
        <f aca="false">L13-MAX(0,L13)*L14/100</f>
        <v>26972.5706855401</v>
      </c>
    </row>
    <row r="16" customFormat="false" ht="15" hidden="false" customHeight="false" outlineLevel="0" collapsed="false">
      <c r="A16" s="0" t="s">
        <v>117</v>
      </c>
      <c r="C16" s="0" t="n">
        <f aca="false">-C12</f>
        <v>18158.92344</v>
      </c>
      <c r="D16" s="0" t="n">
        <f aca="false">-D12</f>
        <v>17432.5665024</v>
      </c>
      <c r="E16" s="0" t="n">
        <f aca="false">-E12</f>
        <v>17868.38066496</v>
      </c>
      <c r="F16" s="0" t="n">
        <f aca="false">-F12</f>
        <v>18315.090181584</v>
      </c>
      <c r="G16" s="0" t="n">
        <f aca="false">-G12</f>
        <v>18772.9674361236</v>
      </c>
      <c r="H16" s="0" t="n">
        <f aca="false">-H12</f>
        <v>19148.4267848461</v>
      </c>
      <c r="I16" s="0" t="n">
        <f aca="false">-I12</f>
        <v>19531.395320543</v>
      </c>
      <c r="J16" s="0" t="n">
        <f aca="false">-J12</f>
        <v>19922.0232269539</v>
      </c>
      <c r="K16" s="0" t="n">
        <f aca="false">-K12</f>
        <v>20320.4636914929</v>
      </c>
      <c r="L16" s="0" t="n">
        <f aca="false">-L12</f>
        <v>20726.8729653228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-21041.29224</v>
      </c>
      <c r="D17" s="4" t="n">
        <f aca="false">-D6*Assumptions!D32/100</f>
        <v>-21029.7627648</v>
      </c>
      <c r="E17" s="4" t="n">
        <f aca="false">-E6*Assumptions!E32/100</f>
        <v>-21555.50683392</v>
      </c>
      <c r="F17" s="4" t="n">
        <f aca="false">-F6*Assumptions!F32/100</f>
        <v>-22094.394504768</v>
      </c>
      <c r="G17" s="4" t="n">
        <f aca="false">-G6*Assumptions!G32/100</f>
        <v>-22646.7543673872</v>
      </c>
      <c r="H17" s="4" t="n">
        <f aca="false">-H6*Assumptions!H32/100</f>
        <v>-23099.6894547349</v>
      </c>
      <c r="I17" s="4" t="n">
        <f aca="false">-I6*Assumptions!I32/100</f>
        <v>-23561.6832438296</v>
      </c>
      <c r="J17" s="4" t="n">
        <f aca="false">-J6*Assumptions!J32/100</f>
        <v>-24032.9169087062</v>
      </c>
      <c r="K17" s="4" t="n">
        <f aca="false">-K6*Assumptions!K32/100</f>
        <v>-24513.5752468804</v>
      </c>
      <c r="L17" s="4" t="n">
        <f aca="false">-L6*Assumptions!L32/100</f>
        <v>-25003.846751818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22593.15960192</v>
      </c>
      <c r="D19" s="0" t="n">
        <f aca="false">D15+D16+D17+D18</f>
        <v>18202.9199173632</v>
      </c>
      <c r="E19" s="0" t="n">
        <f aca="false">E15+E16+E17+E18</f>
        <v>18657.9929152973</v>
      </c>
      <c r="F19" s="0" t="n">
        <f aca="false">F15+F16+F17+F18</f>
        <v>19496.5588561548</v>
      </c>
      <c r="G19" s="0" t="n">
        <f aca="false">G15+G16+G17+G18</f>
        <v>20556.1013589453</v>
      </c>
      <c r="H19" s="0" t="n">
        <f aca="false">H15+H16+H17+H18</f>
        <v>20967.2233861241</v>
      </c>
      <c r="I19" s="0" t="n">
        <f aca="false">I15+I16+I17+I18</f>
        <v>21386.5678538466</v>
      </c>
      <c r="J19" s="0" t="n">
        <f aca="false">J15+J16+J17+J18</f>
        <v>21814.2992109236</v>
      </c>
      <c r="K19" s="0" t="n">
        <f aca="false">K15+K16+K17+K18</f>
        <v>22250.585195142</v>
      </c>
      <c r="L19" s="0" t="n">
        <f aca="false">L15+L16+L17+L18</f>
        <v>22695.5968990449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20919.592224</v>
      </c>
      <c r="D21" s="0" t="n">
        <f aca="false">D19*D20</f>
        <v>15606.069888</v>
      </c>
      <c r="E21" s="0" t="n">
        <f aca="false">E19*E20</f>
        <v>14811.3163288889</v>
      </c>
      <c r="F21" s="0" t="n">
        <f aca="false">F19*F20</f>
        <v>14330.5527860768</v>
      </c>
      <c r="G21" s="0" t="n">
        <f aca="false">G19*G20</f>
        <v>13990.1371814208</v>
      </c>
      <c r="H21" s="0" t="n">
        <f aca="false">H19*H20</f>
        <v>13212.9073380086</v>
      </c>
      <c r="I21" s="0" t="n">
        <f aca="false">I19*I20</f>
        <v>12478.8569303414</v>
      </c>
      <c r="J21" s="0" t="n">
        <f aca="false">J19*J20</f>
        <v>11785.587100878</v>
      </c>
      <c r="K21" s="0" t="n">
        <f aca="false">K19*K20</f>
        <v>11130.8322619403</v>
      </c>
      <c r="L21" s="0" t="n">
        <f aca="false">L19*L20</f>
        <v>10512.4526918325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2.6</v>
      </c>
      <c r="D23" s="4" t="n">
        <f aca="false">Assumptions!D30</f>
        <v>2.6</v>
      </c>
      <c r="E23" s="4" t="n">
        <f aca="false">Assumptions!E30</f>
        <v>2.6</v>
      </c>
      <c r="F23" s="4" t="n">
        <f aca="false">Assumptions!F30</f>
        <v>2.6</v>
      </c>
      <c r="G23" s="4" t="n">
        <f aca="false">Assumptions!G30</f>
        <v>2.6</v>
      </c>
      <c r="H23" s="4" t="n">
        <f aca="false">Assumptions!H30</f>
        <v>2.6</v>
      </c>
      <c r="I23" s="4" t="n">
        <f aca="false">Assumptions!I30</f>
        <v>2.6</v>
      </c>
      <c r="J23" s="4" t="n">
        <f aca="false">Assumptions!J30</f>
        <v>2.6</v>
      </c>
      <c r="K23" s="4" t="n">
        <f aca="false">Assumptions!K30</f>
        <v>2.6</v>
      </c>
      <c r="L23" s="4" t="n">
        <f aca="false">Assumptions!L30</f>
        <v>2.6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-7494.15888</v>
      </c>
      <c r="D24" s="0" t="n">
        <f aca="false">-D6*D23/100</f>
        <v>-7194.3925248</v>
      </c>
      <c r="E24" s="0" t="n">
        <f aca="false">-E6*E23/100</f>
        <v>-7374.25233792</v>
      </c>
      <c r="F24" s="0" t="n">
        <f aca="false">-F6*F23/100</f>
        <v>-7558.608646368</v>
      </c>
      <c r="G24" s="0" t="n">
        <f aca="false">-G6*G23/100</f>
        <v>-7747.5738625272</v>
      </c>
      <c r="H24" s="0" t="n">
        <f aca="false">-H6*H23/100</f>
        <v>-7902.52533977774</v>
      </c>
      <c r="I24" s="0" t="n">
        <f aca="false">-I6*I23/100</f>
        <v>-8060.5758465733</v>
      </c>
      <c r="J24" s="0" t="n">
        <f aca="false">-J6*J23/100</f>
        <v>-8221.78736350476</v>
      </c>
      <c r="K24" s="0" t="n">
        <f aca="false">-K6*K23/100</f>
        <v>-8386.22311077486</v>
      </c>
      <c r="L24" s="0" t="n">
        <f aca="false">-L6*L23/100</f>
        <v>-8553.94757299036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138778.304731387</v>
      </c>
    </row>
    <row r="31" customFormat="false" ht="15" hidden="false" customHeight="false" outlineLevel="0" collapsed="false">
      <c r="A31" s="0" t="s">
        <v>126</v>
      </c>
      <c r="B31" s="0" t="n">
        <f aca="false">L19</f>
        <v>22695.5968990449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354400.474654316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295042.759687583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295042.759687583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136661.884993823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275440.18972521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257759.18972521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3405.99090182447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-0.102150810116127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5808.04939951536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6900.91002114405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3573.92516715394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170637.2655743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1687.5960329101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12</v>
      </c>
      <c r="D5" s="4" t="n">
        <f aca="false">Assumptions!D41</f>
        <v>0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266886</v>
      </c>
      <c r="C6" s="0" t="n">
        <f aca="false">B6*(1+C5/100)</f>
        <v>298912.32</v>
      </c>
      <c r="D6" s="0" t="n">
        <f aca="false">C6*(1+D5/100)</f>
        <v>298912.32</v>
      </c>
      <c r="E6" s="0" t="n">
        <f aca="false">D6*(1+E5/100)</f>
        <v>307879.6896</v>
      </c>
      <c r="F6" s="0" t="n">
        <f aca="false">E6*(1+F5/100)</f>
        <v>317116.080288</v>
      </c>
      <c r="G6" s="0" t="n">
        <f aca="false">F6*(1+G5/100)</f>
        <v>326629.56269664</v>
      </c>
      <c r="H6" s="0" t="n">
        <f aca="false">G6*(1+H5/100)</f>
        <v>334795.301764056</v>
      </c>
      <c r="I6" s="0" t="n">
        <f aca="false">H6*(1+I5/100)</f>
        <v>343165.184308158</v>
      </c>
      <c r="J6" s="0" t="n">
        <f aca="false">I6*(1+J5/100)</f>
        <v>351744.313915861</v>
      </c>
      <c r="K6" s="0" t="n">
        <f aca="false">J6*(1+K5/100)</f>
        <v>360537.921763758</v>
      </c>
      <c r="L6" s="0" t="n">
        <f aca="false">K6*(1+L5/100)</f>
        <v>369551.369807852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24</v>
      </c>
      <c r="D7" s="4" t="n">
        <f aca="false">Assumptions!D42</f>
        <v>23.5</v>
      </c>
      <c r="E7" s="4" t="n">
        <f aca="false">Assumptions!E42</f>
        <v>23</v>
      </c>
      <c r="F7" s="4" t="n">
        <f aca="false">Assumptions!F42</f>
        <v>23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71738.9568</v>
      </c>
      <c r="D8" s="0" t="n">
        <f aca="false">D6*D7/100</f>
        <v>70244.3952</v>
      </c>
      <c r="E8" s="0" t="n">
        <f aca="false">E6*E7/100</f>
        <v>70812.328608</v>
      </c>
      <c r="F8" s="0" t="n">
        <f aca="false">F6*F7/100</f>
        <v>72936.69846624</v>
      </c>
      <c r="G8" s="0" t="n">
        <f aca="false">G6*G7/100</f>
        <v>75124.7994202272</v>
      </c>
      <c r="H8" s="0" t="n">
        <f aca="false">H6*H7/100</f>
        <v>77002.9194057329</v>
      </c>
      <c r="I8" s="0" t="n">
        <f aca="false">I6*I7/100</f>
        <v>78927.9923908762</v>
      </c>
      <c r="J8" s="0" t="n">
        <f aca="false">J6*J7/100</f>
        <v>80901.1922006481</v>
      </c>
      <c r="K8" s="0" t="n">
        <f aca="false">K6*K7/100</f>
        <v>82923.7220056643</v>
      </c>
      <c r="L8" s="0" t="n">
        <f aca="false">L6*L7/100</f>
        <v>84996.8150558059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0.29</v>
      </c>
      <c r="D9" s="4" t="n">
        <f aca="false">Assumptions!D43</f>
        <v>0.29</v>
      </c>
      <c r="E9" s="4" t="n">
        <f aca="false">Assumptions!E43</f>
        <v>0.29</v>
      </c>
      <c r="F9" s="4" t="n">
        <f aca="false">Assumptions!F43</f>
        <v>0.29</v>
      </c>
      <c r="G9" s="4" t="n">
        <f aca="false">Assumptions!G43</f>
        <v>0.29</v>
      </c>
      <c r="H9" s="4" t="n">
        <f aca="false">Assumptions!H43</f>
        <v>0.29</v>
      </c>
      <c r="I9" s="4" t="n">
        <f aca="false">Assumptions!I43</f>
        <v>0.29</v>
      </c>
      <c r="J9" s="4" t="n">
        <f aca="false">Assumptions!J43</f>
        <v>0.29</v>
      </c>
      <c r="K9" s="4" t="n">
        <f aca="false">Assumptions!K43</f>
        <v>0.29</v>
      </c>
      <c r="L9" s="4" t="n">
        <f aca="false">Assumptions!L43</f>
        <v>0.29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-866.845728</v>
      </c>
      <c r="D10" s="0" t="n">
        <f aca="false">-D6*D9/100</f>
        <v>-866.845728</v>
      </c>
      <c r="E10" s="0" t="n">
        <f aca="false">-E6*E9/100</f>
        <v>-892.85109984</v>
      </c>
      <c r="F10" s="0" t="n">
        <f aca="false">-F6*F9/100</f>
        <v>-919.6366328352</v>
      </c>
      <c r="G10" s="0" t="n">
        <f aca="false">-G6*G9/100</f>
        <v>-947.225731820256</v>
      </c>
      <c r="H10" s="0" t="n">
        <f aca="false">-H6*H9/100</f>
        <v>-970.906375115763</v>
      </c>
      <c r="I10" s="0" t="n">
        <f aca="false">-I6*I9/100</f>
        <v>-995.179034493657</v>
      </c>
      <c r="J10" s="0" t="n">
        <f aca="false">-J6*J9/100</f>
        <v>-1020.058510356</v>
      </c>
      <c r="K10" s="0" t="n">
        <f aca="false">-K6*K9/100</f>
        <v>-1045.5599731149</v>
      </c>
      <c r="L10" s="0" t="n">
        <f aca="false">-L6*L9/100</f>
        <v>-1071.69897244277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63100.390752</v>
      </c>
      <c r="D11" s="0" t="n">
        <f aca="false">D8+D10+D24</f>
        <v>61605.829152</v>
      </c>
      <c r="E11" s="0" t="n">
        <f aca="false">E8+E10+E24</f>
        <v>61914.60557856</v>
      </c>
      <c r="F11" s="0" t="n">
        <f aca="false">F8+F10+F24</f>
        <v>63772.0437459168</v>
      </c>
      <c r="G11" s="0" t="n">
        <f aca="false">G8+G10+G24</f>
        <v>65685.2050582943</v>
      </c>
      <c r="H11" s="0" t="n">
        <f aca="false">H8+H10+H24</f>
        <v>67327.3351847517</v>
      </c>
      <c r="I11" s="0" t="n">
        <f aca="false">I8+I10+I24</f>
        <v>69010.5185643705</v>
      </c>
      <c r="J11" s="0" t="n">
        <f aca="false">J8+J10+J24</f>
        <v>70735.7815284797</v>
      </c>
      <c r="K11" s="0" t="n">
        <f aca="false">K8+K10+K24</f>
        <v>72504.1760666917</v>
      </c>
      <c r="L11" s="0" t="n">
        <f aca="false">L8+L10+L24</f>
        <v>74316.780468359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-18831.47616</v>
      </c>
      <c r="D12" s="4" t="n">
        <f aca="false">-D6*Assumptions!D45/100</f>
        <v>-18831.47616</v>
      </c>
      <c r="E12" s="4" t="n">
        <f aca="false">-E6*Assumptions!E45/100</f>
        <v>-19396.4204448</v>
      </c>
      <c r="F12" s="4" t="n">
        <f aca="false">-F6*Assumptions!F45/100</f>
        <v>-19978.313058144</v>
      </c>
      <c r="G12" s="4" t="n">
        <f aca="false">-G6*Assumptions!G45/100</f>
        <v>-20577.6624498883</v>
      </c>
      <c r="H12" s="4" t="n">
        <f aca="false">-H6*Assumptions!H45/100</f>
        <v>-21092.1040111355</v>
      </c>
      <c r="I12" s="4" t="n">
        <f aca="false">-I6*Assumptions!I45/100</f>
        <v>-21619.4066114139</v>
      </c>
      <c r="J12" s="4" t="n">
        <f aca="false">-J6*Assumptions!J45/100</f>
        <v>-22159.8917766993</v>
      </c>
      <c r="K12" s="4" t="n">
        <f aca="false">-K6*Assumptions!K45/100</f>
        <v>-22713.8890711167</v>
      </c>
      <c r="L12" s="4" t="n">
        <f aca="false">-L6*Assumptions!L45/100</f>
        <v>-23281.7362978947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44268.914592</v>
      </c>
      <c r="D13" s="0" t="n">
        <f aca="false">D11+D12</f>
        <v>42774.352992</v>
      </c>
      <c r="E13" s="0" t="n">
        <f aca="false">E11+E12</f>
        <v>42518.18513376</v>
      </c>
      <c r="F13" s="0" t="n">
        <f aca="false">F11+F12</f>
        <v>43793.7306877728</v>
      </c>
      <c r="G13" s="0" t="n">
        <f aca="false">G11+G12</f>
        <v>45107.542608406</v>
      </c>
      <c r="H13" s="0" t="n">
        <f aca="false">H11+H12</f>
        <v>46235.2311736161</v>
      </c>
      <c r="I13" s="0" t="n">
        <f aca="false">I11+I12</f>
        <v>47391.1119529566</v>
      </c>
      <c r="J13" s="0" t="n">
        <f aca="false">J11+J12</f>
        <v>48575.8897517805</v>
      </c>
      <c r="K13" s="0" t="n">
        <f aca="false">K11+K12</f>
        <v>49790.286995575</v>
      </c>
      <c r="L13" s="0" t="n">
        <f aca="false">L11+L12</f>
        <v>51035.0441704643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36</v>
      </c>
      <c r="D14" s="4" t="n">
        <f aca="false">Assumptions!D47</f>
        <v>36</v>
      </c>
      <c r="E14" s="4" t="n">
        <f aca="false">Assumptions!E47</f>
        <v>36</v>
      </c>
      <c r="F14" s="4" t="n">
        <f aca="false">Assumptions!F47</f>
        <v>36</v>
      </c>
      <c r="G14" s="4" t="n">
        <f aca="false">Assumptions!G47</f>
        <v>36</v>
      </c>
      <c r="H14" s="4" t="n">
        <f aca="false">Assumptions!H47</f>
        <v>36</v>
      </c>
      <c r="I14" s="4" t="n">
        <f aca="false">Assumptions!I47</f>
        <v>36</v>
      </c>
      <c r="J14" s="4" t="n">
        <f aca="false">Assumptions!J47</f>
        <v>36</v>
      </c>
      <c r="K14" s="4" t="n">
        <f aca="false">Assumptions!K47</f>
        <v>36</v>
      </c>
      <c r="L14" s="4" t="n">
        <f aca="false">Assumptions!L47</f>
        <v>36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28332.10533888</v>
      </c>
      <c r="D15" s="0" t="n">
        <f aca="false">D13-MAX(0,D13)*D14/100</f>
        <v>27375.58591488</v>
      </c>
      <c r="E15" s="0" t="n">
        <f aca="false">E13-MAX(0,E13)*E14/100</f>
        <v>27211.6384856064</v>
      </c>
      <c r="F15" s="0" t="n">
        <f aca="false">F13-MAX(0,F13)*F14/100</f>
        <v>28027.9876401746</v>
      </c>
      <c r="G15" s="0" t="n">
        <f aca="false">G13-MAX(0,G13)*G14/100</f>
        <v>28868.8272693798</v>
      </c>
      <c r="H15" s="0" t="n">
        <f aca="false">H13-MAX(0,H13)*H14/100</f>
        <v>29590.5479511143</v>
      </c>
      <c r="I15" s="0" t="n">
        <f aca="false">I13-MAX(0,I13)*I14/100</f>
        <v>30330.3116498922</v>
      </c>
      <c r="J15" s="0" t="n">
        <f aca="false">J13-MAX(0,J13)*J14/100</f>
        <v>31088.5694411395</v>
      </c>
      <c r="K15" s="0" t="n">
        <f aca="false">K13-MAX(0,K13)*K14/100</f>
        <v>31865.783677168</v>
      </c>
      <c r="L15" s="0" t="n">
        <f aca="false">L13-MAX(0,L13)*L14/100</f>
        <v>32662.4282690972</v>
      </c>
    </row>
    <row r="16" customFormat="false" ht="15" hidden="false" customHeight="false" outlineLevel="0" collapsed="false">
      <c r="A16" s="0" t="s">
        <v>117</v>
      </c>
      <c r="C16" s="0" t="n">
        <f aca="false">-C12</f>
        <v>18831.47616</v>
      </c>
      <c r="D16" s="0" t="n">
        <f aca="false">-D12</f>
        <v>18831.47616</v>
      </c>
      <c r="E16" s="0" t="n">
        <f aca="false">-E12</f>
        <v>19396.4204448</v>
      </c>
      <c r="F16" s="0" t="n">
        <f aca="false">-F12</f>
        <v>19978.313058144</v>
      </c>
      <c r="G16" s="0" t="n">
        <f aca="false">-G12</f>
        <v>20577.6624498883</v>
      </c>
      <c r="H16" s="0" t="n">
        <f aca="false">-H12</f>
        <v>21092.1040111355</v>
      </c>
      <c r="I16" s="0" t="n">
        <f aca="false">-I12</f>
        <v>21619.4066114139</v>
      </c>
      <c r="J16" s="0" t="n">
        <f aca="false">-J12</f>
        <v>22159.8917766993</v>
      </c>
      <c r="K16" s="0" t="n">
        <f aca="false">-K12</f>
        <v>22713.8890711167</v>
      </c>
      <c r="L16" s="0" t="n">
        <f aca="false">-L12</f>
        <v>23281.7362978947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-20923.8624</v>
      </c>
      <c r="D17" s="4" t="n">
        <f aca="false">-D6*Assumptions!D46/100</f>
        <v>-21820.59936</v>
      </c>
      <c r="E17" s="4" t="n">
        <f aca="false">-E6*Assumptions!E46/100</f>
        <v>-22475.2173408</v>
      </c>
      <c r="F17" s="4" t="n">
        <f aca="false">-F6*Assumptions!F46/100</f>
        <v>-23149.473861024</v>
      </c>
      <c r="G17" s="4" t="n">
        <f aca="false">-G6*Assumptions!G46/100</f>
        <v>-23843.9580768547</v>
      </c>
      <c r="H17" s="4" t="n">
        <f aca="false">-H6*Assumptions!H46/100</f>
        <v>-24440.0570287761</v>
      </c>
      <c r="I17" s="4" t="n">
        <f aca="false">-I6*Assumptions!I46/100</f>
        <v>-25051.0584544955</v>
      </c>
      <c r="J17" s="4" t="n">
        <f aca="false">-J6*Assumptions!J46/100</f>
        <v>-25677.3349158579</v>
      </c>
      <c r="K17" s="4" t="n">
        <f aca="false">-K6*Assumptions!K46/100</f>
        <v>-26319.2682887543</v>
      </c>
      <c r="L17" s="4" t="n">
        <f aca="false">-L6*Assumptions!L46/100</f>
        <v>-26977.2499959732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26239.71909888</v>
      </c>
      <c r="D19" s="0" t="n">
        <f aca="false">D15+D16+D17+D18</f>
        <v>24386.46271488</v>
      </c>
      <c r="E19" s="0" t="n">
        <f aca="false">E15+E16+E17+E18</f>
        <v>24132.8415896064</v>
      </c>
      <c r="F19" s="0" t="n">
        <f aca="false">F15+F16+F17+F18</f>
        <v>24856.8268372946</v>
      </c>
      <c r="G19" s="0" t="n">
        <f aca="false">G15+G16+G17+G18</f>
        <v>25602.5316424134</v>
      </c>
      <c r="H19" s="0" t="n">
        <f aca="false">H15+H16+H17+H18</f>
        <v>26242.5949334738</v>
      </c>
      <c r="I19" s="0" t="n">
        <f aca="false">I15+I16+I17+I18</f>
        <v>26898.6598068106</v>
      </c>
      <c r="J19" s="0" t="n">
        <f aca="false">J15+J16+J17+J18</f>
        <v>27571.1263019809</v>
      </c>
      <c r="K19" s="0" t="n">
        <f aca="false">K15+K16+K17+K18</f>
        <v>28260.4044595304</v>
      </c>
      <c r="L19" s="0" t="n">
        <f aca="false">L15+L16+L17+L18</f>
        <v>28966.9145710187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24296.0362026667</v>
      </c>
      <c r="D21" s="0" t="n">
        <f aca="false">D19*D20</f>
        <v>20907.4611753086</v>
      </c>
      <c r="E21" s="0" t="n">
        <f aca="false">E19*E20</f>
        <v>19157.427721262</v>
      </c>
      <c r="F21" s="0" t="n">
        <f aca="false">F19*F20</f>
        <v>18270.5097712036</v>
      </c>
      <c r="G21" s="0" t="n">
        <f aca="false">G19*G20</f>
        <v>17424.6528373516</v>
      </c>
      <c r="H21" s="0" t="n">
        <f aca="false">H19*H20</f>
        <v>16537.2862576716</v>
      </c>
      <c r="I21" s="0" t="n">
        <f aca="false">I19*I20</f>
        <v>15695.1096426976</v>
      </c>
      <c r="J21" s="0" t="n">
        <f aca="false">J19*J20</f>
        <v>14895.8216516343</v>
      </c>
      <c r="K21" s="0" t="n">
        <f aca="false">K19*K20</f>
        <v>14137.2381415974</v>
      </c>
      <c r="L21" s="0" t="n">
        <f aca="false">L19*L20</f>
        <v>13417.2861992012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2.6</v>
      </c>
      <c r="D23" s="4" t="n">
        <f aca="false">Assumptions!D44</f>
        <v>2.6</v>
      </c>
      <c r="E23" s="4" t="n">
        <f aca="false">Assumptions!E44</f>
        <v>2.6</v>
      </c>
      <c r="F23" s="4" t="n">
        <f aca="false">Assumptions!F44</f>
        <v>2.6</v>
      </c>
      <c r="G23" s="4" t="n">
        <f aca="false">Assumptions!G44</f>
        <v>2.6</v>
      </c>
      <c r="H23" s="4" t="n">
        <f aca="false">Assumptions!H44</f>
        <v>2.6</v>
      </c>
      <c r="I23" s="4" t="n">
        <f aca="false">Assumptions!I44</f>
        <v>2.6</v>
      </c>
      <c r="J23" s="4" t="n">
        <f aca="false">Assumptions!J44</f>
        <v>2.6</v>
      </c>
      <c r="K23" s="4" t="n">
        <f aca="false">Assumptions!K44</f>
        <v>2.6</v>
      </c>
      <c r="L23" s="4" t="n">
        <f aca="false">Assumptions!L44</f>
        <v>2.6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-7771.72032</v>
      </c>
      <c r="D24" s="0" t="n">
        <f aca="false">-D6*D23/100</f>
        <v>-7771.72032</v>
      </c>
      <c r="E24" s="0" t="n">
        <f aca="false">-E6*E23/100</f>
        <v>-8004.8719296</v>
      </c>
      <c r="F24" s="0" t="n">
        <f aca="false">-F6*F23/100</f>
        <v>-8245.018087488</v>
      </c>
      <c r="G24" s="0" t="n">
        <f aca="false">-G6*G23/100</f>
        <v>-8492.36863011264</v>
      </c>
      <c r="H24" s="0" t="n">
        <f aca="false">-H6*H23/100</f>
        <v>-8704.67784586546</v>
      </c>
      <c r="I24" s="0" t="n">
        <f aca="false">-I6*I23/100</f>
        <v>-8922.2947920121</v>
      </c>
      <c r="J24" s="0" t="n">
        <f aca="false">-J6*J23/100</f>
        <v>-9145.3521618124</v>
      </c>
      <c r="K24" s="0" t="n">
        <f aca="false">-K6*K23/100</f>
        <v>-9373.9859658577</v>
      </c>
      <c r="L24" s="0" t="n">
        <f aca="false">-L6*L23/100</f>
        <v>-9608.33561500415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174738.829600594</v>
      </c>
    </row>
    <row r="31" customFormat="false" ht="15" hidden="false" customHeight="false" outlineLevel="0" collapsed="false">
      <c r="A31" s="0" t="s">
        <v>126</v>
      </c>
      <c r="B31" s="0" t="n">
        <f aca="false">L19</f>
        <v>28966.9145710187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492437.547707317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376569.889423243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376569.889423243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174424.720589616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349163.55019021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331482.55019021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4380.16022344364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0.154648800169669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6338.27898408022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8438.86774878315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4575.42320274115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227278.868172608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2222.94679507734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1761.50357935902</v>
      </c>
      <c r="C4" s="0" t="n">
        <f aca="false">B4/Assumptions!$B$2-1</f>
        <v>-0.53565214726268</v>
      </c>
      <c r="D4" s="4" t="n">
        <f aca="false">Assumptions!$B$24</f>
        <v>0.25</v>
      </c>
      <c r="E4" s="4" t="n">
        <f aca="false">DCF_Bear!$B$43</f>
        <v>1888.76350446622</v>
      </c>
      <c r="F4" s="4" t="n">
        <f aca="false">DCF_Bear!$B$47</f>
        <v>831.15560665315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3405.99090182447</v>
      </c>
      <c r="C5" s="0" t="n">
        <f aca="false">B5/Assumptions!$B$2-1</f>
        <v>-0.102150810116127</v>
      </c>
      <c r="D5" s="4" t="n">
        <f aca="false">Assumptions!$B$38</f>
        <v>0.5</v>
      </c>
      <c r="E5" s="4" t="n">
        <f aca="false">DCF_Base!$B$43</f>
        <v>3573.92516715394</v>
      </c>
      <c r="F5" s="4" t="n">
        <f aca="false">DCF_Base!$B$47</f>
        <v>1687.5960329101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4380.16022344364</v>
      </c>
      <c r="C6" s="0" t="n">
        <f aca="false">B6/Assumptions!$B$2-1</f>
        <v>0.154648800169669</v>
      </c>
      <c r="D6" s="4" t="n">
        <f aca="false">Assumptions!$B$52</f>
        <v>0.25</v>
      </c>
      <c r="E6" s="4" t="n">
        <f aca="false">DCF_Bull!$B$43</f>
        <v>4575.42320274115</v>
      </c>
      <c r="F6" s="4" t="n">
        <f aca="false">DCF_Bull!$B$47</f>
        <v>2222.94679507734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3238.4114016129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3403.00926037881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-0.171407684060968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337.239258486671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1607.32361688767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3405.99090182447</v>
      </c>
      <c r="C15" s="3" t="n">
        <v>8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3165.47026128322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2823.27441882742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2500.04800141067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2238.61094880668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1687.5960329101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3958.70654083008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3958.70654083008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3958.70654083008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3958.70654083008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3958.70654083008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3669.54685787686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3669.54685787686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3669.54685787686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3669.54685787686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3669.54685787686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3405.99090182447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3405.99090182447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3405.99090182447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3405.99090182447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3405.99090182447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3016.43568752797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3117.96549089873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3165.47026128322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3165.47026128322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3165.47026128322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2665.76945782248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2740.14680051926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2823.27441882742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2916.7929894241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2945.69872942671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2026-10-10T01:24:53Z</dcterms:created>
  <dc:creator>openpyxl</dc:creator>
  <dc:description/>
  <dc:language>en-NZ</dc:language>
  <cp:lastModifiedBy/>
  <dcterms:modified xsi:type="dcterms:W3CDTF">2026-10-10T01:24:53Z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