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<sst xmlns="http://schemas.openxmlformats.org/spreadsheetml/2006/main" count="373" uniqueCount="178">
  <si>
    <t xml:space="preserve">Ticker</t>
  </si>
  <si>
    <t xml:space="preserve">BBD</t>
  </si>
  <si>
    <t xml:space="preserve">Company</t>
  </si>
  <si>
    <t xml:space="preserve">Banco Bradesco S.A.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</si>
  <si>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</si>
  <si>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</si>
  <si>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</si>
  <si>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</si>
  <si>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2026-10-02T20:00:02Z regular close (Yahoo chart API)</t>
  </si>
  <si>
    <t xml:space="preserve">Balance sheet date</t>
  </si>
  <si>
    <t xml:space="preserve">2026-06-30</t>
  </si>
  <si>
    <t xml:space="preserve">Model</t>
  </si>
  <si>
    <t xml:space="preserve">Bank FCFE at cost of equity (engine route, net debt zero)</t>
  </si>
  <si>
    <t xml:space="preserve">Currency (model)</t>
  </si>
  <si>
    <t xml:space="preserve">BRL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</si>
  <si>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</si>
  <si>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</si>
  <si>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</si>
  <si>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</si>
  <si>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</si>
  <si>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</si>
  <si>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</si>
  <si>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2026-10-02T22:26:37Z</t>
  </si>
  <si>
    <t xml:space="preserve">Drivers file</t>
  </si>
  <si>
    <t xml:space="preserve">BBD_Drivers.json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</si>
  <si>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</si>
  <si>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</si>
  <si>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</si>
  <si>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Bradesco is valued as a bank: free cash flow to equity (recurring net income less the capital retained to grow book in line with revenue) discounted at a BRL cost of equity, with no net-debt deduction because deposits are operating funding. Values are computed in BRL and translated at spot USD/BRL to USD per ADR (1 ADR = 1 preferred share). The question the model answers is whether recurring ROAE (~16-17%) sustainably exceeds a ~16% BRL cost of equity; at today's price (~1.1x book) the market is pricing roughly that.
key_risks_to_valuation: BRL/USD: a 10% move in the real moves the USD IV 10% with no change in the business.; Cost of equity: at ROAE close to CoE, value per share is highly sensitive to the BRL discount rate (see sensitivity grid).; Unmodelled R$10bn capital increase: dilutive if priced well below intrinsic value.; Recurring vs reported earnings gap: tax-program and other 'non-recurring' items have recurred (Q1-26 R$1.8bn).; Credit cycle: NPL 90d 4.3% and rising, Q1-26 credit costs +27% y/y.</t>
  </si>
  <si>
    <t xml:space="preserve">Data sources</t>
  </si>
  <si>
    <t xml:space="preserve">price: Yahoo Finance chart API at inputs.price_as_of; 52-week range 2.98-4.30. BRL=X and BBDC4.SA from the same API for the FX parity check.
financials: Metrics.csv (IFRS 20-F annual FY2015-FY2025); 6-K managerial earnings releases Q3-25..Q2-26 for TTM recurring revenue, recurring net income, shareholders' equity, CET1 and 2026 guidance (BBD_Quarterly_Q2-2026.txt lines 66-82, 365-388); ADR ratio from BBD_Annual_FY2025.txt:18012.
qualitative: BBD_Analysis.json (2026-10-03).</t>
  </si>
  <si>
    <t xml:space="preserve">Scenario narrative: bear</t>
  </si>
  <si>
    <t xml:space="preserve">Brazil's credit cycle turns: elevated Selic and household debt-service burdens push NPLs and provisions higher (Q1-26 credit costs already +27% y/y), Nubank/Inter/Mercado Pago keep taking retail fee and deposit share, John Deere Bank/agri delinquency adds noise, and recurring tax-program charges recur. ROAE slips to ~14%, below the cost of equity, so growth destroys value and the bank is worth less than book.</t>
  </si>
  <si>
    <t xml:space="preserve">Scenario narrative: base</t>
  </si>
  <si>
    <t xml:space="preserve">The turnaround keeps grinding forward: loans grow at the guided 8.5-10.5% in 2026 and fade toward nominal GDP, the cost-to-income ratio keeps improving from 46.5% but short of the 40% target, and higher credit costs from a stretched Brazilian household and SME sector absorb part of the efficiency gain. Recurring ROAE settles around 17%, a point above a 16% BRL cost of equity, so Bradesco is worth a little over book.</t>
  </si>
  <si>
    <t xml:space="preserve">Scenario narrative: bull</t>
  </si>
  <si>
    <t xml:space="preserve">Transformation delivers: the efficiency ratio hits ~40% by 2028, Bradesco Seguros (ROAE ~23%) and Bradsaude keep growing above guidance, Selic falls toward 11% by 2027 easing credit costs, and secured lending (now ~61% of the book) keeps NPLs contained. ROAE converges toward Itau's ~20%.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</si>
  <si>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</si>
  <si>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</si>
  <si>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</si>
  <si>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</si>
  <si>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</si>
  <si>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</si>
  <si>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</si>
  <si>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</si>
  <si>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</si>
  <si>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</si>
  <si>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</si>
  <si>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</si>
  <si>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</si>
  <si>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</si>
  <si>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</si>
  <si>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</si>
  <si>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</si>
  <si>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</si>
  <si>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</si>
  <si>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</si>
  <si>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</si>
  <si>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</si>
  <si>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</si>
  <si>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</si>
  <si>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</si>
  <si>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</si>
  <si>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</si>
  <si>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AdjustedNetIncome</t>
  </si>
  <si>
    <t xml:space="preserve">CET1Ratio</t>
  </si>
  <si>
    <t xml:space="preserve">CostToIncomeRatio</t>
  </si>
  <si>
    <t xml:space="preserve">CreditImpairmentCharge</t>
  </si>
  <si>
    <t xml:space="preserve">CustomerDeposits</t>
  </si>
  <si>
    <t xml:space="preserve">InsuranceServiceResult</t>
  </si>
  <si>
    <t xml:space="preserve">NetInterestIncome</t>
  </si>
  <si>
    <t xml:space="preserve">NetLoansAndAdvances</t>
  </si>
  <si>
    <t xml:space="preserve">NonInterestIncome</t>
  </si>
  <si>
    <t xml:space="preserve">ROE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</si>
  <si>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</si>
  <si>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</si>
  <si>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</si>
  <si>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</si>
  <si>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</si>
  <si>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</si>
  <si>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</si>
  <si>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</si>
  <si>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</si>
  <si>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</si>
  <si>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</si>
  <si>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</si>
  <si>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</si>
  <si>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</si>
  <si>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</si>
  <si>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</si>
  <si>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</si>
  <si>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</si>
  <si>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</si>
  <si>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</si>
  <si>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2026-06-30 (Q3-25..Q2-26, managerial recurring basis)</t>
  </si>
  <si>
    <t xml:space="preserve">Currency / units</t>
  </si>
  <si>
    <t xml:space="preserve">BRL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</si>
  <si>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</si>
  <si>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</si>
  <si>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</si>
  <si>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</si>
  <si>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</si>
  <si>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</si>
  <si>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</si>
  <si>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</si>
  <si>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</si>
  <si>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</si>
  <si>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</si>
  <si>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</si>
  <si>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</si>
  <si>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</si>
  <si>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</si>
  <si>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</si>
  <si>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</si>
  <si>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</si>
  <si>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</si>
  <si>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</si>
  <si>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</si>
  <si>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</si>
  <si>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</si>
  <si>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</si>
  <si>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</si>
  <si>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</si>
  <si>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BBD owner-FCF component DCF: bear case (millions, BRL)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</si>
  <si>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</si>
  <si>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</si>
  <si>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</si>
  <si>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</si>
  <si>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</si>
  <si>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</si>
  <si>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</si>
  <si>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</si>
  <si>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</si>
  <si>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</si>
  <si>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</si>
  <si>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</si>
  <si>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</si>
  <si>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</si>
  <si>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</si>
  <si>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</si>
  <si>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</si>
  <si>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</si>
  <si>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</si>
  <si>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</si>
  <si>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</si>
  <si>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</si>
  <si>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</si>
  <si>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</si>
  <si>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</si>
  <si>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</si>
  <si>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</si>
  <si>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</si>
  <si>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</si>
  <si>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</si>
  <si>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BBD owner-FCF component DCF: base case (millions, BRL)</t>
  </si>
  <si>
    <t xml:space="preserve">BBD owner-FCF component DCF: bull case (millions, BRL)</t>
  </si>
  <si>
    <t xml:space="preserve">BBD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</si>
  <si>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</si>
  <si>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</si>
  <si>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</si>
  <si>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</si>
  <si>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</si>
  <si>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</si>
  <si>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</si>
  <si>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</si>
  <si>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</si>
  <si>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</si>
  <si>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</si>
  <si>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</si>
  <si>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</si>
  <si>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</si>
  <si>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</si>
  <si>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</si>
  <si>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</si>
  <si>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</si>
  <si>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</si>
  <si>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Value per share at 16% (WACC)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</si>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</sst>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</row>
    <row r="2" customFormat="false" ht="15" hidden="false" customHeight="false" outlineLevel="0" collapsed="false">
      <c r="A2" s="0" t="s">
        <v>74</v>
      </c>
      <c r="B2" s="0" t="n">
        <v>66507.257</v>
      </c>
      <c r="F2" s="0" t="n">
        <v>8075.532</v>
      </c>
      <c r="G2" s="0" t="n">
        <v>12.1</v>
      </c>
      <c r="I2" s="0" t="n">
        <v>18132.906</v>
      </c>
      <c r="J2" s="0" t="n">
        <v>27.3</v>
      </c>
      <c r="K2" s="0" t="n">
        <v>3.43</v>
      </c>
      <c r="L2" s="0" t="n">
        <v>-61354.165</v>
      </c>
      <c r="M2" s="0" t="n">
        <v>4153.43</v>
      </c>
      <c r="O2" s="0" t="n">
        <v>90789.427</v>
      </c>
      <c r="P2" s="0" t="n">
        <v>1026703.522</v>
      </c>
      <c r="Q2" s="0" t="n">
        <v>935788.76</v>
      </c>
      <c r="R2" s="0" t="n">
        <v>160132.983</v>
      </c>
      <c r="S2" s="0" t="n">
        <v>147261.434</v>
      </c>
      <c r="T2" s="0" t="n">
        <v>5532.423218</v>
      </c>
      <c r="U2" s="0" t="n">
        <v>0</v>
      </c>
      <c r="AA2" s="0" t="s">
        <v>18</v>
      </c>
      <c r="AB2" s="0" t="s">
        <v>14</v>
      </c>
      <c r="AF2" s="0" t="n">
        <v>14721.152</v>
      </c>
      <c r="AG2" s="0" t="n">
        <v>194510.1</v>
      </c>
      <c r="AI2" s="0" t="n">
        <v>55636.042</v>
      </c>
      <c r="AJ2" s="0" t="n">
        <v>344868.464</v>
      </c>
      <c r="AK2" s="0" t="n">
        <v>10871.215</v>
      </c>
    </row>
    <row r="3" customFormat="false" ht="15" hidden="false" customHeight="false" outlineLevel="0" collapsed="false">
      <c r="A3" s="0" t="s">
        <v>75</v>
      </c>
      <c r="B3" s="0" t="n">
        <v>96371.93</v>
      </c>
      <c r="F3" s="0" t="n">
        <v>30205.731</v>
      </c>
      <c r="G3" s="0" t="n">
        <v>31.3</v>
      </c>
      <c r="I3" s="0" t="n">
        <v>17894.249</v>
      </c>
      <c r="J3" s="0" t="n">
        <v>18.6</v>
      </c>
      <c r="K3" s="0" t="n">
        <v>3.39</v>
      </c>
      <c r="L3" s="0" t="n">
        <v>53959.218</v>
      </c>
      <c r="M3" s="0" t="n">
        <v>5122.818</v>
      </c>
      <c r="O3" s="0" t="n">
        <v>105302.444</v>
      </c>
      <c r="P3" s="0" t="n">
        <v>1192029.656</v>
      </c>
      <c r="Q3" s="0" t="n">
        <v>1086550.449</v>
      </c>
      <c r="R3" s="0" t="n">
        <v>203713.002</v>
      </c>
      <c r="S3" s="0" t="n">
        <v>181230.427</v>
      </c>
      <c r="T3" s="0" t="n">
        <v>5531.885099</v>
      </c>
      <c r="U3" s="0" t="n">
        <v>0</v>
      </c>
      <c r="AA3" s="0" t="s">
        <v>18</v>
      </c>
      <c r="AB3" s="0" t="s">
        <v>14</v>
      </c>
      <c r="AF3" s="0" t="n">
        <v>15350.278</v>
      </c>
      <c r="AG3" s="0" t="n">
        <v>232747.929</v>
      </c>
      <c r="AI3" s="0" t="n">
        <v>56662.989</v>
      </c>
      <c r="AJ3" s="0" t="n">
        <v>367303.034</v>
      </c>
      <c r="AK3" s="0" t="n">
        <v>39708.941</v>
      </c>
    </row>
    <row r="4" customFormat="false" ht="15" hidden="false" customHeight="false" outlineLevel="0" collapsed="false">
      <c r="A4" s="0" t="s">
        <v>76</v>
      </c>
      <c r="B4" s="0" t="n">
        <v>91193.634</v>
      </c>
      <c r="F4" s="0" t="n">
        <v>22025.148</v>
      </c>
      <c r="G4" s="0" t="n">
        <v>24.2</v>
      </c>
      <c r="I4" s="0" t="n">
        <v>17089.364</v>
      </c>
      <c r="J4" s="0" t="n">
        <v>18.7</v>
      </c>
      <c r="K4" s="0" t="n">
        <v>2.94</v>
      </c>
      <c r="L4" s="0" t="n">
        <v>35551.788</v>
      </c>
      <c r="M4" s="0" t="n">
        <v>5641.349</v>
      </c>
      <c r="O4" s="0" t="n">
        <v>117403.831</v>
      </c>
      <c r="P4" s="0" t="n">
        <v>1224353.44</v>
      </c>
      <c r="Q4" s="0" t="n">
        <v>1106659.736</v>
      </c>
      <c r="R4" s="0" t="n">
        <v>185353.491</v>
      </c>
      <c r="S4" s="0" t="n">
        <v>156054.442</v>
      </c>
      <c r="T4" s="0" t="n">
        <v>6085.07361</v>
      </c>
      <c r="U4" s="0" t="n">
        <v>0</v>
      </c>
      <c r="AA4" s="0" t="s">
        <v>18</v>
      </c>
      <c r="AB4" s="0" t="s">
        <v>14</v>
      </c>
      <c r="AF4" s="0" t="n">
        <v>16860.835</v>
      </c>
      <c r="AG4" s="0" t="n">
        <v>262008.445</v>
      </c>
      <c r="AI4" s="0" t="n">
        <v>50642.913</v>
      </c>
      <c r="AJ4" s="0" t="n">
        <v>346758.099</v>
      </c>
      <c r="AK4" s="0" t="n">
        <v>40550.721</v>
      </c>
    </row>
    <row r="5" customFormat="false" ht="15" hidden="false" customHeight="false" outlineLevel="0" collapsed="false">
      <c r="A5" s="0" t="s">
        <v>77</v>
      </c>
      <c r="B5" s="0" t="n">
        <v>88790.748</v>
      </c>
      <c r="F5" s="0" t="n">
        <v>17761.64</v>
      </c>
      <c r="G5" s="0" t="n">
        <v>20</v>
      </c>
      <c r="I5" s="0" t="n">
        <v>16583.915</v>
      </c>
      <c r="J5" s="0" t="n">
        <v>18.7</v>
      </c>
      <c r="K5" s="0" t="n">
        <v>2.6</v>
      </c>
      <c r="L5" s="0" t="n">
        <v>-6497.318</v>
      </c>
      <c r="M5" s="0" t="n">
        <v>5442.589</v>
      </c>
      <c r="O5" s="0" t="n">
        <v>124275.455</v>
      </c>
      <c r="P5" s="0" t="n">
        <v>1305543.714</v>
      </c>
      <c r="Q5" s="0" t="n">
        <v>1180867.594</v>
      </c>
      <c r="R5" s="0" t="n">
        <v>201672.462</v>
      </c>
      <c r="S5" s="0" t="n">
        <v>110225.63</v>
      </c>
      <c r="T5" s="0" t="n">
        <v>6693.580972</v>
      </c>
      <c r="U5" s="0" t="n">
        <v>0</v>
      </c>
      <c r="AA5" s="0" t="s">
        <v>18</v>
      </c>
      <c r="AB5" s="0" t="s">
        <v>14</v>
      </c>
      <c r="AF5" s="0" t="n">
        <v>15091.975</v>
      </c>
      <c r="AG5" s="0" t="n">
        <v>340748.196</v>
      </c>
      <c r="AI5" s="0" t="n">
        <v>66808.47</v>
      </c>
      <c r="AJ5" s="0" t="n">
        <v>380387.076</v>
      </c>
      <c r="AK5" s="0" t="n">
        <v>21982.278</v>
      </c>
    </row>
    <row r="6" customFormat="false" ht="15" hidden="false" customHeight="false" outlineLevel="0" collapsed="false">
      <c r="A6" s="0" t="s">
        <v>78</v>
      </c>
      <c r="B6" s="0" t="n">
        <v>99281.023</v>
      </c>
      <c r="F6" s="0" t="n">
        <v>12179.996</v>
      </c>
      <c r="G6" s="0" t="n">
        <v>12.3</v>
      </c>
      <c r="I6" s="0" t="n">
        <v>21023.023</v>
      </c>
      <c r="J6" s="0" t="n">
        <v>21.2</v>
      </c>
      <c r="K6" s="0" t="n">
        <v>2.74</v>
      </c>
      <c r="L6" s="0" t="n">
        <v>-19453.969</v>
      </c>
      <c r="M6" s="0" t="n">
        <v>5325.502</v>
      </c>
      <c r="O6" s="0" t="n">
        <v>135099.466</v>
      </c>
      <c r="P6" s="0" t="n">
        <v>1378527.685</v>
      </c>
      <c r="Q6" s="0" t="n">
        <v>1242984.111</v>
      </c>
      <c r="R6" s="0" t="n">
        <v>220041.072</v>
      </c>
      <c r="S6" s="0" t="n">
        <v>61879.493</v>
      </c>
      <c r="T6" s="0" t="n">
        <v>8032.297167</v>
      </c>
      <c r="U6" s="0" t="n">
        <v>0</v>
      </c>
      <c r="AA6" s="0" t="s">
        <v>18</v>
      </c>
      <c r="AB6" s="0" t="s">
        <v>14</v>
      </c>
      <c r="AD6" s="0" t="n">
        <v>12</v>
      </c>
      <c r="AF6" s="0" t="n">
        <v>12532.133</v>
      </c>
      <c r="AG6" s="0" t="n">
        <v>366227.54</v>
      </c>
      <c r="AI6" s="0" t="n">
        <v>65799.719</v>
      </c>
      <c r="AJ6" s="0" t="n">
        <v>423528.716</v>
      </c>
      <c r="AK6" s="0" t="n">
        <v>33481.304</v>
      </c>
    </row>
    <row r="7" customFormat="false" ht="15" hidden="false" customHeight="false" outlineLevel="0" collapsed="false">
      <c r="A7" s="0" t="s">
        <v>79</v>
      </c>
      <c r="B7" s="0" t="n">
        <v>82368.591</v>
      </c>
      <c r="F7" s="0" t="n">
        <v>3630.437</v>
      </c>
      <c r="G7" s="0" t="n">
        <v>4.4</v>
      </c>
      <c r="I7" s="0" t="n">
        <v>15836.862</v>
      </c>
      <c r="J7" s="0" t="n">
        <v>19.2</v>
      </c>
      <c r="K7" s="0" t="n">
        <v>1.88</v>
      </c>
      <c r="L7" s="0" t="n">
        <v>142432.591</v>
      </c>
      <c r="M7" s="0" t="n">
        <v>4264.515</v>
      </c>
      <c r="O7" s="0" t="n">
        <v>145620.218</v>
      </c>
      <c r="P7" s="0" t="n">
        <v>1604653.79</v>
      </c>
      <c r="Q7" s="0" t="n">
        <v>1458536.416</v>
      </c>
      <c r="R7" s="0" t="n">
        <v>198150.057</v>
      </c>
      <c r="S7" s="0" t="n">
        <v>190820.989</v>
      </c>
      <c r="T7" s="0" t="n">
        <v>8835.526885</v>
      </c>
      <c r="U7" s="0" t="n">
        <v>0</v>
      </c>
      <c r="AA7" s="0" t="s">
        <v>18</v>
      </c>
      <c r="AB7" s="0" t="s">
        <v>14</v>
      </c>
      <c r="AD7" s="0" t="n">
        <v>12.7</v>
      </c>
      <c r="AF7" s="0" t="n">
        <v>18711.841</v>
      </c>
      <c r="AG7" s="0" t="n">
        <v>545292.743</v>
      </c>
      <c r="AI7" s="0" t="n">
        <v>71167.684</v>
      </c>
      <c r="AJ7" s="0" t="n">
        <v>473637.358</v>
      </c>
      <c r="AK7" s="0" t="n">
        <v>11200.907</v>
      </c>
    </row>
    <row r="8" customFormat="false" ht="15" hidden="false" customHeight="false" outlineLevel="0" collapsed="false">
      <c r="A8" s="0" t="s">
        <v>80</v>
      </c>
      <c r="B8" s="0" t="n">
        <v>102428.576</v>
      </c>
      <c r="F8" s="0" t="n">
        <v>32430.863</v>
      </c>
      <c r="G8" s="0" t="n">
        <v>31.7</v>
      </c>
      <c r="I8" s="0" t="n">
        <v>23172.322</v>
      </c>
      <c r="J8" s="0" t="n">
        <v>22.6</v>
      </c>
      <c r="K8" s="0" t="n">
        <v>2.5</v>
      </c>
      <c r="L8" s="0" t="n">
        <v>-101995.305</v>
      </c>
      <c r="M8" s="0" t="n">
        <v>4410.115</v>
      </c>
      <c r="O8" s="0" t="n">
        <v>149776.837</v>
      </c>
      <c r="P8" s="0" t="n">
        <v>1675572.193</v>
      </c>
      <c r="Q8" s="0" t="n">
        <v>1525343.486</v>
      </c>
      <c r="R8" s="0" t="n">
        <v>220679.619</v>
      </c>
      <c r="S8" s="0" t="n">
        <v>71386.319</v>
      </c>
      <c r="T8" s="0" t="n">
        <v>9689.534572</v>
      </c>
      <c r="U8" s="0" t="n">
        <v>0</v>
      </c>
      <c r="AA8" s="0" t="s">
        <v>18</v>
      </c>
      <c r="AB8" s="0" t="s">
        <v>14</v>
      </c>
      <c r="AD8" s="0" t="n">
        <v>12.5</v>
      </c>
      <c r="AF8" s="0" t="n">
        <v>9358.234</v>
      </c>
      <c r="AG8" s="0" t="n">
        <v>569726.25</v>
      </c>
      <c r="AI8" s="0" t="n">
        <v>83102.023</v>
      </c>
      <c r="AJ8" s="0" t="n">
        <v>573032.622</v>
      </c>
      <c r="AK8" s="0" t="n">
        <v>19326.553</v>
      </c>
    </row>
    <row r="9" customFormat="false" ht="15" hidden="false" customHeight="false" outlineLevel="0" collapsed="false">
      <c r="A9" s="0" t="s">
        <v>81</v>
      </c>
      <c r="B9" s="0" t="n">
        <v>109001.11</v>
      </c>
      <c r="F9" s="0" t="n">
        <v>22854.023</v>
      </c>
      <c r="G9" s="0" t="n">
        <v>21</v>
      </c>
      <c r="I9" s="0" t="n">
        <v>20983.69</v>
      </c>
      <c r="J9" s="0" t="n">
        <v>19.3</v>
      </c>
      <c r="K9" s="0" t="n">
        <v>2.06</v>
      </c>
      <c r="L9" s="0" t="n">
        <v>41766.349</v>
      </c>
      <c r="M9" s="0" t="n">
        <v>9412.24</v>
      </c>
      <c r="O9" s="0" t="n">
        <v>158265.358</v>
      </c>
      <c r="P9" s="0" t="n">
        <v>1799615.675</v>
      </c>
      <c r="Q9" s="0" t="n">
        <v>1640874.411</v>
      </c>
      <c r="R9" s="0" t="n">
        <v>274498.66</v>
      </c>
      <c r="S9" s="0" t="n">
        <v>118184.067</v>
      </c>
      <c r="T9" s="0" t="n">
        <v>10642.170228</v>
      </c>
      <c r="U9" s="0" t="n">
        <v>0</v>
      </c>
      <c r="AA9" s="0" t="s">
        <v>18</v>
      </c>
      <c r="AB9" s="0" t="s">
        <v>14</v>
      </c>
      <c r="AD9" s="0" t="n">
        <v>11</v>
      </c>
      <c r="AF9" s="0" t="n">
        <v>26365.671</v>
      </c>
      <c r="AG9" s="0" t="n">
        <v>590682.206</v>
      </c>
      <c r="AI9" s="0" t="n">
        <v>69301.931</v>
      </c>
      <c r="AJ9" s="0" t="n">
        <v>608404.633</v>
      </c>
      <c r="AK9" s="0" t="n">
        <v>39699.179</v>
      </c>
    </row>
    <row r="10" customFormat="false" ht="15" hidden="false" customHeight="false" outlineLevel="0" collapsed="false">
      <c r="A10" s="0" t="s">
        <v>82</v>
      </c>
      <c r="B10" s="0" t="n">
        <v>100274.212</v>
      </c>
      <c r="F10" s="0" t="n">
        <v>8106.67</v>
      </c>
      <c r="G10" s="0" t="n">
        <v>8.1</v>
      </c>
      <c r="I10" s="0" t="n">
        <v>14251.329</v>
      </c>
      <c r="J10" s="0" t="n">
        <v>14.2</v>
      </c>
      <c r="K10" s="0" t="n">
        <v>1.41</v>
      </c>
      <c r="L10" s="0" t="n">
        <v>-177.628</v>
      </c>
      <c r="M10" s="0" t="n">
        <v>9140.63</v>
      </c>
      <c r="O10" s="0" t="n">
        <v>166330.965</v>
      </c>
      <c r="P10" s="0" t="n">
        <v>1927523.249</v>
      </c>
      <c r="Q10" s="0" t="n">
        <v>1760509.125</v>
      </c>
      <c r="R10" s="0" t="n">
        <v>295304.112</v>
      </c>
      <c r="S10" s="0" t="n">
        <v>186790.58</v>
      </c>
      <c r="T10" s="0" t="n">
        <v>10642.170228</v>
      </c>
      <c r="U10" s="0" t="n">
        <v>0</v>
      </c>
      <c r="AA10" s="0" t="s">
        <v>18</v>
      </c>
      <c r="AB10" s="0" t="s">
        <v>14</v>
      </c>
      <c r="AD10" s="0" t="n">
        <v>11.7</v>
      </c>
      <c r="AF10" s="0" t="n">
        <v>30176.989</v>
      </c>
      <c r="AG10" s="0" t="n">
        <v>621934.68</v>
      </c>
      <c r="AH10" s="0" t="n">
        <v>5235.711</v>
      </c>
      <c r="AI10" s="0" t="n">
        <v>55082.419</v>
      </c>
      <c r="AJ10" s="0" t="n">
        <v>579501.819</v>
      </c>
      <c r="AK10" s="0" t="n">
        <v>45191.793</v>
      </c>
    </row>
    <row r="11" customFormat="false" ht="15" hidden="false" customHeight="false" outlineLevel="0" collapsed="false">
      <c r="A11" s="0" t="s">
        <v>83</v>
      </c>
      <c r="B11" s="0" t="n">
        <v>106219.33</v>
      </c>
      <c r="F11" s="0" t="n">
        <v>15368.929</v>
      </c>
      <c r="G11" s="0" t="n">
        <v>14.5</v>
      </c>
      <c r="I11" s="0" t="n">
        <v>17252.9</v>
      </c>
      <c r="J11" s="0" t="n">
        <v>16.2</v>
      </c>
      <c r="K11" s="0" t="n">
        <v>1.71</v>
      </c>
      <c r="L11" s="0" t="n">
        <v>50228.485</v>
      </c>
      <c r="M11" s="0" t="n">
        <v>8048.458</v>
      </c>
      <c r="O11" s="0" t="n">
        <v>168409.653</v>
      </c>
      <c r="P11" s="0" t="n">
        <v>2069484.362</v>
      </c>
      <c r="Q11" s="0" t="n">
        <v>1900541.87</v>
      </c>
      <c r="R11" s="0" t="n">
        <v>315436.271</v>
      </c>
      <c r="S11" s="0" t="n">
        <v>208023.801</v>
      </c>
      <c r="T11" s="0" t="n">
        <v>10596.982928</v>
      </c>
      <c r="U11" s="0" t="n">
        <v>0</v>
      </c>
      <c r="AA11" s="0" t="s">
        <v>18</v>
      </c>
      <c r="AB11" s="0" t="s">
        <v>14</v>
      </c>
      <c r="AC11" s="0" t="n">
        <v>19554</v>
      </c>
      <c r="AD11" s="0" t="n">
        <v>10.5</v>
      </c>
      <c r="AF11" s="0" t="n">
        <v>26636.777</v>
      </c>
      <c r="AG11" s="0" t="n">
        <v>644338.463</v>
      </c>
      <c r="AH11" s="0" t="n">
        <v>8942.26</v>
      </c>
      <c r="AI11" s="0" t="n">
        <v>67454.564</v>
      </c>
      <c r="AJ11" s="0" t="n">
        <v>672382.105</v>
      </c>
      <c r="AK11" s="0" t="n">
        <v>38764.766</v>
      </c>
    </row>
    <row r="12" customFormat="false" ht="15" hidden="false" customHeight="false" outlineLevel="0" collapsed="false">
      <c r="A12" s="0" t="s">
        <v>84</v>
      </c>
      <c r="B12" s="0" t="n">
        <v>118744.342</v>
      </c>
      <c r="F12" s="0" t="n">
        <v>18861.957</v>
      </c>
      <c r="G12" s="0" t="n">
        <v>15.9</v>
      </c>
      <c r="I12" s="0" t="n">
        <v>23672.706</v>
      </c>
      <c r="J12" s="0" t="n">
        <v>19.9</v>
      </c>
      <c r="K12" s="0" t="n">
        <v>2.35</v>
      </c>
      <c r="L12" s="0" t="n">
        <v>-62534</v>
      </c>
      <c r="M12" s="0" t="n">
        <v>11630.468</v>
      </c>
      <c r="O12" s="0" t="n">
        <v>178415.153</v>
      </c>
      <c r="P12" s="0" t="n">
        <v>2330327.216</v>
      </c>
      <c r="Q12" s="0" t="n">
        <v>2151378.586</v>
      </c>
      <c r="R12" s="0" t="n">
        <v>360975.208</v>
      </c>
      <c r="S12" s="0" t="n">
        <v>193516.834</v>
      </c>
      <c r="T12" s="0" t="n">
        <v>10577.012028</v>
      </c>
      <c r="U12" s="0" t="n">
        <v>0</v>
      </c>
      <c r="AA12" s="0" t="s">
        <v>18</v>
      </c>
      <c r="AB12" s="0" t="s">
        <v>14</v>
      </c>
      <c r="AC12" s="0" t="n">
        <v>24652</v>
      </c>
      <c r="AD12" s="0" t="n">
        <v>11.2</v>
      </c>
      <c r="AF12" s="0" t="n">
        <v>28677.857</v>
      </c>
      <c r="AG12" s="0" t="n">
        <v>721274.151</v>
      </c>
      <c r="AH12" s="0" t="n">
        <v>11331.343</v>
      </c>
      <c r="AI12" s="0" t="n">
        <v>73269.592</v>
      </c>
      <c r="AJ12" s="0" t="n">
        <v>744457.062</v>
      </c>
      <c r="AK12" s="0" t="n">
        <v>45474.75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85</v>
      </c>
      <c r="B1" s="2" t="s">
        <v>86</v>
      </c>
    </row>
    <row r="2" customFormat="false" ht="15" hidden="false" customHeight="false" outlineLevel="0" collapsed="false">
      <c r="A2" s="0" t="s">
        <v>87</v>
      </c>
      <c r="B2" s="3" t="n">
        <v>3.65</v>
      </c>
    </row>
    <row r="3" customFormat="false" ht="15" hidden="false" customHeight="false" outlineLevel="0" collapsed="false">
      <c r="A3" s="0" t="s">
        <v>88</v>
      </c>
      <c r="B3" s="3" t="n">
        <v>10577.012</v>
      </c>
    </row>
    <row r="4" customFormat="false" ht="15" hidden="false" customHeight="false" outlineLevel="0" collapsed="false">
      <c r="A4" s="0" t="s">
        <v>89</v>
      </c>
      <c r="B4" s="3" t="n">
        <v>0</v>
      </c>
    </row>
    <row r="5" customFormat="false" ht="15" hidden="false" customHeight="false" outlineLevel="0" collapsed="false">
      <c r="A5" s="0" t="s">
        <v>90</v>
      </c>
      <c r="B5" s="3" t="n">
        <v>0</v>
      </c>
    </row>
    <row r="6" customFormat="false" ht="15" hidden="false" customHeight="false" outlineLevel="0" collapsed="false">
      <c r="A6" s="0" t="s">
        <v>91</v>
      </c>
      <c r="B6" s="3" t="n">
        <v>17</v>
      </c>
    </row>
    <row r="7" customFormat="false" ht="15" hidden="false" customHeight="false" outlineLevel="0" collapsed="false">
      <c r="A7" s="0" t="s">
        <v>92</v>
      </c>
      <c r="B7" s="3" t="n">
        <v>145271</v>
      </c>
    </row>
    <row r="8" customFormat="false" ht="15" hidden="false" customHeight="false" outlineLevel="0" collapsed="false">
      <c r="A8" s="0" t="s">
        <v>93</v>
      </c>
      <c r="B8" s="3" t="s">
        <v>94</v>
      </c>
    </row>
    <row r="9" customFormat="false" ht="15" hidden="false" customHeight="false" outlineLevel="0" collapsed="false">
      <c r="A9" s="0" t="s">
        <v>95</v>
      </c>
      <c r="B9" s="3" t="s">
        <v>96</v>
      </c>
    </row>
    <row r="10" customFormat="false" ht="15" hidden="false" customHeight="false" outlineLevel="0" collapsed="false">
      <c r="A10" s="0" t="s">
        <v>97</v>
      </c>
      <c r="B10" s="3" t="n">
        <v>0.191487</v>
      </c>
    </row>
    <row r="12" customFormat="false" ht="15" hidden="false" customHeight="false" outlineLevel="0" collapsed="false">
      <c r="A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105</v>
      </c>
      <c r="J12" s="2" t="s">
        <v>106</v>
      </c>
      <c r="K12" s="2" t="s">
        <v>107</v>
      </c>
      <c r="L12" s="2" t="s">
        <v>108</v>
      </c>
    </row>
    <row r="13" customFormat="false" ht="15" hidden="false" customHeight="false" outlineLevel="0" collapsed="false">
      <c r="A13" s="0" t="s">
        <v>109</v>
      </c>
      <c r="C13" s="3" t="n">
        <v>7</v>
      </c>
      <c r="D13" s="3" t="n">
        <v>6</v>
      </c>
      <c r="E13" s="3" t="n">
        <v>5.5</v>
      </c>
      <c r="F13" s="3" t="n">
        <v>5.5</v>
      </c>
      <c r="G13" s="3" t="n">
        <v>5</v>
      </c>
      <c r="H13" s="3" t="n">
        <v>5</v>
      </c>
      <c r="I13" s="3" t="n">
        <v>4.5</v>
      </c>
      <c r="J13" s="3" t="n">
        <v>4.5</v>
      </c>
      <c r="K13" s="3" t="n">
        <v>4</v>
      </c>
      <c r="L13" s="3" t="n">
        <v>4</v>
      </c>
    </row>
    <row r="14" customFormat="false" ht="15" hidden="false" customHeight="false" outlineLevel="0" collapsed="false">
      <c r="A14" s="0" t="s">
        <v>110</v>
      </c>
      <c r="C14" s="3" t="n">
        <v>22</v>
      </c>
      <c r="D14" s="3" t="n">
        <v>21</v>
      </c>
      <c r="E14" s="3" t="n">
        <v>21.5</v>
      </c>
      <c r="F14" s="3" t="n">
        <v>22</v>
      </c>
      <c r="G14" s="3" t="n">
        <v>22</v>
      </c>
      <c r="H14" s="3" t="n">
        <v>22</v>
      </c>
      <c r="I14" s="3" t="n">
        <v>22</v>
      </c>
      <c r="J14" s="3" t="n">
        <v>22</v>
      </c>
      <c r="K14" s="3" t="n">
        <v>22</v>
      </c>
      <c r="L14" s="3" t="n">
        <v>22</v>
      </c>
    </row>
    <row r="15" customFormat="false" ht="15" hidden="false" customHeight="false" outlineLevel="0" collapsed="false">
      <c r="A15" s="0" t="s">
        <v>111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113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114</v>
      </c>
      <c r="C18" s="3" t="n">
        <v>7.89</v>
      </c>
      <c r="D18" s="3" t="n">
        <v>6.83</v>
      </c>
      <c r="E18" s="3" t="n">
        <v>6.29</v>
      </c>
      <c r="F18" s="3" t="n">
        <v>6.29</v>
      </c>
      <c r="G18" s="3" t="n">
        <v>5.74</v>
      </c>
      <c r="H18" s="3" t="n">
        <v>5.74</v>
      </c>
      <c r="I18" s="3" t="n">
        <v>5.19</v>
      </c>
      <c r="J18" s="3" t="n">
        <v>5.19</v>
      </c>
      <c r="K18" s="3" t="n">
        <v>4.64</v>
      </c>
      <c r="L18" s="3" t="n">
        <v>4.64</v>
      </c>
    </row>
    <row r="19" customFormat="false" ht="15" hidden="false" customHeight="false" outlineLevel="0" collapsed="false">
      <c r="A19" s="0" t="s">
        <v>115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116</v>
      </c>
      <c r="B20" s="3" t="n">
        <v>16</v>
      </c>
    </row>
    <row r="21" customFormat="false" ht="15" hidden="false" customHeight="false" outlineLevel="0" collapsed="false">
      <c r="A21" s="0" t="s">
        <v>117</v>
      </c>
      <c r="B21" s="3" t="n">
        <v>4</v>
      </c>
    </row>
    <row r="22" customFormat="false" ht="15" hidden="false" customHeight="false" outlineLevel="0" collapsed="false">
      <c r="A22" s="0" t="s">
        <v>118</v>
      </c>
      <c r="B22" s="3" t="n">
        <v>12</v>
      </c>
    </row>
    <row r="23" customFormat="false" ht="15" hidden="false" customHeight="false" outlineLevel="0" collapsed="false">
      <c r="A23" s="0" t="s">
        <v>119</v>
      </c>
      <c r="B23" s="3" t="n">
        <v>0</v>
      </c>
    </row>
    <row r="24" customFormat="false" ht="15" hidden="false" customHeight="false" outlineLevel="0" collapsed="false">
      <c r="A24" s="0" t="s">
        <v>120</v>
      </c>
      <c r="B24" s="3" t="n">
        <v>0.25</v>
      </c>
    </row>
    <row r="26" customFormat="false" ht="15" hidden="false" customHeight="false" outlineLevel="0" collapsed="false">
      <c r="A26" s="2" t="s">
        <v>121</v>
      </c>
      <c r="C26" s="2" t="s">
        <v>99</v>
      </c>
      <c r="D26" s="2" t="s">
        <v>100</v>
      </c>
      <c r="E26" s="2" t="s">
        <v>101</v>
      </c>
      <c r="F26" s="2" t="s">
        <v>102</v>
      </c>
      <c r="G26" s="2" t="s">
        <v>103</v>
      </c>
      <c r="H26" s="2" t="s">
        <v>104</v>
      </c>
      <c r="I26" s="2" t="s">
        <v>105</v>
      </c>
      <c r="J26" s="2" t="s">
        <v>106</v>
      </c>
      <c r="K26" s="2" t="s">
        <v>107</v>
      </c>
      <c r="L26" s="2" t="s">
        <v>108</v>
      </c>
    </row>
    <row r="27" customFormat="false" ht="15" hidden="false" customHeight="false" outlineLevel="0" collapsed="false">
      <c r="A27" s="0" t="s">
        <v>109</v>
      </c>
      <c r="C27" s="3" t="n">
        <v>9.5</v>
      </c>
      <c r="D27" s="3" t="n">
        <v>8.5</v>
      </c>
      <c r="E27" s="3" t="n">
        <v>8</v>
      </c>
      <c r="F27" s="3" t="n">
        <v>7.5</v>
      </c>
      <c r="G27" s="3" t="n">
        <v>7</v>
      </c>
      <c r="H27" s="3" t="n">
        <v>6.5</v>
      </c>
      <c r="I27" s="3" t="n">
        <v>6</v>
      </c>
      <c r="J27" s="3" t="n">
        <v>5.5</v>
      </c>
      <c r="K27" s="3" t="n">
        <v>5</v>
      </c>
      <c r="L27" s="3" t="n">
        <v>5</v>
      </c>
    </row>
    <row r="28" customFormat="false" ht="15" hidden="false" customHeight="false" outlineLevel="0" collapsed="false">
      <c r="A28" s="0" t="s">
        <v>110</v>
      </c>
      <c r="C28" s="3" t="n">
        <v>24.1</v>
      </c>
      <c r="D28" s="3" t="n">
        <v>24.6</v>
      </c>
      <c r="E28" s="3" t="n">
        <v>25.1</v>
      </c>
      <c r="F28" s="3" t="n">
        <v>25.4</v>
      </c>
      <c r="G28" s="3" t="n">
        <v>25.6</v>
      </c>
      <c r="H28" s="3" t="n">
        <v>25.6</v>
      </c>
      <c r="I28" s="3" t="n">
        <v>25.6</v>
      </c>
      <c r="J28" s="3" t="n">
        <v>25.6</v>
      </c>
      <c r="K28" s="3" t="n">
        <v>25.6</v>
      </c>
      <c r="L28" s="3" t="n">
        <v>25.6</v>
      </c>
    </row>
    <row r="29" customFormat="false" ht="15" hidden="false" customHeight="false" outlineLevel="0" collapsed="false">
      <c r="A29" s="0" t="s">
        <v>111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114</v>
      </c>
      <c r="C32" s="3" t="n">
        <v>10.46</v>
      </c>
      <c r="D32" s="3" t="n">
        <v>9.45</v>
      </c>
      <c r="E32" s="3" t="n">
        <v>8.93</v>
      </c>
      <c r="F32" s="3" t="n">
        <v>8.41</v>
      </c>
      <c r="G32" s="3" t="n">
        <v>7.89</v>
      </c>
      <c r="H32" s="3" t="n">
        <v>7.36</v>
      </c>
      <c r="I32" s="3" t="n">
        <v>6.83</v>
      </c>
      <c r="J32" s="3" t="n">
        <v>6.29</v>
      </c>
      <c r="K32" s="3" t="n">
        <v>5.74</v>
      </c>
      <c r="L32" s="3" t="n">
        <v>5.74</v>
      </c>
    </row>
    <row r="33" customFormat="false" ht="15" hidden="false" customHeight="false" outlineLevel="0" collapsed="false">
      <c r="A33" s="0" t="s">
        <v>115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116</v>
      </c>
      <c r="B34" s="3" t="n">
        <v>16</v>
      </c>
    </row>
    <row r="35" customFormat="false" ht="15" hidden="false" customHeight="false" outlineLevel="0" collapsed="false">
      <c r="A35" s="0" t="s">
        <v>117</v>
      </c>
      <c r="B35" s="3" t="n">
        <v>5</v>
      </c>
    </row>
    <row r="36" customFormat="false" ht="15" hidden="false" customHeight="false" outlineLevel="0" collapsed="false">
      <c r="A36" s="0" t="s">
        <v>118</v>
      </c>
      <c r="B36" s="3" t="n">
        <v>12</v>
      </c>
    </row>
    <row r="37" customFormat="false" ht="15" hidden="false" customHeight="false" outlineLevel="0" collapsed="false">
      <c r="A37" s="0" t="s">
        <v>119</v>
      </c>
      <c r="B37" s="3" t="n">
        <v>0</v>
      </c>
    </row>
    <row r="38" customFormat="false" ht="15" hidden="false" customHeight="false" outlineLevel="0" collapsed="false">
      <c r="A38" s="0" t="s">
        <v>120</v>
      </c>
      <c r="B38" s="3" t="n">
        <v>0.5</v>
      </c>
    </row>
    <row r="40" customFormat="false" ht="15" hidden="false" customHeight="false" outlineLevel="0" collapsed="false">
      <c r="A40" s="2" t="s">
        <v>122</v>
      </c>
      <c r="C40" s="2" t="s">
        <v>99</v>
      </c>
      <c r="D40" s="2" t="s">
        <v>100</v>
      </c>
      <c r="E40" s="2" t="s">
        <v>101</v>
      </c>
      <c r="F40" s="2" t="s">
        <v>102</v>
      </c>
      <c r="G40" s="2" t="s">
        <v>103</v>
      </c>
      <c r="H40" s="2" t="s">
        <v>104</v>
      </c>
      <c r="I40" s="2" t="s">
        <v>105</v>
      </c>
      <c r="J40" s="2" t="s">
        <v>106</v>
      </c>
      <c r="K40" s="2" t="s">
        <v>107</v>
      </c>
      <c r="L40" s="2" t="s">
        <v>108</v>
      </c>
    </row>
    <row r="41" customFormat="false" ht="15" hidden="false" customHeight="false" outlineLevel="0" collapsed="false">
      <c r="A41" s="0" t="s">
        <v>109</v>
      </c>
      <c r="C41" s="3" t="n">
        <v>11</v>
      </c>
      <c r="D41" s="3" t="n">
        <v>10</v>
      </c>
      <c r="E41" s="3" t="n">
        <v>9.5</v>
      </c>
      <c r="F41" s="3" t="n">
        <v>9</v>
      </c>
      <c r="G41" s="3" t="n">
        <v>8</v>
      </c>
      <c r="H41" s="3" t="n">
        <v>7.5</v>
      </c>
      <c r="I41" s="3" t="n">
        <v>7</v>
      </c>
      <c r="J41" s="3" t="n">
        <v>6</v>
      </c>
      <c r="K41" s="3" t="n">
        <v>5.5</v>
      </c>
      <c r="L41" s="3" t="n">
        <v>5.5</v>
      </c>
    </row>
    <row r="42" customFormat="false" ht="15" hidden="false" customHeight="false" outlineLevel="0" collapsed="false">
      <c r="A42" s="0" t="s">
        <v>110</v>
      </c>
      <c r="C42" s="3" t="n">
        <v>24.6</v>
      </c>
      <c r="D42" s="3" t="n">
        <v>25.8</v>
      </c>
      <c r="E42" s="3" t="n">
        <v>27</v>
      </c>
      <c r="F42" s="3" t="n">
        <v>27.8</v>
      </c>
      <c r="G42" s="3" t="n">
        <v>28.3</v>
      </c>
      <c r="H42" s="3" t="n">
        <v>28.5</v>
      </c>
      <c r="I42" s="3" t="n">
        <v>28.5</v>
      </c>
      <c r="J42" s="3" t="n">
        <v>28.5</v>
      </c>
      <c r="K42" s="3" t="n">
        <v>28.5</v>
      </c>
      <c r="L42" s="3" t="n">
        <v>28.5</v>
      </c>
    </row>
    <row r="43" customFormat="false" ht="15" hidden="false" customHeight="false" outlineLevel="0" collapsed="false">
      <c r="A43" s="0" t="s">
        <v>111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113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114</v>
      </c>
      <c r="C46" s="3" t="n">
        <v>11.95</v>
      </c>
      <c r="D46" s="3" t="n">
        <v>10.96</v>
      </c>
      <c r="E46" s="3" t="n">
        <v>10.46</v>
      </c>
      <c r="F46" s="3" t="n">
        <v>9.96</v>
      </c>
      <c r="G46" s="3" t="n">
        <v>8.93</v>
      </c>
      <c r="H46" s="3" t="n">
        <v>8.41</v>
      </c>
      <c r="I46" s="3" t="n">
        <v>7.89</v>
      </c>
      <c r="J46" s="3" t="n">
        <v>6.83</v>
      </c>
      <c r="K46" s="3" t="n">
        <v>6.29</v>
      </c>
      <c r="L46" s="3" t="n">
        <v>6.29</v>
      </c>
    </row>
    <row r="47" customFormat="false" ht="15" hidden="false" customHeight="false" outlineLevel="0" collapsed="false">
      <c r="A47" s="0" t="s">
        <v>115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116</v>
      </c>
      <c r="B48" s="3" t="n">
        <v>16</v>
      </c>
    </row>
    <row r="49" customFormat="false" ht="15" hidden="false" customHeight="false" outlineLevel="0" collapsed="false">
      <c r="A49" s="0" t="s">
        <v>117</v>
      </c>
      <c r="B49" s="3" t="n">
        <v>5.5</v>
      </c>
    </row>
    <row r="50" customFormat="false" ht="15" hidden="false" customHeight="false" outlineLevel="0" collapsed="false">
      <c r="A50" s="0" t="s">
        <v>118</v>
      </c>
      <c r="B50" s="3" t="n">
        <v>12</v>
      </c>
    </row>
    <row r="51" customFormat="false" ht="15" hidden="false" customHeight="false" outlineLevel="0" collapsed="false">
      <c r="A51" s="0" t="s">
        <v>119</v>
      </c>
      <c r="B51" s="3" t="n">
        <v>0</v>
      </c>
    </row>
    <row r="52" customFormat="false" ht="15" hidden="false" customHeight="false" outlineLevel="0" collapsed="false">
      <c r="A52" s="0" t="s">
        <v>120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123</v>
      </c>
    </row>
    <row r="3" customFormat="false" ht="15" hidden="false" customHeight="false" outlineLevel="0" collapsed="false">
      <c r="A3" s="0" t="s">
        <v>124</v>
      </c>
      <c r="B3" s="0" t="s">
        <v>94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Assumptions!C13</f>
        <v>7</v>
      </c>
      <c r="D5" s="4" t="n">
        <f aca="false">Assumptions!D13</f>
        <v>6</v>
      </c>
      <c r="E5" s="4" t="n">
        <f aca="false">Assumptions!E13</f>
        <v>5.5</v>
      </c>
      <c r="F5" s="4" t="n">
        <f aca="false">Assumptions!F13</f>
        <v>5.5</v>
      </c>
      <c r="G5" s="4" t="n">
        <f aca="false">Assumptions!G13</f>
        <v>5</v>
      </c>
      <c r="H5" s="4" t="n">
        <f aca="false">Assumptions!H13</f>
        <v>5</v>
      </c>
      <c r="I5" s="4" t="n">
        <f aca="false">Assumptions!I13</f>
        <v>4.5</v>
      </c>
      <c r="J5" s="4" t="n">
        <f aca="false">Assumptions!J13</f>
        <v>4.5</v>
      </c>
      <c r="K5" s="4" t="n">
        <f aca="false">Assumptions!K13</f>
        <v>4</v>
      </c>
      <c r="L5" s="4" t="n">
        <f aca="false">Assumptions!L13</f>
        <v>4</v>
      </c>
    </row>
    <row r="6" customFormat="false" ht="15" hidden="false" customHeight="false" outlineLevel="0" collapsed="false">
      <c r="A6" s="0" t="s">
        <v>38</v>
      </c>
      <c r="B6" s="3" t="n">
        <v>145271</v>
      </c>
      <c r="C6" s="0" t="n">
        <f aca="false">B6*(1+C5/100)</f>
        <v>155439.97</v>
      </c>
      <c r="D6" s="0" t="n">
        <f aca="false">C6*(1+D5/100)</f>
        <v>164766.3682</v>
      </c>
      <c r="E6" s="0" t="n">
        <f aca="false">D6*(1+E5/100)</f>
        <v>173828.518451</v>
      </c>
      <c r="F6" s="0" t="n">
        <f aca="false">E6*(1+F5/100)</f>
        <v>183389.086965805</v>
      </c>
      <c r="G6" s="0" t="n">
        <f aca="false">F6*(1+G5/100)</f>
        <v>192558.541314095</v>
      </c>
      <c r="H6" s="0" t="n">
        <f aca="false">G6*(1+H5/100)</f>
        <v>202186.4683798</v>
      </c>
      <c r="I6" s="0" t="n">
        <f aca="false">H6*(1+I5/100)</f>
        <v>211284.859456891</v>
      </c>
      <c r="J6" s="0" t="n">
        <f aca="false">I6*(1+J5/100)</f>
        <v>220792.678132451</v>
      </c>
      <c r="K6" s="0" t="n">
        <f aca="false">J6*(1+K5/100)</f>
        <v>229624.385257749</v>
      </c>
      <c r="L6" s="0" t="n">
        <f aca="false">K6*(1+L5/100)</f>
        <v>238809.360668059</v>
      </c>
    </row>
    <row r="7" customFormat="false" ht="15" hidden="false" customHeight="false" outlineLevel="0" collapsed="false">
      <c r="A7" s="0" t="s">
        <v>110</v>
      </c>
      <c r="C7" s="4" t="n">
        <f aca="false">Assumptions!C14</f>
        <v>22</v>
      </c>
      <c r="D7" s="4" t="n">
        <f aca="false">Assumptions!D14</f>
        <v>21</v>
      </c>
      <c r="E7" s="4" t="n">
        <f aca="false">Assumptions!E14</f>
        <v>21.5</v>
      </c>
      <c r="F7" s="4" t="n">
        <f aca="false">Assumptions!F14</f>
        <v>22</v>
      </c>
      <c r="G7" s="4" t="n">
        <f aca="false">Assumptions!G14</f>
        <v>22</v>
      </c>
      <c r="H7" s="4" t="n">
        <f aca="false">Assumptions!H14</f>
        <v>22</v>
      </c>
      <c r="I7" s="4" t="n">
        <f aca="false">Assumptions!I14</f>
        <v>22</v>
      </c>
      <c r="J7" s="4" t="n">
        <f aca="false">Assumptions!J14</f>
        <v>22</v>
      </c>
      <c r="K7" s="4" t="n">
        <f aca="false">Assumptions!K14</f>
        <v>22</v>
      </c>
      <c r="L7" s="4" t="n">
        <f aca="false">Assumptions!L14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34196.7934</v>
      </c>
      <c r="D8" s="0" t="n">
        <f aca="false">D6*D7/100</f>
        <v>34600.937322</v>
      </c>
      <c r="E8" s="0" t="n">
        <f aca="false">E6*E7/100</f>
        <v>37373.131466965</v>
      </c>
      <c r="F8" s="0" t="n">
        <f aca="false">F6*F7/100</f>
        <v>40345.5991324771</v>
      </c>
      <c r="G8" s="0" t="n">
        <f aca="false">G6*G7/100</f>
        <v>42362.879089101</v>
      </c>
      <c r="H8" s="0" t="n">
        <f aca="false">H6*H7/100</f>
        <v>44481.023043556</v>
      </c>
      <c r="I8" s="0" t="n">
        <f aca="false">I6*I7/100</f>
        <v>46482.669080516</v>
      </c>
      <c r="J8" s="0" t="n">
        <f aca="false">J6*J7/100</f>
        <v>48574.3891891392</v>
      </c>
      <c r="K8" s="0" t="n">
        <f aca="false">K6*K7/100</f>
        <v>50517.3647567048</v>
      </c>
      <c r="L8" s="0" t="n">
        <f aca="false">L6*L7/100</f>
        <v>52538.059346973</v>
      </c>
    </row>
    <row r="9" customFormat="false" ht="15" hidden="false" customHeight="false" outlineLevel="0" collapsed="false">
      <c r="A9" s="0" t="s">
        <v>111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34196.7934</v>
      </c>
      <c r="D11" s="0" t="n">
        <f aca="false">D8+D10+D24</f>
        <v>34600.937322</v>
      </c>
      <c r="E11" s="0" t="n">
        <f aca="false">E8+E10+E24</f>
        <v>37373.131466965</v>
      </c>
      <c r="F11" s="0" t="n">
        <f aca="false">F8+F10+F24</f>
        <v>40345.5991324771</v>
      </c>
      <c r="G11" s="0" t="n">
        <f aca="false">G8+G10+G24</f>
        <v>42362.879089101</v>
      </c>
      <c r="H11" s="0" t="n">
        <f aca="false">H8+H10+H24</f>
        <v>44481.023043556</v>
      </c>
      <c r="I11" s="0" t="n">
        <f aca="false">I8+I10+I24</f>
        <v>46482.669080516</v>
      </c>
      <c r="J11" s="0" t="n">
        <f aca="false">J8+J10+J24</f>
        <v>48574.3891891392</v>
      </c>
      <c r="K11" s="0" t="n">
        <f aca="false">K8+K10+K24</f>
        <v>50517.3647567048</v>
      </c>
      <c r="L11" s="0" t="n">
        <f aca="false">L8+L10+L24</f>
        <v>52538.059346973</v>
      </c>
    </row>
    <row r="12" customFormat="false" ht="15" hidden="false" customHeight="false" outlineLevel="0" collapsed="false">
      <c r="A12" s="0" t="s">
        <v>128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34196.7934</v>
      </c>
      <c r="D13" s="0" t="n">
        <f aca="false">D11+D12</f>
        <v>34600.937322</v>
      </c>
      <c r="E13" s="0" t="n">
        <f aca="false">E11+E12</f>
        <v>37373.131466965</v>
      </c>
      <c r="F13" s="0" t="n">
        <f aca="false">F11+F12</f>
        <v>40345.5991324771</v>
      </c>
      <c r="G13" s="0" t="n">
        <f aca="false">G11+G12</f>
        <v>42362.879089101</v>
      </c>
      <c r="H13" s="0" t="n">
        <f aca="false">H11+H12</f>
        <v>44481.023043556</v>
      </c>
      <c r="I13" s="0" t="n">
        <f aca="false">I11+I12</f>
        <v>46482.669080516</v>
      </c>
      <c r="J13" s="0" t="n">
        <f aca="false">J11+J12</f>
        <v>48574.3891891392</v>
      </c>
      <c r="K13" s="0" t="n">
        <f aca="false">K11+K12</f>
        <v>50517.3647567048</v>
      </c>
      <c r="L13" s="0" t="n">
        <f aca="false">L11+L12</f>
        <v>52538.059346973</v>
      </c>
    </row>
    <row r="14" customFormat="false" ht="15" hidden="false" customHeight="false" outlineLevel="0" collapsed="false">
      <c r="A14" s="0" t="s">
        <v>115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25989.562984</v>
      </c>
      <c r="D15" s="0" t="n">
        <f aca="false">D13-MAX(0,D13)*D14/100</f>
        <v>26296.71236472</v>
      </c>
      <c r="E15" s="0" t="n">
        <f aca="false">E13-MAX(0,E13)*E14/100</f>
        <v>28403.5799148934</v>
      </c>
      <c r="F15" s="0" t="n">
        <f aca="false">F13-MAX(0,F13)*F14/100</f>
        <v>30662.6553406826</v>
      </c>
      <c r="G15" s="0" t="n">
        <f aca="false">G13-MAX(0,G13)*G14/100</f>
        <v>32195.7881077167</v>
      </c>
      <c r="H15" s="0" t="n">
        <f aca="false">H13-MAX(0,H13)*H14/100</f>
        <v>33805.5775131026</v>
      </c>
      <c r="I15" s="0" t="n">
        <f aca="false">I13-MAX(0,I13)*I14/100</f>
        <v>35326.8285011922</v>
      </c>
      <c r="J15" s="0" t="n">
        <f aca="false">J13-MAX(0,J13)*J14/100</f>
        <v>36916.5357837458</v>
      </c>
      <c r="K15" s="0" t="n">
        <f aca="false">K13-MAX(0,K13)*K14/100</f>
        <v>38393.1972150957</v>
      </c>
      <c r="L15" s="0" t="n">
        <f aca="false">L13-MAX(0,L13)*L14/100</f>
        <v>39928.9251036995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-C6*Assumptions!C18/100</f>
        <v>-12264.213633</v>
      </c>
      <c r="D17" s="4" t="n">
        <f aca="false">-D6*Assumptions!D18/100</f>
        <v>-11253.54294806</v>
      </c>
      <c r="E17" s="4" t="n">
        <f aca="false">-E6*Assumptions!E18/100</f>
        <v>-10933.8138105679</v>
      </c>
      <c r="F17" s="4" t="n">
        <f aca="false">-F6*Assumptions!F18/100</f>
        <v>-11535.1735701491</v>
      </c>
      <c r="G17" s="4" t="n">
        <f aca="false">-G6*Assumptions!G18/100</f>
        <v>-11052.8602714291</v>
      </c>
      <c r="H17" s="4" t="n">
        <f aca="false">-H6*Assumptions!H18/100</f>
        <v>-11605.5032850005</v>
      </c>
      <c r="I17" s="4" t="n">
        <f aca="false">-I6*Assumptions!I18/100</f>
        <v>-10965.6842058126</v>
      </c>
      <c r="J17" s="4" t="n">
        <f aca="false">-J6*Assumptions!J18/100</f>
        <v>-11459.1399950742</v>
      </c>
      <c r="K17" s="4" t="n">
        <f aca="false">-K6*Assumptions!K18/100</f>
        <v>-10654.5714759596</v>
      </c>
      <c r="L17" s="4" t="n">
        <f aca="false">-L6*Assumptions!L18/100</f>
        <v>-11080.7543349979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13725.349351</v>
      </c>
      <c r="D19" s="0" t="n">
        <f aca="false">D15+D16+D17+D18</f>
        <v>15043.16941666</v>
      </c>
      <c r="E19" s="0" t="n">
        <f aca="false">E15+E16+E17+E18</f>
        <v>17469.7661043255</v>
      </c>
      <c r="F19" s="0" t="n">
        <f aca="false">F15+F16+F17+F18</f>
        <v>19127.4817705335</v>
      </c>
      <c r="G19" s="0" t="n">
        <f aca="false">G15+G16+G17+G18</f>
        <v>21142.9278362877</v>
      </c>
      <c r="H19" s="0" t="n">
        <f aca="false">H15+H16+H17+H18</f>
        <v>22200.074228102</v>
      </c>
      <c r="I19" s="0" t="n">
        <f aca="false">I15+I16+I17+I18</f>
        <v>24361.1442953795</v>
      </c>
      <c r="J19" s="0" t="n">
        <f aca="false">J15+J16+J17+J18</f>
        <v>25457.3957886716</v>
      </c>
      <c r="K19" s="0" t="n">
        <f aca="false">K15+K16+K17+K18</f>
        <v>27738.6257391361</v>
      </c>
      <c r="L19" s="0" t="n">
        <f aca="false">L15+L16+L17+L18</f>
        <v>28848.1707687015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0.862068965517241</v>
      </c>
      <c r="D20" s="0" t="n">
        <f aca="false">1/(1+$B$27/100)^D4</f>
        <v>0.743162901307967</v>
      </c>
      <c r="E20" s="0" t="n">
        <f aca="false">1/(1+$B$27/100)^E4</f>
        <v>0.640657673541351</v>
      </c>
      <c r="F20" s="0" t="n">
        <f aca="false">1/(1+$B$27/100)^F4</f>
        <v>0.552291097880475</v>
      </c>
      <c r="G20" s="0" t="n">
        <f aca="false">1/(1+$B$27/100)^G4</f>
        <v>0.476113015414203</v>
      </c>
      <c r="H20" s="0" t="n">
        <f aca="false">1/(1+$B$27/100)^H4</f>
        <v>0.410442254667416</v>
      </c>
      <c r="I20" s="0" t="n">
        <f aca="false">1/(1+$B$27/100)^I4</f>
        <v>0.353829529885703</v>
      </c>
      <c r="J20" s="0" t="n">
        <f aca="false">1/(1+$B$27/100)^J4</f>
        <v>0.30502545679802</v>
      </c>
      <c r="K20" s="0" t="n">
        <f aca="false">1/(1+$B$27/100)^K4</f>
        <v>0.262952979998293</v>
      </c>
      <c r="L20" s="0" t="n">
        <f aca="false">1/(1+$B$27/100)^L4</f>
        <v>0.226683603446805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11832.1977163793</v>
      </c>
      <c r="D21" s="0" t="n">
        <f aca="false">D19*D20</f>
        <v>11179.5254285523</v>
      </c>
      <c r="E21" s="0" t="n">
        <f aca="false">E19*E20</f>
        <v>11192.1397097087</v>
      </c>
      <c r="F21" s="0" t="n">
        <f aca="false">F19*F20</f>
        <v>10563.9379067367</v>
      </c>
      <c r="G21" s="0" t="n">
        <f aca="false">G19*G20</f>
        <v>10066.4231268198</v>
      </c>
      <c r="H21" s="0" t="n">
        <f aca="false">H19*H20</f>
        <v>9111.84851996619</v>
      </c>
      <c r="I21" s="0" t="n">
        <f aca="false">I19*I20</f>
        <v>8619.69223351193</v>
      </c>
      <c r="J21" s="0" t="n">
        <f aca="false">J19*J20</f>
        <v>7765.15377932755</v>
      </c>
      <c r="K21" s="0" t="n">
        <f aca="false">K19*K20</f>
        <v>7293.9542991632</v>
      </c>
      <c r="L21" s="0" t="n">
        <f aca="false">L19*L20</f>
        <v>6539.40730269804</v>
      </c>
    </row>
    <row r="23" customFormat="false" ht="15" hidden="false" customHeight="false" outlineLevel="0" collapsed="false">
      <c r="A23" s="0" t="s">
        <v>112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Assumptions!$B$20</f>
        <v>16</v>
      </c>
    </row>
    <row r="28" customFormat="false" ht="15" hidden="false" customHeight="false" outlineLevel="0" collapsed="false">
      <c r="A28" s="0" t="s">
        <v>117</v>
      </c>
      <c r="B28" s="4" t="n">
        <f aca="false">Assumptions!$B$21</f>
        <v>4</v>
      </c>
    </row>
    <row r="29" customFormat="false" ht="15" hidden="false" customHeight="false" outlineLevel="0" collapsed="false">
      <c r="A29" s="0" t="s">
        <v>118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94164.2800228638</v>
      </c>
    </row>
    <row r="31" customFormat="false" ht="15" hidden="false" customHeight="false" outlineLevel="0" collapsed="false">
      <c r="A31" s="0" t="s">
        <v>140</v>
      </c>
      <c r="B31" s="0" t="n">
        <f aca="false">L19</f>
        <v>28848.1707687015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250017.479995413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346178.049224419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250017.479995413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56674.8632900497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150839.143312913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150839.143312913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2.73080289930274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-0.251834822108839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2.73080289930274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17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230785.366149612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2.50316461299659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0" t="s">
        <v>124</v>
      </c>
      <c r="B3" s="0" t="s">
        <v>94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Assumptions!C27</f>
        <v>9.5</v>
      </c>
      <c r="D5" s="4" t="n">
        <f aca="false">Assumptions!D27</f>
        <v>8.5</v>
      </c>
      <c r="E5" s="4" t="n">
        <f aca="false">Assumptions!E27</f>
        <v>8</v>
      </c>
      <c r="F5" s="4" t="n">
        <f aca="false">Assumptions!F27</f>
        <v>7.5</v>
      </c>
      <c r="G5" s="4" t="n">
        <f aca="false">Assumptions!G27</f>
        <v>7</v>
      </c>
      <c r="H5" s="4" t="n">
        <f aca="false">Assumptions!H27</f>
        <v>6.5</v>
      </c>
      <c r="I5" s="4" t="n">
        <f aca="false">Assumptions!I27</f>
        <v>6</v>
      </c>
      <c r="J5" s="4" t="n">
        <f aca="false">Assumptions!J27</f>
        <v>5.5</v>
      </c>
      <c r="K5" s="4" t="n">
        <f aca="false">Assumptions!K27</f>
        <v>5</v>
      </c>
      <c r="L5" s="4" t="n">
        <f aca="false">Assumptions!L27</f>
        <v>5</v>
      </c>
    </row>
    <row r="6" customFormat="false" ht="15" hidden="false" customHeight="false" outlineLevel="0" collapsed="false">
      <c r="A6" s="0" t="s">
        <v>38</v>
      </c>
      <c r="B6" s="3" t="n">
        <v>145271</v>
      </c>
      <c r="C6" s="0" t="n">
        <f aca="false">B6*(1+C5/100)</f>
        <v>159071.745</v>
      </c>
      <c r="D6" s="0" t="n">
        <f aca="false">C6*(1+D5/100)</f>
        <v>172592.843325</v>
      </c>
      <c r="E6" s="0" t="n">
        <f aca="false">D6*(1+E5/100)</f>
        <v>186400.270791</v>
      </c>
      <c r="F6" s="0" t="n">
        <f aca="false">E6*(1+F5/100)</f>
        <v>200380.291100325</v>
      </c>
      <c r="G6" s="0" t="n">
        <f aca="false">F6*(1+G5/100)</f>
        <v>214406.911477348</v>
      </c>
      <c r="H6" s="0" t="n">
        <f aca="false">G6*(1+H5/100)</f>
        <v>228343.360723375</v>
      </c>
      <c r="I6" s="0" t="n">
        <f aca="false">H6*(1+I5/100)</f>
        <v>242043.962366778</v>
      </c>
      <c r="J6" s="0" t="n">
        <f aca="false">I6*(1+J5/100)</f>
        <v>255356.380296951</v>
      </c>
      <c r="K6" s="0" t="n">
        <f aca="false">J6*(1+K5/100)</f>
        <v>268124.199311798</v>
      </c>
      <c r="L6" s="0" t="n">
        <f aca="false">K6*(1+L5/100)</f>
        <v>281530.409277388</v>
      </c>
    </row>
    <row r="7" customFormat="false" ht="15" hidden="false" customHeight="false" outlineLevel="0" collapsed="false">
      <c r="A7" s="0" t="s">
        <v>110</v>
      </c>
      <c r="C7" s="4" t="n">
        <f aca="false">Assumptions!C28</f>
        <v>24.1</v>
      </c>
      <c r="D7" s="4" t="n">
        <f aca="false">Assumptions!D28</f>
        <v>24.6</v>
      </c>
      <c r="E7" s="4" t="n">
        <f aca="false">Assumptions!E28</f>
        <v>25.1</v>
      </c>
      <c r="F7" s="4" t="n">
        <f aca="false">Assumptions!F28</f>
        <v>25.4</v>
      </c>
      <c r="G7" s="4" t="n">
        <f aca="false">Assumptions!G28</f>
        <v>25.6</v>
      </c>
      <c r="H7" s="4" t="n">
        <f aca="false">Assumptions!H28</f>
        <v>25.6</v>
      </c>
      <c r="I7" s="4" t="n">
        <f aca="false">Assumptions!I28</f>
        <v>25.6</v>
      </c>
      <c r="J7" s="4" t="n">
        <f aca="false">Assumptions!J28</f>
        <v>25.6</v>
      </c>
      <c r="K7" s="4" t="n">
        <f aca="false">Assumptions!K28</f>
        <v>25.6</v>
      </c>
      <c r="L7" s="4" t="n">
        <f aca="false">Assumptions!L28</f>
        <v>25.6</v>
      </c>
    </row>
    <row r="8" customFormat="false" ht="15" hidden="false" customHeight="false" outlineLevel="0" collapsed="false">
      <c r="A8" s="0" t="s">
        <v>44</v>
      </c>
      <c r="C8" s="0" t="n">
        <f aca="false">C6*C7/100</f>
        <v>38336.290545</v>
      </c>
      <c r="D8" s="0" t="n">
        <f aca="false">D6*D7/100</f>
        <v>42457.83945795</v>
      </c>
      <c r="E8" s="0" t="n">
        <f aca="false">E6*E7/100</f>
        <v>46786.467968541</v>
      </c>
      <c r="F8" s="0" t="n">
        <f aca="false">F6*F7/100</f>
        <v>50896.5939394826</v>
      </c>
      <c r="G8" s="0" t="n">
        <f aca="false">G6*G7/100</f>
        <v>54888.169338201</v>
      </c>
      <c r="H8" s="0" t="n">
        <f aca="false">H6*H7/100</f>
        <v>58455.9003451841</v>
      </c>
      <c r="I8" s="0" t="n">
        <f aca="false">I6*I7/100</f>
        <v>61963.2543658952</v>
      </c>
      <c r="J8" s="0" t="n">
        <f aca="false">J6*J7/100</f>
        <v>65371.2333560194</v>
      </c>
      <c r="K8" s="0" t="n">
        <f aca="false">K6*K7/100</f>
        <v>68639.7950238204</v>
      </c>
      <c r="L8" s="0" t="n">
        <f aca="false">L6*L7/100</f>
        <v>72071.7847750114</v>
      </c>
    </row>
    <row r="9" customFormat="false" ht="15" hidden="false" customHeight="false" outlineLevel="0" collapsed="false">
      <c r="A9" s="0" t="s">
        <v>111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38336.290545</v>
      </c>
      <c r="D11" s="0" t="n">
        <f aca="false">D8+D10+D24</f>
        <v>42457.83945795</v>
      </c>
      <c r="E11" s="0" t="n">
        <f aca="false">E8+E10+E24</f>
        <v>46786.467968541</v>
      </c>
      <c r="F11" s="0" t="n">
        <f aca="false">F8+F10+F24</f>
        <v>50896.5939394826</v>
      </c>
      <c r="G11" s="0" t="n">
        <f aca="false">G8+G10+G24</f>
        <v>54888.169338201</v>
      </c>
      <c r="H11" s="0" t="n">
        <f aca="false">H8+H10+H24</f>
        <v>58455.9003451841</v>
      </c>
      <c r="I11" s="0" t="n">
        <f aca="false">I8+I10+I24</f>
        <v>61963.2543658952</v>
      </c>
      <c r="J11" s="0" t="n">
        <f aca="false">J8+J10+J24</f>
        <v>65371.2333560194</v>
      </c>
      <c r="K11" s="0" t="n">
        <f aca="false">K8+K10+K24</f>
        <v>68639.7950238204</v>
      </c>
      <c r="L11" s="0" t="n">
        <f aca="false">L8+L10+L24</f>
        <v>72071.7847750114</v>
      </c>
    </row>
    <row r="12" customFormat="false" ht="15" hidden="false" customHeight="false" outlineLevel="0" collapsed="false">
      <c r="A12" s="0" t="s">
        <v>128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38336.290545</v>
      </c>
      <c r="D13" s="0" t="n">
        <f aca="false">D11+D12</f>
        <v>42457.83945795</v>
      </c>
      <c r="E13" s="0" t="n">
        <f aca="false">E11+E12</f>
        <v>46786.467968541</v>
      </c>
      <c r="F13" s="0" t="n">
        <f aca="false">F11+F12</f>
        <v>50896.5939394826</v>
      </c>
      <c r="G13" s="0" t="n">
        <f aca="false">G11+G12</f>
        <v>54888.169338201</v>
      </c>
      <c r="H13" s="0" t="n">
        <f aca="false">H11+H12</f>
        <v>58455.9003451841</v>
      </c>
      <c r="I13" s="0" t="n">
        <f aca="false">I11+I12</f>
        <v>61963.2543658952</v>
      </c>
      <c r="J13" s="0" t="n">
        <f aca="false">J11+J12</f>
        <v>65371.2333560194</v>
      </c>
      <c r="K13" s="0" t="n">
        <f aca="false">K11+K12</f>
        <v>68639.7950238204</v>
      </c>
      <c r="L13" s="0" t="n">
        <f aca="false">L11+L12</f>
        <v>72071.7847750114</v>
      </c>
    </row>
    <row r="14" customFormat="false" ht="15" hidden="false" customHeight="false" outlineLevel="0" collapsed="false">
      <c r="A14" s="0" t="s">
        <v>115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29135.5808142</v>
      </c>
      <c r="D15" s="0" t="n">
        <f aca="false">D13-MAX(0,D13)*D14/100</f>
        <v>32267.957988042</v>
      </c>
      <c r="E15" s="0" t="n">
        <f aca="false">E13-MAX(0,E13)*E14/100</f>
        <v>35557.7156560912</v>
      </c>
      <c r="F15" s="0" t="n">
        <f aca="false">F13-MAX(0,F13)*F14/100</f>
        <v>38681.4113940067</v>
      </c>
      <c r="G15" s="0" t="n">
        <f aca="false">G13-MAX(0,G13)*G14/100</f>
        <v>41715.0086970328</v>
      </c>
      <c r="H15" s="0" t="n">
        <f aca="false">H13-MAX(0,H13)*H14/100</f>
        <v>44426.4842623399</v>
      </c>
      <c r="I15" s="0" t="n">
        <f aca="false">I13-MAX(0,I13)*I14/100</f>
        <v>47092.0733180803</v>
      </c>
      <c r="J15" s="0" t="n">
        <f aca="false">J13-MAX(0,J13)*J14/100</f>
        <v>49682.1373505747</v>
      </c>
      <c r="K15" s="0" t="n">
        <f aca="false">K13-MAX(0,K13)*K14/100</f>
        <v>52166.2442181035</v>
      </c>
      <c r="L15" s="0" t="n">
        <f aca="false">L13-MAX(0,L13)*L14/100</f>
        <v>54774.5564290086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-C6*Assumptions!C32/100</f>
        <v>-16638.904527</v>
      </c>
      <c r="D17" s="4" t="n">
        <f aca="false">-D6*Assumptions!D32/100</f>
        <v>-16310.0236942125</v>
      </c>
      <c r="E17" s="4" t="n">
        <f aca="false">-E6*Assumptions!E32/100</f>
        <v>-16645.5441816363</v>
      </c>
      <c r="F17" s="4" t="n">
        <f aca="false">-F6*Assumptions!F32/100</f>
        <v>-16851.9824815373</v>
      </c>
      <c r="G17" s="4" t="n">
        <f aca="false">-G6*Assumptions!G32/100</f>
        <v>-16916.7053155627</v>
      </c>
      <c r="H17" s="4" t="n">
        <f aca="false">-H6*Assumptions!H32/100</f>
        <v>-16806.0713492404</v>
      </c>
      <c r="I17" s="4" t="n">
        <f aca="false">-I6*Assumptions!I32/100</f>
        <v>-16531.6026296509</v>
      </c>
      <c r="J17" s="4" t="n">
        <f aca="false">-J6*Assumptions!J32/100</f>
        <v>-16061.9163206782</v>
      </c>
      <c r="K17" s="4" t="n">
        <f aca="false">-K6*Assumptions!K32/100</f>
        <v>-15390.3290404972</v>
      </c>
      <c r="L17" s="4" t="n">
        <f aca="false">-L6*Assumptions!L32/100</f>
        <v>-16159.8454925221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12496.6762872</v>
      </c>
      <c r="D19" s="0" t="n">
        <f aca="false">D15+D16+D17+D18</f>
        <v>15957.9342938295</v>
      </c>
      <c r="E19" s="0" t="n">
        <f aca="false">E15+E16+E17+E18</f>
        <v>18912.1714744549</v>
      </c>
      <c r="F19" s="0" t="n">
        <f aca="false">F15+F16+F17+F18</f>
        <v>21829.4289124694</v>
      </c>
      <c r="G19" s="0" t="n">
        <f aca="false">G15+G16+G17+G18</f>
        <v>24798.30338147</v>
      </c>
      <c r="H19" s="0" t="n">
        <f aca="false">H15+H16+H17+H18</f>
        <v>27620.4129130995</v>
      </c>
      <c r="I19" s="0" t="n">
        <f aca="false">I15+I16+I17+I18</f>
        <v>30560.4706884294</v>
      </c>
      <c r="J19" s="0" t="n">
        <f aca="false">J15+J16+J17+J18</f>
        <v>33620.2210298965</v>
      </c>
      <c r="K19" s="0" t="n">
        <f aca="false">K15+K16+K17+K18</f>
        <v>36775.9151776063</v>
      </c>
      <c r="L19" s="0" t="n">
        <f aca="false">L15+L16+L17+L18</f>
        <v>38614.7109364866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0.862068965517241</v>
      </c>
      <c r="D20" s="0" t="n">
        <f aca="false">1/(1+$B$27/100)^D4</f>
        <v>0.743162901307967</v>
      </c>
      <c r="E20" s="0" t="n">
        <f aca="false">1/(1+$B$27/100)^E4</f>
        <v>0.640657673541351</v>
      </c>
      <c r="F20" s="0" t="n">
        <f aca="false">1/(1+$B$27/100)^F4</f>
        <v>0.552291097880475</v>
      </c>
      <c r="G20" s="0" t="n">
        <f aca="false">1/(1+$B$27/100)^G4</f>
        <v>0.476113015414203</v>
      </c>
      <c r="H20" s="0" t="n">
        <f aca="false">1/(1+$B$27/100)^H4</f>
        <v>0.410442254667416</v>
      </c>
      <c r="I20" s="0" t="n">
        <f aca="false">1/(1+$B$27/100)^I4</f>
        <v>0.353829529885703</v>
      </c>
      <c r="J20" s="0" t="n">
        <f aca="false">1/(1+$B$27/100)^J4</f>
        <v>0.30502545679802</v>
      </c>
      <c r="K20" s="0" t="n">
        <f aca="false">1/(1+$B$27/100)^K4</f>
        <v>0.262952979998293</v>
      </c>
      <c r="L20" s="0" t="n">
        <f aca="false">1/(1+$B$27/100)^L4</f>
        <v>0.226683603446805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10772.9967993104</v>
      </c>
      <c r="D21" s="0" t="n">
        <f aca="false">D19*D20</f>
        <v>11859.3447486842</v>
      </c>
      <c r="E21" s="0" t="n">
        <f aca="false">E19*E20</f>
        <v>12116.2277784394</v>
      </c>
      <c r="F21" s="0" t="n">
        <f aca="false">F19*F20</f>
        <v>12056.1992601715</v>
      </c>
      <c r="G21" s="0" t="n">
        <f aca="false">G19*G20</f>
        <v>11806.7950001079</v>
      </c>
      <c r="H21" s="0" t="n">
        <f aca="false">H19*H20</f>
        <v>11336.5845508976</v>
      </c>
      <c r="I21" s="0" t="n">
        <f aca="false">I19*I20</f>
        <v>10813.1969767728</v>
      </c>
      <c r="J21" s="0" t="n">
        <f aca="false">J19*J20</f>
        <v>10255.0232772946</v>
      </c>
      <c r="K21" s="0" t="n">
        <f aca="false">K19*K20</f>
        <v>9670.33648811603</v>
      </c>
      <c r="L21" s="0" t="n">
        <f aca="false">L19*L20</f>
        <v>8753.32182113951</v>
      </c>
    </row>
    <row r="23" customFormat="false" ht="15" hidden="false" customHeight="false" outlineLevel="0" collapsed="false">
      <c r="A23" s="0" t="s">
        <v>112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Assumptions!$B$34</f>
        <v>16</v>
      </c>
    </row>
    <row r="28" customFormat="false" ht="15" hidden="false" customHeight="false" outlineLevel="0" collapsed="false">
      <c r="A28" s="0" t="s">
        <v>117</v>
      </c>
      <c r="B28" s="4" t="n">
        <f aca="false">Assumptions!$B$35</f>
        <v>5</v>
      </c>
    </row>
    <row r="29" customFormat="false" ht="15" hidden="false" customHeight="false" outlineLevel="0" collapsed="false">
      <c r="A29" s="0" t="s">
        <v>118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109440.026700934</v>
      </c>
    </row>
    <row r="31" customFormat="false" ht="15" hidden="false" customHeight="false" outlineLevel="0" collapsed="false">
      <c r="A31" s="0" t="s">
        <v>140</v>
      </c>
      <c r="B31" s="0" t="n">
        <f aca="false">L19</f>
        <v>38614.7109364866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368594.968030099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463376.531237839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368594.968030099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83554.4355654226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192994.462266356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192994.462266356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3.49398588145667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-0.0427435941214601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3.49398588145667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17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337878.720694257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3.16653509743862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0" t="s">
        <v>124</v>
      </c>
      <c r="B3" s="0" t="s">
        <v>94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Assumptions!C41</f>
        <v>11</v>
      </c>
      <c r="D5" s="4" t="n">
        <f aca="false">Assumptions!D41</f>
        <v>10</v>
      </c>
      <c r="E5" s="4" t="n">
        <f aca="false">Assumptions!E41</f>
        <v>9.5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7.5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5.5</v>
      </c>
      <c r="L5" s="4" t="n">
        <f aca="false">Assumptions!L41</f>
        <v>5.5</v>
      </c>
    </row>
    <row r="6" customFormat="false" ht="15" hidden="false" customHeight="false" outlineLevel="0" collapsed="false">
      <c r="A6" s="0" t="s">
        <v>38</v>
      </c>
      <c r="B6" s="3" t="n">
        <v>145271</v>
      </c>
      <c r="C6" s="0" t="n">
        <f aca="false">B6*(1+C5/100)</f>
        <v>161250.81</v>
      </c>
      <c r="D6" s="0" t="n">
        <f aca="false">C6*(1+D5/100)</f>
        <v>177375.891</v>
      </c>
      <c r="E6" s="0" t="n">
        <f aca="false">D6*(1+E5/100)</f>
        <v>194226.600645</v>
      </c>
      <c r="F6" s="0" t="n">
        <f aca="false">E6*(1+F5/100)</f>
        <v>211706.99470305</v>
      </c>
      <c r="G6" s="0" t="n">
        <f aca="false">F6*(1+G5/100)</f>
        <v>228643.554279294</v>
      </c>
      <c r="H6" s="0" t="n">
        <f aca="false">G6*(1+H5/100)</f>
        <v>245791.820850241</v>
      </c>
      <c r="I6" s="0" t="n">
        <f aca="false">H6*(1+I5/100)</f>
        <v>262997.248309758</v>
      </c>
      <c r="J6" s="0" t="n">
        <f aca="false">I6*(1+J5/100)</f>
        <v>278777.083208344</v>
      </c>
      <c r="K6" s="0" t="n">
        <f aca="false">J6*(1+K5/100)</f>
        <v>294109.822784802</v>
      </c>
      <c r="L6" s="0" t="n">
        <f aca="false">K6*(1+L5/100)</f>
        <v>310285.863037967</v>
      </c>
    </row>
    <row r="7" customFormat="false" ht="15" hidden="false" customHeight="false" outlineLevel="0" collapsed="false">
      <c r="A7" s="0" t="s">
        <v>110</v>
      </c>
      <c r="C7" s="4" t="n">
        <f aca="false">Assumptions!C42</f>
        <v>24.6</v>
      </c>
      <c r="D7" s="4" t="n">
        <f aca="false">Assumptions!D42</f>
        <v>25.8</v>
      </c>
      <c r="E7" s="4" t="n">
        <f aca="false">Assumptions!E42</f>
        <v>27</v>
      </c>
      <c r="F7" s="4" t="n">
        <f aca="false">Assumptions!F42</f>
        <v>27.8</v>
      </c>
      <c r="G7" s="4" t="n">
        <f aca="false">Assumptions!G42</f>
        <v>28.3</v>
      </c>
      <c r="H7" s="4" t="n">
        <f aca="false">Assumptions!H42</f>
        <v>28.5</v>
      </c>
      <c r="I7" s="4" t="n">
        <f aca="false">Assumptions!I42</f>
        <v>28.5</v>
      </c>
      <c r="J7" s="4" t="n">
        <f aca="false">Assumptions!J42</f>
        <v>28.5</v>
      </c>
      <c r="K7" s="4" t="n">
        <f aca="false">Assumptions!K42</f>
        <v>28.5</v>
      </c>
      <c r="L7" s="4" t="n">
        <f aca="false">Assumptions!L42</f>
        <v>28.5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39667.69926</v>
      </c>
      <c r="D8" s="0" t="n">
        <f aca="false">D6*D7/100</f>
        <v>45762.979878</v>
      </c>
      <c r="E8" s="0" t="n">
        <f aca="false">E6*E7/100</f>
        <v>52441.18217415</v>
      </c>
      <c r="F8" s="0" t="n">
        <f aca="false">F6*F7/100</f>
        <v>58854.5445274479</v>
      </c>
      <c r="G8" s="0" t="n">
        <f aca="false">G6*G7/100</f>
        <v>64706.1258610402</v>
      </c>
      <c r="H8" s="0" t="n">
        <f aca="false">H6*H7/100</f>
        <v>70050.6689423187</v>
      </c>
      <c r="I8" s="0" t="n">
        <f aca="false">I6*I7/100</f>
        <v>74954.215768281</v>
      </c>
      <c r="J8" s="0" t="n">
        <f aca="false">J6*J7/100</f>
        <v>79451.4687143779</v>
      </c>
      <c r="K8" s="0" t="n">
        <f aca="false">K6*K7/100</f>
        <v>83821.2994936687</v>
      </c>
      <c r="L8" s="0" t="n">
        <f aca="false">L6*L7/100</f>
        <v>88431.4709658204</v>
      </c>
    </row>
    <row r="9" customFormat="false" ht="15" hidden="false" customHeight="false" outlineLevel="0" collapsed="false">
      <c r="A9" s="0" t="s">
        <v>111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39667.69926</v>
      </c>
      <c r="D11" s="0" t="n">
        <f aca="false">D8+D10+D24</f>
        <v>45762.979878</v>
      </c>
      <c r="E11" s="0" t="n">
        <f aca="false">E8+E10+E24</f>
        <v>52441.18217415</v>
      </c>
      <c r="F11" s="0" t="n">
        <f aca="false">F8+F10+F24</f>
        <v>58854.5445274479</v>
      </c>
      <c r="G11" s="0" t="n">
        <f aca="false">G8+G10+G24</f>
        <v>64706.1258610402</v>
      </c>
      <c r="H11" s="0" t="n">
        <f aca="false">H8+H10+H24</f>
        <v>70050.6689423187</v>
      </c>
      <c r="I11" s="0" t="n">
        <f aca="false">I8+I10+I24</f>
        <v>74954.215768281</v>
      </c>
      <c r="J11" s="0" t="n">
        <f aca="false">J8+J10+J24</f>
        <v>79451.4687143779</v>
      </c>
      <c r="K11" s="0" t="n">
        <f aca="false">K8+K10+K24</f>
        <v>83821.2994936687</v>
      </c>
      <c r="L11" s="0" t="n">
        <f aca="false">L8+L10+L24</f>
        <v>88431.4709658204</v>
      </c>
    </row>
    <row r="12" customFormat="false" ht="15" hidden="false" customHeight="false" outlineLevel="0" collapsed="false">
      <c r="A12" s="0" t="s">
        <v>128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39667.69926</v>
      </c>
      <c r="D13" s="0" t="n">
        <f aca="false">D11+D12</f>
        <v>45762.979878</v>
      </c>
      <c r="E13" s="0" t="n">
        <f aca="false">E11+E12</f>
        <v>52441.18217415</v>
      </c>
      <c r="F13" s="0" t="n">
        <f aca="false">F11+F12</f>
        <v>58854.5445274479</v>
      </c>
      <c r="G13" s="0" t="n">
        <f aca="false">G11+G12</f>
        <v>64706.1258610402</v>
      </c>
      <c r="H13" s="0" t="n">
        <f aca="false">H11+H12</f>
        <v>70050.6689423187</v>
      </c>
      <c r="I13" s="0" t="n">
        <f aca="false">I11+I12</f>
        <v>74954.215768281</v>
      </c>
      <c r="J13" s="0" t="n">
        <f aca="false">J11+J12</f>
        <v>79451.4687143779</v>
      </c>
      <c r="K13" s="0" t="n">
        <f aca="false">K11+K12</f>
        <v>83821.2994936687</v>
      </c>
      <c r="L13" s="0" t="n">
        <f aca="false">L11+L12</f>
        <v>88431.4709658204</v>
      </c>
    </row>
    <row r="14" customFormat="false" ht="15" hidden="false" customHeight="false" outlineLevel="0" collapsed="false">
      <c r="A14" s="0" t="s">
        <v>115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30147.4514376</v>
      </c>
      <c r="D15" s="0" t="n">
        <f aca="false">D13-MAX(0,D13)*D14/100</f>
        <v>34779.86470728</v>
      </c>
      <c r="E15" s="0" t="n">
        <f aca="false">E13-MAX(0,E13)*E14/100</f>
        <v>39855.298452354</v>
      </c>
      <c r="F15" s="0" t="n">
        <f aca="false">F13-MAX(0,F13)*F14/100</f>
        <v>44729.4538408604</v>
      </c>
      <c r="G15" s="0" t="n">
        <f aca="false">G13-MAX(0,G13)*G14/100</f>
        <v>49176.6556543906</v>
      </c>
      <c r="H15" s="0" t="n">
        <f aca="false">H13-MAX(0,H13)*H14/100</f>
        <v>53238.5083961622</v>
      </c>
      <c r="I15" s="0" t="n">
        <f aca="false">I13-MAX(0,I13)*I14/100</f>
        <v>56965.2039838936</v>
      </c>
      <c r="J15" s="0" t="n">
        <f aca="false">J13-MAX(0,J13)*J14/100</f>
        <v>60383.1162229272</v>
      </c>
      <c r="K15" s="0" t="n">
        <f aca="false">K13-MAX(0,K13)*K14/100</f>
        <v>63704.1876151882</v>
      </c>
      <c r="L15" s="0" t="n">
        <f aca="false">L13-MAX(0,L13)*L14/100</f>
        <v>67207.9179340235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-C6*Assumptions!C46/100</f>
        <v>-19269.471795</v>
      </c>
      <c r="D17" s="4" t="n">
        <f aca="false">-D6*Assumptions!D46/100</f>
        <v>-19440.3976536</v>
      </c>
      <c r="E17" s="4" t="n">
        <f aca="false">-E6*Assumptions!E46/100</f>
        <v>-20316.102427467</v>
      </c>
      <c r="F17" s="4" t="n">
        <f aca="false">-F6*Assumptions!F46/100</f>
        <v>-21086.0166724238</v>
      </c>
      <c r="G17" s="4" t="n">
        <f aca="false">-G6*Assumptions!G46/100</f>
        <v>-20417.869397141</v>
      </c>
      <c r="H17" s="4" t="n">
        <f aca="false">-H6*Assumptions!H46/100</f>
        <v>-20671.0921335053</v>
      </c>
      <c r="I17" s="4" t="n">
        <f aca="false">-I6*Assumptions!I46/100</f>
        <v>-20750.4828916399</v>
      </c>
      <c r="J17" s="4" t="n">
        <f aca="false">-J6*Assumptions!J46/100</f>
        <v>-19040.4747831299</v>
      </c>
      <c r="K17" s="4" t="n">
        <f aca="false">-K6*Assumptions!K46/100</f>
        <v>-18499.5078531641</v>
      </c>
      <c r="L17" s="4" t="n">
        <f aca="false">-L6*Assumptions!L46/100</f>
        <v>-19516.9807850881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10877.9796426</v>
      </c>
      <c r="D19" s="0" t="n">
        <f aca="false">D15+D16+D17+D18</f>
        <v>15339.46705368</v>
      </c>
      <c r="E19" s="0" t="n">
        <f aca="false">E15+E16+E17+E18</f>
        <v>19539.196024887</v>
      </c>
      <c r="F19" s="0" t="n">
        <f aca="false">F15+F16+F17+F18</f>
        <v>23643.4371684366</v>
      </c>
      <c r="G19" s="0" t="n">
        <f aca="false">G15+G16+G17+G18</f>
        <v>28758.7862572496</v>
      </c>
      <c r="H19" s="0" t="n">
        <f aca="false">H15+H16+H17+H18</f>
        <v>32567.4162626569</v>
      </c>
      <c r="I19" s="0" t="n">
        <f aca="false">I15+I16+I17+I18</f>
        <v>36214.7210922537</v>
      </c>
      <c r="J19" s="0" t="n">
        <f aca="false">J15+J16+J17+J18</f>
        <v>41342.6414397973</v>
      </c>
      <c r="K19" s="0" t="n">
        <f aca="false">K15+K16+K17+K18</f>
        <v>45204.6797620241</v>
      </c>
      <c r="L19" s="0" t="n">
        <f aca="false">L15+L16+L17+L18</f>
        <v>47690.9371489354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0.862068965517241</v>
      </c>
      <c r="D20" s="0" t="n">
        <f aca="false">1/(1+$B$27/100)^D4</f>
        <v>0.743162901307967</v>
      </c>
      <c r="E20" s="0" t="n">
        <f aca="false">1/(1+$B$27/100)^E4</f>
        <v>0.640657673541351</v>
      </c>
      <c r="F20" s="0" t="n">
        <f aca="false">1/(1+$B$27/100)^F4</f>
        <v>0.552291097880475</v>
      </c>
      <c r="G20" s="0" t="n">
        <f aca="false">1/(1+$B$27/100)^G4</f>
        <v>0.476113015414203</v>
      </c>
      <c r="H20" s="0" t="n">
        <f aca="false">1/(1+$B$27/100)^H4</f>
        <v>0.410442254667416</v>
      </c>
      <c r="I20" s="0" t="n">
        <f aca="false">1/(1+$B$27/100)^I4</f>
        <v>0.353829529885703</v>
      </c>
      <c r="J20" s="0" t="n">
        <f aca="false">1/(1+$B$27/100)^J4</f>
        <v>0.30502545679802</v>
      </c>
      <c r="K20" s="0" t="n">
        <f aca="false">1/(1+$B$27/100)^K4</f>
        <v>0.262952979998293</v>
      </c>
      <c r="L20" s="0" t="n">
        <f aca="false">1/(1+$B$27/100)^L4</f>
        <v>0.226683603446805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9377.5686574138</v>
      </c>
      <c r="D21" s="0" t="n">
        <f aca="false">D19*D20</f>
        <v>11399.7228401308</v>
      </c>
      <c r="E21" s="0" t="n">
        <f aca="false">E19*E20</f>
        <v>12517.9358681725</v>
      </c>
      <c r="F21" s="0" t="n">
        <f aca="false">F19*F20</f>
        <v>13058.0598714239</v>
      </c>
      <c r="G21" s="0" t="n">
        <f aca="false">G19*G20</f>
        <v>13692.4324445916</v>
      </c>
      <c r="H21" s="0" t="n">
        <f aca="false">H19*H20</f>
        <v>13367.0437595372</v>
      </c>
      <c r="I21" s="0" t="n">
        <f aca="false">I19*I20</f>
        <v>12813.837739014</v>
      </c>
      <c r="J21" s="0" t="n">
        <f aca="false">J19*J20</f>
        <v>12610.5580904109</v>
      </c>
      <c r="K21" s="0" t="n">
        <f aca="false">K19*K20</f>
        <v>11886.7052532928</v>
      </c>
      <c r="L21" s="0" t="n">
        <f aca="false">L19*L20</f>
        <v>10810.7534846758</v>
      </c>
    </row>
    <row r="23" customFormat="false" ht="15" hidden="false" customHeight="false" outlineLevel="0" collapsed="false">
      <c r="A23" s="0" t="s">
        <v>112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Assumptions!$B$48</f>
        <v>16</v>
      </c>
    </row>
    <row r="28" customFormat="false" ht="15" hidden="false" customHeight="false" outlineLevel="0" collapsed="false">
      <c r="A28" s="0" t="s">
        <v>117</v>
      </c>
      <c r="B28" s="4" t="n">
        <f aca="false">Assumptions!$B$49</f>
        <v>5.5</v>
      </c>
    </row>
    <row r="29" customFormat="false" ht="15" hidden="false" customHeight="false" outlineLevel="0" collapsed="false">
      <c r="A29" s="0" t="s">
        <v>118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121534.618008663</v>
      </c>
    </row>
    <row r="31" customFormat="false" ht="15" hidden="false" customHeight="false" outlineLevel="0" collapsed="false">
      <c r="A31" s="0" t="s">
        <v>140</v>
      </c>
      <c r="B31" s="0" t="n">
        <f aca="false">L19</f>
        <v>47690.9371489354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479180.368496447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572291.245787225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479180.368496447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108622.332631742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230156.950640405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230156.950640405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4.16677829308309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0.141583093995366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4.16677829308309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17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437512.510366321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3.74604129983437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156</v>
      </c>
    </row>
    <row r="3" customFormat="false" ht="15" hidden="false" customHeight="false" outlineLevel="0" collapsed="false">
      <c r="A3" s="2" t="s">
        <v>157</v>
      </c>
      <c r="B3" s="2" t="s">
        <v>158</v>
      </c>
      <c r="C3" s="2" t="s">
        <v>148</v>
      </c>
      <c r="D3" s="2" t="s">
        <v>159</v>
      </c>
      <c r="E3" s="2" t="s">
        <v>151</v>
      </c>
      <c r="F3" s="2" t="s">
        <v>160</v>
      </c>
    </row>
    <row r="4" customFormat="false" ht="15" hidden="false" customHeight="false" outlineLevel="0" collapsed="false">
      <c r="A4" s="0" t="s">
        <v>161</v>
      </c>
      <c r="B4" s="4" t="n">
        <f aca="false">DCF_Bear!$B$38</f>
        <v>2.73080289930274</v>
      </c>
      <c r="C4" s="0" t="n">
        <f aca="false">B4/Assumptions!$B$2-1</f>
        <v>-0.251834822108839</v>
      </c>
      <c r="D4" s="4" t="n">
        <f aca="false">Assumptions!$B$24</f>
        <v>0.25</v>
      </c>
      <c r="E4" s="4" t="n">
        <f aca="false">DCF_Bear!$B$43</f>
        <v>2.73080289930274</v>
      </c>
      <c r="F4" s="4" t="n">
        <f aca="false">DCF_Bear!$B$47</f>
        <v>2.50316461299659</v>
      </c>
    </row>
    <row r="5" customFormat="false" ht="15" hidden="false" customHeight="false" outlineLevel="0" collapsed="false">
      <c r="A5" s="0" t="s">
        <v>162</v>
      </c>
      <c r="B5" s="4" t="n">
        <f aca="false">DCF_Base!$B$38</f>
        <v>3.49398588145667</v>
      </c>
      <c r="C5" s="0" t="n">
        <f aca="false">B5/Assumptions!$B$2-1</f>
        <v>-0.0427435941214601</v>
      </c>
      <c r="D5" s="4" t="n">
        <f aca="false">Assumptions!$B$38</f>
        <v>0.5</v>
      </c>
      <c r="E5" s="4" t="n">
        <f aca="false">DCF_Base!$B$43</f>
        <v>3.49398588145667</v>
      </c>
      <c r="F5" s="4" t="n">
        <f aca="false">DCF_Base!$B$47</f>
        <v>3.16653509743862</v>
      </c>
    </row>
    <row r="6" customFormat="false" ht="15" hidden="false" customHeight="false" outlineLevel="0" collapsed="false">
      <c r="A6" s="0" t="s">
        <v>163</v>
      </c>
      <c r="B6" s="4" t="n">
        <f aca="false">DCF_Bull!$B$38</f>
        <v>4.16677829308309</v>
      </c>
      <c r="C6" s="0" t="n">
        <f aca="false">B6/Assumptions!$B$2-1</f>
        <v>0.141583093995366</v>
      </c>
      <c r="D6" s="4" t="n">
        <f aca="false">Assumptions!$B$52</f>
        <v>0.25</v>
      </c>
      <c r="E6" s="4" t="n">
        <f aca="false">DCF_Bull!$B$43</f>
        <v>4.16677829308309</v>
      </c>
      <c r="F6" s="4" t="n">
        <f aca="false">DCF_Bull!$B$47</f>
        <v>3.74604129983437</v>
      </c>
    </row>
    <row r="8" customFormat="false" ht="15" hidden="false" customHeight="false" outlineLevel="0" collapsed="false">
      <c r="A8" s="0" t="s">
        <v>164</v>
      </c>
      <c r="B8" s="0" t="n">
        <f aca="false">SUMPRODUCT(B4:B6,D4:D6)</f>
        <v>3.47138823882479</v>
      </c>
    </row>
    <row r="9" customFormat="false" ht="15" hidden="false" customHeight="false" outlineLevel="0" collapsed="false">
      <c r="A9" s="0" t="s">
        <v>165</v>
      </c>
      <c r="B9" s="0" t="n">
        <f aca="false">SUMPRODUCT(E4:E6,D4:D6)</f>
        <v>3.47138823882479</v>
      </c>
    </row>
    <row r="10" customFormat="false" ht="15" hidden="false" customHeight="false" outlineLevel="0" collapsed="false">
      <c r="A10" s="0" t="s">
        <v>166</v>
      </c>
      <c r="B10" s="0" t="n">
        <f aca="false">1-Assumptions!$B$2/B8</f>
        <v>-0.0514525454622374</v>
      </c>
    </row>
    <row r="11" customFormat="false" ht="15" hidden="false" customHeight="false" outlineLevel="0" collapsed="false">
      <c r="A11" s="0" t="s">
        <v>167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168</v>
      </c>
      <c r="B12" s="0" t="n">
        <f aca="false">SUMPRODUCT(F4:F6,D4:D6)</f>
        <v>3.14556902692705</v>
      </c>
    </row>
    <row r="14" customFormat="false" ht="15" hidden="false" customHeight="false" outlineLevel="0" collapsed="false">
      <c r="A14" s="2" t="s">
        <v>169</v>
      </c>
      <c r="C14" s="0" t="s">
        <v>170</v>
      </c>
    </row>
    <row r="15" customFormat="false" ht="15" hidden="false" customHeight="false" outlineLevel="0" collapsed="false">
      <c r="A15" s="0" t="s">
        <v>171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6.33860721732372</v>
      </c>
      <c r="C15" s="3" t="n">
        <v>9</v>
      </c>
    </row>
    <row r="16" customFormat="false" ht="15" hidden="false" customHeight="false" outlineLevel="0" collapsed="false">
      <c r="A16" s="0" t="s">
        <v>172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5.88670134547368</v>
      </c>
      <c r="C16" s="3" t="n">
        <v>10</v>
      </c>
    </row>
    <row r="17" customFormat="false" ht="15" hidden="false" customHeight="false" outlineLevel="0" collapsed="false">
      <c r="A17" s="0" t="s">
        <v>173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5.47431621437009</v>
      </c>
      <c r="C17" s="3" t="n">
        <v>11</v>
      </c>
    </row>
    <row r="18" customFormat="false" ht="15" hidden="false" customHeight="false" outlineLevel="0" collapsed="false">
      <c r="A18" s="0" t="s">
        <v>174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5.09757046007318</v>
      </c>
      <c r="C18" s="3" t="n">
        <v>12</v>
      </c>
    </row>
    <row r="19" customFormat="false" ht="15" hidden="false" customHeight="false" outlineLevel="0" collapsed="false">
      <c r="A19" s="0" t="s">
        <v>175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3.88911557836931</v>
      </c>
      <c r="C19" s="3" t="n">
        <v>15</v>
      </c>
    </row>
    <row r="20" customFormat="false" ht="15" hidden="false" customHeight="false" outlineLevel="0" collapsed="false">
      <c r="A20" s="0" t="s">
        <v>176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3.49398588145667</v>
      </c>
      <c r="C20" s="3" t="n">
        <v>16</v>
      </c>
    </row>
    <row r="22" customFormat="false" ht="15" hidden="false" customHeight="false" outlineLevel="0" collapsed="false">
      <c r="A22" s="2" t="s">
        <v>177</v>
      </c>
    </row>
    <row r="23" customFormat="false" ht="15" hidden="false" customHeight="false" outlineLevel="0" collapsed="false">
      <c r="B23" s="3" t="n">
        <v>4</v>
      </c>
      <c r="C23" s="3" t="n">
        <v>4.5</v>
      </c>
      <c r="D23" s="3" t="n">
        <v>5</v>
      </c>
      <c r="E23" s="3" t="n">
        <v>5.5</v>
      </c>
      <c r="F23" s="3" t="n">
        <v>6</v>
      </c>
    </row>
    <row r="24" customFormat="false" ht="15" hidden="false" customHeight="false" outlineLevel="0" collapsed="false">
      <c r="A24" s="3" t="n">
        <v>14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4.13578822685543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4.24893230367778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4.3746479445915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4.43750576504836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4.43750576504836</v>
      </c>
    </row>
    <row r="25" customFormat="false" ht="15" hidden="false" customHeight="false" outlineLevel="0" collapsed="false">
      <c r="A25" s="3" t="n">
        <v>15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3.70845814415231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3.79448549377945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3.88911557836931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3.99370672449493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4.10991910907897</v>
      </c>
    </row>
    <row r="26" customFormat="false" ht="15" hidden="false" customHeight="false" outlineLevel="0" collapsed="false">
      <c r="A26" s="3" t="n">
        <v>16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3.35472368136115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3.4213273422764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3.49398588145667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3.57356428151125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3.6611005215713</v>
      </c>
    </row>
    <row r="27" customFormat="false" ht="15" hidden="false" customHeight="false" outlineLevel="0" collapsed="false">
      <c r="A27" s="3" t="n">
        <v>17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3.05745846228648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3.10981524715951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3.16653509743862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3.22818710861157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3.29544384807297</v>
      </c>
    </row>
    <row r="28" customFormat="false" ht="15" hidden="false" customHeight="false" outlineLevel="0" collapsed="false">
      <c r="A28" s="3" t="n">
        <v>18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2.80443957602015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2.84613603941766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2.89103992307652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2.93953611742808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2.99207366130895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2026-10-02T22:26:37Z</dcterms:created>
  <dc:creator>openpyxl</dc:creator>
  <dc:description/>
  <dc:language>en-NZ</dc:language>
  <cp:lastModifiedBy/>
  <dcterms:modified xsi:type="dcterms:W3CDTF">2026-10-02T22:26:37Z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