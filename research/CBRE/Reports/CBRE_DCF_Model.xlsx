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<sst xmlns="http://schemas.openxmlformats.org/spreadsheetml/2006/main" count="386" uniqueCount="173">
  <si>
    <t xml:space="preserve">Ticker</t>
  </si>
  <si>
    <t xml:space="preserve">CBRE</t>
  </si>
  <si>
    <t xml:space="preserve">Company</t>
  </si>
  <si>
    <t xml:space="preserve">CBRE Group,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</si>
  <si>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</si>
  <si>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</si>
  <si>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</si>
  <si>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</si>
  <si>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2026-09-25T20:04:05Z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</si>
  <si>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</si>
  <si>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</si>
  <si>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</si>
  <si>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</si>
  <si>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</si>
  <si>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</si>
  <si>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</si>
  <si>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</si>
  <si>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</si>
  <si>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</si>
  <si>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</si>
  <si>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</si>
  <si>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2026-09-26T00:31:36Z</t>
  </si>
  <si>
    <t xml:space="preserve">Drivers file</t>
  </si>
  <si>
    <t xml:space="preserve">CBRE_Drivers.json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</si>
  <si>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</si>
  <si>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</si>
  <si>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</si>
  <si>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CBRE valued as a cyclical fee-based services operating company on unlevered owner FCF with SBC and equity-award taxes fully expensed and the share count held flat (buybacks fund it). Components are built from GAAP operating income + D&amp;A rather than management's Core EBITDA; acquired-intangible amortization rolls off; acquisitions are not modelled, so growth paths are organic plus already-paid deals. Cyclicality is charged once, through a genuine downturn bear path and a 20% bear weight, not through a WACC premium.
key_risks_to_valuation: Transaction cycle: leasing and capital-markets fees are the swing factor; a 2023-style drop compresses margin by ~1.3pp; Data-centre services growth (~25%/yr guided) is the main source of above-GDP growth; an AI-capex pause removes it; Acquisition-driven growth: the model does not charge future M&amp;A spend, and does not credit M&amp;A-driven revenue either; Short-term borrowings split (commercial paper/revolver vs warehouse lines) is inferred from XBRL; a ~$0.5bn error moves value ~$1.7/share; NCI valued at ~12x earnings; Turner &amp; Townsend buy-out terms could differ</t>
  </si>
  <si>
    <t xml:space="preserve">Data sources</t>
  </si>
  <si>
    <t xml:space="preserve">price: Yahoo Finance chart API at inputs.price_as_of; 52-week range 121.69-174.27
financials: CBRE_Metrics.csv / CBRE.duckdb (SEC XBRL, FY2007-Q2 2026) plus SEC companyfacts (CIK 1138118) for debt split, NCI, leases, equity-method investments, equity-award taxes and intangible amortization schedule
qualitative: CBRE_Analysis.json (2026-09-26): Q2 2026 results and raised FY2026 core-EPS guidance, initial FY2027 guide, data-centre services outlook</t>
  </si>
  <si>
    <t xml:space="preserve">Scenario narrative: bear</t>
  </si>
  <si>
    <t xml:space="preserve">A renewed CRE downturn or higher-for-longer rates hits in 2027-28: capital-markets and leasing fees fall 30-40% as in 2023, Investment Management fundraising stays shut, and an AI-capex pause or power/permitting bottlenecks stall data-centre services. Revenue flat then -4%, pre-SBC margin compresses to 5.3% (Advisory operating deleverage on a people-heavy cost base), with the M&amp;A-funded leverage (corporate debt ~$7.6bn, up from ~$3.3bn at FY2024) limiting buybacks. Recovery to only 6.2% margins and 3% growth; 12x exit reflects a market that re-rates CBRE as a cyclical broker.</t>
  </si>
  <si>
    <t xml:space="preserve">Scenario narrative: base</t>
  </si>
  <si>
    <t xml:space="preserve">The resilient ~65% (facilities/BOE, Project Management via Turner &amp; Townsend, Pearce and data-centre technical services) compounds high-single digits while leasing and capital markets complete a normal recovery from the 2023-24 trough. FY2026 lands at the raised core-EPS guide and FY2027 at the &gt;=15% initial guide; thereafter growth fades to ~3.5% as data-centre services decelerate from ~25% toward mid-teens and the transaction cycle matures. Margins expand modestly (6.6% -&gt; 7.3% pre-SBC EBITDA on gross revenue) from infrastructure mix and Advisory operating leverage, capped because the BOE/Project Management revenue carries thin pass-through margins.</t>
  </si>
  <si>
    <t xml:space="preserve">Scenario narrative: bull</t>
  </si>
  <si>
    <t xml:space="preserve">AI data-centre build-out runs at management's ~25%/yr through 2030 and the $10bn infrastructure revenue / $1bn+ EBITDA target is hit; leasing and capital-markets volumes return to 2021-22 levels as rates settle; Investment Management fundraising reopens. Revenue compounds ~10% for five years and pre-SBC EBITDA margin reaches 8.0% as higher-margin Advisory and infrastructure services mix up. Exit at 17x owner FCF, in line with a less-cyclical outsourcing compounder.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</si>
  <si>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</si>
  <si>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</si>
  <si>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</si>
  <si>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</si>
  <si>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</si>
  <si>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</si>
  <si>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</si>
  <si>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</si>
  <si>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</si>
  <si>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</si>
  <si>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</si>
  <si>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</si>
  <si>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</si>
  <si>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</si>
  <si>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</si>
  <si>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</si>
  <si>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</si>
  <si>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</si>
  <si>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</si>
  <si>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</si>
  <si>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</si>
  <si>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</si>
  <si>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</si>
  <si>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</si>
  <si>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</si>
  <si>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</si>
  <si>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</si>
  <si>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</si>
  <si>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</si>
  <si>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</si>
  <si>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</si>
  <si>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</si>
  <si>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</si>
  <si>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</si>
  <si>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</si>
  <si>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</si>
  <si>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</si>
  <si>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</si>
  <si>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</si>
  <si>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</si>
  <si>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</si>
  <si>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</si>
  <si>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</si>
  <si>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</si>
  <si>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</si>
  <si>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</si>
  <si>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</si>
  <si>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</si>
  <si>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</si>
  <si>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</si>
  <si>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</si>
  <si>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</si>
  <si>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</si>
  <si>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</si>
  <si>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</si>
  <si>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</si>
  <si>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</si>
  <si>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</si>
  <si>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</si>
  <si>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</si>
  <si>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</si>
  <si>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</si>
  <si>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</si>
  <si>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</si>
  <si>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</si>
  <si>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</si>
  <si>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</si>
  <si>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</si>
  <si>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</si>
  <si>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</si>
  <si>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</si>
  <si>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</si>
  <si>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</si>
  <si>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</si>
  <si>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</si>
  <si>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</si>
  <si>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</si>
  <si>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</si>
  <si>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</si>
  <si>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</si>
  <si>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</si>
  <si>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</si>
  <si>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</si>
  <si>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CBRE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</si>
  <si>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</si>
  <si>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</si>
  <si>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</si>
  <si>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</si>
  <si>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</si>
  <si>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</si>
  <si>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</si>
  <si>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</si>
  <si>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</si>
  <si>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</si>
  <si>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</si>
  <si>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</si>
  <si>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</si>
  <si>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</si>
  <si>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</si>
  <si>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</si>
  <si>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</si>
  <si>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</si>
  <si>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</si>
  <si>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</si>
  <si>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</si>
  <si>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</si>
  <si>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</si>
  <si>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</si>
  <si>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</si>
  <si>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</si>
  <si>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</si>
  <si>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</si>
  <si>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</si>
  <si>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</si>
  <si>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CBRE owner-FCF component DCF: base case (millions, USD)</t>
  </si>
  <si>
    <t xml:space="preserve">CBRE owner-FCF component DCF: bull case (millions, USD)</t>
  </si>
  <si>
    <t xml:space="preserve">CBRE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</si>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</sst>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134.55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1252.156</v>
      </c>
      <c r="S2" s="0" t="n">
        <v>342.874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5128.817</v>
      </c>
      <c r="F3" s="0" t="n">
        <v>-788.469</v>
      </c>
      <c r="G3" s="0" t="n">
        <v>-15.3733112333702</v>
      </c>
      <c r="H3" s="0" t="n">
        <v>-685.652</v>
      </c>
      <c r="I3" s="0" t="n">
        <v>-1049.741</v>
      </c>
      <c r="J3" s="0" t="n">
        <v>-20.4675074193523</v>
      </c>
      <c r="K3" s="0" t="n">
        <v>-4.81</v>
      </c>
      <c r="L3" s="0" t="n">
        <v>-130.373</v>
      </c>
      <c r="M3" s="0" t="n">
        <v>51.471</v>
      </c>
      <c r="N3" s="0" t="n">
        <v>-181.844</v>
      </c>
      <c r="O3" s="0" t="n">
        <v>345.723</v>
      </c>
      <c r="S3" s="0" t="n">
        <v>158.823</v>
      </c>
      <c r="T3" s="0" t="n">
        <v>210.539032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4165.82</v>
      </c>
      <c r="F4" s="0" t="n">
        <v>241.842</v>
      </c>
      <c r="G4" s="0" t="n">
        <v>5.80538765477145</v>
      </c>
      <c r="H4" s="0" t="n">
        <v>341.315</v>
      </c>
      <c r="I4" s="0" t="n">
        <v>33.341</v>
      </c>
      <c r="J4" s="0" t="n">
        <v>0.800346630435305</v>
      </c>
      <c r="K4" s="0" t="n">
        <v>0.12</v>
      </c>
      <c r="L4" s="0" t="n">
        <v>213.645</v>
      </c>
      <c r="M4" s="0" t="n">
        <v>28.2</v>
      </c>
      <c r="N4" s="0" t="n">
        <v>185.445</v>
      </c>
      <c r="O4" s="0" t="n">
        <v>784.295</v>
      </c>
      <c r="P4" s="0" t="n">
        <v>5039.406</v>
      </c>
      <c r="Q4" s="0" t="n">
        <v>4255.111</v>
      </c>
      <c r="R4" s="0" t="n">
        <v>2120.803</v>
      </c>
      <c r="S4" s="0" t="n">
        <v>741.557</v>
      </c>
      <c r="T4" s="0" t="n">
        <v>279.995081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5115.316</v>
      </c>
      <c r="F5" s="0" t="n">
        <v>446.379</v>
      </c>
      <c r="G5" s="0" t="n">
        <v>8.72632306586729</v>
      </c>
      <c r="H5" s="0" t="n">
        <v>554.76</v>
      </c>
      <c r="I5" s="0" t="n">
        <v>200.345</v>
      </c>
      <c r="J5" s="0" t="n">
        <v>3.91657133205456</v>
      </c>
      <c r="K5" s="0" t="n">
        <v>0.64</v>
      </c>
      <c r="L5" s="0" t="n">
        <v>616.587</v>
      </c>
      <c r="M5" s="0" t="n">
        <v>68.464</v>
      </c>
      <c r="N5" s="0" t="n">
        <v>548.123</v>
      </c>
      <c r="O5" s="0" t="n">
        <v>1065.795</v>
      </c>
      <c r="P5" s="0" t="n">
        <v>5121.568</v>
      </c>
      <c r="Q5" s="0" t="n">
        <v>4055.773</v>
      </c>
      <c r="R5" s="0" t="n">
        <v>1937.775</v>
      </c>
      <c r="S5" s="0" t="n">
        <v>506.574</v>
      </c>
      <c r="T5" s="0" t="n">
        <v>323.594919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5905.411</v>
      </c>
      <c r="F6" s="0" t="n">
        <v>462.862</v>
      </c>
      <c r="G6" s="0" t="n">
        <v>7.83793033202939</v>
      </c>
      <c r="H6" s="0" t="n">
        <v>578.581</v>
      </c>
      <c r="I6" s="0" t="n">
        <v>290.325</v>
      </c>
      <c r="J6" s="0" t="n">
        <v>4.91625392373198</v>
      </c>
      <c r="K6" s="0" t="n">
        <v>0.75</v>
      </c>
      <c r="L6" s="0" t="n">
        <v>361.219</v>
      </c>
      <c r="M6" s="0" t="n">
        <v>147.98</v>
      </c>
      <c r="N6" s="0" t="n">
        <v>213.239</v>
      </c>
      <c r="O6" s="0" t="n">
        <v>1417.163</v>
      </c>
      <c r="P6" s="0" t="n">
        <v>7219.143</v>
      </c>
      <c r="Q6" s="0" t="n">
        <v>5801.98</v>
      </c>
      <c r="R6" s="0" t="n">
        <v>3298.727</v>
      </c>
      <c r="S6" s="0" t="n">
        <v>1093.182</v>
      </c>
      <c r="T6" s="0" t="n">
        <v>327.972156</v>
      </c>
      <c r="U6" s="0" t="n">
        <v>44.327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6514.099</v>
      </c>
      <c r="F7" s="0" t="n">
        <v>585.081</v>
      </c>
      <c r="G7" s="0" t="n">
        <v>8.98176401678882</v>
      </c>
      <c r="H7" s="0" t="n">
        <v>754.726</v>
      </c>
      <c r="I7" s="0" t="n">
        <v>315.555</v>
      </c>
      <c r="J7" s="0" t="n">
        <v>4.8441848980189</v>
      </c>
      <c r="K7" s="0" t="n">
        <v>0.98</v>
      </c>
      <c r="L7" s="0" t="n">
        <v>291.081</v>
      </c>
      <c r="M7" s="0" t="n">
        <v>150.232</v>
      </c>
      <c r="N7" s="0" t="n">
        <v>140.849</v>
      </c>
      <c r="O7" s="0" t="n">
        <v>1681.812</v>
      </c>
      <c r="P7" s="0" t="n">
        <v>7809.542</v>
      </c>
      <c r="Q7" s="0" t="n">
        <v>6127.73</v>
      </c>
      <c r="R7" s="0" t="n">
        <v>3600.122</v>
      </c>
      <c r="S7" s="0" t="n">
        <v>1089.297</v>
      </c>
      <c r="T7" s="0" t="n">
        <v>330.082187</v>
      </c>
      <c r="U7" s="0" t="n">
        <v>51.712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7184.794</v>
      </c>
      <c r="F8" s="0" t="n">
        <v>616.128</v>
      </c>
      <c r="G8" s="0" t="n">
        <v>8.57544419505974</v>
      </c>
      <c r="H8" s="0" t="n">
        <v>806.518</v>
      </c>
      <c r="I8" s="0" t="n">
        <v>348.795</v>
      </c>
      <c r="J8" s="0" t="n">
        <v>4.85462770400933</v>
      </c>
      <c r="K8" s="0" t="n">
        <v>0.96</v>
      </c>
      <c r="L8" s="0" t="n">
        <v>745.108</v>
      </c>
      <c r="M8" s="0" t="n">
        <v>156.358</v>
      </c>
      <c r="N8" s="0" t="n">
        <v>588.75</v>
      </c>
      <c r="O8" s="0" t="n">
        <v>1936.006</v>
      </c>
      <c r="P8" s="0" t="n">
        <v>6998.414</v>
      </c>
      <c r="Q8" s="0" t="n">
        <v>5062.408</v>
      </c>
      <c r="R8" s="0" t="n">
        <v>2400.022</v>
      </c>
      <c r="S8" s="0" t="n">
        <v>491.912</v>
      </c>
      <c r="T8" s="0" t="n">
        <v>331.927166</v>
      </c>
      <c r="U8" s="0" t="n">
        <v>48.429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9049.918</v>
      </c>
      <c r="F9" s="0" t="n">
        <v>792.254</v>
      </c>
      <c r="G9" s="0" t="n">
        <v>8.75426716573565</v>
      </c>
      <c r="H9" s="0" t="n">
        <v>1057.355</v>
      </c>
      <c r="I9" s="0" t="n">
        <v>513.503</v>
      </c>
      <c r="J9" s="0" t="n">
        <v>5.67411771023782</v>
      </c>
      <c r="K9" s="0" t="n">
        <v>1.47</v>
      </c>
      <c r="M9" s="0" t="n">
        <v>171.242</v>
      </c>
      <c r="O9" s="0" t="n">
        <v>2301.398</v>
      </c>
      <c r="P9" s="0" t="n">
        <v>7568.01</v>
      </c>
      <c r="Q9" s="0" t="n">
        <v>5266.612</v>
      </c>
      <c r="R9" s="0" t="n">
        <v>1917.616</v>
      </c>
      <c r="S9" s="0" t="n">
        <v>740.884</v>
      </c>
      <c r="T9" s="0" t="n">
        <v>334.171509</v>
      </c>
      <c r="U9" s="0" t="n">
        <v>59.757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10855.81</v>
      </c>
      <c r="C10" s="0" t="n">
        <v>40.439</v>
      </c>
      <c r="F10" s="0" t="n">
        <v>835.944</v>
      </c>
      <c r="G10" s="0" t="n">
        <v>7.70042953957374</v>
      </c>
      <c r="H10" s="0" t="n">
        <v>1150.04</v>
      </c>
      <c r="I10" s="0" t="n">
        <v>558.877</v>
      </c>
      <c r="J10" s="0" t="n">
        <v>5.14818332303163</v>
      </c>
      <c r="K10" s="0" t="n">
        <v>1.64</v>
      </c>
      <c r="M10" s="0" t="n">
        <v>139.464</v>
      </c>
      <c r="O10" s="0" t="n">
        <v>2759.07</v>
      </c>
      <c r="P10" s="0" t="n">
        <v>11017.943</v>
      </c>
      <c r="Q10" s="0" t="n">
        <v>8258.873</v>
      </c>
      <c r="R10" s="0" t="n">
        <v>2744.866</v>
      </c>
      <c r="S10" s="0" t="n">
        <v>540.403</v>
      </c>
      <c r="T10" s="0" t="n">
        <v>336.414856</v>
      </c>
      <c r="U10" s="0" t="n">
        <v>74.709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17369.108</v>
      </c>
      <c r="C11" s="0" t="n">
        <v>13420.911</v>
      </c>
      <c r="F11" s="0" t="n">
        <v>816.831</v>
      </c>
      <c r="G11" s="0" t="n">
        <v>4.70278036154764</v>
      </c>
      <c r="H11" s="0" t="n">
        <v>1183.758</v>
      </c>
      <c r="I11" s="0" t="n">
        <v>585.17</v>
      </c>
      <c r="J11" s="0" t="n">
        <v>3.36902735592409</v>
      </c>
      <c r="K11" s="0" t="n">
        <v>1.71</v>
      </c>
      <c r="L11" s="0" t="n">
        <v>616.985</v>
      </c>
      <c r="M11" s="0" t="n">
        <v>191.205</v>
      </c>
      <c r="N11" s="0" t="n">
        <v>425.78</v>
      </c>
      <c r="O11" s="0" t="n">
        <v>3145.9</v>
      </c>
      <c r="P11" s="0" t="n">
        <v>10779.587</v>
      </c>
      <c r="Q11" s="0" t="n">
        <v>7722.342</v>
      </c>
      <c r="R11" s="0" t="n">
        <v>2548.137</v>
      </c>
      <c r="S11" s="0" t="n">
        <v>762.576</v>
      </c>
      <c r="T11" s="0" t="n">
        <v>338.424563</v>
      </c>
      <c r="U11" s="0" t="n">
        <v>63.484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18628.787</v>
      </c>
      <c r="C12" s="0" t="n">
        <v>14305.099</v>
      </c>
      <c r="F12" s="0" t="n">
        <v>1078.682</v>
      </c>
      <c r="G12" s="0" t="n">
        <v>5.790403851845</v>
      </c>
      <c r="H12" s="0" t="n">
        <v>1484.796</v>
      </c>
      <c r="I12" s="0" t="n">
        <v>703.576</v>
      </c>
      <c r="J12" s="0" t="n">
        <v>3.77682132497409</v>
      </c>
      <c r="K12" s="0" t="n">
        <v>2.06</v>
      </c>
      <c r="L12" s="0" t="n">
        <v>894.411</v>
      </c>
      <c r="M12" s="0" t="n">
        <v>178.042</v>
      </c>
      <c r="N12" s="0" t="n">
        <v>716.369</v>
      </c>
      <c r="O12" s="0" t="n">
        <v>4174.614</v>
      </c>
      <c r="P12" s="0" t="n">
        <v>11718.396</v>
      </c>
      <c r="Q12" s="0" t="n">
        <v>7543.782</v>
      </c>
      <c r="R12" s="0" t="n">
        <v>1999.611</v>
      </c>
      <c r="S12" s="0" t="n">
        <v>751.774</v>
      </c>
      <c r="T12" s="0" t="n">
        <v>340.783556</v>
      </c>
      <c r="U12" s="0" t="n">
        <v>93.087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21340.088</v>
      </c>
      <c r="C13" s="0" t="n">
        <v>16449.212</v>
      </c>
      <c r="F13" s="0" t="n">
        <v>1087.989</v>
      </c>
      <c r="G13" s="0" t="n">
        <v>5.09833417744107</v>
      </c>
      <c r="H13" s="0" t="n">
        <v>1539.977</v>
      </c>
      <c r="I13" s="0" t="n">
        <v>1065.948</v>
      </c>
      <c r="J13" s="0" t="n">
        <v>4.99504969239115</v>
      </c>
      <c r="K13" s="0" t="n">
        <v>3.13</v>
      </c>
      <c r="L13" s="0" t="n">
        <v>1131.249</v>
      </c>
      <c r="M13" s="0" t="n">
        <v>227.803</v>
      </c>
      <c r="N13" s="0" t="n">
        <v>903.446</v>
      </c>
      <c r="O13" s="0" t="n">
        <v>5009.902</v>
      </c>
      <c r="P13" s="0" t="n">
        <v>13456.793</v>
      </c>
      <c r="Q13" s="0" t="n">
        <v>8446.891</v>
      </c>
      <c r="R13" s="0" t="n">
        <v>1770.406</v>
      </c>
      <c r="S13" s="0" t="n">
        <v>777.219</v>
      </c>
      <c r="T13" s="0" t="n">
        <v>343.122741</v>
      </c>
      <c r="U13" s="0" t="n">
        <v>128.171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23894.091</v>
      </c>
      <c r="C14" s="0" t="n">
        <v>18689.013</v>
      </c>
      <c r="F14" s="0" t="n">
        <v>1259.875</v>
      </c>
      <c r="G14" s="0" t="n">
        <v>5.27274714070521</v>
      </c>
      <c r="H14" s="0" t="n">
        <v>1699.099</v>
      </c>
      <c r="I14" s="0" t="n">
        <v>1291.45</v>
      </c>
      <c r="J14" s="0" t="n">
        <v>5.40489278290603</v>
      </c>
      <c r="K14" s="0" t="n">
        <v>3.82</v>
      </c>
      <c r="L14" s="0" t="n">
        <v>1223.38</v>
      </c>
      <c r="M14" s="0" t="n">
        <v>293.514</v>
      </c>
      <c r="N14" s="0" t="n">
        <v>929.866</v>
      </c>
      <c r="O14" s="0" t="n">
        <v>6273.112</v>
      </c>
      <c r="P14" s="0" t="n">
        <v>16197.196</v>
      </c>
      <c r="Q14" s="0" t="n">
        <v>9924.084</v>
      </c>
      <c r="R14" s="0" t="n">
        <v>1763.059</v>
      </c>
      <c r="S14" s="0" t="n">
        <v>971.781</v>
      </c>
      <c r="T14" s="0" t="n">
        <v>340.522871</v>
      </c>
      <c r="U14" s="0" t="n">
        <v>127.738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23826.195</v>
      </c>
      <c r="C15" s="0" t="n">
        <v>19047.62</v>
      </c>
      <c r="F15" s="0" t="n">
        <v>969.759</v>
      </c>
      <c r="G15" s="0" t="n">
        <v>4.07013793012271</v>
      </c>
      <c r="H15" s="0" t="n">
        <v>1471.487</v>
      </c>
      <c r="I15" s="0" t="n">
        <v>755.868</v>
      </c>
      <c r="J15" s="0" t="n">
        <v>3.17242430022922</v>
      </c>
      <c r="K15" s="0" t="n">
        <v>2.24</v>
      </c>
      <c r="L15" s="0" t="n">
        <v>1830.779</v>
      </c>
      <c r="M15" s="0" t="n">
        <v>266.575</v>
      </c>
      <c r="N15" s="0" t="n">
        <v>1564.204</v>
      </c>
      <c r="O15" s="0" t="n">
        <v>7120</v>
      </c>
      <c r="P15" s="0" t="n">
        <v>18039.143</v>
      </c>
      <c r="Q15" s="0" t="n">
        <v>10533.483</v>
      </c>
      <c r="R15" s="0" t="n">
        <v>1381.716</v>
      </c>
      <c r="S15" s="0" t="n">
        <v>1896.188</v>
      </c>
      <c r="T15" s="0" t="n">
        <v>338.39221</v>
      </c>
      <c r="U15" s="0" t="n">
        <v>60.391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27746</v>
      </c>
      <c r="C16" s="0" t="n">
        <v>21580</v>
      </c>
      <c r="F16" s="0" t="n">
        <v>1637</v>
      </c>
      <c r="G16" s="0" t="n">
        <v>5.89994954227637</v>
      </c>
      <c r="H16" s="0" t="n">
        <v>2163</v>
      </c>
      <c r="I16" s="0" t="n">
        <v>1842</v>
      </c>
      <c r="J16" s="0" t="n">
        <v>6.63879478122973</v>
      </c>
      <c r="K16" s="0" t="n">
        <v>5.48</v>
      </c>
      <c r="L16" s="0" t="n">
        <v>2364</v>
      </c>
      <c r="M16" s="0" t="n">
        <v>210</v>
      </c>
      <c r="N16" s="0" t="n">
        <v>2154</v>
      </c>
      <c r="O16" s="0" t="n">
        <v>9359</v>
      </c>
      <c r="P16" s="0" t="n">
        <v>22073.491</v>
      </c>
      <c r="Q16" s="0" t="n">
        <v>12714.374</v>
      </c>
      <c r="R16" s="0" t="n">
        <v>1538.123</v>
      </c>
      <c r="S16" s="0" t="n">
        <v>2430.951</v>
      </c>
      <c r="T16" s="0" t="n">
        <v>339.717401</v>
      </c>
      <c r="U16" s="0" t="n">
        <v>185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30828</v>
      </c>
      <c r="C17" s="0" t="n">
        <v>24239</v>
      </c>
      <c r="F17" s="0" t="n">
        <v>1512</v>
      </c>
      <c r="G17" s="0" t="n">
        <v>4.90463215258856</v>
      </c>
      <c r="H17" s="0" t="n">
        <v>2125</v>
      </c>
      <c r="I17" s="0" t="n">
        <v>1424</v>
      </c>
      <c r="J17" s="0" t="n">
        <v>4.61917737122097</v>
      </c>
      <c r="K17" s="0" t="n">
        <v>4.36</v>
      </c>
      <c r="L17" s="0" t="n">
        <v>1629</v>
      </c>
      <c r="M17" s="0" t="n">
        <v>260</v>
      </c>
      <c r="N17" s="0" t="n">
        <v>1369</v>
      </c>
      <c r="O17" s="0" t="n">
        <v>8606</v>
      </c>
      <c r="P17" s="0" t="n">
        <v>20513</v>
      </c>
      <c r="Q17" s="0" t="n">
        <v>11907</v>
      </c>
      <c r="R17" s="0" t="n">
        <v>1514</v>
      </c>
      <c r="S17" s="0" t="n">
        <v>1318</v>
      </c>
      <c r="T17" s="0" t="n">
        <v>327.696115</v>
      </c>
      <c r="U17" s="0" t="n">
        <v>160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31949</v>
      </c>
      <c r="C18" s="0" t="n">
        <v>25675</v>
      </c>
      <c r="F18" s="0" t="n">
        <v>1117</v>
      </c>
      <c r="G18" s="0" t="n">
        <v>3.49619706407086</v>
      </c>
      <c r="H18" s="0" t="n">
        <v>1739</v>
      </c>
      <c r="I18" s="0" t="n">
        <v>1027</v>
      </c>
      <c r="J18" s="0" t="n">
        <v>3.21449810635701</v>
      </c>
      <c r="K18" s="0" t="n">
        <v>3.2</v>
      </c>
      <c r="L18" s="0" t="n">
        <v>480</v>
      </c>
      <c r="M18" s="0" t="n">
        <v>305</v>
      </c>
      <c r="N18" s="0" t="n">
        <v>175</v>
      </c>
      <c r="O18" s="0" t="n">
        <v>9067</v>
      </c>
      <c r="P18" s="0" t="n">
        <v>22548</v>
      </c>
      <c r="Q18" s="0" t="n">
        <v>13481</v>
      </c>
      <c r="R18" s="0" t="n">
        <v>2813</v>
      </c>
      <c r="S18" s="0" t="n">
        <v>1265</v>
      </c>
      <c r="T18" s="0" t="n">
        <v>312.550942</v>
      </c>
      <c r="U18" s="0" t="n">
        <v>96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35767</v>
      </c>
      <c r="C19" s="0" t="n">
        <v>28811</v>
      </c>
      <c r="F19" s="0" t="n">
        <v>1413</v>
      </c>
      <c r="G19" s="0" t="n">
        <v>3.95056896021472</v>
      </c>
      <c r="H19" s="0" t="n">
        <v>2087</v>
      </c>
      <c r="I19" s="0" t="n">
        <v>1036</v>
      </c>
      <c r="J19" s="0" t="n">
        <v>2.89652472949926</v>
      </c>
      <c r="K19" s="0" t="n">
        <v>3.16</v>
      </c>
      <c r="L19" s="0" t="n">
        <v>1708</v>
      </c>
      <c r="M19" s="0" t="n">
        <v>307</v>
      </c>
      <c r="N19" s="0" t="n">
        <v>1401</v>
      </c>
      <c r="O19" s="0" t="n">
        <v>9192</v>
      </c>
      <c r="P19" s="0" t="n">
        <v>24383</v>
      </c>
      <c r="Q19" s="0" t="n">
        <v>15191</v>
      </c>
      <c r="R19" s="0" t="n">
        <v>3281</v>
      </c>
      <c r="S19" s="0" t="n">
        <v>1114</v>
      </c>
      <c r="T19" s="0" t="n">
        <v>308.033612</v>
      </c>
      <c r="U19" s="0" t="n">
        <v>146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40550</v>
      </c>
      <c r="C20" s="0" t="n">
        <v>32984</v>
      </c>
      <c r="F20" s="0" t="n">
        <v>1753</v>
      </c>
      <c r="G20" s="0" t="n">
        <v>4.32305795314427</v>
      </c>
      <c r="H20" s="0" t="n">
        <v>2482</v>
      </c>
      <c r="I20" s="0" t="n">
        <v>1277</v>
      </c>
      <c r="J20" s="0" t="n">
        <v>3.14919852034525</v>
      </c>
      <c r="K20" s="0" t="n">
        <v>3.88</v>
      </c>
      <c r="L20" s="0" t="n">
        <v>1559</v>
      </c>
      <c r="M20" s="0" t="n">
        <v>366</v>
      </c>
      <c r="N20" s="0" t="n">
        <v>1193</v>
      </c>
      <c r="O20" s="0" t="n">
        <v>9193</v>
      </c>
      <c r="P20" s="0" t="n">
        <v>30877</v>
      </c>
      <c r="Q20" s="0" t="n">
        <v>21251</v>
      </c>
      <c r="R20" s="0" t="n">
        <v>5121</v>
      </c>
      <c r="S20" s="0" t="n">
        <v>1864</v>
      </c>
      <c r="T20" s="0" t="n">
        <v>300.751541</v>
      </c>
      <c r="U20" s="0" t="n">
        <v>120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134.55</v>
      </c>
    </row>
    <row r="3" customFormat="false" ht="15" hidden="false" customHeight="false" outlineLevel="0" collapsed="false">
      <c r="A3" s="0" t="s">
        <v>85</v>
      </c>
      <c r="B3" s="3" t="n">
        <v>293.9</v>
      </c>
    </row>
    <row r="4" customFormat="false" ht="15" hidden="false" customHeight="false" outlineLevel="0" collapsed="false">
      <c r="A4" s="0" t="s">
        <v>86</v>
      </c>
      <c r="B4" s="3" t="n">
        <v>6115</v>
      </c>
    </row>
    <row r="5" customFormat="false" ht="15" hidden="false" customHeight="false" outlineLevel="0" collapsed="false">
      <c r="A5" s="0" t="s">
        <v>87</v>
      </c>
      <c r="B5" s="3" t="n">
        <v>-897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40550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12</v>
      </c>
      <c r="D13" s="3" t="n">
        <v>0</v>
      </c>
      <c r="E13" s="3" t="n">
        <v>-4</v>
      </c>
      <c r="F13" s="3" t="n">
        <v>4</v>
      </c>
      <c r="G13" s="3" t="n">
        <v>5</v>
      </c>
      <c r="H13" s="3" t="n">
        <v>4.5</v>
      </c>
      <c r="I13" s="3" t="n">
        <v>4</v>
      </c>
      <c r="J13" s="3" t="n">
        <v>3.5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106</v>
      </c>
      <c r="C14" s="3" t="n">
        <v>6.5</v>
      </c>
      <c r="D14" s="3" t="n">
        <v>5.7</v>
      </c>
      <c r="E14" s="3" t="n">
        <v>5.3</v>
      </c>
      <c r="F14" s="3" t="n">
        <v>5.8</v>
      </c>
      <c r="G14" s="3" t="n">
        <v>6</v>
      </c>
      <c r="H14" s="3" t="n">
        <v>6.2</v>
      </c>
      <c r="I14" s="3" t="n">
        <v>6.2</v>
      </c>
      <c r="J14" s="3" t="n">
        <v>6.2</v>
      </c>
      <c r="K14" s="3" t="n">
        <v>6.2</v>
      </c>
      <c r="L14" s="3" t="n">
        <v>6.2</v>
      </c>
    </row>
    <row r="15" customFormat="false" ht="15" hidden="false" customHeight="false" outlineLevel="0" collapsed="false">
      <c r="A15" s="0" t="s">
        <v>107</v>
      </c>
      <c r="C15" s="3" t="n">
        <v>0.45</v>
      </c>
      <c r="D15" s="3" t="n">
        <v>0.45</v>
      </c>
      <c r="E15" s="3" t="n">
        <v>0.45</v>
      </c>
      <c r="F15" s="3" t="n">
        <v>0.45</v>
      </c>
      <c r="G15" s="3" t="n">
        <v>0.45</v>
      </c>
      <c r="H15" s="3" t="n">
        <v>0.45</v>
      </c>
      <c r="I15" s="3" t="n">
        <v>0.45</v>
      </c>
      <c r="J15" s="3" t="n">
        <v>0.45</v>
      </c>
      <c r="K15" s="3" t="n">
        <v>0.45</v>
      </c>
      <c r="L15" s="3" t="n">
        <v>0.45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1.75</v>
      </c>
      <c r="D17" s="3" t="n">
        <v>1.7</v>
      </c>
      <c r="E17" s="3" t="n">
        <v>1.65</v>
      </c>
      <c r="F17" s="3" t="n">
        <v>1.5</v>
      </c>
      <c r="G17" s="3" t="n">
        <v>1.4</v>
      </c>
      <c r="H17" s="3" t="n">
        <v>1.3</v>
      </c>
      <c r="I17" s="3" t="n">
        <v>1.25</v>
      </c>
      <c r="J17" s="3" t="n">
        <v>1.2</v>
      </c>
      <c r="K17" s="3" t="n">
        <v>1.15</v>
      </c>
      <c r="L17" s="3" t="n">
        <v>1.15</v>
      </c>
    </row>
    <row r="18" customFormat="false" ht="15" hidden="false" customHeight="false" outlineLevel="0" collapsed="false">
      <c r="A18" s="0" t="s">
        <v>110</v>
      </c>
      <c r="C18" s="3" t="n">
        <v>0.95</v>
      </c>
      <c r="D18" s="3" t="n">
        <v>0.95</v>
      </c>
      <c r="E18" s="3" t="n">
        <v>0.95</v>
      </c>
      <c r="F18" s="3" t="n">
        <v>0.95</v>
      </c>
      <c r="G18" s="3" t="n">
        <v>0.95</v>
      </c>
      <c r="H18" s="3" t="n">
        <v>0.95</v>
      </c>
      <c r="I18" s="3" t="n">
        <v>0.95</v>
      </c>
      <c r="J18" s="3" t="n">
        <v>0.95</v>
      </c>
      <c r="K18" s="3" t="n">
        <v>0.95</v>
      </c>
      <c r="L18" s="3" t="n">
        <v>0.95</v>
      </c>
    </row>
    <row r="19" customFormat="false" ht="15" hidden="false" customHeight="false" outlineLevel="0" collapsed="false">
      <c r="A19" s="0" t="s">
        <v>111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112</v>
      </c>
      <c r="B20" s="3" t="n">
        <v>9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12</v>
      </c>
    </row>
    <row r="23" customFormat="false" ht="15" hidden="false" customHeight="false" outlineLevel="0" collapsed="false">
      <c r="A23" s="0" t="s">
        <v>115</v>
      </c>
      <c r="B23" s="3" t="n">
        <v>-3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14</v>
      </c>
      <c r="D27" s="3" t="n">
        <v>9</v>
      </c>
      <c r="E27" s="3" t="n">
        <v>8</v>
      </c>
      <c r="F27" s="3" t="n">
        <v>7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106</v>
      </c>
      <c r="C28" s="3" t="n">
        <v>6.6</v>
      </c>
      <c r="D28" s="3" t="n">
        <v>6.8</v>
      </c>
      <c r="E28" s="3" t="n">
        <v>7</v>
      </c>
      <c r="F28" s="3" t="n">
        <v>7.1</v>
      </c>
      <c r="G28" s="3" t="n">
        <v>7.2</v>
      </c>
      <c r="H28" s="3" t="n">
        <v>7.3</v>
      </c>
      <c r="I28" s="3" t="n">
        <v>7.3</v>
      </c>
      <c r="J28" s="3" t="n">
        <v>7.3</v>
      </c>
      <c r="K28" s="3" t="n">
        <v>7.3</v>
      </c>
      <c r="L28" s="3" t="n">
        <v>7.3</v>
      </c>
    </row>
    <row r="29" customFormat="false" ht="15" hidden="false" customHeight="false" outlineLevel="0" collapsed="false">
      <c r="A29" s="0" t="s">
        <v>107</v>
      </c>
      <c r="C29" s="3" t="n">
        <v>0.45</v>
      </c>
      <c r="D29" s="3" t="n">
        <v>0.45</v>
      </c>
      <c r="E29" s="3" t="n">
        <v>0.45</v>
      </c>
      <c r="F29" s="3" t="n">
        <v>0.45</v>
      </c>
      <c r="G29" s="3" t="n">
        <v>0.45</v>
      </c>
      <c r="H29" s="3" t="n">
        <v>0.45</v>
      </c>
      <c r="I29" s="3" t="n">
        <v>0.45</v>
      </c>
      <c r="J29" s="3" t="n">
        <v>0.45</v>
      </c>
      <c r="K29" s="3" t="n">
        <v>0.45</v>
      </c>
      <c r="L29" s="3" t="n">
        <v>0.45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1.75</v>
      </c>
      <c r="D31" s="3" t="n">
        <v>1.6</v>
      </c>
      <c r="E31" s="3" t="n">
        <v>1.5</v>
      </c>
      <c r="F31" s="3" t="n">
        <v>1.4</v>
      </c>
      <c r="G31" s="3" t="n">
        <v>1.3</v>
      </c>
      <c r="H31" s="3" t="n">
        <v>1.25</v>
      </c>
      <c r="I31" s="3" t="n">
        <v>1.2</v>
      </c>
      <c r="J31" s="3" t="n">
        <v>1.15</v>
      </c>
      <c r="K31" s="3" t="n">
        <v>1.1</v>
      </c>
      <c r="L31" s="3" t="n">
        <v>1.1</v>
      </c>
    </row>
    <row r="32" customFormat="false" ht="15" hidden="false" customHeight="false" outlineLevel="0" collapsed="false">
      <c r="A32" s="0" t="s">
        <v>110</v>
      </c>
      <c r="C32" s="3" t="n">
        <v>0.95</v>
      </c>
      <c r="D32" s="3" t="n">
        <v>0.95</v>
      </c>
      <c r="E32" s="3" t="n">
        <v>0.95</v>
      </c>
      <c r="F32" s="3" t="n">
        <v>0.95</v>
      </c>
      <c r="G32" s="3" t="n">
        <v>0.95</v>
      </c>
      <c r="H32" s="3" t="n">
        <v>0.95</v>
      </c>
      <c r="I32" s="3" t="n">
        <v>0.95</v>
      </c>
      <c r="J32" s="3" t="n">
        <v>0.95</v>
      </c>
      <c r="K32" s="3" t="n">
        <v>0.95</v>
      </c>
      <c r="L32" s="3" t="n">
        <v>0.95</v>
      </c>
    </row>
    <row r="33" customFormat="false" ht="15" hidden="false" customHeight="false" outlineLevel="0" collapsed="false">
      <c r="A33" s="0" t="s">
        <v>111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112</v>
      </c>
      <c r="B34" s="3" t="n">
        <v>9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15</v>
      </c>
    </row>
    <row r="37" customFormat="false" ht="15" hidden="false" customHeight="false" outlineLevel="0" collapsed="false">
      <c r="A37" s="0" t="s">
        <v>115</v>
      </c>
      <c r="B37" s="3" t="n">
        <v>-3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15</v>
      </c>
      <c r="D41" s="3" t="n">
        <v>12</v>
      </c>
      <c r="E41" s="3" t="n">
        <v>10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106</v>
      </c>
      <c r="C42" s="3" t="n">
        <v>6.7</v>
      </c>
      <c r="D42" s="3" t="n">
        <v>7</v>
      </c>
      <c r="E42" s="3" t="n">
        <v>7.3</v>
      </c>
      <c r="F42" s="3" t="n">
        <v>7.6</v>
      </c>
      <c r="G42" s="3" t="n">
        <v>7.8</v>
      </c>
      <c r="H42" s="3" t="n">
        <v>8</v>
      </c>
      <c r="I42" s="3" t="n">
        <v>8</v>
      </c>
      <c r="J42" s="3" t="n">
        <v>8</v>
      </c>
      <c r="K42" s="3" t="n">
        <v>8</v>
      </c>
      <c r="L42" s="3" t="n">
        <v>8</v>
      </c>
    </row>
    <row r="43" customFormat="false" ht="15" hidden="false" customHeight="false" outlineLevel="0" collapsed="false">
      <c r="A43" s="0" t="s">
        <v>107</v>
      </c>
      <c r="C43" s="3" t="n">
        <v>0.45</v>
      </c>
      <c r="D43" s="3" t="n">
        <v>0.45</v>
      </c>
      <c r="E43" s="3" t="n">
        <v>0.45</v>
      </c>
      <c r="F43" s="3" t="n">
        <v>0.45</v>
      </c>
      <c r="G43" s="3" t="n">
        <v>0.45</v>
      </c>
      <c r="H43" s="3" t="n">
        <v>0.45</v>
      </c>
      <c r="I43" s="3" t="n">
        <v>0.45</v>
      </c>
      <c r="J43" s="3" t="n">
        <v>0.45</v>
      </c>
      <c r="K43" s="3" t="n">
        <v>0.45</v>
      </c>
      <c r="L43" s="3" t="n">
        <v>0.45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1.75</v>
      </c>
      <c r="D45" s="3" t="n">
        <v>1.6</v>
      </c>
      <c r="E45" s="3" t="n">
        <v>1.5</v>
      </c>
      <c r="F45" s="3" t="n">
        <v>1.4</v>
      </c>
      <c r="G45" s="3" t="n">
        <v>1.3</v>
      </c>
      <c r="H45" s="3" t="n">
        <v>1.25</v>
      </c>
      <c r="I45" s="3" t="n">
        <v>1.2</v>
      </c>
      <c r="J45" s="3" t="n">
        <v>1.15</v>
      </c>
      <c r="K45" s="3" t="n">
        <v>1.1</v>
      </c>
      <c r="L45" s="3" t="n">
        <v>1.1</v>
      </c>
    </row>
    <row r="46" customFormat="false" ht="15" hidden="false" customHeight="false" outlineLevel="0" collapsed="false">
      <c r="A46" s="0" t="s">
        <v>110</v>
      </c>
      <c r="C46" s="3" t="n">
        <v>0.95</v>
      </c>
      <c r="D46" s="3" t="n">
        <v>0.95</v>
      </c>
      <c r="E46" s="3" t="n">
        <v>0.95</v>
      </c>
      <c r="F46" s="3" t="n">
        <v>0.95</v>
      </c>
      <c r="G46" s="3" t="n">
        <v>0.95</v>
      </c>
      <c r="H46" s="3" t="n">
        <v>0.95</v>
      </c>
      <c r="I46" s="3" t="n">
        <v>0.95</v>
      </c>
      <c r="J46" s="3" t="n">
        <v>0.95</v>
      </c>
      <c r="K46" s="3" t="n">
        <v>0.95</v>
      </c>
      <c r="L46" s="3" t="n">
        <v>0.95</v>
      </c>
    </row>
    <row r="47" customFormat="false" ht="15" hidden="false" customHeight="false" outlineLevel="0" collapsed="false">
      <c r="A47" s="0" t="s">
        <v>111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112</v>
      </c>
      <c r="B48" s="3" t="n">
        <v>9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17</v>
      </c>
    </row>
    <row r="51" customFormat="false" ht="15" hidden="false" customHeight="false" outlineLevel="0" collapsed="false">
      <c r="A51" s="0" t="s">
        <v>115</v>
      </c>
      <c r="B51" s="3" t="n">
        <v>-3</v>
      </c>
    </row>
    <row r="52" customFormat="false" ht="15" hidden="false" customHeight="false" outlineLevel="0" collapsed="false">
      <c r="A52" s="0" t="s">
        <v>116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12</v>
      </c>
      <c r="D5" s="4" t="n">
        <f aca="false">Assumptions!D13</f>
        <v>0</v>
      </c>
      <c r="E5" s="4" t="n">
        <f aca="false">Assumptions!E13</f>
        <v>-4</v>
      </c>
      <c r="F5" s="4" t="n">
        <f aca="false">Assumptions!F13</f>
        <v>4</v>
      </c>
      <c r="G5" s="4" t="n">
        <f aca="false">Assumptions!G13</f>
        <v>5</v>
      </c>
      <c r="H5" s="4" t="n">
        <f aca="false">Assumptions!H13</f>
        <v>4.5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40550</v>
      </c>
      <c r="C6" s="0" t="n">
        <f aca="false">B6*(1+C5/100)</f>
        <v>45416</v>
      </c>
      <c r="D6" s="0" t="n">
        <f aca="false">C6*(1+D5/100)</f>
        <v>45416</v>
      </c>
      <c r="E6" s="0" t="n">
        <f aca="false">D6*(1+E5/100)</f>
        <v>43599.36</v>
      </c>
      <c r="F6" s="0" t="n">
        <f aca="false">E6*(1+F5/100)</f>
        <v>45343.3344</v>
      </c>
      <c r="G6" s="0" t="n">
        <f aca="false">F6*(1+G5/100)</f>
        <v>47610.50112</v>
      </c>
      <c r="H6" s="0" t="n">
        <f aca="false">G6*(1+H5/100)</f>
        <v>49752.9736704</v>
      </c>
      <c r="I6" s="0" t="n">
        <f aca="false">H6*(1+I5/100)</f>
        <v>51743.092617216</v>
      </c>
      <c r="J6" s="0" t="n">
        <f aca="false">I6*(1+J5/100)</f>
        <v>53554.1008588186</v>
      </c>
      <c r="K6" s="0" t="n">
        <f aca="false">J6*(1+K5/100)</f>
        <v>55160.7238845831</v>
      </c>
      <c r="L6" s="0" t="n">
        <f aca="false">K6*(1+L5/100)</f>
        <v>56815.5456011206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6.5</v>
      </c>
      <c r="D7" s="4" t="n">
        <f aca="false">Assumptions!D14</f>
        <v>5.7</v>
      </c>
      <c r="E7" s="4" t="n">
        <f aca="false">Assumptions!E14</f>
        <v>5.3</v>
      </c>
      <c r="F7" s="4" t="n">
        <f aca="false">Assumptions!F14</f>
        <v>5.8</v>
      </c>
      <c r="G7" s="4" t="n">
        <f aca="false">Assumptions!G14</f>
        <v>6</v>
      </c>
      <c r="H7" s="4" t="n">
        <f aca="false">Assumptions!H14</f>
        <v>6.2</v>
      </c>
      <c r="I7" s="4" t="n">
        <f aca="false">Assumptions!I14</f>
        <v>6.2</v>
      </c>
      <c r="J7" s="4" t="n">
        <f aca="false">Assumptions!J14</f>
        <v>6.2</v>
      </c>
      <c r="K7" s="4" t="n">
        <f aca="false">Assumptions!K14</f>
        <v>6.2</v>
      </c>
      <c r="L7" s="4" t="n">
        <f aca="false">Assumptions!L14</f>
        <v>6.2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2952.04</v>
      </c>
      <c r="D8" s="0" t="n">
        <f aca="false">D6*D7/100</f>
        <v>2588.712</v>
      </c>
      <c r="E8" s="0" t="n">
        <f aca="false">E6*E7/100</f>
        <v>2310.76608</v>
      </c>
      <c r="F8" s="0" t="n">
        <f aca="false">F6*F7/100</f>
        <v>2629.9133952</v>
      </c>
      <c r="G8" s="0" t="n">
        <f aca="false">G6*G7/100</f>
        <v>2856.6300672</v>
      </c>
      <c r="H8" s="0" t="n">
        <f aca="false">H6*H7/100</f>
        <v>3084.6843675648</v>
      </c>
      <c r="I8" s="0" t="n">
        <f aca="false">I6*I7/100</f>
        <v>3208.07174226739</v>
      </c>
      <c r="J8" s="0" t="n">
        <f aca="false">J6*J7/100</f>
        <v>3320.35425324675</v>
      </c>
      <c r="K8" s="0" t="n">
        <f aca="false">K6*K7/100</f>
        <v>3419.96488084415</v>
      </c>
      <c r="L8" s="0" t="n">
        <f aca="false">L6*L7/100</f>
        <v>3522.56382726948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0.45</v>
      </c>
      <c r="D9" s="4" t="n">
        <f aca="false">Assumptions!D15</f>
        <v>0.45</v>
      </c>
      <c r="E9" s="4" t="n">
        <f aca="false">Assumptions!E15</f>
        <v>0.45</v>
      </c>
      <c r="F9" s="4" t="n">
        <f aca="false">Assumptions!F15</f>
        <v>0.45</v>
      </c>
      <c r="G9" s="4" t="n">
        <f aca="false">Assumptions!G15</f>
        <v>0.45</v>
      </c>
      <c r="H9" s="4" t="n">
        <f aca="false">Assumptions!H15</f>
        <v>0.45</v>
      </c>
      <c r="I9" s="4" t="n">
        <f aca="false">Assumptions!I15</f>
        <v>0.45</v>
      </c>
      <c r="J9" s="4" t="n">
        <f aca="false">Assumptions!J15</f>
        <v>0.45</v>
      </c>
      <c r="K9" s="4" t="n">
        <f aca="false">Assumptions!K15</f>
        <v>0.45</v>
      </c>
      <c r="L9" s="4" t="n">
        <f aca="false">Assumptions!L15</f>
        <v>0.45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-204.372</v>
      </c>
      <c r="D10" s="0" t="n">
        <f aca="false">-D6*D9/100</f>
        <v>-204.372</v>
      </c>
      <c r="E10" s="0" t="n">
        <f aca="false">-E6*E9/100</f>
        <v>-196.19712</v>
      </c>
      <c r="F10" s="0" t="n">
        <f aca="false">-F6*F9/100</f>
        <v>-204.0450048</v>
      </c>
      <c r="G10" s="0" t="n">
        <f aca="false">-G6*G9/100</f>
        <v>-214.24725504</v>
      </c>
      <c r="H10" s="0" t="n">
        <f aca="false">-H6*H9/100</f>
        <v>-223.8883815168</v>
      </c>
      <c r="I10" s="0" t="n">
        <f aca="false">-I6*I9/100</f>
        <v>-232.843916777472</v>
      </c>
      <c r="J10" s="0" t="n">
        <f aca="false">-J6*J9/100</f>
        <v>-240.993453864684</v>
      </c>
      <c r="K10" s="0" t="n">
        <f aca="false">-K6*K9/100</f>
        <v>-248.223257480624</v>
      </c>
      <c r="L10" s="0" t="n">
        <f aca="false">-L6*L9/100</f>
        <v>-255.669955205043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2747.668</v>
      </c>
      <c r="D11" s="0" t="n">
        <f aca="false">D8+D10+D24</f>
        <v>2384.34</v>
      </c>
      <c r="E11" s="0" t="n">
        <f aca="false">E8+E10+E24</f>
        <v>2114.56896</v>
      </c>
      <c r="F11" s="0" t="n">
        <f aca="false">F8+F10+F24</f>
        <v>2425.8683904</v>
      </c>
      <c r="G11" s="0" t="n">
        <f aca="false">G8+G10+G24</f>
        <v>2642.38281216</v>
      </c>
      <c r="H11" s="0" t="n">
        <f aca="false">H8+H10+H24</f>
        <v>2860.795986048</v>
      </c>
      <c r="I11" s="0" t="n">
        <f aca="false">I8+I10+I24</f>
        <v>2975.22782548992</v>
      </c>
      <c r="J11" s="0" t="n">
        <f aca="false">J8+J10+J24</f>
        <v>3079.36079938207</v>
      </c>
      <c r="K11" s="0" t="n">
        <f aca="false">K8+K10+K24</f>
        <v>3171.74162336353</v>
      </c>
      <c r="L11" s="0" t="n">
        <f aca="false">L8+L10+L24</f>
        <v>3266.89387206444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-794.78</v>
      </c>
      <c r="D12" s="4" t="n">
        <f aca="false">-D6*Assumptions!D17/100</f>
        <v>-772.072</v>
      </c>
      <c r="E12" s="4" t="n">
        <f aca="false">-E6*Assumptions!E17/100</f>
        <v>-719.38944</v>
      </c>
      <c r="F12" s="4" t="n">
        <f aca="false">-F6*Assumptions!F17/100</f>
        <v>-680.150016</v>
      </c>
      <c r="G12" s="4" t="n">
        <f aca="false">-G6*Assumptions!G17/100</f>
        <v>-666.54701568</v>
      </c>
      <c r="H12" s="4" t="n">
        <f aca="false">-H6*Assumptions!H17/100</f>
        <v>-646.7886577152</v>
      </c>
      <c r="I12" s="4" t="n">
        <f aca="false">-I6*Assumptions!I17/100</f>
        <v>-646.7886577152</v>
      </c>
      <c r="J12" s="4" t="n">
        <f aca="false">-J6*Assumptions!J17/100</f>
        <v>-642.649210305823</v>
      </c>
      <c r="K12" s="4" t="n">
        <f aca="false">-K6*Assumptions!K17/100</f>
        <v>-634.348324672706</v>
      </c>
      <c r="L12" s="4" t="n">
        <f aca="false">-L6*Assumptions!L17/100</f>
        <v>-653.378774412887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1952.888</v>
      </c>
      <c r="D13" s="0" t="n">
        <f aca="false">D11+D12</f>
        <v>1612.268</v>
      </c>
      <c r="E13" s="0" t="n">
        <f aca="false">E11+E12</f>
        <v>1395.17952</v>
      </c>
      <c r="F13" s="0" t="n">
        <f aca="false">F11+F12</f>
        <v>1745.7183744</v>
      </c>
      <c r="G13" s="0" t="n">
        <f aca="false">G11+G12</f>
        <v>1975.83579648</v>
      </c>
      <c r="H13" s="0" t="n">
        <f aca="false">H11+H12</f>
        <v>2214.0073283328</v>
      </c>
      <c r="I13" s="0" t="n">
        <f aca="false">I11+I12</f>
        <v>2328.43916777472</v>
      </c>
      <c r="J13" s="0" t="n">
        <f aca="false">J11+J12</f>
        <v>2436.71158907624</v>
      </c>
      <c r="K13" s="0" t="n">
        <f aca="false">K11+K12</f>
        <v>2537.39329869082</v>
      </c>
      <c r="L13" s="0" t="n">
        <f aca="false">L11+L12</f>
        <v>2613.51509765155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1503.72376</v>
      </c>
      <c r="D15" s="0" t="n">
        <f aca="false">D13-MAX(0,D13)*D14/100</f>
        <v>1241.44636</v>
      </c>
      <c r="E15" s="0" t="n">
        <f aca="false">E13-MAX(0,E13)*E14/100</f>
        <v>1074.2882304</v>
      </c>
      <c r="F15" s="0" t="n">
        <f aca="false">F13-MAX(0,F13)*F14/100</f>
        <v>1344.203148288</v>
      </c>
      <c r="G15" s="0" t="n">
        <f aca="false">G13-MAX(0,G13)*G14/100</f>
        <v>1521.3935632896</v>
      </c>
      <c r="H15" s="0" t="n">
        <f aca="false">H13-MAX(0,H13)*H14/100</f>
        <v>1704.78564281626</v>
      </c>
      <c r="I15" s="0" t="n">
        <f aca="false">I13-MAX(0,I13)*I14/100</f>
        <v>1792.89815918653</v>
      </c>
      <c r="J15" s="0" t="n">
        <f aca="false">J13-MAX(0,J13)*J14/100</f>
        <v>1876.26792358871</v>
      </c>
      <c r="K15" s="0" t="n">
        <f aca="false">K13-MAX(0,K13)*K14/100</f>
        <v>1953.79283999193</v>
      </c>
      <c r="L15" s="0" t="n">
        <f aca="false">L13-MAX(0,L13)*L14/100</f>
        <v>2012.40662519169</v>
      </c>
    </row>
    <row r="16" customFormat="false" ht="15" hidden="false" customHeight="false" outlineLevel="0" collapsed="false">
      <c r="A16" s="0" t="s">
        <v>127</v>
      </c>
      <c r="C16" s="0" t="n">
        <f aca="false">-C12</f>
        <v>794.78</v>
      </c>
      <c r="D16" s="0" t="n">
        <f aca="false">-D12</f>
        <v>772.072</v>
      </c>
      <c r="E16" s="0" t="n">
        <f aca="false">-E12</f>
        <v>719.38944</v>
      </c>
      <c r="F16" s="0" t="n">
        <f aca="false">-F12</f>
        <v>680.150016</v>
      </c>
      <c r="G16" s="0" t="n">
        <f aca="false">-G12</f>
        <v>666.54701568</v>
      </c>
      <c r="H16" s="0" t="n">
        <f aca="false">-H12</f>
        <v>646.7886577152</v>
      </c>
      <c r="I16" s="0" t="n">
        <f aca="false">-I12</f>
        <v>646.7886577152</v>
      </c>
      <c r="J16" s="0" t="n">
        <f aca="false">-J12</f>
        <v>642.649210305823</v>
      </c>
      <c r="K16" s="0" t="n">
        <f aca="false">-K12</f>
        <v>634.348324672706</v>
      </c>
      <c r="L16" s="0" t="n">
        <f aca="false">-L12</f>
        <v>653.378774412887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-431.452</v>
      </c>
      <c r="D17" s="4" t="n">
        <f aca="false">-D6*Assumptions!D18/100</f>
        <v>-431.452</v>
      </c>
      <c r="E17" s="4" t="n">
        <f aca="false">-E6*Assumptions!E18/100</f>
        <v>-414.19392</v>
      </c>
      <c r="F17" s="4" t="n">
        <f aca="false">-F6*Assumptions!F18/100</f>
        <v>-430.7616768</v>
      </c>
      <c r="G17" s="4" t="n">
        <f aca="false">-G6*Assumptions!G18/100</f>
        <v>-452.29976064</v>
      </c>
      <c r="H17" s="4" t="n">
        <f aca="false">-H6*Assumptions!H18/100</f>
        <v>-472.6532498688</v>
      </c>
      <c r="I17" s="4" t="n">
        <f aca="false">-I6*Assumptions!I18/100</f>
        <v>-491.559379863552</v>
      </c>
      <c r="J17" s="4" t="n">
        <f aca="false">-J6*Assumptions!J18/100</f>
        <v>-508.763958158776</v>
      </c>
      <c r="K17" s="4" t="n">
        <f aca="false">-K6*Assumptions!K18/100</f>
        <v>-524.02687690354</v>
      </c>
      <c r="L17" s="4" t="n">
        <f aca="false">-L6*Assumptions!L18/100</f>
        <v>-539.747683210646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-145.98</v>
      </c>
      <c r="D18" s="4" t="n">
        <f aca="false">(D6-C6)*Assumptions!$B$23/100</f>
        <v>-0</v>
      </c>
      <c r="E18" s="4" t="n">
        <f aca="false">(E6-D6)*Assumptions!$B$23/100</f>
        <v>54.4992</v>
      </c>
      <c r="F18" s="4" t="n">
        <f aca="false">(F6-E6)*Assumptions!$B$23/100</f>
        <v>-52.319232</v>
      </c>
      <c r="G18" s="4" t="n">
        <f aca="false">(G6-F6)*Assumptions!$B$23/100</f>
        <v>-68.0150016</v>
      </c>
      <c r="H18" s="4" t="n">
        <f aca="false">(H6-G6)*Assumptions!$B$23/100</f>
        <v>-64.2741765119998</v>
      </c>
      <c r="I18" s="4" t="n">
        <f aca="false">(I6-H6)*Assumptions!$B$23/100</f>
        <v>-59.70356840448</v>
      </c>
      <c r="J18" s="4" t="n">
        <f aca="false">(J6-I6)*Assumptions!$B$23/100</f>
        <v>-54.3302472480766</v>
      </c>
      <c r="K18" s="4" t="n">
        <f aca="false">(K6-J6)*Assumptions!$B$23/100</f>
        <v>-48.1986907729368</v>
      </c>
      <c r="L18" s="4" t="n">
        <f aca="false">(L6-K6)*Assumptions!$B$23/100</f>
        <v>-49.6446514961249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1721.07176</v>
      </c>
      <c r="D19" s="0" t="n">
        <f aca="false">D15+D16+D17+D18</f>
        <v>1582.06636</v>
      </c>
      <c r="E19" s="0" t="n">
        <f aca="false">E15+E16+E17+E18</f>
        <v>1433.9829504</v>
      </c>
      <c r="F19" s="0" t="n">
        <f aca="false">F15+F16+F17+F18</f>
        <v>1541.272255488</v>
      </c>
      <c r="G19" s="0" t="n">
        <f aca="false">G15+G16+G17+G18</f>
        <v>1667.6258167296</v>
      </c>
      <c r="H19" s="0" t="n">
        <f aca="false">H15+H16+H17+H18</f>
        <v>1814.64687415066</v>
      </c>
      <c r="I19" s="0" t="n">
        <f aca="false">I15+I16+I17+I18</f>
        <v>1888.4238686337</v>
      </c>
      <c r="J19" s="0" t="n">
        <f aca="false">J15+J16+J17+J18</f>
        <v>1955.82292848768</v>
      </c>
      <c r="K19" s="0" t="n">
        <f aca="false">K15+K16+K17+K18</f>
        <v>2015.91559698816</v>
      </c>
      <c r="L19" s="0" t="n">
        <f aca="false">L15+L16+L17+L18</f>
        <v>2076.39306489781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1578.96491743119</v>
      </c>
      <c r="D21" s="0" t="n">
        <f aca="false">D19*D20</f>
        <v>1331.59360323205</v>
      </c>
      <c r="E21" s="0" t="n">
        <f aca="false">E19*E20</f>
        <v>1107.2979449881</v>
      </c>
      <c r="F21" s="0" t="n">
        <f aca="false">F19*F20</f>
        <v>1091.87612290302</v>
      </c>
      <c r="G21" s="0" t="n">
        <f aca="false">G19*G20</f>
        <v>1083.84235889398</v>
      </c>
      <c r="H21" s="0" t="n">
        <f aca="false">H19*H20</f>
        <v>1082.01464087954</v>
      </c>
      <c r="I21" s="0" t="n">
        <f aca="false">I19*I20</f>
        <v>1033.03252492213</v>
      </c>
      <c r="J21" s="0" t="n">
        <f aca="false">J19*J20</f>
        <v>981.561576818809</v>
      </c>
      <c r="K21" s="0" t="n">
        <f aca="false">K19*K20</f>
        <v>928.183542013538</v>
      </c>
      <c r="L21" s="0" t="n">
        <f aca="false">L19*L20</f>
        <v>877.090869976096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11095.4581020585</v>
      </c>
    </row>
    <row r="31" customFormat="false" ht="15" hidden="false" customHeight="false" outlineLevel="0" collapsed="false">
      <c r="A31" s="0" t="s">
        <v>136</v>
      </c>
      <c r="B31" s="0" t="n">
        <f aca="false">L19</f>
        <v>2076.39306489781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32743.1214080039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24916.7167787737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24916.7167787737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10525.0904397131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21620.5485417716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14608.5485417716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49.7058473690766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-0.630577128434957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1398.91393366773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1703.0414750627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60.26030605819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17026.423132162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19.6081601272551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14</v>
      </c>
      <c r="D5" s="4" t="n">
        <f aca="false">Assumptions!D27</f>
        <v>9</v>
      </c>
      <c r="E5" s="4" t="n">
        <f aca="false">Assumptions!E27</f>
        <v>8</v>
      </c>
      <c r="F5" s="4" t="n">
        <f aca="false">Assumptions!F27</f>
        <v>7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40550</v>
      </c>
      <c r="C6" s="0" t="n">
        <f aca="false">B6*(1+C5/100)</f>
        <v>46227</v>
      </c>
      <c r="D6" s="0" t="n">
        <f aca="false">C6*(1+D5/100)</f>
        <v>50387.43</v>
      </c>
      <c r="E6" s="0" t="n">
        <f aca="false">D6*(1+E5/100)</f>
        <v>54418.4244</v>
      </c>
      <c r="F6" s="0" t="n">
        <f aca="false">E6*(1+F5/100)</f>
        <v>58227.714108</v>
      </c>
      <c r="G6" s="0" t="n">
        <f aca="false">F6*(1+G5/100)</f>
        <v>61721.37695448</v>
      </c>
      <c r="H6" s="0" t="n">
        <f aca="false">G6*(1+H5/100)</f>
        <v>65116.0526869764</v>
      </c>
      <c r="I6" s="0" t="n">
        <f aca="false">H6*(1+I5/100)</f>
        <v>68371.8553213253</v>
      </c>
      <c r="J6" s="0" t="n">
        <f aca="false">I6*(1+J5/100)</f>
        <v>71448.5888107849</v>
      </c>
      <c r="K6" s="0" t="n">
        <f aca="false">J6*(1+K5/100)</f>
        <v>74306.5323632163</v>
      </c>
      <c r="L6" s="0" t="n">
        <f aca="false">K6*(1+L5/100)</f>
        <v>76907.2609959288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6.6</v>
      </c>
      <c r="D7" s="4" t="n">
        <f aca="false">Assumptions!D28</f>
        <v>6.8</v>
      </c>
      <c r="E7" s="4" t="n">
        <f aca="false">Assumptions!E28</f>
        <v>7</v>
      </c>
      <c r="F7" s="4" t="n">
        <f aca="false">Assumptions!F28</f>
        <v>7.1</v>
      </c>
      <c r="G7" s="4" t="n">
        <f aca="false">Assumptions!G28</f>
        <v>7.2</v>
      </c>
      <c r="H7" s="4" t="n">
        <f aca="false">Assumptions!H28</f>
        <v>7.3</v>
      </c>
      <c r="I7" s="4" t="n">
        <f aca="false">Assumptions!I28</f>
        <v>7.3</v>
      </c>
      <c r="J7" s="4" t="n">
        <f aca="false">Assumptions!J28</f>
        <v>7.3</v>
      </c>
      <c r="K7" s="4" t="n">
        <f aca="false">Assumptions!K28</f>
        <v>7.3</v>
      </c>
      <c r="L7" s="4" t="n">
        <f aca="false">Assumptions!L28</f>
        <v>7.3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3050.982</v>
      </c>
      <c r="D8" s="0" t="n">
        <f aca="false">D6*D7/100</f>
        <v>3426.34524</v>
      </c>
      <c r="E8" s="0" t="n">
        <f aca="false">E6*E7/100</f>
        <v>3809.289708</v>
      </c>
      <c r="F8" s="0" t="n">
        <f aca="false">F6*F7/100</f>
        <v>4134.167701668</v>
      </c>
      <c r="G8" s="0" t="n">
        <f aca="false">G6*G7/100</f>
        <v>4443.93914072256</v>
      </c>
      <c r="H8" s="0" t="n">
        <f aca="false">H6*H7/100</f>
        <v>4753.47184614928</v>
      </c>
      <c r="I8" s="0" t="n">
        <f aca="false">I6*I7/100</f>
        <v>4991.14543845674</v>
      </c>
      <c r="J8" s="0" t="n">
        <f aca="false">J6*J7/100</f>
        <v>5215.7469831873</v>
      </c>
      <c r="K8" s="0" t="n">
        <f aca="false">K6*K7/100</f>
        <v>5424.37686251479</v>
      </c>
      <c r="L8" s="0" t="n">
        <f aca="false">L6*L7/100</f>
        <v>5614.23005270281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0.45</v>
      </c>
      <c r="D9" s="4" t="n">
        <f aca="false">Assumptions!D29</f>
        <v>0.45</v>
      </c>
      <c r="E9" s="4" t="n">
        <f aca="false">Assumptions!E29</f>
        <v>0.45</v>
      </c>
      <c r="F9" s="4" t="n">
        <f aca="false">Assumptions!F29</f>
        <v>0.45</v>
      </c>
      <c r="G9" s="4" t="n">
        <f aca="false">Assumptions!G29</f>
        <v>0.45</v>
      </c>
      <c r="H9" s="4" t="n">
        <f aca="false">Assumptions!H29</f>
        <v>0.45</v>
      </c>
      <c r="I9" s="4" t="n">
        <f aca="false">Assumptions!I29</f>
        <v>0.45</v>
      </c>
      <c r="J9" s="4" t="n">
        <f aca="false">Assumptions!J29</f>
        <v>0.45</v>
      </c>
      <c r="K9" s="4" t="n">
        <f aca="false">Assumptions!K29</f>
        <v>0.45</v>
      </c>
      <c r="L9" s="4" t="n">
        <f aca="false">Assumptions!L29</f>
        <v>0.45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-208.0215</v>
      </c>
      <c r="D10" s="0" t="n">
        <f aca="false">-D6*D9/100</f>
        <v>-226.743435</v>
      </c>
      <c r="E10" s="0" t="n">
        <f aca="false">-E6*E9/100</f>
        <v>-244.8829098</v>
      </c>
      <c r="F10" s="0" t="n">
        <f aca="false">-F6*F9/100</f>
        <v>-262.024713486</v>
      </c>
      <c r="G10" s="0" t="n">
        <f aca="false">-G6*G9/100</f>
        <v>-277.74619629516</v>
      </c>
      <c r="H10" s="0" t="n">
        <f aca="false">-H6*H9/100</f>
        <v>-293.022237091394</v>
      </c>
      <c r="I10" s="0" t="n">
        <f aca="false">-I6*I9/100</f>
        <v>-307.673348945964</v>
      </c>
      <c r="J10" s="0" t="n">
        <f aca="false">-J6*J9/100</f>
        <v>-321.518649648532</v>
      </c>
      <c r="K10" s="0" t="n">
        <f aca="false">-K6*K9/100</f>
        <v>-334.379395634473</v>
      </c>
      <c r="L10" s="0" t="n">
        <f aca="false">-L6*L9/100</f>
        <v>-346.08267448168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2842.9605</v>
      </c>
      <c r="D11" s="0" t="n">
        <f aca="false">D8+D10+D24</f>
        <v>3199.601805</v>
      </c>
      <c r="E11" s="0" t="n">
        <f aca="false">E8+E10+E24</f>
        <v>3564.4067982</v>
      </c>
      <c r="F11" s="0" t="n">
        <f aca="false">F8+F10+F24</f>
        <v>3872.142988182</v>
      </c>
      <c r="G11" s="0" t="n">
        <f aca="false">G8+G10+G24</f>
        <v>4166.1929444274</v>
      </c>
      <c r="H11" s="0" t="n">
        <f aca="false">H8+H10+H24</f>
        <v>4460.44960905789</v>
      </c>
      <c r="I11" s="0" t="n">
        <f aca="false">I8+I10+I24</f>
        <v>4683.47208951078</v>
      </c>
      <c r="J11" s="0" t="n">
        <f aca="false">J8+J10+J24</f>
        <v>4894.22833353876</v>
      </c>
      <c r="K11" s="0" t="n">
        <f aca="false">K8+K10+K24</f>
        <v>5089.99746688032</v>
      </c>
      <c r="L11" s="0" t="n">
        <f aca="false">L8+L10+L24</f>
        <v>5268.14737822113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-808.9725</v>
      </c>
      <c r="D12" s="4" t="n">
        <f aca="false">-D6*Assumptions!D31/100</f>
        <v>-806.19888</v>
      </c>
      <c r="E12" s="4" t="n">
        <f aca="false">-E6*Assumptions!E31/100</f>
        <v>-816.276366</v>
      </c>
      <c r="F12" s="4" t="n">
        <f aca="false">-F6*Assumptions!F31/100</f>
        <v>-815.187997512</v>
      </c>
      <c r="G12" s="4" t="n">
        <f aca="false">-G6*Assumptions!G31/100</f>
        <v>-802.37790040824</v>
      </c>
      <c r="H12" s="4" t="n">
        <f aca="false">-H6*Assumptions!H31/100</f>
        <v>-813.950658587205</v>
      </c>
      <c r="I12" s="4" t="n">
        <f aca="false">-I6*Assumptions!I31/100</f>
        <v>-820.462263855903</v>
      </c>
      <c r="J12" s="4" t="n">
        <f aca="false">-J6*Assumptions!J31/100</f>
        <v>-821.658771324026</v>
      </c>
      <c r="K12" s="4" t="n">
        <f aca="false">-K6*Assumptions!K31/100</f>
        <v>-817.371855995379</v>
      </c>
      <c r="L12" s="4" t="n">
        <f aca="false">-L6*Assumptions!L31/100</f>
        <v>-845.979870955217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2033.988</v>
      </c>
      <c r="D13" s="0" t="n">
        <f aca="false">D11+D12</f>
        <v>2393.402925</v>
      </c>
      <c r="E13" s="0" t="n">
        <f aca="false">E11+E12</f>
        <v>2748.1304322</v>
      </c>
      <c r="F13" s="0" t="n">
        <f aca="false">F11+F12</f>
        <v>3056.95499067</v>
      </c>
      <c r="G13" s="0" t="n">
        <f aca="false">G11+G12</f>
        <v>3363.81504401916</v>
      </c>
      <c r="H13" s="0" t="n">
        <f aca="false">H11+H12</f>
        <v>3646.49895047068</v>
      </c>
      <c r="I13" s="0" t="n">
        <f aca="false">I11+I12</f>
        <v>3863.00982565488</v>
      </c>
      <c r="J13" s="0" t="n">
        <f aca="false">J11+J12</f>
        <v>4072.56956221474</v>
      </c>
      <c r="K13" s="0" t="n">
        <f aca="false">K11+K12</f>
        <v>4272.62561088494</v>
      </c>
      <c r="L13" s="0" t="n">
        <f aca="false">L11+L12</f>
        <v>4422.16750726591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1566.17076</v>
      </c>
      <c r="D15" s="0" t="n">
        <f aca="false">D13-MAX(0,D13)*D14/100</f>
        <v>1842.92025225</v>
      </c>
      <c r="E15" s="0" t="n">
        <f aca="false">E13-MAX(0,E13)*E14/100</f>
        <v>2116.060432794</v>
      </c>
      <c r="F15" s="0" t="n">
        <f aca="false">F13-MAX(0,F13)*F14/100</f>
        <v>2353.8553428159</v>
      </c>
      <c r="G15" s="0" t="n">
        <f aca="false">G13-MAX(0,G13)*G14/100</f>
        <v>2590.13758389475</v>
      </c>
      <c r="H15" s="0" t="n">
        <f aca="false">H13-MAX(0,H13)*H14/100</f>
        <v>2807.80419186242</v>
      </c>
      <c r="I15" s="0" t="n">
        <f aca="false">I13-MAX(0,I13)*I14/100</f>
        <v>2974.51756575425</v>
      </c>
      <c r="J15" s="0" t="n">
        <f aca="false">J13-MAX(0,J13)*J14/100</f>
        <v>3135.87856290535</v>
      </c>
      <c r="K15" s="0" t="n">
        <f aca="false">K13-MAX(0,K13)*K14/100</f>
        <v>3289.9217203814</v>
      </c>
      <c r="L15" s="0" t="n">
        <f aca="false">L13-MAX(0,L13)*L14/100</f>
        <v>3405.06898059475</v>
      </c>
    </row>
    <row r="16" customFormat="false" ht="15" hidden="false" customHeight="false" outlineLevel="0" collapsed="false">
      <c r="A16" s="0" t="s">
        <v>127</v>
      </c>
      <c r="C16" s="0" t="n">
        <f aca="false">-C12</f>
        <v>808.9725</v>
      </c>
      <c r="D16" s="0" t="n">
        <f aca="false">-D12</f>
        <v>806.19888</v>
      </c>
      <c r="E16" s="0" t="n">
        <f aca="false">-E12</f>
        <v>816.276366</v>
      </c>
      <c r="F16" s="0" t="n">
        <f aca="false">-F12</f>
        <v>815.187997512</v>
      </c>
      <c r="G16" s="0" t="n">
        <f aca="false">-G12</f>
        <v>802.37790040824</v>
      </c>
      <c r="H16" s="0" t="n">
        <f aca="false">-H12</f>
        <v>813.950658587205</v>
      </c>
      <c r="I16" s="0" t="n">
        <f aca="false">-I12</f>
        <v>820.462263855903</v>
      </c>
      <c r="J16" s="0" t="n">
        <f aca="false">-J12</f>
        <v>821.658771324026</v>
      </c>
      <c r="K16" s="0" t="n">
        <f aca="false">-K12</f>
        <v>817.371855995379</v>
      </c>
      <c r="L16" s="0" t="n">
        <f aca="false">-L12</f>
        <v>845.979870955217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-439.1565</v>
      </c>
      <c r="D17" s="4" t="n">
        <f aca="false">-D6*Assumptions!D32/100</f>
        <v>-478.680585</v>
      </c>
      <c r="E17" s="4" t="n">
        <f aca="false">-E6*Assumptions!E32/100</f>
        <v>-516.9750318</v>
      </c>
      <c r="F17" s="4" t="n">
        <f aca="false">-F6*Assumptions!F32/100</f>
        <v>-553.163284026</v>
      </c>
      <c r="G17" s="4" t="n">
        <f aca="false">-G6*Assumptions!G32/100</f>
        <v>-586.35308106756</v>
      </c>
      <c r="H17" s="4" t="n">
        <f aca="false">-H6*Assumptions!H32/100</f>
        <v>-618.602500526276</v>
      </c>
      <c r="I17" s="4" t="n">
        <f aca="false">-I6*Assumptions!I32/100</f>
        <v>-649.53262555259</v>
      </c>
      <c r="J17" s="4" t="n">
        <f aca="false">-J6*Assumptions!J32/100</f>
        <v>-678.761593702456</v>
      </c>
      <c r="K17" s="4" t="n">
        <f aca="false">-K6*Assumptions!K32/100</f>
        <v>-705.912057450555</v>
      </c>
      <c r="L17" s="4" t="n">
        <f aca="false">-L6*Assumptions!L32/100</f>
        <v>-730.618979461324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-170.31</v>
      </c>
      <c r="D18" s="4" t="n">
        <f aca="false">(D6-C6)*Assumptions!$B$37/100</f>
        <v>-124.8129</v>
      </c>
      <c r="E18" s="4" t="n">
        <f aca="false">(E6-D6)*Assumptions!$B$37/100</f>
        <v>-120.929832</v>
      </c>
      <c r="F18" s="4" t="n">
        <f aca="false">(F6-E6)*Assumptions!$B$37/100</f>
        <v>-114.27869124</v>
      </c>
      <c r="G18" s="4" t="n">
        <f aca="false">(G6-F6)*Assumptions!$B$37/100</f>
        <v>-104.8098853944</v>
      </c>
      <c r="H18" s="4" t="n">
        <f aca="false">(H6-G6)*Assumptions!$B$37/100</f>
        <v>-101.840271974892</v>
      </c>
      <c r="I18" s="4" t="n">
        <f aca="false">(I6-H6)*Assumptions!$B$37/100</f>
        <v>-97.6740790304647</v>
      </c>
      <c r="J18" s="4" t="n">
        <f aca="false">(J6-I6)*Assumptions!$B$37/100</f>
        <v>-92.3020046837888</v>
      </c>
      <c r="K18" s="4" t="n">
        <f aca="false">(K6-J6)*Assumptions!$B$37/100</f>
        <v>-85.7383065729421</v>
      </c>
      <c r="L18" s="4" t="n">
        <f aca="false">(L6-K6)*Assumptions!$B$37/100</f>
        <v>-78.0218589813769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1765.67676</v>
      </c>
      <c r="D19" s="0" t="n">
        <f aca="false">D15+D16+D17+D18</f>
        <v>2045.62564725</v>
      </c>
      <c r="E19" s="0" t="n">
        <f aca="false">E15+E16+E17+E18</f>
        <v>2294.431934994</v>
      </c>
      <c r="F19" s="0" t="n">
        <f aca="false">F15+F16+F17+F18</f>
        <v>2501.6013650619</v>
      </c>
      <c r="G19" s="0" t="n">
        <f aca="false">G15+G16+G17+G18</f>
        <v>2701.35251784103</v>
      </c>
      <c r="H19" s="0" t="n">
        <f aca="false">H15+H16+H17+H18</f>
        <v>2901.31207794846</v>
      </c>
      <c r="I19" s="0" t="n">
        <f aca="false">I15+I16+I17+I18</f>
        <v>3047.7731250271</v>
      </c>
      <c r="J19" s="0" t="n">
        <f aca="false">J15+J16+J17+J18</f>
        <v>3186.47373584313</v>
      </c>
      <c r="K19" s="0" t="n">
        <f aca="false">K15+K16+K17+K18</f>
        <v>3315.64321235328</v>
      </c>
      <c r="L19" s="0" t="n">
        <f aca="false">L15+L16+L17+L18</f>
        <v>3442.40801310727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1619.88693577982</v>
      </c>
      <c r="D21" s="0" t="n">
        <f aca="false">D19*D20</f>
        <v>1721.76218100328</v>
      </c>
      <c r="E21" s="0" t="n">
        <f aca="false">E19*E20</f>
        <v>1771.72243632691</v>
      </c>
      <c r="F21" s="0" t="n">
        <f aca="false">F19*F20</f>
        <v>1772.19747504496</v>
      </c>
      <c r="G21" s="0" t="n">
        <f aca="false">G19*G20</f>
        <v>1755.69378680095</v>
      </c>
      <c r="H21" s="0" t="n">
        <f aca="false">H19*H20</f>
        <v>1729.95759716071</v>
      </c>
      <c r="I21" s="0" t="n">
        <f aca="false">I19*I20</f>
        <v>1667.23626990296</v>
      </c>
      <c r="J21" s="0" t="n">
        <f aca="false">J19*J20</f>
        <v>1599.18371908258</v>
      </c>
      <c r="K21" s="0" t="n">
        <f aca="false">K19*K20</f>
        <v>1526.61424193212</v>
      </c>
      <c r="L21" s="0" t="n">
        <f aca="false">L19*L20</f>
        <v>1454.11034648083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16618.3649895151</v>
      </c>
    </row>
    <row r="31" customFormat="false" ht="15" hidden="false" customHeight="false" outlineLevel="0" collapsed="false">
      <c r="A31" s="0" t="s">
        <v>136</v>
      </c>
      <c r="B31" s="0" t="n">
        <f aca="false">L19</f>
        <v>3442.40801310727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59094.6708916748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51636.120196609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51636.120196609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21811.6551972124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38430.0201867275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31418.0201867275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106.900374912309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-0.205497027779201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1741.45968363639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2509.57889389729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121.364609609599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29547.3354458374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43.861712553406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15</v>
      </c>
      <c r="D5" s="4" t="n">
        <f aca="false">Assumptions!D41</f>
        <v>12</v>
      </c>
      <c r="E5" s="4" t="n">
        <f aca="false">Assumptions!E41</f>
        <v>10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40550</v>
      </c>
      <c r="C6" s="0" t="n">
        <f aca="false">B6*(1+C5/100)</f>
        <v>46632.5</v>
      </c>
      <c r="D6" s="0" t="n">
        <f aca="false">C6*(1+D5/100)</f>
        <v>52228.4</v>
      </c>
      <c r="E6" s="0" t="n">
        <f aca="false">D6*(1+E5/100)</f>
        <v>57451.24</v>
      </c>
      <c r="F6" s="0" t="n">
        <f aca="false">E6*(1+F5/100)</f>
        <v>62621.8516</v>
      </c>
      <c r="G6" s="0" t="n">
        <f aca="false">F6*(1+G5/100)</f>
        <v>67631.599728</v>
      </c>
      <c r="H6" s="0" t="n">
        <f aca="false">G6*(1+H5/100)</f>
        <v>72365.81170896</v>
      </c>
      <c r="I6" s="0" t="n">
        <f aca="false">H6*(1+I5/100)</f>
        <v>76707.7604114976</v>
      </c>
      <c r="J6" s="0" t="n">
        <f aca="false">I6*(1+J5/100)</f>
        <v>80543.1484320725</v>
      </c>
      <c r="K6" s="0" t="n">
        <f aca="false">J6*(1+K5/100)</f>
        <v>84167.5901115158</v>
      </c>
      <c r="L6" s="0" t="n">
        <f aca="false">K6*(1+L5/100)</f>
        <v>87534.2937159764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6.7</v>
      </c>
      <c r="D7" s="4" t="n">
        <f aca="false">Assumptions!D42</f>
        <v>7</v>
      </c>
      <c r="E7" s="4" t="n">
        <f aca="false">Assumptions!E42</f>
        <v>7.3</v>
      </c>
      <c r="F7" s="4" t="n">
        <f aca="false">Assumptions!F42</f>
        <v>7.6</v>
      </c>
      <c r="G7" s="4" t="n">
        <f aca="false">Assumptions!G42</f>
        <v>7.8</v>
      </c>
      <c r="H7" s="4" t="n">
        <f aca="false">Assumptions!H42</f>
        <v>8</v>
      </c>
      <c r="I7" s="4" t="n">
        <f aca="false">Assumptions!I42</f>
        <v>8</v>
      </c>
      <c r="J7" s="4" t="n">
        <f aca="false">Assumptions!J42</f>
        <v>8</v>
      </c>
      <c r="K7" s="4" t="n">
        <f aca="false">Assumptions!K42</f>
        <v>8</v>
      </c>
      <c r="L7" s="4" t="n">
        <f aca="false">Assumptions!L42</f>
        <v>8</v>
      </c>
    </row>
    <row r="8" customFormat="false" ht="15" hidden="false" customHeight="false" outlineLevel="0" collapsed="false">
      <c r="A8" s="0" t="s">
        <v>43</v>
      </c>
      <c r="C8" s="0" t="n">
        <f aca="false">C6*C7/100</f>
        <v>3124.3775</v>
      </c>
      <c r="D8" s="0" t="n">
        <f aca="false">D6*D7/100</f>
        <v>3655.988</v>
      </c>
      <c r="E8" s="0" t="n">
        <f aca="false">E6*E7/100</f>
        <v>4193.94052</v>
      </c>
      <c r="F8" s="0" t="n">
        <f aca="false">F6*F7/100</f>
        <v>4759.2607216</v>
      </c>
      <c r="G8" s="0" t="n">
        <f aca="false">G6*G7/100</f>
        <v>5275.264778784</v>
      </c>
      <c r="H8" s="0" t="n">
        <f aca="false">H6*H7/100</f>
        <v>5789.2649367168</v>
      </c>
      <c r="I8" s="0" t="n">
        <f aca="false">I6*I7/100</f>
        <v>6136.62083291981</v>
      </c>
      <c r="J8" s="0" t="n">
        <f aca="false">J6*J7/100</f>
        <v>6443.4518745658</v>
      </c>
      <c r="K8" s="0" t="n">
        <f aca="false">K6*K7/100</f>
        <v>6733.40720892126</v>
      </c>
      <c r="L8" s="0" t="n">
        <f aca="false">L6*L7/100</f>
        <v>7002.74349727811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0.45</v>
      </c>
      <c r="D9" s="4" t="n">
        <f aca="false">Assumptions!D43</f>
        <v>0.45</v>
      </c>
      <c r="E9" s="4" t="n">
        <f aca="false">Assumptions!E43</f>
        <v>0.45</v>
      </c>
      <c r="F9" s="4" t="n">
        <f aca="false">Assumptions!F43</f>
        <v>0.45</v>
      </c>
      <c r="G9" s="4" t="n">
        <f aca="false">Assumptions!G43</f>
        <v>0.45</v>
      </c>
      <c r="H9" s="4" t="n">
        <f aca="false">Assumptions!H43</f>
        <v>0.45</v>
      </c>
      <c r="I9" s="4" t="n">
        <f aca="false">Assumptions!I43</f>
        <v>0.45</v>
      </c>
      <c r="J9" s="4" t="n">
        <f aca="false">Assumptions!J43</f>
        <v>0.45</v>
      </c>
      <c r="K9" s="4" t="n">
        <f aca="false">Assumptions!K43</f>
        <v>0.45</v>
      </c>
      <c r="L9" s="4" t="n">
        <f aca="false">Assumptions!L43</f>
        <v>0.45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-209.84625</v>
      </c>
      <c r="D10" s="0" t="n">
        <f aca="false">-D6*D9/100</f>
        <v>-235.0278</v>
      </c>
      <c r="E10" s="0" t="n">
        <f aca="false">-E6*E9/100</f>
        <v>-258.53058</v>
      </c>
      <c r="F10" s="0" t="n">
        <f aca="false">-F6*F9/100</f>
        <v>-281.7983322</v>
      </c>
      <c r="G10" s="0" t="n">
        <f aca="false">-G6*G9/100</f>
        <v>-304.342198776</v>
      </c>
      <c r="H10" s="0" t="n">
        <f aca="false">-H6*H9/100</f>
        <v>-325.64615269032</v>
      </c>
      <c r="I10" s="0" t="n">
        <f aca="false">-I6*I9/100</f>
        <v>-345.184921851739</v>
      </c>
      <c r="J10" s="0" t="n">
        <f aca="false">-J6*J9/100</f>
        <v>-362.444167944326</v>
      </c>
      <c r="K10" s="0" t="n">
        <f aca="false">-K6*K9/100</f>
        <v>-378.754155501821</v>
      </c>
      <c r="L10" s="0" t="n">
        <f aca="false">-L6*L9/100</f>
        <v>-393.904321721894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2914.53125</v>
      </c>
      <c r="D11" s="0" t="n">
        <f aca="false">D8+D10+D24</f>
        <v>3420.9602</v>
      </c>
      <c r="E11" s="0" t="n">
        <f aca="false">E8+E10+E24</f>
        <v>3935.40994</v>
      </c>
      <c r="F11" s="0" t="n">
        <f aca="false">F8+F10+F24</f>
        <v>4477.4623894</v>
      </c>
      <c r="G11" s="0" t="n">
        <f aca="false">G8+G10+G24</f>
        <v>4970.922580008</v>
      </c>
      <c r="H11" s="0" t="n">
        <f aca="false">H8+H10+H24</f>
        <v>5463.61878402648</v>
      </c>
      <c r="I11" s="0" t="n">
        <f aca="false">I8+I10+I24</f>
        <v>5791.43591106807</v>
      </c>
      <c r="J11" s="0" t="n">
        <f aca="false">J8+J10+J24</f>
        <v>6081.00770662148</v>
      </c>
      <c r="K11" s="0" t="n">
        <f aca="false">K8+K10+K24</f>
        <v>6354.65305341944</v>
      </c>
      <c r="L11" s="0" t="n">
        <f aca="false">L8+L10+L24</f>
        <v>6608.83917555622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-816.06875</v>
      </c>
      <c r="D12" s="4" t="n">
        <f aca="false">-D6*Assumptions!D45/100</f>
        <v>-835.6544</v>
      </c>
      <c r="E12" s="4" t="n">
        <f aca="false">-E6*Assumptions!E45/100</f>
        <v>-861.7686</v>
      </c>
      <c r="F12" s="4" t="n">
        <f aca="false">-F6*Assumptions!F45/100</f>
        <v>-876.7059224</v>
      </c>
      <c r="G12" s="4" t="n">
        <f aca="false">-G6*Assumptions!G45/100</f>
        <v>-879.210796464</v>
      </c>
      <c r="H12" s="4" t="n">
        <f aca="false">-H6*Assumptions!H45/100</f>
        <v>-904.572646362</v>
      </c>
      <c r="I12" s="4" t="n">
        <f aca="false">-I6*Assumptions!I45/100</f>
        <v>-920.493124937971</v>
      </c>
      <c r="J12" s="4" t="n">
        <f aca="false">-J6*Assumptions!J45/100</f>
        <v>-926.246206968834</v>
      </c>
      <c r="K12" s="4" t="n">
        <f aca="false">-K6*Assumptions!K45/100</f>
        <v>-925.843491226674</v>
      </c>
      <c r="L12" s="4" t="n">
        <f aca="false">-L6*Assumptions!L45/100</f>
        <v>-962.877230875741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2098.4625</v>
      </c>
      <c r="D13" s="0" t="n">
        <f aca="false">D11+D12</f>
        <v>2585.3058</v>
      </c>
      <c r="E13" s="0" t="n">
        <f aca="false">E11+E12</f>
        <v>3073.64134</v>
      </c>
      <c r="F13" s="0" t="n">
        <f aca="false">F11+F12</f>
        <v>3600.756467</v>
      </c>
      <c r="G13" s="0" t="n">
        <f aca="false">G11+G12</f>
        <v>4091.711783544</v>
      </c>
      <c r="H13" s="0" t="n">
        <f aca="false">H11+H12</f>
        <v>4559.04613766448</v>
      </c>
      <c r="I13" s="0" t="n">
        <f aca="false">I11+I12</f>
        <v>4870.9427861301</v>
      </c>
      <c r="J13" s="0" t="n">
        <f aca="false">J11+J12</f>
        <v>5154.76149965264</v>
      </c>
      <c r="K13" s="0" t="n">
        <f aca="false">K11+K12</f>
        <v>5428.80956219277</v>
      </c>
      <c r="L13" s="0" t="n">
        <f aca="false">L11+L12</f>
        <v>5645.96194468048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1615.816125</v>
      </c>
      <c r="D15" s="0" t="n">
        <f aca="false">D13-MAX(0,D13)*D14/100</f>
        <v>1990.685466</v>
      </c>
      <c r="E15" s="0" t="n">
        <f aca="false">E13-MAX(0,E13)*E14/100</f>
        <v>2366.7038318</v>
      </c>
      <c r="F15" s="0" t="n">
        <f aca="false">F13-MAX(0,F13)*F14/100</f>
        <v>2772.58247959</v>
      </c>
      <c r="G15" s="0" t="n">
        <f aca="false">G13-MAX(0,G13)*G14/100</f>
        <v>3150.61807332888</v>
      </c>
      <c r="H15" s="0" t="n">
        <f aca="false">H13-MAX(0,H13)*H14/100</f>
        <v>3510.46552600165</v>
      </c>
      <c r="I15" s="0" t="n">
        <f aca="false">I13-MAX(0,I13)*I14/100</f>
        <v>3750.62594532018</v>
      </c>
      <c r="J15" s="0" t="n">
        <f aca="false">J13-MAX(0,J13)*J14/100</f>
        <v>3969.16635473253</v>
      </c>
      <c r="K15" s="0" t="n">
        <f aca="false">K13-MAX(0,K13)*K14/100</f>
        <v>4180.18336288843</v>
      </c>
      <c r="L15" s="0" t="n">
        <f aca="false">L13-MAX(0,L13)*L14/100</f>
        <v>4347.39069740397</v>
      </c>
    </row>
    <row r="16" customFormat="false" ht="15" hidden="false" customHeight="false" outlineLevel="0" collapsed="false">
      <c r="A16" s="0" t="s">
        <v>127</v>
      </c>
      <c r="C16" s="0" t="n">
        <f aca="false">-C12</f>
        <v>816.06875</v>
      </c>
      <c r="D16" s="0" t="n">
        <f aca="false">-D12</f>
        <v>835.6544</v>
      </c>
      <c r="E16" s="0" t="n">
        <f aca="false">-E12</f>
        <v>861.7686</v>
      </c>
      <c r="F16" s="0" t="n">
        <f aca="false">-F12</f>
        <v>876.7059224</v>
      </c>
      <c r="G16" s="0" t="n">
        <f aca="false">-G12</f>
        <v>879.210796464</v>
      </c>
      <c r="H16" s="0" t="n">
        <f aca="false">-H12</f>
        <v>904.572646362</v>
      </c>
      <c r="I16" s="0" t="n">
        <f aca="false">-I12</f>
        <v>920.493124937971</v>
      </c>
      <c r="J16" s="0" t="n">
        <f aca="false">-J12</f>
        <v>926.246206968834</v>
      </c>
      <c r="K16" s="0" t="n">
        <f aca="false">-K12</f>
        <v>925.843491226674</v>
      </c>
      <c r="L16" s="0" t="n">
        <f aca="false">-L12</f>
        <v>962.877230875741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-443.00875</v>
      </c>
      <c r="D17" s="4" t="n">
        <f aca="false">-D6*Assumptions!D46/100</f>
        <v>-496.1698</v>
      </c>
      <c r="E17" s="4" t="n">
        <f aca="false">-E6*Assumptions!E46/100</f>
        <v>-545.78678</v>
      </c>
      <c r="F17" s="4" t="n">
        <f aca="false">-F6*Assumptions!F46/100</f>
        <v>-594.9075902</v>
      </c>
      <c r="G17" s="4" t="n">
        <f aca="false">-G6*Assumptions!G46/100</f>
        <v>-642.500197416</v>
      </c>
      <c r="H17" s="4" t="n">
        <f aca="false">-H6*Assumptions!H46/100</f>
        <v>-687.47521123512</v>
      </c>
      <c r="I17" s="4" t="n">
        <f aca="false">-I6*Assumptions!I46/100</f>
        <v>-728.723723909227</v>
      </c>
      <c r="J17" s="4" t="n">
        <f aca="false">-J6*Assumptions!J46/100</f>
        <v>-765.159910104689</v>
      </c>
      <c r="K17" s="4" t="n">
        <f aca="false">-K6*Assumptions!K46/100</f>
        <v>-799.5921060594</v>
      </c>
      <c r="L17" s="4" t="n">
        <f aca="false">-L6*Assumptions!L46/100</f>
        <v>-831.575790301776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-182.475</v>
      </c>
      <c r="D18" s="4" t="n">
        <f aca="false">(D6-C6)*Assumptions!$B$51/100</f>
        <v>-167.877</v>
      </c>
      <c r="E18" s="4" t="n">
        <f aca="false">(E6-D6)*Assumptions!$B$51/100</f>
        <v>-156.6852</v>
      </c>
      <c r="F18" s="4" t="n">
        <f aca="false">(F6-E6)*Assumptions!$B$51/100</f>
        <v>-155.118348</v>
      </c>
      <c r="G18" s="4" t="n">
        <f aca="false">(G6-F6)*Assumptions!$B$51/100</f>
        <v>-150.29244384</v>
      </c>
      <c r="H18" s="4" t="n">
        <f aca="false">(H6-G6)*Assumptions!$B$51/100</f>
        <v>-142.0263594288</v>
      </c>
      <c r="I18" s="4" t="n">
        <f aca="false">(I6-H6)*Assumptions!$B$51/100</f>
        <v>-130.258461076128</v>
      </c>
      <c r="J18" s="4" t="n">
        <f aca="false">(J6-I6)*Assumptions!$B$51/100</f>
        <v>-115.061640617247</v>
      </c>
      <c r="K18" s="4" t="n">
        <f aca="false">(K6-J6)*Assumptions!$B$51/100</f>
        <v>-108.733250383298</v>
      </c>
      <c r="L18" s="4" t="n">
        <f aca="false">(L6-K6)*Assumptions!$B$51/100</f>
        <v>-101.001108133819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1806.401125</v>
      </c>
      <c r="D19" s="0" t="n">
        <f aca="false">D15+D16+D17+D18</f>
        <v>2162.293066</v>
      </c>
      <c r="E19" s="0" t="n">
        <f aca="false">E15+E16+E17+E18</f>
        <v>2526.0004518</v>
      </c>
      <c r="F19" s="0" t="n">
        <f aca="false">F15+F16+F17+F18</f>
        <v>2899.26246379</v>
      </c>
      <c r="G19" s="0" t="n">
        <f aca="false">G15+G16+G17+G18</f>
        <v>3237.03622853688</v>
      </c>
      <c r="H19" s="0" t="n">
        <f aca="false">H15+H16+H17+H18</f>
        <v>3585.53660169973</v>
      </c>
      <c r="I19" s="0" t="n">
        <f aca="false">I15+I16+I17+I18</f>
        <v>3812.13688527279</v>
      </c>
      <c r="J19" s="0" t="n">
        <f aca="false">J15+J16+J17+J18</f>
        <v>4015.19101097943</v>
      </c>
      <c r="K19" s="0" t="n">
        <f aca="false">K15+K16+K17+K18</f>
        <v>4197.70149767241</v>
      </c>
      <c r="L19" s="0" t="n">
        <f aca="false">L15+L16+L17+L18</f>
        <v>4377.69102984411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1657.24873853211</v>
      </c>
      <c r="D21" s="0" t="n">
        <f aca="false">D19*D20</f>
        <v>1819.95881323121</v>
      </c>
      <c r="E21" s="0" t="n">
        <f aca="false">E19*E20</f>
        <v>1950.53581950674</v>
      </c>
      <c r="F21" s="0" t="n">
        <f aca="false">F19*F20</f>
        <v>2053.91062284383</v>
      </c>
      <c r="G21" s="0" t="n">
        <f aca="false">G19*G20</f>
        <v>2103.85144351094</v>
      </c>
      <c r="H21" s="0" t="n">
        <f aca="false">H19*H20</f>
        <v>2137.93832492309</v>
      </c>
      <c r="I21" s="0" t="n">
        <f aca="false">I19*I20</f>
        <v>2085.36942227456</v>
      </c>
      <c r="J21" s="0" t="n">
        <f aca="false">J19*J20</f>
        <v>2015.08897485579</v>
      </c>
      <c r="K21" s="0" t="n">
        <f aca="false">K19*K20</f>
        <v>1932.73837964556</v>
      </c>
      <c r="L21" s="0" t="n">
        <f aca="false">L19*L20</f>
        <v>1849.18400025647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19605.8245395803</v>
      </c>
    </row>
    <row r="31" customFormat="false" ht="15" hidden="false" customHeight="false" outlineLevel="0" collapsed="false">
      <c r="A31" s="0" t="s">
        <v>136</v>
      </c>
      <c r="B31" s="0" t="n">
        <f aca="false">L19</f>
        <v>4377.69102984411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75150.3626789906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74420.7475073499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74420.7475073499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31436.12800436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51041.9525439403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44029.9525439403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149.812700047432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0.113435154570287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1893.08234299054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2856.35209415986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165.972735560023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37575.1813394953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57.7778021202411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49.7058473690766</v>
      </c>
      <c r="C4" s="0" t="n">
        <f aca="false">B4/Assumptions!$B$2-1</f>
        <v>-0.630577128434957</v>
      </c>
      <c r="D4" s="4" t="n">
        <f aca="false">Assumptions!$B$24</f>
        <v>0.2</v>
      </c>
      <c r="E4" s="4" t="n">
        <f aca="false">DCF_Bear!$B$43</f>
        <v>60.26030605819</v>
      </c>
      <c r="F4" s="4" t="n">
        <f aca="false">DCF_Bear!$B$47</f>
        <v>19.6081601272551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106.900374912309</v>
      </c>
      <c r="C5" s="0" t="n">
        <f aca="false">B5/Assumptions!$B$2-1</f>
        <v>-0.205497027779201</v>
      </c>
      <c r="D5" s="4" t="n">
        <f aca="false">Assumptions!$B$38</f>
        <v>0.5</v>
      </c>
      <c r="E5" s="4" t="n">
        <f aca="false">DCF_Base!$B$43</f>
        <v>121.364609609599</v>
      </c>
      <c r="F5" s="4" t="n">
        <f aca="false">DCF_Base!$B$47</f>
        <v>43.861712553406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149.812700047432</v>
      </c>
      <c r="C6" s="0" t="n">
        <f aca="false">B6/Assumptions!$B$2-1</f>
        <v>0.113435154570287</v>
      </c>
      <c r="D6" s="4" t="n">
        <f aca="false">Assumptions!$B$52</f>
        <v>0.3</v>
      </c>
      <c r="E6" s="4" t="n">
        <f aca="false">DCF_Bull!$B$43</f>
        <v>165.972735560023</v>
      </c>
      <c r="F6" s="4" t="n">
        <f aca="false">DCF_Bull!$B$47</f>
        <v>57.7778021202411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108.335166944199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122.526186684444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-0.241978978712456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184.728324924083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43.1858289382264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106.900374912309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96.4405852747414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80.5960797682963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68.3060791936305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43.861712553406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128.005324721926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128.005324721926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128.005324721926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128.005324721926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128.005324721926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116.958834389581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116.958834389581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116.958834389581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116.958834389581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116.958834389581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104.779959299883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106.900374912309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106.900374912309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106.900374912309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106.900374912309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87.5702391911297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91.7097340301485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96.4405852747414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97.7308174323576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97.7308174323576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74.2365727282694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77.2292819235762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80.5960797682963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84.4117839923124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88.7725888197594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2026-09-26T00:31:36Z</dcterms:created>
  <dc:creator>openpyxl</dc:creator>
  <dc:description/>
  <dc:language>en-NZ</dc:language>
  <cp:lastModifiedBy/>
  <dcterms:modified xsi:type="dcterms:W3CDTF">2026-09-26T00:31:36Z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