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<sst xmlns="http://schemas.openxmlformats.org/spreadsheetml/2006/main" count="353" uniqueCount="163">
  <si>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</si>
  <si>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1585.HK</t>
  </si>
  <si>
    <t xml:space="preserve">Company</t>
  </si>
  <si>
    <t xml:space="preserve">Yadea Group Holdings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</si>
  <si>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</si>
  <si>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</si>
  <si>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</si>
  <si>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</si>
  <si>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HKT; 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</si>
  <si>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</si>
  <si>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</si>
  <si>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</si>
  <si>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</si>
  <si>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</si>
  <si>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</si>
  <si>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</si>
  <si>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</si>
  <si>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</si>
  <si>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</si>
  <si>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</si>
  <si>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</si>
  <si>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</si>
  <si>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2026-10-16T14:21:57Z</t>
  </si>
  <si>
    <t xml:space="preserve">Drivers file</t>
  </si>
  <si>
    <t xml:space="preserve">1585.HK_Drivers.json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</si>
  <si>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</si>
  <si>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</si>
  <si>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</si>
  <si>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treasury-income-stripped margins, deliberately below the FY2025 regulatory-pull-forward peak that H1 FY2026 has already begun to reverse. About a third of the base-case equity value (RMB 12.6bn of 37.8bn, HK$4.83 of 14.53 per share) is the post-dividend net cash (cash, term deposits and liquid wealth-management products; pledged deposits backing bills payable are excluded), which is why the valuation is less sensitive to the operating assumptions than the headline upside suggests. The operations are valued at a 14x terminal cap on ~RMB 2.3bn of mature owner FCF, a mid-cycle multiple for a cyclical single-market consumer durable with the #1 share.
key_risks_to_valuation: The FY2026 reversal runs deeper than -8%: H2 FY2026 compares against the pull-forward peak and management offers only qualitative 'gradual recovery' guidance.; Payables-funded cash: trade and bills payables of RMB 13.7bn fund part of the RMB 14.8bn treasury pile; a sustained volume decline would unwind the float (modelled via positive wc_capture, but the balance-sheet stock is counted in full except for the pledged deposits).; Price competition from Segway-Ninebot and Aima in smart e-scooters compresses margins toward the FY2024 6-7% band rather than the 9% base assumption.; China trade-in subsidies and the New National Standard are policy variables; a further standard change or subsidy withdrawal creates another air-pocket.; Treasury products (RMB 4.3bn at FVTPL, some linked to gold/FX) are counted at carrying value; a mark-down would hit the bridge directly.; CNY/HKD rate: the quote-currency IV moves one-for-one with the FX rate, which refresh_price.py does not update.</t>
  </si>
  <si>
    <t xml:space="preserve">Data sources</t>
  </si>
  <si>
    <t xml:space="preserve">price: Yahoo Finance chart API for 1585.HK at inputs.price_as_of; 52-week range 7.915-13.46 HKD
fx: Yahoo Finance CNYHKD=X regular close 2026-10-16, parity-checked against the FY2025 final dividend payable (see inputs.fx_note)
financials: 1585.HK_Metrics.csv / metrics_normalized (FY2018-FY2025 annual, H1 FY2023-H1 FY2026 interims, RMB millions); balance-sheet and share-count anchors from 1585.HK_HalfYear_H1-2026.txt (30 Jun 2026); SBC, capex, interest income, FVTPL gains, dividends and buybacks from 1585.HK_Annual_FY2025.txt
qualitative: 1585.HK_Analysis.json (2026-10-17)</t>
  </si>
  <si>
    <t xml:space="preserve">Scenario narrative: bear</t>
  </si>
  <si>
    <t xml:space="preserve">The pull-forward reversal is deeper and longer: FY2026 -12% and FY2027 -3% as trade-in subsidies lapse and e-bicycle demand does not return at the old volume. Segway-Ninebot (+64% volume in 2025) and Aima turn the smart-scooter category into a price war, pushing ex-treasury EBITDA margin back to the FY2024 7.0-7.5% band permanently. Overseas stays ~2% of volume against entrenched gasoline incumbents. Growth then tracks replacement demand at 2% with no re-rating. The payables float partly unwinds as volume falls (wc_capture +10% makes the FY2026-27 declines consume cash). Terminal growth 2.0%, cap 12x. Not a solvency scenario: net cash exceeds RMB 12bn after the dividend, so the bear case is about earnings power, not survival.</t>
  </si>
  <si>
    <t xml:space="preserve">Scenario narrative: base</t>
  </si>
  <si>
    <t xml:space="preserve">The FY2025 New-National-Standard pull-forward fully unwinds through FY2026 (revenue -8%, e-bicycle volumes down ~38% in H1 only partly offset by e-scooters up ~64%), then the domestic market settles at ~55-60m units with Yadea holding its ~28% share as the standard squeezes sub-scale rivals. Growth thereafter is ASP/mix (Modern and Guanneng series, sodium-ion), the battery-replacement annuity on a 16m-unit-a-year installed base, and a Vietnam/Indonesia contribution that reaches mid-single-digit percent of volume by FY2030 rather than transforming the group. Ex-treasury EBITDA margin normalises to 9.0%, between the FY2024 trough (6.3%) and FY2025 peak (10.2%). Capex steps up for the SE Asian plants in FY2027-28 then settles at 2.5% of revenue.</t>
  </si>
  <si>
    <t xml:space="preserve">Scenario narrative: bull</t>
  </si>
  <si>
    <t xml:space="preserve">H2 FY2026 recovers faster than management's 'gradual' language implies as consumers accept new-standard products, and the standard delivers the consolidation management expects: Yadea and Aima take share from Tailing, Luyuan and smaller brands, so FY2027-29 revenue compounds at 6-8%. Premium mix, vertical integration and scale push ex-treasury EBITDA margin to 10.5% (just above the FY2025 peak, sustained rather than one-off). Vietnam scales to 2m units and Indonesia follows, lifting overseas to &gt;10% of volume, and the gasoline-to-electric conversion in SE Asia (helped by elevated fuel prices) becomes a second growth leg. Terminal growth 3.0%, cap 16x.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</si>
  <si>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</si>
  <si>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</si>
  <si>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</si>
  <si>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</si>
  <si>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</si>
  <si>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</si>
  <si>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</si>
  <si>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</si>
  <si>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</si>
  <si>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</si>
  <si>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</si>
  <si>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</si>
  <si>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</si>
  <si>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</si>
  <si>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</si>
  <si>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</si>
  <si>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</si>
  <si>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</si>
  <si>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</si>
  <si>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</si>
  <si>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</si>
  <si>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</si>
  <si>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</si>
  <si>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</si>
  <si>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</si>
  <si>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</si>
  <si>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</si>
  <si>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</si>
  <si>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</si>
  <si>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</si>
  <si>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</si>
  <si>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</si>
  <si>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</si>
  <si>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</si>
  <si>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</si>
  <si>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</si>
  <si>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</si>
  <si>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</si>
  <si>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</si>
  <si>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</si>
  <si>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</si>
  <si>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</si>
  <si>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</si>
  <si>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</si>
  <si>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</si>
  <si>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</si>
  <si>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</si>
  <si>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</si>
  <si>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</si>
  <si>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</si>
  <si>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</si>
  <si>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</si>
  <si>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</si>
  <si>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</si>
  <si>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</si>
  <si>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</si>
  <si>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</si>
  <si>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</si>
  <si>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</si>
  <si>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</si>
  <si>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</si>
  <si>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</si>
  <si>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</si>
  <si>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</si>
  <si>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</si>
  <si>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</si>
  <si>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</si>
  <si>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</si>
  <si>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</si>
  <si>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</si>
  <si>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</si>
  <si>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</si>
  <si>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1585.HK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</si>
  <si>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</si>
  <si>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</si>
  <si>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</si>
  <si>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</si>
  <si>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</si>
  <si>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</si>
  <si>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</si>
  <si>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</si>
  <si>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</si>
  <si>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</si>
  <si>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</si>
  <si>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</si>
  <si>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</si>
  <si>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</si>
  <si>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</si>
  <si>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</si>
  <si>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</si>
  <si>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</si>
  <si>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</si>
  <si>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</si>
  <si>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</si>
  <si>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</si>
  <si>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</si>
  <si>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</si>
  <si>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</si>
  <si>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</si>
  <si>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</si>
  <si>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</si>
  <si>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</si>
  <si>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</si>
  <si>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1585.HK owner-FCF component DCF: base case (millions, CNY)</t>
  </si>
  <si>
    <t xml:space="preserve">1585.HK owner-FCF component DCF: bull case (millions, CNY)</t>
  </si>
  <si>
    <t xml:space="preserve">1585.HK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</si>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</sst>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9.49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9916.7</v>
      </c>
      <c r="C2" s="0" t="n">
        <v>8297.1</v>
      </c>
      <c r="D2" s="0" t="n">
        <v>1619.6</v>
      </c>
      <c r="E2" s="0" t="n">
        <v>16.3</v>
      </c>
      <c r="F2" s="0" t="n">
        <v>479.6</v>
      </c>
      <c r="G2" s="0" t="n">
        <v>4.8</v>
      </c>
      <c r="H2" s="0" t="n">
        <v>631</v>
      </c>
      <c r="I2" s="0" t="n">
        <v>431</v>
      </c>
      <c r="J2" s="0" t="n">
        <v>4.3</v>
      </c>
      <c r="K2" s="0" t="n">
        <v>0.144</v>
      </c>
      <c r="L2" s="0" t="n">
        <v>319.6</v>
      </c>
      <c r="M2" s="0" t="n">
        <v>301.3</v>
      </c>
      <c r="N2" s="0" t="n">
        <v>18.3</v>
      </c>
      <c r="O2" s="0" t="n">
        <v>2819.7</v>
      </c>
      <c r="P2" s="0" t="n">
        <v>7759.2</v>
      </c>
      <c r="Q2" s="0" t="n">
        <v>4939.5</v>
      </c>
      <c r="R2" s="0" t="n">
        <v>0</v>
      </c>
      <c r="S2" s="0" t="n">
        <v>1973.4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11968.2</v>
      </c>
      <c r="C3" s="0" t="n">
        <v>9890.1</v>
      </c>
      <c r="D3" s="0" t="n">
        <v>2078.1</v>
      </c>
      <c r="E3" s="0" t="n">
        <v>17.4</v>
      </c>
      <c r="F3" s="0" t="n">
        <v>602.4</v>
      </c>
      <c r="G3" s="0" t="n">
        <v>5</v>
      </c>
      <c r="H3" s="0" t="n">
        <v>778.4</v>
      </c>
      <c r="I3" s="0" t="n">
        <v>516.4</v>
      </c>
      <c r="J3" s="0" t="n">
        <v>4.3</v>
      </c>
      <c r="K3" s="0" t="n">
        <v>0.175</v>
      </c>
      <c r="L3" s="0" t="n">
        <v>2818.7</v>
      </c>
      <c r="M3" s="0" t="n">
        <v>469.8</v>
      </c>
      <c r="N3" s="0" t="n">
        <v>2348.9</v>
      </c>
      <c r="O3" s="0" t="n">
        <v>3143.8</v>
      </c>
      <c r="P3" s="0" t="n">
        <v>10746.3</v>
      </c>
      <c r="Q3" s="0" t="n">
        <v>7602.5</v>
      </c>
      <c r="R3" s="0" t="n">
        <v>0</v>
      </c>
      <c r="S3" s="0" t="n">
        <v>2636.6</v>
      </c>
      <c r="T3" s="0" t="n">
        <v>2955.5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19360.3</v>
      </c>
      <c r="C4" s="0" t="n">
        <v>16287.1</v>
      </c>
      <c r="D4" s="0" t="n">
        <v>3073.2</v>
      </c>
      <c r="E4" s="0" t="n">
        <v>15.9</v>
      </c>
      <c r="F4" s="0" t="n">
        <v>1193.7</v>
      </c>
      <c r="G4" s="0" t="n">
        <v>6.2</v>
      </c>
      <c r="H4" s="0" t="n">
        <v>1413.9</v>
      </c>
      <c r="I4" s="0" t="n">
        <v>957.4</v>
      </c>
      <c r="J4" s="0" t="n">
        <v>4.9</v>
      </c>
      <c r="K4" s="0" t="n">
        <v>0.334</v>
      </c>
      <c r="L4" s="0" t="n">
        <v>2217.5</v>
      </c>
      <c r="M4" s="0" t="n">
        <v>732.1</v>
      </c>
      <c r="N4" s="0" t="n">
        <v>1485.4</v>
      </c>
      <c r="O4" s="0" t="n">
        <v>3602.8</v>
      </c>
      <c r="P4" s="0" t="n">
        <v>16016.4</v>
      </c>
      <c r="Q4" s="0" t="n">
        <v>12413.5</v>
      </c>
      <c r="R4" s="0" t="n">
        <v>97.7</v>
      </c>
      <c r="S4" s="0" t="n">
        <v>3420.9</v>
      </c>
      <c r="T4" s="0" t="n">
        <v>2863.2</v>
      </c>
      <c r="U4" s="0" t="n">
        <v>49.5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26967.5</v>
      </c>
      <c r="C5" s="0" t="n">
        <v>22866</v>
      </c>
      <c r="D5" s="0" t="n">
        <v>4101.5</v>
      </c>
      <c r="E5" s="0" t="n">
        <v>15.2</v>
      </c>
      <c r="F5" s="0" t="n">
        <v>1537.3</v>
      </c>
      <c r="G5" s="0" t="n">
        <v>5.7</v>
      </c>
      <c r="H5" s="0" t="n">
        <v>1849.1</v>
      </c>
      <c r="I5" s="0" t="n">
        <v>1369.5</v>
      </c>
      <c r="J5" s="0" t="n">
        <v>5.1</v>
      </c>
      <c r="K5" s="0" t="n">
        <v>0.478</v>
      </c>
      <c r="L5" s="0" t="n">
        <v>3693</v>
      </c>
      <c r="M5" s="0" t="n">
        <v>1408.7</v>
      </c>
      <c r="N5" s="0" t="n">
        <v>2284.3</v>
      </c>
      <c r="O5" s="0" t="n">
        <v>4512.4</v>
      </c>
      <c r="P5" s="0" t="n">
        <v>19407.8</v>
      </c>
      <c r="Q5" s="0" t="n">
        <v>14895.4</v>
      </c>
      <c r="R5" s="0" t="n">
        <v>398.4</v>
      </c>
      <c r="S5" s="0" t="n">
        <v>6073.1</v>
      </c>
      <c r="T5" s="0" t="n">
        <v>2862.2</v>
      </c>
      <c r="U5" s="0" t="n">
        <v>21.1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31059.4</v>
      </c>
      <c r="C6" s="0" t="n">
        <v>25445.4</v>
      </c>
      <c r="D6" s="0" t="n">
        <v>5614</v>
      </c>
      <c r="E6" s="0" t="n">
        <v>18.1</v>
      </c>
      <c r="F6" s="0" t="n">
        <v>2707.6</v>
      </c>
      <c r="G6" s="0" t="n">
        <v>8.7</v>
      </c>
      <c r="H6" s="0" t="n">
        <v>3119.7</v>
      </c>
      <c r="I6" s="0" t="n">
        <v>2161.1</v>
      </c>
      <c r="J6" s="0" t="n">
        <v>7</v>
      </c>
      <c r="K6" s="0" t="n">
        <v>0.74</v>
      </c>
      <c r="L6" s="0" t="n">
        <v>3078.4</v>
      </c>
      <c r="M6" s="0" t="n">
        <v>664.9</v>
      </c>
      <c r="N6" s="0" t="n">
        <v>2413.6</v>
      </c>
      <c r="O6" s="0" t="n">
        <v>6642.6</v>
      </c>
      <c r="P6" s="0" t="n">
        <v>24952.7</v>
      </c>
      <c r="Q6" s="0" t="n">
        <v>18310.1</v>
      </c>
      <c r="R6" s="0" t="n">
        <v>1781.9</v>
      </c>
      <c r="S6" s="0" t="n">
        <v>6782.6</v>
      </c>
      <c r="T6" s="0" t="n">
        <v>2921.3</v>
      </c>
      <c r="U6" s="0" t="n">
        <v>130.1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34762.8</v>
      </c>
      <c r="C7" s="0" t="n">
        <v>28877.5</v>
      </c>
      <c r="D7" s="0" t="n">
        <v>5885.2</v>
      </c>
      <c r="E7" s="0" t="n">
        <v>16.9</v>
      </c>
      <c r="F7" s="0" t="n">
        <v>3132.1</v>
      </c>
      <c r="G7" s="0" t="n">
        <v>9</v>
      </c>
      <c r="H7" s="0" t="n">
        <v>3577</v>
      </c>
      <c r="I7" s="0" t="n">
        <v>2640.2</v>
      </c>
      <c r="J7" s="0" t="n">
        <v>7.6</v>
      </c>
      <c r="K7" s="0" t="n">
        <v>0.885</v>
      </c>
      <c r="L7" s="0" t="n">
        <v>3580.1</v>
      </c>
      <c r="M7" s="0" t="n">
        <v>1335.5</v>
      </c>
      <c r="N7" s="0" t="n">
        <v>2244.6</v>
      </c>
      <c r="O7" s="0" t="n">
        <v>8401.2</v>
      </c>
      <c r="P7" s="0" t="n">
        <v>25660.1</v>
      </c>
      <c r="Q7" s="0" t="n">
        <v>17258.9</v>
      </c>
      <c r="R7" s="0" t="n">
        <v>832.5</v>
      </c>
      <c r="S7" s="0" t="n">
        <v>7913.8</v>
      </c>
      <c r="T7" s="0" t="n">
        <v>2984.7</v>
      </c>
      <c r="U7" s="0" t="n">
        <v>96.6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28236.2</v>
      </c>
      <c r="C8" s="0" t="n">
        <v>23947.3</v>
      </c>
      <c r="D8" s="0" t="n">
        <v>4289</v>
      </c>
      <c r="E8" s="0" t="n">
        <v>15.2</v>
      </c>
      <c r="F8" s="0" t="n">
        <v>1665.3</v>
      </c>
      <c r="G8" s="0" t="n">
        <v>5.9</v>
      </c>
      <c r="H8" s="0" t="n">
        <v>2125.6</v>
      </c>
      <c r="I8" s="0" t="n">
        <v>1272.4</v>
      </c>
      <c r="J8" s="0" t="n">
        <v>4.5</v>
      </c>
      <c r="K8" s="0" t="n">
        <v>0.422</v>
      </c>
      <c r="L8" s="0" t="n">
        <v>298.9</v>
      </c>
      <c r="M8" s="0" t="n">
        <v>1504.2</v>
      </c>
      <c r="N8" s="0" t="n">
        <v>-1205.3</v>
      </c>
      <c r="O8" s="0" t="n">
        <v>8758.1</v>
      </c>
      <c r="P8" s="0" t="n">
        <v>24618.9</v>
      </c>
      <c r="Q8" s="0" t="n">
        <v>15860.8</v>
      </c>
      <c r="R8" s="0" t="n">
        <v>1440.1</v>
      </c>
      <c r="S8" s="0" t="n">
        <v>7868.9</v>
      </c>
      <c r="T8" s="0" t="n">
        <v>3019.4</v>
      </c>
      <c r="U8" s="0" t="n">
        <v>-46.8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37008.2</v>
      </c>
      <c r="C9" s="0" t="n">
        <v>29936.8</v>
      </c>
      <c r="D9" s="0" t="n">
        <v>7071.4</v>
      </c>
      <c r="E9" s="0" t="n">
        <v>19.1</v>
      </c>
      <c r="F9" s="0" t="n">
        <v>3638.8</v>
      </c>
      <c r="G9" s="0" t="n">
        <v>9.8</v>
      </c>
      <c r="H9" s="0" t="n">
        <v>4122.4</v>
      </c>
      <c r="I9" s="0" t="n">
        <v>2911.6</v>
      </c>
      <c r="J9" s="0" t="n">
        <v>7.9</v>
      </c>
      <c r="K9" s="0" t="n">
        <v>0.958</v>
      </c>
      <c r="L9" s="0" t="n">
        <v>5989.8</v>
      </c>
      <c r="M9" s="0" t="n">
        <v>787.3</v>
      </c>
      <c r="N9" s="0" t="n">
        <v>5202.5</v>
      </c>
      <c r="O9" s="0" t="n">
        <v>10461.9</v>
      </c>
      <c r="P9" s="0" t="n">
        <v>29996.7</v>
      </c>
      <c r="Q9" s="0" t="n">
        <v>19534.8</v>
      </c>
      <c r="R9" s="0" t="n">
        <v>1823.5</v>
      </c>
      <c r="S9" s="0" t="n">
        <v>5991.4</v>
      </c>
      <c r="T9" s="0" t="n">
        <v>3038.7</v>
      </c>
      <c r="U9" s="0" t="n">
        <v>179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9.49</v>
      </c>
    </row>
    <row r="3" customFormat="false" ht="15" hidden="false" customHeight="false" outlineLevel="0" collapsed="false">
      <c r="A3" s="0" t="s">
        <v>75</v>
      </c>
      <c r="B3" s="3" t="n">
        <v>3051.2</v>
      </c>
    </row>
    <row r="4" customFormat="false" ht="15" hidden="false" customHeight="false" outlineLevel="0" collapsed="false">
      <c r="A4" s="0" t="s">
        <v>76</v>
      </c>
      <c r="B4" s="3" t="n">
        <v>-13976.7</v>
      </c>
    </row>
    <row r="5" customFormat="false" ht="15" hidden="false" customHeight="false" outlineLevel="0" collapsed="false">
      <c r="A5" s="0" t="s">
        <v>77</v>
      </c>
      <c r="B5" s="3" t="n">
        <v>-1408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37008.2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1.1726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-12</v>
      </c>
      <c r="D13" s="3" t="n">
        <v>-3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7.5</v>
      </c>
      <c r="D14" s="3" t="n">
        <v>7</v>
      </c>
      <c r="E14" s="3" t="n">
        <v>7</v>
      </c>
      <c r="F14" s="3" t="n">
        <v>7.2</v>
      </c>
      <c r="G14" s="3" t="n">
        <v>7.5</v>
      </c>
      <c r="H14" s="3" t="n">
        <v>7.5</v>
      </c>
      <c r="I14" s="3" t="n">
        <v>7.5</v>
      </c>
      <c r="J14" s="3" t="n">
        <v>7.5</v>
      </c>
      <c r="K14" s="3" t="n">
        <v>7.5</v>
      </c>
      <c r="L14" s="3" t="n">
        <v>7.5</v>
      </c>
    </row>
    <row r="15" customFormat="false" ht="15" hidden="false" customHeight="false" outlineLevel="0" collapsed="false">
      <c r="A15" s="0" t="s">
        <v>97</v>
      </c>
      <c r="C15" s="3" t="n">
        <v>0.1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98</v>
      </c>
      <c r="C16" s="3" t="n">
        <v>0.18</v>
      </c>
      <c r="D16" s="3" t="n">
        <v>0.18</v>
      </c>
      <c r="E16" s="3" t="n">
        <v>0.18</v>
      </c>
      <c r="F16" s="3" t="n">
        <v>0.18</v>
      </c>
      <c r="G16" s="3" t="n">
        <v>0.18</v>
      </c>
      <c r="H16" s="3" t="n">
        <v>0.18</v>
      </c>
      <c r="I16" s="3" t="n">
        <v>0.18</v>
      </c>
      <c r="J16" s="3" t="n">
        <v>0.18</v>
      </c>
      <c r="K16" s="3" t="n">
        <v>0.18</v>
      </c>
      <c r="L16" s="3" t="n">
        <v>0.18</v>
      </c>
    </row>
    <row r="17" customFormat="false" ht="15" hidden="false" customHeight="false" outlineLevel="0" collapsed="false">
      <c r="A17" s="0" t="s">
        <v>99</v>
      </c>
      <c r="C17" s="3" t="n">
        <v>1.3</v>
      </c>
      <c r="D17" s="3" t="n">
        <v>1.3</v>
      </c>
      <c r="E17" s="3" t="n">
        <v>1.3</v>
      </c>
      <c r="F17" s="3" t="n">
        <v>1.3</v>
      </c>
      <c r="G17" s="3" t="n">
        <v>1.3</v>
      </c>
      <c r="H17" s="3" t="n">
        <v>1.3</v>
      </c>
      <c r="I17" s="3" t="n">
        <v>1.3</v>
      </c>
      <c r="J17" s="3" t="n">
        <v>1.3</v>
      </c>
      <c r="K17" s="3" t="n">
        <v>1.3</v>
      </c>
      <c r="L17" s="3" t="n">
        <v>1.3</v>
      </c>
    </row>
    <row r="18" customFormat="false" ht="15" hidden="false" customHeight="false" outlineLevel="0" collapsed="false">
      <c r="A18" s="0" t="s">
        <v>100</v>
      </c>
      <c r="C18" s="3" t="n">
        <v>2.2</v>
      </c>
      <c r="D18" s="3" t="n">
        <v>2.8</v>
      </c>
      <c r="E18" s="3" t="n">
        <v>2.8</v>
      </c>
      <c r="F18" s="3" t="n">
        <v>2.6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101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10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-8</v>
      </c>
      <c r="D27" s="3" t="n">
        <v>3</v>
      </c>
      <c r="E27" s="3" t="n">
        <v>5</v>
      </c>
      <c r="F27" s="3" t="n">
        <v>5</v>
      </c>
      <c r="G27" s="3" t="n">
        <v>4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8.3</v>
      </c>
      <c r="D28" s="3" t="n">
        <v>8.6</v>
      </c>
      <c r="E28" s="3" t="n">
        <v>8.8</v>
      </c>
      <c r="F28" s="3" t="n">
        <v>9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97</v>
      </c>
      <c r="C29" s="3" t="n">
        <v>0.1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98</v>
      </c>
      <c r="C30" s="3" t="n">
        <v>0.18</v>
      </c>
      <c r="D30" s="3" t="n">
        <v>0.18</v>
      </c>
      <c r="E30" s="3" t="n">
        <v>0.18</v>
      </c>
      <c r="F30" s="3" t="n">
        <v>0.18</v>
      </c>
      <c r="G30" s="3" t="n">
        <v>0.18</v>
      </c>
      <c r="H30" s="3" t="n">
        <v>0.18</v>
      </c>
      <c r="I30" s="3" t="n">
        <v>0.18</v>
      </c>
      <c r="J30" s="3" t="n">
        <v>0.18</v>
      </c>
      <c r="K30" s="3" t="n">
        <v>0.18</v>
      </c>
      <c r="L30" s="3" t="n">
        <v>0.18</v>
      </c>
    </row>
    <row r="31" customFormat="false" ht="15" hidden="false" customHeight="false" outlineLevel="0" collapsed="false">
      <c r="A31" s="0" t="s">
        <v>99</v>
      </c>
      <c r="C31" s="3" t="n">
        <v>1.3</v>
      </c>
      <c r="D31" s="3" t="n">
        <v>1.3</v>
      </c>
      <c r="E31" s="3" t="n">
        <v>1.3</v>
      </c>
      <c r="F31" s="3" t="n">
        <v>1.3</v>
      </c>
      <c r="G31" s="3" t="n">
        <v>1.3</v>
      </c>
      <c r="H31" s="3" t="n">
        <v>1.3</v>
      </c>
      <c r="I31" s="3" t="n">
        <v>1.3</v>
      </c>
      <c r="J31" s="3" t="n">
        <v>1.3</v>
      </c>
      <c r="K31" s="3" t="n">
        <v>1.3</v>
      </c>
      <c r="L31" s="3" t="n">
        <v>1.3</v>
      </c>
    </row>
    <row r="32" customFormat="false" ht="15" hidden="false" customHeight="false" outlineLevel="0" collapsed="false">
      <c r="A32" s="0" t="s">
        <v>100</v>
      </c>
      <c r="C32" s="3" t="n">
        <v>2.2</v>
      </c>
      <c r="D32" s="3" t="n">
        <v>3</v>
      </c>
      <c r="E32" s="3" t="n">
        <v>3</v>
      </c>
      <c r="F32" s="3" t="n">
        <v>2.8</v>
      </c>
      <c r="G32" s="3" t="n">
        <v>2.6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101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14</v>
      </c>
    </row>
    <row r="37" customFormat="false" ht="15" hidden="false" customHeight="false" outlineLevel="0" collapsed="false">
      <c r="A37" s="0" t="s">
        <v>105</v>
      </c>
      <c r="B37" s="3" t="n">
        <v>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-5</v>
      </c>
      <c r="D41" s="3" t="n">
        <v>6</v>
      </c>
      <c r="E41" s="3" t="n">
        <v>8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8.8</v>
      </c>
      <c r="D42" s="3" t="n">
        <v>9.4</v>
      </c>
      <c r="E42" s="3" t="n">
        <v>9.8</v>
      </c>
      <c r="F42" s="3" t="n">
        <v>10</v>
      </c>
      <c r="G42" s="3" t="n">
        <v>10.2</v>
      </c>
      <c r="H42" s="3" t="n">
        <v>10.3</v>
      </c>
      <c r="I42" s="3" t="n">
        <v>10.5</v>
      </c>
      <c r="J42" s="3" t="n">
        <v>10.5</v>
      </c>
      <c r="K42" s="3" t="n">
        <v>10.5</v>
      </c>
      <c r="L42" s="3" t="n">
        <v>10.5</v>
      </c>
    </row>
    <row r="43" customFormat="false" ht="15" hidden="false" customHeight="false" outlineLevel="0" collapsed="false">
      <c r="A43" s="0" t="s">
        <v>97</v>
      </c>
      <c r="C43" s="3" t="n">
        <v>0.1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98</v>
      </c>
      <c r="C44" s="3" t="n">
        <v>0.18</v>
      </c>
      <c r="D44" s="3" t="n">
        <v>0.18</v>
      </c>
      <c r="E44" s="3" t="n">
        <v>0.18</v>
      </c>
      <c r="F44" s="3" t="n">
        <v>0.18</v>
      </c>
      <c r="G44" s="3" t="n">
        <v>0.18</v>
      </c>
      <c r="H44" s="3" t="n">
        <v>0.18</v>
      </c>
      <c r="I44" s="3" t="n">
        <v>0.18</v>
      </c>
      <c r="J44" s="3" t="n">
        <v>0.18</v>
      </c>
      <c r="K44" s="3" t="n">
        <v>0.18</v>
      </c>
      <c r="L44" s="3" t="n">
        <v>0.18</v>
      </c>
    </row>
    <row r="45" customFormat="false" ht="15" hidden="false" customHeight="false" outlineLevel="0" collapsed="false">
      <c r="A45" s="0" t="s">
        <v>99</v>
      </c>
      <c r="C45" s="3" t="n">
        <v>1.3</v>
      </c>
      <c r="D45" s="3" t="n">
        <v>1.3</v>
      </c>
      <c r="E45" s="3" t="n">
        <v>1.3</v>
      </c>
      <c r="F45" s="3" t="n">
        <v>1.3</v>
      </c>
      <c r="G45" s="3" t="n">
        <v>1.3</v>
      </c>
      <c r="H45" s="3" t="n">
        <v>1.3</v>
      </c>
      <c r="I45" s="3" t="n">
        <v>1.3</v>
      </c>
      <c r="J45" s="3" t="n">
        <v>1.3</v>
      </c>
      <c r="K45" s="3" t="n">
        <v>1.3</v>
      </c>
      <c r="L45" s="3" t="n">
        <v>1.3</v>
      </c>
    </row>
    <row r="46" customFormat="false" ht="15" hidden="false" customHeight="false" outlineLevel="0" collapsed="false">
      <c r="A46" s="0" t="s">
        <v>100</v>
      </c>
      <c r="C46" s="3" t="n">
        <v>2.3</v>
      </c>
      <c r="D46" s="3" t="n">
        <v>3.2</v>
      </c>
      <c r="E46" s="3" t="n">
        <v>3.2</v>
      </c>
      <c r="F46" s="3" t="n">
        <v>3</v>
      </c>
      <c r="G46" s="3" t="n">
        <v>2.8</v>
      </c>
      <c r="H46" s="3" t="n">
        <v>2.6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101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16</v>
      </c>
    </row>
    <row r="51" customFormat="false" ht="15" hidden="false" customHeight="false" outlineLevel="0" collapsed="false">
      <c r="A51" s="0" t="s">
        <v>105</v>
      </c>
      <c r="B51" s="3" t="n">
        <v>10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-12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37008.2</v>
      </c>
      <c r="C6" s="0" t="n">
        <f aca="false">B6*(1+C5/100)</f>
        <v>32567.216</v>
      </c>
      <c r="D6" s="0" t="n">
        <f aca="false">C6*(1+D5/100)</f>
        <v>31590.19952</v>
      </c>
      <c r="E6" s="0" t="n">
        <f aca="false">D6*(1+E5/100)</f>
        <v>31906.1015152</v>
      </c>
      <c r="F6" s="0" t="n">
        <f aca="false">E6*(1+F5/100)</f>
        <v>32544.223545504</v>
      </c>
      <c r="G6" s="0" t="n">
        <f aca="false">F6*(1+G5/100)</f>
        <v>33195.1080164141</v>
      </c>
      <c r="H6" s="0" t="n">
        <f aca="false">G6*(1+H5/100)</f>
        <v>33859.0101767424</v>
      </c>
      <c r="I6" s="0" t="n">
        <f aca="false">H6*(1+I5/100)</f>
        <v>34536.1903802772</v>
      </c>
      <c r="J6" s="0" t="n">
        <f aca="false">I6*(1+J5/100)</f>
        <v>35226.9141878827</v>
      </c>
      <c r="K6" s="0" t="n">
        <f aca="false">J6*(1+K5/100)</f>
        <v>35931.4524716404</v>
      </c>
      <c r="L6" s="0" t="n">
        <f aca="false">K6*(1+L5/100)</f>
        <v>36650.0815210732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7.5</v>
      </c>
      <c r="D7" s="4" t="n">
        <f aca="false">Assumptions!D14</f>
        <v>7</v>
      </c>
      <c r="E7" s="4" t="n">
        <f aca="false">Assumptions!E14</f>
        <v>7</v>
      </c>
      <c r="F7" s="4" t="n">
        <f aca="false">Assumptions!F14</f>
        <v>7.2</v>
      </c>
      <c r="G7" s="4" t="n">
        <f aca="false">Assumptions!G14</f>
        <v>7.5</v>
      </c>
      <c r="H7" s="4" t="n">
        <f aca="false">Assumptions!H14</f>
        <v>7.5</v>
      </c>
      <c r="I7" s="4" t="n">
        <f aca="false">Assumptions!I14</f>
        <v>7.5</v>
      </c>
      <c r="J7" s="4" t="n">
        <f aca="false">Assumptions!J14</f>
        <v>7.5</v>
      </c>
      <c r="K7" s="4" t="n">
        <f aca="false">Assumptions!K14</f>
        <v>7.5</v>
      </c>
      <c r="L7" s="4" t="n">
        <f aca="false">Assumptions!L14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2442.5412</v>
      </c>
      <c r="D8" s="0" t="n">
        <f aca="false">D6*D7/100</f>
        <v>2211.3139664</v>
      </c>
      <c r="E8" s="0" t="n">
        <f aca="false">E6*E7/100</f>
        <v>2233.427106064</v>
      </c>
      <c r="F8" s="0" t="n">
        <f aca="false">F6*F7/100</f>
        <v>2343.18409527629</v>
      </c>
      <c r="G8" s="0" t="n">
        <f aca="false">G6*G7/100</f>
        <v>2489.63310123106</v>
      </c>
      <c r="H8" s="0" t="n">
        <f aca="false">H6*H7/100</f>
        <v>2539.42576325568</v>
      </c>
      <c r="I8" s="0" t="n">
        <f aca="false">I6*I7/100</f>
        <v>2590.21427852079</v>
      </c>
      <c r="J8" s="0" t="n">
        <f aca="false">J6*J7/100</f>
        <v>2642.01856409121</v>
      </c>
      <c r="K8" s="0" t="n">
        <f aca="false">K6*K7/100</f>
        <v>2694.85893537303</v>
      </c>
      <c r="L8" s="0" t="n">
        <f aca="false">L6*L7/100</f>
        <v>2748.75611408049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0.1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-32.567216</v>
      </c>
      <c r="D10" s="0" t="n">
        <f aca="false">-D6*D9/100</f>
        <v>-94.77059856</v>
      </c>
      <c r="E10" s="0" t="n">
        <f aca="false">-E6*E9/100</f>
        <v>-95.7183045456</v>
      </c>
      <c r="F10" s="0" t="n">
        <f aca="false">-F6*F9/100</f>
        <v>-97.632670636512</v>
      </c>
      <c r="G10" s="0" t="n">
        <f aca="false">-G6*G9/100</f>
        <v>-99.5853240492422</v>
      </c>
      <c r="H10" s="0" t="n">
        <f aca="false">-H6*H9/100</f>
        <v>-101.577030530227</v>
      </c>
      <c r="I10" s="0" t="n">
        <f aca="false">-I6*I9/100</f>
        <v>-103.608571140832</v>
      </c>
      <c r="J10" s="0" t="n">
        <f aca="false">-J6*J9/100</f>
        <v>-105.680742563648</v>
      </c>
      <c r="K10" s="0" t="n">
        <f aca="false">-K6*K9/100</f>
        <v>-107.794357414921</v>
      </c>
      <c r="L10" s="0" t="n">
        <f aca="false">-L6*L9/100</f>
        <v>-109.95024456322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2351.3529952</v>
      </c>
      <c r="D11" s="0" t="n">
        <f aca="false">D8+D10+D24</f>
        <v>2059.681008704</v>
      </c>
      <c r="E11" s="0" t="n">
        <f aca="false">E8+E10+E24</f>
        <v>2080.27781879104</v>
      </c>
      <c r="F11" s="0" t="n">
        <f aca="false">F8+F10+F24</f>
        <v>2186.97182225787</v>
      </c>
      <c r="G11" s="0" t="n">
        <f aca="false">G8+G10+G24</f>
        <v>2330.29658275227</v>
      </c>
      <c r="H11" s="0" t="n">
        <f aca="false">H8+H10+H24</f>
        <v>2376.90251440731</v>
      </c>
      <c r="I11" s="0" t="n">
        <f aca="false">I8+I10+I24</f>
        <v>2424.44056469546</v>
      </c>
      <c r="J11" s="0" t="n">
        <f aca="false">J8+J10+J24</f>
        <v>2472.92937598937</v>
      </c>
      <c r="K11" s="0" t="n">
        <f aca="false">K8+K10+K24</f>
        <v>2522.38796350916</v>
      </c>
      <c r="L11" s="0" t="n">
        <f aca="false">L8+L10+L24</f>
        <v>2572.83572277934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-423.373808</v>
      </c>
      <c r="D12" s="4" t="n">
        <f aca="false">-D6*Assumptions!D17/100</f>
        <v>-410.67259376</v>
      </c>
      <c r="E12" s="4" t="n">
        <f aca="false">-E6*Assumptions!E17/100</f>
        <v>-414.7793196976</v>
      </c>
      <c r="F12" s="4" t="n">
        <f aca="false">-F6*Assumptions!F17/100</f>
        <v>-423.074906091552</v>
      </c>
      <c r="G12" s="4" t="n">
        <f aca="false">-G6*Assumptions!G17/100</f>
        <v>-431.536404213383</v>
      </c>
      <c r="H12" s="4" t="n">
        <f aca="false">-H6*Assumptions!H17/100</f>
        <v>-440.167132297651</v>
      </c>
      <c r="I12" s="4" t="n">
        <f aca="false">-I6*Assumptions!I17/100</f>
        <v>-448.970474943604</v>
      </c>
      <c r="J12" s="4" t="n">
        <f aca="false">-J6*Assumptions!J17/100</f>
        <v>-457.949884442476</v>
      </c>
      <c r="K12" s="4" t="n">
        <f aca="false">-K6*Assumptions!K17/100</f>
        <v>-467.108882131325</v>
      </c>
      <c r="L12" s="4" t="n">
        <f aca="false">-L6*Assumptions!L17/100</f>
        <v>-476.451059773952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1927.9791872</v>
      </c>
      <c r="D13" s="0" t="n">
        <f aca="false">D11+D12</f>
        <v>1649.008414944</v>
      </c>
      <c r="E13" s="0" t="n">
        <f aca="false">E11+E12</f>
        <v>1665.49849909344</v>
      </c>
      <c r="F13" s="0" t="n">
        <f aca="false">F11+F12</f>
        <v>1763.89691616632</v>
      </c>
      <c r="G13" s="0" t="n">
        <f aca="false">G11+G12</f>
        <v>1898.76017853889</v>
      </c>
      <c r="H13" s="0" t="n">
        <f aca="false">H11+H12</f>
        <v>1936.73538210966</v>
      </c>
      <c r="I13" s="0" t="n">
        <f aca="false">I11+I12</f>
        <v>1975.47008975186</v>
      </c>
      <c r="J13" s="0" t="n">
        <f aca="false">J11+J12</f>
        <v>2014.97949154689</v>
      </c>
      <c r="K13" s="0" t="n">
        <f aca="false">K11+K12</f>
        <v>2055.27908137783</v>
      </c>
      <c r="L13" s="0" t="n">
        <f aca="false">L11+L12</f>
        <v>2096.38466300539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1542.38334976</v>
      </c>
      <c r="D15" s="0" t="n">
        <f aca="false">D13-MAX(0,D13)*D14/100</f>
        <v>1319.2067319552</v>
      </c>
      <c r="E15" s="0" t="n">
        <f aca="false">E13-MAX(0,E13)*E14/100</f>
        <v>1332.39879927475</v>
      </c>
      <c r="F15" s="0" t="n">
        <f aca="false">F13-MAX(0,F13)*F14/100</f>
        <v>1411.11753293305</v>
      </c>
      <c r="G15" s="0" t="n">
        <f aca="false">G13-MAX(0,G13)*G14/100</f>
        <v>1519.00814283111</v>
      </c>
      <c r="H15" s="0" t="n">
        <f aca="false">H13-MAX(0,H13)*H14/100</f>
        <v>1549.38830568773</v>
      </c>
      <c r="I15" s="0" t="n">
        <f aca="false">I13-MAX(0,I13)*I14/100</f>
        <v>1580.37607180148</v>
      </c>
      <c r="J15" s="0" t="n">
        <f aca="false">J13-MAX(0,J13)*J14/100</f>
        <v>1611.98359323751</v>
      </c>
      <c r="K15" s="0" t="n">
        <f aca="false">K13-MAX(0,K13)*K14/100</f>
        <v>1644.22326510226</v>
      </c>
      <c r="L15" s="0" t="n">
        <f aca="false">L13-MAX(0,L13)*L14/100</f>
        <v>1677.10773040431</v>
      </c>
    </row>
    <row r="16" customFormat="false" ht="15" hidden="false" customHeight="false" outlineLevel="0" collapsed="false">
      <c r="A16" s="0" t="s">
        <v>117</v>
      </c>
      <c r="C16" s="0" t="n">
        <f aca="false">-C12</f>
        <v>423.373808</v>
      </c>
      <c r="D16" s="0" t="n">
        <f aca="false">-D12</f>
        <v>410.67259376</v>
      </c>
      <c r="E16" s="0" t="n">
        <f aca="false">-E12</f>
        <v>414.7793196976</v>
      </c>
      <c r="F16" s="0" t="n">
        <f aca="false">-F12</f>
        <v>423.074906091552</v>
      </c>
      <c r="G16" s="0" t="n">
        <f aca="false">-G12</f>
        <v>431.536404213383</v>
      </c>
      <c r="H16" s="0" t="n">
        <f aca="false">-H12</f>
        <v>440.167132297651</v>
      </c>
      <c r="I16" s="0" t="n">
        <f aca="false">-I12</f>
        <v>448.970474943604</v>
      </c>
      <c r="J16" s="0" t="n">
        <f aca="false">-J12</f>
        <v>457.949884442476</v>
      </c>
      <c r="K16" s="0" t="n">
        <f aca="false">-K12</f>
        <v>467.108882131325</v>
      </c>
      <c r="L16" s="0" t="n">
        <f aca="false">-L12</f>
        <v>476.451059773952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-716.478752</v>
      </c>
      <c r="D17" s="4" t="n">
        <f aca="false">-D6*Assumptions!D18/100</f>
        <v>-884.52558656</v>
      </c>
      <c r="E17" s="4" t="n">
        <f aca="false">-E6*Assumptions!E18/100</f>
        <v>-893.3708424256</v>
      </c>
      <c r="F17" s="4" t="n">
        <f aca="false">-F6*Assumptions!F18/100</f>
        <v>-846.149812183104</v>
      </c>
      <c r="G17" s="4" t="n">
        <f aca="false">-G6*Assumptions!G18/100</f>
        <v>-829.877700410352</v>
      </c>
      <c r="H17" s="4" t="n">
        <f aca="false">-H6*Assumptions!H18/100</f>
        <v>-846.475254418559</v>
      </c>
      <c r="I17" s="4" t="n">
        <f aca="false">-I6*Assumptions!I18/100</f>
        <v>-863.40475950693</v>
      </c>
      <c r="J17" s="4" t="n">
        <f aca="false">-J6*Assumptions!J18/100</f>
        <v>-880.672854697069</v>
      </c>
      <c r="K17" s="4" t="n">
        <f aca="false">-K6*Assumptions!K18/100</f>
        <v>-898.28631179101</v>
      </c>
      <c r="L17" s="4" t="n">
        <f aca="false">-L6*Assumptions!L18/100</f>
        <v>-916.25203802683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-444.0984</v>
      </c>
      <c r="D18" s="4" t="n">
        <f aca="false">(D6-C6)*Assumptions!$B$23/100</f>
        <v>-97.7016480000002</v>
      </c>
      <c r="E18" s="4" t="n">
        <f aca="false">(E6-D6)*Assumptions!$B$23/100</f>
        <v>31.5901995200002</v>
      </c>
      <c r="F18" s="4" t="n">
        <f aca="false">(F6-E6)*Assumptions!$B$23/100</f>
        <v>63.8122030303999</v>
      </c>
      <c r="G18" s="4" t="n">
        <f aca="false">(G6-F6)*Assumptions!$B$23/100</f>
        <v>65.0884470910078</v>
      </c>
      <c r="H18" s="4" t="n">
        <f aca="false">(H6-G6)*Assumptions!$B$23/100</f>
        <v>66.3902160328282</v>
      </c>
      <c r="I18" s="4" t="n">
        <f aca="false">(I6-H6)*Assumptions!$B$23/100</f>
        <v>67.7180203534845</v>
      </c>
      <c r="J18" s="4" t="n">
        <f aca="false">(J6-I6)*Assumptions!$B$23/100</f>
        <v>69.0723807605544</v>
      </c>
      <c r="K18" s="4" t="n">
        <f aca="false">(K6-J6)*Assumptions!$B$23/100</f>
        <v>70.4538283757654</v>
      </c>
      <c r="L18" s="4" t="n">
        <f aca="false">(L6-K6)*Assumptions!$B$23/100</f>
        <v>71.8629049432806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805.18000576</v>
      </c>
      <c r="D19" s="0" t="n">
        <f aca="false">D15+D16+D17+D18</f>
        <v>747.6520911552</v>
      </c>
      <c r="E19" s="0" t="n">
        <f aca="false">E15+E16+E17+E18</f>
        <v>885.397476066752</v>
      </c>
      <c r="F19" s="0" t="n">
        <f aca="false">F15+F16+F17+F18</f>
        <v>1051.8548298719</v>
      </c>
      <c r="G19" s="0" t="n">
        <f aca="false">G15+G16+G17+G18</f>
        <v>1185.75529372515</v>
      </c>
      <c r="H19" s="0" t="n">
        <f aca="false">H15+H16+H17+H18</f>
        <v>1209.47039959965</v>
      </c>
      <c r="I19" s="0" t="n">
        <f aca="false">I15+I16+I17+I18</f>
        <v>1233.65980759164</v>
      </c>
      <c r="J19" s="0" t="n">
        <f aca="false">J15+J16+J17+J18</f>
        <v>1258.33300374348</v>
      </c>
      <c r="K19" s="0" t="n">
        <f aca="false">K15+K16+K17+K18</f>
        <v>1283.49966381834</v>
      </c>
      <c r="L19" s="0" t="n">
        <f aca="false">L15+L16+L17+L18</f>
        <v>1309.16965709471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738.697252990826</v>
      </c>
      <c r="D21" s="0" t="n">
        <f aca="false">D19*D20</f>
        <v>629.283807049238</v>
      </c>
      <c r="E21" s="0" t="n">
        <f aca="false">E19*E20</f>
        <v>683.689304306508</v>
      </c>
      <c r="F21" s="0" t="n">
        <f aca="false">F19*F20</f>
        <v>745.160479861948</v>
      </c>
      <c r="G21" s="0" t="n">
        <f aca="false">G19*G20</f>
        <v>770.659581861386</v>
      </c>
      <c r="H21" s="0" t="n">
        <f aca="false">H19*H20</f>
        <v>721.16768210882</v>
      </c>
      <c r="I21" s="0" t="n">
        <f aca="false">I19*I20</f>
        <v>674.854161239446</v>
      </c>
      <c r="J21" s="0" t="n">
        <f aca="false">J19*J20</f>
        <v>631.514903178197</v>
      </c>
      <c r="K21" s="0" t="n">
        <f aca="false">K19*K20</f>
        <v>590.958900221799</v>
      </c>
      <c r="L21" s="0" t="n">
        <f aca="false">L19*L20</f>
        <v>553.007411216729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0.18</v>
      </c>
      <c r="D23" s="4" t="n">
        <f aca="false">Assumptions!D16</f>
        <v>0.18</v>
      </c>
      <c r="E23" s="4" t="n">
        <f aca="false">Assumptions!E16</f>
        <v>0.18</v>
      </c>
      <c r="F23" s="4" t="n">
        <f aca="false">Assumptions!F16</f>
        <v>0.18</v>
      </c>
      <c r="G23" s="4" t="n">
        <f aca="false">Assumptions!G16</f>
        <v>0.18</v>
      </c>
      <c r="H23" s="4" t="n">
        <f aca="false">Assumptions!H16</f>
        <v>0.18</v>
      </c>
      <c r="I23" s="4" t="n">
        <f aca="false">Assumptions!I16</f>
        <v>0.18</v>
      </c>
      <c r="J23" s="4" t="n">
        <f aca="false">Assumptions!J16</f>
        <v>0.18</v>
      </c>
      <c r="K23" s="4" t="n">
        <f aca="false">Assumptions!K16</f>
        <v>0.18</v>
      </c>
      <c r="L23" s="4" t="n">
        <f aca="false">Assumptions!L16</f>
        <v>0.18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-58.6209888</v>
      </c>
      <c r="D24" s="0" t="n">
        <f aca="false">-D6*D23/100</f>
        <v>-56.862359136</v>
      </c>
      <c r="E24" s="0" t="n">
        <f aca="false">-E6*E23/100</f>
        <v>-57.43098272736</v>
      </c>
      <c r="F24" s="0" t="n">
        <f aca="false">-F6*F23/100</f>
        <v>-58.5796023819072</v>
      </c>
      <c r="G24" s="0" t="n">
        <f aca="false">-G6*G23/100</f>
        <v>-59.7511944295453</v>
      </c>
      <c r="H24" s="0" t="n">
        <f aca="false">-H6*H23/100</f>
        <v>-60.9462183181362</v>
      </c>
      <c r="I24" s="0" t="n">
        <f aca="false">-I6*I23/100</f>
        <v>-62.165142684499</v>
      </c>
      <c r="J24" s="0" t="n">
        <f aca="false">-J6*J23/100</f>
        <v>-63.4084455381889</v>
      </c>
      <c r="K24" s="0" t="n">
        <f aca="false">-K6*K23/100</f>
        <v>-64.6766144489527</v>
      </c>
      <c r="L24" s="0" t="n">
        <f aca="false">-L6*L23/100</f>
        <v>-65.9701467379318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6738.9934840349</v>
      </c>
    </row>
    <row r="31" customFormat="false" ht="15" hidden="false" customHeight="false" outlineLevel="0" collapsed="false">
      <c r="A31" s="0" t="s">
        <v>126</v>
      </c>
      <c r="B31" s="0" t="n">
        <f aca="false">L19</f>
        <v>1309.16965709471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19076.4721462372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15710.0358851365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15710.0358851365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6636.08893460075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13375.0824186357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25943.7824186357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9.97039829053886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0.0506215269271717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583.8036532974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676.757927925921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10.4548419553732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10271.9465402816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7.77563317259074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-8</v>
      </c>
      <c r="D5" s="4" t="n">
        <f aca="false">Assumptions!D27</f>
        <v>3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37008.2</v>
      </c>
      <c r="C6" s="0" t="n">
        <f aca="false">B6*(1+C5/100)</f>
        <v>34047.544</v>
      </c>
      <c r="D6" s="0" t="n">
        <f aca="false">C6*(1+D5/100)</f>
        <v>35068.97032</v>
      </c>
      <c r="E6" s="0" t="n">
        <f aca="false">D6*(1+E5/100)</f>
        <v>36822.418836</v>
      </c>
      <c r="F6" s="0" t="n">
        <f aca="false">E6*(1+F5/100)</f>
        <v>38663.5397778</v>
      </c>
      <c r="G6" s="0" t="n">
        <f aca="false">F6*(1+G5/100)</f>
        <v>40210.081368912</v>
      </c>
      <c r="H6" s="0" t="n">
        <f aca="false">G6*(1+H5/100)</f>
        <v>41818.4846236685</v>
      </c>
      <c r="I6" s="0" t="n">
        <f aca="false">H6*(1+I5/100)</f>
        <v>43282.1315854969</v>
      </c>
      <c r="J6" s="0" t="n">
        <f aca="false">I6*(1+J5/100)</f>
        <v>44580.5955330618</v>
      </c>
      <c r="K6" s="0" t="n">
        <f aca="false">J6*(1+K5/100)</f>
        <v>45918.0133990536</v>
      </c>
      <c r="L6" s="0" t="n">
        <f aca="false">K6*(1+L5/100)</f>
        <v>47295.5538010253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8.3</v>
      </c>
      <c r="D7" s="4" t="n">
        <f aca="false">Assumptions!D28</f>
        <v>8.6</v>
      </c>
      <c r="E7" s="4" t="n">
        <f aca="false">Assumptions!E28</f>
        <v>8.8</v>
      </c>
      <c r="F7" s="4" t="n">
        <f aca="false">Assumptions!F28</f>
        <v>9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2825.946152</v>
      </c>
      <c r="D8" s="0" t="n">
        <f aca="false">D6*D7/100</f>
        <v>3015.93144752</v>
      </c>
      <c r="E8" s="0" t="n">
        <f aca="false">E6*E7/100</f>
        <v>3240.372857568</v>
      </c>
      <c r="F8" s="0" t="n">
        <f aca="false">F6*F7/100</f>
        <v>3479.718580002</v>
      </c>
      <c r="G8" s="0" t="n">
        <f aca="false">G6*G7/100</f>
        <v>3618.90732320208</v>
      </c>
      <c r="H8" s="0" t="n">
        <f aca="false">H6*H7/100</f>
        <v>3763.66361613016</v>
      </c>
      <c r="I8" s="0" t="n">
        <f aca="false">I6*I7/100</f>
        <v>3895.39184269472</v>
      </c>
      <c r="J8" s="0" t="n">
        <f aca="false">J6*J7/100</f>
        <v>4012.25359797556</v>
      </c>
      <c r="K8" s="0" t="n">
        <f aca="false">K6*K7/100</f>
        <v>4132.62120591483</v>
      </c>
      <c r="L8" s="0" t="n">
        <f aca="false">L6*L7/100</f>
        <v>4256.59984209227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0.1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-34.047544</v>
      </c>
      <c r="D10" s="0" t="n">
        <f aca="false">-D6*D9/100</f>
        <v>-105.20691096</v>
      </c>
      <c r="E10" s="0" t="n">
        <f aca="false">-E6*E9/100</f>
        <v>-110.467256508</v>
      </c>
      <c r="F10" s="0" t="n">
        <f aca="false">-F6*F9/100</f>
        <v>-115.9906193334</v>
      </c>
      <c r="G10" s="0" t="n">
        <f aca="false">-G6*G9/100</f>
        <v>-120.630244106736</v>
      </c>
      <c r="H10" s="0" t="n">
        <f aca="false">-H6*H9/100</f>
        <v>-125.455453871005</v>
      </c>
      <c r="I10" s="0" t="n">
        <f aca="false">-I6*I9/100</f>
        <v>-129.846394756491</v>
      </c>
      <c r="J10" s="0" t="n">
        <f aca="false">-J6*J9/100</f>
        <v>-133.741786599185</v>
      </c>
      <c r="K10" s="0" t="n">
        <f aca="false">-K6*K9/100</f>
        <v>-137.754040197161</v>
      </c>
      <c r="L10" s="0" t="n">
        <f aca="false">-L6*L9/100</f>
        <v>-141.886661403076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2730.6130288</v>
      </c>
      <c r="D11" s="0" t="n">
        <f aca="false">D8+D10+D24</f>
        <v>2847.600389984</v>
      </c>
      <c r="E11" s="0" t="n">
        <f aca="false">E8+E10+E24</f>
        <v>3063.6252471552</v>
      </c>
      <c r="F11" s="0" t="n">
        <f aca="false">F8+F10+F24</f>
        <v>3294.13358906856</v>
      </c>
      <c r="G11" s="0" t="n">
        <f aca="false">G8+G10+G24</f>
        <v>3425.8989326313</v>
      </c>
      <c r="H11" s="0" t="n">
        <f aca="false">H8+H10+H24</f>
        <v>3562.93488993656</v>
      </c>
      <c r="I11" s="0" t="n">
        <f aca="false">I8+I10+I24</f>
        <v>3687.63761108433</v>
      </c>
      <c r="J11" s="0" t="n">
        <f aca="false">J8+J10+J24</f>
        <v>3798.26673941686</v>
      </c>
      <c r="K11" s="0" t="n">
        <f aca="false">K8+K10+K24</f>
        <v>3912.21474159937</v>
      </c>
      <c r="L11" s="0" t="n">
        <f aca="false">L8+L10+L24</f>
        <v>4029.58118384735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-442.618072</v>
      </c>
      <c r="D12" s="4" t="n">
        <f aca="false">-D6*Assumptions!D31/100</f>
        <v>-455.89661416</v>
      </c>
      <c r="E12" s="4" t="n">
        <f aca="false">-E6*Assumptions!E31/100</f>
        <v>-478.691444868</v>
      </c>
      <c r="F12" s="4" t="n">
        <f aca="false">-F6*Assumptions!F31/100</f>
        <v>-502.6260171114</v>
      </c>
      <c r="G12" s="4" t="n">
        <f aca="false">-G6*Assumptions!G31/100</f>
        <v>-522.731057795856</v>
      </c>
      <c r="H12" s="4" t="n">
        <f aca="false">-H6*Assumptions!H31/100</f>
        <v>-543.64030010769</v>
      </c>
      <c r="I12" s="4" t="n">
        <f aca="false">-I6*Assumptions!I31/100</f>
        <v>-562.667710611459</v>
      </c>
      <c r="J12" s="4" t="n">
        <f aca="false">-J6*Assumptions!J31/100</f>
        <v>-579.547741929803</v>
      </c>
      <c r="K12" s="4" t="n">
        <f aca="false">-K6*Assumptions!K31/100</f>
        <v>-596.934174187697</v>
      </c>
      <c r="L12" s="4" t="n">
        <f aca="false">-L6*Assumptions!L31/100</f>
        <v>-614.842199413328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2287.9949568</v>
      </c>
      <c r="D13" s="0" t="n">
        <f aca="false">D11+D12</f>
        <v>2391.703775824</v>
      </c>
      <c r="E13" s="0" t="n">
        <f aca="false">E11+E12</f>
        <v>2584.9338022872</v>
      </c>
      <c r="F13" s="0" t="n">
        <f aca="false">F11+F12</f>
        <v>2791.50757195716</v>
      </c>
      <c r="G13" s="0" t="n">
        <f aca="false">G11+G12</f>
        <v>2903.16787483545</v>
      </c>
      <c r="H13" s="0" t="n">
        <f aca="false">H11+H12</f>
        <v>3019.29458982887</v>
      </c>
      <c r="I13" s="0" t="n">
        <f aca="false">I11+I12</f>
        <v>3124.96990047287</v>
      </c>
      <c r="J13" s="0" t="n">
        <f aca="false">J11+J12</f>
        <v>3218.71899748706</v>
      </c>
      <c r="K13" s="0" t="n">
        <f aca="false">K11+K12</f>
        <v>3315.28056741167</v>
      </c>
      <c r="L13" s="0" t="n">
        <f aca="false">L11+L12</f>
        <v>3414.73898443402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1830.39596544</v>
      </c>
      <c r="D15" s="0" t="n">
        <f aca="false">D13-MAX(0,D13)*D14/100</f>
        <v>1913.3630206592</v>
      </c>
      <c r="E15" s="0" t="n">
        <f aca="false">E13-MAX(0,E13)*E14/100</f>
        <v>2067.94704182976</v>
      </c>
      <c r="F15" s="0" t="n">
        <f aca="false">F13-MAX(0,F13)*F14/100</f>
        <v>2233.20605756573</v>
      </c>
      <c r="G15" s="0" t="n">
        <f aca="false">G13-MAX(0,G13)*G14/100</f>
        <v>2322.53429986836</v>
      </c>
      <c r="H15" s="0" t="n">
        <f aca="false">H13-MAX(0,H13)*H14/100</f>
        <v>2415.43567186309</v>
      </c>
      <c r="I15" s="0" t="n">
        <f aca="false">I13-MAX(0,I13)*I14/100</f>
        <v>2499.9759203783</v>
      </c>
      <c r="J15" s="0" t="n">
        <f aca="false">J13-MAX(0,J13)*J14/100</f>
        <v>2574.97519798965</v>
      </c>
      <c r="K15" s="0" t="n">
        <f aca="false">K13-MAX(0,K13)*K14/100</f>
        <v>2652.22445392934</v>
      </c>
      <c r="L15" s="0" t="n">
        <f aca="false">L13-MAX(0,L13)*L14/100</f>
        <v>2731.79118754722</v>
      </c>
    </row>
    <row r="16" customFormat="false" ht="15" hidden="false" customHeight="false" outlineLevel="0" collapsed="false">
      <c r="A16" s="0" t="s">
        <v>117</v>
      </c>
      <c r="C16" s="0" t="n">
        <f aca="false">-C12</f>
        <v>442.618072</v>
      </c>
      <c r="D16" s="0" t="n">
        <f aca="false">-D12</f>
        <v>455.89661416</v>
      </c>
      <c r="E16" s="0" t="n">
        <f aca="false">-E12</f>
        <v>478.691444868</v>
      </c>
      <c r="F16" s="0" t="n">
        <f aca="false">-F12</f>
        <v>502.6260171114</v>
      </c>
      <c r="G16" s="0" t="n">
        <f aca="false">-G12</f>
        <v>522.731057795856</v>
      </c>
      <c r="H16" s="0" t="n">
        <f aca="false">-H12</f>
        <v>543.64030010769</v>
      </c>
      <c r="I16" s="0" t="n">
        <f aca="false">-I12</f>
        <v>562.667710611459</v>
      </c>
      <c r="J16" s="0" t="n">
        <f aca="false">-J12</f>
        <v>579.547741929803</v>
      </c>
      <c r="K16" s="0" t="n">
        <f aca="false">-K12</f>
        <v>596.934174187697</v>
      </c>
      <c r="L16" s="0" t="n">
        <f aca="false">-L12</f>
        <v>614.842199413328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-749.045968</v>
      </c>
      <c r="D17" s="4" t="n">
        <f aca="false">-D6*Assumptions!D32/100</f>
        <v>-1052.0691096</v>
      </c>
      <c r="E17" s="4" t="n">
        <f aca="false">-E6*Assumptions!E32/100</f>
        <v>-1104.67256508</v>
      </c>
      <c r="F17" s="4" t="n">
        <f aca="false">-F6*Assumptions!F32/100</f>
        <v>-1082.5791137784</v>
      </c>
      <c r="G17" s="4" t="n">
        <f aca="false">-G6*Assumptions!G32/100</f>
        <v>-1045.46211559171</v>
      </c>
      <c r="H17" s="4" t="n">
        <f aca="false">-H6*Assumptions!H32/100</f>
        <v>-1045.46211559171</v>
      </c>
      <c r="I17" s="4" t="n">
        <f aca="false">-I6*Assumptions!I32/100</f>
        <v>-1082.05328963742</v>
      </c>
      <c r="J17" s="4" t="n">
        <f aca="false">-J6*Assumptions!J32/100</f>
        <v>-1114.51488832654</v>
      </c>
      <c r="K17" s="4" t="n">
        <f aca="false">-K6*Assumptions!K32/100</f>
        <v>-1147.95033497634</v>
      </c>
      <c r="L17" s="4" t="n">
        <f aca="false">-L6*Assumptions!L32/100</f>
        <v>-1182.38884502563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-296.0656</v>
      </c>
      <c r="D18" s="4" t="n">
        <f aca="false">(D6-C6)*Assumptions!$B$37/100</f>
        <v>102.142632</v>
      </c>
      <c r="E18" s="4" t="n">
        <f aca="false">(E6-D6)*Assumptions!$B$37/100</f>
        <v>175.3448516</v>
      </c>
      <c r="F18" s="4" t="n">
        <f aca="false">(F6-E6)*Assumptions!$B$37/100</f>
        <v>184.11209418</v>
      </c>
      <c r="G18" s="4" t="n">
        <f aca="false">(G6-F6)*Assumptions!$B$37/100</f>
        <v>154.6541591112</v>
      </c>
      <c r="H18" s="4" t="n">
        <f aca="false">(H6-G6)*Assumptions!$B$37/100</f>
        <v>160.840325475648</v>
      </c>
      <c r="I18" s="4" t="n">
        <f aca="false">(I6-H6)*Assumptions!$B$37/100</f>
        <v>146.36469618284</v>
      </c>
      <c r="J18" s="4" t="n">
        <f aca="false">(J6-I6)*Assumptions!$B$37/100</f>
        <v>129.846394756491</v>
      </c>
      <c r="K18" s="4" t="n">
        <f aca="false">(K6-J6)*Assumptions!$B$37/100</f>
        <v>133.741786599185</v>
      </c>
      <c r="L18" s="4" t="n">
        <f aca="false">(L6-K6)*Assumptions!$B$37/100</f>
        <v>137.754040197161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1227.90246944</v>
      </c>
      <c r="D19" s="0" t="n">
        <f aca="false">D15+D16+D17+D18</f>
        <v>1419.3331572192</v>
      </c>
      <c r="E19" s="0" t="n">
        <f aca="false">E15+E16+E17+E18</f>
        <v>1617.31077321776</v>
      </c>
      <c r="F19" s="0" t="n">
        <f aca="false">F15+F16+F17+F18</f>
        <v>1837.36505507873</v>
      </c>
      <c r="G19" s="0" t="n">
        <f aca="false">G15+G16+G17+G18</f>
        <v>1954.4574011837</v>
      </c>
      <c r="H19" s="0" t="n">
        <f aca="false">H15+H16+H17+H18</f>
        <v>2074.45418185472</v>
      </c>
      <c r="I19" s="0" t="n">
        <f aca="false">I15+I16+I17+I18</f>
        <v>2126.95503753518</v>
      </c>
      <c r="J19" s="0" t="n">
        <f aca="false">J15+J16+J17+J18</f>
        <v>2169.8544463494</v>
      </c>
      <c r="K19" s="0" t="n">
        <f aca="false">K15+K16+K17+K18</f>
        <v>2234.95007973988</v>
      </c>
      <c r="L19" s="0" t="n">
        <f aca="false">L15+L16+L17+L18</f>
        <v>2301.99858213208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1126.51602700917</v>
      </c>
      <c r="D21" s="0" t="n">
        <f aca="false">D19*D20</f>
        <v>1194.62432221126</v>
      </c>
      <c r="E21" s="0" t="n">
        <f aca="false">E19*E20</f>
        <v>1248.86066120354</v>
      </c>
      <c r="F21" s="0" t="n">
        <f aca="false">F19*F20</f>
        <v>1301.63572694796</v>
      </c>
      <c r="G21" s="0" t="n">
        <f aca="false">G19*G20</f>
        <v>1270.26320821238</v>
      </c>
      <c r="H21" s="0" t="n">
        <f aca="false">H19*H20</f>
        <v>1236.92924974792</v>
      </c>
      <c r="I21" s="0" t="n">
        <f aca="false">I19*I20</f>
        <v>1163.51724277374</v>
      </c>
      <c r="J21" s="0" t="n">
        <f aca="false">J19*J20</f>
        <v>1088.97677842079</v>
      </c>
      <c r="K21" s="0" t="n">
        <f aca="false">K19*K20</f>
        <v>1029.03310254441</v>
      </c>
      <c r="L21" s="0" t="n">
        <f aca="false">L19*L20</f>
        <v>972.389078551142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0.18</v>
      </c>
      <c r="D23" s="4" t="n">
        <f aca="false">Assumptions!D30</f>
        <v>0.18</v>
      </c>
      <c r="E23" s="4" t="n">
        <f aca="false">Assumptions!E30</f>
        <v>0.18</v>
      </c>
      <c r="F23" s="4" t="n">
        <f aca="false">Assumptions!F30</f>
        <v>0.18</v>
      </c>
      <c r="G23" s="4" t="n">
        <f aca="false">Assumptions!G30</f>
        <v>0.18</v>
      </c>
      <c r="H23" s="4" t="n">
        <f aca="false">Assumptions!H30</f>
        <v>0.18</v>
      </c>
      <c r="I23" s="4" t="n">
        <f aca="false">Assumptions!I30</f>
        <v>0.18</v>
      </c>
      <c r="J23" s="4" t="n">
        <f aca="false">Assumptions!J30</f>
        <v>0.18</v>
      </c>
      <c r="K23" s="4" t="n">
        <f aca="false">Assumptions!K30</f>
        <v>0.18</v>
      </c>
      <c r="L23" s="4" t="n">
        <f aca="false">Assumptions!L30</f>
        <v>0.18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-61.2855792</v>
      </c>
      <c r="D24" s="0" t="n">
        <f aca="false">-D6*D23/100</f>
        <v>-63.124146576</v>
      </c>
      <c r="E24" s="0" t="n">
        <f aca="false">-E6*E23/100</f>
        <v>-66.2803539048</v>
      </c>
      <c r="F24" s="0" t="n">
        <f aca="false">-F6*F23/100</f>
        <v>-69.59437160004</v>
      </c>
      <c r="G24" s="0" t="n">
        <f aca="false">-G6*G23/100</f>
        <v>-72.3781464640416</v>
      </c>
      <c r="H24" s="0" t="n">
        <f aca="false">-H6*H23/100</f>
        <v>-75.2732723226033</v>
      </c>
      <c r="I24" s="0" t="n">
        <f aca="false">-I6*I23/100</f>
        <v>-77.9078368538944</v>
      </c>
      <c r="J24" s="0" t="n">
        <f aca="false">-J6*J23/100</f>
        <v>-80.2450719595112</v>
      </c>
      <c r="K24" s="0" t="n">
        <f aca="false">-K6*K23/100</f>
        <v>-82.6524241182966</v>
      </c>
      <c r="L24" s="0" t="n">
        <f aca="false">-L6*L23/100</f>
        <v>-85.1319968418455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11632.7453976223</v>
      </c>
    </row>
    <row r="31" customFormat="false" ht="15" hidden="false" customHeight="false" outlineLevel="0" collapsed="false">
      <c r="A31" s="0" t="s">
        <v>126</v>
      </c>
      <c r="B31" s="0" t="n">
        <f aca="false">L19</f>
        <v>2301.99858213208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36300.7468720827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32227.9801498491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32227.9801498491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13613.447099716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25246.1924973383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37814.8924973383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14.5325586465584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0.531354968025119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701.976033814319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945.120317065905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15.1655506434914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18876.388373483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10.0194270521372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-5</v>
      </c>
      <c r="D5" s="4" t="n">
        <f aca="false">Assumptions!D41</f>
        <v>6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37008.2</v>
      </c>
      <c r="C6" s="0" t="n">
        <f aca="false">B6*(1+C5/100)</f>
        <v>35157.79</v>
      </c>
      <c r="D6" s="0" t="n">
        <f aca="false">C6*(1+D5/100)</f>
        <v>37267.2574</v>
      </c>
      <c r="E6" s="0" t="n">
        <f aca="false">D6*(1+E5/100)</f>
        <v>40248.637992</v>
      </c>
      <c r="F6" s="0" t="n">
        <f aca="false">E6*(1+F5/100)</f>
        <v>43468.52903136</v>
      </c>
      <c r="G6" s="0" t="n">
        <f aca="false">F6*(1+G5/100)</f>
        <v>46511.3260635552</v>
      </c>
      <c r="H6" s="0" t="n">
        <f aca="false">G6*(1+H5/100)</f>
        <v>49302.0056273685</v>
      </c>
      <c r="I6" s="0" t="n">
        <f aca="false">H6*(1+I5/100)</f>
        <v>51767.1059087369</v>
      </c>
      <c r="J6" s="0" t="n">
        <f aca="false">I6*(1+J5/100)</f>
        <v>53837.7901450864</v>
      </c>
      <c r="K6" s="0" t="n">
        <f aca="false">J6*(1+K5/100)</f>
        <v>55722.1128001644</v>
      </c>
      <c r="L6" s="0" t="n">
        <f aca="false">K6*(1+L5/100)</f>
        <v>57393.7761841694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8.8</v>
      </c>
      <c r="D7" s="4" t="n">
        <f aca="false">Assumptions!D42</f>
        <v>9.4</v>
      </c>
      <c r="E7" s="4" t="n">
        <f aca="false">Assumptions!E42</f>
        <v>9.8</v>
      </c>
      <c r="F7" s="4" t="n">
        <f aca="false">Assumptions!F42</f>
        <v>10</v>
      </c>
      <c r="G7" s="4" t="n">
        <f aca="false">Assumptions!G42</f>
        <v>10.2</v>
      </c>
      <c r="H7" s="4" t="n">
        <f aca="false">Assumptions!H42</f>
        <v>10.3</v>
      </c>
      <c r="I7" s="4" t="n">
        <f aca="false">Assumptions!I42</f>
        <v>10.5</v>
      </c>
      <c r="J7" s="4" t="n">
        <f aca="false">Assumptions!J42</f>
        <v>10.5</v>
      </c>
      <c r="K7" s="4" t="n">
        <f aca="false">Assumptions!K42</f>
        <v>10.5</v>
      </c>
      <c r="L7" s="4" t="n">
        <f aca="false">Assumptions!L42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3093.88552</v>
      </c>
      <c r="D8" s="0" t="n">
        <f aca="false">D6*D7/100</f>
        <v>3503.1221956</v>
      </c>
      <c r="E8" s="0" t="n">
        <f aca="false">E6*E7/100</f>
        <v>3944.366523216</v>
      </c>
      <c r="F8" s="0" t="n">
        <f aca="false">F6*F7/100</f>
        <v>4346.852903136</v>
      </c>
      <c r="G8" s="0" t="n">
        <f aca="false">G6*G7/100</f>
        <v>4744.15525848263</v>
      </c>
      <c r="H8" s="0" t="n">
        <f aca="false">H6*H7/100</f>
        <v>5078.10657961896</v>
      </c>
      <c r="I8" s="0" t="n">
        <f aca="false">I6*I7/100</f>
        <v>5435.54612041738</v>
      </c>
      <c r="J8" s="0" t="n">
        <f aca="false">J6*J7/100</f>
        <v>5652.96796523407</v>
      </c>
      <c r="K8" s="0" t="n">
        <f aca="false">K6*K7/100</f>
        <v>5850.82184401727</v>
      </c>
      <c r="L8" s="0" t="n">
        <f aca="false">L6*L7/100</f>
        <v>6026.34649933779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0.1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-35.15779</v>
      </c>
      <c r="D10" s="0" t="n">
        <f aca="false">-D6*D9/100</f>
        <v>-111.8017722</v>
      </c>
      <c r="E10" s="0" t="n">
        <f aca="false">-E6*E9/100</f>
        <v>-120.745913976</v>
      </c>
      <c r="F10" s="0" t="n">
        <f aca="false">-F6*F9/100</f>
        <v>-130.40558709408</v>
      </c>
      <c r="G10" s="0" t="n">
        <f aca="false">-G6*G9/100</f>
        <v>-139.533978190666</v>
      </c>
      <c r="H10" s="0" t="n">
        <f aca="false">-H6*H9/100</f>
        <v>-147.906016882106</v>
      </c>
      <c r="I10" s="0" t="n">
        <f aca="false">-I6*I9/100</f>
        <v>-155.301317726211</v>
      </c>
      <c r="J10" s="0" t="n">
        <f aca="false">-J6*J9/100</f>
        <v>-161.513370435259</v>
      </c>
      <c r="K10" s="0" t="n">
        <f aca="false">-K6*K9/100</f>
        <v>-167.166338400493</v>
      </c>
      <c r="L10" s="0" t="n">
        <f aca="false">-L6*L9/100</f>
        <v>-172.181328552508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2995.443708</v>
      </c>
      <c r="D11" s="0" t="n">
        <f aca="false">D8+D10+D24</f>
        <v>3324.23936008</v>
      </c>
      <c r="E11" s="0" t="n">
        <f aca="false">E8+E10+E24</f>
        <v>3751.1730608544</v>
      </c>
      <c r="F11" s="0" t="n">
        <f aca="false">F8+F10+F24</f>
        <v>4138.20396378547</v>
      </c>
      <c r="G11" s="0" t="n">
        <f aca="false">G8+G10+G24</f>
        <v>4520.90089337757</v>
      </c>
      <c r="H11" s="0" t="n">
        <f aca="false">H8+H10+H24</f>
        <v>4841.45695260759</v>
      </c>
      <c r="I11" s="0" t="n">
        <f aca="false">I8+I10+I24</f>
        <v>5187.06401205544</v>
      </c>
      <c r="J11" s="0" t="n">
        <f aca="false">J8+J10+J24</f>
        <v>5394.54657253766</v>
      </c>
      <c r="K11" s="0" t="n">
        <f aca="false">K8+K10+K24</f>
        <v>5583.35570257648</v>
      </c>
      <c r="L11" s="0" t="n">
        <f aca="false">L8+L10+L24</f>
        <v>5750.85637365377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-457.05127</v>
      </c>
      <c r="D12" s="4" t="n">
        <f aca="false">-D6*Assumptions!D45/100</f>
        <v>-484.4743462</v>
      </c>
      <c r="E12" s="4" t="n">
        <f aca="false">-E6*Assumptions!E45/100</f>
        <v>-523.232293896</v>
      </c>
      <c r="F12" s="4" t="n">
        <f aca="false">-F6*Assumptions!F45/100</f>
        <v>-565.09087740768</v>
      </c>
      <c r="G12" s="4" t="n">
        <f aca="false">-G6*Assumptions!G45/100</f>
        <v>-604.647238826218</v>
      </c>
      <c r="H12" s="4" t="n">
        <f aca="false">-H6*Assumptions!H45/100</f>
        <v>-640.926073155791</v>
      </c>
      <c r="I12" s="4" t="n">
        <f aca="false">-I6*Assumptions!I45/100</f>
        <v>-672.97237681358</v>
      </c>
      <c r="J12" s="4" t="n">
        <f aca="false">-J6*Assumptions!J45/100</f>
        <v>-699.891271886123</v>
      </c>
      <c r="K12" s="4" t="n">
        <f aca="false">-K6*Assumptions!K45/100</f>
        <v>-724.387466402138</v>
      </c>
      <c r="L12" s="4" t="n">
        <f aca="false">-L6*Assumptions!L45/100</f>
        <v>-746.119090394202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2538.392438</v>
      </c>
      <c r="D13" s="0" t="n">
        <f aca="false">D11+D12</f>
        <v>2839.76501388</v>
      </c>
      <c r="E13" s="0" t="n">
        <f aca="false">E11+E12</f>
        <v>3227.9407669584</v>
      </c>
      <c r="F13" s="0" t="n">
        <f aca="false">F11+F12</f>
        <v>3573.11308637779</v>
      </c>
      <c r="G13" s="0" t="n">
        <f aca="false">G11+G12</f>
        <v>3916.25365455135</v>
      </c>
      <c r="H13" s="0" t="n">
        <f aca="false">H11+H12</f>
        <v>4200.5308794518</v>
      </c>
      <c r="I13" s="0" t="n">
        <f aca="false">I11+I12</f>
        <v>4514.09163524186</v>
      </c>
      <c r="J13" s="0" t="n">
        <f aca="false">J11+J12</f>
        <v>4694.65530065154</v>
      </c>
      <c r="K13" s="0" t="n">
        <f aca="false">K11+K12</f>
        <v>4858.96823617434</v>
      </c>
      <c r="L13" s="0" t="n">
        <f aca="false">L11+L12</f>
        <v>5004.73728325957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2030.7139504</v>
      </c>
      <c r="D15" s="0" t="n">
        <f aca="false">D13-MAX(0,D13)*D14/100</f>
        <v>2271.812011104</v>
      </c>
      <c r="E15" s="0" t="n">
        <f aca="false">E13-MAX(0,E13)*E14/100</f>
        <v>2582.35261356672</v>
      </c>
      <c r="F15" s="0" t="n">
        <f aca="false">F13-MAX(0,F13)*F14/100</f>
        <v>2858.49046910223</v>
      </c>
      <c r="G15" s="0" t="n">
        <f aca="false">G13-MAX(0,G13)*G14/100</f>
        <v>3133.00292364108</v>
      </c>
      <c r="H15" s="0" t="n">
        <f aca="false">H13-MAX(0,H13)*H14/100</f>
        <v>3360.42470356144</v>
      </c>
      <c r="I15" s="0" t="n">
        <f aca="false">I13-MAX(0,I13)*I14/100</f>
        <v>3611.27330819349</v>
      </c>
      <c r="J15" s="0" t="n">
        <f aca="false">J13-MAX(0,J13)*J14/100</f>
        <v>3755.72424052123</v>
      </c>
      <c r="K15" s="0" t="n">
        <f aca="false">K13-MAX(0,K13)*K14/100</f>
        <v>3887.17458893947</v>
      </c>
      <c r="L15" s="0" t="n">
        <f aca="false">L13-MAX(0,L13)*L14/100</f>
        <v>4003.78982660766</v>
      </c>
    </row>
    <row r="16" customFormat="false" ht="15" hidden="false" customHeight="false" outlineLevel="0" collapsed="false">
      <c r="A16" s="0" t="s">
        <v>117</v>
      </c>
      <c r="C16" s="0" t="n">
        <f aca="false">-C12</f>
        <v>457.05127</v>
      </c>
      <c r="D16" s="0" t="n">
        <f aca="false">-D12</f>
        <v>484.4743462</v>
      </c>
      <c r="E16" s="0" t="n">
        <f aca="false">-E12</f>
        <v>523.232293896</v>
      </c>
      <c r="F16" s="0" t="n">
        <f aca="false">-F12</f>
        <v>565.09087740768</v>
      </c>
      <c r="G16" s="0" t="n">
        <f aca="false">-G12</f>
        <v>604.647238826218</v>
      </c>
      <c r="H16" s="0" t="n">
        <f aca="false">-H12</f>
        <v>640.926073155791</v>
      </c>
      <c r="I16" s="0" t="n">
        <f aca="false">-I12</f>
        <v>672.97237681358</v>
      </c>
      <c r="J16" s="0" t="n">
        <f aca="false">-J12</f>
        <v>699.891271886123</v>
      </c>
      <c r="K16" s="0" t="n">
        <f aca="false">-K12</f>
        <v>724.387466402138</v>
      </c>
      <c r="L16" s="0" t="n">
        <f aca="false">-L12</f>
        <v>746.119090394202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-808.62917</v>
      </c>
      <c r="D17" s="4" t="n">
        <f aca="false">-D6*Assumptions!D46/100</f>
        <v>-1192.5522368</v>
      </c>
      <c r="E17" s="4" t="n">
        <f aca="false">-E6*Assumptions!E46/100</f>
        <v>-1287.956415744</v>
      </c>
      <c r="F17" s="4" t="n">
        <f aca="false">-F6*Assumptions!F46/100</f>
        <v>-1304.0558709408</v>
      </c>
      <c r="G17" s="4" t="n">
        <f aca="false">-G6*Assumptions!G46/100</f>
        <v>-1302.31712977955</v>
      </c>
      <c r="H17" s="4" t="n">
        <f aca="false">-H6*Assumptions!H46/100</f>
        <v>-1281.85214631158</v>
      </c>
      <c r="I17" s="4" t="n">
        <f aca="false">-I6*Assumptions!I46/100</f>
        <v>-1294.17764771842</v>
      </c>
      <c r="J17" s="4" t="n">
        <f aca="false">-J6*Assumptions!J46/100</f>
        <v>-1345.94475362716</v>
      </c>
      <c r="K17" s="4" t="n">
        <f aca="false">-K6*Assumptions!K46/100</f>
        <v>-1393.05282000411</v>
      </c>
      <c r="L17" s="4" t="n">
        <f aca="false">-L6*Assumptions!L46/100</f>
        <v>-1434.84440460423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-185.041</v>
      </c>
      <c r="D18" s="4" t="n">
        <f aca="false">(D6-C6)*Assumptions!$B$51/100</f>
        <v>210.94674</v>
      </c>
      <c r="E18" s="4" t="n">
        <f aca="false">(E6-D6)*Assumptions!$B$51/100</f>
        <v>298.1380592</v>
      </c>
      <c r="F18" s="4" t="n">
        <f aca="false">(F6-E6)*Assumptions!$B$51/100</f>
        <v>321.989103936</v>
      </c>
      <c r="G18" s="4" t="n">
        <f aca="false">(G6-F6)*Assumptions!$B$51/100</f>
        <v>304.27970321952</v>
      </c>
      <c r="H18" s="4" t="n">
        <f aca="false">(H6-G6)*Assumptions!$B$51/100</f>
        <v>279.067956381331</v>
      </c>
      <c r="I18" s="4" t="n">
        <f aca="false">(I6-H6)*Assumptions!$B$51/100</f>
        <v>246.510028136842</v>
      </c>
      <c r="J18" s="4" t="n">
        <f aca="false">(J6-I6)*Assumptions!$B$51/100</f>
        <v>207.068423634948</v>
      </c>
      <c r="K18" s="4" t="n">
        <f aca="false">(K6-J6)*Assumptions!$B$51/100</f>
        <v>188.432265507802</v>
      </c>
      <c r="L18" s="4" t="n">
        <f aca="false">(L6-K6)*Assumptions!$B$51/100</f>
        <v>167.166338400493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1494.0950504</v>
      </c>
      <c r="D19" s="0" t="n">
        <f aca="false">D15+D16+D17+D18</f>
        <v>1774.680860504</v>
      </c>
      <c r="E19" s="0" t="n">
        <f aca="false">E15+E16+E17+E18</f>
        <v>2115.76655091872</v>
      </c>
      <c r="F19" s="0" t="n">
        <f aca="false">F15+F16+F17+F18</f>
        <v>2441.51457950511</v>
      </c>
      <c r="G19" s="0" t="n">
        <f aca="false">G15+G16+G17+G18</f>
        <v>2739.61273590727</v>
      </c>
      <c r="H19" s="0" t="n">
        <f aca="false">H15+H16+H17+H18</f>
        <v>2998.56658678698</v>
      </c>
      <c r="I19" s="0" t="n">
        <f aca="false">I15+I16+I17+I18</f>
        <v>3236.57806542549</v>
      </c>
      <c r="J19" s="0" t="n">
        <f aca="false">J15+J16+J17+J18</f>
        <v>3316.73918241514</v>
      </c>
      <c r="K19" s="0" t="n">
        <f aca="false">K15+K16+K17+K18</f>
        <v>3406.9415008453</v>
      </c>
      <c r="L19" s="0" t="n">
        <f aca="false">L15+L16+L17+L18</f>
        <v>3482.23085079812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1370.7294040367</v>
      </c>
      <c r="D21" s="0" t="n">
        <f aca="false">D19*D20</f>
        <v>1493.7133747193</v>
      </c>
      <c r="E21" s="0" t="n">
        <f aca="false">E19*E20</f>
        <v>1633.75997828521</v>
      </c>
      <c r="F21" s="0" t="n">
        <f aca="false">F19*F20</f>
        <v>1729.63048130466</v>
      </c>
      <c r="G21" s="0" t="n">
        <f aca="false">G19*G20</f>
        <v>1780.56030336881</v>
      </c>
      <c r="H21" s="0" t="n">
        <f aca="false">H19*H20</f>
        <v>1787.94728317281</v>
      </c>
      <c r="I21" s="0" t="n">
        <f aca="false">I19*I20</f>
        <v>1770.51903789648</v>
      </c>
      <c r="J21" s="0" t="n">
        <f aca="false">J19*J20</f>
        <v>1664.55955412358</v>
      </c>
      <c r="K21" s="0" t="n">
        <f aca="false">K19*K20</f>
        <v>1568.65051017614</v>
      </c>
      <c r="L21" s="0" t="n">
        <f aca="false">L19*L20</f>
        <v>1470.93194348269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0.18</v>
      </c>
      <c r="D23" s="4" t="n">
        <f aca="false">Assumptions!D44</f>
        <v>0.18</v>
      </c>
      <c r="E23" s="4" t="n">
        <f aca="false">Assumptions!E44</f>
        <v>0.18</v>
      </c>
      <c r="F23" s="4" t="n">
        <f aca="false">Assumptions!F44</f>
        <v>0.18</v>
      </c>
      <c r="G23" s="4" t="n">
        <f aca="false">Assumptions!G44</f>
        <v>0.18</v>
      </c>
      <c r="H23" s="4" t="n">
        <f aca="false">Assumptions!H44</f>
        <v>0.18</v>
      </c>
      <c r="I23" s="4" t="n">
        <f aca="false">Assumptions!I44</f>
        <v>0.18</v>
      </c>
      <c r="J23" s="4" t="n">
        <f aca="false">Assumptions!J44</f>
        <v>0.18</v>
      </c>
      <c r="K23" s="4" t="n">
        <f aca="false">Assumptions!K44</f>
        <v>0.18</v>
      </c>
      <c r="L23" s="4" t="n">
        <f aca="false">Assumptions!L44</f>
        <v>0.18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-63.284022</v>
      </c>
      <c r="D24" s="0" t="n">
        <f aca="false">-D6*D23/100</f>
        <v>-67.08106332</v>
      </c>
      <c r="E24" s="0" t="n">
        <f aca="false">-E6*E23/100</f>
        <v>-72.4475483856</v>
      </c>
      <c r="F24" s="0" t="n">
        <f aca="false">-F6*F23/100</f>
        <v>-78.243352256448</v>
      </c>
      <c r="G24" s="0" t="n">
        <f aca="false">-G6*G23/100</f>
        <v>-83.7203869143994</v>
      </c>
      <c r="H24" s="0" t="n">
        <f aca="false">-H6*H23/100</f>
        <v>-88.7436101292633</v>
      </c>
      <c r="I24" s="0" t="n">
        <f aca="false">-I6*I23/100</f>
        <v>-93.1807906357265</v>
      </c>
      <c r="J24" s="0" t="n">
        <f aca="false">-J6*J23/100</f>
        <v>-96.9080222611556</v>
      </c>
      <c r="K24" s="0" t="n">
        <f aca="false">-K6*K23/100</f>
        <v>-100.299803040296</v>
      </c>
      <c r="L24" s="0" t="n">
        <f aca="false">-L6*L23/100</f>
        <v>-103.308797131505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16271.0018705664</v>
      </c>
    </row>
    <row r="31" customFormat="false" ht="15" hidden="false" customHeight="false" outlineLevel="0" collapsed="false">
      <c r="A31" s="0" t="s">
        <v>126</v>
      </c>
      <c r="B31" s="0" t="n">
        <f aca="false">L19</f>
        <v>3482.23085079812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59778.2962720344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55715.6936127699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55715.6936127699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23534.9110957231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39805.9129662895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52374.6129662895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20.127972982522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1.12096659457555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806.568344227798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1248.5531924004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20.9177722463691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29889.1481360172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12.3646095712203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9.97039829053886</v>
      </c>
      <c r="C4" s="0" t="n">
        <f aca="false">B4/Assumptions!$B$2-1</f>
        <v>0.0506215269271717</v>
      </c>
      <c r="D4" s="4" t="n">
        <f aca="false">Assumptions!$B$24</f>
        <v>0.3</v>
      </c>
      <c r="E4" s="4" t="n">
        <f aca="false">DCF_Bear!$B$43</f>
        <v>10.4548419553732</v>
      </c>
      <c r="F4" s="4" t="n">
        <f aca="false">DCF_Bear!$B$47</f>
        <v>7.77563317259074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14.5325586465584</v>
      </c>
      <c r="C5" s="0" t="n">
        <f aca="false">B5/Assumptions!$B$2-1</f>
        <v>0.531354968025119</v>
      </c>
      <c r="D5" s="4" t="n">
        <f aca="false">Assumptions!$B$38</f>
        <v>0.5</v>
      </c>
      <c r="E5" s="4" t="n">
        <f aca="false">DCF_Base!$B$43</f>
        <v>15.1655506434914</v>
      </c>
      <c r="F5" s="4" t="n">
        <f aca="false">DCF_Base!$B$47</f>
        <v>10.0194270521372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20.127972982522</v>
      </c>
      <c r="C6" s="0" t="n">
        <f aca="false">B6/Assumptions!$B$2-1</f>
        <v>1.12096659457555</v>
      </c>
      <c r="D6" s="4" t="n">
        <f aca="false">Assumptions!$B$52</f>
        <v>0.2</v>
      </c>
      <c r="E6" s="4" t="n">
        <f aca="false">DCF_Bull!$B$43</f>
        <v>20.9177722463691</v>
      </c>
      <c r="F6" s="4" t="n">
        <f aca="false">DCF_Bull!$B$47</f>
        <v>12.3646095712203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14.2829934069452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14.9027823576315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0.335573452313897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-773.326694778657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9.8153253920899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14.5325586465584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13.7509515533958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12.6497275956534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11.7820908796055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10.0194270521372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16.067942564823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16.067942564823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16.067942564823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16.067942564823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16.067942564823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15.264618749599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15.264618749599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15.264618749599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15.264618749599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15.264618749599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14.3581668436707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14.5325586465584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14.5325586465584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14.5325586465584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14.5325586465584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13.1624197852806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13.4382940515846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13.7509515533958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13.864645190418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13.864645190418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12.221440562504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12.4236872170468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12.6497275956534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12.9040230215859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13.1922245043093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2026-10-16T14:21:57Z</dcterms:created>
  <dc:creator>openpyxl</dc:creator>
  <dc:description/>
  <dc:language>en-NZ</dc:language>
  <cp:lastModifiedBy/>
  <dcterms:modified xsi:type="dcterms:W3CDTF">2026-10-16T14:21:57Z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