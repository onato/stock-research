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<sst xmlns="http://schemas.openxmlformats.org/spreadsheetml/2006/main" count="354" uniqueCount="164">
  <si>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</si>
  <si>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BP.L</t>
  </si>
  <si>
    <t xml:space="preserve">Company</t>
  </si>
  <si>
    <t xml:space="preserve">BP p.l.c.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</si>
  <si>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</si>
  <si>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</si>
  <si>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</si>
  <si>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</si>
  <si>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2026-10-09T16:15:00Z LSE regular close (not after-hours); 52-week range 399.35-609.4p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</si>
  <si>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</si>
  <si>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</si>
  <si>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</si>
  <si>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</si>
  <si>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</si>
  <si>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</si>
  <si>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</si>
  <si>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</si>
  <si>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</si>
  <si>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</si>
  <si>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</si>
  <si>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</si>
  <si>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</si>
  <si>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2026-10-09T22:50:41Z</t>
  </si>
  <si>
    <t xml:space="preserve">Drivers file</t>
  </si>
  <si>
    <t xml:space="preserve">BP.L_Drivers.json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</si>
  <si>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</si>
  <si>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</si>
  <si>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</si>
  <si>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through-cycle owner-FCF DCF anchored on FY2025, which BP itself says was a ~$70-real price environment, rather than on the H1-2026 Middle-East price spike. EBITDA is built from the cash flow statement (after decommissioning spend, before Gulf of America payments), leases are charged as an operating cost at the full $3.8bn cash cost with lease liabilities kept out of net debt, and every claim ranking ahead of ordinary shareholders - $22.3bn net debt, $15.5bn of hybrids, $4.9bn other NCI and the $5bn net GoA liability - is deducted once in the bridge, with the signed $5.5bn net Castrol proceeds credited. Risk is charged once: one 8% USD WACC across scenarios, with cyclicality and governance carried in the driver paths and a 25/50/25 weighting. The terminal value is capped at 12x owner FCF (10x bear, 13x bull), well inside the market's historical treatment of BP, so the base case assumes no re-rating. The investment framing is income plus modest nominal growth with a deleveraging-driven re-rating option, not a multi-bagger.
key_risks_to_valuation: Commodity price path: BP's own rules of thumb are ~$340m pre-tax per $1/bbl Brent and $450m per $1/bbl RIM for a full year; a sustained $10 miss on Brent is ~$2bn of after-tax FCF, or roughly 15% of the base-case flow.; Disposal execution: Castrol ($6bn), UK North Sea (~GBP2bn) and the rest of the $20bn programme must close on terms for net debt to reach $14-18bn; the bridge credits Castrol only.; Cost-out delivery versus inflation: the base assumes cost cuts merely offset divested EBITDA; if they fall short, the 21.5% margin is the first driver to give.; Claims ahead of equity: hybrids, GoA and other NCI total ~$25bn (~$1.60/share, ~120p) and are deducted at face/book; a buyer who treats hybrids as permanent equity would see ~17% more value than this model.; Governance: a fourth CEO since 2020 and a chair removed after seven months; another leadership break would push weights toward bear.; Half-year overlap and FX: FY2026 modelled as a full year against a 30-Jun-2026 balance sheet (~2% upward bias), and every per-share output moves 1:1 with GBPUSD, which refresh_price.py does not update.</t>
  </si>
  <si>
    <t xml:space="preserve">Data sources</t>
  </si>
  <si>
    <t xml:space="preserve">price: Yahoo Finance chart API for BP.L at inputs.price_as_of (regular LSE close); 52-week range 399.35-609.4p. GBPUSD=X from the same API for the fx_rate; BP (NYSE ADR) regular close used as the parity check.
financials: BP Annual Report and Form 20-F 2025 (research/BP.L/Extracted/BP.L_Annual_FY2025.txt: cash flow statement :11668-11714, balance sheet :11601-11658, EPS note :13721-13757, Note 12 ROU depreciation :13847, Note 32 hybrids :16217-16221, lease interest :26013); 2Q 2026 results presentation (BP.L_Presentation_Q2-2026.txt :305-323, :397-426 financial frame and 2H26 assumptions, :979-1003 adjusted FCF); FY2025 results script (BP.L_Presentation_FY2025.txt :501-510); BP.L_Metrics.csv via make dcf-context.
qualitative: research/BP.L/Reports/BP.L_Analysis.json (2026-10-10): strategic reset, Elliott campaign, CEO/chair changes, 2Q 2026 guidance table, bull/bear axes.</t>
  </si>
  <si>
    <t xml:space="preserve">Scenario narrative: bear</t>
  </si>
  <si>
    <t xml:space="preserve">Sustained $60-65 Brent oversupply with refining margins normalising; EBITDA ~$34bn, capex floor binds, deleveraging stalls above $18bn, buybacks stay suspended and governance turmoil continues. Still cash-generative; no solvency path modelled.</t>
  </si>
  <si>
    <t xml:space="preserve">Scenario narrative: base</t>
  </si>
  <si>
    <t xml:space="preserve">Mid-cycle integrated major: $70-75 Brent, flat underlying production, cost-out roughly offsetting divested EBITDA so dollar EBITDA holds ~$40bn, unlevered owner FCF ~$13.5-14bn from FY2027, net debt reaching the $14-18bn target in FY2026 via the Castrol proceeds and the buyback pause.</t>
  </si>
  <si>
    <t xml:space="preserve">Scenario narrative: bull</t>
  </si>
  <si>
    <t xml:space="preserve">Reset fully delivered at $75-80 Brent: $6.5bn cost-out, 2027 targets (&gt;16% ROACE, ~$15bn adjusted FCF) met, reserve replacement sustains volumes, buybacks resume, governance discount closes toward Shell's multiple.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</si>
  <si>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</si>
  <si>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</si>
  <si>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</si>
  <si>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</si>
  <si>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</si>
  <si>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</si>
  <si>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</si>
  <si>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</si>
  <si>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</si>
  <si>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</si>
  <si>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</si>
  <si>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</si>
  <si>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</si>
  <si>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</si>
  <si>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</si>
  <si>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</si>
  <si>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</si>
  <si>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</si>
  <si>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</si>
  <si>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</si>
  <si>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</si>
  <si>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</si>
  <si>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</si>
  <si>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</si>
  <si>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</si>
  <si>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</si>
  <si>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</si>
  <si>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</si>
  <si>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</si>
  <si>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</si>
  <si>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</si>
  <si>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</si>
  <si>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</si>
  <si>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</si>
  <si>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</si>
  <si>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</si>
  <si>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</si>
  <si>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</si>
  <si>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</si>
  <si>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</si>
  <si>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</si>
  <si>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</si>
  <si>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</si>
  <si>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</si>
  <si>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</si>
  <si>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</si>
  <si>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</si>
  <si>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</si>
  <si>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</si>
  <si>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</si>
  <si>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</si>
  <si>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</si>
  <si>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</si>
  <si>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</si>
  <si>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</si>
  <si>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</si>
  <si>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</si>
  <si>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</si>
  <si>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</si>
  <si>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</si>
  <si>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</si>
  <si>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</si>
  <si>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</si>
  <si>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</si>
  <si>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</si>
  <si>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</si>
  <si>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</si>
  <si>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</si>
  <si>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</si>
  <si>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</si>
  <si>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</si>
  <si>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</si>
  <si>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BP.L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</si>
  <si>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</si>
  <si>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</si>
  <si>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</si>
  <si>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</si>
  <si>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</si>
  <si>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</si>
  <si>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</si>
  <si>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</si>
  <si>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</si>
  <si>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</si>
  <si>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</si>
  <si>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</si>
  <si>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</si>
  <si>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</si>
  <si>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</si>
  <si>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</si>
  <si>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</si>
  <si>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</si>
  <si>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</si>
  <si>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</si>
  <si>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</si>
  <si>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</si>
  <si>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</si>
  <si>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</si>
  <si>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</si>
  <si>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</si>
  <si>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</si>
  <si>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</si>
  <si>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</si>
  <si>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</si>
  <si>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BP.L owner-FCF component DCF: base case (millions, USD)</t>
  </si>
  <si>
    <t xml:space="preserve">BP.L owner-FCF component DCF: bull case (millions, USD)</t>
  </si>
  <si>
    <t xml:space="preserve">BP.L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</si>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</sst>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586.3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298756</v>
      </c>
      <c r="F2" s="0" t="n">
        <v>19378</v>
      </c>
      <c r="G2" s="0" t="n">
        <v>6.5</v>
      </c>
      <c r="H2" s="0" t="n">
        <v>34835</v>
      </c>
      <c r="I2" s="0" t="n">
        <v>9383</v>
      </c>
      <c r="J2" s="0" t="n">
        <v>3.1</v>
      </c>
      <c r="K2" s="0" t="n">
        <v>0.4667</v>
      </c>
      <c r="L2" s="0" t="n">
        <v>22873</v>
      </c>
      <c r="M2" s="0" t="n">
        <v>16707</v>
      </c>
      <c r="N2" s="0" t="n">
        <v>6166</v>
      </c>
      <c r="P2" s="0" t="n">
        <v>282176</v>
      </c>
      <c r="Q2" s="0" t="n">
        <v>180628</v>
      </c>
      <c r="S2" s="0" t="n">
        <v>22468</v>
      </c>
      <c r="T2" s="0" t="n">
        <v>20102.493</v>
      </c>
      <c r="U2" s="0" t="n">
        <v>690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278397</v>
      </c>
      <c r="F3" s="0" t="n">
        <v>11706</v>
      </c>
      <c r="G3" s="0" t="n">
        <v>4.2</v>
      </c>
      <c r="H3" s="0" t="n">
        <v>29486</v>
      </c>
      <c r="I3" s="0" t="n">
        <v>4026</v>
      </c>
      <c r="J3" s="0" t="n">
        <v>1.4</v>
      </c>
      <c r="K3" s="0" t="n">
        <v>0.1973</v>
      </c>
      <c r="L3" s="0" t="n">
        <v>25770</v>
      </c>
      <c r="M3" s="0" t="n">
        <v>15418</v>
      </c>
      <c r="N3" s="0" t="n">
        <v>10352</v>
      </c>
      <c r="O3" s="0" t="n">
        <v>98412</v>
      </c>
      <c r="P3" s="0" t="n">
        <v>295194</v>
      </c>
      <c r="Q3" s="0" t="n">
        <v>194486</v>
      </c>
      <c r="R3" s="0" t="n">
        <v>67724</v>
      </c>
      <c r="S3" s="0" t="n">
        <v>22472</v>
      </c>
      <c r="T3" s="0" t="n">
        <v>20399.67</v>
      </c>
      <c r="U3" s="0" t="n">
        <v>730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105944</v>
      </c>
      <c r="F4" s="0" t="n">
        <v>-21740</v>
      </c>
      <c r="G4" s="0" t="n">
        <v>-20.5</v>
      </c>
      <c r="H4" s="0" t="n">
        <v>-6851</v>
      </c>
      <c r="I4" s="0" t="n">
        <v>-20305</v>
      </c>
      <c r="J4" s="0" t="n">
        <v>-19.2</v>
      </c>
      <c r="K4" s="0" t="n">
        <v>-1.0042</v>
      </c>
      <c r="L4" s="0" t="n">
        <v>12162</v>
      </c>
      <c r="M4" s="0" t="n">
        <v>12306</v>
      </c>
      <c r="N4" s="0" t="n">
        <v>-144</v>
      </c>
      <c r="O4" s="0" t="n">
        <v>71250</v>
      </c>
      <c r="P4" s="0" t="n">
        <v>267654</v>
      </c>
      <c r="Q4" s="0" t="n">
        <v>182086</v>
      </c>
      <c r="R4" s="0" t="n">
        <v>72664</v>
      </c>
      <c r="S4" s="0" t="n">
        <v>31111</v>
      </c>
      <c r="T4" s="0" t="n">
        <v>20221.514</v>
      </c>
      <c r="U4" s="0" t="n">
        <v>723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157739</v>
      </c>
      <c r="F5" s="0" t="n">
        <v>18082</v>
      </c>
      <c r="G5" s="0" t="n">
        <v>11.5</v>
      </c>
      <c r="H5" s="0" t="n">
        <v>32887</v>
      </c>
      <c r="I5" s="0" t="n">
        <v>7565</v>
      </c>
      <c r="J5" s="0" t="n">
        <v>4.8</v>
      </c>
      <c r="K5" s="0" t="n">
        <v>0.3733</v>
      </c>
      <c r="L5" s="0" t="n">
        <v>23612</v>
      </c>
      <c r="M5" s="0" t="n">
        <v>10887</v>
      </c>
      <c r="N5" s="0" t="n">
        <v>12725</v>
      </c>
      <c r="O5" s="0" t="n">
        <v>75463</v>
      </c>
      <c r="P5" s="0" t="n">
        <v>287272</v>
      </c>
      <c r="Q5" s="0" t="n">
        <v>196833</v>
      </c>
      <c r="R5" s="0" t="n">
        <v>61176</v>
      </c>
      <c r="S5" s="0" t="n">
        <v>30681</v>
      </c>
      <c r="T5" s="0" t="n">
        <v>20260.388</v>
      </c>
      <c r="U5" s="0" t="n">
        <v>627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241392</v>
      </c>
      <c r="F6" s="0" t="n">
        <v>18039</v>
      </c>
      <c r="G6" s="0" t="n">
        <v>7.5</v>
      </c>
      <c r="H6" s="0" t="n">
        <v>32357</v>
      </c>
      <c r="I6" s="0" t="n">
        <v>-2487</v>
      </c>
      <c r="J6" s="0" t="n">
        <v>-1</v>
      </c>
      <c r="K6" s="0" t="n">
        <v>-0.131</v>
      </c>
      <c r="L6" s="0" t="n">
        <v>40932</v>
      </c>
      <c r="M6" s="0" t="n">
        <v>12069</v>
      </c>
      <c r="N6" s="0" t="n">
        <v>28863</v>
      </c>
      <c r="O6" s="0" t="n">
        <v>67553</v>
      </c>
      <c r="P6" s="0" t="n">
        <v>288120</v>
      </c>
      <c r="Q6" s="0" t="n">
        <v>205130</v>
      </c>
      <c r="R6" s="0" t="n">
        <v>46944</v>
      </c>
      <c r="S6" s="0" t="n">
        <v>29195</v>
      </c>
      <c r="T6" s="0" t="n">
        <v>18987.936</v>
      </c>
      <c r="U6" s="0" t="n">
        <v>795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210130</v>
      </c>
      <c r="F7" s="0" t="n">
        <v>27348</v>
      </c>
      <c r="G7" s="0" t="n">
        <v>13</v>
      </c>
      <c r="H7" s="0" t="n">
        <v>43276</v>
      </c>
      <c r="I7" s="0" t="n">
        <v>15239</v>
      </c>
      <c r="J7" s="0" t="n">
        <v>7.3</v>
      </c>
      <c r="K7" s="0" t="n">
        <v>0.8585</v>
      </c>
      <c r="L7" s="0" t="n">
        <v>32039</v>
      </c>
      <c r="M7" s="0" t="n">
        <v>14285</v>
      </c>
      <c r="N7" s="0" t="n">
        <v>17754</v>
      </c>
      <c r="O7" s="0" t="n">
        <v>70283</v>
      </c>
      <c r="P7" s="0" t="n">
        <v>280294</v>
      </c>
      <c r="Q7" s="0" t="n">
        <v>194801</v>
      </c>
      <c r="R7" s="0" t="n">
        <v>51954</v>
      </c>
      <c r="S7" s="0" t="n">
        <v>33030</v>
      </c>
      <c r="T7" s="0" t="n">
        <v>17750.078</v>
      </c>
      <c r="U7" s="0" t="n">
        <v>616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189185</v>
      </c>
      <c r="F8" s="0" t="n">
        <v>11297</v>
      </c>
      <c r="G8" s="0" t="n">
        <v>6</v>
      </c>
      <c r="H8" s="0" t="n">
        <v>27919</v>
      </c>
      <c r="I8" s="0" t="n">
        <v>381</v>
      </c>
      <c r="J8" s="0" t="n">
        <v>0.2</v>
      </c>
      <c r="K8" s="0" t="n">
        <v>0.0232</v>
      </c>
      <c r="L8" s="0" t="n">
        <v>27297</v>
      </c>
      <c r="M8" s="0" t="n">
        <v>15297</v>
      </c>
      <c r="N8" s="0" t="n">
        <v>12000</v>
      </c>
      <c r="O8" s="0" t="n">
        <v>59246</v>
      </c>
      <c r="P8" s="0" t="n">
        <v>282228</v>
      </c>
      <c r="Q8" s="0" t="n">
        <v>203910</v>
      </c>
      <c r="R8" s="0" t="n">
        <v>59547</v>
      </c>
      <c r="S8" s="0" t="n">
        <v>39204</v>
      </c>
      <c r="T8" s="0" t="n">
        <v>16816.664</v>
      </c>
      <c r="U8" s="0" t="n">
        <v>1174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189335</v>
      </c>
      <c r="F9" s="0" t="n">
        <v>12642</v>
      </c>
      <c r="G9" s="0" t="n">
        <v>6.7</v>
      </c>
      <c r="H9" s="0" t="n">
        <v>30464</v>
      </c>
      <c r="I9" s="0" t="n">
        <v>55</v>
      </c>
      <c r="J9" s="0" t="n">
        <v>0</v>
      </c>
      <c r="K9" s="0" t="n">
        <v>0.0034</v>
      </c>
      <c r="L9" s="0" t="n">
        <v>24493</v>
      </c>
      <c r="M9" s="0" t="n">
        <v>13221</v>
      </c>
      <c r="N9" s="0" t="n">
        <v>11272</v>
      </c>
      <c r="O9" s="0" t="n">
        <v>53052</v>
      </c>
      <c r="P9" s="0" t="n">
        <v>278526</v>
      </c>
      <c r="Q9" s="0" t="n">
        <v>204526</v>
      </c>
      <c r="R9" s="0" t="n">
        <v>57958</v>
      </c>
      <c r="S9" s="0" t="n">
        <v>36556</v>
      </c>
      <c r="T9" s="0" t="n">
        <v>15913</v>
      </c>
      <c r="U9" s="0" t="n">
        <v>1077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586.3</v>
      </c>
    </row>
    <row r="3" customFormat="false" ht="15" hidden="false" customHeight="false" outlineLevel="0" collapsed="false">
      <c r="A3" s="0" t="s">
        <v>75</v>
      </c>
      <c r="B3" s="3" t="n">
        <v>15409</v>
      </c>
    </row>
    <row r="4" customFormat="false" ht="15" hidden="false" customHeight="false" outlineLevel="0" collapsed="false">
      <c r="A4" s="0" t="s">
        <v>76</v>
      </c>
      <c r="B4" s="3" t="n">
        <v>22300</v>
      </c>
    </row>
    <row r="5" customFormat="false" ht="15" hidden="false" customHeight="false" outlineLevel="0" collapsed="false">
      <c r="A5" s="0" t="s">
        <v>77</v>
      </c>
      <c r="B5" s="3" t="n">
        <v>-19948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189335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75.57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0</v>
      </c>
      <c r="D13" s="3" t="n">
        <v>-8</v>
      </c>
      <c r="E13" s="3" t="n">
        <v>0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96</v>
      </c>
      <c r="C14" s="3" t="n">
        <v>19.5</v>
      </c>
      <c r="D14" s="3" t="n">
        <v>19.5</v>
      </c>
      <c r="E14" s="3" t="n">
        <v>19.3</v>
      </c>
      <c r="F14" s="3" t="n">
        <v>19</v>
      </c>
      <c r="G14" s="3" t="n">
        <v>19</v>
      </c>
      <c r="H14" s="3" t="n">
        <v>19</v>
      </c>
      <c r="I14" s="3" t="n">
        <v>19</v>
      </c>
      <c r="J14" s="3" t="n">
        <v>19</v>
      </c>
      <c r="K14" s="3" t="n">
        <v>19</v>
      </c>
      <c r="L14" s="3" t="n">
        <v>19</v>
      </c>
    </row>
    <row r="15" customFormat="false" ht="15" hidden="false" customHeight="false" outlineLevel="0" collapsed="false">
      <c r="A15" s="0" t="s">
        <v>97</v>
      </c>
      <c r="C15" s="3" t="n">
        <v>0.57</v>
      </c>
      <c r="D15" s="3" t="n">
        <v>0.57</v>
      </c>
      <c r="E15" s="3" t="n">
        <v>0.57</v>
      </c>
      <c r="F15" s="3" t="n">
        <v>0.57</v>
      </c>
      <c r="G15" s="3" t="n">
        <v>0.57</v>
      </c>
      <c r="H15" s="3" t="n">
        <v>0.57</v>
      </c>
      <c r="I15" s="3" t="n">
        <v>0.57</v>
      </c>
      <c r="J15" s="3" t="n">
        <v>0.57</v>
      </c>
      <c r="K15" s="3" t="n">
        <v>0.57</v>
      </c>
      <c r="L15" s="3" t="n">
        <v>0.57</v>
      </c>
    </row>
    <row r="16" customFormat="false" ht="15" hidden="false" customHeight="false" outlineLevel="0" collapsed="false">
      <c r="A16" s="0" t="s">
        <v>98</v>
      </c>
      <c r="C16" s="3" t="n">
        <v>2</v>
      </c>
      <c r="D16" s="3" t="n">
        <v>2.1</v>
      </c>
      <c r="E16" s="3" t="n">
        <v>2.1</v>
      </c>
      <c r="F16" s="3" t="n">
        <v>2.1</v>
      </c>
      <c r="G16" s="3" t="n">
        <v>2.1</v>
      </c>
      <c r="H16" s="3" t="n">
        <v>2.1</v>
      </c>
      <c r="I16" s="3" t="n">
        <v>2.1</v>
      </c>
      <c r="J16" s="3" t="n">
        <v>2.1</v>
      </c>
      <c r="K16" s="3" t="n">
        <v>2.1</v>
      </c>
      <c r="L16" s="3" t="n">
        <v>2.1</v>
      </c>
    </row>
    <row r="17" customFormat="false" ht="15" hidden="false" customHeight="false" outlineLevel="0" collapsed="false">
      <c r="A17" s="0" t="s">
        <v>99</v>
      </c>
      <c r="C17" s="3" t="n">
        <v>7.6</v>
      </c>
      <c r="D17" s="3" t="n">
        <v>7.8</v>
      </c>
      <c r="E17" s="3" t="n">
        <v>8</v>
      </c>
      <c r="F17" s="3" t="n">
        <v>8</v>
      </c>
      <c r="G17" s="3" t="n">
        <v>8</v>
      </c>
      <c r="H17" s="3" t="n">
        <v>8</v>
      </c>
      <c r="I17" s="3" t="n">
        <v>8</v>
      </c>
      <c r="J17" s="3" t="n">
        <v>8</v>
      </c>
      <c r="K17" s="3" t="n">
        <v>8</v>
      </c>
      <c r="L17" s="3" t="n">
        <v>8</v>
      </c>
    </row>
    <row r="18" customFormat="false" ht="15" hidden="false" customHeight="false" outlineLevel="0" collapsed="false">
      <c r="A18" s="0" t="s">
        <v>100</v>
      </c>
      <c r="C18" s="3" t="n">
        <v>7</v>
      </c>
      <c r="D18" s="3" t="n">
        <v>7.8</v>
      </c>
      <c r="E18" s="3" t="n">
        <v>7.8</v>
      </c>
      <c r="F18" s="3" t="n">
        <v>7.8</v>
      </c>
      <c r="G18" s="3" t="n">
        <v>7.8</v>
      </c>
      <c r="H18" s="3" t="n">
        <v>7.8</v>
      </c>
      <c r="I18" s="3" t="n">
        <v>7.8</v>
      </c>
      <c r="J18" s="3" t="n">
        <v>7.8</v>
      </c>
      <c r="K18" s="3" t="n">
        <v>7.8</v>
      </c>
      <c r="L18" s="3" t="n">
        <v>7.8</v>
      </c>
    </row>
    <row r="19" customFormat="false" ht="15" hidden="false" customHeight="false" outlineLevel="0" collapsed="false">
      <c r="A19" s="0" t="s">
        <v>101</v>
      </c>
      <c r="C19" s="3" t="n">
        <v>40</v>
      </c>
      <c r="D19" s="3" t="n">
        <v>40</v>
      </c>
      <c r="E19" s="3" t="n">
        <v>40</v>
      </c>
      <c r="F19" s="3" t="n">
        <v>40</v>
      </c>
      <c r="G19" s="3" t="n">
        <v>40</v>
      </c>
      <c r="H19" s="3" t="n">
        <v>40</v>
      </c>
      <c r="I19" s="3" t="n">
        <v>40</v>
      </c>
      <c r="J19" s="3" t="n">
        <v>40</v>
      </c>
      <c r="K19" s="3" t="n">
        <v>40</v>
      </c>
      <c r="L19" s="3" t="n">
        <v>40</v>
      </c>
    </row>
    <row r="20" customFormat="false" ht="15" hidden="false" customHeight="false" outlineLevel="0" collapsed="false">
      <c r="A20" s="0" t="s">
        <v>102</v>
      </c>
      <c r="B20" s="3" t="n">
        <v>8</v>
      </c>
    </row>
    <row r="21" customFormat="false" ht="15" hidden="false" customHeight="false" outlineLevel="0" collapsed="false">
      <c r="A21" s="0" t="s">
        <v>103</v>
      </c>
      <c r="B21" s="3" t="n">
        <v>0.5</v>
      </c>
    </row>
    <row r="22" customFormat="false" ht="15" hidden="false" customHeight="false" outlineLevel="0" collapsed="false">
      <c r="A22" s="0" t="s">
        <v>104</v>
      </c>
      <c r="B22" s="3" t="n">
        <v>10</v>
      </c>
    </row>
    <row r="23" customFormat="false" ht="15" hidden="false" customHeight="false" outlineLevel="0" collapsed="false">
      <c r="A23" s="0" t="s">
        <v>105</v>
      </c>
      <c r="B23" s="3" t="n">
        <v>0</v>
      </c>
    </row>
    <row r="24" customFormat="false" ht="15" hidden="false" customHeight="false" outlineLevel="0" collapsed="false">
      <c r="A24" s="0" t="s">
        <v>106</v>
      </c>
      <c r="B24" s="3" t="n">
        <v>0.25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3</v>
      </c>
      <c r="D27" s="3" t="n">
        <v>-5</v>
      </c>
      <c r="E27" s="3" t="n">
        <v>1.5</v>
      </c>
      <c r="F27" s="3" t="n">
        <v>1.5</v>
      </c>
      <c r="G27" s="3" t="n">
        <v>1.5</v>
      </c>
      <c r="H27" s="3" t="n">
        <v>1.5</v>
      </c>
      <c r="I27" s="3" t="n">
        <v>1.5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96</v>
      </c>
      <c r="C28" s="3" t="n">
        <v>21.5</v>
      </c>
      <c r="D28" s="3" t="n">
        <v>21.5</v>
      </c>
      <c r="E28" s="3" t="n">
        <v>21.5</v>
      </c>
      <c r="F28" s="3" t="n">
        <v>21.5</v>
      </c>
      <c r="G28" s="3" t="n">
        <v>21.5</v>
      </c>
      <c r="H28" s="3" t="n">
        <v>21.5</v>
      </c>
      <c r="I28" s="3" t="n">
        <v>21.5</v>
      </c>
      <c r="J28" s="3" t="n">
        <v>21.5</v>
      </c>
      <c r="K28" s="3" t="n">
        <v>21.5</v>
      </c>
      <c r="L28" s="3" t="n">
        <v>21.5</v>
      </c>
    </row>
    <row r="29" customFormat="false" ht="15" hidden="false" customHeight="false" outlineLevel="0" collapsed="false">
      <c r="A29" s="0" t="s">
        <v>97</v>
      </c>
      <c r="C29" s="3" t="n">
        <v>0.57</v>
      </c>
      <c r="D29" s="3" t="n">
        <v>0.55</v>
      </c>
      <c r="E29" s="3" t="n">
        <v>0.55</v>
      </c>
      <c r="F29" s="3" t="n">
        <v>0.55</v>
      </c>
      <c r="G29" s="3" t="n">
        <v>0.55</v>
      </c>
      <c r="H29" s="3" t="n">
        <v>0.55</v>
      </c>
      <c r="I29" s="3" t="n">
        <v>0.55</v>
      </c>
      <c r="J29" s="3" t="n">
        <v>0.55</v>
      </c>
      <c r="K29" s="3" t="n">
        <v>0.55</v>
      </c>
      <c r="L29" s="3" t="n">
        <v>0.55</v>
      </c>
    </row>
    <row r="30" customFormat="false" ht="15" hidden="false" customHeight="false" outlineLevel="0" collapsed="false">
      <c r="A30" s="0" t="s">
        <v>98</v>
      </c>
      <c r="C30" s="3" t="n">
        <v>2</v>
      </c>
      <c r="D30" s="3" t="n">
        <v>2</v>
      </c>
      <c r="E30" s="3" t="n">
        <v>2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</row>
    <row r="31" customFormat="false" ht="15" hidden="false" customHeight="false" outlineLevel="0" collapsed="false">
      <c r="A31" s="0" t="s">
        <v>99</v>
      </c>
      <c r="C31" s="3" t="n">
        <v>7.6</v>
      </c>
      <c r="D31" s="3" t="n">
        <v>7.6</v>
      </c>
      <c r="E31" s="3" t="n">
        <v>7.5</v>
      </c>
      <c r="F31" s="3" t="n">
        <v>7.5</v>
      </c>
      <c r="G31" s="3" t="n">
        <v>7.5</v>
      </c>
      <c r="H31" s="3" t="n">
        <v>7.5</v>
      </c>
      <c r="I31" s="3" t="n">
        <v>7.5</v>
      </c>
      <c r="J31" s="3" t="n">
        <v>7.5</v>
      </c>
      <c r="K31" s="3" t="n">
        <v>7.5</v>
      </c>
      <c r="L31" s="3" t="n">
        <v>7.5</v>
      </c>
    </row>
    <row r="32" customFormat="false" ht="15" hidden="false" customHeight="false" outlineLevel="0" collapsed="false">
      <c r="A32" s="0" t="s">
        <v>100</v>
      </c>
      <c r="C32" s="3" t="n">
        <v>7</v>
      </c>
      <c r="D32" s="3" t="n">
        <v>7.3</v>
      </c>
      <c r="E32" s="3" t="n">
        <v>7.3</v>
      </c>
      <c r="F32" s="3" t="n">
        <v>7.3</v>
      </c>
      <c r="G32" s="3" t="n">
        <v>7.3</v>
      </c>
      <c r="H32" s="3" t="n">
        <v>7.3</v>
      </c>
      <c r="I32" s="3" t="n">
        <v>7.3</v>
      </c>
      <c r="J32" s="3" t="n">
        <v>7.3</v>
      </c>
      <c r="K32" s="3" t="n">
        <v>7.3</v>
      </c>
      <c r="L32" s="3" t="n">
        <v>7.3</v>
      </c>
    </row>
    <row r="33" customFormat="false" ht="15" hidden="false" customHeight="false" outlineLevel="0" collapsed="false">
      <c r="A33" s="0" t="s">
        <v>101</v>
      </c>
      <c r="C33" s="3" t="n">
        <v>38</v>
      </c>
      <c r="D33" s="3" t="n">
        <v>38</v>
      </c>
      <c r="E33" s="3" t="n">
        <v>38</v>
      </c>
      <c r="F33" s="3" t="n">
        <v>38</v>
      </c>
      <c r="G33" s="3" t="n">
        <v>38</v>
      </c>
      <c r="H33" s="3" t="n">
        <v>38</v>
      </c>
      <c r="I33" s="3" t="n">
        <v>38</v>
      </c>
      <c r="J33" s="3" t="n">
        <v>38</v>
      </c>
      <c r="K33" s="3" t="n">
        <v>38</v>
      </c>
      <c r="L33" s="3" t="n">
        <v>38</v>
      </c>
    </row>
    <row r="34" customFormat="false" ht="15" hidden="false" customHeight="false" outlineLevel="0" collapsed="false">
      <c r="A34" s="0" t="s">
        <v>102</v>
      </c>
      <c r="B34" s="3" t="n">
        <v>8</v>
      </c>
    </row>
    <row r="35" customFormat="false" ht="15" hidden="false" customHeight="false" outlineLevel="0" collapsed="false">
      <c r="A35" s="0" t="s">
        <v>103</v>
      </c>
      <c r="B35" s="3" t="n">
        <v>1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5</v>
      </c>
      <c r="D41" s="3" t="n">
        <v>-3</v>
      </c>
      <c r="E41" s="3" t="n">
        <v>2.5</v>
      </c>
      <c r="F41" s="3" t="n">
        <v>2.5</v>
      </c>
      <c r="G41" s="3" t="n">
        <v>2.5</v>
      </c>
      <c r="H41" s="3" t="n">
        <v>2.5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96</v>
      </c>
      <c r="C42" s="3" t="n">
        <v>22.5</v>
      </c>
      <c r="D42" s="3" t="n">
        <v>22.8</v>
      </c>
      <c r="E42" s="3" t="n">
        <v>23</v>
      </c>
      <c r="F42" s="3" t="n">
        <v>23</v>
      </c>
      <c r="G42" s="3" t="n">
        <v>23</v>
      </c>
      <c r="H42" s="3" t="n">
        <v>23</v>
      </c>
      <c r="I42" s="3" t="n">
        <v>23</v>
      </c>
      <c r="J42" s="3" t="n">
        <v>23</v>
      </c>
      <c r="K42" s="3" t="n">
        <v>23</v>
      </c>
      <c r="L42" s="3" t="n">
        <v>23</v>
      </c>
    </row>
    <row r="43" customFormat="false" ht="15" hidden="false" customHeight="false" outlineLevel="0" collapsed="false">
      <c r="A43" s="0" t="s">
        <v>97</v>
      </c>
      <c r="C43" s="3" t="n">
        <v>0.57</v>
      </c>
      <c r="D43" s="3" t="n">
        <v>0.55</v>
      </c>
      <c r="E43" s="3" t="n">
        <v>0.55</v>
      </c>
      <c r="F43" s="3" t="n">
        <v>0.55</v>
      </c>
      <c r="G43" s="3" t="n">
        <v>0.55</v>
      </c>
      <c r="H43" s="3" t="n">
        <v>0.55</v>
      </c>
      <c r="I43" s="3" t="n">
        <v>0.55</v>
      </c>
      <c r="J43" s="3" t="n">
        <v>0.55</v>
      </c>
      <c r="K43" s="3" t="n">
        <v>0.55</v>
      </c>
      <c r="L43" s="3" t="n">
        <v>0.55</v>
      </c>
    </row>
    <row r="44" customFormat="false" ht="15" hidden="false" customHeight="false" outlineLevel="0" collapsed="false">
      <c r="A44" s="0" t="s">
        <v>98</v>
      </c>
      <c r="C44" s="3" t="n">
        <v>2</v>
      </c>
      <c r="D44" s="3" t="n">
        <v>2</v>
      </c>
      <c r="E44" s="3" t="n">
        <v>2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3" t="n">
        <v>2</v>
      </c>
    </row>
    <row r="45" customFormat="false" ht="15" hidden="false" customHeight="false" outlineLevel="0" collapsed="false">
      <c r="A45" s="0" t="s">
        <v>99</v>
      </c>
      <c r="C45" s="3" t="n">
        <v>7.6</v>
      </c>
      <c r="D45" s="3" t="n">
        <v>7.6</v>
      </c>
      <c r="E45" s="3" t="n">
        <v>7.5</v>
      </c>
      <c r="F45" s="3" t="n">
        <v>7.5</v>
      </c>
      <c r="G45" s="3" t="n">
        <v>7.5</v>
      </c>
      <c r="H45" s="3" t="n">
        <v>7.5</v>
      </c>
      <c r="I45" s="3" t="n">
        <v>7.5</v>
      </c>
      <c r="J45" s="3" t="n">
        <v>7.5</v>
      </c>
      <c r="K45" s="3" t="n">
        <v>7.5</v>
      </c>
      <c r="L45" s="3" t="n">
        <v>7.5</v>
      </c>
    </row>
    <row r="46" customFormat="false" ht="15" hidden="false" customHeight="false" outlineLevel="0" collapsed="false">
      <c r="A46" s="0" t="s">
        <v>100</v>
      </c>
      <c r="C46" s="3" t="n">
        <v>7</v>
      </c>
      <c r="D46" s="3" t="n">
        <v>7</v>
      </c>
      <c r="E46" s="3" t="n">
        <v>7</v>
      </c>
      <c r="F46" s="3" t="n">
        <v>7</v>
      </c>
      <c r="G46" s="3" t="n">
        <v>7</v>
      </c>
      <c r="H46" s="3" t="n">
        <v>7</v>
      </c>
      <c r="I46" s="3" t="n">
        <v>7</v>
      </c>
      <c r="J46" s="3" t="n">
        <v>7</v>
      </c>
      <c r="K46" s="3" t="n">
        <v>7</v>
      </c>
      <c r="L46" s="3" t="n">
        <v>7</v>
      </c>
    </row>
    <row r="47" customFormat="false" ht="15" hidden="false" customHeight="false" outlineLevel="0" collapsed="false">
      <c r="A47" s="0" t="s">
        <v>101</v>
      </c>
      <c r="C47" s="3" t="n">
        <v>37</v>
      </c>
      <c r="D47" s="3" t="n">
        <v>37</v>
      </c>
      <c r="E47" s="3" t="n">
        <v>37</v>
      </c>
      <c r="F47" s="3" t="n">
        <v>37</v>
      </c>
      <c r="G47" s="3" t="n">
        <v>37</v>
      </c>
      <c r="H47" s="3" t="n">
        <v>37</v>
      </c>
      <c r="I47" s="3" t="n">
        <v>37</v>
      </c>
      <c r="J47" s="3" t="n">
        <v>37</v>
      </c>
      <c r="K47" s="3" t="n">
        <v>37</v>
      </c>
      <c r="L47" s="3" t="n">
        <v>37</v>
      </c>
    </row>
    <row r="48" customFormat="false" ht="15" hidden="false" customHeight="false" outlineLevel="0" collapsed="false">
      <c r="A48" s="0" t="s">
        <v>102</v>
      </c>
      <c r="B48" s="3" t="n">
        <v>8</v>
      </c>
    </row>
    <row r="49" customFormat="false" ht="15" hidden="false" customHeight="false" outlineLevel="0" collapsed="false">
      <c r="A49" s="0" t="s">
        <v>103</v>
      </c>
      <c r="B49" s="3" t="n">
        <v>1.5</v>
      </c>
    </row>
    <row r="50" customFormat="false" ht="15" hidden="false" customHeight="false" outlineLevel="0" collapsed="false">
      <c r="A50" s="0" t="s">
        <v>104</v>
      </c>
      <c r="B50" s="3" t="n">
        <v>13</v>
      </c>
    </row>
    <row r="51" customFormat="false" ht="15" hidden="false" customHeight="false" outlineLevel="0" collapsed="false">
      <c r="A51" s="0" t="s">
        <v>105</v>
      </c>
      <c r="B51" s="3" t="n">
        <v>0</v>
      </c>
    </row>
    <row r="52" customFormat="false" ht="15" hidden="false" customHeight="false" outlineLevel="0" collapsed="false">
      <c r="A52" s="0" t="s">
        <v>106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0</v>
      </c>
      <c r="D5" s="4" t="n">
        <f aca="false">Assumptions!D13</f>
        <v>-8</v>
      </c>
      <c r="E5" s="4" t="n">
        <f aca="false">Assumptions!E13</f>
        <v>0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38</v>
      </c>
      <c r="B6" s="3" t="n">
        <v>189335</v>
      </c>
      <c r="C6" s="0" t="n">
        <f aca="false">B6*(1+C5/100)</f>
        <v>189335</v>
      </c>
      <c r="D6" s="0" t="n">
        <f aca="false">C6*(1+D5/100)</f>
        <v>174188.2</v>
      </c>
      <c r="E6" s="0" t="n">
        <f aca="false">D6*(1+E5/100)</f>
        <v>174188.2</v>
      </c>
      <c r="F6" s="0" t="n">
        <f aca="false">E6*(1+F5/100)</f>
        <v>175930.082</v>
      </c>
      <c r="G6" s="0" t="n">
        <f aca="false">F6*(1+G5/100)</f>
        <v>177689.38282</v>
      </c>
      <c r="H6" s="0" t="n">
        <f aca="false">G6*(1+H5/100)</f>
        <v>179466.2766482</v>
      </c>
      <c r="I6" s="0" t="n">
        <f aca="false">H6*(1+I5/100)</f>
        <v>181260.939414682</v>
      </c>
      <c r="J6" s="0" t="n">
        <f aca="false">I6*(1+J5/100)</f>
        <v>183073.548808829</v>
      </c>
      <c r="K6" s="0" t="n">
        <f aca="false">J6*(1+K5/100)</f>
        <v>184904.284296917</v>
      </c>
      <c r="L6" s="0" t="n">
        <f aca="false">K6*(1+L5/100)</f>
        <v>186753.327139886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19.5</v>
      </c>
      <c r="D7" s="4" t="n">
        <f aca="false">Assumptions!D14</f>
        <v>19.5</v>
      </c>
      <c r="E7" s="4" t="n">
        <f aca="false">Assumptions!E14</f>
        <v>19.3</v>
      </c>
      <c r="F7" s="4" t="n">
        <f aca="false">Assumptions!F14</f>
        <v>19</v>
      </c>
      <c r="G7" s="4" t="n">
        <f aca="false">Assumptions!G14</f>
        <v>19</v>
      </c>
      <c r="H7" s="4" t="n">
        <f aca="false">Assumptions!H14</f>
        <v>19</v>
      </c>
      <c r="I7" s="4" t="n">
        <f aca="false">Assumptions!I14</f>
        <v>19</v>
      </c>
      <c r="J7" s="4" t="n">
        <f aca="false">Assumptions!J14</f>
        <v>19</v>
      </c>
      <c r="K7" s="4" t="n">
        <f aca="false">Assumptions!K14</f>
        <v>19</v>
      </c>
      <c r="L7" s="4" t="n">
        <f aca="false">Assumptions!L14</f>
        <v>19</v>
      </c>
    </row>
    <row r="8" customFormat="false" ht="15" hidden="false" customHeight="false" outlineLevel="0" collapsed="false">
      <c r="A8" s="0" t="s">
        <v>44</v>
      </c>
      <c r="C8" s="0" t="n">
        <f aca="false">C6*C7/100</f>
        <v>36920.325</v>
      </c>
      <c r="D8" s="0" t="n">
        <f aca="false">D6*D7/100</f>
        <v>33966.699</v>
      </c>
      <c r="E8" s="0" t="n">
        <f aca="false">E6*E7/100</f>
        <v>33618.3226</v>
      </c>
      <c r="F8" s="0" t="n">
        <f aca="false">F6*F7/100</f>
        <v>33426.71558</v>
      </c>
      <c r="G8" s="0" t="n">
        <f aca="false">G6*G7/100</f>
        <v>33760.9827358</v>
      </c>
      <c r="H8" s="0" t="n">
        <f aca="false">H6*H7/100</f>
        <v>34098.592563158</v>
      </c>
      <c r="I8" s="0" t="n">
        <f aca="false">I6*I7/100</f>
        <v>34439.5784887896</v>
      </c>
      <c r="J8" s="0" t="n">
        <f aca="false">J6*J7/100</f>
        <v>34783.9742736775</v>
      </c>
      <c r="K8" s="0" t="n">
        <f aca="false">K6*K7/100</f>
        <v>35131.8140164143</v>
      </c>
      <c r="L8" s="0" t="n">
        <f aca="false">L6*L7/100</f>
        <v>35483.1321565784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0.57</v>
      </c>
      <c r="D9" s="4" t="n">
        <f aca="false">Assumptions!D15</f>
        <v>0.57</v>
      </c>
      <c r="E9" s="4" t="n">
        <f aca="false">Assumptions!E15</f>
        <v>0.57</v>
      </c>
      <c r="F9" s="4" t="n">
        <f aca="false">Assumptions!F15</f>
        <v>0.57</v>
      </c>
      <c r="G9" s="4" t="n">
        <f aca="false">Assumptions!G15</f>
        <v>0.57</v>
      </c>
      <c r="H9" s="4" t="n">
        <f aca="false">Assumptions!H15</f>
        <v>0.57</v>
      </c>
      <c r="I9" s="4" t="n">
        <f aca="false">Assumptions!I15</f>
        <v>0.57</v>
      </c>
      <c r="J9" s="4" t="n">
        <f aca="false">Assumptions!J15</f>
        <v>0.57</v>
      </c>
      <c r="K9" s="4" t="n">
        <f aca="false">Assumptions!K15</f>
        <v>0.57</v>
      </c>
      <c r="L9" s="4" t="n">
        <f aca="false">Assumptions!L15</f>
        <v>0.57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-1079.2095</v>
      </c>
      <c r="D10" s="0" t="n">
        <f aca="false">-D6*D9/100</f>
        <v>-992.87274</v>
      </c>
      <c r="E10" s="0" t="n">
        <f aca="false">-E6*E9/100</f>
        <v>-992.87274</v>
      </c>
      <c r="F10" s="0" t="n">
        <f aca="false">-F6*F9/100</f>
        <v>-1002.8014674</v>
      </c>
      <c r="G10" s="0" t="n">
        <f aca="false">-G6*G9/100</f>
        <v>-1012.829482074</v>
      </c>
      <c r="H10" s="0" t="n">
        <f aca="false">-H6*H9/100</f>
        <v>-1022.95777689474</v>
      </c>
      <c r="I10" s="0" t="n">
        <f aca="false">-I6*I9/100</f>
        <v>-1033.18735466369</v>
      </c>
      <c r="J10" s="0" t="n">
        <f aca="false">-J6*J9/100</f>
        <v>-1043.51922821032</v>
      </c>
      <c r="K10" s="0" t="n">
        <f aca="false">-K6*K9/100</f>
        <v>-1053.95442049243</v>
      </c>
      <c r="L10" s="0" t="n">
        <f aca="false">-L6*L9/100</f>
        <v>-1064.49396469735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32054.4155</v>
      </c>
      <c r="D11" s="0" t="n">
        <f aca="false">D8+D10+D24</f>
        <v>29315.87406</v>
      </c>
      <c r="E11" s="0" t="n">
        <f aca="false">E8+E10+E24</f>
        <v>28967.49766</v>
      </c>
      <c r="F11" s="0" t="n">
        <f aca="false">F8+F10+F24</f>
        <v>28729.3823906</v>
      </c>
      <c r="G11" s="0" t="n">
        <f aca="false">G8+G10+G24</f>
        <v>29016.676214506</v>
      </c>
      <c r="H11" s="0" t="n">
        <f aca="false">H8+H10+H24</f>
        <v>29306.8429766511</v>
      </c>
      <c r="I11" s="0" t="n">
        <f aca="false">I8+I10+I24</f>
        <v>29599.9114064176</v>
      </c>
      <c r="J11" s="0" t="n">
        <f aca="false">J8+J10+J24</f>
        <v>29895.9105204818</v>
      </c>
      <c r="K11" s="0" t="n">
        <f aca="false">K8+K10+K24</f>
        <v>30194.8696256866</v>
      </c>
      <c r="L11" s="0" t="n">
        <f aca="false">L8+L10+L24</f>
        <v>30496.8183219434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-14389.46</v>
      </c>
      <c r="D12" s="4" t="n">
        <f aca="false">-D6*Assumptions!D17/100</f>
        <v>-13586.6796</v>
      </c>
      <c r="E12" s="4" t="n">
        <f aca="false">-E6*Assumptions!E17/100</f>
        <v>-13935.056</v>
      </c>
      <c r="F12" s="4" t="n">
        <f aca="false">-F6*Assumptions!F17/100</f>
        <v>-14074.40656</v>
      </c>
      <c r="G12" s="4" t="n">
        <f aca="false">-G6*Assumptions!G17/100</f>
        <v>-14215.1506256</v>
      </c>
      <c r="H12" s="4" t="n">
        <f aca="false">-H6*Assumptions!H17/100</f>
        <v>-14357.302131856</v>
      </c>
      <c r="I12" s="4" t="n">
        <f aca="false">-I6*Assumptions!I17/100</f>
        <v>-14500.8751531746</v>
      </c>
      <c r="J12" s="4" t="n">
        <f aca="false">-J6*Assumptions!J17/100</f>
        <v>-14645.8839047063</v>
      </c>
      <c r="K12" s="4" t="n">
        <f aca="false">-K6*Assumptions!K17/100</f>
        <v>-14792.3427437534</v>
      </c>
      <c r="L12" s="4" t="n">
        <f aca="false">-L6*Assumptions!L17/100</f>
        <v>-14940.2661711909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17664.9555</v>
      </c>
      <c r="D13" s="0" t="n">
        <f aca="false">D11+D12</f>
        <v>15729.19446</v>
      </c>
      <c r="E13" s="0" t="n">
        <f aca="false">E11+E12</f>
        <v>15032.44166</v>
      </c>
      <c r="F13" s="0" t="n">
        <f aca="false">F11+F12</f>
        <v>14654.9758306</v>
      </c>
      <c r="G13" s="0" t="n">
        <f aca="false">G11+G12</f>
        <v>14801.525588906</v>
      </c>
      <c r="H13" s="0" t="n">
        <f aca="false">H11+H12</f>
        <v>14949.5408447951</v>
      </c>
      <c r="I13" s="0" t="n">
        <f aca="false">I11+I12</f>
        <v>15099.036253243</v>
      </c>
      <c r="J13" s="0" t="n">
        <f aca="false">J11+J12</f>
        <v>15250.0266157754</v>
      </c>
      <c r="K13" s="0" t="n">
        <f aca="false">K11+K12</f>
        <v>15402.5268819332</v>
      </c>
      <c r="L13" s="0" t="n">
        <f aca="false">L11+L12</f>
        <v>15556.5521507525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40</v>
      </c>
      <c r="D14" s="4" t="n">
        <f aca="false">Assumptions!D19</f>
        <v>40</v>
      </c>
      <c r="E14" s="4" t="n">
        <f aca="false">Assumptions!E19</f>
        <v>40</v>
      </c>
      <c r="F14" s="4" t="n">
        <f aca="false">Assumptions!F19</f>
        <v>40</v>
      </c>
      <c r="G14" s="4" t="n">
        <f aca="false">Assumptions!G19</f>
        <v>40</v>
      </c>
      <c r="H14" s="4" t="n">
        <f aca="false">Assumptions!H19</f>
        <v>40</v>
      </c>
      <c r="I14" s="4" t="n">
        <f aca="false">Assumptions!I19</f>
        <v>40</v>
      </c>
      <c r="J14" s="4" t="n">
        <f aca="false">Assumptions!J19</f>
        <v>40</v>
      </c>
      <c r="K14" s="4" t="n">
        <f aca="false">Assumptions!K19</f>
        <v>40</v>
      </c>
      <c r="L14" s="4" t="n">
        <f aca="false">Assumptions!L19</f>
        <v>40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10598.9733</v>
      </c>
      <c r="D15" s="0" t="n">
        <f aca="false">D13-MAX(0,D13)*D14/100</f>
        <v>9437.516676</v>
      </c>
      <c r="E15" s="0" t="n">
        <f aca="false">E13-MAX(0,E13)*E14/100</f>
        <v>9019.464996</v>
      </c>
      <c r="F15" s="0" t="n">
        <f aca="false">F13-MAX(0,F13)*F14/100</f>
        <v>8792.98549836</v>
      </c>
      <c r="G15" s="0" t="n">
        <f aca="false">G13-MAX(0,G13)*G14/100</f>
        <v>8880.9153533436</v>
      </c>
      <c r="H15" s="0" t="n">
        <f aca="false">H13-MAX(0,H13)*H14/100</f>
        <v>8969.72450687704</v>
      </c>
      <c r="I15" s="0" t="n">
        <f aca="false">I13-MAX(0,I13)*I14/100</f>
        <v>9059.42175194581</v>
      </c>
      <c r="J15" s="0" t="n">
        <f aca="false">J13-MAX(0,J13)*J14/100</f>
        <v>9150.01596946527</v>
      </c>
      <c r="K15" s="0" t="n">
        <f aca="false">K13-MAX(0,K13)*K14/100</f>
        <v>9241.51612915992</v>
      </c>
      <c r="L15" s="0" t="n">
        <f aca="false">L13-MAX(0,L13)*L14/100</f>
        <v>9333.93129045152</v>
      </c>
    </row>
    <row r="16" customFormat="false" ht="15" hidden="false" customHeight="false" outlineLevel="0" collapsed="false">
      <c r="A16" s="0" t="s">
        <v>117</v>
      </c>
      <c r="C16" s="0" t="n">
        <f aca="false">-C12</f>
        <v>14389.46</v>
      </c>
      <c r="D16" s="0" t="n">
        <f aca="false">-D12</f>
        <v>13586.6796</v>
      </c>
      <c r="E16" s="0" t="n">
        <f aca="false">-E12</f>
        <v>13935.056</v>
      </c>
      <c r="F16" s="0" t="n">
        <f aca="false">-F12</f>
        <v>14074.40656</v>
      </c>
      <c r="G16" s="0" t="n">
        <f aca="false">-G12</f>
        <v>14215.1506256</v>
      </c>
      <c r="H16" s="0" t="n">
        <f aca="false">-H12</f>
        <v>14357.302131856</v>
      </c>
      <c r="I16" s="0" t="n">
        <f aca="false">-I12</f>
        <v>14500.8751531746</v>
      </c>
      <c r="J16" s="0" t="n">
        <f aca="false">-J12</f>
        <v>14645.8839047063</v>
      </c>
      <c r="K16" s="0" t="n">
        <f aca="false">-K12</f>
        <v>14792.3427437534</v>
      </c>
      <c r="L16" s="0" t="n">
        <f aca="false">-L12</f>
        <v>14940.2661711909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-13253.45</v>
      </c>
      <c r="D17" s="4" t="n">
        <f aca="false">-D6*Assumptions!D18/100</f>
        <v>-13586.6796</v>
      </c>
      <c r="E17" s="4" t="n">
        <f aca="false">-E6*Assumptions!E18/100</f>
        <v>-13586.6796</v>
      </c>
      <c r="F17" s="4" t="n">
        <f aca="false">-F6*Assumptions!F18/100</f>
        <v>-13722.546396</v>
      </c>
      <c r="G17" s="4" t="n">
        <f aca="false">-G6*Assumptions!G18/100</f>
        <v>-13859.77185996</v>
      </c>
      <c r="H17" s="4" t="n">
        <f aca="false">-H6*Assumptions!H18/100</f>
        <v>-13998.3695785596</v>
      </c>
      <c r="I17" s="4" t="n">
        <f aca="false">-I6*Assumptions!I18/100</f>
        <v>-14138.3532743452</v>
      </c>
      <c r="J17" s="4" t="n">
        <f aca="false">-J6*Assumptions!J18/100</f>
        <v>-14279.7368070887</v>
      </c>
      <c r="K17" s="4" t="n">
        <f aca="false">-K6*Assumptions!K18/100</f>
        <v>-14422.5341751595</v>
      </c>
      <c r="L17" s="4" t="n">
        <f aca="false">-L6*Assumptions!L18/100</f>
        <v>-14566.7595169111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11734.9833</v>
      </c>
      <c r="D19" s="0" t="n">
        <f aca="false">D15+D16+D17+D18</f>
        <v>9437.516676</v>
      </c>
      <c r="E19" s="0" t="n">
        <f aca="false">E15+E16+E17+E18</f>
        <v>9367.841396</v>
      </c>
      <c r="F19" s="0" t="n">
        <f aca="false">F15+F16+F17+F18</f>
        <v>9144.84566236</v>
      </c>
      <c r="G19" s="0" t="n">
        <f aca="false">G15+G16+G17+G18</f>
        <v>9236.2941189836</v>
      </c>
      <c r="H19" s="0" t="n">
        <f aca="false">H15+H16+H17+H18</f>
        <v>9328.65706017344</v>
      </c>
      <c r="I19" s="0" t="n">
        <f aca="false">I15+I16+I17+I18</f>
        <v>9421.94363077517</v>
      </c>
      <c r="J19" s="0" t="n">
        <f aca="false">J15+J16+J17+J18</f>
        <v>9516.16306708293</v>
      </c>
      <c r="K19" s="0" t="n">
        <f aca="false">K15+K16+K17+K18</f>
        <v>9611.32469775375</v>
      </c>
      <c r="L19" s="0" t="n">
        <f aca="false">L15+L16+L17+L18</f>
        <v>9707.43794473129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10865.7252777778</v>
      </c>
      <c r="D21" s="0" t="n">
        <f aca="false">D19*D20</f>
        <v>8091.14941358025</v>
      </c>
      <c r="E21" s="0" t="n">
        <f aca="false">E19*E20</f>
        <v>7436.49452890819</v>
      </c>
      <c r="F21" s="0" t="n">
        <f aca="false">F19*F20</f>
        <v>6721.73456105076</v>
      </c>
      <c r="G21" s="0" t="n">
        <f aca="false">G19*G20</f>
        <v>6286.06658024191</v>
      </c>
      <c r="H21" s="0" t="n">
        <f aca="false">H19*H20</f>
        <v>5878.63633892993</v>
      </c>
      <c r="I21" s="0" t="n">
        <f aca="false">I19*I20</f>
        <v>5497.61361325855</v>
      </c>
      <c r="J21" s="0" t="n">
        <f aca="false">J19*J20</f>
        <v>5141.28680499179</v>
      </c>
      <c r="K21" s="0" t="n">
        <f aca="false">K19*K20</f>
        <v>4808.0552528164</v>
      </c>
      <c r="L21" s="0" t="n">
        <f aca="false">L19*L20</f>
        <v>4496.4220419857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2</v>
      </c>
      <c r="D23" s="4" t="n">
        <f aca="false">Assumptions!D16</f>
        <v>2.1</v>
      </c>
      <c r="E23" s="4" t="n">
        <f aca="false">Assumptions!E16</f>
        <v>2.1</v>
      </c>
      <c r="F23" s="4" t="n">
        <f aca="false">Assumptions!F16</f>
        <v>2.1</v>
      </c>
      <c r="G23" s="4" t="n">
        <f aca="false">Assumptions!G16</f>
        <v>2.1</v>
      </c>
      <c r="H23" s="4" t="n">
        <f aca="false">Assumptions!H16</f>
        <v>2.1</v>
      </c>
      <c r="I23" s="4" t="n">
        <f aca="false">Assumptions!I16</f>
        <v>2.1</v>
      </c>
      <c r="J23" s="4" t="n">
        <f aca="false">Assumptions!J16</f>
        <v>2.1</v>
      </c>
      <c r="K23" s="4" t="n">
        <f aca="false">Assumptions!K16</f>
        <v>2.1</v>
      </c>
      <c r="L23" s="4" t="n">
        <f aca="false">Assumptions!L16</f>
        <v>2.1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-3786.7</v>
      </c>
      <c r="D24" s="0" t="n">
        <f aca="false">-D6*D23/100</f>
        <v>-3657.9522</v>
      </c>
      <c r="E24" s="0" t="n">
        <f aca="false">-E6*E23/100</f>
        <v>-3657.9522</v>
      </c>
      <c r="F24" s="0" t="n">
        <f aca="false">-F6*F23/100</f>
        <v>-3694.531722</v>
      </c>
      <c r="G24" s="0" t="n">
        <f aca="false">-G6*G23/100</f>
        <v>-3731.47703922</v>
      </c>
      <c r="H24" s="0" t="n">
        <f aca="false">-H6*H23/100</f>
        <v>-3768.7918096122</v>
      </c>
      <c r="I24" s="0" t="n">
        <f aca="false">-I6*I23/100</f>
        <v>-3806.47972770832</v>
      </c>
      <c r="J24" s="0" t="n">
        <f aca="false">-J6*J23/100</f>
        <v>-3844.54452498541</v>
      </c>
      <c r="K24" s="0" t="n">
        <f aca="false">-K6*K23/100</f>
        <v>-3882.98997023526</v>
      </c>
      <c r="L24" s="0" t="n">
        <f aca="false">-L6*L23/100</f>
        <v>-3921.81986993761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0.5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65223.1844135413</v>
      </c>
    </row>
    <row r="31" customFormat="false" ht="15" hidden="false" customHeight="false" outlineLevel="0" collapsed="false">
      <c r="A31" s="0" t="s">
        <v>126</v>
      </c>
      <c r="B31" s="0" t="n">
        <f aca="false">L19</f>
        <v>9707.43794473129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130079.668459399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97074.3794473129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97074.3794473129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44964.220419857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110187.404833398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67939.4048333983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333.193641589974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-0.431701105935572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6896.65360407131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6607.0934122137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399.419753733569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67282.587134172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115.355770454339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3</v>
      </c>
      <c r="D5" s="4" t="n">
        <f aca="false">Assumptions!D27</f>
        <v>-5</v>
      </c>
      <c r="E5" s="4" t="n">
        <f aca="false">Assumptions!E27</f>
        <v>1.5</v>
      </c>
      <c r="F5" s="4" t="n">
        <f aca="false">Assumptions!F27</f>
        <v>1.5</v>
      </c>
      <c r="G5" s="4" t="n">
        <f aca="false">Assumptions!G27</f>
        <v>1.5</v>
      </c>
      <c r="H5" s="4" t="n">
        <f aca="false">Assumptions!H27</f>
        <v>1.5</v>
      </c>
      <c r="I5" s="4" t="n">
        <f aca="false">Assumptions!I27</f>
        <v>1.5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38</v>
      </c>
      <c r="B6" s="3" t="n">
        <v>189335</v>
      </c>
      <c r="C6" s="0" t="n">
        <f aca="false">B6*(1+C5/100)</f>
        <v>195015.05</v>
      </c>
      <c r="D6" s="0" t="n">
        <f aca="false">C6*(1+D5/100)</f>
        <v>185264.2975</v>
      </c>
      <c r="E6" s="0" t="n">
        <f aca="false">D6*(1+E5/100)</f>
        <v>188043.2619625</v>
      </c>
      <c r="F6" s="0" t="n">
        <f aca="false">E6*(1+F5/100)</f>
        <v>190863.910891937</v>
      </c>
      <c r="G6" s="0" t="n">
        <f aca="false">F6*(1+G5/100)</f>
        <v>193726.869555317</v>
      </c>
      <c r="H6" s="0" t="n">
        <f aca="false">G6*(1+H5/100)</f>
        <v>196632.772598646</v>
      </c>
      <c r="I6" s="0" t="n">
        <f aca="false">H6*(1+I5/100)</f>
        <v>199582.264187626</v>
      </c>
      <c r="J6" s="0" t="n">
        <f aca="false">I6*(1+J5/100)</f>
        <v>202575.99815044</v>
      </c>
      <c r="K6" s="0" t="n">
        <f aca="false">J6*(1+K5/100)</f>
        <v>205614.638122697</v>
      </c>
      <c r="L6" s="0" t="n">
        <f aca="false">K6*(1+L5/100)</f>
        <v>208698.857694537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21.5</v>
      </c>
      <c r="D7" s="4" t="n">
        <f aca="false">Assumptions!D28</f>
        <v>21.5</v>
      </c>
      <c r="E7" s="4" t="n">
        <f aca="false">Assumptions!E28</f>
        <v>21.5</v>
      </c>
      <c r="F7" s="4" t="n">
        <f aca="false">Assumptions!F28</f>
        <v>21.5</v>
      </c>
      <c r="G7" s="4" t="n">
        <f aca="false">Assumptions!G28</f>
        <v>21.5</v>
      </c>
      <c r="H7" s="4" t="n">
        <f aca="false">Assumptions!H28</f>
        <v>21.5</v>
      </c>
      <c r="I7" s="4" t="n">
        <f aca="false">Assumptions!I28</f>
        <v>21.5</v>
      </c>
      <c r="J7" s="4" t="n">
        <f aca="false">Assumptions!J28</f>
        <v>21.5</v>
      </c>
      <c r="K7" s="4" t="n">
        <f aca="false">Assumptions!K28</f>
        <v>21.5</v>
      </c>
      <c r="L7" s="4" t="n">
        <f aca="false">Assumptions!L28</f>
        <v>21.5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41928.23575</v>
      </c>
      <c r="D8" s="0" t="n">
        <f aca="false">D6*D7/100</f>
        <v>39831.8239625</v>
      </c>
      <c r="E8" s="0" t="n">
        <f aca="false">E6*E7/100</f>
        <v>40429.3013219375</v>
      </c>
      <c r="F8" s="0" t="n">
        <f aca="false">F6*F7/100</f>
        <v>41035.7408417666</v>
      </c>
      <c r="G8" s="0" t="n">
        <f aca="false">G6*G7/100</f>
        <v>41651.2769543931</v>
      </c>
      <c r="H8" s="0" t="n">
        <f aca="false">H6*H7/100</f>
        <v>42276.0461087089</v>
      </c>
      <c r="I8" s="0" t="n">
        <f aca="false">I6*I7/100</f>
        <v>42910.1868003396</v>
      </c>
      <c r="J8" s="0" t="n">
        <f aca="false">J6*J7/100</f>
        <v>43553.8396023447</v>
      </c>
      <c r="K8" s="0" t="n">
        <f aca="false">K6*K7/100</f>
        <v>44207.1471963798</v>
      </c>
      <c r="L8" s="0" t="n">
        <f aca="false">L6*L7/100</f>
        <v>44870.2544043255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0.57</v>
      </c>
      <c r="D9" s="4" t="n">
        <f aca="false">Assumptions!D29</f>
        <v>0.55</v>
      </c>
      <c r="E9" s="4" t="n">
        <f aca="false">Assumptions!E29</f>
        <v>0.55</v>
      </c>
      <c r="F9" s="4" t="n">
        <f aca="false">Assumptions!F29</f>
        <v>0.55</v>
      </c>
      <c r="G9" s="4" t="n">
        <f aca="false">Assumptions!G29</f>
        <v>0.55</v>
      </c>
      <c r="H9" s="4" t="n">
        <f aca="false">Assumptions!H29</f>
        <v>0.55</v>
      </c>
      <c r="I9" s="4" t="n">
        <f aca="false">Assumptions!I29</f>
        <v>0.55</v>
      </c>
      <c r="J9" s="4" t="n">
        <f aca="false">Assumptions!J29</f>
        <v>0.55</v>
      </c>
      <c r="K9" s="4" t="n">
        <f aca="false">Assumptions!K29</f>
        <v>0.55</v>
      </c>
      <c r="L9" s="4" t="n">
        <f aca="false">Assumptions!L29</f>
        <v>0.55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-1111.585785</v>
      </c>
      <c r="D10" s="0" t="n">
        <f aca="false">-D6*D9/100</f>
        <v>-1018.95363625</v>
      </c>
      <c r="E10" s="0" t="n">
        <f aca="false">-E6*E9/100</f>
        <v>-1034.23794079375</v>
      </c>
      <c r="F10" s="0" t="n">
        <f aca="false">-F6*F9/100</f>
        <v>-1049.75150990566</v>
      </c>
      <c r="G10" s="0" t="n">
        <f aca="false">-G6*G9/100</f>
        <v>-1065.49778255424</v>
      </c>
      <c r="H10" s="0" t="n">
        <f aca="false">-H6*H9/100</f>
        <v>-1081.48024929255</v>
      </c>
      <c r="I10" s="0" t="n">
        <f aca="false">-I6*I9/100</f>
        <v>-1097.70245303194</v>
      </c>
      <c r="J10" s="0" t="n">
        <f aca="false">-J6*J9/100</f>
        <v>-1114.16798982742</v>
      </c>
      <c r="K10" s="0" t="n">
        <f aca="false">-K6*K9/100</f>
        <v>-1130.88050967483</v>
      </c>
      <c r="L10" s="0" t="n">
        <f aca="false">-L6*L9/100</f>
        <v>-1147.84371731996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36916.348965</v>
      </c>
      <c r="D11" s="0" t="n">
        <f aca="false">D8+D10+D24</f>
        <v>35107.58437625</v>
      </c>
      <c r="E11" s="0" t="n">
        <f aca="false">E8+E10+E24</f>
        <v>35634.1981418938</v>
      </c>
      <c r="F11" s="0" t="n">
        <f aca="false">F8+F10+F24</f>
        <v>36168.7111140222</v>
      </c>
      <c r="G11" s="0" t="n">
        <f aca="false">G8+G10+G24</f>
        <v>36711.2417807325</v>
      </c>
      <c r="H11" s="0" t="n">
        <f aca="false">H8+H10+H24</f>
        <v>37261.9104074435</v>
      </c>
      <c r="I11" s="0" t="n">
        <f aca="false">I8+I10+I24</f>
        <v>37820.8390635551</v>
      </c>
      <c r="J11" s="0" t="n">
        <f aca="false">J8+J10+J24</f>
        <v>38388.1516495084</v>
      </c>
      <c r="K11" s="0" t="n">
        <f aca="false">K8+K10+K24</f>
        <v>38963.9739242511</v>
      </c>
      <c r="L11" s="0" t="n">
        <f aca="false">L8+L10+L24</f>
        <v>39548.4335331148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-14821.1438</v>
      </c>
      <c r="D12" s="4" t="n">
        <f aca="false">-D6*Assumptions!D31/100</f>
        <v>-14080.08661</v>
      </c>
      <c r="E12" s="4" t="n">
        <f aca="false">-E6*Assumptions!E31/100</f>
        <v>-14103.2446471875</v>
      </c>
      <c r="F12" s="4" t="n">
        <f aca="false">-F6*Assumptions!F31/100</f>
        <v>-14314.7933168953</v>
      </c>
      <c r="G12" s="4" t="n">
        <f aca="false">-G6*Assumptions!G31/100</f>
        <v>-14529.5152166487</v>
      </c>
      <c r="H12" s="4" t="n">
        <f aca="false">-H6*Assumptions!H31/100</f>
        <v>-14747.4579448985</v>
      </c>
      <c r="I12" s="4" t="n">
        <f aca="false">-I6*Assumptions!I31/100</f>
        <v>-14968.6698140719</v>
      </c>
      <c r="J12" s="4" t="n">
        <f aca="false">-J6*Assumptions!J31/100</f>
        <v>-15193.199861283</v>
      </c>
      <c r="K12" s="4" t="n">
        <f aca="false">-K6*Assumptions!K31/100</f>
        <v>-15421.0978592023</v>
      </c>
      <c r="L12" s="4" t="n">
        <f aca="false">-L6*Assumptions!L31/100</f>
        <v>-15652.4143270903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22095.205165</v>
      </c>
      <c r="D13" s="0" t="n">
        <f aca="false">D11+D12</f>
        <v>21027.49776625</v>
      </c>
      <c r="E13" s="0" t="n">
        <f aca="false">E11+E12</f>
        <v>21530.9534947063</v>
      </c>
      <c r="F13" s="0" t="n">
        <f aca="false">F11+F12</f>
        <v>21853.9177971268</v>
      </c>
      <c r="G13" s="0" t="n">
        <f aca="false">G11+G12</f>
        <v>22181.7265640837</v>
      </c>
      <c r="H13" s="0" t="n">
        <f aca="false">H11+H12</f>
        <v>22514.452462545</v>
      </c>
      <c r="I13" s="0" t="n">
        <f aca="false">I11+I12</f>
        <v>22852.1692494832</v>
      </c>
      <c r="J13" s="0" t="n">
        <f aca="false">J11+J12</f>
        <v>23194.9517882254</v>
      </c>
      <c r="K13" s="0" t="n">
        <f aca="false">K11+K12</f>
        <v>23542.8760650488</v>
      </c>
      <c r="L13" s="0" t="n">
        <f aca="false">L11+L12</f>
        <v>23896.0192060245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38</v>
      </c>
      <c r="D14" s="4" t="n">
        <f aca="false">Assumptions!D33</f>
        <v>38</v>
      </c>
      <c r="E14" s="4" t="n">
        <f aca="false">Assumptions!E33</f>
        <v>38</v>
      </c>
      <c r="F14" s="4" t="n">
        <f aca="false">Assumptions!F33</f>
        <v>38</v>
      </c>
      <c r="G14" s="4" t="n">
        <f aca="false">Assumptions!G33</f>
        <v>38</v>
      </c>
      <c r="H14" s="4" t="n">
        <f aca="false">Assumptions!H33</f>
        <v>38</v>
      </c>
      <c r="I14" s="4" t="n">
        <f aca="false">Assumptions!I33</f>
        <v>38</v>
      </c>
      <c r="J14" s="4" t="n">
        <f aca="false">Assumptions!J33</f>
        <v>38</v>
      </c>
      <c r="K14" s="4" t="n">
        <f aca="false">Assumptions!K33</f>
        <v>38</v>
      </c>
      <c r="L14" s="4" t="n">
        <f aca="false">Assumptions!L33</f>
        <v>38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13699.0272023</v>
      </c>
      <c r="D15" s="0" t="n">
        <f aca="false">D13-MAX(0,D13)*D14/100</f>
        <v>13037.048615075</v>
      </c>
      <c r="E15" s="0" t="n">
        <f aca="false">E13-MAX(0,E13)*E14/100</f>
        <v>13349.1911667179</v>
      </c>
      <c r="F15" s="0" t="n">
        <f aca="false">F13-MAX(0,F13)*F14/100</f>
        <v>13549.4290342186</v>
      </c>
      <c r="G15" s="0" t="n">
        <f aca="false">G13-MAX(0,G13)*G14/100</f>
        <v>13752.6704697319</v>
      </c>
      <c r="H15" s="0" t="n">
        <f aca="false">H13-MAX(0,H13)*H14/100</f>
        <v>13958.9605267779</v>
      </c>
      <c r="I15" s="0" t="n">
        <f aca="false">I13-MAX(0,I13)*I14/100</f>
        <v>14168.3449346796</v>
      </c>
      <c r="J15" s="0" t="n">
        <f aca="false">J13-MAX(0,J13)*J14/100</f>
        <v>14380.8701086998</v>
      </c>
      <c r="K15" s="0" t="n">
        <f aca="false">K13-MAX(0,K13)*K14/100</f>
        <v>14596.5831603302</v>
      </c>
      <c r="L15" s="0" t="n">
        <f aca="false">L13-MAX(0,L13)*L14/100</f>
        <v>14815.5319077352</v>
      </c>
    </row>
    <row r="16" customFormat="false" ht="15" hidden="false" customHeight="false" outlineLevel="0" collapsed="false">
      <c r="A16" s="0" t="s">
        <v>117</v>
      </c>
      <c r="C16" s="0" t="n">
        <f aca="false">-C12</f>
        <v>14821.1438</v>
      </c>
      <c r="D16" s="0" t="n">
        <f aca="false">-D12</f>
        <v>14080.08661</v>
      </c>
      <c r="E16" s="0" t="n">
        <f aca="false">-E12</f>
        <v>14103.2446471875</v>
      </c>
      <c r="F16" s="0" t="n">
        <f aca="false">-F12</f>
        <v>14314.7933168953</v>
      </c>
      <c r="G16" s="0" t="n">
        <f aca="false">-G12</f>
        <v>14529.5152166487</v>
      </c>
      <c r="H16" s="0" t="n">
        <f aca="false">-H12</f>
        <v>14747.4579448985</v>
      </c>
      <c r="I16" s="0" t="n">
        <f aca="false">-I12</f>
        <v>14968.6698140719</v>
      </c>
      <c r="J16" s="0" t="n">
        <f aca="false">-J12</f>
        <v>15193.199861283</v>
      </c>
      <c r="K16" s="0" t="n">
        <f aca="false">-K12</f>
        <v>15421.0978592023</v>
      </c>
      <c r="L16" s="0" t="n">
        <f aca="false">-L12</f>
        <v>15652.4143270903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-13651.0535</v>
      </c>
      <c r="D17" s="4" t="n">
        <f aca="false">-D6*Assumptions!D32/100</f>
        <v>-13524.2937175</v>
      </c>
      <c r="E17" s="4" t="n">
        <f aca="false">-E6*Assumptions!E32/100</f>
        <v>-13727.1581232625</v>
      </c>
      <c r="F17" s="4" t="n">
        <f aca="false">-F6*Assumptions!F32/100</f>
        <v>-13933.0654951114</v>
      </c>
      <c r="G17" s="4" t="n">
        <f aca="false">-G6*Assumptions!G32/100</f>
        <v>-14142.0614775381</v>
      </c>
      <c r="H17" s="4" t="n">
        <f aca="false">-H6*Assumptions!H32/100</f>
        <v>-14354.1923997012</v>
      </c>
      <c r="I17" s="4" t="n">
        <f aca="false">-I6*Assumptions!I32/100</f>
        <v>-14569.5052856967</v>
      </c>
      <c r="J17" s="4" t="n">
        <f aca="false">-J6*Assumptions!J32/100</f>
        <v>-14788.0478649821</v>
      </c>
      <c r="K17" s="4" t="n">
        <f aca="false">-K6*Assumptions!K32/100</f>
        <v>-15009.8685829569</v>
      </c>
      <c r="L17" s="4" t="n">
        <f aca="false">-L6*Assumptions!L32/100</f>
        <v>-15235.0166117012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0</v>
      </c>
      <c r="D18" s="4" t="n">
        <f aca="false">(D6-C6)*Assumptions!$B$37/100</f>
        <v>-0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14869.1175023</v>
      </c>
      <c r="D19" s="0" t="n">
        <f aca="false">D15+D16+D17+D18</f>
        <v>13592.841507575</v>
      </c>
      <c r="E19" s="0" t="n">
        <f aca="false">E15+E16+E17+E18</f>
        <v>13725.2776906429</v>
      </c>
      <c r="F19" s="0" t="n">
        <f aca="false">F15+F16+F17+F18</f>
        <v>13931.1568560025</v>
      </c>
      <c r="G19" s="0" t="n">
        <f aca="false">G15+G16+G17+G18</f>
        <v>14140.1242088425</v>
      </c>
      <c r="H19" s="0" t="n">
        <f aca="false">H15+H16+H17+H18</f>
        <v>14352.2260719752</v>
      </c>
      <c r="I19" s="0" t="n">
        <f aca="false">I15+I16+I17+I18</f>
        <v>14567.5094630548</v>
      </c>
      <c r="J19" s="0" t="n">
        <f aca="false">J15+J16+J17+J18</f>
        <v>14786.0221050006</v>
      </c>
      <c r="K19" s="0" t="n">
        <f aca="false">K15+K16+K17+K18</f>
        <v>15007.8124365756</v>
      </c>
      <c r="L19" s="0" t="n">
        <f aca="false">L15+L16+L17+L18</f>
        <v>15232.9296231243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13767.7013910185</v>
      </c>
      <c r="D21" s="0" t="n">
        <f aca="false">D19*D20</f>
        <v>11653.6707026535</v>
      </c>
      <c r="E21" s="0" t="n">
        <f aca="false">E19*E20</f>
        <v>10895.5679477872</v>
      </c>
      <c r="F21" s="0" t="n">
        <f aca="false">F19*F20</f>
        <v>10239.8161731518</v>
      </c>
      <c r="G21" s="0" t="n">
        <f aca="false">G19*G20</f>
        <v>9623.53094050843</v>
      </c>
      <c r="H21" s="0" t="n">
        <f aca="false">H19*H20</f>
        <v>9044.33694871858</v>
      </c>
      <c r="I21" s="0" t="n">
        <f aca="false">I19*I20</f>
        <v>8500.00185458273</v>
      </c>
      <c r="J21" s="0" t="n">
        <f aca="false">J19*J20</f>
        <v>7988.42766889025</v>
      </c>
      <c r="K21" s="0" t="n">
        <f aca="false">K19*K20</f>
        <v>7507.64267029963</v>
      </c>
      <c r="L21" s="0" t="n">
        <f aca="false">L19*L20</f>
        <v>7055.79380588345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2</v>
      </c>
      <c r="D23" s="4" t="n">
        <f aca="false">Assumptions!D30</f>
        <v>2</v>
      </c>
      <c r="E23" s="4" t="n">
        <f aca="false">Assumptions!E30</f>
        <v>2</v>
      </c>
      <c r="F23" s="4" t="n">
        <f aca="false">Assumptions!F30</f>
        <v>2</v>
      </c>
      <c r="G23" s="4" t="n">
        <f aca="false">Assumptions!G30</f>
        <v>2</v>
      </c>
      <c r="H23" s="4" t="n">
        <f aca="false">Assumptions!H30</f>
        <v>2</v>
      </c>
      <c r="I23" s="4" t="n">
        <f aca="false">Assumptions!I30</f>
        <v>2</v>
      </c>
      <c r="J23" s="4" t="n">
        <f aca="false">Assumptions!J30</f>
        <v>2</v>
      </c>
      <c r="K23" s="4" t="n">
        <f aca="false">Assumptions!K30</f>
        <v>2</v>
      </c>
      <c r="L23" s="4" t="n">
        <f aca="false">Assumptions!L30</f>
        <v>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-3900.301</v>
      </c>
      <c r="D24" s="0" t="n">
        <f aca="false">-D6*D23/100</f>
        <v>-3705.28595</v>
      </c>
      <c r="E24" s="0" t="n">
        <f aca="false">-E6*E23/100</f>
        <v>-3760.86523925</v>
      </c>
      <c r="F24" s="0" t="n">
        <f aca="false">-F6*F23/100</f>
        <v>-3817.27821783875</v>
      </c>
      <c r="G24" s="0" t="n">
        <f aca="false">-G6*G23/100</f>
        <v>-3874.53739110633</v>
      </c>
      <c r="H24" s="0" t="n">
        <f aca="false">-H6*H23/100</f>
        <v>-3932.65545197292</v>
      </c>
      <c r="I24" s="0" t="n">
        <f aca="false">-I6*I23/100</f>
        <v>-3991.64528375252</v>
      </c>
      <c r="J24" s="0" t="n">
        <f aca="false">-J6*J23/100</f>
        <v>-4051.51996300881</v>
      </c>
      <c r="K24" s="0" t="n">
        <f aca="false">-K6*K23/100</f>
        <v>-4112.29276245394</v>
      </c>
      <c r="L24" s="0" t="n">
        <f aca="false">-L6*L23/100</f>
        <v>-4173.97715389075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1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96276.490103494</v>
      </c>
    </row>
    <row r="31" customFormat="false" ht="15" hidden="false" customHeight="false" outlineLevel="0" collapsed="false">
      <c r="A31" s="0" t="s">
        <v>126</v>
      </c>
      <c r="B31" s="0" t="n">
        <f aca="false">L19</f>
        <v>15232.9296231243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219789.41313365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182795.155477491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182795.155477491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84669.5256706014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180946.015774095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138698.015774095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680.213450064793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0.160179856839148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7241.96529554263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7671.29246505051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753.352192940256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109894.706566825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278.025545438204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5</v>
      </c>
      <c r="D5" s="4" t="n">
        <f aca="false">Assumptions!D41</f>
        <v>-3</v>
      </c>
      <c r="E5" s="4" t="n">
        <f aca="false">Assumptions!E41</f>
        <v>2.5</v>
      </c>
      <c r="F5" s="4" t="n">
        <f aca="false">Assumptions!F41</f>
        <v>2.5</v>
      </c>
      <c r="G5" s="4" t="n">
        <f aca="false">Assumptions!G41</f>
        <v>2.5</v>
      </c>
      <c r="H5" s="4" t="n">
        <f aca="false">Assumptions!H41</f>
        <v>2.5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38</v>
      </c>
      <c r="B6" s="3" t="n">
        <v>189335</v>
      </c>
      <c r="C6" s="0" t="n">
        <f aca="false">B6*(1+C5/100)</f>
        <v>198801.75</v>
      </c>
      <c r="D6" s="0" t="n">
        <f aca="false">C6*(1+D5/100)</f>
        <v>192837.6975</v>
      </c>
      <c r="E6" s="0" t="n">
        <f aca="false">D6*(1+E5/100)</f>
        <v>197658.6399375</v>
      </c>
      <c r="F6" s="0" t="n">
        <f aca="false">E6*(1+F5/100)</f>
        <v>202600.105935937</v>
      </c>
      <c r="G6" s="0" t="n">
        <f aca="false">F6*(1+G5/100)</f>
        <v>207665.108584336</v>
      </c>
      <c r="H6" s="0" t="n">
        <f aca="false">G6*(1+H5/100)</f>
        <v>212856.736298944</v>
      </c>
      <c r="I6" s="0" t="n">
        <f aca="false">H6*(1+I5/100)</f>
        <v>217113.871024923</v>
      </c>
      <c r="J6" s="0" t="n">
        <f aca="false">I6*(1+J5/100)</f>
        <v>221456.148445422</v>
      </c>
      <c r="K6" s="0" t="n">
        <f aca="false">J6*(1+K5/100)</f>
        <v>225885.27141433</v>
      </c>
      <c r="L6" s="0" t="n">
        <f aca="false">K6*(1+L5/100)</f>
        <v>230402.976842617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22.5</v>
      </c>
      <c r="D7" s="4" t="n">
        <f aca="false">Assumptions!D42</f>
        <v>22.8</v>
      </c>
      <c r="E7" s="4" t="n">
        <f aca="false">Assumptions!E42</f>
        <v>23</v>
      </c>
      <c r="F7" s="4" t="n">
        <f aca="false">Assumptions!F42</f>
        <v>23</v>
      </c>
      <c r="G7" s="4" t="n">
        <f aca="false">Assumptions!G42</f>
        <v>23</v>
      </c>
      <c r="H7" s="4" t="n">
        <f aca="false">Assumptions!H42</f>
        <v>23</v>
      </c>
      <c r="I7" s="4" t="n">
        <f aca="false">Assumptions!I42</f>
        <v>23</v>
      </c>
      <c r="J7" s="4" t="n">
        <f aca="false">Assumptions!J42</f>
        <v>23</v>
      </c>
      <c r="K7" s="4" t="n">
        <f aca="false">Assumptions!K42</f>
        <v>23</v>
      </c>
      <c r="L7" s="4" t="n">
        <f aca="false">Assumptions!L42</f>
        <v>23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44730.39375</v>
      </c>
      <c r="D8" s="0" t="n">
        <f aca="false">D6*D7/100</f>
        <v>43966.99503</v>
      </c>
      <c r="E8" s="0" t="n">
        <f aca="false">E6*E7/100</f>
        <v>45461.487185625</v>
      </c>
      <c r="F8" s="0" t="n">
        <f aca="false">F6*F7/100</f>
        <v>46598.0243652656</v>
      </c>
      <c r="G8" s="0" t="n">
        <f aca="false">G6*G7/100</f>
        <v>47762.9749743973</v>
      </c>
      <c r="H8" s="0" t="n">
        <f aca="false">H6*H7/100</f>
        <v>48957.0493487572</v>
      </c>
      <c r="I8" s="0" t="n">
        <f aca="false">I6*I7/100</f>
        <v>49936.1903357323</v>
      </c>
      <c r="J8" s="0" t="n">
        <f aca="false">J6*J7/100</f>
        <v>50934.914142447</v>
      </c>
      <c r="K8" s="0" t="n">
        <f aca="false">K6*K7/100</f>
        <v>51953.6124252959</v>
      </c>
      <c r="L8" s="0" t="n">
        <f aca="false">L6*L7/100</f>
        <v>52992.6846738018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0.57</v>
      </c>
      <c r="D9" s="4" t="n">
        <f aca="false">Assumptions!D43</f>
        <v>0.55</v>
      </c>
      <c r="E9" s="4" t="n">
        <f aca="false">Assumptions!E43</f>
        <v>0.55</v>
      </c>
      <c r="F9" s="4" t="n">
        <f aca="false">Assumptions!F43</f>
        <v>0.55</v>
      </c>
      <c r="G9" s="4" t="n">
        <f aca="false">Assumptions!G43</f>
        <v>0.55</v>
      </c>
      <c r="H9" s="4" t="n">
        <f aca="false">Assumptions!H43</f>
        <v>0.55</v>
      </c>
      <c r="I9" s="4" t="n">
        <f aca="false">Assumptions!I43</f>
        <v>0.55</v>
      </c>
      <c r="J9" s="4" t="n">
        <f aca="false">Assumptions!J43</f>
        <v>0.55</v>
      </c>
      <c r="K9" s="4" t="n">
        <f aca="false">Assumptions!K43</f>
        <v>0.55</v>
      </c>
      <c r="L9" s="4" t="n">
        <f aca="false">Assumptions!L43</f>
        <v>0.55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-1133.169975</v>
      </c>
      <c r="D10" s="0" t="n">
        <f aca="false">-D6*D9/100</f>
        <v>-1060.60733625</v>
      </c>
      <c r="E10" s="0" t="n">
        <f aca="false">-E6*E9/100</f>
        <v>-1087.12251965625</v>
      </c>
      <c r="F10" s="0" t="n">
        <f aca="false">-F6*F9/100</f>
        <v>-1114.30058264766</v>
      </c>
      <c r="G10" s="0" t="n">
        <f aca="false">-G6*G9/100</f>
        <v>-1142.15809721385</v>
      </c>
      <c r="H10" s="0" t="n">
        <f aca="false">-H6*H9/100</f>
        <v>-1170.71204964419</v>
      </c>
      <c r="I10" s="0" t="n">
        <f aca="false">-I6*I9/100</f>
        <v>-1194.12629063708</v>
      </c>
      <c r="J10" s="0" t="n">
        <f aca="false">-J6*J9/100</f>
        <v>-1218.00881644982</v>
      </c>
      <c r="K10" s="0" t="n">
        <f aca="false">-K6*K9/100</f>
        <v>-1242.36899277882</v>
      </c>
      <c r="L10" s="0" t="n">
        <f aca="false">-L6*L9/100</f>
        <v>-1267.21637263439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39621.188775</v>
      </c>
      <c r="D11" s="0" t="n">
        <f aca="false">D8+D10+D24</f>
        <v>39049.63374375</v>
      </c>
      <c r="E11" s="0" t="n">
        <f aca="false">E8+E10+E24</f>
        <v>40421.1918672187</v>
      </c>
      <c r="F11" s="0" t="n">
        <f aca="false">F8+F10+F24</f>
        <v>41431.7216638992</v>
      </c>
      <c r="G11" s="0" t="n">
        <f aca="false">G8+G10+G24</f>
        <v>42467.5147054967</v>
      </c>
      <c r="H11" s="0" t="n">
        <f aca="false">H8+H10+H24</f>
        <v>43529.2025731341</v>
      </c>
      <c r="I11" s="0" t="n">
        <f aca="false">I8+I10+I24</f>
        <v>44399.7866245968</v>
      </c>
      <c r="J11" s="0" t="n">
        <f aca="false">J8+J10+J24</f>
        <v>45287.7823570887</v>
      </c>
      <c r="K11" s="0" t="n">
        <f aca="false">K8+K10+K24</f>
        <v>46193.5380042305</v>
      </c>
      <c r="L11" s="0" t="n">
        <f aca="false">L8+L10+L24</f>
        <v>47117.4087643151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-15108.933</v>
      </c>
      <c r="D12" s="4" t="n">
        <f aca="false">-D6*Assumptions!D45/100</f>
        <v>-14655.66501</v>
      </c>
      <c r="E12" s="4" t="n">
        <f aca="false">-E6*Assumptions!E45/100</f>
        <v>-14824.3979953125</v>
      </c>
      <c r="F12" s="4" t="n">
        <f aca="false">-F6*Assumptions!F45/100</f>
        <v>-15195.0079451953</v>
      </c>
      <c r="G12" s="4" t="n">
        <f aca="false">-G6*Assumptions!G45/100</f>
        <v>-15574.8831438252</v>
      </c>
      <c r="H12" s="4" t="n">
        <f aca="false">-H6*Assumptions!H45/100</f>
        <v>-15964.2552224208</v>
      </c>
      <c r="I12" s="4" t="n">
        <f aca="false">-I6*Assumptions!I45/100</f>
        <v>-16283.5403268692</v>
      </c>
      <c r="J12" s="4" t="n">
        <f aca="false">-J6*Assumptions!J45/100</f>
        <v>-16609.2111334066</v>
      </c>
      <c r="K12" s="4" t="n">
        <f aca="false">-K6*Assumptions!K45/100</f>
        <v>-16941.3953560748</v>
      </c>
      <c r="L12" s="4" t="n">
        <f aca="false">-L6*Assumptions!L45/100</f>
        <v>-17280.2232631963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24512.255775</v>
      </c>
      <c r="D13" s="0" t="n">
        <f aca="false">D11+D12</f>
        <v>24393.96873375</v>
      </c>
      <c r="E13" s="0" t="n">
        <f aca="false">E11+E12</f>
        <v>25596.7938719062</v>
      </c>
      <c r="F13" s="0" t="n">
        <f aca="false">F11+F12</f>
        <v>26236.7137187039</v>
      </c>
      <c r="G13" s="0" t="n">
        <f aca="false">G11+G12</f>
        <v>26892.6315616715</v>
      </c>
      <c r="H13" s="0" t="n">
        <f aca="false">H11+H12</f>
        <v>27564.9473507133</v>
      </c>
      <c r="I13" s="0" t="n">
        <f aca="false">I11+I12</f>
        <v>28116.2462977276</v>
      </c>
      <c r="J13" s="0" t="n">
        <f aca="false">J11+J12</f>
        <v>28678.5712236821</v>
      </c>
      <c r="K13" s="0" t="n">
        <f aca="false">K11+K12</f>
        <v>29252.1426481557</v>
      </c>
      <c r="L13" s="0" t="n">
        <f aca="false">L11+L12</f>
        <v>29837.1855011189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37</v>
      </c>
      <c r="D14" s="4" t="n">
        <f aca="false">Assumptions!D47</f>
        <v>37</v>
      </c>
      <c r="E14" s="4" t="n">
        <f aca="false">Assumptions!E47</f>
        <v>37</v>
      </c>
      <c r="F14" s="4" t="n">
        <f aca="false">Assumptions!F47</f>
        <v>37</v>
      </c>
      <c r="G14" s="4" t="n">
        <f aca="false">Assumptions!G47</f>
        <v>37</v>
      </c>
      <c r="H14" s="4" t="n">
        <f aca="false">Assumptions!H47</f>
        <v>37</v>
      </c>
      <c r="I14" s="4" t="n">
        <f aca="false">Assumptions!I47</f>
        <v>37</v>
      </c>
      <c r="J14" s="4" t="n">
        <f aca="false">Assumptions!J47</f>
        <v>37</v>
      </c>
      <c r="K14" s="4" t="n">
        <f aca="false">Assumptions!K47</f>
        <v>37</v>
      </c>
      <c r="L14" s="4" t="n">
        <f aca="false">Assumptions!L47</f>
        <v>37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15442.72113825</v>
      </c>
      <c r="D15" s="0" t="n">
        <f aca="false">D13-MAX(0,D13)*D14/100</f>
        <v>15368.2003022625</v>
      </c>
      <c r="E15" s="0" t="n">
        <f aca="false">E13-MAX(0,E13)*E14/100</f>
        <v>16125.9801393009</v>
      </c>
      <c r="F15" s="0" t="n">
        <f aca="false">F13-MAX(0,F13)*F14/100</f>
        <v>16529.1296427835</v>
      </c>
      <c r="G15" s="0" t="n">
        <f aca="false">G13-MAX(0,G13)*G14/100</f>
        <v>16942.357883853</v>
      </c>
      <c r="H15" s="0" t="n">
        <f aca="false">H13-MAX(0,H13)*H14/100</f>
        <v>17365.9168309494</v>
      </c>
      <c r="I15" s="0" t="n">
        <f aca="false">I13-MAX(0,I13)*I14/100</f>
        <v>17713.2351675684</v>
      </c>
      <c r="J15" s="0" t="n">
        <f aca="false">J13-MAX(0,J13)*J14/100</f>
        <v>18067.4998709197</v>
      </c>
      <c r="K15" s="0" t="n">
        <f aca="false">K13-MAX(0,K13)*K14/100</f>
        <v>18428.8498683381</v>
      </c>
      <c r="L15" s="0" t="n">
        <f aca="false">L13-MAX(0,L13)*L14/100</f>
        <v>18797.4268657049</v>
      </c>
    </row>
    <row r="16" customFormat="false" ht="15" hidden="false" customHeight="false" outlineLevel="0" collapsed="false">
      <c r="A16" s="0" t="s">
        <v>117</v>
      </c>
      <c r="C16" s="0" t="n">
        <f aca="false">-C12</f>
        <v>15108.933</v>
      </c>
      <c r="D16" s="0" t="n">
        <f aca="false">-D12</f>
        <v>14655.66501</v>
      </c>
      <c r="E16" s="0" t="n">
        <f aca="false">-E12</f>
        <v>14824.3979953125</v>
      </c>
      <c r="F16" s="0" t="n">
        <f aca="false">-F12</f>
        <v>15195.0079451953</v>
      </c>
      <c r="G16" s="0" t="n">
        <f aca="false">-G12</f>
        <v>15574.8831438252</v>
      </c>
      <c r="H16" s="0" t="n">
        <f aca="false">-H12</f>
        <v>15964.2552224208</v>
      </c>
      <c r="I16" s="0" t="n">
        <f aca="false">-I12</f>
        <v>16283.5403268692</v>
      </c>
      <c r="J16" s="0" t="n">
        <f aca="false">-J12</f>
        <v>16609.2111334066</v>
      </c>
      <c r="K16" s="0" t="n">
        <f aca="false">-K12</f>
        <v>16941.3953560748</v>
      </c>
      <c r="L16" s="0" t="n">
        <f aca="false">-L12</f>
        <v>17280.2232631963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-13916.1225</v>
      </c>
      <c r="D17" s="4" t="n">
        <f aca="false">-D6*Assumptions!D46/100</f>
        <v>-13498.638825</v>
      </c>
      <c r="E17" s="4" t="n">
        <f aca="false">-E6*Assumptions!E46/100</f>
        <v>-13836.104795625</v>
      </c>
      <c r="F17" s="4" t="n">
        <f aca="false">-F6*Assumptions!F46/100</f>
        <v>-14182.0074155156</v>
      </c>
      <c r="G17" s="4" t="n">
        <f aca="false">-G6*Assumptions!G46/100</f>
        <v>-14536.5576009035</v>
      </c>
      <c r="H17" s="4" t="n">
        <f aca="false">-H6*Assumptions!H46/100</f>
        <v>-14899.9715409261</v>
      </c>
      <c r="I17" s="4" t="n">
        <f aca="false">-I6*Assumptions!I46/100</f>
        <v>-15197.9709717446</v>
      </c>
      <c r="J17" s="4" t="n">
        <f aca="false">-J6*Assumptions!J46/100</f>
        <v>-15501.9303911795</v>
      </c>
      <c r="K17" s="4" t="n">
        <f aca="false">-K6*Assumptions!K46/100</f>
        <v>-15811.9689990031</v>
      </c>
      <c r="L17" s="4" t="n">
        <f aca="false">-L6*Assumptions!L46/100</f>
        <v>-16128.2083789832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0</v>
      </c>
      <c r="D18" s="4" t="n">
        <f aca="false">(D6-C6)*Assumptions!$B$51/100</f>
        <v>-0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16635.53163825</v>
      </c>
      <c r="D19" s="0" t="n">
        <f aca="false">D15+D16+D17+D18</f>
        <v>16525.2264872625</v>
      </c>
      <c r="E19" s="0" t="n">
        <f aca="false">E15+E16+E17+E18</f>
        <v>17114.2733389884</v>
      </c>
      <c r="F19" s="0" t="n">
        <f aca="false">F15+F16+F17+F18</f>
        <v>17542.1301724631</v>
      </c>
      <c r="G19" s="0" t="n">
        <f aca="false">G15+G16+G17+G18</f>
        <v>17980.6834267747</v>
      </c>
      <c r="H19" s="0" t="n">
        <f aca="false">H15+H16+H17+H18</f>
        <v>18430.2005124441</v>
      </c>
      <c r="I19" s="0" t="n">
        <f aca="false">I15+I16+I17+I18</f>
        <v>18798.804522693</v>
      </c>
      <c r="J19" s="0" t="n">
        <f aca="false">J15+J16+J17+J18</f>
        <v>19174.7806131468</v>
      </c>
      <c r="K19" s="0" t="n">
        <f aca="false">K15+K16+K17+K18</f>
        <v>19558.2762254098</v>
      </c>
      <c r="L19" s="0" t="n">
        <f aca="false">L15+L16+L17+L18</f>
        <v>19949.441749918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15403.2700354167</v>
      </c>
      <c r="D21" s="0" t="n">
        <f aca="false">D19*D20</f>
        <v>14167.7181818094</v>
      </c>
      <c r="E21" s="0" t="n">
        <f aca="false">E19*E20</f>
        <v>13585.8619581209</v>
      </c>
      <c r="F21" s="0" t="n">
        <f aca="false">F19*F20</f>
        <v>12893.9893584018</v>
      </c>
      <c r="G21" s="0" t="n">
        <f aca="false">G19*G20</f>
        <v>12237.3510114462</v>
      </c>
      <c r="H21" s="0" t="n">
        <f aca="false">H19*H20</f>
        <v>11614.1525803077</v>
      </c>
      <c r="I21" s="0" t="n">
        <f aca="false">I19*I20</f>
        <v>10968.9218814017</v>
      </c>
      <c r="J21" s="0" t="n">
        <f aca="false">J19*J20</f>
        <v>10359.537332435</v>
      </c>
      <c r="K21" s="0" t="n">
        <f aca="false">K19*K20</f>
        <v>9784.00748063301</v>
      </c>
      <c r="L21" s="0" t="n">
        <f aca="false">L19*L20</f>
        <v>9240.45150948672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2</v>
      </c>
      <c r="D23" s="4" t="n">
        <f aca="false">Assumptions!D44</f>
        <v>2</v>
      </c>
      <c r="E23" s="4" t="n">
        <f aca="false">Assumptions!E44</f>
        <v>2</v>
      </c>
      <c r="F23" s="4" t="n">
        <f aca="false">Assumptions!F44</f>
        <v>2</v>
      </c>
      <c r="G23" s="4" t="n">
        <f aca="false">Assumptions!G44</f>
        <v>2</v>
      </c>
      <c r="H23" s="4" t="n">
        <f aca="false">Assumptions!H44</f>
        <v>2</v>
      </c>
      <c r="I23" s="4" t="n">
        <f aca="false">Assumptions!I44</f>
        <v>2</v>
      </c>
      <c r="J23" s="4" t="n">
        <f aca="false">Assumptions!J44</f>
        <v>2</v>
      </c>
      <c r="K23" s="4" t="n">
        <f aca="false">Assumptions!K44</f>
        <v>2</v>
      </c>
      <c r="L23" s="4" t="n">
        <f aca="false">Assumptions!L44</f>
        <v>2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-3976.035</v>
      </c>
      <c r="D24" s="0" t="n">
        <f aca="false">-D6*D23/100</f>
        <v>-3856.75395</v>
      </c>
      <c r="E24" s="0" t="n">
        <f aca="false">-E6*E23/100</f>
        <v>-3953.17279875</v>
      </c>
      <c r="F24" s="0" t="n">
        <f aca="false">-F6*F23/100</f>
        <v>-4052.00211871875</v>
      </c>
      <c r="G24" s="0" t="n">
        <f aca="false">-G6*G23/100</f>
        <v>-4153.30217168672</v>
      </c>
      <c r="H24" s="0" t="n">
        <f aca="false">-H6*H23/100</f>
        <v>-4257.13472597889</v>
      </c>
      <c r="I24" s="0" t="n">
        <f aca="false">-I6*I23/100</f>
        <v>-4342.27742049846</v>
      </c>
      <c r="J24" s="0" t="n">
        <f aca="false">-J6*J23/100</f>
        <v>-4429.12296890843</v>
      </c>
      <c r="K24" s="0" t="n">
        <f aca="false">-K6*K23/100</f>
        <v>-4517.7054282866</v>
      </c>
      <c r="L24" s="0" t="n">
        <f aca="false">-L6*L23/100</f>
        <v>-4608.05953685233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1.5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13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120255.261329459</v>
      </c>
    </row>
    <row r="31" customFormat="false" ht="15" hidden="false" customHeight="false" outlineLevel="0" collapsed="false">
      <c r="A31" s="0" t="s">
        <v>126</v>
      </c>
      <c r="B31" s="0" t="n">
        <f aca="false">L19</f>
        <v>19949.441749918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311518.20578718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259342.742748933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259342.742748933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120125.869623327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240381.130952786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198133.130952786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971.699701869172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0.6573421488473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7718.92284803162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9165.70565193112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1054.50659237097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149990.247230865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411.002325911094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333.193641589974</v>
      </c>
      <c r="C4" s="0" t="n">
        <f aca="false">B4/Assumptions!$B$2-1</f>
        <v>-0.431701105935572</v>
      </c>
      <c r="D4" s="4" t="n">
        <f aca="false">Assumptions!$B$24</f>
        <v>0.25</v>
      </c>
      <c r="E4" s="4" t="n">
        <f aca="false">DCF_Bear!$B$43</f>
        <v>399.419753733569</v>
      </c>
      <c r="F4" s="4" t="n">
        <f aca="false">DCF_Bear!$B$47</f>
        <v>115.355770454339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680.213450064793</v>
      </c>
      <c r="C5" s="0" t="n">
        <f aca="false">B5/Assumptions!$B$2-1</f>
        <v>0.160179856839148</v>
      </c>
      <c r="D5" s="4" t="n">
        <f aca="false">Assumptions!$B$38</f>
        <v>0.5</v>
      </c>
      <c r="E5" s="4" t="n">
        <f aca="false">DCF_Base!$B$43</f>
        <v>753.352192940256</v>
      </c>
      <c r="F5" s="4" t="n">
        <f aca="false">DCF_Base!$B$47</f>
        <v>278.025545438204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971.699701869172</v>
      </c>
      <c r="C6" s="0" t="n">
        <f aca="false">B6/Assumptions!$B$2-1</f>
        <v>0.6573421488473</v>
      </c>
      <c r="D6" s="4" t="n">
        <f aca="false">Assumptions!$B$52</f>
        <v>0.25</v>
      </c>
      <c r="E6" s="4" t="n">
        <f aca="false">DCF_Bull!$B$43</f>
        <v>1054.50659237097</v>
      </c>
      <c r="F6" s="4" t="n">
        <f aca="false">DCF_Bull!$B$47</f>
        <v>411.002325911094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666.330060897183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740.157682996263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0.120105733770177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-108.401244170886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270.602296810461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680.213450064793</v>
      </c>
      <c r="C15" s="3" t="n">
        <v>8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622.835560620073</v>
      </c>
      <c r="C16" s="3" t="n">
        <v>9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547.955891877243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472.311953439205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410.453036380923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278.025545438204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0</v>
      </c>
      <c r="C23" s="3" t="n">
        <v>0.5</v>
      </c>
      <c r="D23" s="3" t="n">
        <v>1</v>
      </c>
      <c r="E23" s="3" t="n">
        <v>1.5</v>
      </c>
      <c r="F23" s="3" t="n">
        <v>2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811.883510428639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811.883510428639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811.883510428639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811.883510428639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811.883510428639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743.028455789107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743.028455789107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743.028455789107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743.028455789107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743.028455789107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680.213450064793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680.213450064793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680.213450064793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680.213450064793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680.213450064793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594.785041639393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617.266707587144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622.835560620073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622.835560620073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622.835560620073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512.752725612263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529.427909632516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547.955891877243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568.663636738997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570.35790677314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2026-10-09T22:50:41Z</dcterms:created>
  <dc:creator>openpyxl</dc:creator>
  <dc:description/>
  <dc:language>en-NZ</dc:language>
  <cp:lastModifiedBy/>
  <dcterms:modified xsi:type="dcterms:W3CDTF">2026-10-09T22:50:41Z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