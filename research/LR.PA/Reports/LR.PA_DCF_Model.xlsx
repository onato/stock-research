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<sst xmlns="http://schemas.openxmlformats.org/spreadsheetml/2006/main" count="371" uniqueCount="174">
  <si>
    <t xml:space="preserve">Ticker</t>
  </si>
  <si>
    <t xml:space="preserve">LR.PA</t>
  </si>
  <si>
    <t xml:space="preserve">Company</t>
  </si>
  <si>
    <t xml:space="preserve">Legrand SA</t>
  </si>
  <si>
    <t xml:space="preserve">Valuation date</t>
  </si>
  <si>
    <t xml:space="preserve">2026-10-26</t>
  </si>
  <si>
    <t xml:space="preserve">Current price</t>
  </si>
  <si>
    <t xml:space="preserve">Price as of</t>
  </si>
  <si>
    <t xml:space="preserve">2026-10-23T15:36:46Z regular close (Euronext Paris)</t>
  </si>
  <si>
    <t xml:space="preserve">Balance sheet date</t>
  </si>
  <si>
    <t xml:space="preserve">2025-12-31</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</si>
  <si>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</si>
  <si>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</si>
  <si>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</si>
  <si>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</si>
  <si>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</si>
  <si>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</si>
  <si>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</si>
  <si>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</si>
  <si>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</si>
  <si>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</si>
  <si>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2026-10-25T15:51:13Z</t>
  </si>
  <si>
    <t xml:space="preserve">Drivers file</t>
  </si>
  <si>
    <t xml:space="preserve">LR.PA_Drivers.json</t>
  </si>
  <si>
    <t xml:space="preserve">Convention</t>
  </si>
  <si>
    <t xml:space="preserve">Percents stored as percents; formulas divide by 100. Blue = input, green = link, black = formula.</t>
  </si>
  <si>
    <t xml:space="preserve">Methodology</t>
  </si>
  <si>
    <t xml:space="preserve">summary: House basis: owner FCF with SBC expensed (tiny here, 0.4% of revenue, so house and street nearly coincide), leases charged as an operating cost and excluded from net debt, risk carried in three probability-weighted scenario paths at a single EUR WACC, terminal value capped at an owner-FCF multiple a buyer plausibly pays for a moderately cyclical compounder, and no credit for acquisitions not yet paid for. The disagreement with the market is not about Legrand's quality but about how much of the datacenter acceleration is permanent and what multiple to pay for it after the stock has already de-rated from EUR 167 to EUR 124.
key_risks_to_valuation: Datacenter capex cycle: 26% of sales growing 25-30%; a hyperscaler spending pause is the single largest swing factor between bear and base; Balance-sheet anchors are from 31 Dec 2025; H1 2026 net debt is likely EUR 0.5-1.0bn higher after five 2026 acquisitions and the June dividend (~EUR 2-4/share); Acquired growth is excluded from FY2028 onward; if Legrand keeps compounding bolt-ons at ROCE well above WACC the base understates value, if it overpays for datacenter assets at cycle peak the bear understates the damage; FX translation: 42% North/Central America and 20% RoW against EUR reporting; a 10% EUR move is ~6% of revenue; Terminal value is ~60% of base EV; the 18x cap binds in the base, so the value is sensitive to the cap and to WACC (see sensitivity grid); OCEANE (EUR 800m, conversion EUR 159.03) adds 1.9% dilution if the stock re-rates above the conversion price</t>
  </si>
  <si>
    <t xml:space="preserve">Data sources</t>
  </si>
  <si>
    <t xml:space="preserve">price: Yahoo Finance chart API (query1.finance.yahoo.com v8 chart, LR.PA) at inputs.price_as_of; 52-week range 121.95-166.95; price taken from make dcf-context, not web search
financials: research/LR.PA/Reports/LR.PA_Metrics.csv and the kpis table (FY2015-FY2025, EUR millions), with the FY2025 Universal Registration Document (LR.PA_Annual_FY2025.txt) read directly for the cash-flow statement (lines 25780-25840: lease principal 87.1, lease interest 16.1, acquisitions 1,314.4, WC -138.8), net-debt composition (line 19022-19035), IAS 33 share-count table (line 27383-27390), working-capital-requirement table (line 29150), OCEANE terms (line 28248-28258) and effective tax rate (line 26636)
qualitative: research/LR.PA/Reports/LR.PA_Analysis.json (2026-10-26): segment mix, FY2026 guidance as raised at H1 2026 (sales +16-19% ex-FX, organic +8-10%, adjusted operating margin 20.5-21.0%, datacenter organic +25-30%), 2030 ambitions, competitive position vs Vertiv/Schneider</t>
  </si>
  <si>
    <t xml:space="preserve">Scenario narrative: bear</t>
  </si>
  <si>
    <t xml:space="preserve">The datacenter boom is a capex cycle, not a new base. Hyperscaler/colocation spending pauses in 2027-2028 and Legrand, a challenger to Vertiv and Schneider in white space, loses share as the incumbents bundle switchgear-to-chip offerings; datacenter sales fall ~15% in FY2027 while the building business stays in its 'slowdown' (management's own FY2025 word). Group growth is flat in FY2027 and reverts to the FY2015-2019 organic median of ~3%. Volume deleverage, pricing pressure and under-earning 2025-26 acquisitions compress the pre-SBC EBITDA margin to 21.5% before a partial recovery to 22.5%. No solvency risk (A-, 1.9x net debt/EBITDA), so the bear is a de-rating and earnings reset, not distress. Terminal growth 2%, cap 15x.</t>
  </si>
  <si>
    <t xml:space="preserve">Scenario narrative: base</t>
  </si>
  <si>
    <t xml:space="preserve">Legrand compounds as a building-electrical pure player with a datacenter kicker that decays rather than disappears. FY2026 lands inside the raised +16-19% ex-FX guidance (~+13.5% in reported EUR after translation), FY2027 carries ~3pp of acquisition annualisation plus mid-single-digit organic growth as datacenter growth halves from +25-30%, and from FY2028 the model is organic only, decaying from 5.5% to 2.5% by year 10. EBITDA margin (pre-SBC, post-IFRS16) edges from 23.8% to 24.5%, equivalent to a ~21% adjusted operating margin, the top of the current guidance band. Capex 2.8%, leases 1.1%, tax 26%, and working capital consumes 11c per euro of growth. No value is credited to unfunded future M&amp;A, which is why the model's 2030 revenue (~EUR 13.4bn) sits below the ~EUR 15bn ambition. Terminal value is bounded by an 18x owner-FCF cap at 8% WACC / 2.5% growth.</t>
  </si>
  <si>
    <t xml:space="preserve">Scenario narrative: bull</t>
  </si>
  <si>
    <t xml:space="preserve">The AI datacenter buildout proves durable: white-space demand (UPS, busway, PDU, racks, over 80% of Legrand's datacenter exposure) grows 20%+ organically through 2030, North America keeps growing in the high teens, and the 2030 ~EUR 15bn ambition is reached largely organically (model: EUR 14.5bn by 2030). Operating leverage and mix take the pre-SBC EBITDA margin to 26% (~22.5% adjusted operating margin), building markets recover as European and US rates ease, and the bolt-on engine keeps docking datacenter specialists at ROCE above WACC. Terminal growth 3%, cap 20x.</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</si>
  <si>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</si>
  <si>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</si>
  <si>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</si>
  <si>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</si>
  <si>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</si>
  <si>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</si>
  <si>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</si>
  <si>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</si>
  <si>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</si>
  <si>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</si>
  <si>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</si>
  <si>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</si>
  <si>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</si>
  <si>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</si>
  <si>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</si>
  <si>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</si>
  <si>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</si>
  <si>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</si>
  <si>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</si>
  <si>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</si>
  <si>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</si>
  <si>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</si>
  <si>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</si>
  <si>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</si>
  <si>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</si>
  <si>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</si>
  <si>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</si>
  <si>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t>
  </si>
  <si>
    <t xml:space="preserve">BasicEPS</t>
  </si>
  <si>
    <t xml:space="preserve">CapexPPE</t>
  </si>
  <si>
    <t xml:space="preserve">CapitalisedDevelopmentCosts</t>
  </si>
  <si>
    <t xml:space="preserve">FreeCashFlowCompanyDefined</t>
  </si>
  <si>
    <t xml:space="preserve">NetFinancialDebt</t>
  </si>
  <si>
    <t xml:space="preserve">OrganicRevenueGrowth</t>
  </si>
  <si>
    <t xml:space="preserve">TotalEquityInclNCI</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</si>
  <si>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</si>
  <si>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</si>
  <si>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</si>
  <si>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</si>
  <si>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</si>
  <si>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</si>
  <si>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</si>
  <si>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</si>
  <si>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</si>
  <si>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</si>
  <si>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</si>
  <si>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</si>
  <si>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</si>
  <si>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</si>
  <si>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</si>
  <si>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</si>
  <si>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</si>
  <si>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</si>
  <si>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</si>
  <si>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</si>
  <si>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</si>
  <si>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</si>
  <si>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</si>
  <si>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</si>
  <si>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</si>
  <si>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</si>
  <si>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</si>
  <si>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</si>
  <si>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</si>
  <si>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</si>
  <si>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</si>
  <si>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</si>
  <si>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</si>
  <si>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</si>
  <si>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</si>
  <si>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</si>
  <si>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</si>
  <si>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</si>
  <si>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</si>
  <si>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</si>
  <si>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</si>
  <si>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</si>
  <si>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</si>
  <si>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</si>
  <si>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</si>
  <si>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</si>
  <si>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</si>
  <si>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</si>
  <si>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LR.PA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</si>
  <si>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</si>
  <si>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</si>
  <si>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</si>
  <si>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</si>
  <si>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</si>
  <si>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</si>
  <si>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</si>
  <si>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</si>
  <si>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</si>
  <si>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</si>
  <si>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</si>
  <si>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</si>
  <si>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</si>
  <si>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</si>
  <si>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</si>
  <si>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</si>
  <si>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</si>
  <si>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</si>
  <si>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</si>
  <si>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</si>
  <si>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</si>
  <si>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</si>
  <si>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</si>
  <si>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</si>
  <si>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</si>
  <si>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</si>
  <si>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</si>
  <si>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</si>
  <si>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</si>
  <si>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</si>
  <si>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LR.PA owner-FCF component DCF: base case (millions, EUR)</t>
  </si>
  <si>
    <t xml:space="preserve">LR.PA owner-FCF component DCF: bull case (millions, EUR)</t>
  </si>
  <si>
    <t xml:space="preserve">LR.PA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</si>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</sst>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124.1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row>
    <row r="2" customFormat="false" ht="15" hidden="false" customHeight="false" outlineLevel="0" collapsed="false">
      <c r="A2" s="0" t="s">
        <v>71</v>
      </c>
      <c r="B2" s="0" t="n">
        <v>4809.9</v>
      </c>
      <c r="C2" s="0" t="n">
        <v>2333.5</v>
      </c>
      <c r="D2" s="0" t="n">
        <v>2476.4</v>
      </c>
      <c r="E2" s="0" t="n">
        <v>51.5</v>
      </c>
      <c r="F2" s="0" t="n">
        <v>886.7</v>
      </c>
      <c r="G2" s="0" t="n">
        <v>18.4</v>
      </c>
      <c r="H2" s="0" t="n">
        <v>1056.4</v>
      </c>
      <c r="I2" s="0" t="n">
        <v>550.6</v>
      </c>
      <c r="J2" s="0" t="n">
        <v>11.4</v>
      </c>
      <c r="K2" s="0" t="n">
        <v>2.046</v>
      </c>
      <c r="L2" s="0" t="n">
        <v>796.2</v>
      </c>
      <c r="M2" s="0" t="n">
        <v>133.4</v>
      </c>
      <c r="N2" s="0" t="n">
        <v>662.8</v>
      </c>
      <c r="O2" s="0" t="n">
        <v>3797.8</v>
      </c>
      <c r="P2" s="0" t="n">
        <v>7813.5</v>
      </c>
      <c r="Q2" s="0" t="n">
        <v>4006.1</v>
      </c>
      <c r="R2" s="0" t="n">
        <v>1891.1</v>
      </c>
      <c r="S2" s="0" t="n">
        <v>1088.4</v>
      </c>
      <c r="T2" s="0" t="n">
        <v>269.11</v>
      </c>
      <c r="U2" s="0" t="n">
        <v>6.4</v>
      </c>
      <c r="AA2" s="0" t="s">
        <v>17</v>
      </c>
      <c r="AB2" s="0" t="s">
        <v>14</v>
      </c>
      <c r="AC2" s="0" t="n">
        <v>930.4</v>
      </c>
      <c r="AD2" s="0" t="n">
        <v>2.067</v>
      </c>
      <c r="AE2" s="0" t="n">
        <v>106</v>
      </c>
      <c r="AF2" s="0" t="n">
        <v>27.4</v>
      </c>
      <c r="AG2" s="0" t="n">
        <v>666</v>
      </c>
      <c r="AH2" s="0" t="n">
        <v>802.7</v>
      </c>
      <c r="AI2" s="0" t="n">
        <v>0.5</v>
      </c>
      <c r="AJ2" s="0" t="n">
        <v>3807.4</v>
      </c>
    </row>
    <row r="3" customFormat="false" ht="15" hidden="false" customHeight="false" outlineLevel="0" collapsed="false">
      <c r="A3" s="0" t="s">
        <v>72</v>
      </c>
      <c r="B3" s="0" t="n">
        <v>5018.9</v>
      </c>
      <c r="C3" s="0" t="n">
        <v>2381</v>
      </c>
      <c r="D3" s="0" t="n">
        <v>2637.9</v>
      </c>
      <c r="E3" s="0" t="n">
        <v>52.6</v>
      </c>
      <c r="F3" s="0" t="n">
        <v>934</v>
      </c>
      <c r="G3" s="0" t="n">
        <v>18.6</v>
      </c>
      <c r="H3" s="0" t="n">
        <v>1109</v>
      </c>
      <c r="I3" s="0" t="n">
        <v>628.5</v>
      </c>
      <c r="J3" s="0" t="n">
        <v>12.5</v>
      </c>
      <c r="K3" s="0" t="n">
        <v>2.339</v>
      </c>
      <c r="L3" s="0" t="n">
        <v>831.8</v>
      </c>
      <c r="M3" s="0" t="n">
        <v>160.9</v>
      </c>
      <c r="N3" s="0" t="n">
        <v>670.9</v>
      </c>
      <c r="O3" s="0" t="n">
        <v>4057.1</v>
      </c>
      <c r="P3" s="0" t="n">
        <v>8111.4</v>
      </c>
      <c r="Q3" s="0" t="n">
        <v>4045</v>
      </c>
      <c r="R3" s="0" t="n">
        <v>1897.1</v>
      </c>
      <c r="S3" s="0" t="n">
        <v>940.1</v>
      </c>
      <c r="T3" s="0" t="n">
        <v>268.705</v>
      </c>
      <c r="U3" s="0" t="n">
        <v>7.9</v>
      </c>
      <c r="AA3" s="0" t="s">
        <v>17</v>
      </c>
      <c r="AB3" s="0" t="s">
        <v>14</v>
      </c>
      <c r="AC3" s="0" t="n">
        <v>978.5</v>
      </c>
      <c r="AD3" s="0" t="n">
        <v>2.359</v>
      </c>
      <c r="AE3" s="0" t="n">
        <v>126.3</v>
      </c>
      <c r="AF3" s="0" t="n">
        <v>34.6</v>
      </c>
      <c r="AG3" s="0" t="n">
        <v>673</v>
      </c>
      <c r="AH3" s="0" t="n">
        <v>957</v>
      </c>
      <c r="AI3" s="0" t="n">
        <v>1.8</v>
      </c>
      <c r="AJ3" s="0" t="n">
        <v>4066.4</v>
      </c>
    </row>
    <row r="4" customFormat="false" ht="15" hidden="false" customHeight="false" outlineLevel="0" collapsed="false">
      <c r="A4" s="0" t="s">
        <v>73</v>
      </c>
      <c r="B4" s="0" t="n">
        <v>5520.8</v>
      </c>
      <c r="C4" s="0" t="n">
        <v>2627</v>
      </c>
      <c r="D4" s="0" t="n">
        <v>2893.8</v>
      </c>
      <c r="E4" s="0" t="n">
        <v>52.4</v>
      </c>
      <c r="F4" s="0" t="n">
        <v>1025.6</v>
      </c>
      <c r="G4" s="0" t="n">
        <v>18.6</v>
      </c>
      <c r="H4" s="0" t="n">
        <v>1241.5</v>
      </c>
      <c r="I4" s="0" t="n">
        <v>711.2</v>
      </c>
      <c r="J4" s="0" t="n">
        <v>12.9</v>
      </c>
      <c r="K4" s="0" t="n">
        <v>2.646</v>
      </c>
      <c r="L4" s="0" t="n">
        <v>863.7</v>
      </c>
      <c r="M4" s="0" t="n">
        <v>178.2</v>
      </c>
      <c r="N4" s="0" t="n">
        <v>685.5</v>
      </c>
      <c r="O4" s="0" t="n">
        <v>4138.6</v>
      </c>
      <c r="P4" s="0" t="n">
        <v>9424.3</v>
      </c>
      <c r="Q4" s="0" t="n">
        <v>5276.2</v>
      </c>
      <c r="R4" s="0" t="n">
        <v>3042.5</v>
      </c>
      <c r="S4" s="0" t="n">
        <v>823</v>
      </c>
      <c r="T4" s="0" t="n">
        <v>268.783</v>
      </c>
      <c r="U4" s="0" t="n">
        <v>13.1</v>
      </c>
      <c r="AA4" s="0" t="s">
        <v>17</v>
      </c>
      <c r="AB4" s="0" t="s">
        <v>14</v>
      </c>
      <c r="AC4" s="0" t="n">
        <v>1104.9</v>
      </c>
      <c r="AD4" s="0" t="n">
        <v>2.669</v>
      </c>
      <c r="AE4" s="0" t="n">
        <v>144.6</v>
      </c>
      <c r="AF4" s="0" t="n">
        <v>33.6</v>
      </c>
      <c r="AG4" s="0" t="n">
        <v>695.8</v>
      </c>
      <c r="AH4" s="0" t="n">
        <v>2219.5</v>
      </c>
      <c r="AI4" s="0" t="n">
        <v>3.1</v>
      </c>
      <c r="AJ4" s="0" t="n">
        <v>4148.1</v>
      </c>
    </row>
    <row r="5" customFormat="false" ht="15" hidden="false" customHeight="false" outlineLevel="0" collapsed="false">
      <c r="A5" s="0" t="s">
        <v>74</v>
      </c>
      <c r="B5" s="0" t="n">
        <v>5997.2</v>
      </c>
      <c r="C5" s="0" t="n">
        <v>2869.7</v>
      </c>
      <c r="D5" s="0" t="n">
        <v>3127.5</v>
      </c>
      <c r="E5" s="0" t="n">
        <v>52.1</v>
      </c>
      <c r="F5" s="0" t="n">
        <v>1139</v>
      </c>
      <c r="G5" s="0" t="n">
        <v>19</v>
      </c>
      <c r="H5" s="0" t="n">
        <v>1346.2</v>
      </c>
      <c r="I5" s="0" t="n">
        <v>771.7</v>
      </c>
      <c r="J5" s="0" t="n">
        <v>12.9</v>
      </c>
      <c r="K5" s="0" t="n">
        <v>2.869</v>
      </c>
      <c r="L5" s="0" t="n">
        <v>925.3</v>
      </c>
      <c r="M5" s="0" t="n">
        <v>184.3</v>
      </c>
      <c r="N5" s="0" t="n">
        <v>741</v>
      </c>
      <c r="O5" s="0" t="n">
        <v>4591.2</v>
      </c>
      <c r="P5" s="0" t="n">
        <v>10306.3</v>
      </c>
      <c r="Q5" s="0" t="n">
        <v>5709.2</v>
      </c>
      <c r="R5" s="0" t="n">
        <v>3319.1</v>
      </c>
      <c r="S5" s="0" t="n">
        <v>1022.5</v>
      </c>
      <c r="T5" s="0" t="n">
        <v>268.979</v>
      </c>
      <c r="U5" s="0" t="n">
        <v>22.9</v>
      </c>
      <c r="AA5" s="0" t="s">
        <v>17</v>
      </c>
      <c r="AB5" s="0" t="s">
        <v>14</v>
      </c>
      <c r="AC5" s="0" t="n">
        <v>1212.1</v>
      </c>
      <c r="AD5" s="0" t="n">
        <v>2.892</v>
      </c>
      <c r="AE5" s="0" t="n">
        <v>150.6</v>
      </c>
      <c r="AF5" s="0" t="n">
        <v>33.7</v>
      </c>
      <c r="AG5" s="0" t="n">
        <v>746.3</v>
      </c>
      <c r="AH5" s="0" t="n">
        <v>2296.6</v>
      </c>
      <c r="AI5" s="0" t="n">
        <v>4.9</v>
      </c>
      <c r="AJ5" s="0" t="n">
        <v>4597.1</v>
      </c>
    </row>
    <row r="6" customFormat="false" ht="15" hidden="false" customHeight="false" outlineLevel="0" collapsed="false">
      <c r="A6" s="0" t="s">
        <v>75</v>
      </c>
      <c r="B6" s="0" t="n">
        <v>6622.3</v>
      </c>
      <c r="C6" s="0" t="n">
        <v>3184.5</v>
      </c>
      <c r="D6" s="0" t="n">
        <v>3437.8</v>
      </c>
      <c r="E6" s="0" t="n">
        <v>51.9</v>
      </c>
      <c r="F6" s="0" t="n">
        <v>1237.4</v>
      </c>
      <c r="G6" s="0" t="n">
        <v>18.7</v>
      </c>
      <c r="H6" s="0" t="n">
        <v>1544</v>
      </c>
      <c r="I6" s="0" t="n">
        <v>834.8</v>
      </c>
      <c r="J6" s="0" t="n">
        <v>12.6</v>
      </c>
      <c r="K6" s="0" t="n">
        <v>3.103</v>
      </c>
      <c r="L6" s="0" t="n">
        <v>1239.4</v>
      </c>
      <c r="M6" s="0" t="n">
        <v>202.2</v>
      </c>
      <c r="N6" s="0" t="n">
        <v>1037.2</v>
      </c>
      <c r="O6" s="0" t="n">
        <v>5102.2</v>
      </c>
      <c r="P6" s="0" t="n">
        <v>11822.8</v>
      </c>
      <c r="Q6" s="0" t="n">
        <v>6710.7</v>
      </c>
      <c r="R6" s="0" t="n">
        <v>4191.6</v>
      </c>
      <c r="S6" s="0" t="n">
        <v>1710.9</v>
      </c>
      <c r="T6" s="0" t="n">
        <v>269.03</v>
      </c>
      <c r="U6" s="0" t="n">
        <v>25.7</v>
      </c>
      <c r="AA6" s="0" t="s">
        <v>17</v>
      </c>
      <c r="AB6" s="0" t="s">
        <v>14</v>
      </c>
      <c r="AC6" s="0" t="n">
        <v>1326.1</v>
      </c>
      <c r="AD6" s="0" t="n">
        <v>3.129</v>
      </c>
      <c r="AE6" s="0" t="n">
        <v>166.9</v>
      </c>
      <c r="AF6" s="0" t="n">
        <v>35.3</v>
      </c>
      <c r="AG6" s="0" t="n">
        <v>1044.3</v>
      </c>
      <c r="AH6" s="0" t="n">
        <v>2480.7</v>
      </c>
      <c r="AI6" s="0" t="n">
        <v>2.6</v>
      </c>
      <c r="AJ6" s="0" t="n">
        <v>5112.1</v>
      </c>
    </row>
    <row r="7" customFormat="false" ht="15" hidden="false" customHeight="false" outlineLevel="0" collapsed="false">
      <c r="A7" s="0" t="s">
        <v>76</v>
      </c>
      <c r="B7" s="0" t="n">
        <v>6099.5</v>
      </c>
      <c r="C7" s="0" t="n">
        <v>2915.7</v>
      </c>
      <c r="D7" s="0" t="n">
        <v>3183.8</v>
      </c>
      <c r="E7" s="0" t="n">
        <v>52.2</v>
      </c>
      <c r="F7" s="0" t="n">
        <v>1065.4</v>
      </c>
      <c r="G7" s="0" t="n">
        <v>17.5</v>
      </c>
      <c r="H7" s="0" t="n">
        <v>1399.7</v>
      </c>
      <c r="I7" s="0" t="n">
        <v>681.2</v>
      </c>
      <c r="J7" s="0" t="n">
        <v>11.2</v>
      </c>
      <c r="K7" s="0" t="n">
        <v>2.531</v>
      </c>
      <c r="L7" s="0" t="n">
        <v>1161.9</v>
      </c>
      <c r="M7" s="0" t="n">
        <v>155.1</v>
      </c>
      <c r="N7" s="0" t="n">
        <v>1006.8</v>
      </c>
      <c r="O7" s="0" t="n">
        <v>4895.8</v>
      </c>
      <c r="P7" s="0" t="n">
        <v>12907.7</v>
      </c>
      <c r="Q7" s="0" t="n">
        <v>8001.7</v>
      </c>
      <c r="R7" s="0" t="n">
        <v>5394.5</v>
      </c>
      <c r="S7" s="0" t="n">
        <v>2791.7</v>
      </c>
      <c r="T7" s="0" t="n">
        <v>269.143</v>
      </c>
      <c r="U7" s="0" t="n">
        <v>22.3</v>
      </c>
      <c r="AA7" s="0" t="s">
        <v>17</v>
      </c>
      <c r="AB7" s="0" t="s">
        <v>14</v>
      </c>
      <c r="AC7" s="0" t="n">
        <v>1156</v>
      </c>
      <c r="AD7" s="0" t="n">
        <v>2.55</v>
      </c>
      <c r="AE7" s="0" t="n">
        <v>126.8</v>
      </c>
      <c r="AF7" s="0" t="n">
        <v>28.3</v>
      </c>
      <c r="AG7" s="0" t="n">
        <v>1029.1</v>
      </c>
      <c r="AH7" s="0" t="n">
        <v>2602.8</v>
      </c>
      <c r="AI7" s="0" t="n">
        <v>-8.7</v>
      </c>
      <c r="AJ7" s="0" t="n">
        <v>4906</v>
      </c>
    </row>
    <row r="8" customFormat="false" ht="15" hidden="false" customHeight="false" outlineLevel="0" collapsed="false">
      <c r="A8" s="0" t="s">
        <v>77</v>
      </c>
      <c r="B8" s="0" t="n">
        <v>6994.2</v>
      </c>
      <c r="C8" s="0" t="n">
        <v>3439.2</v>
      </c>
      <c r="D8" s="0" t="n">
        <v>3555</v>
      </c>
      <c r="E8" s="0" t="n">
        <v>50.8</v>
      </c>
      <c r="F8" s="0" t="n">
        <v>1344.1</v>
      </c>
      <c r="G8" s="0" t="n">
        <v>19.2</v>
      </c>
      <c r="H8" s="0" t="n">
        <v>1650.5</v>
      </c>
      <c r="I8" s="0" t="n">
        <v>904.5</v>
      </c>
      <c r="J8" s="0" t="n">
        <v>12.9</v>
      </c>
      <c r="K8" s="0" t="n">
        <v>3.366</v>
      </c>
      <c r="L8" s="0" t="n">
        <v>1112.7</v>
      </c>
      <c r="M8" s="0" t="n">
        <v>170.5</v>
      </c>
      <c r="N8" s="0" t="n">
        <v>942.2</v>
      </c>
      <c r="O8" s="0" t="n">
        <v>5716.5</v>
      </c>
      <c r="P8" s="0" t="n">
        <v>14026.8</v>
      </c>
      <c r="Q8" s="0" t="n">
        <v>8306.5</v>
      </c>
      <c r="R8" s="0" t="n">
        <v>5312.5</v>
      </c>
      <c r="S8" s="0" t="n">
        <v>2788.3</v>
      </c>
      <c r="T8" s="0" t="n">
        <v>268.717</v>
      </c>
      <c r="U8" s="0" t="n">
        <v>30.5</v>
      </c>
      <c r="AA8" s="0" t="s">
        <v>17</v>
      </c>
      <c r="AB8" s="0" t="s">
        <v>14</v>
      </c>
      <c r="AC8" s="0" t="n">
        <v>1434</v>
      </c>
      <c r="AD8" s="0" t="n">
        <v>3.389</v>
      </c>
      <c r="AE8" s="0" t="n">
        <v>139.9</v>
      </c>
      <c r="AF8" s="0" t="n">
        <v>30.6</v>
      </c>
      <c r="AG8" s="0" t="n">
        <v>952.4</v>
      </c>
      <c r="AH8" s="0" t="n">
        <v>2524.2</v>
      </c>
      <c r="AI8" s="0" t="n">
        <v>13.6</v>
      </c>
      <c r="AJ8" s="0" t="n">
        <v>5720.3</v>
      </c>
    </row>
    <row r="9" customFormat="false" ht="15" hidden="false" customHeight="false" outlineLevel="0" collapsed="false">
      <c r="A9" s="0" t="s">
        <v>78</v>
      </c>
      <c r="B9" s="0" t="n">
        <v>8339.4</v>
      </c>
      <c r="C9" s="0" t="n">
        <v>4192.7</v>
      </c>
      <c r="D9" s="0" t="n">
        <v>4146.7</v>
      </c>
      <c r="E9" s="0" t="n">
        <v>49.7</v>
      </c>
      <c r="F9" s="0" t="n">
        <v>1446.5</v>
      </c>
      <c r="G9" s="0" t="n">
        <v>17.3</v>
      </c>
      <c r="H9" s="0" t="n">
        <v>1858.9</v>
      </c>
      <c r="I9" s="0" t="n">
        <v>999.5</v>
      </c>
      <c r="J9" s="0" t="n">
        <v>12</v>
      </c>
      <c r="K9" s="0" t="n">
        <v>3.726</v>
      </c>
      <c r="L9" s="0" t="n">
        <v>1236.2</v>
      </c>
      <c r="M9" s="0" t="n">
        <v>205.7</v>
      </c>
      <c r="N9" s="0" t="n">
        <v>1030.5</v>
      </c>
      <c r="O9" s="0" t="n">
        <v>6637.2</v>
      </c>
      <c r="P9" s="0" t="n">
        <v>14415.2</v>
      </c>
      <c r="Q9" s="0" t="n">
        <v>7772.4</v>
      </c>
      <c r="R9" s="0" t="n">
        <v>4665.7</v>
      </c>
      <c r="S9" s="0" t="n">
        <v>2346.8</v>
      </c>
      <c r="T9" s="0" t="n">
        <v>268.25</v>
      </c>
      <c r="U9" s="0" t="n">
        <v>33.8</v>
      </c>
      <c r="AA9" s="0" t="s">
        <v>17</v>
      </c>
      <c r="AB9" s="0" t="s">
        <v>14</v>
      </c>
      <c r="AC9" s="0" t="n">
        <v>1701.5</v>
      </c>
      <c r="AD9" s="0" t="n">
        <v>3.749</v>
      </c>
      <c r="AE9" s="0" t="n">
        <v>177.6</v>
      </c>
      <c r="AF9" s="0" t="n">
        <v>28.1</v>
      </c>
      <c r="AG9" s="0" t="n">
        <v>1035.5</v>
      </c>
      <c r="AH9" s="0" t="n">
        <v>2318.9</v>
      </c>
      <c r="AI9" s="0" t="n">
        <v>9.7</v>
      </c>
      <c r="AJ9" s="0" t="n">
        <v>6642.8</v>
      </c>
    </row>
    <row r="10" customFormat="false" ht="15" hidden="false" customHeight="false" outlineLevel="0" collapsed="false">
      <c r="A10" s="0" t="s">
        <v>79</v>
      </c>
      <c r="B10" s="0" t="n">
        <v>8416.9</v>
      </c>
      <c r="C10" s="0" t="n">
        <v>4018</v>
      </c>
      <c r="D10" s="0" t="n">
        <v>4398.9</v>
      </c>
      <c r="E10" s="0" t="n">
        <v>52.3</v>
      </c>
      <c r="F10" s="0" t="n">
        <v>1591.6</v>
      </c>
      <c r="G10" s="0" t="n">
        <v>18.9</v>
      </c>
      <c r="H10" s="0" t="n">
        <v>1961.7</v>
      </c>
      <c r="I10" s="0" t="n">
        <v>1148.5</v>
      </c>
      <c r="J10" s="0" t="n">
        <v>13.6</v>
      </c>
      <c r="K10" s="0" t="n">
        <v>4.304</v>
      </c>
      <c r="L10" s="0" t="n">
        <v>1836.4</v>
      </c>
      <c r="M10" s="0" t="n">
        <v>253.3</v>
      </c>
      <c r="N10" s="0" t="n">
        <v>1583.1</v>
      </c>
      <c r="O10" s="0" t="n">
        <v>6722.7</v>
      </c>
      <c r="P10" s="0" t="n">
        <v>14841.4</v>
      </c>
      <c r="Q10" s="0" t="n">
        <v>8106.7</v>
      </c>
      <c r="R10" s="0" t="n">
        <v>4821.3</v>
      </c>
      <c r="S10" s="0" t="n">
        <v>2815.4</v>
      </c>
      <c r="T10" s="0" t="n">
        <v>266.845</v>
      </c>
      <c r="U10" s="0" t="n">
        <v>34.2</v>
      </c>
      <c r="AA10" s="0" t="s">
        <v>17</v>
      </c>
      <c r="AB10" s="0" t="s">
        <v>14</v>
      </c>
      <c r="AC10" s="0" t="n">
        <v>1770.2</v>
      </c>
      <c r="AD10" s="0" t="n">
        <v>4.333</v>
      </c>
      <c r="AE10" s="0" t="n">
        <v>222.5</v>
      </c>
      <c r="AF10" s="0" t="n">
        <v>30.8</v>
      </c>
      <c r="AG10" s="0" t="n">
        <v>1584.8</v>
      </c>
      <c r="AH10" s="0" t="n">
        <v>2005.9</v>
      </c>
      <c r="AI10" s="0" t="n">
        <v>2.7</v>
      </c>
      <c r="AJ10" s="0" t="n">
        <v>6734.7</v>
      </c>
    </row>
    <row r="11" customFormat="false" ht="15" hidden="false" customHeight="false" outlineLevel="0" collapsed="false">
      <c r="A11" s="0" t="s">
        <v>80</v>
      </c>
      <c r="B11" s="0" t="n">
        <v>8648.9</v>
      </c>
      <c r="C11" s="0" t="n">
        <v>4182.8</v>
      </c>
      <c r="D11" s="0" t="n">
        <v>4466.1</v>
      </c>
      <c r="E11" s="0" t="n">
        <v>51.6</v>
      </c>
      <c r="F11" s="0" t="n">
        <v>1642.7</v>
      </c>
      <c r="G11" s="0" t="n">
        <v>19</v>
      </c>
      <c r="H11" s="0" t="n">
        <v>2022.4</v>
      </c>
      <c r="I11" s="0" t="n">
        <v>1166.4</v>
      </c>
      <c r="J11" s="0" t="n">
        <v>13.5</v>
      </c>
      <c r="K11" s="0" t="n">
        <v>4.423</v>
      </c>
      <c r="L11" s="0" t="n">
        <v>1523.3</v>
      </c>
      <c r="M11" s="0" t="n">
        <v>239.6</v>
      </c>
      <c r="N11" s="0" t="n">
        <v>1283.7</v>
      </c>
      <c r="O11" s="0" t="n">
        <v>7530.4</v>
      </c>
      <c r="P11" s="0" t="n">
        <v>16075</v>
      </c>
      <c r="Q11" s="0" t="n">
        <v>8526.9</v>
      </c>
      <c r="R11" s="0" t="n">
        <v>5086.2</v>
      </c>
      <c r="S11" s="0" t="n">
        <v>2080.7</v>
      </c>
      <c r="T11" s="0" t="n">
        <v>263.712</v>
      </c>
      <c r="U11" s="0" t="n">
        <v>37.7</v>
      </c>
      <c r="AA11" s="0" t="s">
        <v>17</v>
      </c>
      <c r="AB11" s="0" t="s">
        <v>14</v>
      </c>
      <c r="AC11" s="0" t="n">
        <v>1776</v>
      </c>
      <c r="AD11" s="0" t="n">
        <v>4.452</v>
      </c>
      <c r="AE11" s="0" t="n">
        <v>210.3</v>
      </c>
      <c r="AF11" s="0" t="n">
        <v>29.3</v>
      </c>
      <c r="AG11" s="0" t="n">
        <v>1290.5</v>
      </c>
      <c r="AH11" s="0" t="n">
        <v>3005.5</v>
      </c>
      <c r="AI11" s="0" t="n">
        <v>1</v>
      </c>
      <c r="AJ11" s="0" t="n">
        <v>7548.1</v>
      </c>
    </row>
    <row r="12" customFormat="false" ht="15" hidden="false" customHeight="false" outlineLevel="0" collapsed="false">
      <c r="A12" s="0" t="s">
        <v>81</v>
      </c>
      <c r="B12" s="0" t="n">
        <v>9480.6</v>
      </c>
      <c r="C12" s="0" t="n">
        <v>4662</v>
      </c>
      <c r="D12" s="0" t="n">
        <v>4818.6</v>
      </c>
      <c r="E12" s="0" t="n">
        <v>50.8</v>
      </c>
      <c r="F12" s="0" t="n">
        <v>1808.5</v>
      </c>
      <c r="G12" s="0" t="n">
        <v>19.1</v>
      </c>
      <c r="H12" s="0" t="n">
        <v>2217.6</v>
      </c>
      <c r="I12" s="0" t="n">
        <v>1244.6</v>
      </c>
      <c r="J12" s="0" t="n">
        <v>13.1</v>
      </c>
      <c r="K12" s="0" t="n">
        <v>4.705</v>
      </c>
      <c r="L12" s="0" t="n">
        <v>1576.8</v>
      </c>
      <c r="M12" s="0" t="n">
        <v>248.7</v>
      </c>
      <c r="N12" s="0" t="n">
        <v>1328.1</v>
      </c>
      <c r="O12" s="0" t="n">
        <v>7294.2</v>
      </c>
      <c r="P12" s="0" t="n">
        <v>17592.8</v>
      </c>
      <c r="Q12" s="0" t="n">
        <v>10258.8</v>
      </c>
      <c r="R12" s="0" t="n">
        <v>6603.8</v>
      </c>
      <c r="S12" s="0" t="n">
        <v>2381.2</v>
      </c>
      <c r="T12" s="0" t="n">
        <v>264.527</v>
      </c>
      <c r="U12" s="0" t="n">
        <v>38.3</v>
      </c>
      <c r="AA12" s="0" t="s">
        <v>17</v>
      </c>
      <c r="AB12" s="0" t="s">
        <v>14</v>
      </c>
      <c r="AC12" s="0" t="n">
        <v>1962.3</v>
      </c>
      <c r="AD12" s="0" t="n">
        <v>4.75</v>
      </c>
      <c r="AE12" s="0" t="n">
        <v>221.1</v>
      </c>
      <c r="AF12" s="0" t="n">
        <v>27.6</v>
      </c>
      <c r="AG12" s="0" t="n">
        <v>1330.8</v>
      </c>
      <c r="AH12" s="0" t="n">
        <v>4222.6</v>
      </c>
      <c r="AI12" s="0" t="n">
        <v>7.7</v>
      </c>
      <c r="AJ12" s="0" t="n">
        <v>7334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124.1</v>
      </c>
    </row>
    <row r="3" customFormat="false" ht="15" hidden="false" customHeight="false" outlineLevel="0" collapsed="false">
      <c r="A3" s="0" t="s">
        <v>85</v>
      </c>
      <c r="B3" s="3" t="n">
        <v>263.8</v>
      </c>
    </row>
    <row r="4" customFormat="false" ht="15" hidden="false" customHeight="false" outlineLevel="0" collapsed="false">
      <c r="A4" s="0" t="s">
        <v>86</v>
      </c>
      <c r="B4" s="3" t="n">
        <v>3789</v>
      </c>
    </row>
    <row r="5" customFormat="false" ht="15" hidden="false" customHeight="false" outlineLevel="0" collapsed="false">
      <c r="A5" s="0" t="s">
        <v>87</v>
      </c>
      <c r="B5" s="3" t="n">
        <v>-90</v>
      </c>
    </row>
    <row r="6" customFormat="false" ht="15" hidden="false" customHeight="false" outlineLevel="0" collapsed="false">
      <c r="A6" s="0" t="s">
        <v>88</v>
      </c>
      <c r="B6" s="3" t="n">
        <v>15</v>
      </c>
    </row>
    <row r="7" customFormat="false" ht="15" hidden="false" customHeight="false" outlineLevel="0" collapsed="false">
      <c r="A7" s="0" t="s">
        <v>89</v>
      </c>
      <c r="B7" s="3" t="n">
        <v>9480.6</v>
      </c>
    </row>
    <row r="8" customFormat="false" ht="15" hidden="false" customHeight="false" outlineLevel="0" collapsed="false">
      <c r="A8" s="0" t="s">
        <v>90</v>
      </c>
      <c r="B8" s="3" t="s">
        <v>81</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12</v>
      </c>
      <c r="D13" s="3" t="n">
        <v>0</v>
      </c>
      <c r="E13" s="3" t="n">
        <v>1.5</v>
      </c>
      <c r="F13" s="3" t="n">
        <v>3</v>
      </c>
      <c r="G13" s="3" t="n">
        <v>3.5</v>
      </c>
      <c r="H13" s="3" t="n">
        <v>3.5</v>
      </c>
      <c r="I13" s="3" t="n">
        <v>3</v>
      </c>
      <c r="J13" s="3" t="n">
        <v>3</v>
      </c>
      <c r="K13" s="3" t="n">
        <v>2.5</v>
      </c>
      <c r="L13" s="3" t="n">
        <v>2.5</v>
      </c>
    </row>
    <row r="14" customFormat="false" ht="15" hidden="false" customHeight="false" outlineLevel="0" collapsed="false">
      <c r="A14" s="0" t="s">
        <v>106</v>
      </c>
      <c r="C14" s="3" t="n">
        <v>23.5</v>
      </c>
      <c r="D14" s="3" t="n">
        <v>22</v>
      </c>
      <c r="E14" s="3" t="n">
        <v>21.5</v>
      </c>
      <c r="F14" s="3" t="n">
        <v>21.5</v>
      </c>
      <c r="G14" s="3" t="n">
        <v>22</v>
      </c>
      <c r="H14" s="3" t="n">
        <v>22.5</v>
      </c>
      <c r="I14" s="3" t="n">
        <v>22.5</v>
      </c>
      <c r="J14" s="3" t="n">
        <v>22.5</v>
      </c>
      <c r="K14" s="3" t="n">
        <v>22.5</v>
      </c>
      <c r="L14" s="3" t="n">
        <v>22.5</v>
      </c>
    </row>
    <row r="15" customFormat="false" ht="15" hidden="false" customHeight="false" outlineLevel="0" collapsed="false">
      <c r="A15" s="0" t="s">
        <v>107</v>
      </c>
      <c r="C15" s="3" t="n">
        <v>0.4</v>
      </c>
      <c r="D15" s="3" t="n">
        <v>0.4</v>
      </c>
      <c r="E15" s="3" t="n">
        <v>0.4</v>
      </c>
      <c r="F15" s="3" t="n">
        <v>0.4</v>
      </c>
      <c r="G15" s="3" t="n">
        <v>0.4</v>
      </c>
      <c r="H15" s="3" t="n">
        <v>0.4</v>
      </c>
      <c r="I15" s="3" t="n">
        <v>0.4</v>
      </c>
      <c r="J15" s="3" t="n">
        <v>0.4</v>
      </c>
      <c r="K15" s="3" t="n">
        <v>0.4</v>
      </c>
      <c r="L15" s="3" t="n">
        <v>0.4</v>
      </c>
    </row>
    <row r="16" customFormat="false" ht="15" hidden="false" customHeight="false" outlineLevel="0" collapsed="false">
      <c r="A16" s="0" t="s">
        <v>108</v>
      </c>
      <c r="C16" s="3" t="n">
        <v>1.1</v>
      </c>
      <c r="D16" s="3" t="n">
        <v>1.1</v>
      </c>
      <c r="E16" s="3" t="n">
        <v>1.1</v>
      </c>
      <c r="F16" s="3" t="n">
        <v>1.1</v>
      </c>
      <c r="G16" s="3" t="n">
        <v>1.1</v>
      </c>
      <c r="H16" s="3" t="n">
        <v>1.1</v>
      </c>
      <c r="I16" s="3" t="n">
        <v>1.1</v>
      </c>
      <c r="J16" s="3" t="n">
        <v>1.1</v>
      </c>
      <c r="K16" s="3" t="n">
        <v>1.1</v>
      </c>
      <c r="L16" s="3" t="n">
        <v>1.1</v>
      </c>
    </row>
    <row r="17" customFormat="false" ht="15" hidden="false" customHeight="false" outlineLevel="0" collapsed="false">
      <c r="A17" s="0" t="s">
        <v>109</v>
      </c>
      <c r="C17" s="3" t="n">
        <v>3.3</v>
      </c>
      <c r="D17" s="3" t="n">
        <v>3.4</v>
      </c>
      <c r="E17" s="3" t="n">
        <v>3.4</v>
      </c>
      <c r="F17" s="3" t="n">
        <v>3.3</v>
      </c>
      <c r="G17" s="3" t="n">
        <v>3.2</v>
      </c>
      <c r="H17" s="3" t="n">
        <v>3.1</v>
      </c>
      <c r="I17" s="3" t="n">
        <v>3</v>
      </c>
      <c r="J17" s="3" t="n">
        <v>3</v>
      </c>
      <c r="K17" s="3" t="n">
        <v>3</v>
      </c>
      <c r="L17" s="3" t="n">
        <v>3</v>
      </c>
    </row>
    <row r="18" customFormat="false" ht="15" hidden="false" customHeight="false" outlineLevel="0" collapsed="false">
      <c r="A18" s="0" t="s">
        <v>110</v>
      </c>
      <c r="C18" s="3" t="n">
        <v>2.8</v>
      </c>
      <c r="D18" s="3" t="n">
        <v>2.6</v>
      </c>
      <c r="E18" s="3" t="n">
        <v>2.6</v>
      </c>
      <c r="F18" s="3" t="n">
        <v>2.7</v>
      </c>
      <c r="G18" s="3" t="n">
        <v>2.7</v>
      </c>
      <c r="H18" s="3" t="n">
        <v>2.7</v>
      </c>
      <c r="I18" s="3" t="n">
        <v>2.7</v>
      </c>
      <c r="J18" s="3" t="n">
        <v>2.7</v>
      </c>
      <c r="K18" s="3" t="n">
        <v>2.7</v>
      </c>
      <c r="L18" s="3" t="n">
        <v>2.7</v>
      </c>
    </row>
    <row r="19" customFormat="false" ht="15" hidden="false" customHeight="false" outlineLevel="0" collapsed="false">
      <c r="A19" s="0" t="s">
        <v>111</v>
      </c>
      <c r="C19" s="3" t="n">
        <v>26</v>
      </c>
      <c r="D19" s="3" t="n">
        <v>26</v>
      </c>
      <c r="E19" s="3" t="n">
        <v>26</v>
      </c>
      <c r="F19" s="3" t="n">
        <v>26</v>
      </c>
      <c r="G19" s="3" t="n">
        <v>26</v>
      </c>
      <c r="H19" s="3" t="n">
        <v>26</v>
      </c>
      <c r="I19" s="3" t="n">
        <v>26</v>
      </c>
      <c r="J19" s="3" t="n">
        <v>26</v>
      </c>
      <c r="K19" s="3" t="n">
        <v>26</v>
      </c>
      <c r="L19" s="3" t="n">
        <v>26</v>
      </c>
    </row>
    <row r="20" customFormat="false" ht="15" hidden="false" customHeight="false" outlineLevel="0" collapsed="false">
      <c r="A20" s="0" t="s">
        <v>112</v>
      </c>
      <c r="B20" s="3" t="n">
        <v>8</v>
      </c>
    </row>
    <row r="21" customFormat="false" ht="15" hidden="false" customHeight="false" outlineLevel="0" collapsed="false">
      <c r="A21" s="0" t="s">
        <v>113</v>
      </c>
      <c r="B21" s="3" t="n">
        <v>2</v>
      </c>
    </row>
    <row r="22" customFormat="false" ht="15" hidden="false" customHeight="false" outlineLevel="0" collapsed="false">
      <c r="A22" s="0" t="s">
        <v>114</v>
      </c>
      <c r="B22" s="3" t="n">
        <v>15</v>
      </c>
    </row>
    <row r="23" customFormat="false" ht="15" hidden="false" customHeight="false" outlineLevel="0" collapsed="false">
      <c r="A23" s="0" t="s">
        <v>115</v>
      </c>
      <c r="B23" s="3" t="n">
        <v>-11</v>
      </c>
    </row>
    <row r="24" customFormat="false" ht="15" hidden="false" customHeight="false" outlineLevel="0" collapsed="false">
      <c r="A24" s="0" t="s">
        <v>116</v>
      </c>
      <c r="B24" s="3" t="n">
        <v>0.25</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13.5</v>
      </c>
      <c r="D27" s="3" t="n">
        <v>7.5</v>
      </c>
      <c r="E27" s="3" t="n">
        <v>5.5</v>
      </c>
      <c r="F27" s="3" t="n">
        <v>5</v>
      </c>
      <c r="G27" s="3" t="n">
        <v>4.5</v>
      </c>
      <c r="H27" s="3" t="n">
        <v>4</v>
      </c>
      <c r="I27" s="3" t="n">
        <v>3.5</v>
      </c>
      <c r="J27" s="3" t="n">
        <v>3</v>
      </c>
      <c r="K27" s="3" t="n">
        <v>3</v>
      </c>
      <c r="L27" s="3" t="n">
        <v>2.5</v>
      </c>
    </row>
    <row r="28" customFormat="false" ht="15" hidden="false" customHeight="false" outlineLevel="0" collapsed="false">
      <c r="A28" s="0" t="s">
        <v>106</v>
      </c>
      <c r="C28" s="3" t="n">
        <v>23.8</v>
      </c>
      <c r="D28" s="3" t="n">
        <v>24</v>
      </c>
      <c r="E28" s="3" t="n">
        <v>24.2</v>
      </c>
      <c r="F28" s="3" t="n">
        <v>24.3</v>
      </c>
      <c r="G28" s="3" t="n">
        <v>24.4</v>
      </c>
      <c r="H28" s="3" t="n">
        <v>24.5</v>
      </c>
      <c r="I28" s="3" t="n">
        <v>24.5</v>
      </c>
      <c r="J28" s="3" t="n">
        <v>24.5</v>
      </c>
      <c r="K28" s="3" t="n">
        <v>24.5</v>
      </c>
      <c r="L28" s="3" t="n">
        <v>24.5</v>
      </c>
    </row>
    <row r="29" customFormat="false" ht="15" hidden="false" customHeight="false" outlineLevel="0" collapsed="false">
      <c r="A29" s="0" t="s">
        <v>107</v>
      </c>
      <c r="C29" s="3" t="n">
        <v>0.4</v>
      </c>
      <c r="D29" s="3" t="n">
        <v>0.4</v>
      </c>
      <c r="E29" s="3" t="n">
        <v>0.4</v>
      </c>
      <c r="F29" s="3" t="n">
        <v>0.4</v>
      </c>
      <c r="G29" s="3" t="n">
        <v>0.4</v>
      </c>
      <c r="H29" s="3" t="n">
        <v>0.4</v>
      </c>
      <c r="I29" s="3" t="n">
        <v>0.4</v>
      </c>
      <c r="J29" s="3" t="n">
        <v>0.4</v>
      </c>
      <c r="K29" s="3" t="n">
        <v>0.4</v>
      </c>
      <c r="L29" s="3" t="n">
        <v>0.4</v>
      </c>
    </row>
    <row r="30" customFormat="false" ht="15" hidden="false" customHeight="false" outlineLevel="0" collapsed="false">
      <c r="A30" s="0" t="s">
        <v>108</v>
      </c>
      <c r="C30" s="3" t="n">
        <v>1.1</v>
      </c>
      <c r="D30" s="3" t="n">
        <v>1.1</v>
      </c>
      <c r="E30" s="3" t="n">
        <v>1.1</v>
      </c>
      <c r="F30" s="3" t="n">
        <v>1.1</v>
      </c>
      <c r="G30" s="3" t="n">
        <v>1.1</v>
      </c>
      <c r="H30" s="3" t="n">
        <v>1.1</v>
      </c>
      <c r="I30" s="3" t="n">
        <v>1.1</v>
      </c>
      <c r="J30" s="3" t="n">
        <v>1.1</v>
      </c>
      <c r="K30" s="3" t="n">
        <v>1.1</v>
      </c>
      <c r="L30" s="3" t="n">
        <v>1.1</v>
      </c>
    </row>
    <row r="31" customFormat="false" ht="15" hidden="false" customHeight="false" outlineLevel="0" collapsed="false">
      <c r="A31" s="0" t="s">
        <v>109</v>
      </c>
      <c r="C31" s="3" t="n">
        <v>3.3</v>
      </c>
      <c r="D31" s="3" t="n">
        <v>3.3</v>
      </c>
      <c r="E31" s="3" t="n">
        <v>3.2</v>
      </c>
      <c r="F31" s="3" t="n">
        <v>3.2</v>
      </c>
      <c r="G31" s="3" t="n">
        <v>3.1</v>
      </c>
      <c r="H31" s="3" t="n">
        <v>3.1</v>
      </c>
      <c r="I31" s="3" t="n">
        <v>3</v>
      </c>
      <c r="J31" s="3" t="n">
        <v>3</v>
      </c>
      <c r="K31" s="3" t="n">
        <v>3</v>
      </c>
      <c r="L31" s="3" t="n">
        <v>3</v>
      </c>
    </row>
    <row r="32" customFormat="false" ht="15" hidden="false" customHeight="false" outlineLevel="0" collapsed="false">
      <c r="A32" s="0" t="s">
        <v>110</v>
      </c>
      <c r="C32" s="3" t="n">
        <v>2.8</v>
      </c>
      <c r="D32" s="3" t="n">
        <v>2.8</v>
      </c>
      <c r="E32" s="3" t="n">
        <v>2.8</v>
      </c>
      <c r="F32" s="3" t="n">
        <v>2.8</v>
      </c>
      <c r="G32" s="3" t="n">
        <v>2.8</v>
      </c>
      <c r="H32" s="3" t="n">
        <v>2.8</v>
      </c>
      <c r="I32" s="3" t="n">
        <v>2.8</v>
      </c>
      <c r="J32" s="3" t="n">
        <v>2.8</v>
      </c>
      <c r="K32" s="3" t="n">
        <v>2.8</v>
      </c>
      <c r="L32" s="3" t="n">
        <v>2.8</v>
      </c>
    </row>
    <row r="33" customFormat="false" ht="15" hidden="false" customHeight="false" outlineLevel="0" collapsed="false">
      <c r="A33" s="0" t="s">
        <v>111</v>
      </c>
      <c r="C33" s="3" t="n">
        <v>26</v>
      </c>
      <c r="D33" s="3" t="n">
        <v>26</v>
      </c>
      <c r="E33" s="3" t="n">
        <v>26</v>
      </c>
      <c r="F33" s="3" t="n">
        <v>26</v>
      </c>
      <c r="G33" s="3" t="n">
        <v>26</v>
      </c>
      <c r="H33" s="3" t="n">
        <v>26</v>
      </c>
      <c r="I33" s="3" t="n">
        <v>26</v>
      </c>
      <c r="J33" s="3" t="n">
        <v>26</v>
      </c>
      <c r="K33" s="3" t="n">
        <v>26</v>
      </c>
      <c r="L33" s="3" t="n">
        <v>26</v>
      </c>
    </row>
    <row r="34" customFormat="false" ht="15" hidden="false" customHeight="false" outlineLevel="0" collapsed="false">
      <c r="A34" s="0" t="s">
        <v>112</v>
      </c>
      <c r="B34" s="3" t="n">
        <v>8</v>
      </c>
    </row>
    <row r="35" customFormat="false" ht="15" hidden="false" customHeight="false" outlineLevel="0" collapsed="false">
      <c r="A35" s="0" t="s">
        <v>113</v>
      </c>
      <c r="B35" s="3" t="n">
        <v>2.5</v>
      </c>
    </row>
    <row r="36" customFormat="false" ht="15" hidden="false" customHeight="false" outlineLevel="0" collapsed="false">
      <c r="A36" s="0" t="s">
        <v>114</v>
      </c>
      <c r="B36" s="3" t="n">
        <v>18</v>
      </c>
    </row>
    <row r="37" customFormat="false" ht="15" hidden="false" customHeight="false" outlineLevel="0" collapsed="false">
      <c r="A37" s="0" t="s">
        <v>115</v>
      </c>
      <c r="B37" s="3" t="n">
        <v>-11</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15</v>
      </c>
      <c r="D41" s="3" t="n">
        <v>11</v>
      </c>
      <c r="E41" s="3" t="n">
        <v>9</v>
      </c>
      <c r="F41" s="3" t="n">
        <v>8</v>
      </c>
      <c r="G41" s="3" t="n">
        <v>7</v>
      </c>
      <c r="H41" s="3" t="n">
        <v>6</v>
      </c>
      <c r="I41" s="3" t="n">
        <v>5</v>
      </c>
      <c r="J41" s="3" t="n">
        <v>4</v>
      </c>
      <c r="K41" s="3" t="n">
        <v>3.5</v>
      </c>
      <c r="L41" s="3" t="n">
        <v>3</v>
      </c>
    </row>
    <row r="42" customFormat="false" ht="15" hidden="false" customHeight="false" outlineLevel="0" collapsed="false">
      <c r="A42" s="0" t="s">
        <v>106</v>
      </c>
      <c r="C42" s="3" t="n">
        <v>24</v>
      </c>
      <c r="D42" s="3" t="n">
        <v>24.5</v>
      </c>
      <c r="E42" s="3" t="n">
        <v>25</v>
      </c>
      <c r="F42" s="3" t="n">
        <v>25.5</v>
      </c>
      <c r="G42" s="3" t="n">
        <v>26</v>
      </c>
      <c r="H42" s="3" t="n">
        <v>26</v>
      </c>
      <c r="I42" s="3" t="n">
        <v>26</v>
      </c>
      <c r="J42" s="3" t="n">
        <v>26</v>
      </c>
      <c r="K42" s="3" t="n">
        <v>26</v>
      </c>
      <c r="L42" s="3" t="n">
        <v>26</v>
      </c>
    </row>
    <row r="43" customFormat="false" ht="15" hidden="false" customHeight="false" outlineLevel="0" collapsed="false">
      <c r="A43" s="0" t="s">
        <v>107</v>
      </c>
      <c r="C43" s="3" t="n">
        <v>0.4</v>
      </c>
      <c r="D43" s="3" t="n">
        <v>0.4</v>
      </c>
      <c r="E43" s="3" t="n">
        <v>0.4</v>
      </c>
      <c r="F43" s="3" t="n">
        <v>0.4</v>
      </c>
      <c r="G43" s="3" t="n">
        <v>0.4</v>
      </c>
      <c r="H43" s="3" t="n">
        <v>0.4</v>
      </c>
      <c r="I43" s="3" t="n">
        <v>0.4</v>
      </c>
      <c r="J43" s="3" t="n">
        <v>0.4</v>
      </c>
      <c r="K43" s="3" t="n">
        <v>0.4</v>
      </c>
      <c r="L43" s="3" t="n">
        <v>0.4</v>
      </c>
    </row>
    <row r="44" customFormat="false" ht="15" hidden="false" customHeight="false" outlineLevel="0" collapsed="false">
      <c r="A44" s="0" t="s">
        <v>108</v>
      </c>
      <c r="C44" s="3" t="n">
        <v>1.1</v>
      </c>
      <c r="D44" s="3" t="n">
        <v>1.1</v>
      </c>
      <c r="E44" s="3" t="n">
        <v>1.1</v>
      </c>
      <c r="F44" s="3" t="n">
        <v>1.1</v>
      </c>
      <c r="G44" s="3" t="n">
        <v>1.1</v>
      </c>
      <c r="H44" s="3" t="n">
        <v>1.1</v>
      </c>
      <c r="I44" s="3" t="n">
        <v>1.1</v>
      </c>
      <c r="J44" s="3" t="n">
        <v>1.1</v>
      </c>
      <c r="K44" s="3" t="n">
        <v>1.1</v>
      </c>
      <c r="L44" s="3" t="n">
        <v>1.1</v>
      </c>
    </row>
    <row r="45" customFormat="false" ht="15" hidden="false" customHeight="false" outlineLevel="0" collapsed="false">
      <c r="A45" s="0" t="s">
        <v>109</v>
      </c>
      <c r="C45" s="3" t="n">
        <v>3.3</v>
      </c>
      <c r="D45" s="3" t="n">
        <v>3.3</v>
      </c>
      <c r="E45" s="3" t="n">
        <v>3.2</v>
      </c>
      <c r="F45" s="3" t="n">
        <v>3.2</v>
      </c>
      <c r="G45" s="3" t="n">
        <v>3.1</v>
      </c>
      <c r="H45" s="3" t="n">
        <v>3.1</v>
      </c>
      <c r="I45" s="3" t="n">
        <v>3</v>
      </c>
      <c r="J45" s="3" t="n">
        <v>3</v>
      </c>
      <c r="K45" s="3" t="n">
        <v>3</v>
      </c>
      <c r="L45" s="3" t="n">
        <v>3</v>
      </c>
    </row>
    <row r="46" customFormat="false" ht="15" hidden="false" customHeight="false" outlineLevel="0" collapsed="false">
      <c r="A46" s="0" t="s">
        <v>110</v>
      </c>
      <c r="C46" s="3" t="n">
        <v>3</v>
      </c>
      <c r="D46" s="3" t="n">
        <v>3</v>
      </c>
      <c r="E46" s="3" t="n">
        <v>3</v>
      </c>
      <c r="F46" s="3" t="n">
        <v>3</v>
      </c>
      <c r="G46" s="3" t="n">
        <v>3</v>
      </c>
      <c r="H46" s="3" t="n">
        <v>2.9</v>
      </c>
      <c r="I46" s="3" t="n">
        <v>2.9</v>
      </c>
      <c r="J46" s="3" t="n">
        <v>2.8</v>
      </c>
      <c r="K46" s="3" t="n">
        <v>2.8</v>
      </c>
      <c r="L46" s="3" t="n">
        <v>2.8</v>
      </c>
    </row>
    <row r="47" customFormat="false" ht="15" hidden="false" customHeight="false" outlineLevel="0" collapsed="false">
      <c r="A47" s="0" t="s">
        <v>111</v>
      </c>
      <c r="C47" s="3" t="n">
        <v>26</v>
      </c>
      <c r="D47" s="3" t="n">
        <v>26</v>
      </c>
      <c r="E47" s="3" t="n">
        <v>26</v>
      </c>
      <c r="F47" s="3" t="n">
        <v>26</v>
      </c>
      <c r="G47" s="3" t="n">
        <v>26</v>
      </c>
      <c r="H47" s="3" t="n">
        <v>26</v>
      </c>
      <c r="I47" s="3" t="n">
        <v>26</v>
      </c>
      <c r="J47" s="3" t="n">
        <v>26</v>
      </c>
      <c r="K47" s="3" t="n">
        <v>26</v>
      </c>
      <c r="L47" s="3" t="n">
        <v>26</v>
      </c>
    </row>
    <row r="48" customFormat="false" ht="15" hidden="false" customHeight="false" outlineLevel="0" collapsed="false">
      <c r="A48" s="0" t="s">
        <v>112</v>
      </c>
      <c r="B48" s="3" t="n">
        <v>8</v>
      </c>
    </row>
    <row r="49" customFormat="false" ht="15" hidden="false" customHeight="false" outlineLevel="0" collapsed="false">
      <c r="A49" s="0" t="s">
        <v>113</v>
      </c>
      <c r="B49" s="3" t="n">
        <v>3</v>
      </c>
    </row>
    <row r="50" customFormat="false" ht="15" hidden="false" customHeight="false" outlineLevel="0" collapsed="false">
      <c r="A50" s="0" t="s">
        <v>114</v>
      </c>
      <c r="B50" s="3" t="n">
        <v>20</v>
      </c>
    </row>
    <row r="51" customFormat="false" ht="15" hidden="false" customHeight="false" outlineLevel="0" collapsed="false">
      <c r="A51" s="0" t="s">
        <v>115</v>
      </c>
      <c r="B51" s="3" t="n">
        <v>-11</v>
      </c>
    </row>
    <row r="52" customFormat="false" ht="15" hidden="false" customHeight="false" outlineLevel="0" collapsed="false">
      <c r="A52" s="0" t="s">
        <v>116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12</v>
      </c>
      <c r="D5" s="4" t="n">
        <f aca="false">Assumptions!D13</f>
        <v>0</v>
      </c>
      <c r="E5" s="4" t="n">
        <f aca="false">Assumptions!E13</f>
        <v>1.5</v>
      </c>
      <c r="F5" s="4" t="n">
        <f aca="false">Assumptions!F13</f>
        <v>3</v>
      </c>
      <c r="G5" s="4" t="n">
        <f aca="false">Assumptions!G13</f>
        <v>3.5</v>
      </c>
      <c r="H5" s="4" t="n">
        <f aca="false">Assumptions!H13</f>
        <v>3.5</v>
      </c>
      <c r="I5" s="4" t="n">
        <f aca="false">Assumptions!I13</f>
        <v>3</v>
      </c>
      <c r="J5" s="4" t="n">
        <f aca="false">Assumptions!J13</f>
        <v>3</v>
      </c>
      <c r="K5" s="4" t="n">
        <f aca="false">Assumptions!K13</f>
        <v>2.5</v>
      </c>
      <c r="L5" s="4" t="n">
        <f aca="false">Assumptions!L13</f>
        <v>2.5</v>
      </c>
    </row>
    <row r="6" customFormat="false" ht="15" hidden="false" customHeight="false" outlineLevel="0" collapsed="false">
      <c r="A6" s="0" t="s">
        <v>37</v>
      </c>
      <c r="B6" s="3" t="n">
        <v>9480.6</v>
      </c>
      <c r="C6" s="0" t="n">
        <f aca="false">B6*(1+C5/100)</f>
        <v>10618.272</v>
      </c>
      <c r="D6" s="0" t="n">
        <f aca="false">C6*(1+D5/100)</f>
        <v>10618.272</v>
      </c>
      <c r="E6" s="0" t="n">
        <f aca="false">D6*(1+E5/100)</f>
        <v>10777.54608</v>
      </c>
      <c r="F6" s="0" t="n">
        <f aca="false">E6*(1+F5/100)</f>
        <v>11100.8724624</v>
      </c>
      <c r="G6" s="0" t="n">
        <f aca="false">F6*(1+G5/100)</f>
        <v>11489.402998584</v>
      </c>
      <c r="H6" s="0" t="n">
        <f aca="false">G6*(1+H5/100)</f>
        <v>11891.5321035344</v>
      </c>
      <c r="I6" s="0" t="n">
        <f aca="false">H6*(1+I5/100)</f>
        <v>12248.2780666405</v>
      </c>
      <c r="J6" s="0" t="n">
        <f aca="false">I6*(1+J5/100)</f>
        <v>12615.7264086397</v>
      </c>
      <c r="K6" s="0" t="n">
        <f aca="false">J6*(1+K5/100)</f>
        <v>12931.1195688557</v>
      </c>
      <c r="L6" s="0" t="n">
        <f aca="false">K6*(1+L5/100)</f>
        <v>13254.3975580771</v>
      </c>
    </row>
    <row r="7" customFormat="false" ht="15" hidden="false" customHeight="false" outlineLevel="0" collapsed="false">
      <c r="A7" s="0" t="s">
        <v>106</v>
      </c>
      <c r="C7" s="4" t="n">
        <f aca="false">Assumptions!C14</f>
        <v>23.5</v>
      </c>
      <c r="D7" s="4" t="n">
        <f aca="false">Assumptions!D14</f>
        <v>22</v>
      </c>
      <c r="E7" s="4" t="n">
        <f aca="false">Assumptions!E14</f>
        <v>21.5</v>
      </c>
      <c r="F7" s="4" t="n">
        <f aca="false">Assumptions!F14</f>
        <v>21.5</v>
      </c>
      <c r="G7" s="4" t="n">
        <f aca="false">Assumptions!G14</f>
        <v>22</v>
      </c>
      <c r="H7" s="4" t="n">
        <f aca="false">Assumptions!H14</f>
        <v>22.5</v>
      </c>
      <c r="I7" s="4" t="n">
        <f aca="false">Assumptions!I14</f>
        <v>22.5</v>
      </c>
      <c r="J7" s="4" t="n">
        <f aca="false">Assumptions!J14</f>
        <v>22.5</v>
      </c>
      <c r="K7" s="4" t="n">
        <f aca="false">Assumptions!K14</f>
        <v>22.5</v>
      </c>
      <c r="L7" s="4" t="n">
        <f aca="false">Assumptions!L14</f>
        <v>22.5</v>
      </c>
    </row>
    <row r="8" customFormat="false" ht="15" hidden="false" customHeight="false" outlineLevel="0" collapsed="false">
      <c r="A8" s="0" t="s">
        <v>43</v>
      </c>
      <c r="C8" s="0" t="n">
        <f aca="false">C6*C7/100</f>
        <v>2495.29392</v>
      </c>
      <c r="D8" s="0" t="n">
        <f aca="false">D6*D7/100</f>
        <v>2336.01984</v>
      </c>
      <c r="E8" s="0" t="n">
        <f aca="false">E6*E7/100</f>
        <v>2317.1724072</v>
      </c>
      <c r="F8" s="0" t="n">
        <f aca="false">F6*F7/100</f>
        <v>2386.687579416</v>
      </c>
      <c r="G8" s="0" t="n">
        <f aca="false">G6*G7/100</f>
        <v>2527.66865968848</v>
      </c>
      <c r="H8" s="0" t="n">
        <f aca="false">H6*H7/100</f>
        <v>2675.59472329525</v>
      </c>
      <c r="I8" s="0" t="n">
        <f aca="false">I6*I7/100</f>
        <v>2755.86256499411</v>
      </c>
      <c r="J8" s="0" t="n">
        <f aca="false">J6*J7/100</f>
        <v>2838.53844194393</v>
      </c>
      <c r="K8" s="0" t="n">
        <f aca="false">K6*K7/100</f>
        <v>2909.50190299253</v>
      </c>
      <c r="L8" s="0" t="n">
        <f aca="false">L6*L7/100</f>
        <v>2982.23945056734</v>
      </c>
    </row>
    <row r="9" customFormat="false" ht="15" hidden="false" customHeight="false" outlineLevel="0" collapsed="false">
      <c r="A9" s="0" t="s">
        <v>107</v>
      </c>
      <c r="C9" s="4" t="n">
        <f aca="false">Assumptions!C15</f>
        <v>0.4</v>
      </c>
      <c r="D9" s="4" t="n">
        <f aca="false">Assumptions!D15</f>
        <v>0.4</v>
      </c>
      <c r="E9" s="4" t="n">
        <f aca="false">Assumptions!E15</f>
        <v>0.4</v>
      </c>
      <c r="F9" s="4" t="n">
        <f aca="false">Assumptions!F15</f>
        <v>0.4</v>
      </c>
      <c r="G9" s="4" t="n">
        <f aca="false">Assumptions!G15</f>
        <v>0.4</v>
      </c>
      <c r="H9" s="4" t="n">
        <f aca="false">Assumptions!H15</f>
        <v>0.4</v>
      </c>
      <c r="I9" s="4" t="n">
        <f aca="false">Assumptions!I15</f>
        <v>0.4</v>
      </c>
      <c r="J9" s="4" t="n">
        <f aca="false">Assumptions!J15</f>
        <v>0.4</v>
      </c>
      <c r="K9" s="4" t="n">
        <f aca="false">Assumptions!K15</f>
        <v>0.4</v>
      </c>
      <c r="L9" s="4" t="n">
        <f aca="false">Assumptions!L15</f>
        <v>0.4</v>
      </c>
    </row>
    <row r="10" customFormat="false" ht="15" hidden="false" customHeight="false" outlineLevel="0" collapsed="false">
      <c r="A10" s="0" t="s">
        <v>122</v>
      </c>
      <c r="C10" s="0" t="n">
        <f aca="false">-C6*C9/100</f>
        <v>-42.473088</v>
      </c>
      <c r="D10" s="0" t="n">
        <f aca="false">-D6*D9/100</f>
        <v>-42.473088</v>
      </c>
      <c r="E10" s="0" t="n">
        <f aca="false">-E6*E9/100</f>
        <v>-43.11018432</v>
      </c>
      <c r="F10" s="0" t="n">
        <f aca="false">-F6*F9/100</f>
        <v>-44.4034898496</v>
      </c>
      <c r="G10" s="0" t="n">
        <f aca="false">-G6*G9/100</f>
        <v>-45.957611994336</v>
      </c>
      <c r="H10" s="0" t="n">
        <f aca="false">-H6*H9/100</f>
        <v>-47.5661284141378</v>
      </c>
      <c r="I10" s="0" t="n">
        <f aca="false">-I6*I9/100</f>
        <v>-48.9931122665619</v>
      </c>
      <c r="J10" s="0" t="n">
        <f aca="false">-J6*J9/100</f>
        <v>-50.4629056345587</v>
      </c>
      <c r="K10" s="0" t="n">
        <f aca="false">-K6*K9/100</f>
        <v>-51.7244782754227</v>
      </c>
      <c r="L10" s="0" t="n">
        <f aca="false">-L6*L9/100</f>
        <v>-53.0175902323083</v>
      </c>
    </row>
    <row r="11" customFormat="false" ht="15" hidden="false" customHeight="false" outlineLevel="0" collapsed="false">
      <c r="A11" s="0" t="s">
        <v>123</v>
      </c>
      <c r="C11" s="0" t="n">
        <f aca="false">C8+C10+C24</f>
        <v>2336.01984</v>
      </c>
      <c r="D11" s="0" t="n">
        <f aca="false">D8+D10+D24</f>
        <v>2176.74576</v>
      </c>
      <c r="E11" s="0" t="n">
        <f aca="false">E8+E10+E24</f>
        <v>2155.509216</v>
      </c>
      <c r="F11" s="0" t="n">
        <f aca="false">F8+F10+F24</f>
        <v>2220.17449248</v>
      </c>
      <c r="G11" s="0" t="n">
        <f aca="false">G8+G10+G24</f>
        <v>2355.32761470972</v>
      </c>
      <c r="H11" s="0" t="n">
        <f aca="false">H8+H10+H24</f>
        <v>2497.22174174223</v>
      </c>
      <c r="I11" s="0" t="n">
        <f aca="false">I8+I10+I24</f>
        <v>2572.1383939945</v>
      </c>
      <c r="J11" s="0" t="n">
        <f aca="false">J8+J10+J24</f>
        <v>2649.30254581433</v>
      </c>
      <c r="K11" s="0" t="n">
        <f aca="false">K8+K10+K24</f>
        <v>2715.53510945969</v>
      </c>
      <c r="L11" s="0" t="n">
        <f aca="false">L8+L10+L24</f>
        <v>2783.42348719619</v>
      </c>
    </row>
    <row r="12" customFormat="false" ht="15" hidden="false" customHeight="false" outlineLevel="0" collapsed="false">
      <c r="A12" s="0" t="s">
        <v>124</v>
      </c>
      <c r="C12" s="4" t="n">
        <f aca="false">-C6*Assumptions!C17/100</f>
        <v>-350.402976</v>
      </c>
      <c r="D12" s="4" t="n">
        <f aca="false">-D6*Assumptions!D17/100</f>
        <v>-361.021248</v>
      </c>
      <c r="E12" s="4" t="n">
        <f aca="false">-E6*Assumptions!E17/100</f>
        <v>-366.43656672</v>
      </c>
      <c r="F12" s="4" t="n">
        <f aca="false">-F6*Assumptions!F17/100</f>
        <v>-366.3287912592</v>
      </c>
      <c r="G12" s="4" t="n">
        <f aca="false">-G6*Assumptions!G17/100</f>
        <v>-367.660895954688</v>
      </c>
      <c r="H12" s="4" t="n">
        <f aca="false">-H6*Assumptions!H17/100</f>
        <v>-368.637495209568</v>
      </c>
      <c r="I12" s="4" t="n">
        <f aca="false">-I6*Assumptions!I17/100</f>
        <v>-367.448341999214</v>
      </c>
      <c r="J12" s="4" t="n">
        <f aca="false">-J6*Assumptions!J17/100</f>
        <v>-378.471792259191</v>
      </c>
      <c r="K12" s="4" t="n">
        <f aca="false">-K6*Assumptions!K17/100</f>
        <v>-387.93358706567</v>
      </c>
      <c r="L12" s="4" t="n">
        <f aca="false">-L6*Assumptions!L17/100</f>
        <v>-397.631926742312</v>
      </c>
    </row>
    <row r="13" customFormat="false" ht="15" hidden="false" customHeight="false" outlineLevel="0" collapsed="false">
      <c r="A13" s="0" t="s">
        <v>125</v>
      </c>
      <c r="C13" s="0" t="n">
        <f aca="false">C11+C12</f>
        <v>1985.616864</v>
      </c>
      <c r="D13" s="0" t="n">
        <f aca="false">D11+D12</f>
        <v>1815.724512</v>
      </c>
      <c r="E13" s="0" t="n">
        <f aca="false">E11+E12</f>
        <v>1789.07264928</v>
      </c>
      <c r="F13" s="0" t="n">
        <f aca="false">F11+F12</f>
        <v>1853.8457012208</v>
      </c>
      <c r="G13" s="0" t="n">
        <f aca="false">G11+G12</f>
        <v>1987.66671875503</v>
      </c>
      <c r="H13" s="0" t="n">
        <f aca="false">H11+H12</f>
        <v>2128.58424653266</v>
      </c>
      <c r="I13" s="0" t="n">
        <f aca="false">I11+I12</f>
        <v>2204.69005199528</v>
      </c>
      <c r="J13" s="0" t="n">
        <f aca="false">J11+J12</f>
        <v>2270.83075355514</v>
      </c>
      <c r="K13" s="0" t="n">
        <f aca="false">K11+K12</f>
        <v>2327.60152239402</v>
      </c>
      <c r="L13" s="0" t="n">
        <f aca="false">L11+L12</f>
        <v>2385.79156045387</v>
      </c>
    </row>
    <row r="14" customFormat="false" ht="15" hidden="false" customHeight="false" outlineLevel="0" collapsed="false">
      <c r="A14" s="0" t="s">
        <v>111</v>
      </c>
      <c r="C14" s="4" t="n">
        <f aca="false">Assumptions!C19</f>
        <v>26</v>
      </c>
      <c r="D14" s="4" t="n">
        <f aca="false">Assumptions!D19</f>
        <v>26</v>
      </c>
      <c r="E14" s="4" t="n">
        <f aca="false">Assumptions!E19</f>
        <v>26</v>
      </c>
      <c r="F14" s="4" t="n">
        <f aca="false">Assumptions!F19</f>
        <v>26</v>
      </c>
      <c r="G14" s="4" t="n">
        <f aca="false">Assumptions!G19</f>
        <v>26</v>
      </c>
      <c r="H14" s="4" t="n">
        <f aca="false">Assumptions!H19</f>
        <v>26</v>
      </c>
      <c r="I14" s="4" t="n">
        <f aca="false">Assumptions!I19</f>
        <v>26</v>
      </c>
      <c r="J14" s="4" t="n">
        <f aca="false">Assumptions!J19</f>
        <v>26</v>
      </c>
      <c r="K14" s="4" t="n">
        <f aca="false">Assumptions!K19</f>
        <v>26</v>
      </c>
      <c r="L14" s="4" t="n">
        <f aca="false">Assumptions!L19</f>
        <v>26</v>
      </c>
    </row>
    <row r="15" customFormat="false" ht="15" hidden="false" customHeight="false" outlineLevel="0" collapsed="false">
      <c r="A15" s="0" t="s">
        <v>126</v>
      </c>
      <c r="C15" s="0" t="n">
        <f aca="false">C13-MAX(0,C13)*C14/100</f>
        <v>1469.35647936</v>
      </c>
      <c r="D15" s="0" t="n">
        <f aca="false">D13-MAX(0,D13)*D14/100</f>
        <v>1343.63613888</v>
      </c>
      <c r="E15" s="0" t="n">
        <f aca="false">E13-MAX(0,E13)*E14/100</f>
        <v>1323.9137604672</v>
      </c>
      <c r="F15" s="0" t="n">
        <f aca="false">F13-MAX(0,F13)*F14/100</f>
        <v>1371.84581890339</v>
      </c>
      <c r="G15" s="0" t="n">
        <f aca="false">G13-MAX(0,G13)*G14/100</f>
        <v>1470.87337187872</v>
      </c>
      <c r="H15" s="0" t="n">
        <f aca="false">H13-MAX(0,H13)*H14/100</f>
        <v>1575.15234243417</v>
      </c>
      <c r="I15" s="0" t="n">
        <f aca="false">I13-MAX(0,I13)*I14/100</f>
        <v>1631.47063847651</v>
      </c>
      <c r="J15" s="0" t="n">
        <f aca="false">J13-MAX(0,J13)*J14/100</f>
        <v>1680.41475763081</v>
      </c>
      <c r="K15" s="0" t="n">
        <f aca="false">K13-MAX(0,K13)*K14/100</f>
        <v>1722.42512657158</v>
      </c>
      <c r="L15" s="0" t="n">
        <f aca="false">L13-MAX(0,L13)*L14/100</f>
        <v>1765.48575473587</v>
      </c>
    </row>
    <row r="16" customFormat="false" ht="15" hidden="false" customHeight="false" outlineLevel="0" collapsed="false">
      <c r="A16" s="0" t="s">
        <v>127</v>
      </c>
      <c r="C16" s="0" t="n">
        <f aca="false">-C12</f>
        <v>350.402976</v>
      </c>
      <c r="D16" s="0" t="n">
        <f aca="false">-D12</f>
        <v>361.021248</v>
      </c>
      <c r="E16" s="0" t="n">
        <f aca="false">-E12</f>
        <v>366.43656672</v>
      </c>
      <c r="F16" s="0" t="n">
        <f aca="false">-F12</f>
        <v>366.3287912592</v>
      </c>
      <c r="G16" s="0" t="n">
        <f aca="false">-G12</f>
        <v>367.660895954688</v>
      </c>
      <c r="H16" s="0" t="n">
        <f aca="false">-H12</f>
        <v>368.637495209568</v>
      </c>
      <c r="I16" s="0" t="n">
        <f aca="false">-I12</f>
        <v>367.448341999214</v>
      </c>
      <c r="J16" s="0" t="n">
        <f aca="false">-J12</f>
        <v>378.471792259191</v>
      </c>
      <c r="K16" s="0" t="n">
        <f aca="false">-K12</f>
        <v>387.93358706567</v>
      </c>
      <c r="L16" s="0" t="n">
        <f aca="false">-L12</f>
        <v>397.631926742312</v>
      </c>
    </row>
    <row r="17" customFormat="false" ht="15" hidden="false" customHeight="false" outlineLevel="0" collapsed="false">
      <c r="A17" s="0" t="s">
        <v>128</v>
      </c>
      <c r="C17" s="4" t="n">
        <f aca="false">-C6*Assumptions!C18/100</f>
        <v>-297.311616</v>
      </c>
      <c r="D17" s="4" t="n">
        <f aca="false">-D6*Assumptions!D18/100</f>
        <v>-276.075072</v>
      </c>
      <c r="E17" s="4" t="n">
        <f aca="false">-E6*Assumptions!E18/100</f>
        <v>-280.21619808</v>
      </c>
      <c r="F17" s="4" t="n">
        <f aca="false">-F6*Assumptions!F18/100</f>
        <v>-299.7235564848</v>
      </c>
      <c r="G17" s="4" t="n">
        <f aca="false">-G6*Assumptions!G18/100</f>
        <v>-310.213880961768</v>
      </c>
      <c r="H17" s="4" t="n">
        <f aca="false">-H6*Assumptions!H18/100</f>
        <v>-321.07136679543</v>
      </c>
      <c r="I17" s="4" t="n">
        <f aca="false">-I6*Assumptions!I18/100</f>
        <v>-330.703507799293</v>
      </c>
      <c r="J17" s="4" t="n">
        <f aca="false">-J6*Assumptions!J18/100</f>
        <v>-340.624613033272</v>
      </c>
      <c r="K17" s="4" t="n">
        <f aca="false">-K6*Assumptions!K18/100</f>
        <v>-349.140228359103</v>
      </c>
      <c r="L17" s="4" t="n">
        <f aca="false">-L6*Assumptions!L18/100</f>
        <v>-357.868734068081</v>
      </c>
    </row>
    <row r="18" customFormat="false" ht="15" hidden="false" customHeight="false" outlineLevel="0" collapsed="false">
      <c r="A18" s="0" t="s">
        <v>129</v>
      </c>
      <c r="C18" s="4" t="n">
        <f aca="false">(C6-B6)*Assumptions!$B$23/100</f>
        <v>-125.14392</v>
      </c>
      <c r="D18" s="4" t="n">
        <f aca="false">(D6-C6)*Assumptions!$B$23/100</f>
        <v>-0</v>
      </c>
      <c r="E18" s="4" t="n">
        <f aca="false">(E6-D6)*Assumptions!$B$23/100</f>
        <v>-17.5201487999999</v>
      </c>
      <c r="F18" s="4" t="n">
        <f aca="false">(F6-E6)*Assumptions!$B$23/100</f>
        <v>-35.5659020640001</v>
      </c>
      <c r="G18" s="4" t="n">
        <f aca="false">(G6-F6)*Assumptions!$B$23/100</f>
        <v>-42.7383589802398</v>
      </c>
      <c r="H18" s="4" t="n">
        <f aca="false">(H6-G6)*Assumptions!$B$23/100</f>
        <v>-44.2342015445484</v>
      </c>
      <c r="I18" s="4" t="n">
        <f aca="false">(I6-H6)*Assumptions!$B$23/100</f>
        <v>-39.2420559416637</v>
      </c>
      <c r="J18" s="4" t="n">
        <f aca="false">(J6-I6)*Assumptions!$B$23/100</f>
        <v>-40.4193176199135</v>
      </c>
      <c r="K18" s="4" t="n">
        <f aca="false">(K6-J6)*Assumptions!$B$23/100</f>
        <v>-34.6932476237591</v>
      </c>
      <c r="L18" s="4" t="n">
        <f aca="false">(L6-K6)*Assumptions!$B$23/100</f>
        <v>-35.560578814353</v>
      </c>
    </row>
    <row r="19" customFormat="false" ht="15" hidden="false" customHeight="false" outlineLevel="0" collapsed="false">
      <c r="A19" s="0" t="s">
        <v>130</v>
      </c>
      <c r="C19" s="0" t="n">
        <f aca="false">C15+C16+C17+C18</f>
        <v>1397.30391936</v>
      </c>
      <c r="D19" s="0" t="n">
        <f aca="false">D15+D16+D17+D18</f>
        <v>1428.58231488</v>
      </c>
      <c r="E19" s="0" t="n">
        <f aca="false">E15+E16+E17+E18</f>
        <v>1392.6139803072</v>
      </c>
      <c r="F19" s="0" t="n">
        <f aca="false">F15+F16+F17+F18</f>
        <v>1402.88515161379</v>
      </c>
      <c r="G19" s="0" t="n">
        <f aca="false">G15+G16+G17+G18</f>
        <v>1485.5820278914</v>
      </c>
      <c r="H19" s="0" t="n">
        <f aca="false">H15+H16+H17+H18</f>
        <v>1578.48426930376</v>
      </c>
      <c r="I19" s="0" t="n">
        <f aca="false">I15+I16+I17+I18</f>
        <v>1628.97341673477</v>
      </c>
      <c r="J19" s="0" t="n">
        <f aca="false">J15+J16+J17+J18</f>
        <v>1677.84261923681</v>
      </c>
      <c r="K19" s="0" t="n">
        <f aca="false">K15+K16+K17+K18</f>
        <v>1726.52523765438</v>
      </c>
      <c r="L19" s="0" t="n">
        <f aca="false">L15+L16+L17+L18</f>
        <v>1769.68836859574</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1293.79992533333</v>
      </c>
      <c r="D21" s="0" t="n">
        <f aca="false">D19*D20</f>
        <v>1224.77907654321</v>
      </c>
      <c r="E21" s="0" t="n">
        <f aca="false">E19*E20</f>
        <v>1105.50187686328</v>
      </c>
      <c r="F21" s="0" t="n">
        <f aca="false">F19*F20</f>
        <v>1031.16246648102</v>
      </c>
      <c r="G21" s="0" t="n">
        <f aca="false">G19*G20</f>
        <v>1011.06216599822</v>
      </c>
      <c r="H21" s="0" t="n">
        <f aca="false">H19*H20</f>
        <v>994.712843028001</v>
      </c>
      <c r="I21" s="0" t="n">
        <f aca="false">I19*I20</f>
        <v>950.490342802078</v>
      </c>
      <c r="J21" s="0" t="n">
        <f aca="false">J19*J20</f>
        <v>906.486160264946</v>
      </c>
      <c r="K21" s="0" t="n">
        <f aca="false">K19*K20</f>
        <v>863.692466863002</v>
      </c>
      <c r="L21" s="0" t="n">
        <f aca="false">L19*L20</f>
        <v>819.708128272757</v>
      </c>
    </row>
    <row r="23" customFormat="false" ht="15" hidden="false" customHeight="false" outlineLevel="0" collapsed="false">
      <c r="A23" s="0" t="s">
        <v>108</v>
      </c>
      <c r="C23" s="4" t="n">
        <f aca="false">Assumptions!C16</f>
        <v>1.1</v>
      </c>
      <c r="D23" s="4" t="n">
        <f aca="false">Assumptions!D16</f>
        <v>1.1</v>
      </c>
      <c r="E23" s="4" t="n">
        <f aca="false">Assumptions!E16</f>
        <v>1.1</v>
      </c>
      <c r="F23" s="4" t="n">
        <f aca="false">Assumptions!F16</f>
        <v>1.1</v>
      </c>
      <c r="G23" s="4" t="n">
        <f aca="false">Assumptions!G16</f>
        <v>1.1</v>
      </c>
      <c r="H23" s="4" t="n">
        <f aca="false">Assumptions!H16</f>
        <v>1.1</v>
      </c>
      <c r="I23" s="4" t="n">
        <f aca="false">Assumptions!I16</f>
        <v>1.1</v>
      </c>
      <c r="J23" s="4" t="n">
        <f aca="false">Assumptions!J16</f>
        <v>1.1</v>
      </c>
      <c r="K23" s="4" t="n">
        <f aca="false">Assumptions!K16</f>
        <v>1.1</v>
      </c>
      <c r="L23" s="4" t="n">
        <f aca="false">Assumptions!L16</f>
        <v>1.1</v>
      </c>
    </row>
    <row r="24" customFormat="false" ht="15" hidden="false" customHeight="false" outlineLevel="0" collapsed="false">
      <c r="A24" s="0" t="s">
        <v>133</v>
      </c>
      <c r="C24" s="0" t="n">
        <f aca="false">-C6*C23/100</f>
        <v>-116.800992</v>
      </c>
      <c r="D24" s="0" t="n">
        <f aca="false">-D6*D23/100</f>
        <v>-116.800992</v>
      </c>
      <c r="E24" s="0" t="n">
        <f aca="false">-E6*E23/100</f>
        <v>-118.55300688</v>
      </c>
      <c r="F24" s="0" t="n">
        <f aca="false">-F6*F23/100</f>
        <v>-122.1095970864</v>
      </c>
      <c r="G24" s="0" t="n">
        <f aca="false">-G6*G23/100</f>
        <v>-126.383432984424</v>
      </c>
      <c r="H24" s="0" t="n">
        <f aca="false">-H6*H23/100</f>
        <v>-130.806853138879</v>
      </c>
      <c r="I24" s="0" t="n">
        <f aca="false">-I6*I23/100</f>
        <v>-134.731058733045</v>
      </c>
      <c r="J24" s="0" t="n">
        <f aca="false">-J6*J23/100</f>
        <v>-138.772990495037</v>
      </c>
      <c r="K24" s="0" t="n">
        <f aca="false">-K6*K23/100</f>
        <v>-142.242315257412</v>
      </c>
      <c r="L24" s="0" t="n">
        <f aca="false">-L6*L23/100</f>
        <v>-145.798373138848</v>
      </c>
    </row>
    <row r="26" customFormat="false" ht="15" hidden="false" customHeight="false" outlineLevel="0" collapsed="false">
      <c r="A26" s="2" t="s">
        <v>134</v>
      </c>
    </row>
    <row r="27" customFormat="false" ht="15" hidden="false" customHeight="false" outlineLevel="0" collapsed="false">
      <c r="A27" s="0" t="s">
        <v>112</v>
      </c>
      <c r="B27" s="4" t="n">
        <f aca="false">Assumptions!$B$20</f>
        <v>8</v>
      </c>
    </row>
    <row r="28" customFormat="false" ht="15" hidden="false" customHeight="false" outlineLevel="0" collapsed="false">
      <c r="A28" s="0" t="s">
        <v>113</v>
      </c>
      <c r="B28" s="4" t="n">
        <f aca="false">Assumptions!$B$21</f>
        <v>2</v>
      </c>
    </row>
    <row r="29" customFormat="false" ht="15" hidden="false" customHeight="false" outlineLevel="0" collapsed="false">
      <c r="A29" s="0" t="s">
        <v>114</v>
      </c>
      <c r="B29" s="4" t="n">
        <f aca="false">Assumptions!$B$22</f>
        <v>15</v>
      </c>
    </row>
    <row r="30" customFormat="false" ht="15" hidden="false" customHeight="false" outlineLevel="0" collapsed="false">
      <c r="A30" s="0" t="s">
        <v>135</v>
      </c>
      <c r="B30" s="0" t="n">
        <f aca="false">SUM(C21:L21)</f>
        <v>10201.3954524498</v>
      </c>
    </row>
    <row r="31" customFormat="false" ht="15" hidden="false" customHeight="false" outlineLevel="0" collapsed="false">
      <c r="A31" s="0" t="s">
        <v>136</v>
      </c>
      <c r="B31" s="0" t="n">
        <f aca="false">L19</f>
        <v>1769.68836859574</v>
      </c>
    </row>
    <row r="32" customFormat="false" ht="15" hidden="false" customHeight="false" outlineLevel="0" collapsed="false">
      <c r="A32" s="0" t="s">
        <v>137</v>
      </c>
      <c r="B32" s="0" t="n">
        <f aca="false">IF(B27&gt;B28,B31*(1+B28/100)/((B27-B28)/100),B31*B29)</f>
        <v>30084.7022661277</v>
      </c>
    </row>
    <row r="33" customFormat="false" ht="15" hidden="false" customHeight="false" outlineLevel="0" collapsed="false">
      <c r="A33" s="0" t="s">
        <v>138</v>
      </c>
      <c r="B33" s="0" t="n">
        <f aca="false">B31*B29</f>
        <v>26545.3255289362</v>
      </c>
    </row>
    <row r="34" customFormat="false" ht="15" hidden="false" customHeight="false" outlineLevel="0" collapsed="false">
      <c r="A34" s="0" t="s">
        <v>139</v>
      </c>
      <c r="B34" s="0" t="n">
        <f aca="false">MAX(0,MIN(B32,B33))</f>
        <v>26545.3255289362</v>
      </c>
    </row>
    <row r="35" customFormat="false" ht="15" hidden="false" customHeight="false" outlineLevel="0" collapsed="false">
      <c r="A35" s="0" t="s">
        <v>140</v>
      </c>
      <c r="B35" s="0" t="n">
        <f aca="false">B34/(1+B27/100)^L4</f>
        <v>12295.6219240914</v>
      </c>
    </row>
    <row r="36" customFormat="false" ht="15" hidden="false" customHeight="false" outlineLevel="0" collapsed="false">
      <c r="A36" s="0" t="s">
        <v>141</v>
      </c>
      <c r="B36" s="0" t="n">
        <f aca="false">B30+B35</f>
        <v>22497.0173765412</v>
      </c>
    </row>
    <row r="37" customFormat="false" ht="15" hidden="false" customHeight="false" outlineLevel="0" collapsed="false">
      <c r="A37" s="0" t="s">
        <v>142</v>
      </c>
      <c r="B37" s="0" t="n">
        <f aca="false">B36+Assumptions!$B$5-Assumptions!$B$4</f>
        <v>18618.0173765412</v>
      </c>
    </row>
    <row r="38" customFormat="false" ht="15" hidden="false" customHeight="false" outlineLevel="0" collapsed="false">
      <c r="A38" s="0" t="s">
        <v>143</v>
      </c>
      <c r="B38" s="0" t="n">
        <f aca="false">B37/Assumptions!$B$3*Assumptions!$B$10</f>
        <v>70.5762599565626</v>
      </c>
    </row>
    <row r="39" customFormat="false" ht="15" hidden="false" customHeight="false" outlineLevel="0" collapsed="false">
      <c r="A39" s="0" t="s">
        <v>144</v>
      </c>
      <c r="B39" s="4" t="n">
        <f aca="false">B38/Assumptions!$B$2-1</f>
        <v>-0.43129524611956</v>
      </c>
    </row>
    <row r="41" customFormat="false" ht="15" hidden="false" customHeight="false" outlineLevel="0" collapsed="false">
      <c r="A41" s="0" t="s">
        <v>145</v>
      </c>
      <c r="B41" s="0" t="n">
        <f aca="false">SUMPRODUCT(-C10:L10/(1+$B$27/100)^C4:L4)</f>
        <v>310.13668078501</v>
      </c>
    </row>
    <row r="42" customFormat="false" ht="15" hidden="false" customHeight="false" outlineLevel="0" collapsed="false">
      <c r="A42" s="0" t="s">
        <v>146</v>
      </c>
      <c r="B42" s="0" t="n">
        <f aca="false">IF(B27&gt;B28,-L10*(1+B28/100)/((B27-B28)/100),-L10*20)/(1+B27/100)^L4</f>
        <v>417.475843342305</v>
      </c>
    </row>
    <row r="43" customFormat="false" ht="15" hidden="false" customHeight="false" outlineLevel="0" collapsed="false">
      <c r="A43" s="0" t="s">
        <v>147</v>
      </c>
      <c r="B43" s="0" t="n">
        <f aca="false">(B37+B41+B42)/Assumptions!$B$3*Assumptions!$B$10</f>
        <v>73.3344575461278</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13885.2471997512</v>
      </c>
    </row>
    <row r="47" customFormat="false" ht="15" hidden="false" customHeight="false" outlineLevel="0" collapsed="false">
      <c r="A47" s="0" t="s">
        <v>149</v>
      </c>
      <c r="B47" s="0" t="n">
        <f aca="false">(SUMPRODUCT(C19:L19/(1+B45/100)^C4:L4)+B46/(1+B45/100)^L4+Assumptions!$B$5-Assumptions!$B$4)/Assumptions!$B$3*Assumptions!$B$10</f>
        <v>26.8247838300429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13.5</v>
      </c>
      <c r="D5" s="4" t="n">
        <f aca="false">Assumptions!D27</f>
        <v>7.5</v>
      </c>
      <c r="E5" s="4" t="n">
        <f aca="false">Assumptions!E27</f>
        <v>5.5</v>
      </c>
      <c r="F5" s="4" t="n">
        <f aca="false">Assumptions!F27</f>
        <v>5</v>
      </c>
      <c r="G5" s="4" t="n">
        <f aca="false">Assumptions!G27</f>
        <v>4.5</v>
      </c>
      <c r="H5" s="4" t="n">
        <f aca="false">Assumptions!H27</f>
        <v>4</v>
      </c>
      <c r="I5" s="4" t="n">
        <f aca="false">Assumptions!I27</f>
        <v>3.5</v>
      </c>
      <c r="J5" s="4" t="n">
        <f aca="false">Assumptions!J27</f>
        <v>3</v>
      </c>
      <c r="K5" s="4" t="n">
        <f aca="false">Assumptions!K27</f>
        <v>3</v>
      </c>
      <c r="L5" s="4" t="n">
        <f aca="false">Assumptions!L27</f>
        <v>2.5</v>
      </c>
    </row>
    <row r="6" customFormat="false" ht="15" hidden="false" customHeight="false" outlineLevel="0" collapsed="false">
      <c r="A6" s="0" t="s">
        <v>37</v>
      </c>
      <c r="B6" s="3" t="n">
        <v>9480.6</v>
      </c>
      <c r="C6" s="0" t="n">
        <f aca="false">B6*(1+C5/100)</f>
        <v>10760.481</v>
      </c>
      <c r="D6" s="0" t="n">
        <f aca="false">C6*(1+D5/100)</f>
        <v>11567.517075</v>
      </c>
      <c r="E6" s="0" t="n">
        <f aca="false">D6*(1+E5/100)</f>
        <v>12203.730514125</v>
      </c>
      <c r="F6" s="0" t="n">
        <f aca="false">E6*(1+F5/100)</f>
        <v>12813.9170398313</v>
      </c>
      <c r="G6" s="0" t="n">
        <f aca="false">F6*(1+G5/100)</f>
        <v>13390.5433066237</v>
      </c>
      <c r="H6" s="0" t="n">
        <f aca="false">G6*(1+H5/100)</f>
        <v>13926.1650388886</v>
      </c>
      <c r="I6" s="0" t="n">
        <f aca="false">H6*(1+I5/100)</f>
        <v>14413.5808152497</v>
      </c>
      <c r="J6" s="0" t="n">
        <f aca="false">I6*(1+J5/100)</f>
        <v>14845.9882397072</v>
      </c>
      <c r="K6" s="0" t="n">
        <f aca="false">J6*(1+K5/100)</f>
        <v>15291.3678868984</v>
      </c>
      <c r="L6" s="0" t="n">
        <f aca="false">K6*(1+L5/100)</f>
        <v>15673.6520840709</v>
      </c>
    </row>
    <row r="7" customFormat="false" ht="15" hidden="false" customHeight="false" outlineLevel="0" collapsed="false">
      <c r="A7" s="0" t="s">
        <v>106</v>
      </c>
      <c r="C7" s="4" t="n">
        <f aca="false">Assumptions!C28</f>
        <v>23.8</v>
      </c>
      <c r="D7" s="4" t="n">
        <f aca="false">Assumptions!D28</f>
        <v>24</v>
      </c>
      <c r="E7" s="4" t="n">
        <f aca="false">Assumptions!E28</f>
        <v>24.2</v>
      </c>
      <c r="F7" s="4" t="n">
        <f aca="false">Assumptions!F28</f>
        <v>24.3</v>
      </c>
      <c r="G7" s="4" t="n">
        <f aca="false">Assumptions!G28</f>
        <v>24.4</v>
      </c>
      <c r="H7" s="4" t="n">
        <f aca="false">Assumptions!H28</f>
        <v>24.5</v>
      </c>
      <c r="I7" s="4" t="n">
        <f aca="false">Assumptions!I28</f>
        <v>24.5</v>
      </c>
      <c r="J7" s="4" t="n">
        <f aca="false">Assumptions!J28</f>
        <v>24.5</v>
      </c>
      <c r="K7" s="4" t="n">
        <f aca="false">Assumptions!K28</f>
        <v>24.5</v>
      </c>
      <c r="L7" s="4" t="n">
        <f aca="false">Assumptions!L28</f>
        <v>24.5</v>
      </c>
    </row>
    <row r="8" customFormat="false" ht="15" hidden="false" customHeight="false" outlineLevel="0" collapsed="false">
      <c r="A8" s="0" t="s">
        <v>43</v>
      </c>
      <c r="C8" s="0" t="n">
        <f aca="false">C6*C7/100</f>
        <v>2560.994478</v>
      </c>
      <c r="D8" s="0" t="n">
        <f aca="false">D6*D7/100</f>
        <v>2776.204098</v>
      </c>
      <c r="E8" s="0" t="n">
        <f aca="false">E6*E7/100</f>
        <v>2953.30278441825</v>
      </c>
      <c r="F8" s="0" t="n">
        <f aca="false">F6*F7/100</f>
        <v>3113.78184067899</v>
      </c>
      <c r="G8" s="0" t="n">
        <f aca="false">G6*G7/100</f>
        <v>3267.29256681617</v>
      </c>
      <c r="H8" s="0" t="n">
        <f aca="false">H6*H7/100</f>
        <v>3411.91043452771</v>
      </c>
      <c r="I8" s="0" t="n">
        <f aca="false">I6*I7/100</f>
        <v>3531.32729973618</v>
      </c>
      <c r="J8" s="0" t="n">
        <f aca="false">J6*J7/100</f>
        <v>3637.26711872826</v>
      </c>
      <c r="K8" s="0" t="n">
        <f aca="false">K6*K7/100</f>
        <v>3746.38513229011</v>
      </c>
      <c r="L8" s="0" t="n">
        <f aca="false">L6*L7/100</f>
        <v>3840.04476059736</v>
      </c>
    </row>
    <row r="9" customFormat="false" ht="15" hidden="false" customHeight="false" outlineLevel="0" collapsed="false">
      <c r="A9" s="0" t="s">
        <v>107</v>
      </c>
      <c r="C9" s="4" t="n">
        <f aca="false">Assumptions!C29</f>
        <v>0.4</v>
      </c>
      <c r="D9" s="4" t="n">
        <f aca="false">Assumptions!D29</f>
        <v>0.4</v>
      </c>
      <c r="E9" s="4" t="n">
        <f aca="false">Assumptions!E29</f>
        <v>0.4</v>
      </c>
      <c r="F9" s="4" t="n">
        <f aca="false">Assumptions!F29</f>
        <v>0.4</v>
      </c>
      <c r="G9" s="4" t="n">
        <f aca="false">Assumptions!G29</f>
        <v>0.4</v>
      </c>
      <c r="H9" s="4" t="n">
        <f aca="false">Assumptions!H29</f>
        <v>0.4</v>
      </c>
      <c r="I9" s="4" t="n">
        <f aca="false">Assumptions!I29</f>
        <v>0.4</v>
      </c>
      <c r="J9" s="4" t="n">
        <f aca="false">Assumptions!J29</f>
        <v>0.4</v>
      </c>
      <c r="K9" s="4" t="n">
        <f aca="false">Assumptions!K29</f>
        <v>0.4</v>
      </c>
      <c r="L9" s="4" t="n">
        <f aca="false">Assumptions!L29</f>
        <v>0.4</v>
      </c>
    </row>
    <row r="10" customFormat="false" ht="15" hidden="false" customHeight="false" outlineLevel="0" collapsed="false">
      <c r="A10" s="0" t="s">
        <v>122</v>
      </c>
      <c r="C10" s="0" t="n">
        <f aca="false">-C6*C9/100</f>
        <v>-43.041924</v>
      </c>
      <c r="D10" s="0" t="n">
        <f aca="false">-D6*D9/100</f>
        <v>-46.2700683</v>
      </c>
      <c r="E10" s="0" t="n">
        <f aca="false">-E6*E9/100</f>
        <v>-48.8149220565</v>
      </c>
      <c r="F10" s="0" t="n">
        <f aca="false">-F6*F9/100</f>
        <v>-51.255668159325</v>
      </c>
      <c r="G10" s="0" t="n">
        <f aca="false">-G6*G9/100</f>
        <v>-53.5621732264946</v>
      </c>
      <c r="H10" s="0" t="n">
        <f aca="false">-H6*H9/100</f>
        <v>-55.7046601555544</v>
      </c>
      <c r="I10" s="0" t="n">
        <f aca="false">-I6*I9/100</f>
        <v>-57.6543232609988</v>
      </c>
      <c r="J10" s="0" t="n">
        <f aca="false">-J6*J9/100</f>
        <v>-59.3839529588288</v>
      </c>
      <c r="K10" s="0" t="n">
        <f aca="false">-K6*K9/100</f>
        <v>-61.1654715475936</v>
      </c>
      <c r="L10" s="0" t="n">
        <f aca="false">-L6*L9/100</f>
        <v>-62.6946083362835</v>
      </c>
    </row>
    <row r="11" customFormat="false" ht="15" hidden="false" customHeight="false" outlineLevel="0" collapsed="false">
      <c r="A11" s="0" t="s">
        <v>123</v>
      </c>
      <c r="C11" s="0" t="n">
        <f aca="false">C8+C10+C24</f>
        <v>2399.587263</v>
      </c>
      <c r="D11" s="0" t="n">
        <f aca="false">D8+D10+D24</f>
        <v>2602.691341875</v>
      </c>
      <c r="E11" s="0" t="n">
        <f aca="false">E8+E10+E24</f>
        <v>2770.24682670638</v>
      </c>
      <c r="F11" s="0" t="n">
        <f aca="false">F8+F10+F24</f>
        <v>2921.57308508153</v>
      </c>
      <c r="G11" s="0" t="n">
        <f aca="false">G8+G10+G24</f>
        <v>3066.43441721682</v>
      </c>
      <c r="H11" s="0" t="n">
        <f aca="false">H8+H10+H24</f>
        <v>3203.01795894438</v>
      </c>
      <c r="I11" s="0" t="n">
        <f aca="false">I8+I10+I24</f>
        <v>3315.12358750743</v>
      </c>
      <c r="J11" s="0" t="n">
        <f aca="false">J8+J10+J24</f>
        <v>3414.57729513266</v>
      </c>
      <c r="K11" s="0" t="n">
        <f aca="false">K8+K10+K24</f>
        <v>3517.01461398663</v>
      </c>
      <c r="L11" s="0" t="n">
        <f aca="false">L8+L10+L24</f>
        <v>3604.9399793363</v>
      </c>
    </row>
    <row r="12" customFormat="false" ht="15" hidden="false" customHeight="false" outlineLevel="0" collapsed="false">
      <c r="A12" s="0" t="s">
        <v>124</v>
      </c>
      <c r="C12" s="4" t="n">
        <f aca="false">-C6*Assumptions!C31/100</f>
        <v>-355.095873</v>
      </c>
      <c r="D12" s="4" t="n">
        <f aca="false">-D6*Assumptions!D31/100</f>
        <v>-381.728063475</v>
      </c>
      <c r="E12" s="4" t="n">
        <f aca="false">-E6*Assumptions!E31/100</f>
        <v>-390.519376452</v>
      </c>
      <c r="F12" s="4" t="n">
        <f aca="false">-F6*Assumptions!F31/100</f>
        <v>-410.0453452746</v>
      </c>
      <c r="G12" s="4" t="n">
        <f aca="false">-G6*Assumptions!G31/100</f>
        <v>-415.106842505333</v>
      </c>
      <c r="H12" s="4" t="n">
        <f aca="false">-H6*Assumptions!H31/100</f>
        <v>-431.711116205547</v>
      </c>
      <c r="I12" s="4" t="n">
        <f aca="false">-I6*Assumptions!I31/100</f>
        <v>-432.407424457491</v>
      </c>
      <c r="J12" s="4" t="n">
        <f aca="false">-J6*Assumptions!J31/100</f>
        <v>-445.379647191216</v>
      </c>
      <c r="K12" s="4" t="n">
        <f aca="false">-K6*Assumptions!K31/100</f>
        <v>-458.741036606952</v>
      </c>
      <c r="L12" s="4" t="n">
        <f aca="false">-L6*Assumptions!L31/100</f>
        <v>-470.209562522126</v>
      </c>
    </row>
    <row r="13" customFormat="false" ht="15" hidden="false" customHeight="false" outlineLevel="0" collapsed="false">
      <c r="A13" s="0" t="s">
        <v>125</v>
      </c>
      <c r="C13" s="0" t="n">
        <f aca="false">C11+C12</f>
        <v>2044.49139</v>
      </c>
      <c r="D13" s="0" t="n">
        <f aca="false">D11+D12</f>
        <v>2220.9632784</v>
      </c>
      <c r="E13" s="0" t="n">
        <f aca="false">E11+E12</f>
        <v>2379.72745025438</v>
      </c>
      <c r="F13" s="0" t="n">
        <f aca="false">F11+F12</f>
        <v>2511.52773980693</v>
      </c>
      <c r="G13" s="0" t="n">
        <f aca="false">G11+G12</f>
        <v>2651.32757471148</v>
      </c>
      <c r="H13" s="0" t="n">
        <f aca="false">H11+H12</f>
        <v>2771.30684273883</v>
      </c>
      <c r="I13" s="0" t="n">
        <f aca="false">I11+I12</f>
        <v>2882.71616304994</v>
      </c>
      <c r="J13" s="0" t="n">
        <f aca="false">J11+J12</f>
        <v>2969.19764794144</v>
      </c>
      <c r="K13" s="0" t="n">
        <f aca="false">K11+K12</f>
        <v>3058.27357737968</v>
      </c>
      <c r="L13" s="0" t="n">
        <f aca="false">L11+L12</f>
        <v>3134.73041681417</v>
      </c>
    </row>
    <row r="14" customFormat="false" ht="15" hidden="false" customHeight="false" outlineLevel="0" collapsed="false">
      <c r="A14" s="0" t="s">
        <v>111</v>
      </c>
      <c r="C14" s="4" t="n">
        <f aca="false">Assumptions!C33</f>
        <v>26</v>
      </c>
      <c r="D14" s="4" t="n">
        <f aca="false">Assumptions!D33</f>
        <v>26</v>
      </c>
      <c r="E14" s="4" t="n">
        <f aca="false">Assumptions!E33</f>
        <v>26</v>
      </c>
      <c r="F14" s="4" t="n">
        <f aca="false">Assumptions!F33</f>
        <v>26</v>
      </c>
      <c r="G14" s="4" t="n">
        <f aca="false">Assumptions!G33</f>
        <v>26</v>
      </c>
      <c r="H14" s="4" t="n">
        <f aca="false">Assumptions!H33</f>
        <v>26</v>
      </c>
      <c r="I14" s="4" t="n">
        <f aca="false">Assumptions!I33</f>
        <v>26</v>
      </c>
      <c r="J14" s="4" t="n">
        <f aca="false">Assumptions!J33</f>
        <v>26</v>
      </c>
      <c r="K14" s="4" t="n">
        <f aca="false">Assumptions!K33</f>
        <v>26</v>
      </c>
      <c r="L14" s="4" t="n">
        <f aca="false">Assumptions!L33</f>
        <v>26</v>
      </c>
    </row>
    <row r="15" customFormat="false" ht="15" hidden="false" customHeight="false" outlineLevel="0" collapsed="false">
      <c r="A15" s="0" t="s">
        <v>126</v>
      </c>
      <c r="C15" s="0" t="n">
        <f aca="false">C13-MAX(0,C13)*C14/100</f>
        <v>1512.9236286</v>
      </c>
      <c r="D15" s="0" t="n">
        <f aca="false">D13-MAX(0,D13)*D14/100</f>
        <v>1643.512826016</v>
      </c>
      <c r="E15" s="0" t="n">
        <f aca="false">E13-MAX(0,E13)*E14/100</f>
        <v>1760.99831318824</v>
      </c>
      <c r="F15" s="0" t="n">
        <f aca="false">F13-MAX(0,F13)*F14/100</f>
        <v>1858.53052745712</v>
      </c>
      <c r="G15" s="0" t="n">
        <f aca="false">G13-MAX(0,G13)*G14/100</f>
        <v>1961.9824052865</v>
      </c>
      <c r="H15" s="0" t="n">
        <f aca="false">H13-MAX(0,H13)*H14/100</f>
        <v>2050.76706362674</v>
      </c>
      <c r="I15" s="0" t="n">
        <f aca="false">I13-MAX(0,I13)*I14/100</f>
        <v>2133.20996065696</v>
      </c>
      <c r="J15" s="0" t="n">
        <f aca="false">J13-MAX(0,J13)*J14/100</f>
        <v>2197.20625947667</v>
      </c>
      <c r="K15" s="0" t="n">
        <f aca="false">K13-MAX(0,K13)*K14/100</f>
        <v>2263.12244726096</v>
      </c>
      <c r="L15" s="0" t="n">
        <f aca="false">L13-MAX(0,L13)*L14/100</f>
        <v>2319.70050844249</v>
      </c>
    </row>
    <row r="16" customFormat="false" ht="15" hidden="false" customHeight="false" outlineLevel="0" collapsed="false">
      <c r="A16" s="0" t="s">
        <v>127</v>
      </c>
      <c r="C16" s="0" t="n">
        <f aca="false">-C12</f>
        <v>355.095873</v>
      </c>
      <c r="D16" s="0" t="n">
        <f aca="false">-D12</f>
        <v>381.728063475</v>
      </c>
      <c r="E16" s="0" t="n">
        <f aca="false">-E12</f>
        <v>390.519376452</v>
      </c>
      <c r="F16" s="0" t="n">
        <f aca="false">-F12</f>
        <v>410.0453452746</v>
      </c>
      <c r="G16" s="0" t="n">
        <f aca="false">-G12</f>
        <v>415.106842505333</v>
      </c>
      <c r="H16" s="0" t="n">
        <f aca="false">-H12</f>
        <v>431.711116205547</v>
      </c>
      <c r="I16" s="0" t="n">
        <f aca="false">-I12</f>
        <v>432.407424457491</v>
      </c>
      <c r="J16" s="0" t="n">
        <f aca="false">-J12</f>
        <v>445.379647191216</v>
      </c>
      <c r="K16" s="0" t="n">
        <f aca="false">-K12</f>
        <v>458.741036606952</v>
      </c>
      <c r="L16" s="0" t="n">
        <f aca="false">-L12</f>
        <v>470.209562522126</v>
      </c>
    </row>
    <row r="17" customFormat="false" ht="15" hidden="false" customHeight="false" outlineLevel="0" collapsed="false">
      <c r="A17" s="0" t="s">
        <v>128</v>
      </c>
      <c r="C17" s="4" t="n">
        <f aca="false">-C6*Assumptions!C32/100</f>
        <v>-301.293468</v>
      </c>
      <c r="D17" s="4" t="n">
        <f aca="false">-D6*Assumptions!D32/100</f>
        <v>-323.8904781</v>
      </c>
      <c r="E17" s="4" t="n">
        <f aca="false">-E6*Assumptions!E32/100</f>
        <v>-341.7044543955</v>
      </c>
      <c r="F17" s="4" t="n">
        <f aca="false">-F6*Assumptions!F32/100</f>
        <v>-358.789677115275</v>
      </c>
      <c r="G17" s="4" t="n">
        <f aca="false">-G6*Assumptions!G32/100</f>
        <v>-374.935212585462</v>
      </c>
      <c r="H17" s="4" t="n">
        <f aca="false">-H6*Assumptions!H32/100</f>
        <v>-389.932621088881</v>
      </c>
      <c r="I17" s="4" t="n">
        <f aca="false">-I6*Assumptions!I32/100</f>
        <v>-403.580262826992</v>
      </c>
      <c r="J17" s="4" t="n">
        <f aca="false">-J6*Assumptions!J32/100</f>
        <v>-415.687670711801</v>
      </c>
      <c r="K17" s="4" t="n">
        <f aca="false">-K6*Assumptions!K32/100</f>
        <v>-428.158300833155</v>
      </c>
      <c r="L17" s="4" t="n">
        <f aca="false">-L6*Assumptions!L32/100</f>
        <v>-438.862258353984</v>
      </c>
    </row>
    <row r="18" customFormat="false" ht="15" hidden="false" customHeight="false" outlineLevel="0" collapsed="false">
      <c r="A18" s="0" t="s">
        <v>129</v>
      </c>
      <c r="C18" s="4" t="n">
        <f aca="false">(C6-B6)*Assumptions!$B$37/100</f>
        <v>-140.78691</v>
      </c>
      <c r="D18" s="4" t="n">
        <f aca="false">(D6-C6)*Assumptions!$B$37/100</f>
        <v>-88.77396825</v>
      </c>
      <c r="E18" s="4" t="n">
        <f aca="false">(E6-D6)*Assumptions!$B$37/100</f>
        <v>-69.98347830375</v>
      </c>
      <c r="F18" s="4" t="n">
        <f aca="false">(F6-E6)*Assumptions!$B$37/100</f>
        <v>-67.1205178276876</v>
      </c>
      <c r="G18" s="4" t="n">
        <f aca="false">(G6-F6)*Assumptions!$B$37/100</f>
        <v>-63.4288893471646</v>
      </c>
      <c r="H18" s="4" t="n">
        <f aca="false">(H6-G6)*Assumptions!$B$37/100</f>
        <v>-58.9183905491441</v>
      </c>
      <c r="I18" s="4" t="n">
        <f aca="false">(I6-H6)*Assumptions!$B$37/100</f>
        <v>-53.615735399721</v>
      </c>
      <c r="J18" s="4" t="n">
        <f aca="false">(J6-I6)*Assumptions!$B$37/100</f>
        <v>-47.564816690324</v>
      </c>
      <c r="K18" s="4" t="n">
        <f aca="false">(K6-J6)*Assumptions!$B$37/100</f>
        <v>-48.9917611910337</v>
      </c>
      <c r="L18" s="4" t="n">
        <f aca="false">(L6-K6)*Assumptions!$B$37/100</f>
        <v>-42.0512616889705</v>
      </c>
    </row>
    <row r="19" customFormat="false" ht="15" hidden="false" customHeight="false" outlineLevel="0" collapsed="false">
      <c r="A19" s="0" t="s">
        <v>130</v>
      </c>
      <c r="C19" s="0" t="n">
        <f aca="false">C15+C16+C17+C18</f>
        <v>1425.9391236</v>
      </c>
      <c r="D19" s="0" t="n">
        <f aca="false">D15+D16+D17+D18</f>
        <v>1612.576443141</v>
      </c>
      <c r="E19" s="0" t="n">
        <f aca="false">E15+E16+E17+E18</f>
        <v>1739.82975694099</v>
      </c>
      <c r="F19" s="0" t="n">
        <f aca="false">F15+F16+F17+F18</f>
        <v>1842.66567778876</v>
      </c>
      <c r="G19" s="0" t="n">
        <f aca="false">G15+G16+G17+G18</f>
        <v>1938.7251458592</v>
      </c>
      <c r="H19" s="0" t="n">
        <f aca="false">H15+H16+H17+H18</f>
        <v>2033.62716819426</v>
      </c>
      <c r="I19" s="0" t="n">
        <f aca="false">I15+I16+I17+I18</f>
        <v>2108.42138688773</v>
      </c>
      <c r="J19" s="0" t="n">
        <f aca="false">J15+J16+J17+J18</f>
        <v>2179.33341926576</v>
      </c>
      <c r="K19" s="0" t="n">
        <f aca="false">K15+K16+K17+K18</f>
        <v>2244.71342184373</v>
      </c>
      <c r="L19" s="0" t="n">
        <f aca="false">L15+L16+L17+L18</f>
        <v>2308.99655092166</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1320.31400333333</v>
      </c>
      <c r="D21" s="0" t="n">
        <f aca="false">D19*D20</f>
        <v>1382.52438540895</v>
      </c>
      <c r="E21" s="0" t="n">
        <f aca="false">E19*E20</f>
        <v>1381.13295494604</v>
      </c>
      <c r="F21" s="0" t="n">
        <f aca="false">F19*F20</f>
        <v>1354.41428189815</v>
      </c>
      <c r="G21" s="0" t="n">
        <f aca="false">G19*G20</f>
        <v>1319.46375793859</v>
      </c>
      <c r="H21" s="0" t="n">
        <f aca="false">H19*H20</f>
        <v>1281.53007380032</v>
      </c>
      <c r="I21" s="0" t="n">
        <f aca="false">I19*I20</f>
        <v>1230.24362841426</v>
      </c>
      <c r="J21" s="0" t="n">
        <f aca="false">J19*J20</f>
        <v>1177.42603538459</v>
      </c>
      <c r="K21" s="0" t="n">
        <f aca="false">K19*K20</f>
        <v>1122.91557078345</v>
      </c>
      <c r="L21" s="0" t="n">
        <f aca="false">L19*L20</f>
        <v>1069.51216639691</v>
      </c>
    </row>
    <row r="23" customFormat="false" ht="15" hidden="false" customHeight="false" outlineLevel="0" collapsed="false">
      <c r="A23" s="0" t="s">
        <v>108</v>
      </c>
      <c r="C23" s="4" t="n">
        <f aca="false">Assumptions!C30</f>
        <v>1.1</v>
      </c>
      <c r="D23" s="4" t="n">
        <f aca="false">Assumptions!D30</f>
        <v>1.1</v>
      </c>
      <c r="E23" s="4" t="n">
        <f aca="false">Assumptions!E30</f>
        <v>1.1</v>
      </c>
      <c r="F23" s="4" t="n">
        <f aca="false">Assumptions!F30</f>
        <v>1.1</v>
      </c>
      <c r="G23" s="4" t="n">
        <f aca="false">Assumptions!G30</f>
        <v>1.1</v>
      </c>
      <c r="H23" s="4" t="n">
        <f aca="false">Assumptions!H30</f>
        <v>1.1</v>
      </c>
      <c r="I23" s="4" t="n">
        <f aca="false">Assumptions!I30</f>
        <v>1.1</v>
      </c>
      <c r="J23" s="4" t="n">
        <f aca="false">Assumptions!J30</f>
        <v>1.1</v>
      </c>
      <c r="K23" s="4" t="n">
        <f aca="false">Assumptions!K30</f>
        <v>1.1</v>
      </c>
      <c r="L23" s="4" t="n">
        <f aca="false">Assumptions!L30</f>
        <v>1.1</v>
      </c>
    </row>
    <row r="24" customFormat="false" ht="15" hidden="false" customHeight="false" outlineLevel="0" collapsed="false">
      <c r="A24" s="0" t="s">
        <v>133</v>
      </c>
      <c r="C24" s="0" t="n">
        <f aca="false">-C6*C23/100</f>
        <v>-118.365291</v>
      </c>
      <c r="D24" s="0" t="n">
        <f aca="false">-D6*D23/100</f>
        <v>-127.242687825</v>
      </c>
      <c r="E24" s="0" t="n">
        <f aca="false">-E6*E23/100</f>
        <v>-134.241035655375</v>
      </c>
      <c r="F24" s="0" t="n">
        <f aca="false">-F6*F23/100</f>
        <v>-140.953087438144</v>
      </c>
      <c r="G24" s="0" t="n">
        <f aca="false">-G6*G23/100</f>
        <v>-147.29597637286</v>
      </c>
      <c r="H24" s="0" t="n">
        <f aca="false">-H6*H23/100</f>
        <v>-153.187815427775</v>
      </c>
      <c r="I24" s="0" t="n">
        <f aca="false">-I6*I23/100</f>
        <v>-158.549388967747</v>
      </c>
      <c r="J24" s="0" t="n">
        <f aca="false">-J6*J23/100</f>
        <v>-163.305870636779</v>
      </c>
      <c r="K24" s="0" t="n">
        <f aca="false">-K6*K23/100</f>
        <v>-168.205046755883</v>
      </c>
      <c r="L24" s="0" t="n">
        <f aca="false">-L6*L23/100</f>
        <v>-172.41017292478</v>
      </c>
    </row>
    <row r="26" customFormat="false" ht="15" hidden="false" customHeight="false" outlineLevel="0" collapsed="false">
      <c r="A26" s="2" t="s">
        <v>134</v>
      </c>
    </row>
    <row r="27" customFormat="false" ht="15" hidden="false" customHeight="false" outlineLevel="0" collapsed="false">
      <c r="A27" s="0" t="s">
        <v>112</v>
      </c>
      <c r="B27" s="4" t="n">
        <f aca="false">Assumptions!$B$34</f>
        <v>8</v>
      </c>
    </row>
    <row r="28" customFormat="false" ht="15" hidden="false" customHeight="false" outlineLevel="0" collapsed="false">
      <c r="A28" s="0" t="s">
        <v>113</v>
      </c>
      <c r="B28" s="4" t="n">
        <f aca="false">Assumptions!$B$35</f>
        <v>2.5</v>
      </c>
    </row>
    <row r="29" customFormat="false" ht="15" hidden="false" customHeight="false" outlineLevel="0" collapsed="false">
      <c r="A29" s="0" t="s">
        <v>114</v>
      </c>
      <c r="B29" s="4" t="n">
        <f aca="false">Assumptions!$B$36</f>
        <v>18</v>
      </c>
    </row>
    <row r="30" customFormat="false" ht="15" hidden="false" customHeight="false" outlineLevel="0" collapsed="false">
      <c r="A30" s="0" t="s">
        <v>135</v>
      </c>
      <c r="B30" s="0" t="n">
        <f aca="false">SUM(C21:L21)</f>
        <v>12639.4768583046</v>
      </c>
    </row>
    <row r="31" customFormat="false" ht="15" hidden="false" customHeight="false" outlineLevel="0" collapsed="false">
      <c r="A31" s="0" t="s">
        <v>136</v>
      </c>
      <c r="B31" s="0" t="n">
        <f aca="false">L19</f>
        <v>2308.99655092166</v>
      </c>
    </row>
    <row r="32" customFormat="false" ht="15" hidden="false" customHeight="false" outlineLevel="0" collapsed="false">
      <c r="A32" s="0" t="s">
        <v>137</v>
      </c>
      <c r="B32" s="0" t="n">
        <f aca="false">IF(B27&gt;B28,B31*(1+B28/100)/((B27-B28)/100),B31*B29)</f>
        <v>43031.2993580855</v>
      </c>
    </row>
    <row r="33" customFormat="false" ht="15" hidden="false" customHeight="false" outlineLevel="0" collapsed="false">
      <c r="A33" s="0" t="s">
        <v>138</v>
      </c>
      <c r="B33" s="0" t="n">
        <f aca="false">B31*B29</f>
        <v>41561.9379165899</v>
      </c>
    </row>
    <row r="34" customFormat="false" ht="15" hidden="false" customHeight="false" outlineLevel="0" collapsed="false">
      <c r="A34" s="0" t="s">
        <v>139</v>
      </c>
      <c r="B34" s="0" t="n">
        <f aca="false">MAX(0,MIN(B32,B33))</f>
        <v>41561.9379165899</v>
      </c>
    </row>
    <row r="35" customFormat="false" ht="15" hidden="false" customHeight="false" outlineLevel="0" collapsed="false">
      <c r="A35" s="0" t="s">
        <v>140</v>
      </c>
      <c r="B35" s="0" t="n">
        <f aca="false">B34/(1+B27/100)^L4</f>
        <v>19251.2189951444</v>
      </c>
    </row>
    <row r="36" customFormat="false" ht="15" hidden="false" customHeight="false" outlineLevel="0" collapsed="false">
      <c r="A36" s="0" t="s">
        <v>141</v>
      </c>
      <c r="B36" s="0" t="n">
        <f aca="false">B30+B35</f>
        <v>31890.6958534489</v>
      </c>
    </row>
    <row r="37" customFormat="false" ht="15" hidden="false" customHeight="false" outlineLevel="0" collapsed="false">
      <c r="A37" s="0" t="s">
        <v>142</v>
      </c>
      <c r="B37" s="0" t="n">
        <f aca="false">B36+Assumptions!$B$5-Assumptions!$B$4</f>
        <v>28011.6958534489</v>
      </c>
    </row>
    <row r="38" customFormat="false" ht="15" hidden="false" customHeight="false" outlineLevel="0" collapsed="false">
      <c r="A38" s="0" t="s">
        <v>143</v>
      </c>
      <c r="B38" s="0" t="n">
        <f aca="false">B37/Assumptions!$B$3*Assumptions!$B$10</f>
        <v>106.185351984264</v>
      </c>
    </row>
    <row r="39" customFormat="false" ht="15" hidden="false" customHeight="false" outlineLevel="0" collapsed="false">
      <c r="A39" s="0" t="s">
        <v>144</v>
      </c>
      <c r="B39" s="4" t="n">
        <f aca="false">B38/Assumptions!$B$2-1</f>
        <v>-0.144356551295211</v>
      </c>
    </row>
    <row r="41" customFormat="false" ht="15" hidden="false" customHeight="false" outlineLevel="0" collapsed="false">
      <c r="A41" s="0" t="s">
        <v>145</v>
      </c>
      <c r="B41" s="0" t="n">
        <f aca="false">SUMPRODUCT(-C10:L10/(1+$B$27/100)^C4:L4)</f>
        <v>352.86670847454</v>
      </c>
    </row>
    <row r="42" customFormat="false" ht="15" hidden="false" customHeight="false" outlineLevel="0" collapsed="false">
      <c r="A42" s="0" t="s">
        <v>146</v>
      </c>
      <c r="B42" s="0" t="n">
        <f aca="false">IF(B27&gt;B28,-L10*(1+B28/100)/((B27-B28)/100),-L10*20)/(1+B27/100)^L4</f>
        <v>541.195048679471</v>
      </c>
    </row>
    <row r="43" customFormat="false" ht="15" hidden="false" customHeight="false" outlineLevel="0" collapsed="false">
      <c r="A43" s="0" t="s">
        <v>147</v>
      </c>
      <c r="B43" s="0" t="n">
        <f aca="false">(B37+B41+B42)/Assumptions!$B$3*Assumptions!$B$10</f>
        <v>109.574517098571</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18933.7717175576</v>
      </c>
    </row>
    <row r="47" customFormat="false" ht="15" hidden="false" customHeight="false" outlineLevel="0" collapsed="false">
      <c r="A47" s="0" t="s">
        <v>149</v>
      </c>
      <c r="B47" s="0" t="n">
        <f aca="false">(SUMPRODUCT(C19:L19/(1+B45/100)^C4:L4)+B46/(1+B45/100)^L4+Assumptions!$B$5-Assumptions!$B$4)/Assumptions!$B$3*Assumptions!$B$10</f>
        <v>37.9640706611139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15</v>
      </c>
      <c r="D5" s="4" t="n">
        <f aca="false">Assumptions!D41</f>
        <v>11</v>
      </c>
      <c r="E5" s="4" t="n">
        <f aca="false">Assumptions!E41</f>
        <v>9</v>
      </c>
      <c r="F5" s="4" t="n">
        <f aca="false">Assumptions!F41</f>
        <v>8</v>
      </c>
      <c r="G5" s="4" t="n">
        <f aca="false">Assumptions!G41</f>
        <v>7</v>
      </c>
      <c r="H5" s="4" t="n">
        <f aca="false">Assumptions!H41</f>
        <v>6</v>
      </c>
      <c r="I5" s="4" t="n">
        <f aca="false">Assumptions!I41</f>
        <v>5</v>
      </c>
      <c r="J5" s="4" t="n">
        <f aca="false">Assumptions!J41</f>
        <v>4</v>
      </c>
      <c r="K5" s="4" t="n">
        <f aca="false">Assumptions!K41</f>
        <v>3.5</v>
      </c>
      <c r="L5" s="4" t="n">
        <f aca="false">Assumptions!L41</f>
        <v>3</v>
      </c>
    </row>
    <row r="6" customFormat="false" ht="15" hidden="false" customHeight="false" outlineLevel="0" collapsed="false">
      <c r="A6" s="0" t="s">
        <v>37</v>
      </c>
      <c r="B6" s="3" t="n">
        <v>9480.6</v>
      </c>
      <c r="C6" s="0" t="n">
        <f aca="false">B6*(1+C5/100)</f>
        <v>10902.69</v>
      </c>
      <c r="D6" s="0" t="n">
        <f aca="false">C6*(1+D5/100)</f>
        <v>12101.9859</v>
      </c>
      <c r="E6" s="0" t="n">
        <f aca="false">D6*(1+E5/100)</f>
        <v>13191.164631</v>
      </c>
      <c r="F6" s="0" t="n">
        <f aca="false">E6*(1+F5/100)</f>
        <v>14246.45780148</v>
      </c>
      <c r="G6" s="0" t="n">
        <f aca="false">F6*(1+G5/100)</f>
        <v>15243.7098475836</v>
      </c>
      <c r="H6" s="0" t="n">
        <f aca="false">G6*(1+H5/100)</f>
        <v>16158.3324384386</v>
      </c>
      <c r="I6" s="0" t="n">
        <f aca="false">H6*(1+I5/100)</f>
        <v>16966.2490603606</v>
      </c>
      <c r="J6" s="0" t="n">
        <f aca="false">I6*(1+J5/100)</f>
        <v>17644.899022775</v>
      </c>
      <c r="K6" s="0" t="n">
        <f aca="false">J6*(1+K5/100)</f>
        <v>18262.4704885721</v>
      </c>
      <c r="L6" s="0" t="n">
        <f aca="false">K6*(1+L5/100)</f>
        <v>18810.3446032293</v>
      </c>
    </row>
    <row r="7" customFormat="false" ht="15" hidden="false" customHeight="false" outlineLevel="0" collapsed="false">
      <c r="A7" s="0" t="s">
        <v>106</v>
      </c>
      <c r="C7" s="4" t="n">
        <f aca="false">Assumptions!C42</f>
        <v>24</v>
      </c>
      <c r="D7" s="4" t="n">
        <f aca="false">Assumptions!D42</f>
        <v>24.5</v>
      </c>
      <c r="E7" s="4" t="n">
        <f aca="false">Assumptions!E42</f>
        <v>25</v>
      </c>
      <c r="F7" s="4" t="n">
        <f aca="false">Assumptions!F42</f>
        <v>25.5</v>
      </c>
      <c r="G7" s="4" t="n">
        <f aca="false">Assumptions!G42</f>
        <v>26</v>
      </c>
      <c r="H7" s="4" t="n">
        <f aca="false">Assumptions!H42</f>
        <v>26</v>
      </c>
      <c r="I7" s="4" t="n">
        <f aca="false">Assumptions!I42</f>
        <v>26</v>
      </c>
      <c r="J7" s="4" t="n">
        <f aca="false">Assumptions!J42</f>
        <v>26</v>
      </c>
      <c r="K7" s="4" t="n">
        <f aca="false">Assumptions!K42</f>
        <v>26</v>
      </c>
      <c r="L7" s="4" t="n">
        <f aca="false">Assumptions!L42</f>
        <v>26</v>
      </c>
    </row>
    <row r="8" customFormat="false" ht="15" hidden="false" customHeight="false" outlineLevel="0" collapsed="false">
      <c r="A8" s="0" t="s">
        <v>43</v>
      </c>
      <c r="C8" s="0" t="n">
        <f aca="false">C6*C7/100</f>
        <v>2616.6456</v>
      </c>
      <c r="D8" s="0" t="n">
        <f aca="false">D6*D7/100</f>
        <v>2964.9865455</v>
      </c>
      <c r="E8" s="0" t="n">
        <f aca="false">E6*E7/100</f>
        <v>3297.79115775</v>
      </c>
      <c r="F8" s="0" t="n">
        <f aca="false">F6*F7/100</f>
        <v>3632.8467393774</v>
      </c>
      <c r="G8" s="0" t="n">
        <f aca="false">G6*G7/100</f>
        <v>3963.36456037174</v>
      </c>
      <c r="H8" s="0" t="n">
        <f aca="false">H6*H7/100</f>
        <v>4201.16643399404</v>
      </c>
      <c r="I8" s="0" t="n">
        <f aca="false">I6*I7/100</f>
        <v>4411.22475569374</v>
      </c>
      <c r="J8" s="0" t="n">
        <f aca="false">J6*J7/100</f>
        <v>4587.6737459215</v>
      </c>
      <c r="K8" s="0" t="n">
        <f aca="false">K6*K7/100</f>
        <v>4748.24232702875</v>
      </c>
      <c r="L8" s="0" t="n">
        <f aca="false">L6*L7/100</f>
        <v>4890.68959683961</v>
      </c>
    </row>
    <row r="9" customFormat="false" ht="15" hidden="false" customHeight="false" outlineLevel="0" collapsed="false">
      <c r="A9" s="0" t="s">
        <v>107</v>
      </c>
      <c r="C9" s="4" t="n">
        <f aca="false">Assumptions!C43</f>
        <v>0.4</v>
      </c>
      <c r="D9" s="4" t="n">
        <f aca="false">Assumptions!D43</f>
        <v>0.4</v>
      </c>
      <c r="E9" s="4" t="n">
        <f aca="false">Assumptions!E43</f>
        <v>0.4</v>
      </c>
      <c r="F9" s="4" t="n">
        <f aca="false">Assumptions!F43</f>
        <v>0.4</v>
      </c>
      <c r="G9" s="4" t="n">
        <f aca="false">Assumptions!G43</f>
        <v>0.4</v>
      </c>
      <c r="H9" s="4" t="n">
        <f aca="false">Assumptions!H43</f>
        <v>0.4</v>
      </c>
      <c r="I9" s="4" t="n">
        <f aca="false">Assumptions!I43</f>
        <v>0.4</v>
      </c>
      <c r="J9" s="4" t="n">
        <f aca="false">Assumptions!J43</f>
        <v>0.4</v>
      </c>
      <c r="K9" s="4" t="n">
        <f aca="false">Assumptions!K43</f>
        <v>0.4</v>
      </c>
      <c r="L9" s="4" t="n">
        <f aca="false">Assumptions!L43</f>
        <v>0.4</v>
      </c>
    </row>
    <row r="10" customFormat="false" ht="15" hidden="false" customHeight="false" outlineLevel="0" collapsed="false">
      <c r="A10" s="0" t="s">
        <v>122</v>
      </c>
      <c r="C10" s="0" t="n">
        <f aca="false">-C6*C9/100</f>
        <v>-43.61076</v>
      </c>
      <c r="D10" s="0" t="n">
        <f aca="false">-D6*D9/100</f>
        <v>-48.4079436</v>
      </c>
      <c r="E10" s="0" t="n">
        <f aca="false">-E6*E9/100</f>
        <v>-52.764658524</v>
      </c>
      <c r="F10" s="0" t="n">
        <f aca="false">-F6*F9/100</f>
        <v>-56.98583120592</v>
      </c>
      <c r="G10" s="0" t="n">
        <f aca="false">-G6*G9/100</f>
        <v>-60.9748393903344</v>
      </c>
      <c r="H10" s="0" t="n">
        <f aca="false">-H6*H9/100</f>
        <v>-64.6333297537545</v>
      </c>
      <c r="I10" s="0" t="n">
        <f aca="false">-I6*I9/100</f>
        <v>-67.8649962414422</v>
      </c>
      <c r="J10" s="0" t="n">
        <f aca="false">-J6*J9/100</f>
        <v>-70.5795960910999</v>
      </c>
      <c r="K10" s="0" t="n">
        <f aca="false">-K6*K9/100</f>
        <v>-73.0498819542884</v>
      </c>
      <c r="L10" s="0" t="n">
        <f aca="false">-L6*L9/100</f>
        <v>-75.2413784129171</v>
      </c>
    </row>
    <row r="11" customFormat="false" ht="15" hidden="false" customHeight="false" outlineLevel="0" collapsed="false">
      <c r="A11" s="0" t="s">
        <v>123</v>
      </c>
      <c r="C11" s="0" t="n">
        <f aca="false">C8+C10+C24</f>
        <v>2453.10525</v>
      </c>
      <c r="D11" s="0" t="n">
        <f aca="false">D8+D10+D24</f>
        <v>2783.456757</v>
      </c>
      <c r="E11" s="0" t="n">
        <f aca="false">E8+E10+E24</f>
        <v>3099.923688285</v>
      </c>
      <c r="F11" s="0" t="n">
        <f aca="false">F8+F10+F24</f>
        <v>3419.1498723552</v>
      </c>
      <c r="G11" s="0" t="n">
        <f aca="false">G8+G10+G24</f>
        <v>3734.70891265798</v>
      </c>
      <c r="H11" s="0" t="n">
        <f aca="false">H8+H10+H24</f>
        <v>3958.79144741746</v>
      </c>
      <c r="I11" s="0" t="n">
        <f aca="false">I8+I10+I24</f>
        <v>4156.73101978834</v>
      </c>
      <c r="J11" s="0" t="n">
        <f aca="false">J8+J10+J24</f>
        <v>4323.00026057987</v>
      </c>
      <c r="K11" s="0" t="n">
        <f aca="false">K8+K10+K24</f>
        <v>4474.30526970016</v>
      </c>
      <c r="L11" s="0" t="n">
        <f aca="false">L8+L10+L24</f>
        <v>4608.53442779117</v>
      </c>
    </row>
    <row r="12" customFormat="false" ht="15" hidden="false" customHeight="false" outlineLevel="0" collapsed="false">
      <c r="A12" s="0" t="s">
        <v>124</v>
      </c>
      <c r="C12" s="4" t="n">
        <f aca="false">-C6*Assumptions!C45/100</f>
        <v>-359.78877</v>
      </c>
      <c r="D12" s="4" t="n">
        <f aca="false">-D6*Assumptions!D45/100</f>
        <v>-399.3655347</v>
      </c>
      <c r="E12" s="4" t="n">
        <f aca="false">-E6*Assumptions!E45/100</f>
        <v>-422.117268192</v>
      </c>
      <c r="F12" s="4" t="n">
        <f aca="false">-F6*Assumptions!F45/100</f>
        <v>-455.88664964736</v>
      </c>
      <c r="G12" s="4" t="n">
        <f aca="false">-G6*Assumptions!G45/100</f>
        <v>-472.555005275092</v>
      </c>
      <c r="H12" s="4" t="n">
        <f aca="false">-H6*Assumptions!H45/100</f>
        <v>-500.908305591597</v>
      </c>
      <c r="I12" s="4" t="n">
        <f aca="false">-I6*Assumptions!I45/100</f>
        <v>-508.987471810817</v>
      </c>
      <c r="J12" s="4" t="n">
        <f aca="false">-J6*Assumptions!J45/100</f>
        <v>-529.346970683249</v>
      </c>
      <c r="K12" s="4" t="n">
        <f aca="false">-K6*Assumptions!K45/100</f>
        <v>-547.874114657163</v>
      </c>
      <c r="L12" s="4" t="n">
        <f aca="false">-L6*Assumptions!L45/100</f>
        <v>-564.310338096878</v>
      </c>
    </row>
    <row r="13" customFormat="false" ht="15" hidden="false" customHeight="false" outlineLevel="0" collapsed="false">
      <c r="A13" s="0" t="s">
        <v>125</v>
      </c>
      <c r="C13" s="0" t="n">
        <f aca="false">C11+C12</f>
        <v>2093.31648</v>
      </c>
      <c r="D13" s="0" t="n">
        <f aca="false">D11+D12</f>
        <v>2384.0912223</v>
      </c>
      <c r="E13" s="0" t="n">
        <f aca="false">E11+E12</f>
        <v>2677.806420093</v>
      </c>
      <c r="F13" s="0" t="n">
        <f aca="false">F11+F12</f>
        <v>2963.26322270784</v>
      </c>
      <c r="G13" s="0" t="n">
        <f aca="false">G11+G12</f>
        <v>3262.15390738289</v>
      </c>
      <c r="H13" s="0" t="n">
        <f aca="false">H11+H12</f>
        <v>3457.88314182586</v>
      </c>
      <c r="I13" s="0" t="n">
        <f aca="false">I11+I12</f>
        <v>3647.74354797752</v>
      </c>
      <c r="J13" s="0" t="n">
        <f aca="false">J11+J12</f>
        <v>3793.65328989662</v>
      </c>
      <c r="K13" s="0" t="n">
        <f aca="false">K11+K12</f>
        <v>3926.431155043</v>
      </c>
      <c r="L13" s="0" t="n">
        <f aca="false">L11+L12</f>
        <v>4044.22408969429</v>
      </c>
    </row>
    <row r="14" customFormat="false" ht="15" hidden="false" customHeight="false" outlineLevel="0" collapsed="false">
      <c r="A14" s="0" t="s">
        <v>111</v>
      </c>
      <c r="C14" s="4" t="n">
        <f aca="false">Assumptions!C47</f>
        <v>26</v>
      </c>
      <c r="D14" s="4" t="n">
        <f aca="false">Assumptions!D47</f>
        <v>26</v>
      </c>
      <c r="E14" s="4" t="n">
        <f aca="false">Assumptions!E47</f>
        <v>26</v>
      </c>
      <c r="F14" s="4" t="n">
        <f aca="false">Assumptions!F47</f>
        <v>26</v>
      </c>
      <c r="G14" s="4" t="n">
        <f aca="false">Assumptions!G47</f>
        <v>26</v>
      </c>
      <c r="H14" s="4" t="n">
        <f aca="false">Assumptions!H47</f>
        <v>26</v>
      </c>
      <c r="I14" s="4" t="n">
        <f aca="false">Assumptions!I47</f>
        <v>26</v>
      </c>
      <c r="J14" s="4" t="n">
        <f aca="false">Assumptions!J47</f>
        <v>26</v>
      </c>
      <c r="K14" s="4" t="n">
        <f aca="false">Assumptions!K47</f>
        <v>26</v>
      </c>
      <c r="L14" s="4" t="n">
        <f aca="false">Assumptions!L47</f>
        <v>26</v>
      </c>
    </row>
    <row r="15" customFormat="false" ht="15" hidden="false" customHeight="false" outlineLevel="0" collapsed="false">
      <c r="A15" s="0" t="s">
        <v>126</v>
      </c>
      <c r="C15" s="0" t="n">
        <f aca="false">C13-MAX(0,C13)*C14/100</f>
        <v>1549.0541952</v>
      </c>
      <c r="D15" s="0" t="n">
        <f aca="false">D13-MAX(0,D13)*D14/100</f>
        <v>1764.227504502</v>
      </c>
      <c r="E15" s="0" t="n">
        <f aca="false">E13-MAX(0,E13)*E14/100</f>
        <v>1981.57675086882</v>
      </c>
      <c r="F15" s="0" t="n">
        <f aca="false">F13-MAX(0,F13)*F14/100</f>
        <v>2192.8147848038</v>
      </c>
      <c r="G15" s="0" t="n">
        <f aca="false">G13-MAX(0,G13)*G14/100</f>
        <v>2413.99389146334</v>
      </c>
      <c r="H15" s="0" t="n">
        <f aca="false">H13-MAX(0,H13)*H14/100</f>
        <v>2558.83352495114</v>
      </c>
      <c r="I15" s="0" t="n">
        <f aca="false">I13-MAX(0,I13)*I14/100</f>
        <v>2699.33022550336</v>
      </c>
      <c r="J15" s="0" t="n">
        <f aca="false">J13-MAX(0,J13)*J14/100</f>
        <v>2807.3034345235</v>
      </c>
      <c r="K15" s="0" t="n">
        <f aca="false">K13-MAX(0,K13)*K14/100</f>
        <v>2905.55905473182</v>
      </c>
      <c r="L15" s="0" t="n">
        <f aca="false">L13-MAX(0,L13)*L14/100</f>
        <v>2992.72582637378</v>
      </c>
    </row>
    <row r="16" customFormat="false" ht="15" hidden="false" customHeight="false" outlineLevel="0" collapsed="false">
      <c r="A16" s="0" t="s">
        <v>127</v>
      </c>
      <c r="C16" s="0" t="n">
        <f aca="false">-C12</f>
        <v>359.78877</v>
      </c>
      <c r="D16" s="0" t="n">
        <f aca="false">-D12</f>
        <v>399.3655347</v>
      </c>
      <c r="E16" s="0" t="n">
        <f aca="false">-E12</f>
        <v>422.117268192</v>
      </c>
      <c r="F16" s="0" t="n">
        <f aca="false">-F12</f>
        <v>455.88664964736</v>
      </c>
      <c r="G16" s="0" t="n">
        <f aca="false">-G12</f>
        <v>472.555005275092</v>
      </c>
      <c r="H16" s="0" t="n">
        <f aca="false">-H12</f>
        <v>500.908305591597</v>
      </c>
      <c r="I16" s="0" t="n">
        <f aca="false">-I12</f>
        <v>508.987471810817</v>
      </c>
      <c r="J16" s="0" t="n">
        <f aca="false">-J12</f>
        <v>529.346970683249</v>
      </c>
      <c r="K16" s="0" t="n">
        <f aca="false">-K12</f>
        <v>547.874114657163</v>
      </c>
      <c r="L16" s="0" t="n">
        <f aca="false">-L12</f>
        <v>564.310338096878</v>
      </c>
    </row>
    <row r="17" customFormat="false" ht="15" hidden="false" customHeight="false" outlineLevel="0" collapsed="false">
      <c r="A17" s="0" t="s">
        <v>128</v>
      </c>
      <c r="C17" s="4" t="n">
        <f aca="false">-C6*Assumptions!C46/100</f>
        <v>-327.0807</v>
      </c>
      <c r="D17" s="4" t="n">
        <f aca="false">-D6*Assumptions!D46/100</f>
        <v>-363.059577</v>
      </c>
      <c r="E17" s="4" t="n">
        <f aca="false">-E6*Assumptions!E46/100</f>
        <v>-395.73493893</v>
      </c>
      <c r="F17" s="4" t="n">
        <f aca="false">-F6*Assumptions!F46/100</f>
        <v>-427.3937340444</v>
      </c>
      <c r="G17" s="4" t="n">
        <f aca="false">-G6*Assumptions!G46/100</f>
        <v>-457.311295427508</v>
      </c>
      <c r="H17" s="4" t="n">
        <f aca="false">-H6*Assumptions!H46/100</f>
        <v>-468.59164071472</v>
      </c>
      <c r="I17" s="4" t="n">
        <f aca="false">-I6*Assumptions!I46/100</f>
        <v>-492.021222750456</v>
      </c>
      <c r="J17" s="4" t="n">
        <f aca="false">-J6*Assumptions!J46/100</f>
        <v>-494.057172637699</v>
      </c>
      <c r="K17" s="4" t="n">
        <f aca="false">-K6*Assumptions!K46/100</f>
        <v>-511.349173680019</v>
      </c>
      <c r="L17" s="4" t="n">
        <f aca="false">-L6*Assumptions!L46/100</f>
        <v>-526.689648890419</v>
      </c>
    </row>
    <row r="18" customFormat="false" ht="15" hidden="false" customHeight="false" outlineLevel="0" collapsed="false">
      <c r="A18" s="0" t="s">
        <v>129</v>
      </c>
      <c r="C18" s="4" t="n">
        <f aca="false">(C6-B6)*Assumptions!$B$51/100</f>
        <v>-156.4299</v>
      </c>
      <c r="D18" s="4" t="n">
        <f aca="false">(D6-C6)*Assumptions!$B$51/100</f>
        <v>-131.922549</v>
      </c>
      <c r="E18" s="4" t="n">
        <f aca="false">(E6-D6)*Assumptions!$B$51/100</f>
        <v>-119.80966041</v>
      </c>
      <c r="F18" s="4" t="n">
        <f aca="false">(F6-E6)*Assumptions!$B$51/100</f>
        <v>-116.0822487528</v>
      </c>
      <c r="G18" s="4" t="n">
        <f aca="false">(G6-F6)*Assumptions!$B$51/100</f>
        <v>-109.697725071396</v>
      </c>
      <c r="H18" s="4" t="n">
        <f aca="false">(H6-G6)*Assumptions!$B$51/100</f>
        <v>-100.608484994052</v>
      </c>
      <c r="I18" s="4" t="n">
        <f aca="false">(I6-H6)*Assumptions!$B$51/100</f>
        <v>-88.8708284114127</v>
      </c>
      <c r="J18" s="4" t="n">
        <f aca="false">(J6-I6)*Assumptions!$B$51/100</f>
        <v>-74.6514958655866</v>
      </c>
      <c r="K18" s="4" t="n">
        <f aca="false">(K6-J6)*Assumptions!$B$51/100</f>
        <v>-67.9328612376834</v>
      </c>
      <c r="L18" s="4" t="n">
        <f aca="false">(L6-K6)*Assumptions!$B$51/100</f>
        <v>-60.2661526122879</v>
      </c>
    </row>
    <row r="19" customFormat="false" ht="15" hidden="false" customHeight="false" outlineLevel="0" collapsed="false">
      <c r="A19" s="0" t="s">
        <v>130</v>
      </c>
      <c r="C19" s="0" t="n">
        <f aca="false">C15+C16+C17+C18</f>
        <v>1425.3323652</v>
      </c>
      <c r="D19" s="0" t="n">
        <f aca="false">D15+D16+D17+D18</f>
        <v>1668.610913202</v>
      </c>
      <c r="E19" s="0" t="n">
        <f aca="false">E15+E16+E17+E18</f>
        <v>1888.14941972082</v>
      </c>
      <c r="F19" s="0" t="n">
        <f aca="false">F15+F16+F17+F18</f>
        <v>2105.22545165396</v>
      </c>
      <c r="G19" s="0" t="n">
        <f aca="false">G15+G16+G17+G18</f>
        <v>2319.53987623953</v>
      </c>
      <c r="H19" s="0" t="n">
        <f aca="false">H15+H16+H17+H18</f>
        <v>2490.54170483397</v>
      </c>
      <c r="I19" s="0" t="n">
        <f aca="false">I15+I16+I17+I18</f>
        <v>2627.42564615231</v>
      </c>
      <c r="J19" s="0" t="n">
        <f aca="false">J15+J16+J17+J18</f>
        <v>2767.94173670346</v>
      </c>
      <c r="K19" s="0" t="n">
        <f aca="false">K15+K16+K17+K18</f>
        <v>2874.15113447128</v>
      </c>
      <c r="L19" s="0" t="n">
        <f aca="false">L15+L16+L17+L18</f>
        <v>2970.08036296795</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1319.75219</v>
      </c>
      <c r="D21" s="0" t="n">
        <f aca="false">D19*D20</f>
        <v>1430.56491186728</v>
      </c>
      <c r="E21" s="0" t="n">
        <f aca="false">E19*E20</f>
        <v>1498.87388523791</v>
      </c>
      <c r="F21" s="0" t="n">
        <f aca="false">F19*F20</f>
        <v>1547.40355383256</v>
      </c>
      <c r="G21" s="0" t="n">
        <f aca="false">G19*G20</f>
        <v>1578.63986461837</v>
      </c>
      <c r="H21" s="0" t="n">
        <f aca="false">H19*H20</f>
        <v>1569.46373687203</v>
      </c>
      <c r="I21" s="0" t="n">
        <f aca="false">I19*I20</f>
        <v>1533.07762879528</v>
      </c>
      <c r="J21" s="0" t="n">
        <f aca="false">J19*J20</f>
        <v>1495.43279445524</v>
      </c>
      <c r="K21" s="0" t="n">
        <f aca="false">K19*K20</f>
        <v>1437.79113639897</v>
      </c>
      <c r="L21" s="0" t="n">
        <f aca="false">L19*L20</f>
        <v>1375.72188321495</v>
      </c>
    </row>
    <row r="23" customFormat="false" ht="15" hidden="false" customHeight="false" outlineLevel="0" collapsed="false">
      <c r="A23" s="0" t="s">
        <v>108</v>
      </c>
      <c r="C23" s="4" t="n">
        <f aca="false">Assumptions!C44</f>
        <v>1.1</v>
      </c>
      <c r="D23" s="4" t="n">
        <f aca="false">Assumptions!D44</f>
        <v>1.1</v>
      </c>
      <c r="E23" s="4" t="n">
        <f aca="false">Assumptions!E44</f>
        <v>1.1</v>
      </c>
      <c r="F23" s="4" t="n">
        <f aca="false">Assumptions!F44</f>
        <v>1.1</v>
      </c>
      <c r="G23" s="4" t="n">
        <f aca="false">Assumptions!G44</f>
        <v>1.1</v>
      </c>
      <c r="H23" s="4" t="n">
        <f aca="false">Assumptions!H44</f>
        <v>1.1</v>
      </c>
      <c r="I23" s="4" t="n">
        <f aca="false">Assumptions!I44</f>
        <v>1.1</v>
      </c>
      <c r="J23" s="4" t="n">
        <f aca="false">Assumptions!J44</f>
        <v>1.1</v>
      </c>
      <c r="K23" s="4" t="n">
        <f aca="false">Assumptions!K44</f>
        <v>1.1</v>
      </c>
      <c r="L23" s="4" t="n">
        <f aca="false">Assumptions!L44</f>
        <v>1.1</v>
      </c>
    </row>
    <row r="24" customFormat="false" ht="15" hidden="false" customHeight="false" outlineLevel="0" collapsed="false">
      <c r="A24" s="0" t="s">
        <v>133</v>
      </c>
      <c r="C24" s="0" t="n">
        <f aca="false">-C6*C23/100</f>
        <v>-119.92959</v>
      </c>
      <c r="D24" s="0" t="n">
        <f aca="false">-D6*D23/100</f>
        <v>-133.1218449</v>
      </c>
      <c r="E24" s="0" t="n">
        <f aca="false">-E6*E23/100</f>
        <v>-145.102810941</v>
      </c>
      <c r="F24" s="0" t="n">
        <f aca="false">-F6*F23/100</f>
        <v>-156.71103581628</v>
      </c>
      <c r="G24" s="0" t="n">
        <f aca="false">-G6*G23/100</f>
        <v>-167.68080832342</v>
      </c>
      <c r="H24" s="0" t="n">
        <f aca="false">-H6*H23/100</f>
        <v>-177.741656822825</v>
      </c>
      <c r="I24" s="0" t="n">
        <f aca="false">-I6*I23/100</f>
        <v>-186.628739663966</v>
      </c>
      <c r="J24" s="0" t="n">
        <f aca="false">-J6*J23/100</f>
        <v>-194.093889250525</v>
      </c>
      <c r="K24" s="0" t="n">
        <f aca="false">-K6*K23/100</f>
        <v>-200.887175374293</v>
      </c>
      <c r="L24" s="0" t="n">
        <f aca="false">-L6*L23/100</f>
        <v>-206.913790635522</v>
      </c>
    </row>
    <row r="26" customFormat="false" ht="15" hidden="false" customHeight="false" outlineLevel="0" collapsed="false">
      <c r="A26" s="2" t="s">
        <v>134</v>
      </c>
    </row>
    <row r="27" customFormat="false" ht="15" hidden="false" customHeight="false" outlineLevel="0" collapsed="false">
      <c r="A27" s="0" t="s">
        <v>112</v>
      </c>
      <c r="B27" s="4" t="n">
        <f aca="false">Assumptions!$B$48</f>
        <v>8</v>
      </c>
    </row>
    <row r="28" customFormat="false" ht="15" hidden="false" customHeight="false" outlineLevel="0" collapsed="false">
      <c r="A28" s="0" t="s">
        <v>113</v>
      </c>
      <c r="B28" s="4" t="n">
        <f aca="false">Assumptions!$B$49</f>
        <v>3</v>
      </c>
    </row>
    <row r="29" customFormat="false" ht="15" hidden="false" customHeight="false" outlineLevel="0" collapsed="false">
      <c r="A29" s="0" t="s">
        <v>114</v>
      </c>
      <c r="B29" s="4" t="n">
        <f aca="false">Assumptions!$B$50</f>
        <v>20</v>
      </c>
    </row>
    <row r="30" customFormat="false" ht="15" hidden="false" customHeight="false" outlineLevel="0" collapsed="false">
      <c r="A30" s="0" t="s">
        <v>135</v>
      </c>
      <c r="B30" s="0" t="n">
        <f aca="false">SUM(C21:L21)</f>
        <v>14786.7215852926</v>
      </c>
    </row>
    <row r="31" customFormat="false" ht="15" hidden="false" customHeight="false" outlineLevel="0" collapsed="false">
      <c r="A31" s="0" t="s">
        <v>136</v>
      </c>
      <c r="B31" s="0" t="n">
        <f aca="false">L19</f>
        <v>2970.08036296795</v>
      </c>
    </row>
    <row r="32" customFormat="false" ht="15" hidden="false" customHeight="false" outlineLevel="0" collapsed="false">
      <c r="A32" s="0" t="s">
        <v>137</v>
      </c>
      <c r="B32" s="0" t="n">
        <f aca="false">IF(B27&gt;B28,B31*(1+B28/100)/((B27-B28)/100),B31*B29)</f>
        <v>61183.6554771397</v>
      </c>
    </row>
    <row r="33" customFormat="false" ht="15" hidden="false" customHeight="false" outlineLevel="0" collapsed="false">
      <c r="A33" s="0" t="s">
        <v>138</v>
      </c>
      <c r="B33" s="0" t="n">
        <f aca="false">B31*B29</f>
        <v>59401.6072593589</v>
      </c>
    </row>
    <row r="34" customFormat="false" ht="15" hidden="false" customHeight="false" outlineLevel="0" collapsed="false">
      <c r="A34" s="0" t="s">
        <v>139</v>
      </c>
      <c r="B34" s="0" t="n">
        <f aca="false">MAX(0,MIN(B32,B33))</f>
        <v>59401.6072593589</v>
      </c>
    </row>
    <row r="35" customFormat="false" ht="15" hidden="false" customHeight="false" outlineLevel="0" collapsed="false">
      <c r="A35" s="0" t="s">
        <v>140</v>
      </c>
      <c r="B35" s="0" t="n">
        <f aca="false">B34/(1+B27/100)^L4</f>
        <v>27514.437664299</v>
      </c>
    </row>
    <row r="36" customFormat="false" ht="15" hidden="false" customHeight="false" outlineLevel="0" collapsed="false">
      <c r="A36" s="0" t="s">
        <v>141</v>
      </c>
      <c r="B36" s="0" t="n">
        <f aca="false">B30+B35</f>
        <v>42301.1592495916</v>
      </c>
    </row>
    <row r="37" customFormat="false" ht="15" hidden="false" customHeight="false" outlineLevel="0" collapsed="false">
      <c r="A37" s="0" t="s">
        <v>142</v>
      </c>
      <c r="B37" s="0" t="n">
        <f aca="false">B36+Assumptions!$B$5-Assumptions!$B$4</f>
        <v>38422.1592495916</v>
      </c>
    </row>
    <row r="38" customFormat="false" ht="15" hidden="false" customHeight="false" outlineLevel="0" collapsed="false">
      <c r="A38" s="0" t="s">
        <v>143</v>
      </c>
      <c r="B38" s="0" t="n">
        <f aca="false">B37/Assumptions!$B$3*Assumptions!$B$10</f>
        <v>145.648822022712</v>
      </c>
    </row>
    <row r="39" customFormat="false" ht="15" hidden="false" customHeight="false" outlineLevel="0" collapsed="false">
      <c r="A39" s="0" t="s">
        <v>144</v>
      </c>
      <c r="B39" s="4" t="n">
        <f aca="false">B38/Assumptions!$B$2-1</f>
        <v>0.173640789868755</v>
      </c>
    </row>
    <row r="41" customFormat="false" ht="15" hidden="false" customHeight="false" outlineLevel="0" collapsed="false">
      <c r="A41" s="0" t="s">
        <v>145</v>
      </c>
      <c r="B41" s="0" t="n">
        <f aca="false">SUMPRODUCT(-C10:L10/(1+$B$27/100)^C4:L4)</f>
        <v>397.008306906371</v>
      </c>
    </row>
    <row r="42" customFormat="false" ht="15" hidden="false" customHeight="false" outlineLevel="0" collapsed="false">
      <c r="A42" s="0" t="s">
        <v>146</v>
      </c>
      <c r="B42" s="0" t="n">
        <f aca="false">IF(B27&gt;B28,-L10*(1+B28/100)/((B27-B28)/100),-L10*20)/(1+B27/100)^L4</f>
        <v>717.937120216801</v>
      </c>
    </row>
    <row r="43" customFormat="false" ht="15" hidden="false" customHeight="false" outlineLevel="0" collapsed="false">
      <c r="A43" s="0" t="s">
        <v>147</v>
      </c>
      <c r="B43" s="0" t="n">
        <f aca="false">(B37+B41+B42)/Assumptions!$B$3*Assumptions!$B$10</f>
        <v>149.875302034552</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25493.1897821415</v>
      </c>
    </row>
    <row r="47" customFormat="false" ht="15" hidden="false" customHeight="false" outlineLevel="0" collapsed="false">
      <c r="A47" s="0" t="s">
        <v>149</v>
      </c>
      <c r="B47" s="0" t="n">
        <f aca="false">(SUMPRODUCT(C19:L19/(1+B45/100)^C4:L4)+B46/(1+B45/100)^L4+Assumptions!$B$5-Assumptions!$B$4)/Assumptions!$B$3*Assumptions!$B$10</f>
        <v>49.4409721578681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70.5762599565626</v>
      </c>
      <c r="C4" s="0" t="n">
        <f aca="false">B4/Assumptions!$B$2-1</f>
        <v>-0.43129524611956</v>
      </c>
      <c r="D4" s="4" t="n">
        <f aca="false">Assumptions!$B$24</f>
        <v>0.25</v>
      </c>
      <c r="E4" s="4" t="n">
        <f aca="false">DCF_Bear!$B$43</f>
        <v>73.3344575461278</v>
      </c>
      <c r="F4" s="4" t="n">
        <f aca="false">DCF_Bear!$B$47</f>
        <v>26.8247838300429</v>
      </c>
    </row>
    <row r="5" customFormat="false" ht="15" hidden="false" customHeight="false" outlineLevel="0" collapsed="false">
      <c r="A5" s="0" t="s">
        <v>158</v>
      </c>
      <c r="B5" s="4" t="n">
        <f aca="false">DCF_Base!$B$38</f>
        <v>106.185351984264</v>
      </c>
      <c r="C5" s="0" t="n">
        <f aca="false">B5/Assumptions!$B$2-1</f>
        <v>-0.144356551295211</v>
      </c>
      <c r="D5" s="4" t="n">
        <f aca="false">Assumptions!$B$38</f>
        <v>0.5</v>
      </c>
      <c r="E5" s="4" t="n">
        <f aca="false">DCF_Base!$B$43</f>
        <v>109.574517098571</v>
      </c>
      <c r="F5" s="4" t="n">
        <f aca="false">DCF_Base!$B$47</f>
        <v>37.9640706611139</v>
      </c>
    </row>
    <row r="6" customFormat="false" ht="15" hidden="false" customHeight="false" outlineLevel="0" collapsed="false">
      <c r="A6" s="0" t="s">
        <v>159</v>
      </c>
      <c r="B6" s="4" t="n">
        <f aca="false">DCF_Bull!$B$38</f>
        <v>145.648822022712</v>
      </c>
      <c r="C6" s="0" t="n">
        <f aca="false">B6/Assumptions!$B$2-1</f>
        <v>0.173640789868755</v>
      </c>
      <c r="D6" s="4" t="n">
        <f aca="false">Assumptions!$B$52</f>
        <v>0.25</v>
      </c>
      <c r="E6" s="4" t="n">
        <f aca="false">DCF_Bull!$B$43</f>
        <v>149.875302034552</v>
      </c>
      <c r="F6" s="4" t="n">
        <f aca="false">DCF_Bull!$B$47</f>
        <v>49.4409721578681</v>
      </c>
    </row>
    <row r="8" customFormat="false" ht="15" hidden="false" customHeight="false" outlineLevel="0" collapsed="false">
      <c r="A8" s="0" t="s">
        <v>160</v>
      </c>
      <c r="B8" s="0" t="n">
        <f aca="false">SUMPRODUCT(B4:B6,D4:D6)</f>
        <v>107.148946486951</v>
      </c>
    </row>
    <row r="9" customFormat="false" ht="15" hidden="false" customHeight="false" outlineLevel="0" collapsed="false">
      <c r="A9" s="0" t="s">
        <v>161</v>
      </c>
      <c r="B9" s="0" t="n">
        <f aca="false">SUMPRODUCT(E4:E6,D4:D6)</f>
        <v>110.589698444455</v>
      </c>
    </row>
    <row r="10" customFormat="false" ht="15" hidden="false" customHeight="false" outlineLevel="0" collapsed="false">
      <c r="A10" s="0" t="s">
        <v>162</v>
      </c>
      <c r="B10" s="0" t="n">
        <f aca="false">1-Assumptions!$B$2/B8</f>
        <v>-0.158200841621093</v>
      </c>
    </row>
    <row r="11" customFormat="false" ht="15" hidden="false" customHeight="false" outlineLevel="0" collapsed="false">
      <c r="A11" s="0" t="s">
        <v>163</v>
      </c>
      <c r="B11" s="0" t="n">
        <f aca="false">IF(ABS(B9-B8)&gt;0.01*ABS(B8),(Assumptions!$B$2-B8)/(B9-B8)*100,"n/a")</f>
        <v>492.655492822691</v>
      </c>
    </row>
    <row r="12" customFormat="false" ht="15" hidden="false" customHeight="false" outlineLevel="0" collapsed="false">
      <c r="A12" s="0" t="s">
        <v>164</v>
      </c>
      <c r="B12" s="0" t="n">
        <f aca="false">SUMPRODUCT(F4:F6,D4:D6)</f>
        <v>38.0484743275347</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106.185351984264</v>
      </c>
      <c r="C15" s="3" t="n">
        <v>8</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89.2508900931982</v>
      </c>
      <c r="C16" s="3" t="n">
        <v>9</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74.9605970402608</v>
      </c>
      <c r="C17" s="3" t="n">
        <v>10</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64.0495289856094</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55.4496472061855</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37.9640706611139</v>
      </c>
      <c r="C20" s="3" t="n">
        <v>15</v>
      </c>
    </row>
    <row r="22" customFormat="false" ht="15" hidden="false" customHeight="false" outlineLevel="0" collapsed="false">
      <c r="A22" s="2" t="s">
        <v>173</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126.230594770761</v>
      </c>
      <c r="C24" s="0" t="n">
        <f aca="false">(SUMPRODUCT(DCF_Base!$C$19:$L$19/(1+$A$24/100)^DCF_Base!$C$4:$L$4)+MAX(0,MIN(IF($A$24&gt;$C$23,DCF_Base!$L$19*(1+$C$23/100)/(($A$24-$C$23)/100),DCF_Base!$L$19*DCF_Base!$B$29),DCF_Base!$L$19*DCF_Base!$B$29))/(1+$A$24/100)^DCF_Base!$L$4+Assumptions!$B$5-Assumptions!$B$4)/Assumptions!$B$3*Assumptions!$B$10</f>
        <v>126.230594770761</v>
      </c>
      <c r="D24" s="0" t="n">
        <f aca="false">(SUMPRODUCT(DCF_Base!$C$19:$L$19/(1+$A$24/100)^DCF_Base!$C$4:$L$4)+MAX(0,MIN(IF($A$24&gt;$D$23,DCF_Base!$L$19*(1+$D$23/100)/(($A$24-$D$23)/100),DCF_Base!$L$19*DCF_Base!$B$29),DCF_Base!$L$19*DCF_Base!$B$29))/(1+$A$24/100)^DCF_Base!$L$4+Assumptions!$B$5-Assumptions!$B$4)/Assumptions!$B$3*Assumptions!$B$10</f>
        <v>126.230594770761</v>
      </c>
      <c r="E24" s="0" t="n">
        <f aca="false">(SUMPRODUCT(DCF_Base!$C$19:$L$19/(1+$A$24/100)^DCF_Base!$C$4:$L$4)+MAX(0,MIN(IF($A$24&gt;$E$23,DCF_Base!$L$19*(1+$E$23/100)/(($A$24-$E$23)/100),DCF_Base!$L$19*DCF_Base!$B$29),DCF_Base!$L$19*DCF_Base!$B$29))/(1+$A$24/100)^DCF_Base!$L$4+Assumptions!$B$5-Assumptions!$B$4)/Assumptions!$B$3*Assumptions!$B$10</f>
        <v>126.230594770761</v>
      </c>
      <c r="F24" s="0" t="n">
        <f aca="false">(SUMPRODUCT(DCF_Base!$C$19:$L$19/(1+$A$24/100)^DCF_Base!$C$4:$L$4)+MAX(0,MIN(IF($A$24&gt;$F$23,DCF_Base!$L$19*(1+$F$23/100)/(($A$24-$F$23)/100),DCF_Base!$L$19*DCF_Base!$B$29),DCF_Base!$L$19*DCF_Base!$B$29))/(1+$A$24/100)^DCF_Base!$L$4+Assumptions!$B$5-Assumptions!$B$4)/Assumptions!$B$3*Assumptions!$B$10</f>
        <v>126.230594770761</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115.730253105693</v>
      </c>
      <c r="C25" s="0" t="n">
        <f aca="false">(SUMPRODUCT(DCF_Base!$C$19:$L$19/(1+$A$25/100)^DCF_Base!$C$4:$L$4)+MAX(0,MIN(IF($A$25&gt;$C$23,DCF_Base!$L$19*(1+$C$23/100)/(($A$25-$C$23)/100),DCF_Base!$L$19*DCF_Base!$B$29),DCF_Base!$L$19*DCF_Base!$B$29))/(1+$A$25/100)^DCF_Base!$L$4+Assumptions!$B$5-Assumptions!$B$4)/Assumptions!$B$3*Assumptions!$B$10</f>
        <v>115.730253105693</v>
      </c>
      <c r="D25" s="0" t="n">
        <f aca="false">(SUMPRODUCT(DCF_Base!$C$19:$L$19/(1+$A$25/100)^DCF_Base!$C$4:$L$4)+MAX(0,MIN(IF($A$25&gt;$D$23,DCF_Base!$L$19*(1+$D$23/100)/(($A$25-$D$23)/100),DCF_Base!$L$19*DCF_Base!$B$29),DCF_Base!$L$19*DCF_Base!$B$29))/(1+$A$25/100)^DCF_Base!$L$4+Assumptions!$B$5-Assumptions!$B$4)/Assumptions!$B$3*Assumptions!$B$10</f>
        <v>115.730253105693</v>
      </c>
      <c r="E25" s="0" t="n">
        <f aca="false">(SUMPRODUCT(DCF_Base!$C$19:$L$19/(1+$A$25/100)^DCF_Base!$C$4:$L$4)+MAX(0,MIN(IF($A$25&gt;$E$23,DCF_Base!$L$19*(1+$E$23/100)/(($A$25-$E$23)/100),DCF_Base!$L$19*DCF_Base!$B$29),DCF_Base!$L$19*DCF_Base!$B$29))/(1+$A$25/100)^DCF_Base!$L$4+Assumptions!$B$5-Assumptions!$B$4)/Assumptions!$B$3*Assumptions!$B$10</f>
        <v>115.730253105693</v>
      </c>
      <c r="F25" s="0" t="n">
        <f aca="false">(SUMPRODUCT(DCF_Base!$C$19:$L$19/(1+$A$25/100)^DCF_Base!$C$4:$L$4)+MAX(0,MIN(IF($A$25&gt;$F$23,DCF_Base!$L$19*(1+$F$23/100)/(($A$25-$F$23)/100),DCF_Base!$L$19*DCF_Base!$B$29),DCF_Base!$L$19*DCF_Base!$B$29))/(1+$A$25/100)^DCF_Base!$L$4+Assumptions!$B$5-Assumptions!$B$4)/Assumptions!$B$3*Assumptions!$B$10</f>
        <v>115.730253105693</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96.5175158734857</v>
      </c>
      <c r="C26" s="0" t="n">
        <f aca="false">(SUMPRODUCT(DCF_Base!$C$19:$L$19/(1+$A$26/100)^DCF_Base!$C$4:$L$4)+MAX(0,MIN(IF($A$26&gt;$C$23,DCF_Base!$L$19*(1+$C$23/100)/(($A$26-$C$23)/100),DCF_Base!$L$19*DCF_Base!$B$29),DCF_Base!$L$19*DCF_Base!$B$29))/(1+$A$26/100)^DCF_Base!$L$4+Assumptions!$B$5-Assumptions!$B$4)/Assumptions!$B$3*Assumptions!$B$10</f>
        <v>102.131098131357</v>
      </c>
      <c r="D26" s="0" t="n">
        <f aca="false">(SUMPRODUCT(DCF_Base!$C$19:$L$19/(1+$A$26/100)^DCF_Base!$C$4:$L$4)+MAX(0,MIN(IF($A$26&gt;$D$23,DCF_Base!$L$19*(1+$D$23/100)/(($A$26-$D$23)/100),DCF_Base!$L$19*DCF_Base!$B$29),DCF_Base!$L$19*DCF_Base!$B$29))/(1+$A$26/100)^DCF_Base!$L$4+Assumptions!$B$5-Assumptions!$B$4)/Assumptions!$B$3*Assumptions!$B$10</f>
        <v>106.185351984264</v>
      </c>
      <c r="E26" s="0" t="n">
        <f aca="false">(SUMPRODUCT(DCF_Base!$C$19:$L$19/(1+$A$26/100)^DCF_Base!$C$4:$L$4)+MAX(0,MIN(IF($A$26&gt;$E$23,DCF_Base!$L$19*(1+$E$23/100)/(($A$26-$E$23)/100),DCF_Base!$L$19*DCF_Base!$B$29),DCF_Base!$L$19*DCF_Base!$B$29))/(1+$A$26/100)^DCF_Base!$L$4+Assumptions!$B$5-Assumptions!$B$4)/Assumptions!$B$3*Assumptions!$B$10</f>
        <v>106.185351984264</v>
      </c>
      <c r="F26" s="0" t="n">
        <f aca="false">(SUMPRODUCT(DCF_Base!$C$19:$L$19/(1+$A$26/100)^DCF_Base!$C$4:$L$4)+MAX(0,MIN(IF($A$26&gt;$F$23,DCF_Base!$L$19*(1+$F$23/100)/(($A$26-$F$23)/100),DCF_Base!$L$19*DCF_Base!$B$29),DCF_Base!$L$19*DCF_Base!$B$29))/(1+$A$26/100)^DCF_Base!$L$4+Assumptions!$B$5-Assumptions!$B$4)/Assumptions!$B$3*Assumptions!$B$10</f>
        <v>106.185351984264</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80.9841289116375</v>
      </c>
      <c r="C27" s="0" t="n">
        <f aca="false">(SUMPRODUCT(DCF_Base!$C$19:$L$19/(1+$A$27/100)^DCF_Base!$C$4:$L$4)+MAX(0,MIN(IF($A$27&gt;$C$23,DCF_Base!$L$19*(1+$C$23/100)/(($A$27-$C$23)/100),DCF_Base!$L$19*DCF_Base!$B$29),DCF_Base!$L$19*DCF_Base!$B$29))/(1+$A$27/100)^DCF_Base!$L$4+Assumptions!$B$5-Assumptions!$B$4)/Assumptions!$B$3*Assumptions!$B$10</f>
        <v>84.8222680316478</v>
      </c>
      <c r="D27" s="0" t="n">
        <f aca="false">(SUMPRODUCT(DCF_Base!$C$19:$L$19/(1+$A$27/100)^DCF_Base!$C$4:$L$4)+MAX(0,MIN(IF($A$27&gt;$D$23,DCF_Base!$L$19*(1+$D$23/100)/(($A$27-$D$23)/100),DCF_Base!$L$19*DCF_Base!$B$29),DCF_Base!$L$19*DCF_Base!$B$29))/(1+$A$27/100)^DCF_Base!$L$4+Assumptions!$B$5-Assumptions!$B$4)/Assumptions!$B$3*Assumptions!$B$10</f>
        <v>89.2508900931982</v>
      </c>
      <c r="E27" s="0" t="n">
        <f aca="false">(SUMPRODUCT(DCF_Base!$C$19:$L$19/(1+$A$27/100)^DCF_Base!$C$4:$L$4)+MAX(0,MIN(IF($A$27&gt;$E$23,DCF_Base!$L$19*(1+$E$23/100)/(($A$27-$E$23)/100),DCF_Base!$L$19*DCF_Base!$B$29),DCF_Base!$L$19*DCF_Base!$B$29))/(1+$A$27/100)^DCF_Base!$L$4+Assumptions!$B$5-Assumptions!$B$4)/Assumptions!$B$3*Assumptions!$B$10</f>
        <v>94.4176158316736</v>
      </c>
      <c r="F27" s="0" t="n">
        <f aca="false">(SUMPRODUCT(DCF_Base!$C$19:$L$19/(1+$A$27/100)^DCF_Base!$C$4:$L$4)+MAX(0,MIN(IF($A$27&gt;$F$23,DCF_Base!$L$19*(1+$F$23/100)/(($A$27-$F$23)/100),DCF_Base!$L$19*DCF_Base!$B$29),DCF_Base!$L$19*DCF_Base!$B$29))/(1+$A$27/100)^DCF_Base!$L$4+Assumptions!$B$5-Assumptions!$B$4)/Assumptions!$B$3*Assumptions!$B$10</f>
        <v>97.4986908133333</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69.137766684072</v>
      </c>
      <c r="C28" s="0" t="n">
        <f aca="false">(SUMPRODUCT(DCF_Base!$C$19:$L$19/(1+$A$28/100)^DCF_Base!$C$4:$L$4)+MAX(0,MIN(IF($A$28&gt;$C$23,DCF_Base!$L$19*(1+$C$23/100)/(($A$28-$C$23)/100),DCF_Base!$L$19*DCF_Base!$B$29),DCF_Base!$L$19*DCF_Base!$B$29))/(1+$A$28/100)^DCF_Base!$L$4+Assumptions!$B$5-Assumptions!$B$4)/Assumptions!$B$3*Assumptions!$B$10</f>
        <v>71.8672184135355</v>
      </c>
      <c r="D28" s="0" t="n">
        <f aca="false">(SUMPRODUCT(DCF_Base!$C$19:$L$19/(1+$A$28/100)^DCF_Base!$C$4:$L$4)+MAX(0,MIN(IF($A$28&gt;$D$23,DCF_Base!$L$19*(1+$D$23/100)/(($A$28-$D$23)/100),DCF_Base!$L$19*DCF_Base!$B$29),DCF_Base!$L$19*DCF_Base!$B$29))/(1+$A$28/100)^DCF_Base!$L$4+Assumptions!$B$5-Assumptions!$B$4)/Assumptions!$B$3*Assumptions!$B$10</f>
        <v>74.9605970402608</v>
      </c>
      <c r="E28" s="0" t="n">
        <f aca="false">(SUMPRODUCT(DCF_Base!$C$19:$L$19/(1+$A$28/100)^DCF_Base!$C$4:$L$4)+MAX(0,MIN(IF($A$28&gt;$E$23,DCF_Base!$L$19*(1+$E$23/100)/(($A$28-$E$23)/100),DCF_Base!$L$19*DCF_Base!$B$29),DCF_Base!$L$19*DCF_Base!$B$29))/(1+$A$28/100)^DCF_Base!$L$4+Assumptions!$B$5-Assumptions!$B$4)/Assumptions!$B$3*Assumptions!$B$10</f>
        <v>78.4958868993754</v>
      </c>
      <c r="F28" s="0" t="n">
        <f aca="false">(SUMPRODUCT(DCF_Base!$C$19:$L$19/(1+$A$28/100)^DCF_Base!$C$4:$L$4)+MAX(0,MIN(IF($A$28&gt;$F$23,DCF_Base!$L$19*(1+$F$23/100)/(($A$28-$F$23)/100),DCF_Base!$L$19*DCF_Base!$B$29),DCF_Base!$L$19*DCF_Base!$B$29))/(1+$A$28/100)^DCF_Base!$L$4+Assumptions!$B$5-Assumptions!$B$4)/Assumptions!$B$3*Assumptions!$B$10</f>
        <v>82.5750675060461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2026-10-25T15:51:13Z</dcterms:created>
  <dc:creator>openpyxl</dc:creator>
  <dc:description/>
  <dc:language>en-NZ</dc:language>
  <cp:lastModifiedBy/>
  <dcterms:modified xsi:type="dcterms:W3CDTF">2026-10-25T15:51:13Z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