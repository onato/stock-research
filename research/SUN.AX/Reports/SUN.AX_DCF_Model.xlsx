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<sst xmlns="http://schemas.openxmlformats.org/spreadsheetml/2006/main" count="359" uniqueCount="166">
  <si>
    <t xml:space="preserve">Ticker</t>
  </si>
  <si>
    <t xml:space="preserve">SUN.AX</t>
  </si>
  <si>
    <t xml:space="preserve">Company</t>
  </si>
  <si>
    <t xml:space="preserve">Suncorp Group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</si>
  <si>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</si>
  <si>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</si>
  <si>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</si>
  <si>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</si>
  <si>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2026-09-25T06:10:08Z (Yahoo Finance chart API, regular session). 52-week range 13.80-20.85.</t>
  </si>
  <si>
    <t xml:space="preserve">Balance sheet date</t>
  </si>
  <si>
    <t xml:space="preserve">2026-06-30</t>
  </si>
  <si>
    <t xml:space="preserve">Model</t>
  </si>
  <si>
    <t xml:space="preserve">General insurer free cash flow to equity capitalisation at cost of equity (engine route; attributable cash earnings after regulatory capital retention, net debt zero)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</si>
  <si>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</si>
  <si>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</si>
  <si>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</si>
  <si>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</si>
  <si>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</si>
  <si>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</si>
  <si>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</si>
  <si>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</si>
  <si>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2026-09-25T10:18:54Z</t>
  </si>
  <si>
    <t xml:space="preserve">Drivers file</t>
  </si>
  <si>
    <t xml:space="preserve">SUN.AX_Drivers.json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</si>
  <si>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</si>
  <si>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</si>
  <si>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</si>
  <si>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Suncorp is valued on the cash it can actually pay its shareholders as a pure-play Trans-Tasman general insurer: attributable profit on AASB 17 insurance revenue, after interest on regulatory capital instruments and after the small managed-funds-units minority interest, less the thin equity it must retain to hold its capital coverage ratio as premium grows, discounted at a 9% AUD cost of equity with no separate debt deduction (matching the IAG.AX peer methodology and rate). The base case, with the underwriting-plus-investment margin normalising to the FY24/FY26 level of ~10% (well below the FY25 peak of 15.1%, which relied on exceptional reserve releases and pre-MTM-loss investment income) and growth fading from the FY27 guidance midpoint to 2.5% terminal, is the primary answer. Suncorp does not compound book value -- the ~$3.8bn FY25 capital return from the Bank sale proceeds and the ongoing 60-80%-of-cash-earnings payout plus buybacks mean shareholders' equity is a residual of capital management, not a growth engine -- so the SKILL.md default of BVPS-compounding x exit-P/B was overridden in favour of the same FCFE-at-cost-of-equity engine used for IAG.AX, for the same reason.
key_risks_to_valuation: Natural hazard experience versus allowance is the single largest swing: the FY26 $254m overrun (on an $1,770m allowance) shows the allowance itself is not a reliable cap; the new 5-year aggregate reinsurance cover reduces but does not eliminate this risk (protects only to a 90th-percentile confidence, and only from 30 Jun 2026).; The UITR guided at the top half of 10-12% for FY27 is management's own underlying (ex-hazard-experience, ex-reserve-movement) measure; the reported margin the DCF actually discounts can differ materially in either direction depending on hazard experience and reserve releases in any given year.; Net investment income (FY26 $553m, down from $766m FY25) is sensitive to both the running yield on the ~$5-6bn insurance/shareholders'-funds portfolio and mark-to-market movements as rates change; a further rate rise would help running yield but hurt near-term MTM, and vice versa.; Capital retention is modelled at ~0.3-0.5x revenue growth to hold the PCA coverage ratio near its historical 1.6-1.8x band; an APRA capital-standard change or the reinsurance cover proving less effective than modelled would raise the intensity and cut FCFE.; Discount rate: the base case is terminal-heavy (Gordon growth at 9%/2.5% binds near the 15x cap); each 1pp move in the cost of equity moves the value materially.; NZ segment (Suncorp New Zealand) GWP contracted 4.8% in FY26 on a soft commercial cycle and weak economy; a sustained NZ downturn would be a persistent drag not fully captured if the base case's fade assumes stabilisation.; IAG (larger post-RACQ) and QBE compete aggressively on price; a hardening competitive response to Suncorp's premium increases could cap future GWP growth below the 3-5% FY27 guidance range.</t>
  </si>
  <si>
    <t xml:space="preserve">Data sources</t>
  </si>
  <si>
    <t xml:space="preserve">price: Yahoo Finance chart API at inputs.price_as_of; 52-week range 13.80-20.85
financials: SUN.AX_Metrics.csv / core_metrics and kpis (H1 FY2016-FY2026); SUN.AX_Annual_FY2026.txt consolidated statement of comprehensive income (lines 583-605), segment note 3.1 (lines 7840-7900), capital position note 13 (lines 9175-9184, 11530-11570), FY27 guidance (lines 5097-5140), FY26 UITR/natural hazard commentary (lines 6360-6420, 626-690); SUN.AX_Annual_FY2025.txt and SUN.AX_Annual_FY2024.txt for the FY23-25 comparable insurance-revenue P&amp;L build
qualitative: SUN.AX_Analysis.json (2026-09-25); FY26 Annual Report FY27 guidance (GWP +3-5%, UITR top-half of 10-12%, expense ratio broadly in line with FY26); IAG.AX_Drivers.json (2026-09-23) as the peer-methodology precedent for the insurer FCFE-at-cost-of-equity engine route</t>
  </si>
  <si>
    <t xml:space="preserve">Scenario narrative: bear</t>
  </si>
  <si>
    <t xml:space="preserve">Suncorp posts back-to-back natural hazard years that breach even the new aggregate cover's 90th-percentile protection, reinsurance costs reprice higher on renewal, NZ GWP keeps contracting on a soft economy and competitive intermediated market, and affordability politics cap AU rate increases even as claims inflation persists. UITR falls toward or below the bottom of the 10-12% target range and stays there; no further meaningful reserve releases. Growth settles at 1.5-2%, below claims inflation, and the buyback programme pauses as capital is consumed defending the PCA target. No solvency question (CET1 comfortably above target even in a stress year, multi-year aggregate reinsurance in place), so this is an earnings-and-multiple case, not a survival case.</t>
  </si>
  <si>
    <t xml:space="preserve">Scenario narrative: base</t>
  </si>
  <si>
    <t xml:space="preserve">Suncorp delivers FY27 inside guidance (insurance revenue +4%, UITR top-half of the 10-12% range, expense ratio broadly flat), and the new 5-year aggregate reinsurance cover normalises the reported margin closer to underlying by capping natural-hazard downside to ~$50m in 90% of scenarios -- a material de-risking versus FY26's $254m overrun. Attributable pre-tax margin on insurance revenue settles around 10% (the FY24/FY26 non-peak level, well below FY25's exceptional 15.1% reserve-release peak) and fades slowly toward 9.1% as climate-driven natural-hazard allowances keep rising and the NZ commercial cycle stays soft, only partly offset by Digital Insurer cost-out. Around 90%+ of profit is distributed (60-80% ordinary dividend payout of cash earnings plus ongoing buybacks funded from capital already above the target range); the rest funds the thin organic capital retention a growing premium base requires. The axes that matter are natural-hazard experience versus the (now partially reinsured) allowance, the UITR trend, and net investment income on ~$5-6bn of insurance and shareholders' funds.</t>
  </si>
  <si>
    <t xml:space="preserve">Scenario narrative: bull</t>
  </si>
  <si>
    <t xml:space="preserve">FY27 comes in at the top of guidance (insurance revenue +5%) with UITR sustained at 11.8-11.9% every year as the new aggregate reinsurance cover keeps natural hazard experience inside allowance, Digital Insurer/Duck Creek delivers the promised cost-to-serve reduction, and AA Insurance NZ growth offsets a stabilising (not deteriorating) NZ commercial market. Margin holds near 10.3-11.3% long run rather than fading, since the reinsurance de-risking is structural, not cyclical. Growth compounds mid-single-digit for longer before settling at a 3% terminal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</si>
  <si>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</si>
  <si>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</si>
  <si>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</si>
  <si>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</si>
  <si>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</si>
  <si>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</si>
  <si>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</si>
  <si>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</si>
  <si>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</si>
  <si>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</si>
  <si>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</si>
  <si>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</si>
  <si>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</si>
  <si>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</si>
  <si>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</si>
  <si>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</si>
  <si>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</si>
  <si>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</si>
  <si>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</si>
  <si>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</si>
  <si>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</si>
  <si>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</si>
  <si>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</si>
  <si>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</si>
  <si>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</si>
  <si>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</si>
  <si>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</si>
  <si>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InsuranceServiceResult</t>
  </si>
  <si>
    <t xml:space="preserve">CapitalReturn</t>
  </si>
  <si>
    <t xml:space="preserve">NetIncomeContinuing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</si>
  <si>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</si>
  <si>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</si>
  <si>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</si>
  <si>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</si>
  <si>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</si>
  <si>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</si>
  <si>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</si>
  <si>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</si>
  <si>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</si>
  <si>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</si>
  <si>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</si>
  <si>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</si>
  <si>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</si>
  <si>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</si>
  <si>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</si>
  <si>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</si>
  <si>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</si>
  <si>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</si>
  <si>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</si>
  <si>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</si>
  <si>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</si>
  <si>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</si>
  <si>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</si>
  <si>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</si>
  <si>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</si>
  <si>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</si>
  <si>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</si>
  <si>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</si>
  <si>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</si>
  <si>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</si>
  <si>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</si>
  <si>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</si>
  <si>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</si>
  <si>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</si>
  <si>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</si>
  <si>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</si>
  <si>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</si>
  <si>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</si>
  <si>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</si>
  <si>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</si>
  <si>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</si>
  <si>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</si>
  <si>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</si>
  <si>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</si>
  <si>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</si>
  <si>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</si>
  <si>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SUN.AX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</si>
  <si>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</si>
  <si>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</si>
  <si>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</si>
  <si>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</si>
  <si>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</si>
  <si>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</si>
  <si>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</si>
  <si>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</si>
  <si>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</si>
  <si>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</si>
  <si>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</si>
  <si>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</si>
  <si>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</si>
  <si>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</si>
  <si>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</si>
  <si>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</si>
  <si>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</si>
  <si>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</si>
  <si>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</si>
  <si>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</si>
  <si>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</si>
  <si>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</si>
  <si>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</si>
  <si>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</si>
  <si>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</si>
  <si>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</si>
  <si>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</si>
  <si>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</si>
  <si>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</si>
  <si>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</si>
  <si>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SUN.AX owner-FCF component DCF: base case (millions, AUD)</t>
  </si>
  <si>
    <t xml:space="preserve">SUN.AX owner-FCF component DCF: bull case (millions, AUD)</t>
  </si>
  <si>
    <t xml:space="preserve">SUN.AX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</si>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</sst>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18.56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14190</v>
      </c>
      <c r="I2" s="0" t="n">
        <v>1059</v>
      </c>
      <c r="J2" s="0" t="n">
        <v>7.5</v>
      </c>
      <c r="K2" s="0" t="n">
        <v>0.8217</v>
      </c>
      <c r="L2" s="0" t="n">
        <v>-1879</v>
      </c>
      <c r="O2" s="0" t="n">
        <v>13963</v>
      </c>
      <c r="P2" s="0" t="n">
        <v>99333</v>
      </c>
      <c r="Q2" s="0" t="n">
        <v>85360</v>
      </c>
      <c r="S2" s="0" t="n">
        <v>1165</v>
      </c>
      <c r="T2" s="0" t="n">
        <v>1288.8</v>
      </c>
      <c r="AA2" s="0" t="s">
        <v>17</v>
      </c>
      <c r="AB2" s="0" t="s">
        <v>14</v>
      </c>
      <c r="AE2" s="0" t="n">
        <v>969</v>
      </c>
    </row>
    <row r="3" customFormat="false" ht="15" hidden="false" customHeight="false" outlineLevel="0" collapsed="false">
      <c r="A3" s="0" t="s">
        <v>67</v>
      </c>
      <c r="B3" s="0" t="n">
        <v>15560</v>
      </c>
      <c r="I3" s="0" t="n">
        <v>175</v>
      </c>
      <c r="J3" s="0" t="n">
        <v>1.1</v>
      </c>
      <c r="K3" s="0" t="n">
        <v>0.1354</v>
      </c>
      <c r="L3" s="0" t="n">
        <v>1842</v>
      </c>
      <c r="O3" s="0" t="n">
        <v>13113</v>
      </c>
      <c r="P3" s="0" t="n">
        <v>96235</v>
      </c>
      <c r="Q3" s="0" t="n">
        <v>83102</v>
      </c>
      <c r="S3" s="0" t="n">
        <v>1086</v>
      </c>
      <c r="T3" s="0" t="n">
        <v>1292.9</v>
      </c>
      <c r="AA3" s="0" t="s">
        <v>17</v>
      </c>
      <c r="AB3" s="0" t="s">
        <v>14</v>
      </c>
      <c r="AE3" s="0" t="n">
        <v>1076</v>
      </c>
    </row>
    <row r="4" customFormat="false" ht="15" hidden="false" customHeight="false" outlineLevel="0" collapsed="false">
      <c r="A4" s="0" t="s">
        <v>68</v>
      </c>
      <c r="B4" s="0" t="n">
        <v>14770</v>
      </c>
      <c r="I4" s="0" t="n">
        <v>913</v>
      </c>
      <c r="J4" s="0" t="n">
        <v>6.2</v>
      </c>
      <c r="K4" s="0" t="n">
        <v>0.7193</v>
      </c>
      <c r="L4" s="0" t="n">
        <v>2303</v>
      </c>
      <c r="O4" s="0" t="n">
        <v>12763</v>
      </c>
      <c r="P4" s="0" t="n">
        <v>95744</v>
      </c>
      <c r="Q4" s="0" t="n">
        <v>82960</v>
      </c>
      <c r="R4" s="0" t="n">
        <v>22478</v>
      </c>
      <c r="S4" s="0" t="n">
        <v>1046</v>
      </c>
      <c r="T4" s="0" t="n">
        <v>1269.3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69</v>
      </c>
      <c r="B5" s="0" t="n">
        <v>14187</v>
      </c>
      <c r="I5" s="0" t="n">
        <v>1033</v>
      </c>
      <c r="J5" s="0" t="n">
        <v>7.3</v>
      </c>
      <c r="K5" s="0" t="n">
        <v>0.8086</v>
      </c>
      <c r="L5" s="0" t="n">
        <v>4344</v>
      </c>
      <c r="O5" s="0" t="n">
        <v>13424</v>
      </c>
      <c r="P5" s="0" t="n">
        <v>96857</v>
      </c>
      <c r="Q5" s="0" t="n">
        <v>83409</v>
      </c>
      <c r="R5" s="0" t="n">
        <v>21122</v>
      </c>
      <c r="S5" s="0" t="n">
        <v>1200</v>
      </c>
      <c r="T5" s="0" t="n">
        <v>1277.4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70</v>
      </c>
      <c r="B6" s="0" t="n">
        <v>16169</v>
      </c>
      <c r="I6" s="0" t="n">
        <v>681</v>
      </c>
      <c r="J6" s="0" t="n">
        <v>4.2</v>
      </c>
      <c r="K6" s="0" t="n">
        <v>0.538</v>
      </c>
      <c r="L6" s="0" t="n">
        <v>2485</v>
      </c>
      <c r="O6" s="0" t="n">
        <v>12753</v>
      </c>
      <c r="P6" s="0" t="n">
        <v>106378</v>
      </c>
      <c r="Q6" s="0" t="n">
        <v>93595</v>
      </c>
      <c r="R6" s="0" t="n">
        <v>23532</v>
      </c>
      <c r="S6" s="0" t="n">
        <v>1418</v>
      </c>
      <c r="T6" s="0" t="n">
        <v>1265.7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18354</v>
      </c>
      <c r="I7" s="0" t="n">
        <v>1148</v>
      </c>
      <c r="J7" s="0" t="n">
        <v>6.3</v>
      </c>
      <c r="K7" s="0" t="n">
        <v>0.9092</v>
      </c>
      <c r="L7" s="0" t="n">
        <v>742</v>
      </c>
      <c r="O7" s="0" t="n">
        <v>13314</v>
      </c>
      <c r="P7" s="0" t="n">
        <v>114983</v>
      </c>
      <c r="Q7" s="0" t="n">
        <v>101636</v>
      </c>
      <c r="R7" s="0" t="n">
        <v>26553</v>
      </c>
      <c r="S7" s="0" t="n">
        <v>3908</v>
      </c>
      <c r="T7" s="0" t="n">
        <v>1262.6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13697</v>
      </c>
      <c r="I8" s="0" t="n">
        <v>1197</v>
      </c>
      <c r="J8" s="0" t="n">
        <v>8.7</v>
      </c>
      <c r="K8" s="0" t="n">
        <v>0.9439</v>
      </c>
      <c r="L8" s="0" t="n">
        <v>2497</v>
      </c>
      <c r="O8" s="0" t="n">
        <v>13844</v>
      </c>
      <c r="P8" s="0" t="n">
        <v>111710</v>
      </c>
      <c r="Q8" s="0" t="n">
        <v>97826</v>
      </c>
      <c r="R8" s="0" t="n">
        <v>2525</v>
      </c>
      <c r="S8" s="0" t="n">
        <v>734</v>
      </c>
      <c r="T8" s="0" t="n">
        <v>1268.1</v>
      </c>
      <c r="AA8" s="0" t="s">
        <v>17</v>
      </c>
      <c r="AB8" s="0" t="s">
        <v>14</v>
      </c>
      <c r="AC8" s="0" t="n">
        <v>997</v>
      </c>
    </row>
    <row r="9" customFormat="false" ht="15" hidden="false" customHeight="false" outlineLevel="0" collapsed="false">
      <c r="A9" s="0" t="s">
        <v>73</v>
      </c>
      <c r="B9" s="0" t="n">
        <v>14966</v>
      </c>
      <c r="I9" s="0" t="n">
        <v>1823</v>
      </c>
      <c r="J9" s="0" t="n">
        <v>12.2</v>
      </c>
      <c r="K9" s="0" t="n">
        <v>1.6852</v>
      </c>
      <c r="L9" s="0" t="n">
        <v>2550</v>
      </c>
      <c r="O9" s="0" t="n">
        <v>10576</v>
      </c>
      <c r="P9" s="0" t="n">
        <v>30164</v>
      </c>
      <c r="Q9" s="0" t="n">
        <v>19537</v>
      </c>
      <c r="R9" s="0" t="n">
        <v>2528</v>
      </c>
      <c r="S9" s="0" t="n">
        <v>1361</v>
      </c>
      <c r="T9" s="0" t="n">
        <v>1081.8</v>
      </c>
      <c r="U9" s="0" t="n">
        <v>20</v>
      </c>
      <c r="AA9" s="0" t="s">
        <v>17</v>
      </c>
      <c r="AB9" s="0" t="s">
        <v>14</v>
      </c>
      <c r="AC9" s="0" t="n">
        <v>1625</v>
      </c>
      <c r="AD9" s="0" t="n">
        <v>3817</v>
      </c>
    </row>
    <row r="10" customFormat="false" ht="15" hidden="false" customHeight="false" outlineLevel="0" collapsed="false">
      <c r="A10" s="0" t="s">
        <v>74</v>
      </c>
      <c r="B10" s="0" t="n">
        <v>15247</v>
      </c>
      <c r="I10" s="0" t="n">
        <v>1027</v>
      </c>
      <c r="J10" s="0" t="n">
        <v>6.7</v>
      </c>
      <c r="K10" s="0" t="n">
        <v>0.9574</v>
      </c>
      <c r="L10" s="0" t="n">
        <v>1585</v>
      </c>
      <c r="O10" s="0" t="n">
        <v>10362</v>
      </c>
      <c r="P10" s="0" t="n">
        <v>29567</v>
      </c>
      <c r="Q10" s="0" t="n">
        <v>19158</v>
      </c>
      <c r="R10" s="0" t="n">
        <v>2292</v>
      </c>
      <c r="S10" s="0" t="n">
        <v>997</v>
      </c>
      <c r="T10" s="0" t="n">
        <v>1072.7</v>
      </c>
      <c r="U10" s="0" t="n">
        <v>19</v>
      </c>
      <c r="AA10" s="0" t="s">
        <v>17</v>
      </c>
      <c r="AB10" s="0" t="s">
        <v>14</v>
      </c>
      <c r="AC10" s="0" t="n">
        <v>1194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18.56</v>
      </c>
    </row>
    <row r="3" customFormat="false" ht="15" hidden="false" customHeight="false" outlineLevel="0" collapsed="false">
      <c r="A3" s="0" t="s">
        <v>78</v>
      </c>
      <c r="B3" s="3" t="n">
        <v>1058</v>
      </c>
    </row>
    <row r="4" customFormat="false" ht="15" hidden="false" customHeight="false" outlineLevel="0" collapsed="false">
      <c r="A4" s="0" t="s">
        <v>79</v>
      </c>
      <c r="B4" s="3" t="n">
        <v>0</v>
      </c>
    </row>
    <row r="5" customFormat="false" ht="15" hidden="false" customHeight="false" outlineLevel="0" collapsed="false">
      <c r="A5" s="0" t="s">
        <v>80</v>
      </c>
      <c r="B5" s="3" t="n">
        <v>412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15247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3</v>
      </c>
      <c r="D13" s="3" t="n">
        <v>2.5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7.63</v>
      </c>
      <c r="D14" s="3" t="n">
        <v>7.13</v>
      </c>
      <c r="E14" s="3" t="n">
        <v>7.63</v>
      </c>
      <c r="F14" s="3" t="n">
        <v>7.63</v>
      </c>
      <c r="G14" s="3" t="n">
        <v>7.43</v>
      </c>
      <c r="H14" s="3" t="n">
        <v>7.43</v>
      </c>
      <c r="I14" s="3" t="n">
        <v>7.23</v>
      </c>
      <c r="J14" s="3" t="n">
        <v>7.23</v>
      </c>
      <c r="K14" s="3" t="n">
        <v>7.13</v>
      </c>
      <c r="L14" s="3" t="n">
        <v>7.13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0.55</v>
      </c>
      <c r="D18" s="3" t="n">
        <v>0.5</v>
      </c>
      <c r="E18" s="3" t="n">
        <v>0.45</v>
      </c>
      <c r="F18" s="3" t="n">
        <v>0.45</v>
      </c>
      <c r="G18" s="3" t="n">
        <v>0.45</v>
      </c>
      <c r="H18" s="3" t="n">
        <v>0.45</v>
      </c>
      <c r="I18" s="3" t="n">
        <v>0.4</v>
      </c>
      <c r="J18" s="3" t="n">
        <v>0.4</v>
      </c>
      <c r="K18" s="3" t="n">
        <v>0.4</v>
      </c>
      <c r="L18" s="3" t="n">
        <v>0.4</v>
      </c>
    </row>
    <row r="19" customFormat="false" ht="15" hidden="false" customHeight="false" outlineLevel="0" collapsed="false">
      <c r="A19" s="0" t="s">
        <v>104</v>
      </c>
      <c r="C19" s="3" t="n">
        <v>29.5</v>
      </c>
      <c r="D19" s="3" t="n">
        <v>29.5</v>
      </c>
      <c r="E19" s="3" t="n">
        <v>29.5</v>
      </c>
      <c r="F19" s="3" t="n">
        <v>29.5</v>
      </c>
      <c r="G19" s="3" t="n">
        <v>29.5</v>
      </c>
      <c r="H19" s="3" t="n">
        <v>29.5</v>
      </c>
      <c r="I19" s="3" t="n">
        <v>29.5</v>
      </c>
      <c r="J19" s="3" t="n">
        <v>29.5</v>
      </c>
      <c r="K19" s="3" t="n">
        <v>29.5</v>
      </c>
      <c r="L19" s="3" t="n">
        <v>29.5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4</v>
      </c>
      <c r="D27" s="3" t="n">
        <v>4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9.63</v>
      </c>
      <c r="D28" s="3" t="n">
        <v>9.53</v>
      </c>
      <c r="E28" s="3" t="n">
        <v>9.43</v>
      </c>
      <c r="F28" s="3" t="n">
        <v>9.33</v>
      </c>
      <c r="G28" s="3" t="n">
        <v>9.23</v>
      </c>
      <c r="H28" s="3" t="n">
        <v>9.13</v>
      </c>
      <c r="I28" s="3" t="n">
        <v>9.03</v>
      </c>
      <c r="J28" s="3" t="n">
        <v>8.93</v>
      </c>
      <c r="K28" s="3" t="n">
        <v>8.83</v>
      </c>
      <c r="L28" s="3" t="n">
        <v>8.73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0.42</v>
      </c>
      <c r="D32" s="3" t="n">
        <v>0.4</v>
      </c>
      <c r="E32" s="3" t="n">
        <v>0.38</v>
      </c>
      <c r="F32" s="3" t="n">
        <v>0.36</v>
      </c>
      <c r="G32" s="3" t="n">
        <v>0.34</v>
      </c>
      <c r="H32" s="3" t="n">
        <v>0.32</v>
      </c>
      <c r="I32" s="3" t="n">
        <v>0.3</v>
      </c>
      <c r="J32" s="3" t="n">
        <v>0.3</v>
      </c>
      <c r="K32" s="3" t="n">
        <v>0.3</v>
      </c>
      <c r="L32" s="3" t="n">
        <v>0.3</v>
      </c>
    </row>
    <row r="33" customFormat="false" ht="15" hidden="false" customHeight="false" outlineLevel="0" collapsed="false">
      <c r="A33" s="0" t="s">
        <v>104</v>
      </c>
      <c r="C33" s="3" t="n">
        <v>29.5</v>
      </c>
      <c r="D33" s="3" t="n">
        <v>29.5</v>
      </c>
      <c r="E33" s="3" t="n">
        <v>29.5</v>
      </c>
      <c r="F33" s="3" t="n">
        <v>29.5</v>
      </c>
      <c r="G33" s="3" t="n">
        <v>29.5</v>
      </c>
      <c r="H33" s="3" t="n">
        <v>29.5</v>
      </c>
      <c r="I33" s="3" t="n">
        <v>29.5</v>
      </c>
      <c r="J33" s="3" t="n">
        <v>29.5</v>
      </c>
      <c r="K33" s="3" t="n">
        <v>29.5</v>
      </c>
      <c r="L33" s="3" t="n">
        <v>29.5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5</v>
      </c>
      <c r="D41" s="3" t="n">
        <v>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10.93</v>
      </c>
      <c r="D42" s="3" t="n">
        <v>10.83</v>
      </c>
      <c r="E42" s="3" t="n">
        <v>10.63</v>
      </c>
      <c r="F42" s="3" t="n">
        <v>10.53</v>
      </c>
      <c r="G42" s="3" t="n">
        <v>10.43</v>
      </c>
      <c r="H42" s="3" t="n">
        <v>10.33</v>
      </c>
      <c r="I42" s="3" t="n">
        <v>10.23</v>
      </c>
      <c r="J42" s="3" t="n">
        <v>10.13</v>
      </c>
      <c r="K42" s="3" t="n">
        <v>10.03</v>
      </c>
      <c r="L42" s="3" t="n">
        <v>9.93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0.5</v>
      </c>
      <c r="D46" s="3" t="n">
        <v>0.48</v>
      </c>
      <c r="E46" s="3" t="n">
        <v>0.45</v>
      </c>
      <c r="F46" s="3" t="n">
        <v>0.42</v>
      </c>
      <c r="G46" s="3" t="n">
        <v>0.4</v>
      </c>
      <c r="H46" s="3" t="n">
        <v>0.38</v>
      </c>
      <c r="I46" s="3" t="n">
        <v>0.35</v>
      </c>
      <c r="J46" s="3" t="n">
        <v>0.35</v>
      </c>
      <c r="K46" s="3" t="n">
        <v>0.35</v>
      </c>
      <c r="L46" s="3" t="n">
        <v>0.35</v>
      </c>
    </row>
    <row r="47" customFormat="false" ht="15" hidden="false" customHeight="false" outlineLevel="0" collapsed="false">
      <c r="A47" s="0" t="s">
        <v>104</v>
      </c>
      <c r="C47" s="3" t="n">
        <v>29.5</v>
      </c>
      <c r="D47" s="3" t="n">
        <v>29.5</v>
      </c>
      <c r="E47" s="3" t="n">
        <v>29.5</v>
      </c>
      <c r="F47" s="3" t="n">
        <v>29.5</v>
      </c>
      <c r="G47" s="3" t="n">
        <v>29.5</v>
      </c>
      <c r="H47" s="3" t="n">
        <v>29.5</v>
      </c>
      <c r="I47" s="3" t="n">
        <v>29.5</v>
      </c>
      <c r="J47" s="3" t="n">
        <v>29.5</v>
      </c>
      <c r="K47" s="3" t="n">
        <v>29.5</v>
      </c>
      <c r="L47" s="3" t="n">
        <v>29.5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17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3</v>
      </c>
      <c r="D5" s="4" t="n">
        <f aca="false">Assumptions!D13</f>
        <v>2.5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15247</v>
      </c>
      <c r="C6" s="0" t="n">
        <f aca="false">B6*(1+C5/100)</f>
        <v>15704.41</v>
      </c>
      <c r="D6" s="0" t="n">
        <f aca="false">C6*(1+D5/100)</f>
        <v>16097.02025</v>
      </c>
      <c r="E6" s="0" t="n">
        <f aca="false">D6*(1+E5/100)</f>
        <v>16418.960655</v>
      </c>
      <c r="F6" s="0" t="n">
        <f aca="false">E6*(1+F5/100)</f>
        <v>16747.3398681</v>
      </c>
      <c r="G6" s="0" t="n">
        <f aca="false">F6*(1+G5/100)</f>
        <v>17082.286665462</v>
      </c>
      <c r="H6" s="0" t="n">
        <f aca="false">G6*(1+H5/100)</f>
        <v>17423.9323987712</v>
      </c>
      <c r="I6" s="0" t="n">
        <f aca="false">H6*(1+I5/100)</f>
        <v>17772.4110467467</v>
      </c>
      <c r="J6" s="0" t="n">
        <f aca="false">I6*(1+J5/100)</f>
        <v>18038.9972124479</v>
      </c>
      <c r="K6" s="0" t="n">
        <f aca="false">J6*(1+K5/100)</f>
        <v>18309.5821706346</v>
      </c>
      <c r="L6" s="0" t="n">
        <f aca="false">K6*(1+L5/100)</f>
        <v>18584.2259031941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7.63</v>
      </c>
      <c r="D7" s="4" t="n">
        <f aca="false">Assumptions!D14</f>
        <v>7.13</v>
      </c>
      <c r="E7" s="4" t="n">
        <f aca="false">Assumptions!E14</f>
        <v>7.63</v>
      </c>
      <c r="F7" s="4" t="n">
        <f aca="false">Assumptions!F14</f>
        <v>7.63</v>
      </c>
      <c r="G7" s="4" t="n">
        <f aca="false">Assumptions!G14</f>
        <v>7.43</v>
      </c>
      <c r="H7" s="4" t="n">
        <f aca="false">Assumptions!H14</f>
        <v>7.43</v>
      </c>
      <c r="I7" s="4" t="n">
        <f aca="false">Assumptions!I14</f>
        <v>7.23</v>
      </c>
      <c r="J7" s="4" t="n">
        <f aca="false">Assumptions!J14</f>
        <v>7.23</v>
      </c>
      <c r="K7" s="4" t="n">
        <f aca="false">Assumptions!K14</f>
        <v>7.13</v>
      </c>
      <c r="L7" s="4" t="n">
        <f aca="false">Assumptions!L14</f>
        <v>7.13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1198.246483</v>
      </c>
      <c r="D8" s="0" t="n">
        <f aca="false">D6*D7/100</f>
        <v>1147.717543825</v>
      </c>
      <c r="E8" s="0" t="n">
        <f aca="false">E6*E7/100</f>
        <v>1252.7666979765</v>
      </c>
      <c r="F8" s="0" t="n">
        <f aca="false">F6*F7/100</f>
        <v>1277.82203193603</v>
      </c>
      <c r="G8" s="0" t="n">
        <f aca="false">G6*G7/100</f>
        <v>1269.21389924383</v>
      </c>
      <c r="H8" s="0" t="n">
        <f aca="false">H6*H7/100</f>
        <v>1294.5981772287</v>
      </c>
      <c r="I8" s="0" t="n">
        <f aca="false">I6*I7/100</f>
        <v>1284.94531867978</v>
      </c>
      <c r="J8" s="0" t="n">
        <f aca="false">J6*J7/100</f>
        <v>1304.21949845998</v>
      </c>
      <c r="K8" s="0" t="n">
        <f aca="false">K6*K7/100</f>
        <v>1305.47320876625</v>
      </c>
      <c r="L8" s="0" t="n">
        <f aca="false">L6*L7/100</f>
        <v>1325.05530689774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1198.246483</v>
      </c>
      <c r="D11" s="0" t="n">
        <f aca="false">D8+D10+D24</f>
        <v>1147.717543825</v>
      </c>
      <c r="E11" s="0" t="n">
        <f aca="false">E8+E10+E24</f>
        <v>1252.7666979765</v>
      </c>
      <c r="F11" s="0" t="n">
        <f aca="false">F8+F10+F24</f>
        <v>1277.82203193603</v>
      </c>
      <c r="G11" s="0" t="n">
        <f aca="false">G8+G10+G24</f>
        <v>1269.21389924383</v>
      </c>
      <c r="H11" s="0" t="n">
        <f aca="false">H8+H10+H24</f>
        <v>1294.5981772287</v>
      </c>
      <c r="I11" s="0" t="n">
        <f aca="false">I8+I10+I24</f>
        <v>1284.94531867978</v>
      </c>
      <c r="J11" s="0" t="n">
        <f aca="false">J8+J10+J24</f>
        <v>1304.21949845998</v>
      </c>
      <c r="K11" s="0" t="n">
        <f aca="false">K8+K10+K24</f>
        <v>1305.47320876625</v>
      </c>
      <c r="L11" s="0" t="n">
        <f aca="false">L8+L10+L24</f>
        <v>1325.05530689774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1198.246483</v>
      </c>
      <c r="D13" s="0" t="n">
        <f aca="false">D11+D12</f>
        <v>1147.717543825</v>
      </c>
      <c r="E13" s="0" t="n">
        <f aca="false">E11+E12</f>
        <v>1252.7666979765</v>
      </c>
      <c r="F13" s="0" t="n">
        <f aca="false">F11+F12</f>
        <v>1277.82203193603</v>
      </c>
      <c r="G13" s="0" t="n">
        <f aca="false">G11+G12</f>
        <v>1269.21389924383</v>
      </c>
      <c r="H13" s="0" t="n">
        <f aca="false">H11+H12</f>
        <v>1294.5981772287</v>
      </c>
      <c r="I13" s="0" t="n">
        <f aca="false">I11+I12</f>
        <v>1284.94531867978</v>
      </c>
      <c r="J13" s="0" t="n">
        <f aca="false">J11+J12</f>
        <v>1304.21949845998</v>
      </c>
      <c r="K13" s="0" t="n">
        <f aca="false">K11+K12</f>
        <v>1305.47320876625</v>
      </c>
      <c r="L13" s="0" t="n">
        <f aca="false">L11+L12</f>
        <v>1325.05530689774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29.5</v>
      </c>
      <c r="D14" s="4" t="n">
        <f aca="false">Assumptions!D19</f>
        <v>29.5</v>
      </c>
      <c r="E14" s="4" t="n">
        <f aca="false">Assumptions!E19</f>
        <v>29.5</v>
      </c>
      <c r="F14" s="4" t="n">
        <f aca="false">Assumptions!F19</f>
        <v>29.5</v>
      </c>
      <c r="G14" s="4" t="n">
        <f aca="false">Assumptions!G19</f>
        <v>29.5</v>
      </c>
      <c r="H14" s="4" t="n">
        <f aca="false">Assumptions!H19</f>
        <v>29.5</v>
      </c>
      <c r="I14" s="4" t="n">
        <f aca="false">Assumptions!I19</f>
        <v>29.5</v>
      </c>
      <c r="J14" s="4" t="n">
        <f aca="false">Assumptions!J19</f>
        <v>29.5</v>
      </c>
      <c r="K14" s="4" t="n">
        <f aca="false">Assumptions!K19</f>
        <v>29.5</v>
      </c>
      <c r="L14" s="4" t="n">
        <f aca="false">Assumptions!L19</f>
        <v>29.5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844.763770515</v>
      </c>
      <c r="D15" s="0" t="n">
        <f aca="false">D13-MAX(0,D13)*D14/100</f>
        <v>809.140868396625</v>
      </c>
      <c r="E15" s="0" t="n">
        <f aca="false">E13-MAX(0,E13)*E14/100</f>
        <v>883.200522073433</v>
      </c>
      <c r="F15" s="0" t="n">
        <f aca="false">F13-MAX(0,F13)*F14/100</f>
        <v>900.864532514901</v>
      </c>
      <c r="G15" s="0" t="n">
        <f aca="false">G13-MAX(0,G13)*G14/100</f>
        <v>894.795798966898</v>
      </c>
      <c r="H15" s="0" t="n">
        <f aca="false">H13-MAX(0,H13)*H14/100</f>
        <v>912.691714946236</v>
      </c>
      <c r="I15" s="0" t="n">
        <f aca="false">I13-MAX(0,I13)*I14/100</f>
        <v>905.886449669248</v>
      </c>
      <c r="J15" s="0" t="n">
        <f aca="false">J13-MAX(0,J13)*J14/100</f>
        <v>919.474746414286</v>
      </c>
      <c r="K15" s="0" t="n">
        <f aca="false">K13-MAX(0,K13)*K14/100</f>
        <v>920.358612180203</v>
      </c>
      <c r="L15" s="0" t="n">
        <f aca="false">L13-MAX(0,L13)*L14/100</f>
        <v>934.163991362906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-86.374255</v>
      </c>
      <c r="D17" s="4" t="n">
        <f aca="false">-D6*Assumptions!D18/100</f>
        <v>-80.48510125</v>
      </c>
      <c r="E17" s="4" t="n">
        <f aca="false">-E6*Assumptions!E18/100</f>
        <v>-73.8853229475</v>
      </c>
      <c r="F17" s="4" t="n">
        <f aca="false">-F6*Assumptions!F18/100</f>
        <v>-75.36302940645</v>
      </c>
      <c r="G17" s="4" t="n">
        <f aca="false">-G6*Assumptions!G18/100</f>
        <v>-76.870289994579</v>
      </c>
      <c r="H17" s="4" t="n">
        <f aca="false">-H6*Assumptions!H18/100</f>
        <v>-78.4076957944706</v>
      </c>
      <c r="I17" s="4" t="n">
        <f aca="false">-I6*Assumptions!I18/100</f>
        <v>-71.0896441869867</v>
      </c>
      <c r="J17" s="4" t="n">
        <f aca="false">-J6*Assumptions!J18/100</f>
        <v>-72.1559888497915</v>
      </c>
      <c r="K17" s="4" t="n">
        <f aca="false">-K6*Assumptions!K18/100</f>
        <v>-73.2383286825383</v>
      </c>
      <c r="L17" s="4" t="n">
        <f aca="false">-L6*Assumptions!L18/100</f>
        <v>-74.3369036127764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758.389515515</v>
      </c>
      <c r="D19" s="0" t="n">
        <f aca="false">D15+D16+D17+D18</f>
        <v>728.655767146625</v>
      </c>
      <c r="E19" s="0" t="n">
        <f aca="false">E15+E16+E17+E18</f>
        <v>809.315199125933</v>
      </c>
      <c r="F19" s="0" t="n">
        <f aca="false">F15+F16+F17+F18</f>
        <v>825.501503108451</v>
      </c>
      <c r="G19" s="0" t="n">
        <f aca="false">G15+G16+G17+G18</f>
        <v>817.925508972319</v>
      </c>
      <c r="H19" s="0" t="n">
        <f aca="false">H15+H16+H17+H18</f>
        <v>834.284019151765</v>
      </c>
      <c r="I19" s="0" t="n">
        <f aca="false">I15+I16+I17+I18</f>
        <v>834.796805482261</v>
      </c>
      <c r="J19" s="0" t="n">
        <f aca="false">J15+J16+J17+J18</f>
        <v>847.318757564495</v>
      </c>
      <c r="K19" s="0" t="n">
        <f aca="false">K15+K16+K17+K18</f>
        <v>847.120283497665</v>
      </c>
      <c r="L19" s="0" t="n">
        <f aca="false">L15+L16+L17+L18</f>
        <v>859.82708775013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695.770197720184</v>
      </c>
      <c r="D21" s="0" t="n">
        <f aca="false">D19*D20</f>
        <v>613.294981185611</v>
      </c>
      <c r="E21" s="0" t="n">
        <f aca="false">E19*E20</f>
        <v>624.939826927376</v>
      </c>
      <c r="F21" s="0" t="n">
        <f aca="false">F19*F20</f>
        <v>584.806076574241</v>
      </c>
      <c r="G21" s="0" t="n">
        <f aca="false">G19*G20</f>
        <v>531.595459935159</v>
      </c>
      <c r="H21" s="0" t="n">
        <f aca="false">H19*H20</f>
        <v>497.456301957672</v>
      </c>
      <c r="I21" s="0" t="n">
        <f aca="false">I19*I20</f>
        <v>456.662440084602</v>
      </c>
      <c r="J21" s="0" t="n">
        <f aca="false">J19*J20</f>
        <v>425.240712555845</v>
      </c>
      <c r="K21" s="0" t="n">
        <f aca="false">K19*K20</f>
        <v>390.037711114049</v>
      </c>
      <c r="L21" s="0" t="n">
        <f aca="false">L19*L20</f>
        <v>363.200253927303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5183.00396198204</v>
      </c>
    </row>
    <row r="31" customFormat="false" ht="15" hidden="false" customHeight="false" outlineLevel="0" collapsed="false">
      <c r="A31" s="0" t="s">
        <v>129</v>
      </c>
      <c r="B31" s="0" t="n">
        <f aca="false">L19</f>
        <v>859.82708775013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12528.9089929305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10317.9250530016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10317.9250530016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4358.40304712763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9541.40700910967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9953.40700910967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9.40775709745716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-0.493116535697351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9.40775709745716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6746.33561157794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5.77093455781377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15247</v>
      </c>
      <c r="C6" s="0" t="n">
        <f aca="false">B6*(1+C5/100)</f>
        <v>15856.88</v>
      </c>
      <c r="D6" s="0" t="n">
        <f aca="false">C6*(1+D5/100)</f>
        <v>16491.1552</v>
      </c>
      <c r="E6" s="0" t="n">
        <f aca="false">D6*(1+E5/100)</f>
        <v>17068.345632</v>
      </c>
      <c r="F6" s="0" t="n">
        <f aca="false">E6*(1+F5/100)</f>
        <v>17665.73772912</v>
      </c>
      <c r="G6" s="0" t="n">
        <f aca="false">F6*(1+G5/100)</f>
        <v>18195.7098609936</v>
      </c>
      <c r="H6" s="0" t="n">
        <f aca="false">G6*(1+H5/100)</f>
        <v>18741.5811568234</v>
      </c>
      <c r="I6" s="0" t="n">
        <f aca="false">H6*(1+I5/100)</f>
        <v>19210.120685744</v>
      </c>
      <c r="J6" s="0" t="n">
        <f aca="false">I6*(1+J5/100)</f>
        <v>19690.3737028876</v>
      </c>
      <c r="K6" s="0" t="n">
        <f aca="false">J6*(1+K5/100)</f>
        <v>20182.6330454598</v>
      </c>
      <c r="L6" s="0" t="n">
        <f aca="false">K6*(1+L5/100)</f>
        <v>20687.1988715963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9.63</v>
      </c>
      <c r="D7" s="4" t="n">
        <f aca="false">Assumptions!D28</f>
        <v>9.53</v>
      </c>
      <c r="E7" s="4" t="n">
        <f aca="false">Assumptions!E28</f>
        <v>9.43</v>
      </c>
      <c r="F7" s="4" t="n">
        <f aca="false">Assumptions!F28</f>
        <v>9.33</v>
      </c>
      <c r="G7" s="4" t="n">
        <f aca="false">Assumptions!G28</f>
        <v>9.23</v>
      </c>
      <c r="H7" s="4" t="n">
        <f aca="false">Assumptions!H28</f>
        <v>9.13</v>
      </c>
      <c r="I7" s="4" t="n">
        <f aca="false">Assumptions!I28</f>
        <v>9.03</v>
      </c>
      <c r="J7" s="4" t="n">
        <f aca="false">Assumptions!J28</f>
        <v>8.93</v>
      </c>
      <c r="K7" s="4" t="n">
        <f aca="false">Assumptions!K28</f>
        <v>8.83</v>
      </c>
      <c r="L7" s="4" t="n">
        <f aca="false">Assumptions!L28</f>
        <v>8.73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1527.017544</v>
      </c>
      <c r="D8" s="0" t="n">
        <f aca="false">D6*D7/100</f>
        <v>1571.60709056</v>
      </c>
      <c r="E8" s="0" t="n">
        <f aca="false">E6*E7/100</f>
        <v>1609.5449930976</v>
      </c>
      <c r="F8" s="0" t="n">
        <f aca="false">F6*F7/100</f>
        <v>1648.2133301269</v>
      </c>
      <c r="G8" s="0" t="n">
        <f aca="false">G6*G7/100</f>
        <v>1679.46402016971</v>
      </c>
      <c r="H8" s="0" t="n">
        <f aca="false">H6*H7/100</f>
        <v>1711.10635961798</v>
      </c>
      <c r="I8" s="0" t="n">
        <f aca="false">I6*I7/100</f>
        <v>1734.67389792268</v>
      </c>
      <c r="J8" s="0" t="n">
        <f aca="false">J6*J7/100</f>
        <v>1758.35037166786</v>
      </c>
      <c r="K8" s="0" t="n">
        <f aca="false">K6*K7/100</f>
        <v>1782.1264979141</v>
      </c>
      <c r="L8" s="0" t="n">
        <f aca="false">L6*L7/100</f>
        <v>1805.99246149035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1527.017544</v>
      </c>
      <c r="D11" s="0" t="n">
        <f aca="false">D8+D10+D24</f>
        <v>1571.60709056</v>
      </c>
      <c r="E11" s="0" t="n">
        <f aca="false">E8+E10+E24</f>
        <v>1609.5449930976</v>
      </c>
      <c r="F11" s="0" t="n">
        <f aca="false">F8+F10+F24</f>
        <v>1648.2133301269</v>
      </c>
      <c r="G11" s="0" t="n">
        <f aca="false">G8+G10+G24</f>
        <v>1679.46402016971</v>
      </c>
      <c r="H11" s="0" t="n">
        <f aca="false">H8+H10+H24</f>
        <v>1711.10635961798</v>
      </c>
      <c r="I11" s="0" t="n">
        <f aca="false">I8+I10+I24</f>
        <v>1734.67389792268</v>
      </c>
      <c r="J11" s="0" t="n">
        <f aca="false">J8+J10+J24</f>
        <v>1758.35037166786</v>
      </c>
      <c r="K11" s="0" t="n">
        <f aca="false">K8+K10+K24</f>
        <v>1782.1264979141</v>
      </c>
      <c r="L11" s="0" t="n">
        <f aca="false">L8+L10+L24</f>
        <v>1805.99246149035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1527.017544</v>
      </c>
      <c r="D13" s="0" t="n">
        <f aca="false">D11+D12</f>
        <v>1571.60709056</v>
      </c>
      <c r="E13" s="0" t="n">
        <f aca="false">E11+E12</f>
        <v>1609.5449930976</v>
      </c>
      <c r="F13" s="0" t="n">
        <f aca="false">F11+F12</f>
        <v>1648.2133301269</v>
      </c>
      <c r="G13" s="0" t="n">
        <f aca="false">G11+G12</f>
        <v>1679.46402016971</v>
      </c>
      <c r="H13" s="0" t="n">
        <f aca="false">H11+H12</f>
        <v>1711.10635961798</v>
      </c>
      <c r="I13" s="0" t="n">
        <f aca="false">I11+I12</f>
        <v>1734.67389792268</v>
      </c>
      <c r="J13" s="0" t="n">
        <f aca="false">J11+J12</f>
        <v>1758.35037166786</v>
      </c>
      <c r="K13" s="0" t="n">
        <f aca="false">K11+K12</f>
        <v>1782.1264979141</v>
      </c>
      <c r="L13" s="0" t="n">
        <f aca="false">L11+L12</f>
        <v>1805.99246149035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29.5</v>
      </c>
      <c r="D14" s="4" t="n">
        <f aca="false">Assumptions!D33</f>
        <v>29.5</v>
      </c>
      <c r="E14" s="4" t="n">
        <f aca="false">Assumptions!E33</f>
        <v>29.5</v>
      </c>
      <c r="F14" s="4" t="n">
        <f aca="false">Assumptions!F33</f>
        <v>29.5</v>
      </c>
      <c r="G14" s="4" t="n">
        <f aca="false">Assumptions!G33</f>
        <v>29.5</v>
      </c>
      <c r="H14" s="4" t="n">
        <f aca="false">Assumptions!H33</f>
        <v>29.5</v>
      </c>
      <c r="I14" s="4" t="n">
        <f aca="false">Assumptions!I33</f>
        <v>29.5</v>
      </c>
      <c r="J14" s="4" t="n">
        <f aca="false">Assumptions!J33</f>
        <v>29.5</v>
      </c>
      <c r="K14" s="4" t="n">
        <f aca="false">Assumptions!K33</f>
        <v>29.5</v>
      </c>
      <c r="L14" s="4" t="n">
        <f aca="false">Assumptions!L33</f>
        <v>29.5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1076.54736852</v>
      </c>
      <c r="D15" s="0" t="n">
        <f aca="false">D13-MAX(0,D13)*D14/100</f>
        <v>1107.9829988448</v>
      </c>
      <c r="E15" s="0" t="n">
        <f aca="false">E13-MAX(0,E13)*E14/100</f>
        <v>1134.72922013381</v>
      </c>
      <c r="F15" s="0" t="n">
        <f aca="false">F13-MAX(0,F13)*F14/100</f>
        <v>1161.99039773946</v>
      </c>
      <c r="G15" s="0" t="n">
        <f aca="false">G13-MAX(0,G13)*G14/100</f>
        <v>1184.02213421965</v>
      </c>
      <c r="H15" s="0" t="n">
        <f aca="false">H13-MAX(0,H13)*H14/100</f>
        <v>1206.32998353067</v>
      </c>
      <c r="I15" s="0" t="n">
        <f aca="false">I13-MAX(0,I13)*I14/100</f>
        <v>1222.94509803549</v>
      </c>
      <c r="J15" s="0" t="n">
        <f aca="false">J13-MAX(0,J13)*J14/100</f>
        <v>1239.63701202584</v>
      </c>
      <c r="K15" s="0" t="n">
        <f aca="false">K13-MAX(0,K13)*K14/100</f>
        <v>1256.39918102944</v>
      </c>
      <c r="L15" s="0" t="n">
        <f aca="false">L13-MAX(0,L13)*L14/100</f>
        <v>1273.2246853507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-66.598896</v>
      </c>
      <c r="D17" s="4" t="n">
        <f aca="false">-D6*Assumptions!D32/100</f>
        <v>-65.9646208</v>
      </c>
      <c r="E17" s="4" t="n">
        <f aca="false">-E6*Assumptions!E32/100</f>
        <v>-64.8597134016</v>
      </c>
      <c r="F17" s="4" t="n">
        <f aca="false">-F6*Assumptions!F32/100</f>
        <v>-63.596655824832</v>
      </c>
      <c r="G17" s="4" t="n">
        <f aca="false">-G6*Assumptions!G32/100</f>
        <v>-61.8654135273782</v>
      </c>
      <c r="H17" s="4" t="n">
        <f aca="false">-H6*Assumptions!H32/100</f>
        <v>-59.9730597018349</v>
      </c>
      <c r="I17" s="4" t="n">
        <f aca="false">-I6*Assumptions!I32/100</f>
        <v>-57.630362057232</v>
      </c>
      <c r="J17" s="4" t="n">
        <f aca="false">-J6*Assumptions!J32/100</f>
        <v>-59.0711211086628</v>
      </c>
      <c r="K17" s="4" t="n">
        <f aca="false">-K6*Assumptions!K32/100</f>
        <v>-60.5478991363793</v>
      </c>
      <c r="L17" s="4" t="n">
        <f aca="false">-L6*Assumptions!L32/100</f>
        <v>-62.0615966147888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1009.94847252</v>
      </c>
      <c r="D19" s="0" t="n">
        <f aca="false">D15+D16+D17+D18</f>
        <v>1042.0183780448</v>
      </c>
      <c r="E19" s="0" t="n">
        <f aca="false">E15+E16+E17+E18</f>
        <v>1069.86950673221</v>
      </c>
      <c r="F19" s="0" t="n">
        <f aca="false">F15+F16+F17+F18</f>
        <v>1098.39374191463</v>
      </c>
      <c r="G19" s="0" t="n">
        <f aca="false">G15+G16+G17+G18</f>
        <v>1122.15672069227</v>
      </c>
      <c r="H19" s="0" t="n">
        <f aca="false">H15+H16+H17+H18</f>
        <v>1146.35692382884</v>
      </c>
      <c r="I19" s="0" t="n">
        <f aca="false">I15+I16+I17+I18</f>
        <v>1165.31473597826</v>
      </c>
      <c r="J19" s="0" t="n">
        <f aca="false">J15+J16+J17+J18</f>
        <v>1180.56589091718</v>
      </c>
      <c r="K19" s="0" t="n">
        <f aca="false">K15+K16+K17+K18</f>
        <v>1195.85128189306</v>
      </c>
      <c r="L19" s="0" t="n">
        <f aca="false">L15+L16+L17+L18</f>
        <v>1211.16308873591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926.558231669725</v>
      </c>
      <c r="D21" s="0" t="n">
        <f aca="false">D19*D20</f>
        <v>877.046021416379</v>
      </c>
      <c r="E21" s="0" t="n">
        <f aca="false">E19*E20</f>
        <v>826.135558919691</v>
      </c>
      <c r="F21" s="0" t="n">
        <f aca="false">F19*F20</f>
        <v>778.129818448562</v>
      </c>
      <c r="G21" s="0" t="n">
        <f aca="false">G19*G20</f>
        <v>729.32487312353</v>
      </c>
      <c r="H21" s="0" t="n">
        <f aca="false">H19*H20</f>
        <v>683.535178620903</v>
      </c>
      <c r="I21" s="0" t="n">
        <f aca="false">I19*I20</f>
        <v>637.467066600657</v>
      </c>
      <c r="J21" s="0" t="n">
        <f aca="false">J19*J20</f>
        <v>592.486211583172</v>
      </c>
      <c r="K21" s="0" t="n">
        <f aca="false">K19*K20</f>
        <v>550.603150353744</v>
      </c>
      <c r="L21" s="0" t="n">
        <f aca="false">L19*L20</f>
        <v>511.608377595211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7112.89448833157</v>
      </c>
    </row>
    <row r="31" customFormat="false" ht="15" hidden="false" customHeight="false" outlineLevel="0" collapsed="false">
      <c r="A31" s="0" t="s">
        <v>129</v>
      </c>
      <c r="B31" s="0" t="n">
        <f aca="false">L19</f>
        <v>1211.16308873591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19099.1102454509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18167.4463310387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18167.4463310387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7674.12566392817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14787.0201522597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15199.0201522597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14.3658035465593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-0.225980412362107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14.3658035465593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9931.53732763447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7.92189519541595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5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15247</v>
      </c>
      <c r="C6" s="0" t="n">
        <f aca="false">B6*(1+C5/100)</f>
        <v>16009.35</v>
      </c>
      <c r="D6" s="0" t="n">
        <f aca="false">C6*(1+D5/100)</f>
        <v>16809.8175</v>
      </c>
      <c r="E6" s="0" t="n">
        <f aca="false">D6*(1+E5/100)</f>
        <v>17566.2592875</v>
      </c>
      <c r="F6" s="0" t="n">
        <f aca="false">E6*(1+F5/100)</f>
        <v>18268.909659</v>
      </c>
      <c r="G6" s="0" t="n">
        <f aca="false">F6*(1+G5/100)</f>
        <v>18999.66604536</v>
      </c>
      <c r="H6" s="0" t="n">
        <f aca="false">G6*(1+H5/100)</f>
        <v>19664.6543569476</v>
      </c>
      <c r="I6" s="0" t="n">
        <f aca="false">H6*(1+I5/100)</f>
        <v>20254.593987656</v>
      </c>
      <c r="J6" s="0" t="n">
        <f aca="false">I6*(1+J5/100)</f>
        <v>20862.2318072857</v>
      </c>
      <c r="K6" s="0" t="n">
        <f aca="false">J6*(1+K5/100)</f>
        <v>21488.0987615043</v>
      </c>
      <c r="L6" s="0" t="n">
        <f aca="false">K6*(1+L5/100)</f>
        <v>22132.7417243494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10.93</v>
      </c>
      <c r="D7" s="4" t="n">
        <f aca="false">Assumptions!D42</f>
        <v>10.83</v>
      </c>
      <c r="E7" s="4" t="n">
        <f aca="false">Assumptions!E42</f>
        <v>10.63</v>
      </c>
      <c r="F7" s="4" t="n">
        <f aca="false">Assumptions!F42</f>
        <v>10.53</v>
      </c>
      <c r="G7" s="4" t="n">
        <f aca="false">Assumptions!G42</f>
        <v>10.43</v>
      </c>
      <c r="H7" s="4" t="n">
        <f aca="false">Assumptions!H42</f>
        <v>10.33</v>
      </c>
      <c r="I7" s="4" t="n">
        <f aca="false">Assumptions!I42</f>
        <v>10.23</v>
      </c>
      <c r="J7" s="4" t="n">
        <f aca="false">Assumptions!J42</f>
        <v>10.13</v>
      </c>
      <c r="K7" s="4" t="n">
        <f aca="false">Assumptions!K42</f>
        <v>10.03</v>
      </c>
      <c r="L7" s="4" t="n">
        <f aca="false">Assumptions!L42</f>
        <v>9.93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1749.821955</v>
      </c>
      <c r="D8" s="0" t="n">
        <f aca="false">D6*D7/100</f>
        <v>1820.50323525</v>
      </c>
      <c r="E8" s="0" t="n">
        <f aca="false">E6*E7/100</f>
        <v>1867.29336226125</v>
      </c>
      <c r="F8" s="0" t="n">
        <f aca="false">F6*F7/100</f>
        <v>1923.7161870927</v>
      </c>
      <c r="G8" s="0" t="n">
        <f aca="false">G6*G7/100</f>
        <v>1981.66516853105</v>
      </c>
      <c r="H8" s="0" t="n">
        <f aca="false">H6*H7/100</f>
        <v>2031.35879507269</v>
      </c>
      <c r="I8" s="0" t="n">
        <f aca="false">I6*I7/100</f>
        <v>2072.04496493721</v>
      </c>
      <c r="J8" s="0" t="n">
        <f aca="false">J6*J7/100</f>
        <v>2113.34408207804</v>
      </c>
      <c r="K8" s="0" t="n">
        <f aca="false">K6*K7/100</f>
        <v>2155.25630577888</v>
      </c>
      <c r="L8" s="0" t="n">
        <f aca="false">L6*L7/100</f>
        <v>2197.7812532279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1749.821955</v>
      </c>
      <c r="D11" s="0" t="n">
        <f aca="false">D8+D10+D24</f>
        <v>1820.50323525</v>
      </c>
      <c r="E11" s="0" t="n">
        <f aca="false">E8+E10+E24</f>
        <v>1867.29336226125</v>
      </c>
      <c r="F11" s="0" t="n">
        <f aca="false">F8+F10+F24</f>
        <v>1923.7161870927</v>
      </c>
      <c r="G11" s="0" t="n">
        <f aca="false">G8+G10+G24</f>
        <v>1981.66516853105</v>
      </c>
      <c r="H11" s="0" t="n">
        <f aca="false">H8+H10+H24</f>
        <v>2031.35879507269</v>
      </c>
      <c r="I11" s="0" t="n">
        <f aca="false">I8+I10+I24</f>
        <v>2072.04496493721</v>
      </c>
      <c r="J11" s="0" t="n">
        <f aca="false">J8+J10+J24</f>
        <v>2113.34408207804</v>
      </c>
      <c r="K11" s="0" t="n">
        <f aca="false">K8+K10+K24</f>
        <v>2155.25630577888</v>
      </c>
      <c r="L11" s="0" t="n">
        <f aca="false">L8+L10+L24</f>
        <v>2197.7812532279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1749.821955</v>
      </c>
      <c r="D13" s="0" t="n">
        <f aca="false">D11+D12</f>
        <v>1820.50323525</v>
      </c>
      <c r="E13" s="0" t="n">
        <f aca="false">E11+E12</f>
        <v>1867.29336226125</v>
      </c>
      <c r="F13" s="0" t="n">
        <f aca="false">F11+F12</f>
        <v>1923.7161870927</v>
      </c>
      <c r="G13" s="0" t="n">
        <f aca="false">G11+G12</f>
        <v>1981.66516853105</v>
      </c>
      <c r="H13" s="0" t="n">
        <f aca="false">H11+H12</f>
        <v>2031.35879507269</v>
      </c>
      <c r="I13" s="0" t="n">
        <f aca="false">I11+I12</f>
        <v>2072.04496493721</v>
      </c>
      <c r="J13" s="0" t="n">
        <f aca="false">J11+J12</f>
        <v>2113.34408207804</v>
      </c>
      <c r="K13" s="0" t="n">
        <f aca="false">K11+K12</f>
        <v>2155.25630577888</v>
      </c>
      <c r="L13" s="0" t="n">
        <f aca="false">L11+L12</f>
        <v>2197.7812532279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29.5</v>
      </c>
      <c r="D14" s="4" t="n">
        <f aca="false">Assumptions!D47</f>
        <v>29.5</v>
      </c>
      <c r="E14" s="4" t="n">
        <f aca="false">Assumptions!E47</f>
        <v>29.5</v>
      </c>
      <c r="F14" s="4" t="n">
        <f aca="false">Assumptions!F47</f>
        <v>29.5</v>
      </c>
      <c r="G14" s="4" t="n">
        <f aca="false">Assumptions!G47</f>
        <v>29.5</v>
      </c>
      <c r="H14" s="4" t="n">
        <f aca="false">Assumptions!H47</f>
        <v>29.5</v>
      </c>
      <c r="I14" s="4" t="n">
        <f aca="false">Assumptions!I47</f>
        <v>29.5</v>
      </c>
      <c r="J14" s="4" t="n">
        <f aca="false">Assumptions!J47</f>
        <v>29.5</v>
      </c>
      <c r="K14" s="4" t="n">
        <f aca="false">Assumptions!K47</f>
        <v>29.5</v>
      </c>
      <c r="L14" s="4" t="n">
        <f aca="false">Assumptions!L47</f>
        <v>29.5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1233.624478275</v>
      </c>
      <c r="D15" s="0" t="n">
        <f aca="false">D13-MAX(0,D13)*D14/100</f>
        <v>1283.45478085125</v>
      </c>
      <c r="E15" s="0" t="n">
        <f aca="false">E13-MAX(0,E13)*E14/100</f>
        <v>1316.44182039418</v>
      </c>
      <c r="F15" s="0" t="n">
        <f aca="false">F13-MAX(0,F13)*F14/100</f>
        <v>1356.21991190035</v>
      </c>
      <c r="G15" s="0" t="n">
        <f aca="false">G13-MAX(0,G13)*G14/100</f>
        <v>1397.07394381439</v>
      </c>
      <c r="H15" s="0" t="n">
        <f aca="false">H13-MAX(0,H13)*H14/100</f>
        <v>1432.10795052624</v>
      </c>
      <c r="I15" s="0" t="n">
        <f aca="false">I13-MAX(0,I13)*I14/100</f>
        <v>1460.79170028073</v>
      </c>
      <c r="J15" s="0" t="n">
        <f aca="false">J13-MAX(0,J13)*J14/100</f>
        <v>1489.90757786502</v>
      </c>
      <c r="K15" s="0" t="n">
        <f aca="false">K13-MAX(0,K13)*K14/100</f>
        <v>1519.45569557411</v>
      </c>
      <c r="L15" s="0" t="n">
        <f aca="false">L13-MAX(0,L13)*L14/100</f>
        <v>1549.43578352567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-80.04675</v>
      </c>
      <c r="D17" s="4" t="n">
        <f aca="false">-D6*Assumptions!D46/100</f>
        <v>-80.687124</v>
      </c>
      <c r="E17" s="4" t="n">
        <f aca="false">-E6*Assumptions!E46/100</f>
        <v>-79.04816679375</v>
      </c>
      <c r="F17" s="4" t="n">
        <f aca="false">-F6*Assumptions!F46/100</f>
        <v>-76.7294205678</v>
      </c>
      <c r="G17" s="4" t="n">
        <f aca="false">-G6*Assumptions!G46/100</f>
        <v>-75.99866418144</v>
      </c>
      <c r="H17" s="4" t="n">
        <f aca="false">-H6*Assumptions!H46/100</f>
        <v>-74.7256865564009</v>
      </c>
      <c r="I17" s="4" t="n">
        <f aca="false">-I6*Assumptions!I46/100</f>
        <v>-70.8910789567961</v>
      </c>
      <c r="J17" s="4" t="n">
        <f aca="false">-J6*Assumptions!J46/100</f>
        <v>-73.0178113255</v>
      </c>
      <c r="K17" s="4" t="n">
        <f aca="false">-K6*Assumptions!K46/100</f>
        <v>-75.208345665265</v>
      </c>
      <c r="L17" s="4" t="n">
        <f aca="false">-L6*Assumptions!L46/100</f>
        <v>-77.4645960352229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1153.577728275</v>
      </c>
      <c r="D19" s="0" t="n">
        <f aca="false">D15+D16+D17+D18</f>
        <v>1202.76765685125</v>
      </c>
      <c r="E19" s="0" t="n">
        <f aca="false">E15+E16+E17+E18</f>
        <v>1237.39365360043</v>
      </c>
      <c r="F19" s="0" t="n">
        <f aca="false">F15+F16+F17+F18</f>
        <v>1279.49049133255</v>
      </c>
      <c r="G19" s="0" t="n">
        <f aca="false">G15+G16+G17+G18</f>
        <v>1321.07527963295</v>
      </c>
      <c r="H19" s="0" t="n">
        <f aca="false">H15+H16+H17+H18</f>
        <v>1357.38226396984</v>
      </c>
      <c r="I19" s="0" t="n">
        <f aca="false">I15+I16+I17+I18</f>
        <v>1389.90062132394</v>
      </c>
      <c r="J19" s="0" t="n">
        <f aca="false">J15+J16+J17+J18</f>
        <v>1416.88976653952</v>
      </c>
      <c r="K19" s="0" t="n">
        <f aca="false">K15+K16+K17+K18</f>
        <v>1444.24734990885</v>
      </c>
      <c r="L19" s="0" t="n">
        <f aca="false">L15+L16+L17+L18</f>
        <v>1471.97118749044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1058.32819107798</v>
      </c>
      <c r="D21" s="0" t="n">
        <f aca="false">D19*D20</f>
        <v>1012.3454733198</v>
      </c>
      <c r="E21" s="0" t="n">
        <f aca="false">E19*E20</f>
        <v>955.494937642656</v>
      </c>
      <c r="F21" s="0" t="n">
        <f aca="false">F19*F20</f>
        <v>906.423321378176</v>
      </c>
      <c r="G21" s="0" t="n">
        <f aca="false">G19*G20</f>
        <v>858.608287896316</v>
      </c>
      <c r="H21" s="0" t="n">
        <f aca="false">H19*H20</f>
        <v>809.362694090557</v>
      </c>
      <c r="I21" s="0" t="n">
        <f aca="false">I19*I20</f>
        <v>760.323236793198</v>
      </c>
      <c r="J21" s="0" t="n">
        <f aca="false">J19*J20</f>
        <v>711.089195839606</v>
      </c>
      <c r="K21" s="0" t="n">
        <f aca="false">K19*K20</f>
        <v>664.971600390832</v>
      </c>
      <c r="L21" s="0" t="n">
        <f aca="false">L19*L20</f>
        <v>621.776537035044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8358.72347546416</v>
      </c>
    </row>
    <row r="31" customFormat="false" ht="15" hidden="false" customHeight="false" outlineLevel="0" collapsed="false">
      <c r="A31" s="0" t="s">
        <v>129</v>
      </c>
      <c r="B31" s="0" t="n">
        <f aca="false">L19</f>
        <v>1471.97118749044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25268.838718586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25023.5101873376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25023.5101873376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10570.2011295957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18928.9246050599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19340.9246050599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18.2806470747258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-0.0150513429565833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18.2806470747258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12634.419359293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9.44849273651513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9.40775709745716</v>
      </c>
      <c r="C4" s="0" t="n">
        <f aca="false">B4/Assumptions!$B$2-1</f>
        <v>-0.493116535697351</v>
      </c>
      <c r="D4" s="4" t="n">
        <f aca="false">Assumptions!$B$24</f>
        <v>0.25</v>
      </c>
      <c r="E4" s="4" t="n">
        <f aca="false">DCF_Bear!$B$43</f>
        <v>9.40775709745716</v>
      </c>
      <c r="F4" s="4" t="n">
        <f aca="false">DCF_Bear!$B$47</f>
        <v>5.77093455781377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14.3658035465593</v>
      </c>
      <c r="C5" s="0" t="n">
        <f aca="false">B5/Assumptions!$B$2-1</f>
        <v>-0.225980412362107</v>
      </c>
      <c r="D5" s="4" t="n">
        <f aca="false">Assumptions!$B$38</f>
        <v>0.5</v>
      </c>
      <c r="E5" s="4" t="n">
        <f aca="false">DCF_Base!$B$43</f>
        <v>14.3658035465593</v>
      </c>
      <c r="F5" s="4" t="n">
        <f aca="false">DCF_Base!$B$47</f>
        <v>7.92189519541595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18.2806470747258</v>
      </c>
      <c r="C6" s="0" t="n">
        <f aca="false">B6/Assumptions!$B$2-1</f>
        <v>-0.0150513429565833</v>
      </c>
      <c r="D6" s="4" t="n">
        <f aca="false">Assumptions!$B$52</f>
        <v>0.25</v>
      </c>
      <c r="E6" s="4" t="n">
        <f aca="false">DCF_Bull!$B$43</f>
        <v>18.2806470747258</v>
      </c>
      <c r="F6" s="4" t="n">
        <f aca="false">DCF_Bull!$B$47</f>
        <v>9.44849273651513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14.1050028163254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14.1050028163254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-0.315845182144757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7.7658044212902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14.3658035465593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12.8485534085916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11.402247234836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10.2591089200042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7.92189519541595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16.4986974150593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16.4986974150593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16.4986974150593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16.4986974150593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16.4986974150593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15.3830923784887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15.3830923784887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15.3830923784887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15.3830923784887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15.3830923784887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13.6565795826592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14.1585627778872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14.3658035465593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14.3658035465593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14.3658035465593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12.0869960767504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12.443976076051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12.8485534085916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13.3109275029237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13.4370295286506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10.8480458341674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11.1097520511498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11.402247234836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11.7313043164831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12.104235675683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2026-09-25T10:18:54Z</dcterms:created>
  <dc:creator>openpyxl</dc:creator>
  <dc:description/>
  <dc:language>en-NZ</dc:language>
  <cp:lastModifiedBy/>
  <dcterms:modified xsi:type="dcterms:W3CDTF">2026-09-25T10:18:54Z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