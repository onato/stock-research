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<sst xmlns="http://schemas.openxmlformats.org/spreadsheetml/2006/main" count="356" uniqueCount="166">
  <si>
    <t xml:space="preserve">Ticker</t>
  </si>
  <si>
    <t xml:space="preserve">0670.HK</t>
  </si>
  <si>
    <t xml:space="preserve">Company</t>
  </si>
  <si>
    <t xml:space="preserve">China Eastern Airlines Corporation Limited</t>
  </si>
  <si>
    <t xml:space="preserve">Valuation date</t>
  </si>
  <si>
    <t xml:space="preserve">2026-10-11</t>
  </si>
  <si>
    <t xml:space="preserve">Current price</t>
  </si>
  <si>
    <t xml:space="preserve">Price as of</t>
  </si>
  <si>
    <t xml:space="preserve">2026-10-09T08:08:06Z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</si>
  <si>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</si>
  <si>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</si>
  <si>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</si>
  <si>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</si>
  <si>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</si>
  <si>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</si>
  <si>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</si>
  <si>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</si>
  <si>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</si>
  <si>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</si>
  <si>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</si>
  <si>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</si>
  <si>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</si>
  <si>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2026-10-11T04:05:27Z</t>
  </si>
  <si>
    <t xml:space="preserve">Drivers file</t>
  </si>
  <si>
    <t xml:space="preserve">0670.HK_Drivers.json</t>
  </si>
  <si>
    <t xml:space="preserve">Convention</t>
  </si>
  <si>
    <t xml:space="preserve">Percents stored as percents; formulas divide by 100. Blue = input, green = link, black = formula.</t>
  </si>
  <si>
    <t xml:space="preserve">Methodology</t>
  </si>
  <si>
    <t xml:space="preserve">summary: This is an unlevered owner-FCF DCF under lease treatment B, discounted in CNY and converted to HKD for comparison with the H-share quote. Its core finding is structural. China Eastern has never produced material unlevered free cash flow after aircraft leases and fleet capex, not even in FY2019. The enterprise value a mid-cycle margin path supports does not cover the RMB131bn of borrowings, perpetual bond and NCI that rank ahead of ordinary shareholders, before counting RMB79bn of lease liabilities already charged in the flows. The H-share price is therefore not explained by the cash flows at a commercial cost of capital. It reflects (i) state-subsidised ~2% funding that a WACC model only partly captures, (ii) an implicit parent backstop (CEA Holding perpetuals, its RMB1bn share purchase), and (iii) optionality on a margin cycle above FY2019. Read the scenario values as what the cash flows support, not as a forecast of where the H shares trade.
key_risks_to_valuation: Jet fuel: ~37% of opex in H1-26 with zero hedges; each 10% fuel move is worth roughly 2.5-3pp of EBITDA margin; Domestic yield: Big Three/LCC overcapacity cut yields ~5% in FY2025; Funding cost: ~53% of borrowings float; a return to 4% debt costs removes the leverage spread that equity value rests on; Fleet policy: C919/C909 offtake and RMB107.6bn of commitments are not purely returns-driven; H-share subordination: A/H premium ~58%, and state objectives (routes, emergency operations) rank ahead of minority holders; Model sensitivity: the 12x cap binds in every scenario, so the value is a near-linear function of terminal-year FCF margin, and +/-1pp of mid-cycle EBITDA margin moves equity by roughly RMB25-30bn
levered_reference_memo: Memo, not a replacement (approximate hand estimate, not engine output). Read at the equity level, base-case terminal FCF (~RMB5.4bn) less after-tax borrowing interest (~RMB1.8bn at 2.2%) and perpetual distributions (~RMB0.7bn), plus net borrowing at constant leverage (~RMB2.8bn), gives ~RMB5.7bn of terminal FCFE. Capitalised at an 11.6% cost of equity and 2.5% growth and discounted 10 years, after the negative FY26-28 equity flows, that is roughly RMB15-25bn of equity, about HKD 0.8-1.3 per share. So even crediting the state-subsidised funding spread, the base case sits well below the HKD 2.4 H-share line. The gap between this memo and the negative unlevered value is what the ~2% policy-priced debt is worth to ordinary holders.
negative_value_note: Base and bear per-share values are negative: modelled enterprise value is below senior claims. Ordinary shares have limited liability, so the practical floor for a holder is zero (or a parent-funded recapitalisation that dilutes H holders), not the negative figure. The weighted value is reported unfloored so that the engine, the workbook and the dashboard sliders all agree.</t>
  </si>
  <si>
    <t xml:space="preserve">Data sources</t>
  </si>
  <si>
    <t xml:space="preserve">price: Yahoo Finance chart API at inputs.price_as_of; 52-week range 2.37-6.40 HKD
fx: Yahoo CNYHKD=X, cross-checked against HKD=X / CNY=X
financials: FY2018-FY2025 annual reports and H1-2026 interim report (RMB millions, IFRS); Metrics.csv/kpis for history; cash flow statements for lease principal, lease interest, PDP refunds and disposals
qualitative: 0670.HK_Analysis.json (2026-10-11)</t>
  </si>
  <si>
    <t xml:space="preserve">Scenario narrative: bear</t>
  </si>
  <si>
    <t xml:space="preserve">Fuel stays high with no hedges, domestic overcapacity keeps yields falling (FY2025 -5%), and the fleet keeps growing because C919 offtake is policy, not a returns decision. Margins plateau at FY2025's ~22%, lease and capex intensity stay high, and the RMB131bn of senior claims plus RMB79bn of leases leave the ordinary equity with nothing. The 87% liability-to-asset ratio means a further shock needs another parent injection, which dilutes H holders.</t>
  </si>
  <si>
    <t xml:space="preserve">Scenario narrative: base</t>
  </si>
  <si>
    <t xml:space="preserve">The axes are jet fuel, domestic yield and fleet discipline. Base: the March-2026 Middle East fuel shock (H1 fuel price +36.8%, unhedged) fades through 2027; international routes (33% of passenger revenue, +22% in H1-26) keep compounding under 'Three Flights'; domestic yield stops falling. EBITDA margin recovers from ~19% in FY26 to 24.5%, below the FY2019 peak of 26.6%. Fleet growth (51 introductions in 2026, 49 in 2027, RMB107.6bn of aircraft commitments) keeps net capex at 12-14% of revenue to 2028 before settling at 10.5%. Lease cash falls from 12.3% toward 11% as revenue outgrows a flat ~RMB80bn lease book.</t>
  </si>
  <si>
    <t xml:space="preserve">Scenario narrative: bull</t>
  </si>
  <si>
    <t xml:space="preserve">Fuel normalises fast, international long-haul and premium cabins (first/business revenue +18.8% in H1-26) drive yield, and policy pressure rations domestic capacity so the Big Three stop competing on price. Margins reach 28%, above any year in the record, and C919 economics plus state financing cut fleet cost intensity. Cheap state funding keeps the perpetual-bond and borrowing stack at ~2%.</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</si>
  <si>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</si>
  <si>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</si>
  <si>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</si>
  <si>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</si>
  <si>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</si>
  <si>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</si>
  <si>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</si>
  <si>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</si>
  <si>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</si>
  <si>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</si>
  <si>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</si>
  <si>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</si>
  <si>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</si>
  <si>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</si>
  <si>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</si>
  <si>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</si>
  <si>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</si>
  <si>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</si>
  <si>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</si>
  <si>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</si>
  <si>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</si>
  <si>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</si>
  <si>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</si>
  <si>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</si>
  <si>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</si>
  <si>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</si>
  <si>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</si>
  <si>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NetIncomeTotal</t>
  </si>
  <si>
    <t xml:space="preserve">TotalEquityInclNCI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</si>
  <si>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</si>
  <si>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</si>
  <si>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</si>
  <si>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</si>
  <si>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</si>
  <si>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</si>
  <si>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</si>
  <si>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</si>
  <si>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</si>
  <si>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</si>
  <si>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</si>
  <si>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</si>
  <si>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</si>
  <si>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</si>
  <si>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</si>
  <si>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</si>
  <si>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</si>
  <si>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</si>
  <si>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</si>
  <si>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</si>
  <si>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</si>
  <si>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</si>
  <si>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</si>
  <si>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</si>
  <si>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</si>
  <si>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</si>
  <si>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</si>
  <si>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</si>
  <si>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</si>
  <si>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</si>
  <si>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</si>
  <si>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</si>
  <si>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</si>
  <si>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</si>
  <si>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</si>
  <si>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</si>
  <si>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</si>
  <si>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</si>
  <si>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</si>
  <si>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</si>
  <si>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</si>
  <si>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</si>
  <si>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</si>
  <si>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</si>
  <si>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</si>
  <si>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0670.HK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</si>
  <si>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</si>
  <si>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</si>
  <si>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</si>
  <si>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</si>
  <si>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</si>
  <si>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</si>
  <si>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</si>
  <si>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</si>
  <si>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</si>
  <si>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</si>
  <si>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</si>
  <si>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</si>
  <si>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</si>
  <si>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</si>
  <si>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</si>
  <si>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</si>
  <si>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</si>
  <si>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</si>
  <si>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</si>
  <si>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</si>
  <si>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</si>
  <si>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</si>
  <si>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</si>
  <si>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</si>
  <si>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</si>
  <si>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</si>
  <si>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</si>
  <si>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</si>
  <si>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</si>
  <si>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</si>
  <si>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0670.HK owner-FCF component DCF: base case (millions, CNY)</t>
  </si>
  <si>
    <t xml:space="preserve">0670.HK owner-FCF component DCF: bull case (millions, CNY)</t>
  </si>
  <si>
    <t xml:space="preserve">0670.HK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</si>
  <si>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</si>
  <si>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</si>
  <si>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</si>
  <si>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</si>
  <si>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</si>
  <si>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</si>
  <si>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</si>
  <si>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</si>
  <si>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</si>
  <si>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</si>
  <si>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</si>
  <si>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</si>
  <si>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</si>
  <si>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</si>
  <si>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6.5%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</si>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</sst>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2.445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46.2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115278</v>
      </c>
      <c r="F2" s="0" t="n">
        <v>9309</v>
      </c>
      <c r="G2" s="0" t="n">
        <v>8.1</v>
      </c>
      <c r="H2" s="0" t="n">
        <v>24622</v>
      </c>
      <c r="I2" s="0" t="n">
        <v>2698</v>
      </c>
      <c r="J2" s="0" t="n">
        <v>2.3</v>
      </c>
      <c r="K2" s="0" t="n">
        <v>0.19</v>
      </c>
      <c r="L2" s="0" t="n">
        <v>22338</v>
      </c>
      <c r="M2" s="0" t="n">
        <v>26194</v>
      </c>
      <c r="N2" s="0" t="n">
        <v>-3856</v>
      </c>
      <c r="O2" s="0" t="n">
        <v>58008</v>
      </c>
      <c r="P2" s="0" t="n">
        <v>239017</v>
      </c>
      <c r="Q2" s="0" t="n">
        <v>177416</v>
      </c>
      <c r="R2" s="0" t="n">
        <v>55126</v>
      </c>
      <c r="S2" s="0" t="n">
        <v>646</v>
      </c>
      <c r="T2" s="0" t="n">
        <v>14467</v>
      </c>
      <c r="U2" s="0" t="n">
        <v>0</v>
      </c>
      <c r="AA2" s="0" t="s">
        <v>18</v>
      </c>
      <c r="AB2" s="0" t="s">
        <v>14</v>
      </c>
      <c r="AC2" s="0" t="n">
        <v>2930</v>
      </c>
      <c r="AD2" s="0" t="n">
        <v>61601</v>
      </c>
    </row>
    <row r="3" customFormat="false" ht="15" hidden="false" customHeight="false" outlineLevel="0" collapsed="false">
      <c r="A3" s="0" t="s">
        <v>67</v>
      </c>
      <c r="B3" s="0" t="n">
        <v>120986</v>
      </c>
      <c r="F3" s="0" t="n">
        <v>10081</v>
      </c>
      <c r="G3" s="0" t="n">
        <v>8.3</v>
      </c>
      <c r="H3" s="0" t="n">
        <v>32161</v>
      </c>
      <c r="I3" s="0" t="n">
        <v>3192</v>
      </c>
      <c r="J3" s="0" t="n">
        <v>2.6</v>
      </c>
      <c r="K3" s="0" t="n">
        <v>0.21</v>
      </c>
      <c r="L3" s="0" t="n">
        <v>28972</v>
      </c>
      <c r="M3" s="0" t="n">
        <v>7589</v>
      </c>
      <c r="N3" s="0" t="n">
        <v>21383</v>
      </c>
      <c r="O3" s="0" t="n">
        <v>69008</v>
      </c>
      <c r="P3" s="0" t="n">
        <v>285185</v>
      </c>
      <c r="Q3" s="0" t="n">
        <v>212539</v>
      </c>
      <c r="R3" s="0" t="n">
        <v>51837</v>
      </c>
      <c r="S3" s="0" t="n">
        <v>1350</v>
      </c>
      <c r="T3" s="0" t="n">
        <v>16379</v>
      </c>
      <c r="U3" s="0" t="n">
        <v>0</v>
      </c>
      <c r="AA3" s="0" t="s">
        <v>18</v>
      </c>
      <c r="AB3" s="0" t="s">
        <v>14</v>
      </c>
      <c r="AC3" s="0" t="n">
        <v>3480</v>
      </c>
      <c r="AD3" s="0" t="n">
        <v>72646</v>
      </c>
    </row>
    <row r="4" customFormat="false" ht="15" hidden="false" customHeight="false" outlineLevel="0" collapsed="false">
      <c r="A4" s="0" t="s">
        <v>68</v>
      </c>
      <c r="B4" s="0" t="n">
        <v>58727</v>
      </c>
      <c r="F4" s="0" t="n">
        <v>-13840</v>
      </c>
      <c r="G4" s="0" t="n">
        <v>-23.6</v>
      </c>
      <c r="H4" s="0" t="n">
        <v>8415</v>
      </c>
      <c r="I4" s="0" t="n">
        <v>-11836</v>
      </c>
      <c r="J4" s="0" t="n">
        <v>-20.2</v>
      </c>
      <c r="K4" s="0" t="n">
        <v>-0.72</v>
      </c>
      <c r="L4" s="0" t="n">
        <v>1211</v>
      </c>
      <c r="M4" s="0" t="n">
        <v>7247</v>
      </c>
      <c r="N4" s="0" t="n">
        <v>-6036</v>
      </c>
      <c r="O4" s="0" t="n">
        <v>56249</v>
      </c>
      <c r="P4" s="0" t="n">
        <v>284650</v>
      </c>
      <c r="Q4" s="0" t="n">
        <v>225496</v>
      </c>
      <c r="R4" s="0" t="n">
        <v>87895</v>
      </c>
      <c r="S4" s="0" t="n">
        <v>7651</v>
      </c>
      <c r="T4" s="0" t="n">
        <v>16379</v>
      </c>
      <c r="U4" s="0" t="n">
        <v>0</v>
      </c>
      <c r="AA4" s="0" t="s">
        <v>18</v>
      </c>
      <c r="AB4" s="0" t="s">
        <v>14</v>
      </c>
      <c r="AC4" s="0" t="n">
        <v>-12561</v>
      </c>
      <c r="AD4" s="0" t="n">
        <v>59154</v>
      </c>
    </row>
    <row r="5" customFormat="false" ht="15" hidden="false" customHeight="false" outlineLevel="0" collapsed="false">
      <c r="A5" s="0" t="s">
        <v>69</v>
      </c>
      <c r="B5" s="0" t="n">
        <v>67127</v>
      </c>
      <c r="F5" s="0" t="n">
        <v>-13518</v>
      </c>
      <c r="G5" s="0" t="n">
        <v>-20.1</v>
      </c>
      <c r="H5" s="0" t="n">
        <v>9200</v>
      </c>
      <c r="I5" s="0" t="n">
        <v>-12214</v>
      </c>
      <c r="J5" s="0" t="n">
        <v>-18.2</v>
      </c>
      <c r="K5" s="0" t="n">
        <v>-0.73</v>
      </c>
      <c r="L5" s="0" t="n">
        <v>5692</v>
      </c>
      <c r="M5" s="0" t="n">
        <v>10807</v>
      </c>
      <c r="N5" s="0" t="n">
        <v>-5115</v>
      </c>
      <c r="O5" s="0" t="n">
        <v>53615</v>
      </c>
      <c r="P5" s="0" t="n">
        <v>288790</v>
      </c>
      <c r="Q5" s="0" t="n">
        <v>231638</v>
      </c>
      <c r="R5" s="0" t="n">
        <v>95791</v>
      </c>
      <c r="S5" s="0" t="n">
        <v>12950</v>
      </c>
      <c r="T5" s="0" t="n">
        <v>18874</v>
      </c>
      <c r="U5" s="0" t="n">
        <v>0</v>
      </c>
      <c r="AA5" s="0" t="s">
        <v>18</v>
      </c>
      <c r="AB5" s="0" t="s">
        <v>14</v>
      </c>
      <c r="AC5" s="0" t="n">
        <v>-13284</v>
      </c>
      <c r="AD5" s="0" t="n">
        <v>57152</v>
      </c>
    </row>
    <row r="6" customFormat="false" ht="15" hidden="false" customHeight="false" outlineLevel="0" collapsed="false">
      <c r="A6" s="0" t="s">
        <v>70</v>
      </c>
      <c r="B6" s="0" t="n">
        <v>46111</v>
      </c>
      <c r="F6" s="0" t="n">
        <v>-31635</v>
      </c>
      <c r="G6" s="0" t="n">
        <v>-68.6</v>
      </c>
      <c r="H6" s="0" t="n">
        <v>-9836</v>
      </c>
      <c r="I6" s="0" t="n">
        <v>-37386</v>
      </c>
      <c r="J6" s="0" t="n">
        <v>-81.1</v>
      </c>
      <c r="K6" s="0" t="n">
        <v>-1.98</v>
      </c>
      <c r="L6" s="0" t="n">
        <v>-6474</v>
      </c>
      <c r="M6" s="0" t="n">
        <v>10019</v>
      </c>
      <c r="N6" s="0" t="n">
        <v>-16493</v>
      </c>
      <c r="O6" s="0" t="n">
        <v>31322</v>
      </c>
      <c r="P6" s="0" t="n">
        <v>287984</v>
      </c>
      <c r="Q6" s="0" t="n">
        <v>255641</v>
      </c>
      <c r="R6" s="0" t="n">
        <v>121947</v>
      </c>
      <c r="S6" s="0" t="n">
        <v>17541</v>
      </c>
      <c r="T6" s="0" t="n">
        <v>22291</v>
      </c>
      <c r="U6" s="0" t="n">
        <v>0</v>
      </c>
      <c r="AA6" s="0" t="s">
        <v>18</v>
      </c>
      <c r="AB6" s="0" t="s">
        <v>14</v>
      </c>
      <c r="AC6" s="0" t="n">
        <v>-39900</v>
      </c>
      <c r="AD6" s="0" t="n">
        <v>32343</v>
      </c>
    </row>
    <row r="7" customFormat="false" ht="15" hidden="false" customHeight="false" outlineLevel="0" collapsed="false">
      <c r="A7" s="0" t="s">
        <v>71</v>
      </c>
      <c r="B7" s="0" t="n">
        <v>113788</v>
      </c>
      <c r="F7" s="0" t="n">
        <v>-1937</v>
      </c>
      <c r="G7" s="0" t="n">
        <v>-1.7</v>
      </c>
      <c r="H7" s="0" t="n">
        <v>23104</v>
      </c>
      <c r="I7" s="0" t="n">
        <v>-8190</v>
      </c>
      <c r="J7" s="0" t="n">
        <v>-7.2</v>
      </c>
      <c r="K7" s="0" t="n">
        <v>-0.37</v>
      </c>
      <c r="L7" s="0" t="n">
        <v>26553</v>
      </c>
      <c r="M7" s="0" t="n">
        <v>18665</v>
      </c>
      <c r="N7" s="0" t="n">
        <v>7888</v>
      </c>
      <c r="O7" s="0" t="n">
        <v>42954</v>
      </c>
      <c r="P7" s="0" t="n">
        <v>284816</v>
      </c>
      <c r="Q7" s="0" t="n">
        <v>241251</v>
      </c>
      <c r="R7" s="0" t="n">
        <v>111028</v>
      </c>
      <c r="S7" s="0" t="n">
        <v>11858</v>
      </c>
      <c r="T7" s="0" t="n">
        <v>22291</v>
      </c>
      <c r="U7" s="0" t="n">
        <v>0</v>
      </c>
      <c r="AA7" s="0" t="s">
        <v>18</v>
      </c>
      <c r="AB7" s="0" t="s">
        <v>14</v>
      </c>
      <c r="AC7" s="0" t="n">
        <v>-8636</v>
      </c>
      <c r="AD7" s="0" t="n">
        <v>43565</v>
      </c>
    </row>
    <row r="8" customFormat="false" ht="15" hidden="false" customHeight="false" outlineLevel="0" collapsed="false">
      <c r="A8" s="0" t="s">
        <v>72</v>
      </c>
      <c r="B8" s="0" t="n">
        <v>132120</v>
      </c>
      <c r="F8" s="0" t="n">
        <v>1618</v>
      </c>
      <c r="G8" s="0" t="n">
        <v>1.2</v>
      </c>
      <c r="H8" s="0" t="n">
        <v>28262</v>
      </c>
      <c r="I8" s="0" t="n">
        <v>-4226</v>
      </c>
      <c r="J8" s="0" t="n">
        <v>-3.2</v>
      </c>
      <c r="K8" s="0" t="n">
        <v>-0.19</v>
      </c>
      <c r="L8" s="0" t="n">
        <v>37314</v>
      </c>
      <c r="M8" s="0" t="n">
        <v>16339</v>
      </c>
      <c r="N8" s="0" t="n">
        <v>20975</v>
      </c>
      <c r="O8" s="0" t="n">
        <v>42774</v>
      </c>
      <c r="P8" s="0" t="n">
        <v>278842</v>
      </c>
      <c r="Q8" s="0" t="n">
        <v>235191</v>
      </c>
      <c r="R8" s="0" t="n">
        <v>103174</v>
      </c>
      <c r="S8" s="0" t="n">
        <v>4072</v>
      </c>
      <c r="T8" s="0" t="n">
        <v>22291</v>
      </c>
      <c r="U8" s="0" t="n">
        <v>0</v>
      </c>
      <c r="AA8" s="0" t="s">
        <v>18</v>
      </c>
      <c r="AB8" s="0" t="s">
        <v>14</v>
      </c>
      <c r="AC8" s="0" t="n">
        <v>-4798</v>
      </c>
      <c r="AD8" s="0" t="n">
        <v>43651</v>
      </c>
    </row>
    <row r="9" customFormat="false" ht="15" hidden="false" customHeight="false" outlineLevel="0" collapsed="false">
      <c r="A9" s="0" t="s">
        <v>73</v>
      </c>
      <c r="B9" s="0" t="n">
        <v>139941</v>
      </c>
      <c r="F9" s="0" t="n">
        <v>3873</v>
      </c>
      <c r="G9" s="0" t="n">
        <v>2.8</v>
      </c>
      <c r="H9" s="0" t="n">
        <v>31767</v>
      </c>
      <c r="I9" s="0" t="n">
        <v>-1633</v>
      </c>
      <c r="J9" s="0" t="n">
        <v>-1.2</v>
      </c>
      <c r="K9" s="0" t="n">
        <v>-0.11</v>
      </c>
      <c r="L9" s="0" t="n">
        <v>37941</v>
      </c>
      <c r="M9" s="0" t="n">
        <v>20793</v>
      </c>
      <c r="N9" s="0" t="n">
        <v>17148</v>
      </c>
      <c r="O9" s="0" t="n">
        <v>40001</v>
      </c>
      <c r="P9" s="0" t="n">
        <v>294006</v>
      </c>
      <c r="Q9" s="0" t="n">
        <v>252916</v>
      </c>
      <c r="R9" s="0" t="n">
        <v>101820</v>
      </c>
      <c r="S9" s="0" t="n">
        <v>7164</v>
      </c>
      <c r="T9" s="0" t="n">
        <v>22088</v>
      </c>
      <c r="U9" s="0" t="n">
        <v>0</v>
      </c>
      <c r="AA9" s="0" t="s">
        <v>18</v>
      </c>
      <c r="AB9" s="0" t="s">
        <v>14</v>
      </c>
      <c r="AC9" s="0" t="n">
        <v>-1952</v>
      </c>
      <c r="AD9" s="0" t="n">
        <v>41090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2.445</v>
      </c>
    </row>
    <row r="3" customFormat="false" ht="15" hidden="false" customHeight="false" outlineLevel="0" collapsed="false">
      <c r="A3" s="0" t="s">
        <v>77</v>
      </c>
      <c r="B3" s="3" t="n">
        <v>22088</v>
      </c>
    </row>
    <row r="4" customFormat="false" ht="15" hidden="false" customHeight="false" outlineLevel="0" collapsed="false">
      <c r="A4" s="0" t="s">
        <v>78</v>
      </c>
      <c r="B4" s="3" t="n">
        <v>104715</v>
      </c>
    </row>
    <row r="5" customFormat="false" ht="15" hidden="false" customHeight="false" outlineLevel="0" collapsed="false">
      <c r="A5" s="0" t="s">
        <v>79</v>
      </c>
      <c r="B5" s="3" t="n">
        <v>-22497</v>
      </c>
    </row>
    <row r="6" customFormat="false" ht="15" hidden="false" customHeight="false" outlineLevel="0" collapsed="false">
      <c r="A6" s="0" t="s">
        <v>80</v>
      </c>
      <c r="B6" s="3" t="n">
        <v>15</v>
      </c>
    </row>
    <row r="7" customFormat="false" ht="15" hidden="false" customHeight="false" outlineLevel="0" collapsed="false">
      <c r="A7" s="0" t="s">
        <v>81</v>
      </c>
      <c r="B7" s="3" t="n">
        <v>139941</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1.1721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6</v>
      </c>
      <c r="D13" s="3" t="n">
        <v>3</v>
      </c>
      <c r="E13" s="3" t="n">
        <v>3</v>
      </c>
      <c r="F13" s="3" t="n">
        <v>3</v>
      </c>
      <c r="G13" s="3" t="n">
        <v>3</v>
      </c>
      <c r="H13" s="3" t="n">
        <v>2.5</v>
      </c>
      <c r="I13" s="3" t="n">
        <v>2.5</v>
      </c>
      <c r="J13" s="3" t="n">
        <v>2</v>
      </c>
      <c r="K13" s="3" t="n">
        <v>2</v>
      </c>
      <c r="L13" s="3" t="n">
        <v>2</v>
      </c>
    </row>
    <row r="14" customFormat="false" ht="15" hidden="false" customHeight="false" outlineLevel="0" collapsed="false">
      <c r="A14" s="0" t="s">
        <v>98</v>
      </c>
      <c r="C14" s="3" t="n">
        <v>17.5</v>
      </c>
      <c r="D14" s="3" t="n">
        <v>19</v>
      </c>
      <c r="E14" s="3" t="n">
        <v>20.5</v>
      </c>
      <c r="F14" s="3" t="n">
        <v>21.5</v>
      </c>
      <c r="G14" s="3" t="n">
        <v>22</v>
      </c>
      <c r="H14" s="3" t="n">
        <v>22</v>
      </c>
      <c r="I14" s="3" t="n">
        <v>22</v>
      </c>
      <c r="J14" s="3" t="n">
        <v>22</v>
      </c>
      <c r="K14" s="3" t="n">
        <v>22</v>
      </c>
      <c r="L14" s="3" t="n">
        <v>22</v>
      </c>
    </row>
    <row r="15" customFormat="false" ht="15" hidden="false" customHeight="false" outlineLevel="0" collapsed="false">
      <c r="A15" s="0" t="s">
        <v>99</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100</v>
      </c>
      <c r="C16" s="3" t="n">
        <v>12.5</v>
      </c>
      <c r="D16" s="3" t="n">
        <v>12.4</v>
      </c>
      <c r="E16" s="3" t="n">
        <v>12.3</v>
      </c>
      <c r="F16" s="3" t="n">
        <v>12.2</v>
      </c>
      <c r="G16" s="3" t="n">
        <v>12</v>
      </c>
      <c r="H16" s="3" t="n">
        <v>12</v>
      </c>
      <c r="I16" s="3" t="n">
        <v>12</v>
      </c>
      <c r="J16" s="3" t="n">
        <v>12</v>
      </c>
      <c r="K16" s="3" t="n">
        <v>12</v>
      </c>
      <c r="L16" s="3" t="n">
        <v>12</v>
      </c>
    </row>
    <row r="17" customFormat="false" ht="15" hidden="false" customHeight="false" outlineLevel="0" collapsed="false">
      <c r="A17" s="0" t="s">
        <v>101</v>
      </c>
      <c r="C17" s="3" t="n">
        <v>9.8</v>
      </c>
      <c r="D17" s="3" t="n">
        <v>10</v>
      </c>
      <c r="E17" s="3" t="n">
        <v>10.2</v>
      </c>
      <c r="F17" s="3" t="n">
        <v>10.3</v>
      </c>
      <c r="G17" s="3" t="n">
        <v>10.4</v>
      </c>
      <c r="H17" s="3" t="n">
        <v>10.5</v>
      </c>
      <c r="I17" s="3" t="n">
        <v>10.5</v>
      </c>
      <c r="J17" s="3" t="n">
        <v>10.5</v>
      </c>
      <c r="K17" s="3" t="n">
        <v>10.5</v>
      </c>
      <c r="L17" s="3" t="n">
        <v>10.5</v>
      </c>
    </row>
    <row r="18" customFormat="false" ht="15" hidden="false" customHeight="false" outlineLevel="0" collapsed="false">
      <c r="A18" s="0" t="s">
        <v>102</v>
      </c>
      <c r="C18" s="3" t="n">
        <v>14.5</v>
      </c>
      <c r="D18" s="3" t="n">
        <v>13.5</v>
      </c>
      <c r="E18" s="3" t="n">
        <v>12</v>
      </c>
      <c r="F18" s="3" t="n">
        <v>11</v>
      </c>
      <c r="G18" s="3" t="n">
        <v>11</v>
      </c>
      <c r="H18" s="3" t="n">
        <v>11</v>
      </c>
      <c r="I18" s="3" t="n">
        <v>11</v>
      </c>
      <c r="J18" s="3" t="n">
        <v>11</v>
      </c>
      <c r="K18" s="3" t="n">
        <v>11</v>
      </c>
      <c r="L18" s="3" t="n">
        <v>11</v>
      </c>
    </row>
    <row r="19" customFormat="false" ht="15" hidden="false" customHeight="false" outlineLevel="0" collapsed="false">
      <c r="A19" s="0" t="s">
        <v>103</v>
      </c>
      <c r="C19" s="3" t="n">
        <v>5</v>
      </c>
      <c r="D19" s="3" t="n">
        <v>10</v>
      </c>
      <c r="E19" s="3" t="n">
        <v>15</v>
      </c>
      <c r="F19" s="3" t="n">
        <v>20</v>
      </c>
      <c r="G19" s="3" t="n">
        <v>25</v>
      </c>
      <c r="H19" s="3" t="n">
        <v>25</v>
      </c>
      <c r="I19" s="3" t="n">
        <v>25</v>
      </c>
      <c r="J19" s="3" t="n">
        <v>25</v>
      </c>
      <c r="K19" s="3" t="n">
        <v>25</v>
      </c>
      <c r="L19" s="3" t="n">
        <v>25</v>
      </c>
    </row>
    <row r="20" customFormat="false" ht="15" hidden="false" customHeight="false" outlineLevel="0" collapsed="false">
      <c r="A20" s="0" t="s">
        <v>104</v>
      </c>
      <c r="B20" s="3" t="n">
        <v>6.5</v>
      </c>
    </row>
    <row r="21" customFormat="false" ht="15" hidden="false" customHeight="false" outlineLevel="0" collapsed="false">
      <c r="A21" s="0" t="s">
        <v>105</v>
      </c>
      <c r="B21" s="3" t="n">
        <v>2.5</v>
      </c>
    </row>
    <row r="22" customFormat="false" ht="15" hidden="false" customHeight="false" outlineLevel="0" collapsed="false">
      <c r="A22" s="0" t="s">
        <v>106</v>
      </c>
      <c r="B22" s="3" t="n">
        <v>12</v>
      </c>
    </row>
    <row r="23" customFormat="false" ht="15" hidden="false" customHeight="false" outlineLevel="0" collapsed="false">
      <c r="A23" s="0" t="s">
        <v>107</v>
      </c>
      <c r="B23" s="3" t="n">
        <v>15</v>
      </c>
    </row>
    <row r="24" customFormat="false" ht="15" hidden="false" customHeight="false" outlineLevel="0" collapsed="false">
      <c r="A24" s="0" t="s">
        <v>108</v>
      </c>
      <c r="B24" s="3" t="n">
        <v>0.3</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8.5</v>
      </c>
      <c r="D27" s="3" t="n">
        <v>6</v>
      </c>
      <c r="E27" s="3" t="n">
        <v>5.5</v>
      </c>
      <c r="F27" s="3" t="n">
        <v>5</v>
      </c>
      <c r="G27" s="3" t="n">
        <v>4.5</v>
      </c>
      <c r="H27" s="3" t="n">
        <v>4</v>
      </c>
      <c r="I27" s="3" t="n">
        <v>3.5</v>
      </c>
      <c r="J27" s="3" t="n">
        <v>3</v>
      </c>
      <c r="K27" s="3" t="n">
        <v>3</v>
      </c>
      <c r="L27" s="3" t="n">
        <v>2.5</v>
      </c>
    </row>
    <row r="28" customFormat="false" ht="15" hidden="false" customHeight="false" outlineLevel="0" collapsed="false">
      <c r="A28" s="0" t="s">
        <v>98</v>
      </c>
      <c r="C28" s="3" t="n">
        <v>19</v>
      </c>
      <c r="D28" s="3" t="n">
        <v>21.5</v>
      </c>
      <c r="E28" s="3" t="n">
        <v>23</v>
      </c>
      <c r="F28" s="3" t="n">
        <v>24</v>
      </c>
      <c r="G28" s="3" t="n">
        <v>24.5</v>
      </c>
      <c r="H28" s="3" t="n">
        <v>24.5</v>
      </c>
      <c r="I28" s="3" t="n">
        <v>24.5</v>
      </c>
      <c r="J28" s="3" t="n">
        <v>24.5</v>
      </c>
      <c r="K28" s="3" t="n">
        <v>24.5</v>
      </c>
      <c r="L28" s="3" t="n">
        <v>24.5</v>
      </c>
    </row>
    <row r="29" customFormat="false" ht="15" hidden="false" customHeight="false" outlineLevel="0" collapsed="false">
      <c r="A29" s="0" t="s">
        <v>99</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100</v>
      </c>
      <c r="C30" s="3" t="n">
        <v>12.3</v>
      </c>
      <c r="D30" s="3" t="n">
        <v>12</v>
      </c>
      <c r="E30" s="3" t="n">
        <v>11.7</v>
      </c>
      <c r="F30" s="3" t="n">
        <v>11.4</v>
      </c>
      <c r="G30" s="3" t="n">
        <v>11.1</v>
      </c>
      <c r="H30" s="3" t="n">
        <v>11</v>
      </c>
      <c r="I30" s="3" t="n">
        <v>11</v>
      </c>
      <c r="J30" s="3" t="n">
        <v>11</v>
      </c>
      <c r="K30" s="3" t="n">
        <v>11</v>
      </c>
      <c r="L30" s="3" t="n">
        <v>11</v>
      </c>
    </row>
    <row r="31" customFormat="false" ht="15" hidden="false" customHeight="false" outlineLevel="0" collapsed="false">
      <c r="A31" s="0" t="s">
        <v>101</v>
      </c>
      <c r="C31" s="3" t="n">
        <v>9.8</v>
      </c>
      <c r="D31" s="3" t="n">
        <v>9.9</v>
      </c>
      <c r="E31" s="3" t="n">
        <v>10</v>
      </c>
      <c r="F31" s="3" t="n">
        <v>10</v>
      </c>
      <c r="G31" s="3" t="n">
        <v>10</v>
      </c>
      <c r="H31" s="3" t="n">
        <v>10</v>
      </c>
      <c r="I31" s="3" t="n">
        <v>10</v>
      </c>
      <c r="J31" s="3" t="n">
        <v>10</v>
      </c>
      <c r="K31" s="3" t="n">
        <v>10</v>
      </c>
      <c r="L31" s="3" t="n">
        <v>10</v>
      </c>
    </row>
    <row r="32" customFormat="false" ht="15" hidden="false" customHeight="false" outlineLevel="0" collapsed="false">
      <c r="A32" s="0" t="s">
        <v>102</v>
      </c>
      <c r="C32" s="3" t="n">
        <v>14</v>
      </c>
      <c r="D32" s="3" t="n">
        <v>13</v>
      </c>
      <c r="E32" s="3" t="n">
        <v>12</v>
      </c>
      <c r="F32" s="3" t="n">
        <v>11</v>
      </c>
      <c r="G32" s="3" t="n">
        <v>10.5</v>
      </c>
      <c r="H32" s="3" t="n">
        <v>10.5</v>
      </c>
      <c r="I32" s="3" t="n">
        <v>10.5</v>
      </c>
      <c r="J32" s="3" t="n">
        <v>10.5</v>
      </c>
      <c r="K32" s="3" t="n">
        <v>10.5</v>
      </c>
      <c r="L32" s="3" t="n">
        <v>10.5</v>
      </c>
    </row>
    <row r="33" customFormat="false" ht="15" hidden="false" customHeight="false" outlineLevel="0" collapsed="false">
      <c r="A33" s="0" t="s">
        <v>103</v>
      </c>
      <c r="C33" s="3" t="n">
        <v>5</v>
      </c>
      <c r="D33" s="3" t="n">
        <v>10</v>
      </c>
      <c r="E33" s="3" t="n">
        <v>15</v>
      </c>
      <c r="F33" s="3" t="n">
        <v>20</v>
      </c>
      <c r="G33" s="3" t="n">
        <v>25</v>
      </c>
      <c r="H33" s="3" t="n">
        <v>25</v>
      </c>
      <c r="I33" s="3" t="n">
        <v>25</v>
      </c>
      <c r="J33" s="3" t="n">
        <v>25</v>
      </c>
      <c r="K33" s="3" t="n">
        <v>25</v>
      </c>
      <c r="L33" s="3" t="n">
        <v>25</v>
      </c>
    </row>
    <row r="34" customFormat="false" ht="15" hidden="false" customHeight="false" outlineLevel="0" collapsed="false">
      <c r="A34" s="0" t="s">
        <v>104</v>
      </c>
      <c r="B34" s="3" t="n">
        <v>6.5</v>
      </c>
    </row>
    <row r="35" customFormat="false" ht="15" hidden="false" customHeight="false" outlineLevel="0" collapsed="false">
      <c r="A35" s="0" t="s">
        <v>105</v>
      </c>
      <c r="B35" s="3" t="n">
        <v>2.5</v>
      </c>
    </row>
    <row r="36" customFormat="false" ht="15" hidden="false" customHeight="false" outlineLevel="0" collapsed="false">
      <c r="A36" s="0" t="s">
        <v>106</v>
      </c>
      <c r="B36" s="3" t="n">
        <v>12</v>
      </c>
    </row>
    <row r="37" customFormat="false" ht="15" hidden="false" customHeight="false" outlineLevel="0" collapsed="false">
      <c r="A37" s="0" t="s">
        <v>107</v>
      </c>
      <c r="B37" s="3" t="n">
        <v>15</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10</v>
      </c>
      <c r="D41" s="3" t="n">
        <v>8</v>
      </c>
      <c r="E41" s="3" t="n">
        <v>7</v>
      </c>
      <c r="F41" s="3" t="n">
        <v>6</v>
      </c>
      <c r="G41" s="3" t="n">
        <v>5.5</v>
      </c>
      <c r="H41" s="3" t="n">
        <v>5</v>
      </c>
      <c r="I41" s="3" t="n">
        <v>4</v>
      </c>
      <c r="J41" s="3" t="n">
        <v>3.5</v>
      </c>
      <c r="K41" s="3" t="n">
        <v>3</v>
      </c>
      <c r="L41" s="3" t="n">
        <v>3</v>
      </c>
    </row>
    <row r="42" customFormat="false" ht="15" hidden="false" customHeight="false" outlineLevel="0" collapsed="false">
      <c r="A42" s="0" t="s">
        <v>98</v>
      </c>
      <c r="C42" s="3" t="n">
        <v>20</v>
      </c>
      <c r="D42" s="3" t="n">
        <v>24</v>
      </c>
      <c r="E42" s="3" t="n">
        <v>26</v>
      </c>
      <c r="F42" s="3" t="n">
        <v>27</v>
      </c>
      <c r="G42" s="3" t="n">
        <v>27.5</v>
      </c>
      <c r="H42" s="3" t="n">
        <v>28</v>
      </c>
      <c r="I42" s="3" t="n">
        <v>28</v>
      </c>
      <c r="J42" s="3" t="n">
        <v>28</v>
      </c>
      <c r="K42" s="3" t="n">
        <v>28</v>
      </c>
      <c r="L42" s="3" t="n">
        <v>28</v>
      </c>
    </row>
    <row r="43" customFormat="false" ht="15" hidden="false" customHeight="false" outlineLevel="0" collapsed="false">
      <c r="A43" s="0" t="s">
        <v>99</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100</v>
      </c>
      <c r="C44" s="3" t="n">
        <v>12.2</v>
      </c>
      <c r="D44" s="3" t="n">
        <v>11.8</v>
      </c>
      <c r="E44" s="3" t="n">
        <v>11.4</v>
      </c>
      <c r="F44" s="3" t="n">
        <v>11</v>
      </c>
      <c r="G44" s="3" t="n">
        <v>10.7</v>
      </c>
      <c r="H44" s="3" t="n">
        <v>10.5</v>
      </c>
      <c r="I44" s="3" t="n">
        <v>10.5</v>
      </c>
      <c r="J44" s="3" t="n">
        <v>10.5</v>
      </c>
      <c r="K44" s="3" t="n">
        <v>10.5</v>
      </c>
      <c r="L44" s="3" t="n">
        <v>10.5</v>
      </c>
    </row>
    <row r="45" customFormat="false" ht="15" hidden="false" customHeight="false" outlineLevel="0" collapsed="false">
      <c r="A45" s="0" t="s">
        <v>101</v>
      </c>
      <c r="C45" s="3" t="n">
        <v>9.8</v>
      </c>
      <c r="D45" s="3" t="n">
        <v>9.8</v>
      </c>
      <c r="E45" s="3" t="n">
        <v>9.8</v>
      </c>
      <c r="F45" s="3" t="n">
        <v>9.8</v>
      </c>
      <c r="G45" s="3" t="n">
        <v>9.8</v>
      </c>
      <c r="H45" s="3" t="n">
        <v>9.8</v>
      </c>
      <c r="I45" s="3" t="n">
        <v>9.8</v>
      </c>
      <c r="J45" s="3" t="n">
        <v>9.8</v>
      </c>
      <c r="K45" s="3" t="n">
        <v>9.8</v>
      </c>
      <c r="L45" s="3" t="n">
        <v>9.8</v>
      </c>
    </row>
    <row r="46" customFormat="false" ht="15" hidden="false" customHeight="false" outlineLevel="0" collapsed="false">
      <c r="A46" s="0" t="s">
        <v>102</v>
      </c>
      <c r="C46" s="3" t="n">
        <v>14</v>
      </c>
      <c r="D46" s="3" t="n">
        <v>12.5</v>
      </c>
      <c r="E46" s="3" t="n">
        <v>11.5</v>
      </c>
      <c r="F46" s="3" t="n">
        <v>10.5</v>
      </c>
      <c r="G46" s="3" t="n">
        <v>10</v>
      </c>
      <c r="H46" s="3" t="n">
        <v>10</v>
      </c>
      <c r="I46" s="3" t="n">
        <v>10</v>
      </c>
      <c r="J46" s="3" t="n">
        <v>10</v>
      </c>
      <c r="K46" s="3" t="n">
        <v>10</v>
      </c>
      <c r="L46" s="3" t="n">
        <v>10</v>
      </c>
    </row>
    <row r="47" customFormat="false" ht="15" hidden="false" customHeight="false" outlineLevel="0" collapsed="false">
      <c r="A47" s="0" t="s">
        <v>103</v>
      </c>
      <c r="C47" s="3" t="n">
        <v>5</v>
      </c>
      <c r="D47" s="3" t="n">
        <v>10</v>
      </c>
      <c r="E47" s="3" t="n">
        <v>15</v>
      </c>
      <c r="F47" s="3" t="n">
        <v>20</v>
      </c>
      <c r="G47" s="3" t="n">
        <v>25</v>
      </c>
      <c r="H47" s="3" t="n">
        <v>25</v>
      </c>
      <c r="I47" s="3" t="n">
        <v>25</v>
      </c>
      <c r="J47" s="3" t="n">
        <v>25</v>
      </c>
      <c r="K47" s="3" t="n">
        <v>25</v>
      </c>
      <c r="L47" s="3" t="n">
        <v>25</v>
      </c>
    </row>
    <row r="48" customFormat="false" ht="15" hidden="false" customHeight="false" outlineLevel="0" collapsed="false">
      <c r="A48" s="0" t="s">
        <v>104</v>
      </c>
      <c r="B48" s="3" t="n">
        <v>6.5</v>
      </c>
    </row>
    <row r="49" customFormat="false" ht="15" hidden="false" customHeight="false" outlineLevel="0" collapsed="false">
      <c r="A49" s="0" t="s">
        <v>105</v>
      </c>
      <c r="B49" s="3" t="n">
        <v>2.5</v>
      </c>
    </row>
    <row r="50" customFormat="false" ht="15" hidden="false" customHeight="false" outlineLevel="0" collapsed="false">
      <c r="A50" s="0" t="s">
        <v>106</v>
      </c>
      <c r="B50" s="3" t="n">
        <v>12</v>
      </c>
    </row>
    <row r="51" customFormat="false" ht="15" hidden="false" customHeight="false" outlineLevel="0" collapsed="false">
      <c r="A51" s="0" t="s">
        <v>107</v>
      </c>
      <c r="B51" s="3" t="n">
        <v>15</v>
      </c>
    </row>
    <row r="52" customFormat="false" ht="15" hidden="false" customHeight="false" outlineLevel="0" collapsed="false">
      <c r="A52" s="0" t="s">
        <v>108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6</v>
      </c>
      <c r="D5" s="4" t="n">
        <f aca="false">Assumptions!D13</f>
        <v>3</v>
      </c>
      <c r="E5" s="4" t="n">
        <f aca="false">Assumptions!E13</f>
        <v>3</v>
      </c>
      <c r="F5" s="4" t="n">
        <f aca="false">Assumptions!F13</f>
        <v>3</v>
      </c>
      <c r="G5" s="4" t="n">
        <f aca="false">Assumptions!G13</f>
        <v>3</v>
      </c>
      <c r="H5" s="4" t="n">
        <f aca="false">Assumptions!H13</f>
        <v>2.5</v>
      </c>
      <c r="I5" s="4" t="n">
        <f aca="false">Assumptions!I13</f>
        <v>2.5</v>
      </c>
      <c r="J5" s="4" t="n">
        <f aca="false">Assumptions!J13</f>
        <v>2</v>
      </c>
      <c r="K5" s="4" t="n">
        <f aca="false">Assumptions!K13</f>
        <v>2</v>
      </c>
      <c r="L5" s="4" t="n">
        <f aca="false">Assumptions!L13</f>
        <v>2</v>
      </c>
    </row>
    <row r="6" customFormat="false" ht="15" hidden="false" customHeight="false" outlineLevel="0" collapsed="false">
      <c r="A6" s="0" t="s">
        <v>38</v>
      </c>
      <c r="B6" s="3" t="n">
        <v>139941</v>
      </c>
      <c r="C6" s="0" t="n">
        <f aca="false">B6*(1+C5/100)</f>
        <v>148337.46</v>
      </c>
      <c r="D6" s="0" t="n">
        <f aca="false">C6*(1+D5/100)</f>
        <v>152787.5838</v>
      </c>
      <c r="E6" s="0" t="n">
        <f aca="false">D6*(1+E5/100)</f>
        <v>157371.211314</v>
      </c>
      <c r="F6" s="0" t="n">
        <f aca="false">E6*(1+F5/100)</f>
        <v>162092.34765342</v>
      </c>
      <c r="G6" s="0" t="n">
        <f aca="false">F6*(1+G5/100)</f>
        <v>166955.118083023</v>
      </c>
      <c r="H6" s="0" t="n">
        <f aca="false">G6*(1+H5/100)</f>
        <v>171128.996035098</v>
      </c>
      <c r="I6" s="0" t="n">
        <f aca="false">H6*(1+I5/100)</f>
        <v>175407.220935976</v>
      </c>
      <c r="J6" s="0" t="n">
        <f aca="false">I6*(1+J5/100)</f>
        <v>178915.365354695</v>
      </c>
      <c r="K6" s="0" t="n">
        <f aca="false">J6*(1+K5/100)</f>
        <v>182493.672661789</v>
      </c>
      <c r="L6" s="0" t="n">
        <f aca="false">K6*(1+L5/100)</f>
        <v>186143.546115025</v>
      </c>
    </row>
    <row r="7" customFormat="false" ht="15" hidden="false" customHeight="false" outlineLevel="0" collapsed="false">
      <c r="A7" s="0" t="s">
        <v>98</v>
      </c>
      <c r="C7" s="4" t="n">
        <f aca="false">Assumptions!C14</f>
        <v>17.5</v>
      </c>
      <c r="D7" s="4" t="n">
        <f aca="false">Assumptions!D14</f>
        <v>19</v>
      </c>
      <c r="E7" s="4" t="n">
        <f aca="false">Assumptions!E14</f>
        <v>20.5</v>
      </c>
      <c r="F7" s="4" t="n">
        <f aca="false">Assumptions!F14</f>
        <v>21.5</v>
      </c>
      <c r="G7" s="4" t="n">
        <f aca="false">Assumptions!G14</f>
        <v>22</v>
      </c>
      <c r="H7" s="4" t="n">
        <f aca="false">Assumptions!H14</f>
        <v>22</v>
      </c>
      <c r="I7" s="4" t="n">
        <f aca="false">Assumptions!I14</f>
        <v>22</v>
      </c>
      <c r="J7" s="4" t="n">
        <f aca="false">Assumptions!J14</f>
        <v>22</v>
      </c>
      <c r="K7" s="4" t="n">
        <f aca="false">Assumptions!K14</f>
        <v>22</v>
      </c>
      <c r="L7" s="4" t="n">
        <f aca="false">Assumptions!L14</f>
        <v>22</v>
      </c>
    </row>
    <row r="8" customFormat="false" ht="15" hidden="false" customHeight="false" outlineLevel="0" collapsed="false">
      <c r="A8" s="0" t="s">
        <v>44</v>
      </c>
      <c r="C8" s="0" t="n">
        <f aca="false">C6*C7/100</f>
        <v>25959.0555</v>
      </c>
      <c r="D8" s="0" t="n">
        <f aca="false">D6*D7/100</f>
        <v>29029.640922</v>
      </c>
      <c r="E8" s="0" t="n">
        <f aca="false">E6*E7/100</f>
        <v>32261.09831937</v>
      </c>
      <c r="F8" s="0" t="n">
        <f aca="false">F6*F7/100</f>
        <v>34849.8547454853</v>
      </c>
      <c r="G8" s="0" t="n">
        <f aca="false">G6*G7/100</f>
        <v>36730.125978265</v>
      </c>
      <c r="H8" s="0" t="n">
        <f aca="false">H6*H7/100</f>
        <v>37648.3791277216</v>
      </c>
      <c r="I8" s="0" t="n">
        <f aca="false">I6*I7/100</f>
        <v>38589.5886059146</v>
      </c>
      <c r="J8" s="0" t="n">
        <f aca="false">J6*J7/100</f>
        <v>39361.3803780329</v>
      </c>
      <c r="K8" s="0" t="n">
        <f aca="false">K6*K7/100</f>
        <v>40148.6079855936</v>
      </c>
      <c r="L8" s="0" t="n">
        <f aca="false">L6*L7/100</f>
        <v>40951.5801453055</v>
      </c>
    </row>
    <row r="9" customFormat="false" ht="15" hidden="false" customHeight="false" outlineLevel="0" collapsed="false">
      <c r="A9" s="0" t="s">
        <v>99</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7416.873</v>
      </c>
      <c r="D11" s="0" t="n">
        <f aca="false">D8+D10+D24</f>
        <v>10083.9805308</v>
      </c>
      <c r="E11" s="0" t="n">
        <f aca="false">E8+E10+E24</f>
        <v>12904.439327748</v>
      </c>
      <c r="F11" s="0" t="n">
        <f aca="false">F8+F10+F24</f>
        <v>15074.5883317681</v>
      </c>
      <c r="G11" s="0" t="n">
        <f aca="false">G8+G10+G24</f>
        <v>16695.5118083023</v>
      </c>
      <c r="H11" s="0" t="n">
        <f aca="false">H8+H10+H24</f>
        <v>17112.8996035098</v>
      </c>
      <c r="I11" s="0" t="n">
        <f aca="false">I8+I10+I24</f>
        <v>17540.7220935976</v>
      </c>
      <c r="J11" s="0" t="n">
        <f aca="false">J8+J10+J24</f>
        <v>17891.5365354695</v>
      </c>
      <c r="K11" s="0" t="n">
        <f aca="false">K8+K10+K24</f>
        <v>18249.3672661789</v>
      </c>
      <c r="L11" s="0" t="n">
        <f aca="false">L8+L10+L24</f>
        <v>18614.3546115025</v>
      </c>
    </row>
    <row r="12" customFormat="false" ht="15" hidden="false" customHeight="false" outlineLevel="0" collapsed="false">
      <c r="A12" s="0" t="s">
        <v>116</v>
      </c>
      <c r="C12" s="4" t="n">
        <f aca="false">-C6*Assumptions!C17/100</f>
        <v>-14537.07108</v>
      </c>
      <c r="D12" s="4" t="n">
        <f aca="false">-D6*Assumptions!D17/100</f>
        <v>-15278.75838</v>
      </c>
      <c r="E12" s="4" t="n">
        <f aca="false">-E6*Assumptions!E17/100</f>
        <v>-16051.863554028</v>
      </c>
      <c r="F12" s="4" t="n">
        <f aca="false">-F6*Assumptions!F17/100</f>
        <v>-16695.5118083023</v>
      </c>
      <c r="G12" s="4" t="n">
        <f aca="false">-G6*Assumptions!G17/100</f>
        <v>-17363.3322806344</v>
      </c>
      <c r="H12" s="4" t="n">
        <f aca="false">-H6*Assumptions!H17/100</f>
        <v>-17968.5445836853</v>
      </c>
      <c r="I12" s="4" t="n">
        <f aca="false">-I6*Assumptions!I17/100</f>
        <v>-18417.7581982774</v>
      </c>
      <c r="J12" s="4" t="n">
        <f aca="false">-J6*Assumptions!J17/100</f>
        <v>-18786.113362243</v>
      </c>
      <c r="K12" s="4" t="n">
        <f aca="false">-K6*Assumptions!K17/100</f>
        <v>-19161.8356294879</v>
      </c>
      <c r="L12" s="4" t="n">
        <f aca="false">-L6*Assumptions!L17/100</f>
        <v>-19545.0723420776</v>
      </c>
    </row>
    <row r="13" customFormat="false" ht="15" hidden="false" customHeight="false" outlineLevel="0" collapsed="false">
      <c r="A13" s="0" t="s">
        <v>117</v>
      </c>
      <c r="C13" s="0" t="n">
        <f aca="false">C11+C12</f>
        <v>-7120.19808</v>
      </c>
      <c r="D13" s="0" t="n">
        <f aca="false">D11+D12</f>
        <v>-5194.7778492</v>
      </c>
      <c r="E13" s="0" t="n">
        <f aca="false">E11+E12</f>
        <v>-3147.42422628</v>
      </c>
      <c r="F13" s="0" t="n">
        <f aca="false">F11+F12</f>
        <v>-1620.9234765342</v>
      </c>
      <c r="G13" s="0" t="n">
        <f aca="false">G11+G12</f>
        <v>-667.820472332089</v>
      </c>
      <c r="H13" s="0" t="n">
        <f aca="false">H11+H12</f>
        <v>-855.64498017549</v>
      </c>
      <c r="I13" s="0" t="n">
        <f aca="false">I11+I12</f>
        <v>-877.036104679875</v>
      </c>
      <c r="J13" s="0" t="n">
        <f aca="false">J11+J12</f>
        <v>-894.576826773478</v>
      </c>
      <c r="K13" s="0" t="n">
        <f aca="false">K11+K12</f>
        <v>-912.468363308948</v>
      </c>
      <c r="L13" s="0" t="n">
        <f aca="false">L11+L12</f>
        <v>-930.717730575128</v>
      </c>
    </row>
    <row r="14" customFormat="false" ht="15" hidden="false" customHeight="false" outlineLevel="0" collapsed="false">
      <c r="A14" s="0" t="s">
        <v>103</v>
      </c>
      <c r="C14" s="4" t="n">
        <f aca="false">Assumptions!C19</f>
        <v>5</v>
      </c>
      <c r="D14" s="4" t="n">
        <f aca="false">Assumptions!D19</f>
        <v>10</v>
      </c>
      <c r="E14" s="4" t="n">
        <f aca="false">Assumptions!E19</f>
        <v>15</v>
      </c>
      <c r="F14" s="4" t="n">
        <f aca="false">Assumptions!F19</f>
        <v>20</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118</v>
      </c>
      <c r="C15" s="0" t="n">
        <f aca="false">C13-MAX(0,C13)*C14/100</f>
        <v>-7120.19808</v>
      </c>
      <c r="D15" s="0" t="n">
        <f aca="false">D13-MAX(0,D13)*D14/100</f>
        <v>-5194.7778492</v>
      </c>
      <c r="E15" s="0" t="n">
        <f aca="false">E13-MAX(0,E13)*E14/100</f>
        <v>-3147.42422628</v>
      </c>
      <c r="F15" s="0" t="n">
        <f aca="false">F13-MAX(0,F13)*F14/100</f>
        <v>-1620.9234765342</v>
      </c>
      <c r="G15" s="0" t="n">
        <f aca="false">G13-MAX(0,G13)*G14/100</f>
        <v>-667.820472332089</v>
      </c>
      <c r="H15" s="0" t="n">
        <f aca="false">H13-MAX(0,H13)*H14/100</f>
        <v>-855.64498017549</v>
      </c>
      <c r="I15" s="0" t="n">
        <f aca="false">I13-MAX(0,I13)*I14/100</f>
        <v>-877.036104679875</v>
      </c>
      <c r="J15" s="0" t="n">
        <f aca="false">J13-MAX(0,J13)*J14/100</f>
        <v>-894.576826773478</v>
      </c>
      <c r="K15" s="0" t="n">
        <f aca="false">K13-MAX(0,K13)*K14/100</f>
        <v>-912.468363308948</v>
      </c>
      <c r="L15" s="0" t="n">
        <f aca="false">L13-MAX(0,L13)*L14/100</f>
        <v>-930.717730575128</v>
      </c>
    </row>
    <row r="16" customFormat="false" ht="15" hidden="false" customHeight="false" outlineLevel="0" collapsed="false">
      <c r="A16" s="0" t="s">
        <v>119</v>
      </c>
      <c r="C16" s="0" t="n">
        <f aca="false">-C12</f>
        <v>14537.07108</v>
      </c>
      <c r="D16" s="0" t="n">
        <f aca="false">-D12</f>
        <v>15278.75838</v>
      </c>
      <c r="E16" s="0" t="n">
        <f aca="false">-E12</f>
        <v>16051.863554028</v>
      </c>
      <c r="F16" s="0" t="n">
        <f aca="false">-F12</f>
        <v>16695.5118083023</v>
      </c>
      <c r="G16" s="0" t="n">
        <f aca="false">-G12</f>
        <v>17363.3322806344</v>
      </c>
      <c r="H16" s="0" t="n">
        <f aca="false">-H12</f>
        <v>17968.5445836853</v>
      </c>
      <c r="I16" s="0" t="n">
        <f aca="false">-I12</f>
        <v>18417.7581982774</v>
      </c>
      <c r="J16" s="0" t="n">
        <f aca="false">-J12</f>
        <v>18786.113362243</v>
      </c>
      <c r="K16" s="0" t="n">
        <f aca="false">-K12</f>
        <v>19161.8356294879</v>
      </c>
      <c r="L16" s="0" t="n">
        <f aca="false">-L12</f>
        <v>19545.0723420776</v>
      </c>
    </row>
    <row r="17" customFormat="false" ht="15" hidden="false" customHeight="false" outlineLevel="0" collapsed="false">
      <c r="A17" s="0" t="s">
        <v>120</v>
      </c>
      <c r="C17" s="4" t="n">
        <f aca="false">-C6*Assumptions!C18/100</f>
        <v>-21508.9317</v>
      </c>
      <c r="D17" s="4" t="n">
        <f aca="false">-D6*Assumptions!D18/100</f>
        <v>-20626.323813</v>
      </c>
      <c r="E17" s="4" t="n">
        <f aca="false">-E6*Assumptions!E18/100</f>
        <v>-18884.54535768</v>
      </c>
      <c r="F17" s="4" t="n">
        <f aca="false">-F6*Assumptions!F18/100</f>
        <v>-17830.1582418762</v>
      </c>
      <c r="G17" s="4" t="n">
        <f aca="false">-G6*Assumptions!G18/100</f>
        <v>-18365.0629891325</v>
      </c>
      <c r="H17" s="4" t="n">
        <f aca="false">-H6*Assumptions!H18/100</f>
        <v>-18824.1895638608</v>
      </c>
      <c r="I17" s="4" t="n">
        <f aca="false">-I6*Assumptions!I18/100</f>
        <v>-19294.7943029573</v>
      </c>
      <c r="J17" s="4" t="n">
        <f aca="false">-J6*Assumptions!J18/100</f>
        <v>-19680.6901890165</v>
      </c>
      <c r="K17" s="4" t="n">
        <f aca="false">-K6*Assumptions!K18/100</f>
        <v>-20074.3039927968</v>
      </c>
      <c r="L17" s="4" t="n">
        <f aca="false">-L6*Assumptions!L18/100</f>
        <v>-20475.7900726527</v>
      </c>
    </row>
    <row r="18" customFormat="false" ht="15" hidden="false" customHeight="false" outlineLevel="0" collapsed="false">
      <c r="A18" s="0" t="s">
        <v>121</v>
      </c>
      <c r="C18" s="4" t="n">
        <f aca="false">(C6-B6)*Assumptions!$B$23/100</f>
        <v>1259.469</v>
      </c>
      <c r="D18" s="4" t="n">
        <f aca="false">(D6-C6)*Assumptions!$B$23/100</f>
        <v>667.51857</v>
      </c>
      <c r="E18" s="4" t="n">
        <f aca="false">(E6-D6)*Assumptions!$B$23/100</f>
        <v>687.544127099999</v>
      </c>
      <c r="F18" s="4" t="n">
        <f aca="false">(F6-E6)*Assumptions!$B$23/100</f>
        <v>708.170450913003</v>
      </c>
      <c r="G18" s="4" t="n">
        <f aca="false">(G6-F6)*Assumptions!$B$23/100</f>
        <v>729.415564440389</v>
      </c>
      <c r="H18" s="4" t="n">
        <f aca="false">(H6-G6)*Assumptions!$B$23/100</f>
        <v>626.081692811335</v>
      </c>
      <c r="I18" s="4" t="n">
        <f aca="false">(I6-H6)*Assumptions!$B$23/100</f>
        <v>641.733735131618</v>
      </c>
      <c r="J18" s="4" t="n">
        <f aca="false">(J6-I6)*Assumptions!$B$23/100</f>
        <v>526.221662807927</v>
      </c>
      <c r="K18" s="4" t="n">
        <f aca="false">(K6-J6)*Assumptions!$B$23/100</f>
        <v>536.746096064085</v>
      </c>
      <c r="L18" s="4" t="n">
        <f aca="false">(L6-K6)*Assumptions!$B$23/100</f>
        <v>547.481017985367</v>
      </c>
    </row>
    <row r="19" customFormat="false" ht="15" hidden="false" customHeight="false" outlineLevel="0" collapsed="false">
      <c r="A19" s="0" t="s">
        <v>122</v>
      </c>
      <c r="C19" s="0" t="n">
        <f aca="false">C15+C16+C17+C18</f>
        <v>-12832.5897</v>
      </c>
      <c r="D19" s="0" t="n">
        <f aca="false">D15+D16+D17+D18</f>
        <v>-9874.8247122</v>
      </c>
      <c r="E19" s="0" t="n">
        <f aca="false">E15+E16+E17+E18</f>
        <v>-5292.56190283201</v>
      </c>
      <c r="F19" s="0" t="n">
        <f aca="false">F15+F16+F17+F18</f>
        <v>-2047.39945919513</v>
      </c>
      <c r="G19" s="0" t="n">
        <f aca="false">G15+G16+G17+G18</f>
        <v>-940.135616389837</v>
      </c>
      <c r="H19" s="0" t="n">
        <f aca="false">H15+H16+H17+H18</f>
        <v>-1085.20826753965</v>
      </c>
      <c r="I19" s="0" t="n">
        <f aca="false">I15+I16+I17+I18</f>
        <v>-1112.33847422814</v>
      </c>
      <c r="J19" s="0" t="n">
        <f aca="false">J15+J16+J17+J18</f>
        <v>-1262.93199073903</v>
      </c>
      <c r="K19" s="0" t="n">
        <f aca="false">K15+K16+K17+K18</f>
        <v>-1288.19063055381</v>
      </c>
      <c r="L19" s="0" t="n">
        <f aca="false">L15+L16+L17+L18</f>
        <v>-1313.95444316488</v>
      </c>
    </row>
    <row r="20" customFormat="false" ht="15" hidden="false" customHeight="false" outlineLevel="0" collapsed="false">
      <c r="A20" s="0" t="s">
        <v>123</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124</v>
      </c>
      <c r="C21" s="0" t="n">
        <f aca="false">C19*C20</f>
        <v>-12049.38</v>
      </c>
      <c r="D21" s="0" t="n">
        <f aca="false">D19*D20</f>
        <v>-8706.23087323944</v>
      </c>
      <c r="E21" s="0" t="n">
        <f aca="false">E19*E20</f>
        <v>-4381.44256457053</v>
      </c>
      <c r="F21" s="0" t="n">
        <f aca="false">F19*F20</f>
        <v>-1591.49087591794</v>
      </c>
      <c r="G21" s="0" t="n">
        <f aca="false">G19*G20</f>
        <v>-686.186970133758</v>
      </c>
      <c r="H21" s="0" t="n">
        <f aca="false">H19*H20</f>
        <v>-743.730251747692</v>
      </c>
      <c r="I21" s="0" t="n">
        <f aca="false">I19*I20</f>
        <v>-715.79672116562</v>
      </c>
      <c r="J21" s="0" t="n">
        <f aca="false">J19*J20</f>
        <v>-763.102896670608</v>
      </c>
      <c r="K21" s="0" t="n">
        <f aca="false">K19*K20</f>
        <v>-730.859112304245</v>
      </c>
      <c r="L21" s="0" t="n">
        <f aca="false">L19*L20</f>
        <v>-699.977741361812</v>
      </c>
    </row>
    <row r="23" customFormat="false" ht="15" hidden="false" customHeight="false" outlineLevel="0" collapsed="false">
      <c r="A23" s="0" t="s">
        <v>100</v>
      </c>
      <c r="C23" s="4" t="n">
        <f aca="false">Assumptions!C16</f>
        <v>12.5</v>
      </c>
      <c r="D23" s="4" t="n">
        <f aca="false">Assumptions!D16</f>
        <v>12.4</v>
      </c>
      <c r="E23" s="4" t="n">
        <f aca="false">Assumptions!E16</f>
        <v>12.3</v>
      </c>
      <c r="F23" s="4" t="n">
        <f aca="false">Assumptions!F16</f>
        <v>12.2</v>
      </c>
      <c r="G23" s="4" t="n">
        <f aca="false">Assumptions!G16</f>
        <v>12</v>
      </c>
      <c r="H23" s="4" t="n">
        <f aca="false">Assumptions!H16</f>
        <v>12</v>
      </c>
      <c r="I23" s="4" t="n">
        <f aca="false">Assumptions!I16</f>
        <v>12</v>
      </c>
      <c r="J23" s="4" t="n">
        <f aca="false">Assumptions!J16</f>
        <v>12</v>
      </c>
      <c r="K23" s="4" t="n">
        <f aca="false">Assumptions!K16</f>
        <v>12</v>
      </c>
      <c r="L23" s="4" t="n">
        <f aca="false">Assumptions!L16</f>
        <v>12</v>
      </c>
    </row>
    <row r="24" customFormat="false" ht="15" hidden="false" customHeight="false" outlineLevel="0" collapsed="false">
      <c r="A24" s="0" t="s">
        <v>125</v>
      </c>
      <c r="C24" s="0" t="n">
        <f aca="false">-C6*C23/100</f>
        <v>-18542.1825</v>
      </c>
      <c r="D24" s="0" t="n">
        <f aca="false">-D6*D23/100</f>
        <v>-18945.6603912</v>
      </c>
      <c r="E24" s="0" t="n">
        <f aca="false">-E6*E23/100</f>
        <v>-19356.658991622</v>
      </c>
      <c r="F24" s="0" t="n">
        <f aca="false">-F6*F23/100</f>
        <v>-19775.2664137172</v>
      </c>
      <c r="G24" s="0" t="n">
        <f aca="false">-G6*G23/100</f>
        <v>-20034.6141699627</v>
      </c>
      <c r="H24" s="0" t="n">
        <f aca="false">-H6*H23/100</f>
        <v>-20535.4795242118</v>
      </c>
      <c r="I24" s="0" t="n">
        <f aca="false">-I6*I23/100</f>
        <v>-21048.8665123171</v>
      </c>
      <c r="J24" s="0" t="n">
        <f aca="false">-J6*J23/100</f>
        <v>-21469.8438425634</v>
      </c>
      <c r="K24" s="0" t="n">
        <f aca="false">-K6*K23/100</f>
        <v>-21899.2407194147</v>
      </c>
      <c r="L24" s="0" t="n">
        <f aca="false">-L6*L23/100</f>
        <v>-22337.225533803</v>
      </c>
    </row>
    <row r="26" customFormat="false" ht="15" hidden="false" customHeight="false" outlineLevel="0" collapsed="false">
      <c r="A26" s="2" t="s">
        <v>126</v>
      </c>
    </row>
    <row r="27" customFormat="false" ht="15" hidden="false" customHeight="false" outlineLevel="0" collapsed="false">
      <c r="A27" s="0" t="s">
        <v>104</v>
      </c>
      <c r="B27" s="4" t="n">
        <f aca="false">Assumptions!$B$20</f>
        <v>6.5</v>
      </c>
    </row>
    <row r="28" customFormat="false" ht="15" hidden="false" customHeight="false" outlineLevel="0" collapsed="false">
      <c r="A28" s="0" t="s">
        <v>105</v>
      </c>
      <c r="B28" s="4" t="n">
        <f aca="false">Assumptions!$B$21</f>
        <v>2.5</v>
      </c>
    </row>
    <row r="29" customFormat="false" ht="15" hidden="false" customHeight="false" outlineLevel="0" collapsed="false">
      <c r="A29" s="0" t="s">
        <v>106</v>
      </c>
      <c r="B29" s="4" t="n">
        <f aca="false">Assumptions!$B$22</f>
        <v>12</v>
      </c>
    </row>
    <row r="30" customFormat="false" ht="15" hidden="false" customHeight="false" outlineLevel="0" collapsed="false">
      <c r="A30" s="0" t="s">
        <v>127</v>
      </c>
      <c r="B30" s="0" t="n">
        <f aca="false">SUM(C21:L21)</f>
        <v>-31068.1980071116</v>
      </c>
    </row>
    <row r="31" customFormat="false" ht="15" hidden="false" customHeight="false" outlineLevel="0" collapsed="false">
      <c r="A31" s="0" t="s">
        <v>128</v>
      </c>
      <c r="B31" s="0" t="n">
        <f aca="false">L19</f>
        <v>-1313.95444316488</v>
      </c>
    </row>
    <row r="32" customFormat="false" ht="15" hidden="false" customHeight="false" outlineLevel="0" collapsed="false">
      <c r="A32" s="0" t="s">
        <v>129</v>
      </c>
      <c r="B32" s="0" t="n">
        <f aca="false">IF(B27&gt;B28,B31*(1+B28/100)/((B27-B28)/100),B31*B29)</f>
        <v>-33670.0826061001</v>
      </c>
    </row>
    <row r="33" customFormat="false" ht="15" hidden="false" customHeight="false" outlineLevel="0" collapsed="false">
      <c r="A33" s="0" t="s">
        <v>130</v>
      </c>
      <c r="B33" s="0" t="n">
        <f aca="false">B31*B29</f>
        <v>-15767.4533179786</v>
      </c>
    </row>
    <row r="34" customFormat="false" ht="15" hidden="false" customHeight="false" outlineLevel="0" collapsed="false">
      <c r="A34" s="0" t="s">
        <v>131</v>
      </c>
      <c r="B34" s="0" t="n">
        <f aca="false">MAX(0,MIN(B32,B33))</f>
        <v>0</v>
      </c>
    </row>
    <row r="35" customFormat="false" ht="15" hidden="false" customHeight="false" outlineLevel="0" collapsed="false">
      <c r="A35" s="0" t="s">
        <v>132</v>
      </c>
      <c r="B35" s="0" t="n">
        <f aca="false">B34/(1+B27/100)^L4</f>
        <v>0</v>
      </c>
    </row>
    <row r="36" customFormat="false" ht="15" hidden="false" customHeight="false" outlineLevel="0" collapsed="false">
      <c r="A36" s="0" t="s">
        <v>133</v>
      </c>
      <c r="B36" s="0" t="n">
        <f aca="false">B30+B35</f>
        <v>-31068.1980071116</v>
      </c>
    </row>
    <row r="37" customFormat="false" ht="15" hidden="false" customHeight="false" outlineLevel="0" collapsed="false">
      <c r="A37" s="0" t="s">
        <v>134</v>
      </c>
      <c r="B37" s="0" t="n">
        <f aca="false">B36+Assumptions!$B$5-Assumptions!$B$4</f>
        <v>-158280.198007112</v>
      </c>
    </row>
    <row r="38" customFormat="false" ht="15" hidden="false" customHeight="false" outlineLevel="0" collapsed="false">
      <c r="A38" s="0" t="s">
        <v>135</v>
      </c>
      <c r="B38" s="0" t="n">
        <f aca="false">B37/Assumptions!$B$3*Assumptions!$B$10</f>
        <v>-8.39914071369683</v>
      </c>
    </row>
    <row r="39" customFormat="false" ht="15" hidden="false" customHeight="false" outlineLevel="0" collapsed="false">
      <c r="A39" s="0" t="s">
        <v>136</v>
      </c>
      <c r="B39" s="4" t="n">
        <f aca="false">B38/Assumptions!$B$2-1</f>
        <v>-4.43523137574512</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-8.39914071369683</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0</v>
      </c>
    </row>
    <row r="47" customFormat="false" ht="15" hidden="false" customHeight="false" outlineLevel="0" collapsed="false">
      <c r="A47" s="0" t="s">
        <v>141</v>
      </c>
      <c r="B47" s="0" t="n">
        <f aca="false">(SUMPRODUCT(C19:L19/(1+B45/100)^C4:L4)+B46/(1+B45/100)^L4+Assumptions!$B$5-Assumptions!$B$4)/Assumptions!$B$3*Assumptions!$B$10</f>
        <v>-8.11611799434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8.5</v>
      </c>
      <c r="D5" s="4" t="n">
        <f aca="false">Assumptions!D27</f>
        <v>6</v>
      </c>
      <c r="E5" s="4" t="n">
        <f aca="false">Assumptions!E27</f>
        <v>5.5</v>
      </c>
      <c r="F5" s="4" t="n">
        <f aca="false">Assumptions!F27</f>
        <v>5</v>
      </c>
      <c r="G5" s="4" t="n">
        <f aca="false">Assumptions!G27</f>
        <v>4.5</v>
      </c>
      <c r="H5" s="4" t="n">
        <f aca="false">Assumptions!H27</f>
        <v>4</v>
      </c>
      <c r="I5" s="4" t="n">
        <f aca="false">Assumptions!I27</f>
        <v>3.5</v>
      </c>
      <c r="J5" s="4" t="n">
        <f aca="false">Assumptions!J27</f>
        <v>3</v>
      </c>
      <c r="K5" s="4" t="n">
        <f aca="false">Assumptions!K27</f>
        <v>3</v>
      </c>
      <c r="L5" s="4" t="n">
        <f aca="false">Assumptions!L27</f>
        <v>2.5</v>
      </c>
    </row>
    <row r="6" customFormat="false" ht="15" hidden="false" customHeight="false" outlineLevel="0" collapsed="false">
      <c r="A6" s="0" t="s">
        <v>38</v>
      </c>
      <c r="B6" s="3" t="n">
        <v>139941</v>
      </c>
      <c r="C6" s="0" t="n">
        <f aca="false">B6*(1+C5/100)</f>
        <v>151835.985</v>
      </c>
      <c r="D6" s="0" t="n">
        <f aca="false">C6*(1+D5/100)</f>
        <v>160946.1441</v>
      </c>
      <c r="E6" s="0" t="n">
        <f aca="false">D6*(1+E5/100)</f>
        <v>169798.1820255</v>
      </c>
      <c r="F6" s="0" t="n">
        <f aca="false">E6*(1+F5/100)</f>
        <v>178288.091126775</v>
      </c>
      <c r="G6" s="0" t="n">
        <f aca="false">F6*(1+G5/100)</f>
        <v>186311.05522748</v>
      </c>
      <c r="H6" s="0" t="n">
        <f aca="false">G6*(1+H5/100)</f>
        <v>193763.497436579</v>
      </c>
      <c r="I6" s="0" t="n">
        <f aca="false">H6*(1+I5/100)</f>
        <v>200545.219846859</v>
      </c>
      <c r="J6" s="0" t="n">
        <f aca="false">I6*(1+J5/100)</f>
        <v>206561.576442265</v>
      </c>
      <c r="K6" s="0" t="n">
        <f aca="false">J6*(1+K5/100)</f>
        <v>212758.423735533</v>
      </c>
      <c r="L6" s="0" t="n">
        <f aca="false">K6*(1+L5/100)</f>
        <v>218077.384328921</v>
      </c>
    </row>
    <row r="7" customFormat="false" ht="15" hidden="false" customHeight="false" outlineLevel="0" collapsed="false">
      <c r="A7" s="0" t="s">
        <v>98</v>
      </c>
      <c r="C7" s="4" t="n">
        <f aca="false">Assumptions!C28</f>
        <v>19</v>
      </c>
      <c r="D7" s="4" t="n">
        <f aca="false">Assumptions!D28</f>
        <v>21.5</v>
      </c>
      <c r="E7" s="4" t="n">
        <f aca="false">Assumptions!E28</f>
        <v>23</v>
      </c>
      <c r="F7" s="4" t="n">
        <f aca="false">Assumptions!F28</f>
        <v>24</v>
      </c>
      <c r="G7" s="4" t="n">
        <f aca="false">Assumptions!G28</f>
        <v>24.5</v>
      </c>
      <c r="H7" s="4" t="n">
        <f aca="false">Assumptions!H28</f>
        <v>24.5</v>
      </c>
      <c r="I7" s="4" t="n">
        <f aca="false">Assumptions!I28</f>
        <v>24.5</v>
      </c>
      <c r="J7" s="4" t="n">
        <f aca="false">Assumptions!J28</f>
        <v>24.5</v>
      </c>
      <c r="K7" s="4" t="n">
        <f aca="false">Assumptions!K28</f>
        <v>24.5</v>
      </c>
      <c r="L7" s="4" t="n">
        <f aca="false">Assumptions!L28</f>
        <v>24.5</v>
      </c>
    </row>
    <row r="8" customFormat="false" ht="15" hidden="false" customHeight="false" outlineLevel="0" collapsed="false">
      <c r="A8" s="0" t="s">
        <v>44</v>
      </c>
      <c r="C8" s="0" t="n">
        <f aca="false">C6*C7/100</f>
        <v>28848.83715</v>
      </c>
      <c r="D8" s="0" t="n">
        <f aca="false">D6*D7/100</f>
        <v>34603.4209815</v>
      </c>
      <c r="E8" s="0" t="n">
        <f aca="false">E6*E7/100</f>
        <v>39053.581865865</v>
      </c>
      <c r="F8" s="0" t="n">
        <f aca="false">F6*F7/100</f>
        <v>42789.141870426</v>
      </c>
      <c r="G8" s="0" t="n">
        <f aca="false">G6*G7/100</f>
        <v>45646.2085307326</v>
      </c>
      <c r="H8" s="0" t="n">
        <f aca="false">H6*H7/100</f>
        <v>47472.0568719619</v>
      </c>
      <c r="I8" s="0" t="n">
        <f aca="false">I6*I7/100</f>
        <v>49133.5788624805</v>
      </c>
      <c r="J8" s="0" t="n">
        <f aca="false">J6*J7/100</f>
        <v>50607.5862283549</v>
      </c>
      <c r="K8" s="0" t="n">
        <f aca="false">K6*K7/100</f>
        <v>52125.8138152056</v>
      </c>
      <c r="L8" s="0" t="n">
        <f aca="false">L6*L7/100</f>
        <v>53428.9591605857</v>
      </c>
    </row>
    <row r="9" customFormat="false" ht="15" hidden="false" customHeight="false" outlineLevel="0" collapsed="false">
      <c r="A9" s="0" t="s">
        <v>99</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10173.010995</v>
      </c>
      <c r="D11" s="0" t="n">
        <f aca="false">D8+D10+D24</f>
        <v>15289.8836895</v>
      </c>
      <c r="E11" s="0" t="n">
        <f aca="false">E8+E10+E24</f>
        <v>19187.1945688815</v>
      </c>
      <c r="F11" s="0" t="n">
        <f aca="false">F8+F10+F24</f>
        <v>22464.2994819736</v>
      </c>
      <c r="G11" s="0" t="n">
        <f aca="false">G8+G10+G24</f>
        <v>24965.6814004823</v>
      </c>
      <c r="H11" s="0" t="n">
        <f aca="false">H8+H10+H24</f>
        <v>26158.0721539382</v>
      </c>
      <c r="I11" s="0" t="n">
        <f aca="false">I8+I10+I24</f>
        <v>27073.604679326</v>
      </c>
      <c r="J11" s="0" t="n">
        <f aca="false">J8+J10+J24</f>
        <v>27885.8128197058</v>
      </c>
      <c r="K11" s="0" t="n">
        <f aca="false">K8+K10+K24</f>
        <v>28722.387204297</v>
      </c>
      <c r="L11" s="0" t="n">
        <f aca="false">L8+L10+L24</f>
        <v>29440.4468844044</v>
      </c>
    </row>
    <row r="12" customFormat="false" ht="15" hidden="false" customHeight="false" outlineLevel="0" collapsed="false">
      <c r="A12" s="0" t="s">
        <v>116</v>
      </c>
      <c r="C12" s="4" t="n">
        <f aca="false">-C6*Assumptions!C31/100</f>
        <v>-14879.92653</v>
      </c>
      <c r="D12" s="4" t="n">
        <f aca="false">-D6*Assumptions!D31/100</f>
        <v>-15933.6682659</v>
      </c>
      <c r="E12" s="4" t="n">
        <f aca="false">-E6*Assumptions!E31/100</f>
        <v>-16979.81820255</v>
      </c>
      <c r="F12" s="4" t="n">
        <f aca="false">-F6*Assumptions!F31/100</f>
        <v>-17828.8091126775</v>
      </c>
      <c r="G12" s="4" t="n">
        <f aca="false">-G6*Assumptions!G31/100</f>
        <v>-18631.105522748</v>
      </c>
      <c r="H12" s="4" t="n">
        <f aca="false">-H6*Assumptions!H31/100</f>
        <v>-19376.3497436579</v>
      </c>
      <c r="I12" s="4" t="n">
        <f aca="false">-I6*Assumptions!I31/100</f>
        <v>-20054.5219846859</v>
      </c>
      <c r="J12" s="4" t="n">
        <f aca="false">-J6*Assumptions!J31/100</f>
        <v>-20656.1576442265</v>
      </c>
      <c r="K12" s="4" t="n">
        <f aca="false">-K6*Assumptions!K31/100</f>
        <v>-21275.8423735533</v>
      </c>
      <c r="L12" s="4" t="n">
        <f aca="false">-L6*Assumptions!L31/100</f>
        <v>-21807.7384328921</v>
      </c>
    </row>
    <row r="13" customFormat="false" ht="15" hidden="false" customHeight="false" outlineLevel="0" collapsed="false">
      <c r="A13" s="0" t="s">
        <v>117</v>
      </c>
      <c r="C13" s="0" t="n">
        <f aca="false">C11+C12</f>
        <v>-4706.915535</v>
      </c>
      <c r="D13" s="0" t="n">
        <f aca="false">D11+D12</f>
        <v>-643.784576400003</v>
      </c>
      <c r="E13" s="0" t="n">
        <f aca="false">E11+E12</f>
        <v>2207.3763663315</v>
      </c>
      <c r="F13" s="0" t="n">
        <f aca="false">F11+F12</f>
        <v>4635.49036929614</v>
      </c>
      <c r="G13" s="0" t="n">
        <f aca="false">G11+G12</f>
        <v>6334.57587773431</v>
      </c>
      <c r="H13" s="0" t="n">
        <f aca="false">H11+H12</f>
        <v>6781.72241028026</v>
      </c>
      <c r="I13" s="0" t="n">
        <f aca="false">I11+I12</f>
        <v>7019.08269464007</v>
      </c>
      <c r="J13" s="0" t="n">
        <f aca="false">J11+J12</f>
        <v>7229.65517547928</v>
      </c>
      <c r="K13" s="0" t="n">
        <f aca="false">K11+K12</f>
        <v>7446.54483074366</v>
      </c>
      <c r="L13" s="0" t="n">
        <f aca="false">L11+L12</f>
        <v>7632.70845151224</v>
      </c>
    </row>
    <row r="14" customFormat="false" ht="15" hidden="false" customHeight="false" outlineLevel="0" collapsed="false">
      <c r="A14" s="0" t="s">
        <v>103</v>
      </c>
      <c r="C14" s="4" t="n">
        <f aca="false">Assumptions!C33</f>
        <v>5</v>
      </c>
      <c r="D14" s="4" t="n">
        <f aca="false">Assumptions!D33</f>
        <v>10</v>
      </c>
      <c r="E14" s="4" t="n">
        <f aca="false">Assumptions!E33</f>
        <v>15</v>
      </c>
      <c r="F14" s="4" t="n">
        <f aca="false">Assumptions!F33</f>
        <v>20</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118</v>
      </c>
      <c r="C15" s="0" t="n">
        <f aca="false">C13-MAX(0,C13)*C14/100</f>
        <v>-4706.915535</v>
      </c>
      <c r="D15" s="0" t="n">
        <f aca="false">D13-MAX(0,D13)*D14/100</f>
        <v>-643.784576400003</v>
      </c>
      <c r="E15" s="0" t="n">
        <f aca="false">E13-MAX(0,E13)*E14/100</f>
        <v>1876.26991138178</v>
      </c>
      <c r="F15" s="0" t="n">
        <f aca="false">F13-MAX(0,F13)*F14/100</f>
        <v>3708.39229543691</v>
      </c>
      <c r="G15" s="0" t="n">
        <f aca="false">G13-MAX(0,G13)*G14/100</f>
        <v>4750.93190830074</v>
      </c>
      <c r="H15" s="0" t="n">
        <f aca="false">H13-MAX(0,H13)*H14/100</f>
        <v>5086.2918077102</v>
      </c>
      <c r="I15" s="0" t="n">
        <f aca="false">I13-MAX(0,I13)*I14/100</f>
        <v>5264.31202098005</v>
      </c>
      <c r="J15" s="0" t="n">
        <f aca="false">J13-MAX(0,J13)*J14/100</f>
        <v>5422.24138160946</v>
      </c>
      <c r="K15" s="0" t="n">
        <f aca="false">K13-MAX(0,K13)*K14/100</f>
        <v>5584.90862305774</v>
      </c>
      <c r="L15" s="0" t="n">
        <f aca="false">L13-MAX(0,L13)*L14/100</f>
        <v>5724.53133863418</v>
      </c>
    </row>
    <row r="16" customFormat="false" ht="15" hidden="false" customHeight="false" outlineLevel="0" collapsed="false">
      <c r="A16" s="0" t="s">
        <v>119</v>
      </c>
      <c r="C16" s="0" t="n">
        <f aca="false">-C12</f>
        <v>14879.92653</v>
      </c>
      <c r="D16" s="0" t="n">
        <f aca="false">-D12</f>
        <v>15933.6682659</v>
      </c>
      <c r="E16" s="0" t="n">
        <f aca="false">-E12</f>
        <v>16979.81820255</v>
      </c>
      <c r="F16" s="0" t="n">
        <f aca="false">-F12</f>
        <v>17828.8091126775</v>
      </c>
      <c r="G16" s="0" t="n">
        <f aca="false">-G12</f>
        <v>18631.105522748</v>
      </c>
      <c r="H16" s="0" t="n">
        <f aca="false">-H12</f>
        <v>19376.3497436579</v>
      </c>
      <c r="I16" s="0" t="n">
        <f aca="false">-I12</f>
        <v>20054.5219846859</v>
      </c>
      <c r="J16" s="0" t="n">
        <f aca="false">-J12</f>
        <v>20656.1576442265</v>
      </c>
      <c r="K16" s="0" t="n">
        <f aca="false">-K12</f>
        <v>21275.8423735533</v>
      </c>
      <c r="L16" s="0" t="n">
        <f aca="false">-L12</f>
        <v>21807.7384328921</v>
      </c>
    </row>
    <row r="17" customFormat="false" ht="15" hidden="false" customHeight="false" outlineLevel="0" collapsed="false">
      <c r="A17" s="0" t="s">
        <v>120</v>
      </c>
      <c r="C17" s="4" t="n">
        <f aca="false">-C6*Assumptions!C32/100</f>
        <v>-21257.0379</v>
      </c>
      <c r="D17" s="4" t="n">
        <f aca="false">-D6*Assumptions!D32/100</f>
        <v>-20922.998733</v>
      </c>
      <c r="E17" s="4" t="n">
        <f aca="false">-E6*Assumptions!E32/100</f>
        <v>-20375.78184306</v>
      </c>
      <c r="F17" s="4" t="n">
        <f aca="false">-F6*Assumptions!F32/100</f>
        <v>-19611.6900239452</v>
      </c>
      <c r="G17" s="4" t="n">
        <f aca="false">-G6*Assumptions!G32/100</f>
        <v>-19562.6607988854</v>
      </c>
      <c r="H17" s="4" t="n">
        <f aca="false">-H6*Assumptions!H32/100</f>
        <v>-20345.1672308408</v>
      </c>
      <c r="I17" s="4" t="n">
        <f aca="false">-I6*Assumptions!I32/100</f>
        <v>-21057.2480839202</v>
      </c>
      <c r="J17" s="4" t="n">
        <f aca="false">-J6*Assumptions!J32/100</f>
        <v>-21688.9655264378</v>
      </c>
      <c r="K17" s="4" t="n">
        <f aca="false">-K6*Assumptions!K32/100</f>
        <v>-22339.634492231</v>
      </c>
      <c r="L17" s="4" t="n">
        <f aca="false">-L6*Assumptions!L32/100</f>
        <v>-22898.1253545367</v>
      </c>
    </row>
    <row r="18" customFormat="false" ht="15" hidden="false" customHeight="false" outlineLevel="0" collapsed="false">
      <c r="A18" s="0" t="s">
        <v>121</v>
      </c>
      <c r="C18" s="4" t="n">
        <f aca="false">(C6-B6)*Assumptions!$B$37/100</f>
        <v>1784.24775</v>
      </c>
      <c r="D18" s="4" t="n">
        <f aca="false">(D6-C6)*Assumptions!$B$37/100</f>
        <v>1366.523865</v>
      </c>
      <c r="E18" s="4" t="n">
        <f aca="false">(E6-D6)*Assumptions!$B$37/100</f>
        <v>1327.805688825</v>
      </c>
      <c r="F18" s="4" t="n">
        <f aca="false">(F6-E6)*Assumptions!$B$37/100</f>
        <v>1273.48636519125</v>
      </c>
      <c r="G18" s="4" t="n">
        <f aca="false">(G6-F6)*Assumptions!$B$37/100</f>
        <v>1203.44461510573</v>
      </c>
      <c r="H18" s="4" t="n">
        <f aca="false">(H6-G6)*Assumptions!$B$37/100</f>
        <v>1117.86633136488</v>
      </c>
      <c r="I18" s="4" t="n">
        <f aca="false">(I6-H6)*Assumptions!$B$37/100</f>
        <v>1017.25836154204</v>
      </c>
      <c r="J18" s="4" t="n">
        <f aca="false">(J6-I6)*Assumptions!$B$37/100</f>
        <v>902.453489310868</v>
      </c>
      <c r="K18" s="4" t="n">
        <f aca="false">(K6-J6)*Assumptions!$B$37/100</f>
        <v>929.527093990194</v>
      </c>
      <c r="L18" s="4" t="n">
        <f aca="false">(L6-K6)*Assumptions!$B$37/100</f>
        <v>797.844089008245</v>
      </c>
    </row>
    <row r="19" customFormat="false" ht="15" hidden="false" customHeight="false" outlineLevel="0" collapsed="false">
      <c r="A19" s="0" t="s">
        <v>122</v>
      </c>
      <c r="C19" s="0" t="n">
        <f aca="false">C15+C16+C17+C18</f>
        <v>-9299.779155</v>
      </c>
      <c r="D19" s="0" t="n">
        <f aca="false">D15+D16+D17+D18</f>
        <v>-4266.5911785</v>
      </c>
      <c r="E19" s="0" t="n">
        <f aca="false">E15+E16+E17+E18</f>
        <v>-191.888040303225</v>
      </c>
      <c r="F19" s="0" t="n">
        <f aca="false">F15+F16+F17+F18</f>
        <v>3198.99774936041</v>
      </c>
      <c r="G19" s="0" t="n">
        <f aca="false">G15+G16+G17+G18</f>
        <v>5022.82124726907</v>
      </c>
      <c r="H19" s="0" t="n">
        <f aca="false">H15+H16+H17+H18</f>
        <v>5235.34065189218</v>
      </c>
      <c r="I19" s="0" t="n">
        <f aca="false">I15+I16+I17+I18</f>
        <v>5278.8442832878</v>
      </c>
      <c r="J19" s="0" t="n">
        <f aca="false">J15+J16+J17+J18</f>
        <v>5291.886988709</v>
      </c>
      <c r="K19" s="0" t="n">
        <f aca="false">K15+K16+K17+K18</f>
        <v>5450.64359837027</v>
      </c>
      <c r="L19" s="0" t="n">
        <f aca="false">L15+L16+L17+L18</f>
        <v>5431.98850599782</v>
      </c>
    </row>
    <row r="20" customFormat="false" ht="15" hidden="false" customHeight="false" outlineLevel="0" collapsed="false">
      <c r="A20" s="0" t="s">
        <v>123</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124</v>
      </c>
      <c r="C21" s="0" t="n">
        <f aca="false">C19*C20</f>
        <v>-8732.187</v>
      </c>
      <c r="D21" s="0" t="n">
        <f aca="false">D19*D20</f>
        <v>-3761.67971830986</v>
      </c>
      <c r="E21" s="0" t="n">
        <f aca="false">E19*E20</f>
        <v>-158.854339892878</v>
      </c>
      <c r="F21" s="0" t="n">
        <f aca="false">F19*F20</f>
        <v>2486.6548182984</v>
      </c>
      <c r="G21" s="0" t="n">
        <f aca="false">G19*G20</f>
        <v>3666.06097365197</v>
      </c>
      <c r="H21" s="0" t="n">
        <f aca="false">H19*H20</f>
        <v>3587.95757227721</v>
      </c>
      <c r="I21" s="0" t="n">
        <f aca="false">I19*I20</f>
        <v>3396.96910344064</v>
      </c>
      <c r="J21" s="0" t="n">
        <f aca="false">J19*J20</f>
        <v>3197.52316003516</v>
      </c>
      <c r="K21" s="0" t="n">
        <f aca="false">K19*K20</f>
        <v>3092.44023928283</v>
      </c>
      <c r="L21" s="0" t="n">
        <f aca="false">L19*L20</f>
        <v>2893.7617017933</v>
      </c>
    </row>
    <row r="23" customFormat="false" ht="15" hidden="false" customHeight="false" outlineLevel="0" collapsed="false">
      <c r="A23" s="0" t="s">
        <v>100</v>
      </c>
      <c r="C23" s="4" t="n">
        <f aca="false">Assumptions!C30</f>
        <v>12.3</v>
      </c>
      <c r="D23" s="4" t="n">
        <f aca="false">Assumptions!D30</f>
        <v>12</v>
      </c>
      <c r="E23" s="4" t="n">
        <f aca="false">Assumptions!E30</f>
        <v>11.7</v>
      </c>
      <c r="F23" s="4" t="n">
        <f aca="false">Assumptions!F30</f>
        <v>11.4</v>
      </c>
      <c r="G23" s="4" t="n">
        <f aca="false">Assumptions!G30</f>
        <v>11.1</v>
      </c>
      <c r="H23" s="4" t="n">
        <f aca="false">Assumptions!H30</f>
        <v>11</v>
      </c>
      <c r="I23" s="4" t="n">
        <f aca="false">Assumptions!I30</f>
        <v>11</v>
      </c>
      <c r="J23" s="4" t="n">
        <f aca="false">Assumptions!J30</f>
        <v>11</v>
      </c>
      <c r="K23" s="4" t="n">
        <f aca="false">Assumptions!K30</f>
        <v>11</v>
      </c>
      <c r="L23" s="4" t="n">
        <f aca="false">Assumptions!L30</f>
        <v>11</v>
      </c>
    </row>
    <row r="24" customFormat="false" ht="15" hidden="false" customHeight="false" outlineLevel="0" collapsed="false">
      <c r="A24" s="0" t="s">
        <v>125</v>
      </c>
      <c r="C24" s="0" t="n">
        <f aca="false">-C6*C23/100</f>
        <v>-18675.826155</v>
      </c>
      <c r="D24" s="0" t="n">
        <f aca="false">-D6*D23/100</f>
        <v>-19313.537292</v>
      </c>
      <c r="E24" s="0" t="n">
        <f aca="false">-E6*E23/100</f>
        <v>-19866.3872969835</v>
      </c>
      <c r="F24" s="0" t="n">
        <f aca="false">-F6*F23/100</f>
        <v>-20324.8423884524</v>
      </c>
      <c r="G24" s="0" t="n">
        <f aca="false">-G6*G23/100</f>
        <v>-20680.5271302503</v>
      </c>
      <c r="H24" s="0" t="n">
        <f aca="false">-H6*H23/100</f>
        <v>-21313.9847180237</v>
      </c>
      <c r="I24" s="0" t="n">
        <f aca="false">-I6*I23/100</f>
        <v>-22059.9741831545</v>
      </c>
      <c r="J24" s="0" t="n">
        <f aca="false">-J6*J23/100</f>
        <v>-22721.7734086492</v>
      </c>
      <c r="K24" s="0" t="n">
        <f aca="false">-K6*K23/100</f>
        <v>-23403.4266109086</v>
      </c>
      <c r="L24" s="0" t="n">
        <f aca="false">-L6*L23/100</f>
        <v>-23988.5122761813</v>
      </c>
    </row>
    <row r="26" customFormat="false" ht="15" hidden="false" customHeight="false" outlineLevel="0" collapsed="false">
      <c r="A26" s="2" t="s">
        <v>126</v>
      </c>
    </row>
    <row r="27" customFormat="false" ht="15" hidden="false" customHeight="false" outlineLevel="0" collapsed="false">
      <c r="A27" s="0" t="s">
        <v>104</v>
      </c>
      <c r="B27" s="4" t="n">
        <f aca="false">Assumptions!$B$34</f>
        <v>6.5</v>
      </c>
    </row>
    <row r="28" customFormat="false" ht="15" hidden="false" customHeight="false" outlineLevel="0" collapsed="false">
      <c r="A28" s="0" t="s">
        <v>105</v>
      </c>
      <c r="B28" s="4" t="n">
        <f aca="false">Assumptions!$B$35</f>
        <v>2.5</v>
      </c>
    </row>
    <row r="29" customFormat="false" ht="15" hidden="false" customHeight="false" outlineLevel="0" collapsed="false">
      <c r="A29" s="0" t="s">
        <v>106</v>
      </c>
      <c r="B29" s="4" t="n">
        <f aca="false">Assumptions!$B$36</f>
        <v>12</v>
      </c>
    </row>
    <row r="30" customFormat="false" ht="15" hidden="false" customHeight="false" outlineLevel="0" collapsed="false">
      <c r="A30" s="0" t="s">
        <v>127</v>
      </c>
      <c r="B30" s="0" t="n">
        <f aca="false">SUM(C21:L21)</f>
        <v>9668.64651057676</v>
      </c>
    </row>
    <row r="31" customFormat="false" ht="15" hidden="false" customHeight="false" outlineLevel="0" collapsed="false">
      <c r="A31" s="0" t="s">
        <v>128</v>
      </c>
      <c r="B31" s="0" t="n">
        <f aca="false">L19</f>
        <v>5431.98850599782</v>
      </c>
    </row>
    <row r="32" customFormat="false" ht="15" hidden="false" customHeight="false" outlineLevel="0" collapsed="false">
      <c r="A32" s="0" t="s">
        <v>129</v>
      </c>
      <c r="B32" s="0" t="n">
        <f aca="false">IF(B27&gt;B28,B31*(1+B28/100)/((B27-B28)/100),B31*B29)</f>
        <v>139194.705466194</v>
      </c>
    </row>
    <row r="33" customFormat="false" ht="15" hidden="false" customHeight="false" outlineLevel="0" collapsed="false">
      <c r="A33" s="0" t="s">
        <v>130</v>
      </c>
      <c r="B33" s="0" t="n">
        <f aca="false">B31*B29</f>
        <v>65183.8620719738</v>
      </c>
    </row>
    <row r="34" customFormat="false" ht="15" hidden="false" customHeight="false" outlineLevel="0" collapsed="false">
      <c r="A34" s="0" t="s">
        <v>131</v>
      </c>
      <c r="B34" s="0" t="n">
        <f aca="false">MAX(0,MIN(B32,B33))</f>
        <v>65183.8620719738</v>
      </c>
    </row>
    <row r="35" customFormat="false" ht="15" hidden="false" customHeight="false" outlineLevel="0" collapsed="false">
      <c r="A35" s="0" t="s">
        <v>132</v>
      </c>
      <c r="B35" s="0" t="n">
        <f aca="false">B34/(1+B27/100)^L4</f>
        <v>34725.1404215196</v>
      </c>
    </row>
    <row r="36" customFormat="false" ht="15" hidden="false" customHeight="false" outlineLevel="0" collapsed="false">
      <c r="A36" s="0" t="s">
        <v>133</v>
      </c>
      <c r="B36" s="0" t="n">
        <f aca="false">B30+B35</f>
        <v>44393.7869320963</v>
      </c>
    </row>
    <row r="37" customFormat="false" ht="15" hidden="false" customHeight="false" outlineLevel="0" collapsed="false">
      <c r="A37" s="0" t="s">
        <v>134</v>
      </c>
      <c r="B37" s="0" t="n">
        <f aca="false">B36+Assumptions!$B$5-Assumptions!$B$4</f>
        <v>-82818.2130679037</v>
      </c>
    </row>
    <row r="38" customFormat="false" ht="15" hidden="false" customHeight="false" outlineLevel="0" collapsed="false">
      <c r="A38" s="0" t="s">
        <v>135</v>
      </c>
      <c r="B38" s="0" t="n">
        <f aca="false">B37/Assumptions!$B$3*Assumptions!$B$10</f>
        <v>-4.39474952629889</v>
      </c>
    </row>
    <row r="39" customFormat="false" ht="15" hidden="false" customHeight="false" outlineLevel="0" collapsed="false">
      <c r="A39" s="0" t="s">
        <v>136</v>
      </c>
      <c r="B39" s="4" t="n">
        <f aca="false">B38/Assumptions!$B$2-1</f>
        <v>-2.7974435690384</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-4.39474952629889</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44542.3057491821</v>
      </c>
    </row>
    <row r="47" customFormat="false" ht="15" hidden="false" customHeight="false" outlineLevel="0" collapsed="false">
      <c r="A47" s="0" t="s">
        <v>141</v>
      </c>
      <c r="B47" s="0" t="n">
        <f aca="false">(SUMPRODUCT(C19:L19/(1+B45/100)^C4:L4)+B46/(1+B45/100)^L4+Assumptions!$B$5-Assumptions!$B$4)/Assumptions!$B$3*Assumptions!$B$10</f>
        <v>-6.07300976180854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10</v>
      </c>
      <c r="D5" s="4" t="n">
        <f aca="false">Assumptions!D41</f>
        <v>8</v>
      </c>
      <c r="E5" s="4" t="n">
        <f aca="false">Assumptions!E41</f>
        <v>7</v>
      </c>
      <c r="F5" s="4" t="n">
        <f aca="false">Assumptions!F41</f>
        <v>6</v>
      </c>
      <c r="G5" s="4" t="n">
        <f aca="false">Assumptions!G41</f>
        <v>5.5</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139941</v>
      </c>
      <c r="C6" s="0" t="n">
        <f aca="false">B6*(1+C5/100)</f>
        <v>153935.1</v>
      </c>
      <c r="D6" s="0" t="n">
        <f aca="false">C6*(1+D5/100)</f>
        <v>166249.908</v>
      </c>
      <c r="E6" s="0" t="n">
        <f aca="false">D6*(1+E5/100)</f>
        <v>177887.40156</v>
      </c>
      <c r="F6" s="0" t="n">
        <f aca="false">E6*(1+F5/100)</f>
        <v>188560.6456536</v>
      </c>
      <c r="G6" s="0" t="n">
        <f aca="false">F6*(1+G5/100)</f>
        <v>198931.481164548</v>
      </c>
      <c r="H6" s="0" t="n">
        <f aca="false">G6*(1+H5/100)</f>
        <v>208878.055222775</v>
      </c>
      <c r="I6" s="0" t="n">
        <f aca="false">H6*(1+I5/100)</f>
        <v>217233.177431687</v>
      </c>
      <c r="J6" s="0" t="n">
        <f aca="false">I6*(1+J5/100)</f>
        <v>224836.338641796</v>
      </c>
      <c r="K6" s="0" t="n">
        <f aca="false">J6*(1+K5/100)</f>
        <v>231581.428801049</v>
      </c>
      <c r="L6" s="0" t="n">
        <f aca="false">K6*(1+L5/100)</f>
        <v>238528.871665081</v>
      </c>
    </row>
    <row r="7" customFormat="false" ht="15" hidden="false" customHeight="false" outlineLevel="0" collapsed="false">
      <c r="A7" s="0" t="s">
        <v>98</v>
      </c>
      <c r="C7" s="4" t="n">
        <f aca="false">Assumptions!C42</f>
        <v>20</v>
      </c>
      <c r="D7" s="4" t="n">
        <f aca="false">Assumptions!D42</f>
        <v>24</v>
      </c>
      <c r="E7" s="4" t="n">
        <f aca="false">Assumptions!E42</f>
        <v>26</v>
      </c>
      <c r="F7" s="4" t="n">
        <f aca="false">Assumptions!F42</f>
        <v>27</v>
      </c>
      <c r="G7" s="4" t="n">
        <f aca="false">Assumptions!G42</f>
        <v>27.5</v>
      </c>
      <c r="H7" s="4" t="n">
        <f aca="false">Assumptions!H42</f>
        <v>28</v>
      </c>
      <c r="I7" s="4" t="n">
        <f aca="false">Assumptions!I42</f>
        <v>28</v>
      </c>
      <c r="J7" s="4" t="n">
        <f aca="false">Assumptions!J42</f>
        <v>28</v>
      </c>
      <c r="K7" s="4" t="n">
        <f aca="false">Assumptions!K42</f>
        <v>28</v>
      </c>
      <c r="L7" s="4" t="n">
        <f aca="false">Assumptions!L42</f>
        <v>28</v>
      </c>
    </row>
    <row r="8" customFormat="false" ht="15" hidden="false" customHeight="false" outlineLevel="0" collapsed="false">
      <c r="A8" s="0" t="s">
        <v>44</v>
      </c>
      <c r="C8" s="0" t="n">
        <f aca="false">C6*C7/100</f>
        <v>30787.02</v>
      </c>
      <c r="D8" s="0" t="n">
        <f aca="false">D6*D7/100</f>
        <v>39899.97792</v>
      </c>
      <c r="E8" s="0" t="n">
        <f aca="false">E6*E7/100</f>
        <v>46250.7244056</v>
      </c>
      <c r="F8" s="0" t="n">
        <f aca="false">F6*F7/100</f>
        <v>50911.374326472</v>
      </c>
      <c r="G8" s="0" t="n">
        <f aca="false">G6*G7/100</f>
        <v>54706.1573202507</v>
      </c>
      <c r="H8" s="0" t="n">
        <f aca="false">H6*H7/100</f>
        <v>58485.8554623771</v>
      </c>
      <c r="I8" s="0" t="n">
        <f aca="false">I6*I7/100</f>
        <v>60825.2896808722</v>
      </c>
      <c r="J8" s="0" t="n">
        <f aca="false">J6*J7/100</f>
        <v>62954.1748197027</v>
      </c>
      <c r="K8" s="0" t="n">
        <f aca="false">K6*K7/100</f>
        <v>64842.8000642938</v>
      </c>
      <c r="L8" s="0" t="n">
        <f aca="false">L6*L7/100</f>
        <v>66788.0840662226</v>
      </c>
    </row>
    <row r="9" customFormat="false" ht="15" hidden="false" customHeight="false" outlineLevel="0" collapsed="false">
      <c r="A9" s="0" t="s">
        <v>99</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12006.9378</v>
      </c>
      <c r="D11" s="0" t="n">
        <f aca="false">D8+D10+D24</f>
        <v>20282.488776</v>
      </c>
      <c r="E11" s="0" t="n">
        <f aca="false">E8+E10+E24</f>
        <v>25971.56062776</v>
      </c>
      <c r="F11" s="0" t="n">
        <f aca="false">F8+F10+F24</f>
        <v>30169.703304576</v>
      </c>
      <c r="G11" s="0" t="n">
        <f aca="false">G8+G10+G24</f>
        <v>33420.4888356441</v>
      </c>
      <c r="H11" s="0" t="n">
        <f aca="false">H8+H10+H24</f>
        <v>36553.6596639857</v>
      </c>
      <c r="I11" s="0" t="n">
        <f aca="false">I8+I10+I24</f>
        <v>38015.8060505451</v>
      </c>
      <c r="J11" s="0" t="n">
        <f aca="false">J8+J10+J24</f>
        <v>39346.3592623142</v>
      </c>
      <c r="K11" s="0" t="n">
        <f aca="false">K8+K10+K24</f>
        <v>40526.7500401836</v>
      </c>
      <c r="L11" s="0" t="n">
        <f aca="false">L8+L10+L24</f>
        <v>41742.5525413892</v>
      </c>
    </row>
    <row r="12" customFormat="false" ht="15" hidden="false" customHeight="false" outlineLevel="0" collapsed="false">
      <c r="A12" s="0" t="s">
        <v>116</v>
      </c>
      <c r="C12" s="4" t="n">
        <f aca="false">-C6*Assumptions!C45/100</f>
        <v>-15085.6398</v>
      </c>
      <c r="D12" s="4" t="n">
        <f aca="false">-D6*Assumptions!D45/100</f>
        <v>-16292.490984</v>
      </c>
      <c r="E12" s="4" t="n">
        <f aca="false">-E6*Assumptions!E45/100</f>
        <v>-17432.96535288</v>
      </c>
      <c r="F12" s="4" t="n">
        <f aca="false">-F6*Assumptions!F45/100</f>
        <v>-18478.9432740528</v>
      </c>
      <c r="G12" s="4" t="n">
        <f aca="false">-G6*Assumptions!G45/100</f>
        <v>-19495.2851541257</v>
      </c>
      <c r="H12" s="4" t="n">
        <f aca="false">-H6*Assumptions!H45/100</f>
        <v>-20470.049411832</v>
      </c>
      <c r="I12" s="4" t="n">
        <f aca="false">-I6*Assumptions!I45/100</f>
        <v>-21288.8513883053</v>
      </c>
      <c r="J12" s="4" t="n">
        <f aca="false">-J6*Assumptions!J45/100</f>
        <v>-22033.961186896</v>
      </c>
      <c r="K12" s="4" t="n">
        <f aca="false">-K6*Assumptions!K45/100</f>
        <v>-22694.9800225028</v>
      </c>
      <c r="L12" s="4" t="n">
        <f aca="false">-L6*Assumptions!L45/100</f>
        <v>-23375.8294231779</v>
      </c>
    </row>
    <row r="13" customFormat="false" ht="15" hidden="false" customHeight="false" outlineLevel="0" collapsed="false">
      <c r="A13" s="0" t="s">
        <v>117</v>
      </c>
      <c r="C13" s="0" t="n">
        <f aca="false">C11+C12</f>
        <v>-3078.702</v>
      </c>
      <c r="D13" s="0" t="n">
        <f aca="false">D11+D12</f>
        <v>3989.997792</v>
      </c>
      <c r="E13" s="0" t="n">
        <f aca="false">E11+E12</f>
        <v>8538.59527488001</v>
      </c>
      <c r="F13" s="0" t="n">
        <f aca="false">F11+F12</f>
        <v>11690.7600305232</v>
      </c>
      <c r="G13" s="0" t="n">
        <f aca="false">G11+G12</f>
        <v>13925.2036815184</v>
      </c>
      <c r="H13" s="0" t="n">
        <f aca="false">H11+H12</f>
        <v>16083.6102521537</v>
      </c>
      <c r="I13" s="0" t="n">
        <f aca="false">I11+I12</f>
        <v>16726.9546622399</v>
      </c>
      <c r="J13" s="0" t="n">
        <f aca="false">J11+J12</f>
        <v>17312.3980754183</v>
      </c>
      <c r="K13" s="0" t="n">
        <f aca="false">K11+K12</f>
        <v>17831.7700176808</v>
      </c>
      <c r="L13" s="0" t="n">
        <f aca="false">L11+L12</f>
        <v>18366.7231182112</v>
      </c>
    </row>
    <row r="14" customFormat="false" ht="15" hidden="false" customHeight="false" outlineLevel="0" collapsed="false">
      <c r="A14" s="0" t="s">
        <v>103</v>
      </c>
      <c r="C14" s="4" t="n">
        <f aca="false">Assumptions!C47</f>
        <v>5</v>
      </c>
      <c r="D14" s="4" t="n">
        <f aca="false">Assumptions!D47</f>
        <v>10</v>
      </c>
      <c r="E14" s="4" t="n">
        <f aca="false">Assumptions!E47</f>
        <v>15</v>
      </c>
      <c r="F14" s="4" t="n">
        <f aca="false">Assumptions!F47</f>
        <v>20</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118</v>
      </c>
      <c r="C15" s="0" t="n">
        <f aca="false">C13-MAX(0,C13)*C14/100</f>
        <v>-3078.702</v>
      </c>
      <c r="D15" s="0" t="n">
        <f aca="false">D13-MAX(0,D13)*D14/100</f>
        <v>3590.9980128</v>
      </c>
      <c r="E15" s="0" t="n">
        <f aca="false">E13-MAX(0,E13)*E14/100</f>
        <v>7257.805983648</v>
      </c>
      <c r="F15" s="0" t="n">
        <f aca="false">F13-MAX(0,F13)*F14/100</f>
        <v>9352.60802441856</v>
      </c>
      <c r="G15" s="0" t="n">
        <f aca="false">G13-MAX(0,G13)*G14/100</f>
        <v>10443.9027611388</v>
      </c>
      <c r="H15" s="0" t="n">
        <f aca="false">H13-MAX(0,H13)*H14/100</f>
        <v>12062.7076891153</v>
      </c>
      <c r="I15" s="0" t="n">
        <f aca="false">I13-MAX(0,I13)*I14/100</f>
        <v>12545.2159966799</v>
      </c>
      <c r="J15" s="0" t="n">
        <f aca="false">J13-MAX(0,J13)*J14/100</f>
        <v>12984.2985565637</v>
      </c>
      <c r="K15" s="0" t="n">
        <f aca="false">K13-MAX(0,K13)*K14/100</f>
        <v>13373.8275132606</v>
      </c>
      <c r="L15" s="0" t="n">
        <f aca="false">L13-MAX(0,L13)*L14/100</f>
        <v>13775.0423386584</v>
      </c>
    </row>
    <row r="16" customFormat="false" ht="15" hidden="false" customHeight="false" outlineLevel="0" collapsed="false">
      <c r="A16" s="0" t="s">
        <v>119</v>
      </c>
      <c r="C16" s="0" t="n">
        <f aca="false">-C12</f>
        <v>15085.6398</v>
      </c>
      <c r="D16" s="0" t="n">
        <f aca="false">-D12</f>
        <v>16292.490984</v>
      </c>
      <c r="E16" s="0" t="n">
        <f aca="false">-E12</f>
        <v>17432.96535288</v>
      </c>
      <c r="F16" s="0" t="n">
        <f aca="false">-F12</f>
        <v>18478.9432740528</v>
      </c>
      <c r="G16" s="0" t="n">
        <f aca="false">-G12</f>
        <v>19495.2851541257</v>
      </c>
      <c r="H16" s="0" t="n">
        <f aca="false">-H12</f>
        <v>20470.049411832</v>
      </c>
      <c r="I16" s="0" t="n">
        <f aca="false">-I12</f>
        <v>21288.8513883053</v>
      </c>
      <c r="J16" s="0" t="n">
        <f aca="false">-J12</f>
        <v>22033.961186896</v>
      </c>
      <c r="K16" s="0" t="n">
        <f aca="false">-K12</f>
        <v>22694.9800225028</v>
      </c>
      <c r="L16" s="0" t="n">
        <f aca="false">-L12</f>
        <v>23375.8294231779</v>
      </c>
    </row>
    <row r="17" customFormat="false" ht="15" hidden="false" customHeight="false" outlineLevel="0" collapsed="false">
      <c r="A17" s="0" t="s">
        <v>120</v>
      </c>
      <c r="C17" s="4" t="n">
        <f aca="false">-C6*Assumptions!C46/100</f>
        <v>-21550.914</v>
      </c>
      <c r="D17" s="4" t="n">
        <f aca="false">-D6*Assumptions!D46/100</f>
        <v>-20781.2385</v>
      </c>
      <c r="E17" s="4" t="n">
        <f aca="false">-E6*Assumptions!E46/100</f>
        <v>-20457.0511794</v>
      </c>
      <c r="F17" s="4" t="n">
        <f aca="false">-F6*Assumptions!F46/100</f>
        <v>-19798.867793628</v>
      </c>
      <c r="G17" s="4" t="n">
        <f aca="false">-G6*Assumptions!G46/100</f>
        <v>-19893.1481164548</v>
      </c>
      <c r="H17" s="4" t="n">
        <f aca="false">-H6*Assumptions!H46/100</f>
        <v>-20887.8055222775</v>
      </c>
      <c r="I17" s="4" t="n">
        <f aca="false">-I6*Assumptions!I46/100</f>
        <v>-21723.3177431687</v>
      </c>
      <c r="J17" s="4" t="n">
        <f aca="false">-J6*Assumptions!J46/100</f>
        <v>-22483.6338641796</v>
      </c>
      <c r="K17" s="4" t="n">
        <f aca="false">-K6*Assumptions!K46/100</f>
        <v>-23158.1428801049</v>
      </c>
      <c r="L17" s="4" t="n">
        <f aca="false">-L6*Assumptions!L46/100</f>
        <v>-23852.8871665081</v>
      </c>
    </row>
    <row r="18" customFormat="false" ht="15" hidden="false" customHeight="false" outlineLevel="0" collapsed="false">
      <c r="A18" s="0" t="s">
        <v>121</v>
      </c>
      <c r="C18" s="4" t="n">
        <f aca="false">(C6-B6)*Assumptions!$B$51/100</f>
        <v>2099.115</v>
      </c>
      <c r="D18" s="4" t="n">
        <f aca="false">(D6-C6)*Assumptions!$B$51/100</f>
        <v>1847.2212</v>
      </c>
      <c r="E18" s="4" t="n">
        <f aca="false">(E6-D6)*Assumptions!$B$51/100</f>
        <v>1745.624034</v>
      </c>
      <c r="F18" s="4" t="n">
        <f aca="false">(F6-E6)*Assumptions!$B$51/100</f>
        <v>1600.98661404</v>
      </c>
      <c r="G18" s="4" t="n">
        <f aca="false">(G6-F6)*Assumptions!$B$51/100</f>
        <v>1555.6253266422</v>
      </c>
      <c r="H18" s="4" t="n">
        <f aca="false">(H6-G6)*Assumptions!$B$51/100</f>
        <v>1491.98610873411</v>
      </c>
      <c r="I18" s="4" t="n">
        <f aca="false">(I6-H6)*Assumptions!$B$51/100</f>
        <v>1253.26833133665</v>
      </c>
      <c r="J18" s="4" t="n">
        <f aca="false">(J6-I6)*Assumptions!$B$51/100</f>
        <v>1140.47418151635</v>
      </c>
      <c r="K18" s="4" t="n">
        <f aca="false">(K6-J6)*Assumptions!$B$51/100</f>
        <v>1011.76352388808</v>
      </c>
      <c r="L18" s="4" t="n">
        <f aca="false">(L6-K6)*Assumptions!$B$51/100</f>
        <v>1042.11642960472</v>
      </c>
    </row>
    <row r="19" customFormat="false" ht="15" hidden="false" customHeight="false" outlineLevel="0" collapsed="false">
      <c r="A19" s="0" t="s">
        <v>122</v>
      </c>
      <c r="C19" s="0" t="n">
        <f aca="false">C15+C16+C17+C18</f>
        <v>-7444.8612</v>
      </c>
      <c r="D19" s="0" t="n">
        <f aca="false">D15+D16+D17+D18</f>
        <v>949.471696800002</v>
      </c>
      <c r="E19" s="0" t="n">
        <f aca="false">E15+E16+E17+E18</f>
        <v>5979.34419112801</v>
      </c>
      <c r="F19" s="0" t="n">
        <f aca="false">F15+F16+F17+F18</f>
        <v>9633.67011888337</v>
      </c>
      <c r="G19" s="0" t="n">
        <f aca="false">G15+G16+G17+G18</f>
        <v>11601.6651254519</v>
      </c>
      <c r="H19" s="0" t="n">
        <f aca="false">H15+H16+H17+H18</f>
        <v>13136.9376874038</v>
      </c>
      <c r="I19" s="0" t="n">
        <f aca="false">I15+I16+I17+I18</f>
        <v>13364.0179731532</v>
      </c>
      <c r="J19" s="0" t="n">
        <f aca="false">J15+J16+J17+J18</f>
        <v>13675.1000607965</v>
      </c>
      <c r="K19" s="0" t="n">
        <f aca="false">K15+K16+K17+K18</f>
        <v>13922.4281795466</v>
      </c>
      <c r="L19" s="0" t="n">
        <f aca="false">L15+L16+L17+L18</f>
        <v>14340.101024933</v>
      </c>
    </row>
    <row r="20" customFormat="false" ht="15" hidden="false" customHeight="false" outlineLevel="0" collapsed="false">
      <c r="A20" s="0" t="s">
        <v>123</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124</v>
      </c>
      <c r="C21" s="0" t="n">
        <f aca="false">C19*C20</f>
        <v>-6990.48</v>
      </c>
      <c r="D21" s="0" t="n">
        <f aca="false">D19*D20</f>
        <v>837.11053521127</v>
      </c>
      <c r="E21" s="0" t="n">
        <f aca="false">E19*E20</f>
        <v>4949.99465820274</v>
      </c>
      <c r="F21" s="0" t="n">
        <f aca="false">F19*F20</f>
        <v>7488.47423347146</v>
      </c>
      <c r="G21" s="0" t="n">
        <f aca="false">G19*G20</f>
        <v>8467.83304680081</v>
      </c>
      <c r="H21" s="0" t="n">
        <f aca="false">H19*H20</f>
        <v>9003.19161371453</v>
      </c>
      <c r="I21" s="0" t="n">
        <f aca="false">I19*I20</f>
        <v>8599.82862088749</v>
      </c>
      <c r="J21" s="0" t="n">
        <f aca="false">J19*J20</f>
        <v>8262.92195080724</v>
      </c>
      <c r="K21" s="0" t="n">
        <f aca="false">K19*K20</f>
        <v>7898.93456688824</v>
      </c>
      <c r="L21" s="0" t="n">
        <f aca="false">L19*L20</f>
        <v>7639.34516797642</v>
      </c>
    </row>
    <row r="23" customFormat="false" ht="15" hidden="false" customHeight="false" outlineLevel="0" collapsed="false">
      <c r="A23" s="0" t="s">
        <v>100</v>
      </c>
      <c r="C23" s="4" t="n">
        <f aca="false">Assumptions!C44</f>
        <v>12.2</v>
      </c>
      <c r="D23" s="4" t="n">
        <f aca="false">Assumptions!D44</f>
        <v>11.8</v>
      </c>
      <c r="E23" s="4" t="n">
        <f aca="false">Assumptions!E44</f>
        <v>11.4</v>
      </c>
      <c r="F23" s="4" t="n">
        <f aca="false">Assumptions!F44</f>
        <v>11</v>
      </c>
      <c r="G23" s="4" t="n">
        <f aca="false">Assumptions!G44</f>
        <v>10.7</v>
      </c>
      <c r="H23" s="4" t="n">
        <f aca="false">Assumptions!H44</f>
        <v>10.5</v>
      </c>
      <c r="I23" s="4" t="n">
        <f aca="false">Assumptions!I44</f>
        <v>10.5</v>
      </c>
      <c r="J23" s="4" t="n">
        <f aca="false">Assumptions!J44</f>
        <v>10.5</v>
      </c>
      <c r="K23" s="4" t="n">
        <f aca="false">Assumptions!K44</f>
        <v>10.5</v>
      </c>
      <c r="L23" s="4" t="n">
        <f aca="false">Assumptions!L44</f>
        <v>10.5</v>
      </c>
    </row>
    <row r="24" customFormat="false" ht="15" hidden="false" customHeight="false" outlineLevel="0" collapsed="false">
      <c r="A24" s="0" t="s">
        <v>125</v>
      </c>
      <c r="C24" s="0" t="n">
        <f aca="false">-C6*C23/100</f>
        <v>-18780.0822</v>
      </c>
      <c r="D24" s="0" t="n">
        <f aca="false">-D6*D23/100</f>
        <v>-19617.489144</v>
      </c>
      <c r="E24" s="0" t="n">
        <f aca="false">-E6*E23/100</f>
        <v>-20279.16377784</v>
      </c>
      <c r="F24" s="0" t="n">
        <f aca="false">-F6*F23/100</f>
        <v>-20741.671021896</v>
      </c>
      <c r="G24" s="0" t="n">
        <f aca="false">-G6*G23/100</f>
        <v>-21285.6684846066</v>
      </c>
      <c r="H24" s="0" t="n">
        <f aca="false">-H6*H23/100</f>
        <v>-21932.1957983914</v>
      </c>
      <c r="I24" s="0" t="n">
        <f aca="false">-I6*I23/100</f>
        <v>-22809.4836303271</v>
      </c>
      <c r="J24" s="0" t="n">
        <f aca="false">-J6*J23/100</f>
        <v>-23607.8155573885</v>
      </c>
      <c r="K24" s="0" t="n">
        <f aca="false">-K6*K23/100</f>
        <v>-24316.0500241102</v>
      </c>
      <c r="L24" s="0" t="n">
        <f aca="false">-L6*L23/100</f>
        <v>-25045.5315248335</v>
      </c>
    </row>
    <row r="26" customFormat="false" ht="15" hidden="false" customHeight="false" outlineLevel="0" collapsed="false">
      <c r="A26" s="2" t="s">
        <v>126</v>
      </c>
    </row>
    <row r="27" customFormat="false" ht="15" hidden="false" customHeight="false" outlineLevel="0" collapsed="false">
      <c r="A27" s="0" t="s">
        <v>104</v>
      </c>
      <c r="B27" s="4" t="n">
        <f aca="false">Assumptions!$B$48</f>
        <v>6.5</v>
      </c>
    </row>
    <row r="28" customFormat="false" ht="15" hidden="false" customHeight="false" outlineLevel="0" collapsed="false">
      <c r="A28" s="0" t="s">
        <v>105</v>
      </c>
      <c r="B28" s="4" t="n">
        <f aca="false">Assumptions!$B$49</f>
        <v>2.5</v>
      </c>
    </row>
    <row r="29" customFormat="false" ht="15" hidden="false" customHeight="false" outlineLevel="0" collapsed="false">
      <c r="A29" s="0" t="s">
        <v>106</v>
      </c>
      <c r="B29" s="4" t="n">
        <f aca="false">Assumptions!$B$50</f>
        <v>12</v>
      </c>
    </row>
    <row r="30" customFormat="false" ht="15" hidden="false" customHeight="false" outlineLevel="0" collapsed="false">
      <c r="A30" s="0" t="s">
        <v>127</v>
      </c>
      <c r="B30" s="0" t="n">
        <f aca="false">SUM(C21:L21)</f>
        <v>56157.1543939602</v>
      </c>
    </row>
    <row r="31" customFormat="false" ht="15" hidden="false" customHeight="false" outlineLevel="0" collapsed="false">
      <c r="A31" s="0" t="s">
        <v>128</v>
      </c>
      <c r="B31" s="0" t="n">
        <f aca="false">L19</f>
        <v>14340.101024933</v>
      </c>
    </row>
    <row r="32" customFormat="false" ht="15" hidden="false" customHeight="false" outlineLevel="0" collapsed="false">
      <c r="A32" s="0" t="s">
        <v>129</v>
      </c>
      <c r="B32" s="0" t="n">
        <f aca="false">IF(B27&gt;B28,B31*(1+B28/100)/((B27-B28)/100),B31*B29)</f>
        <v>367465.088763908</v>
      </c>
    </row>
    <row r="33" customFormat="false" ht="15" hidden="false" customHeight="false" outlineLevel="0" collapsed="false">
      <c r="A33" s="0" t="s">
        <v>130</v>
      </c>
      <c r="B33" s="0" t="n">
        <f aca="false">B31*B29</f>
        <v>172081.212299196</v>
      </c>
    </row>
    <row r="34" customFormat="false" ht="15" hidden="false" customHeight="false" outlineLevel="0" collapsed="false">
      <c r="A34" s="0" t="s">
        <v>131</v>
      </c>
      <c r="B34" s="0" t="n">
        <f aca="false">MAX(0,MIN(B32,B33))</f>
        <v>172081.212299196</v>
      </c>
    </row>
    <row r="35" customFormat="false" ht="15" hidden="false" customHeight="false" outlineLevel="0" collapsed="false">
      <c r="A35" s="0" t="s">
        <v>132</v>
      </c>
      <c r="B35" s="0" t="n">
        <f aca="false">B34/(1+B27/100)^L4</f>
        <v>91672.1420157171</v>
      </c>
    </row>
    <row r="36" customFormat="false" ht="15" hidden="false" customHeight="false" outlineLevel="0" collapsed="false">
      <c r="A36" s="0" t="s">
        <v>133</v>
      </c>
      <c r="B36" s="0" t="n">
        <f aca="false">B30+B35</f>
        <v>147829.296409677</v>
      </c>
    </row>
    <row r="37" customFormat="false" ht="15" hidden="false" customHeight="false" outlineLevel="0" collapsed="false">
      <c r="A37" s="0" t="s">
        <v>134</v>
      </c>
      <c r="B37" s="0" t="n">
        <f aca="false">B36+Assumptions!$B$5-Assumptions!$B$4</f>
        <v>20617.2964096773</v>
      </c>
    </row>
    <row r="38" customFormat="false" ht="15" hidden="false" customHeight="false" outlineLevel="0" collapsed="false">
      <c r="A38" s="0" t="s">
        <v>135</v>
      </c>
      <c r="B38" s="0" t="n">
        <f aca="false">B37/Assumptions!$B$3*Assumptions!$B$10</f>
        <v>1.09405709533605</v>
      </c>
    </row>
    <row r="39" customFormat="false" ht="15" hidden="false" customHeight="false" outlineLevel="0" collapsed="false">
      <c r="A39" s="0" t="s">
        <v>136</v>
      </c>
      <c r="B39" s="4" t="n">
        <f aca="false">B38/Assumptions!$B$2-1</f>
        <v>-0.552532885343128</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1.09405709533605</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117588.82840445</v>
      </c>
    </row>
    <row r="47" customFormat="false" ht="15" hidden="false" customHeight="false" outlineLevel="0" collapsed="false">
      <c r="A47" s="0" t="s">
        <v>141</v>
      </c>
      <c r="B47" s="0" t="n">
        <f aca="false">(SUMPRODUCT(C19:L19/(1+B45/100)^C4:L4)+B46/(1+B45/100)^L4+Assumptions!$B$5-Assumptions!$B$4)/Assumptions!$B$3*Assumptions!$B$10</f>
        <v>-3.50323741799196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-8.39914071369683</v>
      </c>
      <c r="C4" s="0" t="n">
        <f aca="false">B4/Assumptions!$B$2-1</f>
        <v>-4.43523137574512</v>
      </c>
      <c r="D4" s="4" t="n">
        <f aca="false">Assumptions!$B$24</f>
        <v>0.3</v>
      </c>
      <c r="E4" s="4" t="n">
        <f aca="false">DCF_Bear!$B$43</f>
        <v>-8.39914071369683</v>
      </c>
      <c r="F4" s="4" t="n">
        <f aca="false">DCF_Bear!$B$47</f>
        <v>-8.11611799434</v>
      </c>
    </row>
    <row r="5" customFormat="false" ht="15" hidden="false" customHeight="false" outlineLevel="0" collapsed="false">
      <c r="A5" s="0" t="s">
        <v>150</v>
      </c>
      <c r="B5" s="4" t="n">
        <f aca="false">DCF_Base!$B$38</f>
        <v>-4.39474952629889</v>
      </c>
      <c r="C5" s="0" t="n">
        <f aca="false">B5/Assumptions!$B$2-1</f>
        <v>-2.7974435690384</v>
      </c>
      <c r="D5" s="4" t="n">
        <f aca="false">Assumptions!$B$38</f>
        <v>0.5</v>
      </c>
      <c r="E5" s="4" t="n">
        <f aca="false">DCF_Base!$B$43</f>
        <v>-4.39474952629889</v>
      </c>
      <c r="F5" s="4" t="n">
        <f aca="false">DCF_Base!$B$47</f>
        <v>-6.07300976180854</v>
      </c>
    </row>
    <row r="6" customFormat="false" ht="15" hidden="false" customHeight="false" outlineLevel="0" collapsed="false">
      <c r="A6" s="0" t="s">
        <v>151</v>
      </c>
      <c r="B6" s="4" t="n">
        <f aca="false">DCF_Bull!$B$38</f>
        <v>1.09405709533605</v>
      </c>
      <c r="C6" s="0" t="n">
        <f aca="false">B6/Assumptions!$B$2-1</f>
        <v>-0.552532885343128</v>
      </c>
      <c r="D6" s="4" t="n">
        <f aca="false">Assumptions!$B$52</f>
        <v>0.2</v>
      </c>
      <c r="E6" s="4" t="n">
        <f aca="false">DCF_Bull!$B$43</f>
        <v>1.09405709533605</v>
      </c>
      <c r="F6" s="4" t="n">
        <f aca="false">DCF_Bull!$B$47</f>
        <v>-3.50323741799196</v>
      </c>
    </row>
    <row r="8" customFormat="false" ht="15" hidden="false" customHeight="false" outlineLevel="0" collapsed="false">
      <c r="A8" s="0" t="s">
        <v>152</v>
      </c>
      <c r="B8" s="0" t="n">
        <f aca="false">SUMPRODUCT(B4:B6,D4:D6)</f>
        <v>-4.49830555819128</v>
      </c>
    </row>
    <row r="9" customFormat="false" ht="15" hidden="false" customHeight="false" outlineLevel="0" collapsed="false">
      <c r="A9" s="0" t="s">
        <v>153</v>
      </c>
      <c r="B9" s="0" t="n">
        <f aca="false">SUMPRODUCT(E4:E6,D4:D6)</f>
        <v>-4.49830555819128</v>
      </c>
    </row>
    <row r="10" customFormat="false" ht="15" hidden="false" customHeight="false" outlineLevel="0" collapsed="false">
      <c r="A10" s="0" t="s">
        <v>154</v>
      </c>
      <c r="B10" s="0" t="n">
        <f aca="false">1-Assumptions!$B$2/B8</f>
        <v>1.54353799855764</v>
      </c>
    </row>
    <row r="11" customFormat="false" ht="15" hidden="false" customHeight="false" outlineLevel="0" collapsed="false">
      <c r="A11" s="0" t="s">
        <v>155</v>
      </c>
      <c r="B11" s="0" t="str">
        <f aca="false">IF(ABS(B9-B8)&gt;0.01*ABS(B8),(Assumptions!$B$2-B8)/(B9-B8)*100,"n/a")</f>
        <v>n/a</v>
      </c>
    </row>
    <row r="12" customFormat="false" ht="15" hidden="false" customHeight="false" outlineLevel="0" collapsed="false">
      <c r="A12" s="0" t="s">
        <v>156</v>
      </c>
      <c r="B12" s="0" t="n">
        <f aca="false">SUMPRODUCT(F4:F6,D4:D6)</f>
        <v>-6.17198776280466</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-4.39474952629889</v>
      </c>
      <c r="C15" s="3" t="n">
        <v>6.5</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-4.93232542428429</v>
      </c>
      <c r="C16" s="3" t="n">
        <v>9</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-5.11350457902639</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-5.27820455164982</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-5.54039939726453</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-6.07300976180854</v>
      </c>
      <c r="C20" s="3" t="n">
        <v>15</v>
      </c>
    </row>
    <row r="22" customFormat="false" ht="15" hidden="false" customHeight="false" outlineLevel="0" collapsed="false">
      <c r="A22" s="2" t="s">
        <v>165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4.5</v>
      </c>
      <c r="B24" s="0" t="n">
        <f aca="false">(SUMPRODUCT(DCF_Base!$C$19:$L$19/(1+$A$24/100)^DCF_Base!$C$4:$L$4)+MAX(0,MIN(IF($A$24&gt;$B$23,DCF_Base!$L$19*(1+$B$23/100)/(($A$24-$B$23)/100),DCF_Base!$L$19*DCF_Base!$B$29),DCF_Base!$L$19*DCF_Base!$B$29))/(1+$A$24/100)^DCF_Base!$L$4+Assumptions!$B$5-Assumptions!$B$4)/Assumptions!$B$3*Assumptions!$B$10</f>
        <v>-3.85855352679183</v>
      </c>
      <c r="C24" s="0" t="n">
        <f aca="false">(SUMPRODUCT(DCF_Base!$C$19:$L$19/(1+$A$24/100)^DCF_Base!$C$4:$L$4)+MAX(0,MIN(IF($A$24&gt;$C$23,DCF_Base!$L$19*(1+$C$23/100)/(($A$24-$C$23)/100),DCF_Base!$L$19*DCF_Base!$B$29),DCF_Base!$L$19*DCF_Base!$B$29))/(1+$A$24/100)^DCF_Base!$L$4+Assumptions!$B$5-Assumptions!$B$4)/Assumptions!$B$3*Assumptions!$B$10</f>
        <v>-3.85855352679183</v>
      </c>
      <c r="D24" s="0" t="n">
        <f aca="false">(SUMPRODUCT(DCF_Base!$C$19:$L$19/(1+$A$24/100)^DCF_Base!$C$4:$L$4)+MAX(0,MIN(IF($A$24&gt;$D$23,DCF_Base!$L$19*(1+$D$23/100)/(($A$24-$D$23)/100),DCF_Base!$L$19*DCF_Base!$B$29),DCF_Base!$L$19*DCF_Base!$B$29))/(1+$A$24/100)^DCF_Base!$L$4+Assumptions!$B$5-Assumptions!$B$4)/Assumptions!$B$3*Assumptions!$B$10</f>
        <v>-3.85855352679183</v>
      </c>
      <c r="E24" s="0" t="n">
        <f aca="false">(SUMPRODUCT(DCF_Base!$C$19:$L$19/(1+$A$24/100)^DCF_Base!$C$4:$L$4)+MAX(0,MIN(IF($A$24&gt;$E$23,DCF_Base!$L$19*(1+$E$23/100)/(($A$24-$E$23)/100),DCF_Base!$L$19*DCF_Base!$B$29),DCF_Base!$L$19*DCF_Base!$B$29))/(1+$A$24/100)^DCF_Base!$L$4+Assumptions!$B$5-Assumptions!$B$4)/Assumptions!$B$3*Assumptions!$B$10</f>
        <v>-3.85855352679183</v>
      </c>
      <c r="F24" s="0" t="n">
        <f aca="false">(SUMPRODUCT(DCF_Base!$C$19:$L$19/(1+$A$24/100)^DCF_Base!$C$4:$L$4)+MAX(0,MIN(IF($A$24&gt;$F$23,DCF_Base!$L$19*(1+$F$23/100)/(($A$24-$F$23)/100),DCF_Base!$L$19*DCF_Base!$B$29),DCF_Base!$L$19*DCF_Base!$B$29))/(1+$A$24/100)^DCF_Base!$L$4+Assumptions!$B$5-Assumptions!$B$4)/Assumptions!$B$3*Assumptions!$B$10</f>
        <v>-3.85855352679183</v>
      </c>
    </row>
    <row r="25" customFormat="false" ht="15" hidden="false" customHeight="false" outlineLevel="0" collapsed="false">
      <c r="A25" s="3" t="n">
        <v>5.5</v>
      </c>
      <c r="B25" s="0" t="n">
        <f aca="false">(SUMPRODUCT(DCF_Base!$C$19:$L$19/(1+$A$25/100)^DCF_Base!$C$4:$L$4)+MAX(0,MIN(IF($A$25&gt;$B$23,DCF_Base!$L$19*(1+$B$23/100)/(($A$25-$B$23)/100),DCF_Base!$L$19*DCF_Base!$B$29),DCF_Base!$L$19*DCF_Base!$B$29))/(1+$A$25/100)^DCF_Base!$L$4+Assumptions!$B$5-Assumptions!$B$4)/Assumptions!$B$3*Assumptions!$B$10</f>
        <v>-4.13998152040046</v>
      </c>
      <c r="C25" s="0" t="n">
        <f aca="false">(SUMPRODUCT(DCF_Base!$C$19:$L$19/(1+$A$25/100)^DCF_Base!$C$4:$L$4)+MAX(0,MIN(IF($A$25&gt;$C$23,DCF_Base!$L$19*(1+$C$23/100)/(($A$25-$C$23)/100),DCF_Base!$L$19*DCF_Base!$B$29),DCF_Base!$L$19*DCF_Base!$B$29))/(1+$A$25/100)^DCF_Base!$L$4+Assumptions!$B$5-Assumptions!$B$4)/Assumptions!$B$3*Assumptions!$B$10</f>
        <v>-4.13998152040046</v>
      </c>
      <c r="D25" s="0" t="n">
        <f aca="false">(SUMPRODUCT(DCF_Base!$C$19:$L$19/(1+$A$25/100)^DCF_Base!$C$4:$L$4)+MAX(0,MIN(IF($A$25&gt;$D$23,DCF_Base!$L$19*(1+$D$23/100)/(($A$25-$D$23)/100),DCF_Base!$L$19*DCF_Base!$B$29),DCF_Base!$L$19*DCF_Base!$B$29))/(1+$A$25/100)^DCF_Base!$L$4+Assumptions!$B$5-Assumptions!$B$4)/Assumptions!$B$3*Assumptions!$B$10</f>
        <v>-4.13998152040046</v>
      </c>
      <c r="E25" s="0" t="n">
        <f aca="false">(SUMPRODUCT(DCF_Base!$C$19:$L$19/(1+$A$25/100)^DCF_Base!$C$4:$L$4)+MAX(0,MIN(IF($A$25&gt;$E$23,DCF_Base!$L$19*(1+$E$23/100)/(($A$25-$E$23)/100),DCF_Base!$L$19*DCF_Base!$B$29),DCF_Base!$L$19*DCF_Base!$B$29))/(1+$A$25/100)^DCF_Base!$L$4+Assumptions!$B$5-Assumptions!$B$4)/Assumptions!$B$3*Assumptions!$B$10</f>
        <v>-4.13998152040046</v>
      </c>
      <c r="F25" s="0" t="n">
        <f aca="false">(SUMPRODUCT(DCF_Base!$C$19:$L$19/(1+$A$25/100)^DCF_Base!$C$4:$L$4)+MAX(0,MIN(IF($A$25&gt;$F$23,DCF_Base!$L$19*(1+$F$23/100)/(($A$25-$F$23)/100),DCF_Base!$L$19*DCF_Base!$B$29),DCF_Base!$L$19*DCF_Base!$B$29))/(1+$A$25/100)^DCF_Base!$L$4+Assumptions!$B$5-Assumptions!$B$4)/Assumptions!$B$3*Assumptions!$B$10</f>
        <v>-4.13998152040046</v>
      </c>
    </row>
    <row r="26" customFormat="false" ht="15" hidden="false" customHeight="false" outlineLevel="0" collapsed="false">
      <c r="A26" s="3" t="n">
        <v>6.5</v>
      </c>
      <c r="B26" s="0" t="n">
        <f aca="false">(SUMPRODUCT(DCF_Base!$C$19:$L$19/(1+$A$26/100)^DCF_Base!$C$4:$L$4)+MAX(0,MIN(IF($A$26&gt;$B$23,DCF_Base!$L$19*(1+$B$23/100)/(($A$26-$B$23)/100),DCF_Base!$L$19*DCF_Base!$B$29),DCF_Base!$L$19*DCF_Base!$B$29))/(1+$A$26/100)^DCF_Base!$L$4+Assumptions!$B$5-Assumptions!$B$4)/Assumptions!$B$3*Assumptions!$B$10</f>
        <v>-4.39474952629889</v>
      </c>
      <c r="C26" s="0" t="n">
        <f aca="false">(SUMPRODUCT(DCF_Base!$C$19:$L$19/(1+$A$26/100)^DCF_Base!$C$4:$L$4)+MAX(0,MIN(IF($A$26&gt;$C$23,DCF_Base!$L$19*(1+$C$23/100)/(($A$26-$C$23)/100),DCF_Base!$L$19*DCF_Base!$B$29),DCF_Base!$L$19*DCF_Base!$B$29))/(1+$A$26/100)^DCF_Base!$L$4+Assumptions!$B$5-Assumptions!$B$4)/Assumptions!$B$3*Assumptions!$B$10</f>
        <v>-4.39474952629889</v>
      </c>
      <c r="D26" s="0" t="n">
        <f aca="false">(SUMPRODUCT(DCF_Base!$C$19:$L$19/(1+$A$26/100)^DCF_Base!$C$4:$L$4)+MAX(0,MIN(IF($A$26&gt;$D$23,DCF_Base!$L$19*(1+$D$23/100)/(($A$26-$D$23)/100),DCF_Base!$L$19*DCF_Base!$B$29),DCF_Base!$L$19*DCF_Base!$B$29))/(1+$A$26/100)^DCF_Base!$L$4+Assumptions!$B$5-Assumptions!$B$4)/Assumptions!$B$3*Assumptions!$B$10</f>
        <v>-4.39474952629889</v>
      </c>
      <c r="E26" s="0" t="n">
        <f aca="false">(SUMPRODUCT(DCF_Base!$C$19:$L$19/(1+$A$26/100)^DCF_Base!$C$4:$L$4)+MAX(0,MIN(IF($A$26&gt;$E$23,DCF_Base!$L$19*(1+$E$23/100)/(($A$26-$E$23)/100),DCF_Base!$L$19*DCF_Base!$B$29),DCF_Base!$L$19*DCF_Base!$B$29))/(1+$A$26/100)^DCF_Base!$L$4+Assumptions!$B$5-Assumptions!$B$4)/Assumptions!$B$3*Assumptions!$B$10</f>
        <v>-4.39474952629889</v>
      </c>
      <c r="F26" s="0" t="n">
        <f aca="false">(SUMPRODUCT(DCF_Base!$C$19:$L$19/(1+$A$26/100)^DCF_Base!$C$4:$L$4)+MAX(0,MIN(IF($A$26&gt;$F$23,DCF_Base!$L$19*(1+$F$23/100)/(($A$26-$F$23)/100),DCF_Base!$L$19*DCF_Base!$B$29),DCF_Base!$L$19*DCF_Base!$B$29))/(1+$A$26/100)^DCF_Base!$L$4+Assumptions!$B$5-Assumptions!$B$4)/Assumptions!$B$3*Assumptions!$B$10</f>
        <v>-4.39474952629889</v>
      </c>
    </row>
    <row r="27" customFormat="false" ht="15" hidden="false" customHeight="false" outlineLevel="0" collapsed="false">
      <c r="A27" s="3" t="n">
        <v>7.5</v>
      </c>
      <c r="B27" s="0" t="n">
        <f aca="false">(SUMPRODUCT(DCF_Base!$C$19:$L$19/(1+$A$27/100)^DCF_Base!$C$4:$L$4)+MAX(0,MIN(IF($A$27&gt;$B$23,DCF_Base!$L$19*(1+$B$23/100)/(($A$27-$B$23)/100),DCF_Base!$L$19*DCF_Base!$B$29),DCF_Base!$L$19*DCF_Base!$B$29))/(1+$A$27/100)^DCF_Base!$L$4+Assumptions!$B$5-Assumptions!$B$4)/Assumptions!$B$3*Assumptions!$B$10</f>
        <v>-4.62560660437774</v>
      </c>
      <c r="C27" s="0" t="n">
        <f aca="false">(SUMPRODUCT(DCF_Base!$C$19:$L$19/(1+$A$27/100)^DCF_Base!$C$4:$L$4)+MAX(0,MIN(IF($A$27&gt;$C$23,DCF_Base!$L$19*(1+$C$23/100)/(($A$27-$C$23)/100),DCF_Base!$L$19*DCF_Base!$B$29),DCF_Base!$L$19*DCF_Base!$B$29))/(1+$A$27/100)^DCF_Base!$L$4+Assumptions!$B$5-Assumptions!$B$4)/Assumptions!$B$3*Assumptions!$B$10</f>
        <v>-4.62560660437774</v>
      </c>
      <c r="D27" s="0" t="n">
        <f aca="false">(SUMPRODUCT(DCF_Base!$C$19:$L$19/(1+$A$27/100)^DCF_Base!$C$4:$L$4)+MAX(0,MIN(IF($A$27&gt;$D$23,DCF_Base!$L$19*(1+$D$23/100)/(($A$27-$D$23)/100),DCF_Base!$L$19*DCF_Base!$B$29),DCF_Base!$L$19*DCF_Base!$B$29))/(1+$A$27/100)^DCF_Base!$L$4+Assumptions!$B$5-Assumptions!$B$4)/Assumptions!$B$3*Assumptions!$B$10</f>
        <v>-4.62560660437774</v>
      </c>
      <c r="E27" s="0" t="n">
        <f aca="false">(SUMPRODUCT(DCF_Base!$C$19:$L$19/(1+$A$27/100)^DCF_Base!$C$4:$L$4)+MAX(0,MIN(IF($A$27&gt;$E$23,DCF_Base!$L$19*(1+$E$23/100)/(($A$27-$E$23)/100),DCF_Base!$L$19*DCF_Base!$B$29),DCF_Base!$L$19*DCF_Base!$B$29))/(1+$A$27/100)^DCF_Base!$L$4+Assumptions!$B$5-Assumptions!$B$4)/Assumptions!$B$3*Assumptions!$B$10</f>
        <v>-4.62560660437774</v>
      </c>
      <c r="F27" s="0" t="n">
        <f aca="false">(SUMPRODUCT(DCF_Base!$C$19:$L$19/(1+$A$27/100)^DCF_Base!$C$4:$L$4)+MAX(0,MIN(IF($A$27&gt;$F$23,DCF_Base!$L$19*(1+$F$23/100)/(($A$27-$F$23)/100),DCF_Base!$L$19*DCF_Base!$B$29),DCF_Base!$L$19*DCF_Base!$B$29))/(1+$A$27/100)^DCF_Base!$L$4+Assumptions!$B$5-Assumptions!$B$4)/Assumptions!$B$3*Assumptions!$B$10</f>
        <v>-4.62560660437774</v>
      </c>
    </row>
    <row r="28" customFormat="false" ht="15" hidden="false" customHeight="false" outlineLevel="0" collapsed="false">
      <c r="A28" s="3" t="n">
        <v>8.5</v>
      </c>
      <c r="B28" s="0" t="n">
        <f aca="false">(SUMPRODUCT(DCF_Base!$C$19:$L$19/(1+$A$28/100)^DCF_Base!$C$4:$L$4)+MAX(0,MIN(IF($A$28&gt;$B$23,DCF_Base!$L$19*(1+$B$23/100)/(($A$28-$B$23)/100),DCF_Base!$L$19*DCF_Base!$B$29),DCF_Base!$L$19*DCF_Base!$B$29))/(1+$A$28/100)^DCF_Base!$L$4+Assumptions!$B$5-Assumptions!$B$4)/Assumptions!$B$3*Assumptions!$B$10</f>
        <v>-4.83499438160836</v>
      </c>
      <c r="C28" s="0" t="n">
        <f aca="false">(SUMPRODUCT(DCF_Base!$C$19:$L$19/(1+$A$28/100)^DCF_Base!$C$4:$L$4)+MAX(0,MIN(IF($A$28&gt;$C$23,DCF_Base!$L$19*(1+$C$23/100)/(($A$28-$C$23)/100),DCF_Base!$L$19*DCF_Base!$B$29),DCF_Base!$L$19*DCF_Base!$B$29))/(1+$A$28/100)^DCF_Base!$L$4+Assumptions!$B$5-Assumptions!$B$4)/Assumptions!$B$3*Assumptions!$B$10</f>
        <v>-4.83499438160836</v>
      </c>
      <c r="D28" s="0" t="n">
        <f aca="false">(SUMPRODUCT(DCF_Base!$C$19:$L$19/(1+$A$28/100)^DCF_Base!$C$4:$L$4)+MAX(0,MIN(IF($A$28&gt;$D$23,DCF_Base!$L$19*(1+$D$23/100)/(($A$28-$D$23)/100),DCF_Base!$L$19*DCF_Base!$B$29),DCF_Base!$L$19*DCF_Base!$B$29))/(1+$A$28/100)^DCF_Base!$L$4+Assumptions!$B$5-Assumptions!$B$4)/Assumptions!$B$3*Assumptions!$B$10</f>
        <v>-4.83499438160836</v>
      </c>
      <c r="E28" s="0" t="n">
        <f aca="false">(SUMPRODUCT(DCF_Base!$C$19:$L$19/(1+$A$28/100)^DCF_Base!$C$4:$L$4)+MAX(0,MIN(IF($A$28&gt;$E$23,DCF_Base!$L$19*(1+$E$23/100)/(($A$28-$E$23)/100),DCF_Base!$L$19*DCF_Base!$B$29),DCF_Base!$L$19*DCF_Base!$B$29))/(1+$A$28/100)^DCF_Base!$L$4+Assumptions!$B$5-Assumptions!$B$4)/Assumptions!$B$3*Assumptions!$B$10</f>
        <v>-4.83499438160836</v>
      </c>
      <c r="F28" s="0" t="n">
        <f aca="false">(SUMPRODUCT(DCF_Base!$C$19:$L$19/(1+$A$28/100)^DCF_Base!$C$4:$L$4)+MAX(0,MIN(IF($A$28&gt;$F$23,DCF_Base!$L$19*(1+$F$23/100)/(($A$28-$F$23)/100),DCF_Base!$L$19*DCF_Base!$B$29),DCF_Base!$L$19*DCF_Base!$B$29))/(1+$A$28/100)^DCF_Base!$L$4+Assumptions!$B$5-Assumptions!$B$4)/Assumptions!$B$3*Assumptions!$B$10</f>
        <v>-4.83499438160836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2026-10-11T04:05:27Z</dcterms:created>
  <dc:creator>openpyxl</dc:creator>
  <dc:description/>
  <dc:language>en-NZ</dc:language>
  <cp:lastModifiedBy/>
  <dcterms:modified xsi:type="dcterms:W3CDTF">2026-10-11T04:05:27Z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