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<sst xmlns="http://schemas.openxmlformats.org/spreadsheetml/2006/main" count="354" uniqueCount="163">
  <si>
    <t xml:space="preserve">Ticker</t>
  </si>
  <si>
    <t xml:space="preserve">1929.HK</t>
  </si>
  <si>
    <t xml:space="preserve">Company</t>
  </si>
  <si>
    <t xml:space="preserve">Chow Tai Fook Jewellery Group Limited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</si>
  <si>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</si>
  <si>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</si>
  <si>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</si>
  <si>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</si>
  <si>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(HKEX regular close, Yahoo chart API)</t>
  </si>
  <si>
    <t xml:space="preserve">Balance sheet date</t>
  </si>
  <si>
    <t xml:space="preserve">2026-03-31</t>
  </si>
  <si>
    <t xml:space="preserve">Model</t>
  </si>
  <si>
    <t xml:space="preserve">owner_fcf_dcf_component</t>
  </si>
  <si>
    <t xml:space="preserve">Currency (model)</t>
  </si>
  <si>
    <t xml:space="preserve">HKD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</si>
  <si>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</si>
  <si>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</si>
  <si>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</si>
  <si>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</si>
  <si>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</si>
  <si>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</si>
  <si>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2026-10-16T23:44:12Z</t>
  </si>
  <si>
    <t xml:space="preserve">Drivers file</t>
  </si>
  <si>
    <t xml:space="preserve">1929.HK_Drivers.json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</si>
  <si>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</si>
  <si>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</si>
  <si>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</si>
  <si>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jewellery franchise on mid-cycle owner FCF, not on FY2026's peak earnings or its trough cash flow. Gold loans are an operating hedge of inventory, so their fair-value loss and carry are charged in EBITDA and the loans live in working capital; only bank debt and the convertible bond sit in net debt. Leases are an operating cost. A 13x terminal cap reflects a cyclical, gold-exposed retailer.
key_risks_to_valuation: Gold price reversal: lowers revenue, unwinds holding gains, compresses margin (partly offset by inventory cash release); Mid-cycle margin judgment: each 1pp of EBITDA margin is worth roughly HK$0.9-1.0/share; Working-capital intensity: inventory runs ~364 days of COGS; capture of -25% of revenue growth may understate cash absorption if gold-loan hedging is cut back; Mainland China consumption and competition from premium gold-craft brands; Convertible bond (HK$7.2bn, conversion HK$16.66) dilutes 396.5m shares if the price rises above conversion; modelled as debt</t>
  </si>
  <si>
    <t xml:space="preserve">Data sources</t>
  </si>
  <si>
    <t xml:space="preserve">price: Yahoo Finance chart API at inputs.price_as_of; 52-week range 10.34-16.95
financials: 1929.HK_Metrics.csv (core_metrics, FY2019-FY2026 + H1 FY2024-26); FY2026 Annual Report: financial highlights (net debt composition, gold loans, CB), cash flow statement (lease principal, capex, SBC), finance-cost note (gold-loan and lease finance costs), EPS note (share counts), CB note (conversion price HK$16.66)
qualitative: FY2026 Annual Report strategy, outlook and MD&amp;A; 1929.HK_Analysis.json (read after first build; its bull/bear axes, gold reversal, Laopu Gold competition, Q1 FY2027 ASP-led RSV growth with Mainland SSSG volume -5.2%, matched the scenarios, so no driver changed)</t>
  </si>
  <si>
    <t xml:space="preserve">Scenario narrative: bear</t>
  </si>
  <si>
    <t xml:space="preserve">Gold reverses from its 2026 spike, weight-based gold jewellery demand falls with it, and Mainland discretionary spending stays weak while Laopu-style premium competitors and bank/online gold bar channels take share. Revenue dips then grows ~2%, the FY2026 holding gains unwind into margin pressure, and EBITDA margin falls to 10%, below the FY2022-25 range. Shrinking revenue releases inventory cash in year one, which is why the bear value does not collapse further.</t>
  </si>
  <si>
    <t xml:space="preserve">Scenario narrative: base</t>
  </si>
  <si>
    <t xml:space="preserve">Brand transformation sticks but the FY2026 gold windfall does not repeat. Fixed-price, design-led product keeps gaining share of Mainland retail value and the store network stabilises after the closure wave, so EBITDA margin settles at ~12% (after the gold-loan hedge cost) versus 10.5-11.4% in FY2022-25 and 14.75% at the FY2026 peak. Revenue grows 3-4.5% nominal from mid-single-digit SSSG, overseas openings (SE Asia, North America) and gold-price pass-through; that growth ties up inventory at a quarter of every incremental dollar of revenue.</t>
  </si>
  <si>
    <t xml:space="preserve">Scenario narrative: bull</t>
  </si>
  <si>
    <t xml:space="preserve">Gold stays structurally high and Chow Tai Fook converts its brand reset into a durable luxury positioning: fixed-price and heritage collections lift gross margin further, HK/Macao tourist spend keeps recovering (FY2026 SSSG HK 13.3%, Macao 29.4%), overseas stores scale, and Mainland demand for gold as a store of value persists. Revenue compounds 5-9% for five years and EBITDA margin holds 13.5%, much of the FY2026 step-up proving structural.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</si>
  <si>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</si>
  <si>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</si>
  <si>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</si>
  <si>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</si>
  <si>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</si>
  <si>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</si>
  <si>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</si>
  <si>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</si>
  <si>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</si>
  <si>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</si>
  <si>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</si>
  <si>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</si>
  <si>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</si>
  <si>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</si>
  <si>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</si>
  <si>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</si>
  <si>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</si>
  <si>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</si>
  <si>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</si>
  <si>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</si>
  <si>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</si>
  <si>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</si>
  <si>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</si>
  <si>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</si>
  <si>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</si>
  <si>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</si>
  <si>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</si>
  <si>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NetIncomeInclNCI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</si>
  <si>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</si>
  <si>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</si>
  <si>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</si>
  <si>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</si>
  <si>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</si>
  <si>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</si>
  <si>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</si>
  <si>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</si>
  <si>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</si>
  <si>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</si>
  <si>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</si>
  <si>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</si>
  <si>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</si>
  <si>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</si>
  <si>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</si>
  <si>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</si>
  <si>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</si>
  <si>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</si>
  <si>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</si>
  <si>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</si>
  <si>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</si>
  <si>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</si>
  <si>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</si>
  <si>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</si>
  <si>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</si>
  <si>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</si>
  <si>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</si>
  <si>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</si>
  <si>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</si>
  <si>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</si>
  <si>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</si>
  <si>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</si>
  <si>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</si>
  <si>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</si>
  <si>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</si>
  <si>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</si>
  <si>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</si>
  <si>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</si>
  <si>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</si>
  <si>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</si>
  <si>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</si>
  <si>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</si>
  <si>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</si>
  <si>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</si>
  <si>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</si>
  <si>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1929.HK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</si>
  <si>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</si>
  <si>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</si>
  <si>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</si>
  <si>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</si>
  <si>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</si>
  <si>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</si>
  <si>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</si>
  <si>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</si>
  <si>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</si>
  <si>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</si>
  <si>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</si>
  <si>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</si>
  <si>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</si>
  <si>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</si>
  <si>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</si>
  <si>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</si>
  <si>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</si>
  <si>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</si>
  <si>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</si>
  <si>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</si>
  <si>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</si>
  <si>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</si>
  <si>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</si>
  <si>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</si>
  <si>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</si>
  <si>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</si>
  <si>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</si>
  <si>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</si>
  <si>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</si>
  <si>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</si>
  <si>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1929.HK owner-FCF component DCF: base case (millions, HKD)</t>
  </si>
  <si>
    <t xml:space="preserve">1929.HK owner-FCF component DCF: bull case (millions, HKD)</t>
  </si>
  <si>
    <t xml:space="preserve">1929.HK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</si>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</sst>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11.18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66660.9</v>
      </c>
      <c r="C2" s="0" t="n">
        <v>-48059.1</v>
      </c>
      <c r="D2" s="0" t="n">
        <v>18601.8</v>
      </c>
      <c r="E2" s="0" t="n">
        <v>27.9</v>
      </c>
      <c r="F2" s="0" t="n">
        <v>6639.6</v>
      </c>
      <c r="G2" s="0" t="n">
        <v>10</v>
      </c>
      <c r="H2" s="0" t="n">
        <v>7606</v>
      </c>
      <c r="I2" s="0" t="n">
        <v>4576.8</v>
      </c>
      <c r="J2" s="0" t="n">
        <v>6.9</v>
      </c>
      <c r="K2" s="0" t="n">
        <v>0.458</v>
      </c>
      <c r="L2" s="0" t="n">
        <v>8431.1</v>
      </c>
      <c r="M2" s="0" t="n">
        <v>1391.8</v>
      </c>
      <c r="N2" s="0" t="n">
        <v>7039.3</v>
      </c>
      <c r="O2" s="0" t="n">
        <v>30750.7</v>
      </c>
      <c r="P2" s="0" t="n">
        <v>62237.1</v>
      </c>
      <c r="Q2" s="0" t="n">
        <v>30834.1</v>
      </c>
      <c r="R2" s="0" t="n">
        <v>18068.2</v>
      </c>
      <c r="S2" s="0" t="n">
        <v>7640.6</v>
      </c>
      <c r="T2" s="0" t="n">
        <v>10000</v>
      </c>
      <c r="U2" s="0" t="n">
        <v>0</v>
      </c>
      <c r="AA2" s="0" t="s">
        <v>17</v>
      </c>
      <c r="AB2" s="0" t="s">
        <v>14</v>
      </c>
      <c r="AC2" s="0" t="n">
        <v>4684</v>
      </c>
    </row>
    <row r="3" customFormat="false" ht="15" hidden="false" customHeight="false" outlineLevel="0" collapsed="false">
      <c r="A3" s="0" t="s">
        <v>65</v>
      </c>
      <c r="B3" s="0" t="n">
        <v>56750.8</v>
      </c>
      <c r="C3" s="0" t="n">
        <v>-40654.6</v>
      </c>
      <c r="D3" s="0" t="n">
        <v>16096.2</v>
      </c>
      <c r="E3" s="0" t="n">
        <v>28.4</v>
      </c>
      <c r="F3" s="0" t="n">
        <v>4686.1</v>
      </c>
      <c r="G3" s="0" t="n">
        <v>8.3</v>
      </c>
      <c r="H3" s="0" t="n">
        <v>7056</v>
      </c>
      <c r="I3" s="0" t="n">
        <v>2901</v>
      </c>
      <c r="J3" s="0" t="n">
        <v>5.1</v>
      </c>
      <c r="K3" s="0" t="n">
        <v>0.29</v>
      </c>
      <c r="L3" s="0" t="n">
        <v>8364.2</v>
      </c>
      <c r="M3" s="0" t="n">
        <v>973.1</v>
      </c>
      <c r="N3" s="0" t="n">
        <v>7391.1</v>
      </c>
      <c r="O3" s="0" t="n">
        <v>26343.3</v>
      </c>
      <c r="P3" s="0" t="n">
        <v>65243.4</v>
      </c>
      <c r="Q3" s="0" t="n">
        <v>38252.6</v>
      </c>
      <c r="R3" s="0" t="n">
        <v>22710.9</v>
      </c>
      <c r="S3" s="0" t="n">
        <v>7219.2</v>
      </c>
      <c r="T3" s="0" t="n">
        <v>10000</v>
      </c>
      <c r="U3" s="0" t="n">
        <v>0</v>
      </c>
      <c r="AA3" s="0" t="s">
        <v>17</v>
      </c>
      <c r="AB3" s="0" t="s">
        <v>14</v>
      </c>
      <c r="AC3" s="0" t="n">
        <v>2983.1</v>
      </c>
    </row>
    <row r="4" customFormat="false" ht="15" hidden="false" customHeight="false" outlineLevel="0" collapsed="false">
      <c r="A4" s="0" t="s">
        <v>66</v>
      </c>
      <c r="B4" s="0" t="n">
        <v>70163.8</v>
      </c>
      <c r="C4" s="0" t="n">
        <v>-50089.1</v>
      </c>
      <c r="D4" s="0" t="n">
        <v>20074.7</v>
      </c>
      <c r="E4" s="0" t="n">
        <v>28.6</v>
      </c>
      <c r="F4" s="0" t="n">
        <v>8689.1</v>
      </c>
      <c r="G4" s="0" t="n">
        <v>12.4</v>
      </c>
      <c r="H4" s="0" t="n">
        <v>10808.2</v>
      </c>
      <c r="I4" s="0" t="n">
        <v>6026.4</v>
      </c>
      <c r="J4" s="0" t="n">
        <v>8.6</v>
      </c>
      <c r="K4" s="0" t="n">
        <v>0.603</v>
      </c>
      <c r="L4" s="0" t="n">
        <v>10476.3</v>
      </c>
      <c r="M4" s="0" t="n">
        <v>839.3</v>
      </c>
      <c r="N4" s="0" t="n">
        <v>9637</v>
      </c>
      <c r="O4" s="0" t="n">
        <v>30767.1</v>
      </c>
      <c r="P4" s="0" t="n">
        <v>64308.2</v>
      </c>
      <c r="Q4" s="0" t="n">
        <v>32740.6</v>
      </c>
      <c r="R4" s="0" t="n">
        <v>12143.3</v>
      </c>
      <c r="S4" s="0" t="n">
        <v>6031.9</v>
      </c>
      <c r="T4" s="0" t="n">
        <v>10000</v>
      </c>
      <c r="U4" s="0" t="n">
        <v>0</v>
      </c>
      <c r="AA4" s="0" t="s">
        <v>17</v>
      </c>
      <c r="AB4" s="0" t="s">
        <v>14</v>
      </c>
      <c r="AC4" s="0" t="n">
        <v>6176.1</v>
      </c>
    </row>
    <row r="5" customFormat="false" ht="15" hidden="false" customHeight="false" outlineLevel="0" collapsed="false">
      <c r="A5" s="0" t="s">
        <v>67</v>
      </c>
      <c r="B5" s="0" t="n">
        <v>98937.7</v>
      </c>
      <c r="C5" s="0" t="n">
        <v>-76598</v>
      </c>
      <c r="D5" s="0" t="n">
        <v>22339.7</v>
      </c>
      <c r="E5" s="0" t="n">
        <v>22.6</v>
      </c>
      <c r="F5" s="0" t="n">
        <v>9250.9</v>
      </c>
      <c r="G5" s="0" t="n">
        <v>9.4</v>
      </c>
      <c r="H5" s="0" t="n">
        <v>11276.6</v>
      </c>
      <c r="I5" s="0" t="n">
        <v>6712.3</v>
      </c>
      <c r="J5" s="0" t="n">
        <v>6.8</v>
      </c>
      <c r="K5" s="0" t="n">
        <v>0.671</v>
      </c>
      <c r="L5" s="0" t="n">
        <v>13938.2</v>
      </c>
      <c r="M5" s="0" t="n">
        <v>1530.7</v>
      </c>
      <c r="N5" s="0" t="n">
        <v>12407.5</v>
      </c>
      <c r="O5" s="0" t="n">
        <v>33619.3</v>
      </c>
      <c r="P5" s="0" t="n">
        <v>87737.3</v>
      </c>
      <c r="Q5" s="0" t="n">
        <v>53182.6</v>
      </c>
      <c r="R5" s="0" t="n">
        <v>24785.1</v>
      </c>
      <c r="S5" s="0" t="n">
        <v>14942.2</v>
      </c>
      <c r="T5" s="0" t="n">
        <v>10000</v>
      </c>
      <c r="U5" s="0" t="n">
        <v>0</v>
      </c>
      <c r="AA5" s="0" t="s">
        <v>17</v>
      </c>
      <c r="AB5" s="0" t="s">
        <v>14</v>
      </c>
      <c r="AC5" s="0" t="n">
        <v>6879.9</v>
      </c>
    </row>
    <row r="6" customFormat="false" ht="15" hidden="false" customHeight="false" outlineLevel="0" collapsed="false">
      <c r="A6" s="0" t="s">
        <v>68</v>
      </c>
      <c r="B6" s="0" t="n">
        <v>94684.4</v>
      </c>
      <c r="C6" s="0" t="n">
        <v>-73512.9</v>
      </c>
      <c r="D6" s="0" t="n">
        <v>21171.5</v>
      </c>
      <c r="E6" s="0" t="n">
        <v>22.4</v>
      </c>
      <c r="F6" s="0" t="n">
        <v>7804.1</v>
      </c>
      <c r="G6" s="0" t="n">
        <v>8.2</v>
      </c>
      <c r="H6" s="0" t="n">
        <v>10024.4</v>
      </c>
      <c r="I6" s="0" t="n">
        <v>5384.4</v>
      </c>
      <c r="J6" s="0" t="n">
        <v>5.7</v>
      </c>
      <c r="K6" s="0" t="n">
        <v>0.538</v>
      </c>
      <c r="L6" s="0" t="n">
        <v>10065.9</v>
      </c>
      <c r="M6" s="0" t="n">
        <v>1981.6</v>
      </c>
      <c r="N6" s="0" t="n">
        <v>8084.3</v>
      </c>
      <c r="O6" s="0" t="n">
        <v>32397.4</v>
      </c>
      <c r="P6" s="0" t="n">
        <v>87340.5</v>
      </c>
      <c r="Q6" s="0" t="n">
        <v>53980.7</v>
      </c>
      <c r="R6" s="0" t="n">
        <v>20940.5</v>
      </c>
      <c r="S6" s="0" t="n">
        <v>11695</v>
      </c>
      <c r="T6" s="0" t="n">
        <v>10000</v>
      </c>
      <c r="U6" s="0" t="n">
        <v>0</v>
      </c>
      <c r="AA6" s="0" t="s">
        <v>17</v>
      </c>
      <c r="AB6" s="0" t="s">
        <v>14</v>
      </c>
      <c r="AC6" s="0" t="n">
        <v>5489.5</v>
      </c>
    </row>
    <row r="7" customFormat="false" ht="15" hidden="false" customHeight="false" outlineLevel="0" collapsed="false">
      <c r="A7" s="0" t="s">
        <v>69</v>
      </c>
      <c r="B7" s="0" t="n">
        <v>108713</v>
      </c>
      <c r="C7" s="0" t="n">
        <v>-82670.6</v>
      </c>
      <c r="D7" s="0" t="n">
        <v>26042.4</v>
      </c>
      <c r="E7" s="0" t="n">
        <v>24</v>
      </c>
      <c r="F7" s="0" t="n">
        <v>9249.8</v>
      </c>
      <c r="G7" s="0" t="n">
        <v>8.5</v>
      </c>
      <c r="H7" s="0" t="n">
        <v>11535.1</v>
      </c>
      <c r="I7" s="0" t="n">
        <v>6499.3</v>
      </c>
      <c r="J7" s="0" t="n">
        <v>6</v>
      </c>
      <c r="K7" s="0" t="n">
        <v>0.65</v>
      </c>
      <c r="L7" s="0" t="n">
        <v>13835.6</v>
      </c>
      <c r="M7" s="0" t="n">
        <v>963.2</v>
      </c>
      <c r="N7" s="0" t="n">
        <v>12872.4</v>
      </c>
      <c r="O7" s="0" t="n">
        <v>25715</v>
      </c>
      <c r="P7" s="0" t="n">
        <v>88819</v>
      </c>
      <c r="Q7" s="0" t="n">
        <v>62073.4</v>
      </c>
      <c r="R7" s="0" t="n">
        <v>28623.7</v>
      </c>
      <c r="S7" s="0" t="n">
        <v>7695.4</v>
      </c>
      <c r="T7" s="0" t="n">
        <v>9987.7</v>
      </c>
      <c r="U7" s="0" t="n">
        <v>6</v>
      </c>
      <c r="AA7" s="0" t="s">
        <v>17</v>
      </c>
      <c r="AB7" s="0" t="s">
        <v>14</v>
      </c>
      <c r="AC7" s="0" t="n">
        <v>6607.2</v>
      </c>
    </row>
    <row r="8" customFormat="false" ht="15" hidden="false" customHeight="false" outlineLevel="0" collapsed="false">
      <c r="A8" s="0" t="s">
        <v>70</v>
      </c>
      <c r="B8" s="0" t="n">
        <v>89656</v>
      </c>
      <c r="C8" s="0" t="n">
        <v>-63201.2</v>
      </c>
      <c r="D8" s="0" t="n">
        <v>26454.8</v>
      </c>
      <c r="E8" s="0" t="n">
        <v>29.5</v>
      </c>
      <c r="F8" s="0" t="n">
        <v>8396.5</v>
      </c>
      <c r="G8" s="0" t="n">
        <v>9.4</v>
      </c>
      <c r="H8" s="0" t="n">
        <v>10499.4</v>
      </c>
      <c r="I8" s="0" t="n">
        <v>5915.5</v>
      </c>
      <c r="J8" s="0" t="n">
        <v>6.6</v>
      </c>
      <c r="K8" s="0" t="n">
        <v>0.592</v>
      </c>
      <c r="L8" s="0" t="n">
        <v>10254.5</v>
      </c>
      <c r="M8" s="0" t="n">
        <v>577.9</v>
      </c>
      <c r="N8" s="0" t="n">
        <v>9676.6</v>
      </c>
      <c r="O8" s="0" t="n">
        <v>26425.4</v>
      </c>
      <c r="P8" s="0" t="n">
        <v>76524.4</v>
      </c>
      <c r="Q8" s="0" t="n">
        <v>49131</v>
      </c>
      <c r="R8" s="0" t="n">
        <v>19691.8</v>
      </c>
      <c r="S8" s="0" t="n">
        <v>7582.4</v>
      </c>
      <c r="T8" s="0" t="n">
        <v>9987.8</v>
      </c>
      <c r="U8" s="0" t="n">
        <v>12.8</v>
      </c>
      <c r="AA8" s="0" t="s">
        <v>17</v>
      </c>
      <c r="AB8" s="0" t="s">
        <v>14</v>
      </c>
      <c r="AC8" s="0" t="n">
        <v>5988.9</v>
      </c>
    </row>
    <row r="9" customFormat="false" ht="15" hidden="false" customHeight="false" outlineLevel="0" collapsed="false">
      <c r="A9" s="0" t="s">
        <v>71</v>
      </c>
      <c r="B9" s="0" t="n">
        <v>94398.4</v>
      </c>
      <c r="C9" s="0" t="n">
        <v>-63898</v>
      </c>
      <c r="D9" s="0" t="n">
        <v>30500.4</v>
      </c>
      <c r="E9" s="0" t="n">
        <v>32.3</v>
      </c>
      <c r="F9" s="0" t="n">
        <v>12595</v>
      </c>
      <c r="G9" s="0" t="n">
        <v>13.3</v>
      </c>
      <c r="H9" s="0" t="n">
        <v>14399.6</v>
      </c>
      <c r="I9" s="0" t="n">
        <v>9004.3</v>
      </c>
      <c r="J9" s="0" t="n">
        <v>9.5</v>
      </c>
      <c r="K9" s="0" t="n">
        <v>0.903</v>
      </c>
      <c r="L9" s="0" t="n">
        <v>1317</v>
      </c>
      <c r="M9" s="0" t="n">
        <v>593.4</v>
      </c>
      <c r="N9" s="0" t="n">
        <v>723.6</v>
      </c>
      <c r="O9" s="0" t="n">
        <v>30973.4</v>
      </c>
      <c r="P9" s="0" t="n">
        <v>85854.5</v>
      </c>
      <c r="Q9" s="0" t="n">
        <v>53895.7</v>
      </c>
      <c r="R9" s="0" t="n">
        <v>25659.4</v>
      </c>
      <c r="S9" s="0" t="n">
        <v>8262.1</v>
      </c>
      <c r="T9" s="0" t="n">
        <v>10289.7</v>
      </c>
      <c r="U9" s="0" t="n">
        <v>25.4</v>
      </c>
      <c r="AA9" s="0" t="s">
        <v>17</v>
      </c>
      <c r="AB9" s="0" t="s">
        <v>14</v>
      </c>
      <c r="AC9" s="0" t="n">
        <v>9080.4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11.18</v>
      </c>
    </row>
    <row r="3" customFormat="false" ht="15" hidden="false" customHeight="false" outlineLevel="0" collapsed="false">
      <c r="A3" s="0" t="s">
        <v>75</v>
      </c>
      <c r="B3" s="3" t="n">
        <v>9867.8</v>
      </c>
    </row>
    <row r="4" customFormat="false" ht="15" hidden="false" customHeight="false" outlineLevel="0" collapsed="false">
      <c r="A4" s="0" t="s">
        <v>76</v>
      </c>
      <c r="B4" s="3" t="n">
        <v>3716</v>
      </c>
    </row>
    <row r="5" customFormat="false" ht="15" hidden="false" customHeight="false" outlineLevel="0" collapsed="false">
      <c r="A5" s="0" t="s">
        <v>77</v>
      </c>
      <c r="B5" s="3" t="n">
        <v>-985.4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94398.4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-3</v>
      </c>
      <c r="D13" s="3" t="n">
        <v>0</v>
      </c>
      <c r="E13" s="3" t="n">
        <v>2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96</v>
      </c>
      <c r="C14" s="3" t="n">
        <v>11.5</v>
      </c>
      <c r="D14" s="3" t="n">
        <v>10.5</v>
      </c>
      <c r="E14" s="3" t="n">
        <v>10</v>
      </c>
      <c r="F14" s="3" t="n">
        <v>10</v>
      </c>
      <c r="G14" s="3" t="n">
        <v>10</v>
      </c>
      <c r="H14" s="3" t="n">
        <v>10</v>
      </c>
      <c r="I14" s="3" t="n">
        <v>10</v>
      </c>
      <c r="J14" s="3" t="n">
        <v>10</v>
      </c>
      <c r="K14" s="3" t="n">
        <v>10</v>
      </c>
      <c r="L14" s="3" t="n">
        <v>10</v>
      </c>
    </row>
    <row r="15" customFormat="false" ht="15" hidden="false" customHeight="false" outlineLevel="0" collapsed="false">
      <c r="A15" s="0" t="s">
        <v>97</v>
      </c>
      <c r="C15" s="3" t="n">
        <v>0.03</v>
      </c>
      <c r="D15" s="3" t="n">
        <v>0.03</v>
      </c>
      <c r="E15" s="3" t="n">
        <v>0.03</v>
      </c>
      <c r="F15" s="3" t="n">
        <v>0.03</v>
      </c>
      <c r="G15" s="3" t="n">
        <v>0.03</v>
      </c>
      <c r="H15" s="3" t="n">
        <v>0.03</v>
      </c>
      <c r="I15" s="3" t="n">
        <v>0.03</v>
      </c>
      <c r="J15" s="3" t="n">
        <v>0.03</v>
      </c>
      <c r="K15" s="3" t="n">
        <v>0.03</v>
      </c>
      <c r="L15" s="3" t="n">
        <v>0.03</v>
      </c>
    </row>
    <row r="16" customFormat="false" ht="15" hidden="false" customHeight="false" outlineLevel="0" collapsed="false">
      <c r="A16" s="0" t="s">
        <v>98</v>
      </c>
      <c r="C16" s="3" t="n">
        <v>0.92</v>
      </c>
      <c r="D16" s="3" t="n">
        <v>0.92</v>
      </c>
      <c r="E16" s="3" t="n">
        <v>0.92</v>
      </c>
      <c r="F16" s="3" t="n">
        <v>0.92</v>
      </c>
      <c r="G16" s="3" t="n">
        <v>0.92</v>
      </c>
      <c r="H16" s="3" t="n">
        <v>0.92</v>
      </c>
      <c r="I16" s="3" t="n">
        <v>0.92</v>
      </c>
      <c r="J16" s="3" t="n">
        <v>0.92</v>
      </c>
      <c r="K16" s="3" t="n">
        <v>0.92</v>
      </c>
      <c r="L16" s="3" t="n">
        <v>0.92</v>
      </c>
    </row>
    <row r="17" customFormat="false" ht="15" hidden="false" customHeight="false" outlineLevel="0" collapsed="false">
      <c r="A17" s="0" t="s">
        <v>99</v>
      </c>
      <c r="C17" s="3" t="n">
        <v>1</v>
      </c>
      <c r="D17" s="3" t="n">
        <v>1</v>
      </c>
      <c r="E17" s="3" t="n">
        <v>1</v>
      </c>
      <c r="F17" s="3" t="n">
        <v>1</v>
      </c>
      <c r="G17" s="3" t="n">
        <v>1</v>
      </c>
      <c r="H17" s="3" t="n">
        <v>1</v>
      </c>
      <c r="I17" s="3" t="n">
        <v>1</v>
      </c>
      <c r="J17" s="3" t="n">
        <v>1</v>
      </c>
      <c r="K17" s="3" t="n">
        <v>1</v>
      </c>
      <c r="L17" s="3" t="n">
        <v>1</v>
      </c>
    </row>
    <row r="18" customFormat="false" ht="15" hidden="false" customHeight="false" outlineLevel="0" collapsed="false">
      <c r="A18" s="0" t="s">
        <v>100</v>
      </c>
      <c r="C18" s="3" t="n">
        <v>1</v>
      </c>
      <c r="D18" s="3" t="n">
        <v>1</v>
      </c>
      <c r="E18" s="3" t="n">
        <v>1</v>
      </c>
      <c r="F18" s="3" t="n">
        <v>1</v>
      </c>
      <c r="G18" s="3" t="n">
        <v>1</v>
      </c>
      <c r="H18" s="3" t="n">
        <v>1</v>
      </c>
      <c r="I18" s="3" t="n">
        <v>1</v>
      </c>
      <c r="J18" s="3" t="n">
        <v>1</v>
      </c>
      <c r="K18" s="3" t="n">
        <v>1</v>
      </c>
      <c r="L18" s="3" t="n">
        <v>1</v>
      </c>
    </row>
    <row r="19" customFormat="false" ht="15" hidden="false" customHeight="false" outlineLevel="0" collapsed="false">
      <c r="A19" s="0" t="s">
        <v>101</v>
      </c>
      <c r="C19" s="3" t="n">
        <v>24</v>
      </c>
      <c r="D19" s="3" t="n">
        <v>24</v>
      </c>
      <c r="E19" s="3" t="n">
        <v>24</v>
      </c>
      <c r="F19" s="3" t="n">
        <v>24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102</v>
      </c>
      <c r="B20" s="3" t="n">
        <v>9</v>
      </c>
    </row>
    <row r="21" customFormat="false" ht="15" hidden="false" customHeight="false" outlineLevel="0" collapsed="false">
      <c r="A21" s="0" t="s">
        <v>103</v>
      </c>
      <c r="B21" s="3" t="n">
        <v>2</v>
      </c>
    </row>
    <row r="22" customFormat="false" ht="15" hidden="false" customHeight="false" outlineLevel="0" collapsed="false">
      <c r="A22" s="0" t="s">
        <v>104</v>
      </c>
      <c r="B22" s="3" t="n">
        <v>13</v>
      </c>
    </row>
    <row r="23" customFormat="false" ht="15" hidden="false" customHeight="false" outlineLevel="0" collapsed="false">
      <c r="A23" s="0" t="s">
        <v>105</v>
      </c>
      <c r="B23" s="3" t="n">
        <v>-25</v>
      </c>
    </row>
    <row r="24" customFormat="false" ht="15" hidden="false" customHeight="false" outlineLevel="0" collapsed="false">
      <c r="A24" s="0" t="s">
        <v>106</v>
      </c>
      <c r="B24" s="3" t="n">
        <v>0.25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6</v>
      </c>
      <c r="D27" s="3" t="n">
        <v>4.5</v>
      </c>
      <c r="E27" s="3" t="n">
        <v>4</v>
      </c>
      <c r="F27" s="3" t="n">
        <v>4</v>
      </c>
      <c r="G27" s="3" t="n">
        <v>3.5</v>
      </c>
      <c r="H27" s="3" t="n">
        <v>3.5</v>
      </c>
      <c r="I27" s="3" t="n">
        <v>3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96</v>
      </c>
      <c r="C28" s="3" t="n">
        <v>13.5</v>
      </c>
      <c r="D28" s="3" t="n">
        <v>12.5</v>
      </c>
      <c r="E28" s="3" t="n">
        <v>12</v>
      </c>
      <c r="F28" s="3" t="n">
        <v>12</v>
      </c>
      <c r="G28" s="3" t="n">
        <v>12</v>
      </c>
      <c r="H28" s="3" t="n">
        <v>12</v>
      </c>
      <c r="I28" s="3" t="n">
        <v>12</v>
      </c>
      <c r="J28" s="3" t="n">
        <v>12</v>
      </c>
      <c r="K28" s="3" t="n">
        <v>12</v>
      </c>
      <c r="L28" s="3" t="n">
        <v>12</v>
      </c>
    </row>
    <row r="29" customFormat="false" ht="15" hidden="false" customHeight="false" outlineLevel="0" collapsed="false">
      <c r="A29" s="0" t="s">
        <v>97</v>
      </c>
      <c r="C29" s="3" t="n">
        <v>0.03</v>
      </c>
      <c r="D29" s="3" t="n">
        <v>0.03</v>
      </c>
      <c r="E29" s="3" t="n">
        <v>0.03</v>
      </c>
      <c r="F29" s="3" t="n">
        <v>0.03</v>
      </c>
      <c r="G29" s="3" t="n">
        <v>0.03</v>
      </c>
      <c r="H29" s="3" t="n">
        <v>0.03</v>
      </c>
      <c r="I29" s="3" t="n">
        <v>0.03</v>
      </c>
      <c r="J29" s="3" t="n">
        <v>0.03</v>
      </c>
      <c r="K29" s="3" t="n">
        <v>0.03</v>
      </c>
      <c r="L29" s="3" t="n">
        <v>0.03</v>
      </c>
    </row>
    <row r="30" customFormat="false" ht="15" hidden="false" customHeight="false" outlineLevel="0" collapsed="false">
      <c r="A30" s="0" t="s">
        <v>98</v>
      </c>
      <c r="C30" s="3" t="n">
        <v>0.92</v>
      </c>
      <c r="D30" s="3" t="n">
        <v>0.92</v>
      </c>
      <c r="E30" s="3" t="n">
        <v>0.92</v>
      </c>
      <c r="F30" s="3" t="n">
        <v>0.92</v>
      </c>
      <c r="G30" s="3" t="n">
        <v>0.92</v>
      </c>
      <c r="H30" s="3" t="n">
        <v>0.92</v>
      </c>
      <c r="I30" s="3" t="n">
        <v>0.92</v>
      </c>
      <c r="J30" s="3" t="n">
        <v>0.92</v>
      </c>
      <c r="K30" s="3" t="n">
        <v>0.92</v>
      </c>
      <c r="L30" s="3" t="n">
        <v>0.92</v>
      </c>
    </row>
    <row r="31" customFormat="false" ht="15" hidden="false" customHeight="false" outlineLevel="0" collapsed="false">
      <c r="A31" s="0" t="s">
        <v>99</v>
      </c>
      <c r="C31" s="3" t="n">
        <v>1</v>
      </c>
      <c r="D31" s="3" t="n">
        <v>1</v>
      </c>
      <c r="E31" s="3" t="n">
        <v>1</v>
      </c>
      <c r="F31" s="3" t="n">
        <v>1</v>
      </c>
      <c r="G31" s="3" t="n">
        <v>1</v>
      </c>
      <c r="H31" s="3" t="n">
        <v>1</v>
      </c>
      <c r="I31" s="3" t="n">
        <v>1</v>
      </c>
      <c r="J31" s="3" t="n">
        <v>1</v>
      </c>
      <c r="K31" s="3" t="n">
        <v>1</v>
      </c>
      <c r="L31" s="3" t="n">
        <v>1</v>
      </c>
    </row>
    <row r="32" customFormat="false" ht="15" hidden="false" customHeight="false" outlineLevel="0" collapsed="false">
      <c r="A32" s="0" t="s">
        <v>100</v>
      </c>
      <c r="C32" s="3" t="n">
        <v>1.1</v>
      </c>
      <c r="D32" s="3" t="n">
        <v>1.1</v>
      </c>
      <c r="E32" s="3" t="n">
        <v>1.1</v>
      </c>
      <c r="F32" s="3" t="n">
        <v>1</v>
      </c>
      <c r="G32" s="3" t="n">
        <v>1</v>
      </c>
      <c r="H32" s="3" t="n">
        <v>1</v>
      </c>
      <c r="I32" s="3" t="n">
        <v>1</v>
      </c>
      <c r="J32" s="3" t="n">
        <v>1</v>
      </c>
      <c r="K32" s="3" t="n">
        <v>1</v>
      </c>
      <c r="L32" s="3" t="n">
        <v>1</v>
      </c>
    </row>
    <row r="33" customFormat="false" ht="15" hidden="false" customHeight="false" outlineLevel="0" collapsed="false">
      <c r="A33" s="0" t="s">
        <v>101</v>
      </c>
      <c r="C33" s="3" t="n">
        <v>24</v>
      </c>
      <c r="D33" s="3" t="n">
        <v>24</v>
      </c>
      <c r="E33" s="3" t="n">
        <v>24</v>
      </c>
      <c r="F33" s="3" t="n">
        <v>24</v>
      </c>
      <c r="G33" s="3" t="n">
        <v>24</v>
      </c>
      <c r="H33" s="3" t="n">
        <v>24</v>
      </c>
      <c r="I33" s="3" t="n">
        <v>24</v>
      </c>
      <c r="J33" s="3" t="n">
        <v>24</v>
      </c>
      <c r="K33" s="3" t="n">
        <v>24</v>
      </c>
      <c r="L33" s="3" t="n">
        <v>24</v>
      </c>
    </row>
    <row r="34" customFormat="false" ht="15" hidden="false" customHeight="false" outlineLevel="0" collapsed="false">
      <c r="A34" s="0" t="s">
        <v>102</v>
      </c>
      <c r="B34" s="3" t="n">
        <v>9</v>
      </c>
    </row>
    <row r="35" customFormat="false" ht="15" hidden="false" customHeight="false" outlineLevel="0" collapsed="false">
      <c r="A35" s="0" t="s">
        <v>103</v>
      </c>
      <c r="B35" s="3" t="n">
        <v>2.5</v>
      </c>
    </row>
    <row r="36" customFormat="false" ht="15" hidden="false" customHeight="false" outlineLevel="0" collapsed="false">
      <c r="A36" s="0" t="s">
        <v>104</v>
      </c>
      <c r="B36" s="3" t="n">
        <v>13</v>
      </c>
    </row>
    <row r="37" customFormat="false" ht="15" hidden="false" customHeight="false" outlineLevel="0" collapsed="false">
      <c r="A37" s="0" t="s">
        <v>105</v>
      </c>
      <c r="B37" s="3" t="n">
        <v>-25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9</v>
      </c>
      <c r="D41" s="3" t="n">
        <v>7</v>
      </c>
      <c r="E41" s="3" t="n">
        <v>6</v>
      </c>
      <c r="F41" s="3" t="n">
        <v>5</v>
      </c>
      <c r="G41" s="3" t="n">
        <v>5</v>
      </c>
      <c r="H41" s="3" t="n">
        <v>4.5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96</v>
      </c>
      <c r="C42" s="3" t="n">
        <v>14.5</v>
      </c>
      <c r="D42" s="3" t="n">
        <v>14</v>
      </c>
      <c r="E42" s="3" t="n">
        <v>13.5</v>
      </c>
      <c r="F42" s="3" t="n">
        <v>13.5</v>
      </c>
      <c r="G42" s="3" t="n">
        <v>13.5</v>
      </c>
      <c r="H42" s="3" t="n">
        <v>13.5</v>
      </c>
      <c r="I42" s="3" t="n">
        <v>13.5</v>
      </c>
      <c r="J42" s="3" t="n">
        <v>13.5</v>
      </c>
      <c r="K42" s="3" t="n">
        <v>13.5</v>
      </c>
      <c r="L42" s="3" t="n">
        <v>13.5</v>
      </c>
    </row>
    <row r="43" customFormat="false" ht="15" hidden="false" customHeight="false" outlineLevel="0" collapsed="false">
      <c r="A43" s="0" t="s">
        <v>97</v>
      </c>
      <c r="C43" s="3" t="n">
        <v>0.03</v>
      </c>
      <c r="D43" s="3" t="n">
        <v>0.03</v>
      </c>
      <c r="E43" s="3" t="n">
        <v>0.03</v>
      </c>
      <c r="F43" s="3" t="n">
        <v>0.03</v>
      </c>
      <c r="G43" s="3" t="n">
        <v>0.03</v>
      </c>
      <c r="H43" s="3" t="n">
        <v>0.03</v>
      </c>
      <c r="I43" s="3" t="n">
        <v>0.03</v>
      </c>
      <c r="J43" s="3" t="n">
        <v>0.03</v>
      </c>
      <c r="K43" s="3" t="n">
        <v>0.03</v>
      </c>
      <c r="L43" s="3" t="n">
        <v>0.03</v>
      </c>
    </row>
    <row r="44" customFormat="false" ht="15" hidden="false" customHeight="false" outlineLevel="0" collapsed="false">
      <c r="A44" s="0" t="s">
        <v>98</v>
      </c>
      <c r="C44" s="3" t="n">
        <v>0.92</v>
      </c>
      <c r="D44" s="3" t="n">
        <v>0.92</v>
      </c>
      <c r="E44" s="3" t="n">
        <v>0.92</v>
      </c>
      <c r="F44" s="3" t="n">
        <v>0.92</v>
      </c>
      <c r="G44" s="3" t="n">
        <v>0.92</v>
      </c>
      <c r="H44" s="3" t="n">
        <v>0.92</v>
      </c>
      <c r="I44" s="3" t="n">
        <v>0.92</v>
      </c>
      <c r="J44" s="3" t="n">
        <v>0.92</v>
      </c>
      <c r="K44" s="3" t="n">
        <v>0.92</v>
      </c>
      <c r="L44" s="3" t="n">
        <v>0.92</v>
      </c>
    </row>
    <row r="45" customFormat="false" ht="15" hidden="false" customHeight="false" outlineLevel="0" collapsed="false">
      <c r="A45" s="0" t="s">
        <v>99</v>
      </c>
      <c r="C45" s="3" t="n">
        <v>1</v>
      </c>
      <c r="D45" s="3" t="n">
        <v>1</v>
      </c>
      <c r="E45" s="3" t="n">
        <v>1</v>
      </c>
      <c r="F45" s="3" t="n">
        <v>1</v>
      </c>
      <c r="G45" s="3" t="n">
        <v>1</v>
      </c>
      <c r="H45" s="3" t="n">
        <v>1</v>
      </c>
      <c r="I45" s="3" t="n">
        <v>1</v>
      </c>
      <c r="J45" s="3" t="n">
        <v>1</v>
      </c>
      <c r="K45" s="3" t="n">
        <v>1</v>
      </c>
      <c r="L45" s="3" t="n">
        <v>1</v>
      </c>
    </row>
    <row r="46" customFormat="false" ht="15" hidden="false" customHeight="false" outlineLevel="0" collapsed="false">
      <c r="A46" s="0" t="s">
        <v>100</v>
      </c>
      <c r="C46" s="3" t="n">
        <v>1.2</v>
      </c>
      <c r="D46" s="3" t="n">
        <v>1.2</v>
      </c>
      <c r="E46" s="3" t="n">
        <v>1.1</v>
      </c>
      <c r="F46" s="3" t="n">
        <v>1.1</v>
      </c>
      <c r="G46" s="3" t="n">
        <v>1</v>
      </c>
      <c r="H46" s="3" t="n">
        <v>1</v>
      </c>
      <c r="I46" s="3" t="n">
        <v>1</v>
      </c>
      <c r="J46" s="3" t="n">
        <v>1</v>
      </c>
      <c r="K46" s="3" t="n">
        <v>1</v>
      </c>
      <c r="L46" s="3" t="n">
        <v>1</v>
      </c>
    </row>
    <row r="47" customFormat="false" ht="15" hidden="false" customHeight="false" outlineLevel="0" collapsed="false">
      <c r="A47" s="0" t="s">
        <v>101</v>
      </c>
      <c r="C47" s="3" t="n">
        <v>24</v>
      </c>
      <c r="D47" s="3" t="n">
        <v>24</v>
      </c>
      <c r="E47" s="3" t="n">
        <v>24</v>
      </c>
      <c r="F47" s="3" t="n">
        <v>24</v>
      </c>
      <c r="G47" s="3" t="n">
        <v>24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102</v>
      </c>
      <c r="B48" s="3" t="n">
        <v>9</v>
      </c>
    </row>
    <row r="49" customFormat="false" ht="15" hidden="false" customHeight="false" outlineLevel="0" collapsed="false">
      <c r="A49" s="0" t="s">
        <v>103</v>
      </c>
      <c r="B49" s="3" t="n">
        <v>3</v>
      </c>
    </row>
    <row r="50" customFormat="false" ht="15" hidden="false" customHeight="false" outlineLevel="0" collapsed="false">
      <c r="A50" s="0" t="s">
        <v>104</v>
      </c>
      <c r="B50" s="3" t="n">
        <v>13</v>
      </c>
    </row>
    <row r="51" customFormat="false" ht="15" hidden="false" customHeight="false" outlineLevel="0" collapsed="false">
      <c r="A51" s="0" t="s">
        <v>105</v>
      </c>
      <c r="B51" s="3" t="n">
        <v>-25</v>
      </c>
    </row>
    <row r="52" customFormat="false" ht="15" hidden="false" customHeight="false" outlineLevel="0" collapsed="false">
      <c r="A52" s="0" t="s">
        <v>106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-3</v>
      </c>
      <c r="D5" s="4" t="n">
        <f aca="false">Assumptions!D13</f>
        <v>0</v>
      </c>
      <c r="E5" s="4" t="n">
        <f aca="false">Assumptions!E13</f>
        <v>2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94398.4</v>
      </c>
      <c r="C6" s="0" t="n">
        <f aca="false">B6*(1+C5/100)</f>
        <v>91566.448</v>
      </c>
      <c r="D6" s="0" t="n">
        <f aca="false">C6*(1+D5/100)</f>
        <v>91566.448</v>
      </c>
      <c r="E6" s="0" t="n">
        <f aca="false">D6*(1+E5/100)</f>
        <v>93397.77696</v>
      </c>
      <c r="F6" s="0" t="n">
        <f aca="false">E6*(1+F5/100)</f>
        <v>95265.7324992</v>
      </c>
      <c r="G6" s="0" t="n">
        <f aca="false">F6*(1+G5/100)</f>
        <v>97171.047149184</v>
      </c>
      <c r="H6" s="0" t="n">
        <f aca="false">G6*(1+H5/100)</f>
        <v>99114.4680921677</v>
      </c>
      <c r="I6" s="0" t="n">
        <f aca="false">H6*(1+I5/100)</f>
        <v>101096.757454011</v>
      </c>
      <c r="J6" s="0" t="n">
        <f aca="false">I6*(1+J5/100)</f>
        <v>103118.692603091</v>
      </c>
      <c r="K6" s="0" t="n">
        <f aca="false">J6*(1+K5/100)</f>
        <v>105181.066455153</v>
      </c>
      <c r="L6" s="0" t="n">
        <f aca="false">K6*(1+L5/100)</f>
        <v>107284.687784256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11.5</v>
      </c>
      <c r="D7" s="4" t="n">
        <f aca="false">Assumptions!D14</f>
        <v>10.5</v>
      </c>
      <c r="E7" s="4" t="n">
        <f aca="false">Assumptions!E14</f>
        <v>10</v>
      </c>
      <c r="F7" s="4" t="n">
        <f aca="false">Assumptions!F14</f>
        <v>10</v>
      </c>
      <c r="G7" s="4" t="n">
        <f aca="false">Assumptions!G14</f>
        <v>10</v>
      </c>
      <c r="H7" s="4" t="n">
        <f aca="false">Assumptions!H14</f>
        <v>10</v>
      </c>
      <c r="I7" s="4" t="n">
        <f aca="false">Assumptions!I14</f>
        <v>10</v>
      </c>
      <c r="J7" s="4" t="n">
        <f aca="false">Assumptions!J14</f>
        <v>10</v>
      </c>
      <c r="K7" s="4" t="n">
        <f aca="false">Assumptions!K14</f>
        <v>10</v>
      </c>
      <c r="L7" s="4" t="n">
        <f aca="false">Assumptions!L14</f>
        <v>10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10530.14152</v>
      </c>
      <c r="D8" s="0" t="n">
        <f aca="false">D6*D7/100</f>
        <v>9614.47704</v>
      </c>
      <c r="E8" s="0" t="n">
        <f aca="false">E6*E7/100</f>
        <v>9339.777696</v>
      </c>
      <c r="F8" s="0" t="n">
        <f aca="false">F6*F7/100</f>
        <v>9526.57324992</v>
      </c>
      <c r="G8" s="0" t="n">
        <f aca="false">G6*G7/100</f>
        <v>9717.1047149184</v>
      </c>
      <c r="H8" s="0" t="n">
        <f aca="false">H6*H7/100</f>
        <v>9911.44680921677</v>
      </c>
      <c r="I8" s="0" t="n">
        <f aca="false">I6*I7/100</f>
        <v>10109.6757454011</v>
      </c>
      <c r="J8" s="0" t="n">
        <f aca="false">J6*J7/100</f>
        <v>10311.8692603091</v>
      </c>
      <c r="K8" s="0" t="n">
        <f aca="false">K6*K7/100</f>
        <v>10518.1066455153</v>
      </c>
      <c r="L8" s="0" t="n">
        <f aca="false">L6*L7/100</f>
        <v>10728.4687784256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0.03</v>
      </c>
      <c r="D9" s="4" t="n">
        <f aca="false">Assumptions!D15</f>
        <v>0.03</v>
      </c>
      <c r="E9" s="4" t="n">
        <f aca="false">Assumptions!E15</f>
        <v>0.03</v>
      </c>
      <c r="F9" s="4" t="n">
        <f aca="false">Assumptions!F15</f>
        <v>0.03</v>
      </c>
      <c r="G9" s="4" t="n">
        <f aca="false">Assumptions!G15</f>
        <v>0.03</v>
      </c>
      <c r="H9" s="4" t="n">
        <f aca="false">Assumptions!H15</f>
        <v>0.03</v>
      </c>
      <c r="I9" s="4" t="n">
        <f aca="false">Assumptions!I15</f>
        <v>0.03</v>
      </c>
      <c r="J9" s="4" t="n">
        <f aca="false">Assumptions!J15</f>
        <v>0.03</v>
      </c>
      <c r="K9" s="4" t="n">
        <f aca="false">Assumptions!K15</f>
        <v>0.03</v>
      </c>
      <c r="L9" s="4" t="n">
        <f aca="false">Assumptions!L15</f>
        <v>0.03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-27.4699344</v>
      </c>
      <c r="D10" s="0" t="n">
        <f aca="false">-D6*D9/100</f>
        <v>-27.4699344</v>
      </c>
      <c r="E10" s="0" t="n">
        <f aca="false">-E6*E9/100</f>
        <v>-28.019333088</v>
      </c>
      <c r="F10" s="0" t="n">
        <f aca="false">-F6*F9/100</f>
        <v>-28.57971974976</v>
      </c>
      <c r="G10" s="0" t="n">
        <f aca="false">-G6*G9/100</f>
        <v>-29.1513141447552</v>
      </c>
      <c r="H10" s="0" t="n">
        <f aca="false">-H6*H9/100</f>
        <v>-29.7343404276503</v>
      </c>
      <c r="I10" s="0" t="n">
        <f aca="false">-I6*I9/100</f>
        <v>-30.3290272362033</v>
      </c>
      <c r="J10" s="0" t="n">
        <f aca="false">-J6*J9/100</f>
        <v>-30.9356077809274</v>
      </c>
      <c r="K10" s="0" t="n">
        <f aca="false">-K6*K9/100</f>
        <v>-31.5543199365459</v>
      </c>
      <c r="L10" s="0" t="n">
        <f aca="false">-L6*L9/100</f>
        <v>-32.1854063352768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9660.260264</v>
      </c>
      <c r="D11" s="0" t="n">
        <f aca="false">D8+D10+D24</f>
        <v>8744.595784</v>
      </c>
      <c r="E11" s="0" t="n">
        <f aca="false">E8+E10+E24</f>
        <v>8452.49881488</v>
      </c>
      <c r="F11" s="0" t="n">
        <f aca="false">F8+F10+F24</f>
        <v>8621.5487911776</v>
      </c>
      <c r="G11" s="0" t="n">
        <f aca="false">G8+G10+G24</f>
        <v>8793.97976700115</v>
      </c>
      <c r="H11" s="0" t="n">
        <f aca="false">H8+H10+H24</f>
        <v>8969.85936234117</v>
      </c>
      <c r="I11" s="0" t="n">
        <f aca="false">I8+I10+I24</f>
        <v>9149.256549588</v>
      </c>
      <c r="J11" s="0" t="n">
        <f aca="false">J8+J10+J24</f>
        <v>9332.24168057976</v>
      </c>
      <c r="K11" s="0" t="n">
        <f aca="false">K8+K10+K24</f>
        <v>9518.88651419135</v>
      </c>
      <c r="L11" s="0" t="n">
        <f aca="false">L8+L10+L24</f>
        <v>9709.26424447518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-915.66448</v>
      </c>
      <c r="D12" s="4" t="n">
        <f aca="false">-D6*Assumptions!D17/100</f>
        <v>-915.66448</v>
      </c>
      <c r="E12" s="4" t="n">
        <f aca="false">-E6*Assumptions!E17/100</f>
        <v>-933.9777696</v>
      </c>
      <c r="F12" s="4" t="n">
        <f aca="false">-F6*Assumptions!F17/100</f>
        <v>-952.657324992</v>
      </c>
      <c r="G12" s="4" t="n">
        <f aca="false">-G6*Assumptions!G17/100</f>
        <v>-971.71047149184</v>
      </c>
      <c r="H12" s="4" t="n">
        <f aca="false">-H6*Assumptions!H17/100</f>
        <v>-991.144680921677</v>
      </c>
      <c r="I12" s="4" t="n">
        <f aca="false">-I6*Assumptions!I17/100</f>
        <v>-1010.96757454011</v>
      </c>
      <c r="J12" s="4" t="n">
        <f aca="false">-J6*Assumptions!J17/100</f>
        <v>-1031.18692603091</v>
      </c>
      <c r="K12" s="4" t="n">
        <f aca="false">-K6*Assumptions!K17/100</f>
        <v>-1051.81066455153</v>
      </c>
      <c r="L12" s="4" t="n">
        <f aca="false">-L6*Assumptions!L17/100</f>
        <v>-1072.84687784256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8744.595784</v>
      </c>
      <c r="D13" s="0" t="n">
        <f aca="false">D11+D12</f>
        <v>7828.931304</v>
      </c>
      <c r="E13" s="0" t="n">
        <f aca="false">E11+E12</f>
        <v>7518.52104528</v>
      </c>
      <c r="F13" s="0" t="n">
        <f aca="false">F11+F12</f>
        <v>7668.8914661856</v>
      </c>
      <c r="G13" s="0" t="n">
        <f aca="false">G11+G12</f>
        <v>7822.26929550931</v>
      </c>
      <c r="H13" s="0" t="n">
        <f aca="false">H11+H12</f>
        <v>7978.7146814195</v>
      </c>
      <c r="I13" s="0" t="n">
        <f aca="false">I11+I12</f>
        <v>8138.28897504789</v>
      </c>
      <c r="J13" s="0" t="n">
        <f aca="false">J11+J12</f>
        <v>8301.05475454885</v>
      </c>
      <c r="K13" s="0" t="n">
        <f aca="false">K11+K12</f>
        <v>8467.07584963982</v>
      </c>
      <c r="L13" s="0" t="n">
        <f aca="false">L11+L12</f>
        <v>8636.41736663262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24</v>
      </c>
      <c r="D14" s="4" t="n">
        <f aca="false">Assumptions!D19</f>
        <v>24</v>
      </c>
      <c r="E14" s="4" t="n">
        <f aca="false">Assumptions!E19</f>
        <v>24</v>
      </c>
      <c r="F14" s="4" t="n">
        <f aca="false">Assumptions!F19</f>
        <v>24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6645.89279584</v>
      </c>
      <c r="D15" s="0" t="n">
        <f aca="false">D13-MAX(0,D13)*D14/100</f>
        <v>5949.98779104</v>
      </c>
      <c r="E15" s="0" t="n">
        <f aca="false">E13-MAX(0,E13)*E14/100</f>
        <v>5714.0759944128</v>
      </c>
      <c r="F15" s="0" t="n">
        <f aca="false">F13-MAX(0,F13)*F14/100</f>
        <v>5828.35751430106</v>
      </c>
      <c r="G15" s="0" t="n">
        <f aca="false">G13-MAX(0,G13)*G14/100</f>
        <v>5944.92466458708</v>
      </c>
      <c r="H15" s="0" t="n">
        <f aca="false">H13-MAX(0,H13)*H14/100</f>
        <v>6063.82315787882</v>
      </c>
      <c r="I15" s="0" t="n">
        <f aca="false">I13-MAX(0,I13)*I14/100</f>
        <v>6185.09962103639</v>
      </c>
      <c r="J15" s="0" t="n">
        <f aca="false">J13-MAX(0,J13)*J14/100</f>
        <v>6308.80161345712</v>
      </c>
      <c r="K15" s="0" t="n">
        <f aca="false">K13-MAX(0,K13)*K14/100</f>
        <v>6434.97764572626</v>
      </c>
      <c r="L15" s="0" t="n">
        <f aca="false">L13-MAX(0,L13)*L14/100</f>
        <v>6563.67719864079</v>
      </c>
    </row>
    <row r="16" customFormat="false" ht="15" hidden="false" customHeight="false" outlineLevel="0" collapsed="false">
      <c r="A16" s="0" t="s">
        <v>117</v>
      </c>
      <c r="C16" s="0" t="n">
        <f aca="false">-C12</f>
        <v>915.66448</v>
      </c>
      <c r="D16" s="0" t="n">
        <f aca="false">-D12</f>
        <v>915.66448</v>
      </c>
      <c r="E16" s="0" t="n">
        <f aca="false">-E12</f>
        <v>933.9777696</v>
      </c>
      <c r="F16" s="0" t="n">
        <f aca="false">-F12</f>
        <v>952.657324992</v>
      </c>
      <c r="G16" s="0" t="n">
        <f aca="false">-G12</f>
        <v>971.71047149184</v>
      </c>
      <c r="H16" s="0" t="n">
        <f aca="false">-H12</f>
        <v>991.144680921677</v>
      </c>
      <c r="I16" s="0" t="n">
        <f aca="false">-I12</f>
        <v>1010.96757454011</v>
      </c>
      <c r="J16" s="0" t="n">
        <f aca="false">-J12</f>
        <v>1031.18692603091</v>
      </c>
      <c r="K16" s="0" t="n">
        <f aca="false">-K12</f>
        <v>1051.81066455153</v>
      </c>
      <c r="L16" s="0" t="n">
        <f aca="false">-L12</f>
        <v>1072.84687784256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-915.66448</v>
      </c>
      <c r="D17" s="4" t="n">
        <f aca="false">-D6*Assumptions!D18/100</f>
        <v>-915.66448</v>
      </c>
      <c r="E17" s="4" t="n">
        <f aca="false">-E6*Assumptions!E18/100</f>
        <v>-933.9777696</v>
      </c>
      <c r="F17" s="4" t="n">
        <f aca="false">-F6*Assumptions!F18/100</f>
        <v>-952.657324992</v>
      </c>
      <c r="G17" s="4" t="n">
        <f aca="false">-G6*Assumptions!G18/100</f>
        <v>-971.71047149184</v>
      </c>
      <c r="H17" s="4" t="n">
        <f aca="false">-H6*Assumptions!H18/100</f>
        <v>-991.144680921677</v>
      </c>
      <c r="I17" s="4" t="n">
        <f aca="false">-I6*Assumptions!I18/100</f>
        <v>-1010.96757454011</v>
      </c>
      <c r="J17" s="4" t="n">
        <f aca="false">-J6*Assumptions!J18/100</f>
        <v>-1031.18692603091</v>
      </c>
      <c r="K17" s="4" t="n">
        <f aca="false">-K6*Assumptions!K18/100</f>
        <v>-1051.81066455153</v>
      </c>
      <c r="L17" s="4" t="n">
        <f aca="false">-L6*Assumptions!L18/100</f>
        <v>-1072.84687784256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707.988000000001</v>
      </c>
      <c r="D18" s="4" t="n">
        <f aca="false">(D6-C6)*Assumptions!$B$23/100</f>
        <v>-0</v>
      </c>
      <c r="E18" s="4" t="n">
        <f aca="false">(E6-D6)*Assumptions!$B$23/100</f>
        <v>-457.83224</v>
      </c>
      <c r="F18" s="4" t="n">
        <f aca="false">(F6-E6)*Assumptions!$B$23/100</f>
        <v>-466.988884800001</v>
      </c>
      <c r="G18" s="4" t="n">
        <f aca="false">(G6-F6)*Assumptions!$B$23/100</f>
        <v>-476.328662496002</v>
      </c>
      <c r="H18" s="4" t="n">
        <f aca="false">(H6-G6)*Assumptions!$B$23/100</f>
        <v>-485.855235745919</v>
      </c>
      <c r="I18" s="4" t="n">
        <f aca="false">(I6-H6)*Assumptions!$B$23/100</f>
        <v>-495.57234046084</v>
      </c>
      <c r="J18" s="4" t="n">
        <f aca="false">(J6-I6)*Assumptions!$B$23/100</f>
        <v>-505.483787270056</v>
      </c>
      <c r="K18" s="4" t="n">
        <f aca="false">(K6-J6)*Assumptions!$B$23/100</f>
        <v>-515.593463015455</v>
      </c>
      <c r="L18" s="4" t="n">
        <f aca="false">(L6-K6)*Assumptions!$B$23/100</f>
        <v>-525.905332275765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7353.88079584</v>
      </c>
      <c r="D19" s="0" t="n">
        <f aca="false">D15+D16+D17+D18</f>
        <v>5949.98779104</v>
      </c>
      <c r="E19" s="0" t="n">
        <f aca="false">E15+E16+E17+E18</f>
        <v>5256.2437544128</v>
      </c>
      <c r="F19" s="0" t="n">
        <f aca="false">F15+F16+F17+F18</f>
        <v>5361.36862950106</v>
      </c>
      <c r="G19" s="0" t="n">
        <f aca="false">G15+G16+G17+G18</f>
        <v>5468.59600209107</v>
      </c>
      <c r="H19" s="0" t="n">
        <f aca="false">H15+H16+H17+H18</f>
        <v>5577.9679221329</v>
      </c>
      <c r="I19" s="0" t="n">
        <f aca="false">I15+I16+I17+I18</f>
        <v>5689.52728057555</v>
      </c>
      <c r="J19" s="0" t="n">
        <f aca="false">J15+J16+J17+J18</f>
        <v>5803.31782618707</v>
      </c>
      <c r="K19" s="0" t="n">
        <f aca="false">K15+K16+K17+K18</f>
        <v>5919.38418271081</v>
      </c>
      <c r="L19" s="0" t="n">
        <f aca="false">L15+L16+L17+L18</f>
        <v>6037.77186636503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6746.67962921101</v>
      </c>
      <c r="D21" s="0" t="n">
        <f aca="false">D19*D20</f>
        <v>5007.98568389866</v>
      </c>
      <c r="E21" s="0" t="n">
        <f aca="false">E19*E20</f>
        <v>4058.78459433171</v>
      </c>
      <c r="F21" s="0" t="n">
        <f aca="false">F19*F20</f>
        <v>3798.12870295261</v>
      </c>
      <c r="G21" s="0" t="n">
        <f aca="false">G19*G20</f>
        <v>3554.21218074464</v>
      </c>
      <c r="H21" s="0" t="n">
        <f aca="false">H19*H20</f>
        <v>3325.9600223482</v>
      </c>
      <c r="I21" s="0" t="n">
        <f aca="false">I19*I20</f>
        <v>3112.3662594451</v>
      </c>
      <c r="J21" s="0" t="n">
        <f aca="false">J19*J20</f>
        <v>2912.48952718716</v>
      </c>
      <c r="K21" s="0" t="n">
        <f aca="false">K19*K20</f>
        <v>2725.44891534945</v>
      </c>
      <c r="L21" s="0" t="n">
        <f aca="false">L19*L20</f>
        <v>2550.42008592334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0.92</v>
      </c>
      <c r="D23" s="4" t="n">
        <f aca="false">Assumptions!D16</f>
        <v>0.92</v>
      </c>
      <c r="E23" s="4" t="n">
        <f aca="false">Assumptions!E16</f>
        <v>0.92</v>
      </c>
      <c r="F23" s="4" t="n">
        <f aca="false">Assumptions!F16</f>
        <v>0.92</v>
      </c>
      <c r="G23" s="4" t="n">
        <f aca="false">Assumptions!G16</f>
        <v>0.92</v>
      </c>
      <c r="H23" s="4" t="n">
        <f aca="false">Assumptions!H16</f>
        <v>0.92</v>
      </c>
      <c r="I23" s="4" t="n">
        <f aca="false">Assumptions!I16</f>
        <v>0.92</v>
      </c>
      <c r="J23" s="4" t="n">
        <f aca="false">Assumptions!J16</f>
        <v>0.92</v>
      </c>
      <c r="K23" s="4" t="n">
        <f aca="false">Assumptions!K16</f>
        <v>0.92</v>
      </c>
      <c r="L23" s="4" t="n">
        <f aca="false">Assumptions!L16</f>
        <v>0.92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-842.4113216</v>
      </c>
      <c r="D24" s="0" t="n">
        <f aca="false">-D6*D23/100</f>
        <v>-842.4113216</v>
      </c>
      <c r="E24" s="0" t="n">
        <f aca="false">-E6*E23/100</f>
        <v>-859.259548032</v>
      </c>
      <c r="F24" s="0" t="n">
        <f aca="false">-F6*F23/100</f>
        <v>-876.44473899264</v>
      </c>
      <c r="G24" s="0" t="n">
        <f aca="false">-G6*G23/100</f>
        <v>-893.973633772493</v>
      </c>
      <c r="H24" s="0" t="n">
        <f aca="false">-H6*H23/100</f>
        <v>-911.853106447943</v>
      </c>
      <c r="I24" s="0" t="n">
        <f aca="false">-I6*I23/100</f>
        <v>-930.090168576902</v>
      </c>
      <c r="J24" s="0" t="n">
        <f aca="false">-J6*J23/100</f>
        <v>-948.69197194844</v>
      </c>
      <c r="K24" s="0" t="n">
        <f aca="false">-K6*K23/100</f>
        <v>-967.665811387408</v>
      </c>
      <c r="L24" s="0" t="n">
        <f aca="false">-L6*L23/100</f>
        <v>-987.019127615156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37792.4756013919</v>
      </c>
    </row>
    <row r="31" customFormat="false" ht="15" hidden="false" customHeight="false" outlineLevel="0" collapsed="false">
      <c r="A31" s="0" t="s">
        <v>126</v>
      </c>
      <c r="B31" s="0" t="n">
        <f aca="false">L19</f>
        <v>6037.77186636503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87978.9614813189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78491.0342627453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78491.0342627453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33155.4611170034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70947.9367183953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66246.5367183953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6.71340488441145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-0.399516557744951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187.121802526644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198.105324707956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6.75244369014673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47373.2869514794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3.72577600421771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6</v>
      </c>
      <c r="D5" s="4" t="n">
        <f aca="false">Assumptions!D27</f>
        <v>4.5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94398.4</v>
      </c>
      <c r="C6" s="0" t="n">
        <f aca="false">B6*(1+C5/100)</f>
        <v>100062.304</v>
      </c>
      <c r="D6" s="0" t="n">
        <f aca="false">C6*(1+D5/100)</f>
        <v>104565.10768</v>
      </c>
      <c r="E6" s="0" t="n">
        <f aca="false">D6*(1+E5/100)</f>
        <v>108747.7119872</v>
      </c>
      <c r="F6" s="0" t="n">
        <f aca="false">E6*(1+F5/100)</f>
        <v>113097.620466688</v>
      </c>
      <c r="G6" s="0" t="n">
        <f aca="false">F6*(1+G5/100)</f>
        <v>117056.037183022</v>
      </c>
      <c r="H6" s="0" t="n">
        <f aca="false">G6*(1+H5/100)</f>
        <v>121152.998484428</v>
      </c>
      <c r="I6" s="0" t="n">
        <f aca="false">H6*(1+I5/100)</f>
        <v>124787.588438961</v>
      </c>
      <c r="J6" s="0" t="n">
        <f aca="false">I6*(1+J5/100)</f>
        <v>128531.21609213</v>
      </c>
      <c r="K6" s="0" t="n">
        <f aca="false">J6*(1+K5/100)</f>
        <v>132387.152574893</v>
      </c>
      <c r="L6" s="0" t="n">
        <f aca="false">K6*(1+L5/100)</f>
        <v>136358.76715214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13.5</v>
      </c>
      <c r="D7" s="4" t="n">
        <f aca="false">Assumptions!D28</f>
        <v>12.5</v>
      </c>
      <c r="E7" s="4" t="n">
        <f aca="false">Assumptions!E28</f>
        <v>12</v>
      </c>
      <c r="F7" s="4" t="n">
        <f aca="false">Assumptions!F28</f>
        <v>12</v>
      </c>
      <c r="G7" s="4" t="n">
        <f aca="false">Assumptions!G28</f>
        <v>12</v>
      </c>
      <c r="H7" s="4" t="n">
        <f aca="false">Assumptions!H28</f>
        <v>12</v>
      </c>
      <c r="I7" s="4" t="n">
        <f aca="false">Assumptions!I28</f>
        <v>12</v>
      </c>
      <c r="J7" s="4" t="n">
        <f aca="false">Assumptions!J28</f>
        <v>12</v>
      </c>
      <c r="K7" s="4" t="n">
        <f aca="false">Assumptions!K28</f>
        <v>12</v>
      </c>
      <c r="L7" s="4" t="n">
        <f aca="false">Assumptions!L28</f>
        <v>12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13508.41104</v>
      </c>
      <c r="D8" s="0" t="n">
        <f aca="false">D6*D7/100</f>
        <v>13070.63846</v>
      </c>
      <c r="E8" s="0" t="n">
        <f aca="false">E6*E7/100</f>
        <v>13049.725438464</v>
      </c>
      <c r="F8" s="0" t="n">
        <f aca="false">F6*F7/100</f>
        <v>13571.7144560026</v>
      </c>
      <c r="G8" s="0" t="n">
        <f aca="false">G6*G7/100</f>
        <v>14046.7244619627</v>
      </c>
      <c r="H8" s="0" t="n">
        <f aca="false">H6*H7/100</f>
        <v>14538.3598181313</v>
      </c>
      <c r="I8" s="0" t="n">
        <f aca="false">I6*I7/100</f>
        <v>14974.5106126753</v>
      </c>
      <c r="J8" s="0" t="n">
        <f aca="false">J6*J7/100</f>
        <v>15423.7459310555</v>
      </c>
      <c r="K8" s="0" t="n">
        <f aca="false">K6*K7/100</f>
        <v>15886.4583089872</v>
      </c>
      <c r="L8" s="0" t="n">
        <f aca="false">L6*L7/100</f>
        <v>16363.0520582568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0.03</v>
      </c>
      <c r="D9" s="4" t="n">
        <f aca="false">Assumptions!D29</f>
        <v>0.03</v>
      </c>
      <c r="E9" s="4" t="n">
        <f aca="false">Assumptions!E29</f>
        <v>0.03</v>
      </c>
      <c r="F9" s="4" t="n">
        <f aca="false">Assumptions!F29</f>
        <v>0.03</v>
      </c>
      <c r="G9" s="4" t="n">
        <f aca="false">Assumptions!G29</f>
        <v>0.03</v>
      </c>
      <c r="H9" s="4" t="n">
        <f aca="false">Assumptions!H29</f>
        <v>0.03</v>
      </c>
      <c r="I9" s="4" t="n">
        <f aca="false">Assumptions!I29</f>
        <v>0.03</v>
      </c>
      <c r="J9" s="4" t="n">
        <f aca="false">Assumptions!J29</f>
        <v>0.03</v>
      </c>
      <c r="K9" s="4" t="n">
        <f aca="false">Assumptions!K29</f>
        <v>0.03</v>
      </c>
      <c r="L9" s="4" t="n">
        <f aca="false">Assumptions!L29</f>
        <v>0.03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-30.0186912</v>
      </c>
      <c r="D10" s="0" t="n">
        <f aca="false">-D6*D9/100</f>
        <v>-31.369532304</v>
      </c>
      <c r="E10" s="0" t="n">
        <f aca="false">-E6*E9/100</f>
        <v>-32.62431359616</v>
      </c>
      <c r="F10" s="0" t="n">
        <f aca="false">-F6*F9/100</f>
        <v>-33.9292861400064</v>
      </c>
      <c r="G10" s="0" t="n">
        <f aca="false">-G6*G9/100</f>
        <v>-35.1168111549066</v>
      </c>
      <c r="H10" s="0" t="n">
        <f aca="false">-H6*H9/100</f>
        <v>-36.3458995453284</v>
      </c>
      <c r="I10" s="0" t="n">
        <f aca="false">-I6*I9/100</f>
        <v>-37.4362765316882</v>
      </c>
      <c r="J10" s="0" t="n">
        <f aca="false">-J6*J9/100</f>
        <v>-38.5593648276389</v>
      </c>
      <c r="K10" s="0" t="n">
        <f aca="false">-K6*K9/100</f>
        <v>-39.716145772468</v>
      </c>
      <c r="L10" s="0" t="n">
        <f aca="false">-L6*L9/100</f>
        <v>-40.9076301456421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12557.819152</v>
      </c>
      <c r="D11" s="0" t="n">
        <f aca="false">D8+D10+D24</f>
        <v>12077.26993704</v>
      </c>
      <c r="E11" s="0" t="n">
        <f aca="false">E8+E10+E24</f>
        <v>12016.6221745856</v>
      </c>
      <c r="F11" s="0" t="n">
        <f aca="false">F8+F10+F24</f>
        <v>12497.287061569</v>
      </c>
      <c r="G11" s="0" t="n">
        <f aca="false">G8+G10+G24</f>
        <v>12934.6921087239</v>
      </c>
      <c r="H11" s="0" t="n">
        <f aca="false">H8+H10+H24</f>
        <v>13387.4063325293</v>
      </c>
      <c r="I11" s="0" t="n">
        <f aca="false">I8+I10+I24</f>
        <v>13789.0285225052</v>
      </c>
      <c r="J11" s="0" t="n">
        <f aca="false">J8+J10+J24</f>
        <v>14202.6993781803</v>
      </c>
      <c r="K11" s="0" t="n">
        <f aca="false">K8+K10+K24</f>
        <v>14628.7803595257</v>
      </c>
      <c r="L11" s="0" t="n">
        <f aca="false">L8+L10+L24</f>
        <v>15067.6437703115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-1000.62304</v>
      </c>
      <c r="D12" s="4" t="n">
        <f aca="false">-D6*Assumptions!D31/100</f>
        <v>-1045.6510768</v>
      </c>
      <c r="E12" s="4" t="n">
        <f aca="false">-E6*Assumptions!E31/100</f>
        <v>-1087.477119872</v>
      </c>
      <c r="F12" s="4" t="n">
        <f aca="false">-F6*Assumptions!F31/100</f>
        <v>-1130.97620466688</v>
      </c>
      <c r="G12" s="4" t="n">
        <f aca="false">-G6*Assumptions!G31/100</f>
        <v>-1170.56037183022</v>
      </c>
      <c r="H12" s="4" t="n">
        <f aca="false">-H6*Assumptions!H31/100</f>
        <v>-1211.52998484428</v>
      </c>
      <c r="I12" s="4" t="n">
        <f aca="false">-I6*Assumptions!I31/100</f>
        <v>-1247.87588438961</v>
      </c>
      <c r="J12" s="4" t="n">
        <f aca="false">-J6*Assumptions!J31/100</f>
        <v>-1285.3121609213</v>
      </c>
      <c r="K12" s="4" t="n">
        <f aca="false">-K6*Assumptions!K31/100</f>
        <v>-1323.87152574893</v>
      </c>
      <c r="L12" s="4" t="n">
        <f aca="false">-L6*Assumptions!L31/100</f>
        <v>-1363.5876715214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11557.196112</v>
      </c>
      <c r="D13" s="0" t="n">
        <f aca="false">D11+D12</f>
        <v>11031.61886024</v>
      </c>
      <c r="E13" s="0" t="n">
        <f aca="false">E11+E12</f>
        <v>10929.1450547136</v>
      </c>
      <c r="F13" s="0" t="n">
        <f aca="false">F11+F12</f>
        <v>11366.3108569021</v>
      </c>
      <c r="G13" s="0" t="n">
        <f aca="false">G11+G12</f>
        <v>11764.1317368937</v>
      </c>
      <c r="H13" s="0" t="n">
        <f aca="false">H11+H12</f>
        <v>12175.876347685</v>
      </c>
      <c r="I13" s="0" t="n">
        <f aca="false">I11+I12</f>
        <v>12541.1526381155</v>
      </c>
      <c r="J13" s="0" t="n">
        <f aca="false">J11+J12</f>
        <v>12917.387217259</v>
      </c>
      <c r="K13" s="0" t="n">
        <f aca="false">K11+K12</f>
        <v>13304.9088337768</v>
      </c>
      <c r="L13" s="0" t="n">
        <f aca="false">L11+L12</f>
        <v>13704.0560987901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24</v>
      </c>
      <c r="D14" s="4" t="n">
        <f aca="false">Assumptions!D33</f>
        <v>24</v>
      </c>
      <c r="E14" s="4" t="n">
        <f aca="false">Assumptions!E33</f>
        <v>24</v>
      </c>
      <c r="F14" s="4" t="n">
        <f aca="false">Assumptions!F33</f>
        <v>24</v>
      </c>
      <c r="G14" s="4" t="n">
        <f aca="false">Assumptions!G33</f>
        <v>24</v>
      </c>
      <c r="H14" s="4" t="n">
        <f aca="false">Assumptions!H33</f>
        <v>24</v>
      </c>
      <c r="I14" s="4" t="n">
        <f aca="false">Assumptions!I33</f>
        <v>24</v>
      </c>
      <c r="J14" s="4" t="n">
        <f aca="false">Assumptions!J33</f>
        <v>24</v>
      </c>
      <c r="K14" s="4" t="n">
        <f aca="false">Assumptions!K33</f>
        <v>24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8783.46904512</v>
      </c>
      <c r="D15" s="0" t="n">
        <f aca="false">D13-MAX(0,D13)*D14/100</f>
        <v>8384.0303337824</v>
      </c>
      <c r="E15" s="0" t="n">
        <f aca="false">E13-MAX(0,E13)*E14/100</f>
        <v>8306.15024158234</v>
      </c>
      <c r="F15" s="0" t="n">
        <f aca="false">F13-MAX(0,F13)*F14/100</f>
        <v>8638.39625124563</v>
      </c>
      <c r="G15" s="0" t="n">
        <f aca="false">G13-MAX(0,G13)*G14/100</f>
        <v>8940.74012003923</v>
      </c>
      <c r="H15" s="0" t="n">
        <f aca="false">H13-MAX(0,H13)*H14/100</f>
        <v>9253.6660242406</v>
      </c>
      <c r="I15" s="0" t="n">
        <f aca="false">I13-MAX(0,I13)*I14/100</f>
        <v>9531.27600496782</v>
      </c>
      <c r="J15" s="0" t="n">
        <f aca="false">J13-MAX(0,J13)*J14/100</f>
        <v>9817.21428511685</v>
      </c>
      <c r="K15" s="0" t="n">
        <f aca="false">K13-MAX(0,K13)*K14/100</f>
        <v>10111.7307136704</v>
      </c>
      <c r="L15" s="0" t="n">
        <f aca="false">L13-MAX(0,L13)*L14/100</f>
        <v>10415.0826350805</v>
      </c>
    </row>
    <row r="16" customFormat="false" ht="15" hidden="false" customHeight="false" outlineLevel="0" collapsed="false">
      <c r="A16" s="0" t="s">
        <v>117</v>
      </c>
      <c r="C16" s="0" t="n">
        <f aca="false">-C12</f>
        <v>1000.62304</v>
      </c>
      <c r="D16" s="0" t="n">
        <f aca="false">-D12</f>
        <v>1045.6510768</v>
      </c>
      <c r="E16" s="0" t="n">
        <f aca="false">-E12</f>
        <v>1087.477119872</v>
      </c>
      <c r="F16" s="0" t="n">
        <f aca="false">-F12</f>
        <v>1130.97620466688</v>
      </c>
      <c r="G16" s="0" t="n">
        <f aca="false">-G12</f>
        <v>1170.56037183022</v>
      </c>
      <c r="H16" s="0" t="n">
        <f aca="false">-H12</f>
        <v>1211.52998484428</v>
      </c>
      <c r="I16" s="0" t="n">
        <f aca="false">-I12</f>
        <v>1247.87588438961</v>
      </c>
      <c r="J16" s="0" t="n">
        <f aca="false">-J12</f>
        <v>1285.3121609213</v>
      </c>
      <c r="K16" s="0" t="n">
        <f aca="false">-K12</f>
        <v>1323.87152574893</v>
      </c>
      <c r="L16" s="0" t="n">
        <f aca="false">-L12</f>
        <v>1363.5876715214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-1100.685344</v>
      </c>
      <c r="D17" s="4" t="n">
        <f aca="false">-D6*Assumptions!D32/100</f>
        <v>-1150.21618448</v>
      </c>
      <c r="E17" s="4" t="n">
        <f aca="false">-E6*Assumptions!E32/100</f>
        <v>-1196.2248318592</v>
      </c>
      <c r="F17" s="4" t="n">
        <f aca="false">-F6*Assumptions!F32/100</f>
        <v>-1130.97620466688</v>
      </c>
      <c r="G17" s="4" t="n">
        <f aca="false">-G6*Assumptions!G32/100</f>
        <v>-1170.56037183022</v>
      </c>
      <c r="H17" s="4" t="n">
        <f aca="false">-H6*Assumptions!H32/100</f>
        <v>-1211.52998484428</v>
      </c>
      <c r="I17" s="4" t="n">
        <f aca="false">-I6*Assumptions!I32/100</f>
        <v>-1247.87588438961</v>
      </c>
      <c r="J17" s="4" t="n">
        <f aca="false">-J6*Assumptions!J32/100</f>
        <v>-1285.3121609213</v>
      </c>
      <c r="K17" s="4" t="n">
        <f aca="false">-K6*Assumptions!K32/100</f>
        <v>-1323.87152574893</v>
      </c>
      <c r="L17" s="4" t="n">
        <f aca="false">-L6*Assumptions!L32/100</f>
        <v>-1363.5876715214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-1415.976</v>
      </c>
      <c r="D18" s="4" t="n">
        <f aca="false">(D6-C6)*Assumptions!$B$37/100</f>
        <v>-1125.70092</v>
      </c>
      <c r="E18" s="4" t="n">
        <f aca="false">(E6-D6)*Assumptions!$B$37/100</f>
        <v>-1045.6510768</v>
      </c>
      <c r="F18" s="4" t="n">
        <f aca="false">(F6-E6)*Assumptions!$B$37/100</f>
        <v>-1087.477119872</v>
      </c>
      <c r="G18" s="4" t="n">
        <f aca="false">(G6-F6)*Assumptions!$B$37/100</f>
        <v>-989.604179083519</v>
      </c>
      <c r="H18" s="4" t="n">
        <f aca="false">(H6-G6)*Assumptions!$B$37/100</f>
        <v>-1024.24032535144</v>
      </c>
      <c r="I18" s="4" t="n">
        <f aca="false">(I6-H6)*Assumptions!$B$37/100</f>
        <v>-908.647488633211</v>
      </c>
      <c r="J18" s="4" t="n">
        <f aca="false">(J6-I6)*Assumptions!$B$37/100</f>
        <v>-935.906913292205</v>
      </c>
      <c r="K18" s="4" t="n">
        <f aca="false">(K6-J6)*Assumptions!$B$37/100</f>
        <v>-963.984120690973</v>
      </c>
      <c r="L18" s="4" t="n">
        <f aca="false">(L6-K6)*Assumptions!$B$37/100</f>
        <v>-992.9036443117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7267.43074112</v>
      </c>
      <c r="D19" s="0" t="n">
        <f aca="false">D15+D16+D17+D18</f>
        <v>7153.7643061024</v>
      </c>
      <c r="E19" s="0" t="n">
        <f aca="false">E15+E16+E17+E18</f>
        <v>7151.75145279514</v>
      </c>
      <c r="F19" s="0" t="n">
        <f aca="false">F15+F16+F17+F18</f>
        <v>7550.91913137363</v>
      </c>
      <c r="G19" s="0" t="n">
        <f aca="false">G15+G16+G17+G18</f>
        <v>7951.13594095571</v>
      </c>
      <c r="H19" s="0" t="n">
        <f aca="false">H15+H16+H17+H18</f>
        <v>8229.42569888916</v>
      </c>
      <c r="I19" s="0" t="n">
        <f aca="false">I15+I16+I17+I18</f>
        <v>8622.62851633461</v>
      </c>
      <c r="J19" s="0" t="n">
        <f aca="false">J15+J16+J17+J18</f>
        <v>8881.30737182465</v>
      </c>
      <c r="K19" s="0" t="n">
        <f aca="false">K15+K16+K17+K18</f>
        <v>9147.74659297939</v>
      </c>
      <c r="L19" s="0" t="n">
        <f aca="false">L15+L16+L17+L18</f>
        <v>9422.17899076877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6667.36765240367</v>
      </c>
      <c r="D21" s="0" t="n">
        <f aca="false">D19*D20</f>
        <v>6021.18029299083</v>
      </c>
      <c r="E21" s="0" t="n">
        <f aca="false">E19*E20</f>
        <v>5522.46432535112</v>
      </c>
      <c r="F21" s="0" t="n">
        <f aca="false">F19*F20</f>
        <v>5349.26147937959</v>
      </c>
      <c r="G21" s="0" t="n">
        <f aca="false">G19*G20</f>
        <v>5167.69280475194</v>
      </c>
      <c r="H21" s="0" t="n">
        <f aca="false">H19*H20</f>
        <v>4906.93766322776</v>
      </c>
      <c r="I21" s="0" t="n">
        <f aca="false">I19*I20</f>
        <v>4716.87307899755</v>
      </c>
      <c r="J21" s="0" t="n">
        <f aca="false">J19*J20</f>
        <v>4457.22868932796</v>
      </c>
      <c r="K21" s="0" t="n">
        <f aca="false">K19*K20</f>
        <v>4211.87665138331</v>
      </c>
      <c r="L21" s="0" t="n">
        <f aca="false">L19*L20</f>
        <v>3980.03023020624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0.92</v>
      </c>
      <c r="D23" s="4" t="n">
        <f aca="false">Assumptions!D30</f>
        <v>0.92</v>
      </c>
      <c r="E23" s="4" t="n">
        <f aca="false">Assumptions!E30</f>
        <v>0.92</v>
      </c>
      <c r="F23" s="4" t="n">
        <f aca="false">Assumptions!F30</f>
        <v>0.92</v>
      </c>
      <c r="G23" s="4" t="n">
        <f aca="false">Assumptions!G30</f>
        <v>0.92</v>
      </c>
      <c r="H23" s="4" t="n">
        <f aca="false">Assumptions!H30</f>
        <v>0.92</v>
      </c>
      <c r="I23" s="4" t="n">
        <f aca="false">Assumptions!I30</f>
        <v>0.92</v>
      </c>
      <c r="J23" s="4" t="n">
        <f aca="false">Assumptions!J30</f>
        <v>0.92</v>
      </c>
      <c r="K23" s="4" t="n">
        <f aca="false">Assumptions!K30</f>
        <v>0.92</v>
      </c>
      <c r="L23" s="4" t="n">
        <f aca="false">Assumptions!L30</f>
        <v>0.92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-920.5731968</v>
      </c>
      <c r="D24" s="0" t="n">
        <f aca="false">-D6*D23/100</f>
        <v>-961.998990656</v>
      </c>
      <c r="E24" s="0" t="n">
        <f aca="false">-E6*E23/100</f>
        <v>-1000.47895028224</v>
      </c>
      <c r="F24" s="0" t="n">
        <f aca="false">-F6*F23/100</f>
        <v>-1040.49810829353</v>
      </c>
      <c r="G24" s="0" t="n">
        <f aca="false">-G6*G23/100</f>
        <v>-1076.9155420838</v>
      </c>
      <c r="H24" s="0" t="n">
        <f aca="false">-H6*H23/100</f>
        <v>-1114.60758605674</v>
      </c>
      <c r="I24" s="0" t="n">
        <f aca="false">-I6*I23/100</f>
        <v>-1148.04581363844</v>
      </c>
      <c r="J24" s="0" t="n">
        <f aca="false">-J6*J23/100</f>
        <v>-1182.48718804759</v>
      </c>
      <c r="K24" s="0" t="n">
        <f aca="false">-K6*K23/100</f>
        <v>-1217.96180368902</v>
      </c>
      <c r="L24" s="0" t="n">
        <f aca="false">-L6*L23/100</f>
        <v>-1254.50065779969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51000.91286802</v>
      </c>
    </row>
    <row r="31" customFormat="false" ht="15" hidden="false" customHeight="false" outlineLevel="0" collapsed="false">
      <c r="A31" s="0" t="s">
        <v>126</v>
      </c>
      <c r="B31" s="0" t="n">
        <f aca="false">L19</f>
        <v>9422.17899076877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148580.514854431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122488.326879994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122488.326879994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51740.3929926812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102741.305860701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98039.9058607011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9.93533572434597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-0.111329541650629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223.063711333466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272.489548991713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9.98555494852209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77261.8677243039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5.44500021247177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9</v>
      </c>
      <c r="D5" s="4" t="n">
        <f aca="false">Assumptions!D41</f>
        <v>7</v>
      </c>
      <c r="E5" s="4" t="n">
        <f aca="false">Assumptions!E41</f>
        <v>6</v>
      </c>
      <c r="F5" s="4" t="n">
        <f aca="false">Assumptions!F41</f>
        <v>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94398.4</v>
      </c>
      <c r="C6" s="0" t="n">
        <f aca="false">B6*(1+C5/100)</f>
        <v>102894.256</v>
      </c>
      <c r="D6" s="0" t="n">
        <f aca="false">C6*(1+D5/100)</f>
        <v>110096.85392</v>
      </c>
      <c r="E6" s="0" t="n">
        <f aca="false">D6*(1+E5/100)</f>
        <v>116702.6651552</v>
      </c>
      <c r="F6" s="0" t="n">
        <f aca="false">E6*(1+F5/100)</f>
        <v>122537.79841296</v>
      </c>
      <c r="G6" s="0" t="n">
        <f aca="false">F6*(1+G5/100)</f>
        <v>128664.688333608</v>
      </c>
      <c r="H6" s="0" t="n">
        <f aca="false">G6*(1+H5/100)</f>
        <v>134454.59930862</v>
      </c>
      <c r="I6" s="0" t="n">
        <f aca="false">H6*(1+I5/100)</f>
        <v>139832.783280965</v>
      </c>
      <c r="J6" s="0" t="n">
        <f aca="false">I6*(1+J5/100)</f>
        <v>144726.930695799</v>
      </c>
      <c r="K6" s="0" t="n">
        <f aca="false">J6*(1+K5/100)</f>
        <v>149068.738616673</v>
      </c>
      <c r="L6" s="0" t="n">
        <f aca="false">K6*(1+L5/100)</f>
        <v>153540.800775173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14.5</v>
      </c>
      <c r="D7" s="4" t="n">
        <f aca="false">Assumptions!D42</f>
        <v>14</v>
      </c>
      <c r="E7" s="4" t="n">
        <f aca="false">Assumptions!E42</f>
        <v>13.5</v>
      </c>
      <c r="F7" s="4" t="n">
        <f aca="false">Assumptions!F42</f>
        <v>13.5</v>
      </c>
      <c r="G7" s="4" t="n">
        <f aca="false">Assumptions!G42</f>
        <v>13.5</v>
      </c>
      <c r="H7" s="4" t="n">
        <f aca="false">Assumptions!H42</f>
        <v>13.5</v>
      </c>
      <c r="I7" s="4" t="n">
        <f aca="false">Assumptions!I42</f>
        <v>13.5</v>
      </c>
      <c r="J7" s="4" t="n">
        <f aca="false">Assumptions!J42</f>
        <v>13.5</v>
      </c>
      <c r="K7" s="4" t="n">
        <f aca="false">Assumptions!K42</f>
        <v>13.5</v>
      </c>
      <c r="L7" s="4" t="n">
        <f aca="false">Assumptions!L42</f>
        <v>13.5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14919.66712</v>
      </c>
      <c r="D8" s="0" t="n">
        <f aca="false">D6*D7/100</f>
        <v>15413.5595488</v>
      </c>
      <c r="E8" s="0" t="n">
        <f aca="false">E6*E7/100</f>
        <v>15754.859795952</v>
      </c>
      <c r="F8" s="0" t="n">
        <f aca="false">F6*F7/100</f>
        <v>16542.6027857496</v>
      </c>
      <c r="G8" s="0" t="n">
        <f aca="false">G6*G7/100</f>
        <v>17369.7329250371</v>
      </c>
      <c r="H8" s="0" t="n">
        <f aca="false">H6*H7/100</f>
        <v>18151.3709066638</v>
      </c>
      <c r="I8" s="0" t="n">
        <f aca="false">I6*I7/100</f>
        <v>18877.4257429303</v>
      </c>
      <c r="J8" s="0" t="n">
        <f aca="false">J6*J7/100</f>
        <v>19538.1356439329</v>
      </c>
      <c r="K8" s="0" t="n">
        <f aca="false">K6*K7/100</f>
        <v>20124.2797132509</v>
      </c>
      <c r="L8" s="0" t="n">
        <f aca="false">L6*L7/100</f>
        <v>20728.0081046484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0.03</v>
      </c>
      <c r="D9" s="4" t="n">
        <f aca="false">Assumptions!D43</f>
        <v>0.03</v>
      </c>
      <c r="E9" s="4" t="n">
        <f aca="false">Assumptions!E43</f>
        <v>0.03</v>
      </c>
      <c r="F9" s="4" t="n">
        <f aca="false">Assumptions!F43</f>
        <v>0.03</v>
      </c>
      <c r="G9" s="4" t="n">
        <f aca="false">Assumptions!G43</f>
        <v>0.03</v>
      </c>
      <c r="H9" s="4" t="n">
        <f aca="false">Assumptions!H43</f>
        <v>0.03</v>
      </c>
      <c r="I9" s="4" t="n">
        <f aca="false">Assumptions!I43</f>
        <v>0.03</v>
      </c>
      <c r="J9" s="4" t="n">
        <f aca="false">Assumptions!J43</f>
        <v>0.03</v>
      </c>
      <c r="K9" s="4" t="n">
        <f aca="false">Assumptions!K43</f>
        <v>0.03</v>
      </c>
      <c r="L9" s="4" t="n">
        <f aca="false">Assumptions!L43</f>
        <v>0.03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-30.8682768</v>
      </c>
      <c r="D10" s="0" t="n">
        <f aca="false">-D6*D9/100</f>
        <v>-33.029056176</v>
      </c>
      <c r="E10" s="0" t="n">
        <f aca="false">-E6*E9/100</f>
        <v>-35.01079954656</v>
      </c>
      <c r="F10" s="0" t="n">
        <f aca="false">-F6*F9/100</f>
        <v>-36.761339523888</v>
      </c>
      <c r="G10" s="0" t="n">
        <f aca="false">-G6*G9/100</f>
        <v>-38.5994065000824</v>
      </c>
      <c r="H10" s="0" t="n">
        <f aca="false">-H6*H9/100</f>
        <v>-40.3363797925861</v>
      </c>
      <c r="I10" s="0" t="n">
        <f aca="false">-I6*I9/100</f>
        <v>-41.9498349842896</v>
      </c>
      <c r="J10" s="0" t="n">
        <f aca="false">-J6*J9/100</f>
        <v>-43.4180792087397</v>
      </c>
      <c r="K10" s="0" t="n">
        <f aca="false">-K6*K9/100</f>
        <v>-44.7206215850019</v>
      </c>
      <c r="L10" s="0" t="n">
        <f aca="false">-L6*L9/100</f>
        <v>-46.0622402325519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13942.171688</v>
      </c>
      <c r="D11" s="0" t="n">
        <f aca="false">D8+D10+D24</f>
        <v>14367.63943656</v>
      </c>
      <c r="E11" s="0" t="n">
        <f aca="false">E8+E10+E24</f>
        <v>14646.1844769776</v>
      </c>
      <c r="F11" s="0" t="n">
        <f aca="false">F8+F10+F24</f>
        <v>15378.4937008265</v>
      </c>
      <c r="G11" s="0" t="n">
        <f aca="false">G8+G10+G24</f>
        <v>16147.4183858678</v>
      </c>
      <c r="H11" s="0" t="n">
        <f aca="false">H8+H10+H24</f>
        <v>16874.0522132319</v>
      </c>
      <c r="I11" s="0" t="n">
        <f aca="false">I8+I10+I24</f>
        <v>17549.0143017611</v>
      </c>
      <c r="J11" s="0" t="n">
        <f aca="false">J8+J10+J24</f>
        <v>18163.2298023228</v>
      </c>
      <c r="K11" s="0" t="n">
        <f aca="false">K8+K10+K24</f>
        <v>18708.1266963925</v>
      </c>
      <c r="L11" s="0" t="n">
        <f aca="false">L8+L10+L24</f>
        <v>19269.3704972842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-1028.94256</v>
      </c>
      <c r="D12" s="4" t="n">
        <f aca="false">-D6*Assumptions!D45/100</f>
        <v>-1100.9685392</v>
      </c>
      <c r="E12" s="4" t="n">
        <f aca="false">-E6*Assumptions!E45/100</f>
        <v>-1167.026651552</v>
      </c>
      <c r="F12" s="4" t="n">
        <f aca="false">-F6*Assumptions!F45/100</f>
        <v>-1225.3779841296</v>
      </c>
      <c r="G12" s="4" t="n">
        <f aca="false">-G6*Assumptions!G45/100</f>
        <v>-1286.64688333608</v>
      </c>
      <c r="H12" s="4" t="n">
        <f aca="false">-H6*Assumptions!H45/100</f>
        <v>-1344.5459930862</v>
      </c>
      <c r="I12" s="4" t="n">
        <f aca="false">-I6*Assumptions!I45/100</f>
        <v>-1398.32783280965</v>
      </c>
      <c r="J12" s="4" t="n">
        <f aca="false">-J6*Assumptions!J45/100</f>
        <v>-1447.26930695799</v>
      </c>
      <c r="K12" s="4" t="n">
        <f aca="false">-K6*Assumptions!K45/100</f>
        <v>-1490.68738616673</v>
      </c>
      <c r="L12" s="4" t="n">
        <f aca="false">-L6*Assumptions!L45/100</f>
        <v>-1535.40800775173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12913.229128</v>
      </c>
      <c r="D13" s="0" t="n">
        <f aca="false">D11+D12</f>
        <v>13266.67089736</v>
      </c>
      <c r="E13" s="0" t="n">
        <f aca="false">E11+E12</f>
        <v>13479.1578254256</v>
      </c>
      <c r="F13" s="0" t="n">
        <f aca="false">F11+F12</f>
        <v>14153.1157166969</v>
      </c>
      <c r="G13" s="0" t="n">
        <f aca="false">G11+G12</f>
        <v>14860.7715025317</v>
      </c>
      <c r="H13" s="0" t="n">
        <f aca="false">H11+H12</f>
        <v>15529.5062201457</v>
      </c>
      <c r="I13" s="0" t="n">
        <f aca="false">I11+I12</f>
        <v>16150.6864689515</v>
      </c>
      <c r="J13" s="0" t="n">
        <f aca="false">J11+J12</f>
        <v>16715.9604953648</v>
      </c>
      <c r="K13" s="0" t="n">
        <f aca="false">K11+K12</f>
        <v>17217.4393102257</v>
      </c>
      <c r="L13" s="0" t="n">
        <f aca="false">L11+L12</f>
        <v>17733.9624895325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24</v>
      </c>
      <c r="D14" s="4" t="n">
        <f aca="false">Assumptions!D47</f>
        <v>24</v>
      </c>
      <c r="E14" s="4" t="n">
        <f aca="false">Assumptions!E47</f>
        <v>24</v>
      </c>
      <c r="F14" s="4" t="n">
        <f aca="false">Assumptions!F47</f>
        <v>24</v>
      </c>
      <c r="G14" s="4" t="n">
        <f aca="false">Assumptions!G47</f>
        <v>24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9814.05413728</v>
      </c>
      <c r="D15" s="0" t="n">
        <f aca="false">D13-MAX(0,D13)*D14/100</f>
        <v>10082.6698819936</v>
      </c>
      <c r="E15" s="0" t="n">
        <f aca="false">E13-MAX(0,E13)*E14/100</f>
        <v>10244.1599473235</v>
      </c>
      <c r="F15" s="0" t="n">
        <f aca="false">F13-MAX(0,F13)*F14/100</f>
        <v>10756.3679446896</v>
      </c>
      <c r="G15" s="0" t="n">
        <f aca="false">G13-MAX(0,G13)*G14/100</f>
        <v>11294.1863419241</v>
      </c>
      <c r="H15" s="0" t="n">
        <f aca="false">H13-MAX(0,H13)*H14/100</f>
        <v>11802.4247273107</v>
      </c>
      <c r="I15" s="0" t="n">
        <f aca="false">I13-MAX(0,I13)*I14/100</f>
        <v>12274.5217164031</v>
      </c>
      <c r="J15" s="0" t="n">
        <f aca="false">J13-MAX(0,J13)*J14/100</f>
        <v>12704.1299764772</v>
      </c>
      <c r="K15" s="0" t="n">
        <f aca="false">K13-MAX(0,K13)*K14/100</f>
        <v>13085.2538757716</v>
      </c>
      <c r="L15" s="0" t="n">
        <f aca="false">L13-MAX(0,L13)*L14/100</f>
        <v>13477.8114920447</v>
      </c>
    </row>
    <row r="16" customFormat="false" ht="15" hidden="false" customHeight="false" outlineLevel="0" collapsed="false">
      <c r="A16" s="0" t="s">
        <v>117</v>
      </c>
      <c r="C16" s="0" t="n">
        <f aca="false">-C12</f>
        <v>1028.94256</v>
      </c>
      <c r="D16" s="0" t="n">
        <f aca="false">-D12</f>
        <v>1100.9685392</v>
      </c>
      <c r="E16" s="0" t="n">
        <f aca="false">-E12</f>
        <v>1167.026651552</v>
      </c>
      <c r="F16" s="0" t="n">
        <f aca="false">-F12</f>
        <v>1225.3779841296</v>
      </c>
      <c r="G16" s="0" t="n">
        <f aca="false">-G12</f>
        <v>1286.64688333608</v>
      </c>
      <c r="H16" s="0" t="n">
        <f aca="false">-H12</f>
        <v>1344.5459930862</v>
      </c>
      <c r="I16" s="0" t="n">
        <f aca="false">-I12</f>
        <v>1398.32783280965</v>
      </c>
      <c r="J16" s="0" t="n">
        <f aca="false">-J12</f>
        <v>1447.26930695799</v>
      </c>
      <c r="K16" s="0" t="n">
        <f aca="false">-K12</f>
        <v>1490.68738616673</v>
      </c>
      <c r="L16" s="0" t="n">
        <f aca="false">-L12</f>
        <v>1535.40800775173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-1234.731072</v>
      </c>
      <c r="D17" s="4" t="n">
        <f aca="false">-D6*Assumptions!D46/100</f>
        <v>-1321.16224704</v>
      </c>
      <c r="E17" s="4" t="n">
        <f aca="false">-E6*Assumptions!E46/100</f>
        <v>-1283.7293167072</v>
      </c>
      <c r="F17" s="4" t="n">
        <f aca="false">-F6*Assumptions!F46/100</f>
        <v>-1347.91578254256</v>
      </c>
      <c r="G17" s="4" t="n">
        <f aca="false">-G6*Assumptions!G46/100</f>
        <v>-1286.64688333608</v>
      </c>
      <c r="H17" s="4" t="n">
        <f aca="false">-H6*Assumptions!H46/100</f>
        <v>-1344.5459930862</v>
      </c>
      <c r="I17" s="4" t="n">
        <f aca="false">-I6*Assumptions!I46/100</f>
        <v>-1398.32783280965</v>
      </c>
      <c r="J17" s="4" t="n">
        <f aca="false">-J6*Assumptions!J46/100</f>
        <v>-1447.26930695799</v>
      </c>
      <c r="K17" s="4" t="n">
        <f aca="false">-K6*Assumptions!K46/100</f>
        <v>-1490.68738616673</v>
      </c>
      <c r="L17" s="4" t="n">
        <f aca="false">-L6*Assumptions!L46/100</f>
        <v>-1535.40800775173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-2123.964</v>
      </c>
      <c r="D18" s="4" t="n">
        <f aca="false">(D6-C6)*Assumptions!$B$51/100</f>
        <v>-1800.64948</v>
      </c>
      <c r="E18" s="4" t="n">
        <f aca="false">(E6-D6)*Assumptions!$B$51/100</f>
        <v>-1651.4528088</v>
      </c>
      <c r="F18" s="4" t="n">
        <f aca="false">(F6-E6)*Assumptions!$B$51/100</f>
        <v>-1458.78331444</v>
      </c>
      <c r="G18" s="4" t="n">
        <f aca="false">(G6-F6)*Assumptions!$B$51/100</f>
        <v>-1531.722480162</v>
      </c>
      <c r="H18" s="4" t="n">
        <f aca="false">(H6-G6)*Assumptions!$B$51/100</f>
        <v>-1447.47774375309</v>
      </c>
      <c r="I18" s="4" t="n">
        <f aca="false">(I6-H6)*Assumptions!$B$51/100</f>
        <v>-1344.54599308621</v>
      </c>
      <c r="J18" s="4" t="n">
        <f aca="false">(J6-I6)*Assumptions!$B$51/100</f>
        <v>-1223.53685370844</v>
      </c>
      <c r="K18" s="4" t="n">
        <f aca="false">(K6-J6)*Assumptions!$B$51/100</f>
        <v>-1085.4519802185</v>
      </c>
      <c r="L18" s="4" t="n">
        <f aca="false">(L6-K6)*Assumptions!$B$51/100</f>
        <v>-1118.01553962505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7484.30162528</v>
      </c>
      <c r="D19" s="0" t="n">
        <f aca="false">D15+D16+D17+D18</f>
        <v>8061.8266941536</v>
      </c>
      <c r="E19" s="0" t="n">
        <f aca="false">E15+E16+E17+E18</f>
        <v>8476.00447336826</v>
      </c>
      <c r="F19" s="0" t="n">
        <f aca="false">F15+F16+F17+F18</f>
        <v>9175.04683183667</v>
      </c>
      <c r="G19" s="0" t="n">
        <f aca="false">G15+G16+G17+G18</f>
        <v>9762.46386176211</v>
      </c>
      <c r="H19" s="0" t="n">
        <f aca="false">H15+H16+H17+H18</f>
        <v>10354.9469835576</v>
      </c>
      <c r="I19" s="0" t="n">
        <f aca="false">I15+I16+I17+I18</f>
        <v>10929.9757233169</v>
      </c>
      <c r="J19" s="0" t="n">
        <f aca="false">J15+J16+J17+J18</f>
        <v>11480.5931227688</v>
      </c>
      <c r="K19" s="0" t="n">
        <f aca="false">K15+K16+K17+K18</f>
        <v>11999.8018955531</v>
      </c>
      <c r="L19" s="0" t="n">
        <f aca="false">L15+L16+L17+L18</f>
        <v>12359.7959524196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6866.33176631193</v>
      </c>
      <c r="D21" s="0" t="n">
        <f aca="false">D19*D20</f>
        <v>6785.47823765137</v>
      </c>
      <c r="E21" s="0" t="n">
        <f aca="false">E19*E20</f>
        <v>6545.03063125865</v>
      </c>
      <c r="F21" s="0" t="n">
        <f aca="false">F19*F20</f>
        <v>6499.83448837695</v>
      </c>
      <c r="G21" s="0" t="n">
        <f aca="false">G19*G20</f>
        <v>6344.93167136255</v>
      </c>
      <c r="H21" s="0" t="n">
        <f aca="false">H19*H20</f>
        <v>6174.3165578619</v>
      </c>
      <c r="I21" s="0" t="n">
        <f aca="false">I19*I20</f>
        <v>5979.07101596046</v>
      </c>
      <c r="J21" s="0" t="n">
        <f aca="false">J19*J20</f>
        <v>5761.72255896074</v>
      </c>
      <c r="K21" s="0" t="n">
        <f aca="false">K19*K20</f>
        <v>5525.04214140499</v>
      </c>
      <c r="L21" s="0" t="n">
        <f aca="false">L19*L20</f>
        <v>5220.91138132765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0.92</v>
      </c>
      <c r="D23" s="4" t="n">
        <f aca="false">Assumptions!D44</f>
        <v>0.92</v>
      </c>
      <c r="E23" s="4" t="n">
        <f aca="false">Assumptions!E44</f>
        <v>0.92</v>
      </c>
      <c r="F23" s="4" t="n">
        <f aca="false">Assumptions!F44</f>
        <v>0.92</v>
      </c>
      <c r="G23" s="4" t="n">
        <f aca="false">Assumptions!G44</f>
        <v>0.92</v>
      </c>
      <c r="H23" s="4" t="n">
        <f aca="false">Assumptions!H44</f>
        <v>0.92</v>
      </c>
      <c r="I23" s="4" t="n">
        <f aca="false">Assumptions!I44</f>
        <v>0.92</v>
      </c>
      <c r="J23" s="4" t="n">
        <f aca="false">Assumptions!J44</f>
        <v>0.92</v>
      </c>
      <c r="K23" s="4" t="n">
        <f aca="false">Assumptions!K44</f>
        <v>0.92</v>
      </c>
      <c r="L23" s="4" t="n">
        <f aca="false">Assumptions!L44</f>
        <v>0.92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-946.6271552</v>
      </c>
      <c r="D24" s="0" t="n">
        <f aca="false">-D6*D23/100</f>
        <v>-1012.891056064</v>
      </c>
      <c r="E24" s="0" t="n">
        <f aca="false">-E6*E23/100</f>
        <v>-1073.66451942784</v>
      </c>
      <c r="F24" s="0" t="n">
        <f aca="false">-F6*F23/100</f>
        <v>-1127.34774539923</v>
      </c>
      <c r="G24" s="0" t="n">
        <f aca="false">-G6*G23/100</f>
        <v>-1183.71513266919</v>
      </c>
      <c r="H24" s="0" t="n">
        <f aca="false">-H6*H23/100</f>
        <v>-1236.98231363931</v>
      </c>
      <c r="I24" s="0" t="n">
        <f aca="false">-I6*I23/100</f>
        <v>-1286.46160618488</v>
      </c>
      <c r="J24" s="0" t="n">
        <f aca="false">-J6*J23/100</f>
        <v>-1331.48776240135</v>
      </c>
      <c r="K24" s="0" t="n">
        <f aca="false">-K6*K23/100</f>
        <v>-1371.43239527339</v>
      </c>
      <c r="L24" s="0" t="n">
        <f aca="false">-L6*L23/100</f>
        <v>-1412.57536713159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13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61702.6704504772</v>
      </c>
    </row>
    <row r="31" customFormat="false" ht="15" hidden="false" customHeight="false" outlineLevel="0" collapsed="false">
      <c r="A31" s="0" t="s">
        <v>126</v>
      </c>
      <c r="B31" s="0" t="n">
        <f aca="false">L19</f>
        <v>12359.7959524196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212176.497183204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160677.347381455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160677.347381455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67871.8479572595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129574.518407737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124873.118407737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12.6546057285045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0.131896755680188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243.120938400438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334.015061766283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12.7130925239571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106088.248591602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6.95226968914214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6.71340488441145</v>
      </c>
      <c r="C4" s="0" t="n">
        <f aca="false">B4/Assumptions!$B$2-1</f>
        <v>-0.399516557744951</v>
      </c>
      <c r="D4" s="4" t="n">
        <f aca="false">Assumptions!$B$24</f>
        <v>0.25</v>
      </c>
      <c r="E4" s="4" t="n">
        <f aca="false">DCF_Bear!$B$43</f>
        <v>6.75244369014673</v>
      </c>
      <c r="F4" s="4" t="n">
        <f aca="false">DCF_Bear!$B$47</f>
        <v>3.72577600421771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9.93533572434597</v>
      </c>
      <c r="C5" s="0" t="n">
        <f aca="false">B5/Assumptions!$B$2-1</f>
        <v>-0.111329541650629</v>
      </c>
      <c r="D5" s="4" t="n">
        <f aca="false">Assumptions!$B$38</f>
        <v>0.5</v>
      </c>
      <c r="E5" s="4" t="n">
        <f aca="false">DCF_Base!$B$43</f>
        <v>9.98555494852209</v>
      </c>
      <c r="F5" s="4" t="n">
        <f aca="false">DCF_Base!$B$47</f>
        <v>5.44500021247177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12.6546057285045</v>
      </c>
      <c r="C6" s="0" t="n">
        <f aca="false">B6/Assumptions!$B$2-1</f>
        <v>0.131896755680188</v>
      </c>
      <c r="D6" s="4" t="n">
        <f aca="false">Assumptions!$B$52</f>
        <v>0.25</v>
      </c>
      <c r="E6" s="4" t="n">
        <f aca="false">DCF_Bull!$B$43</f>
        <v>12.7130925239571</v>
      </c>
      <c r="F6" s="4" t="n">
        <f aca="false">DCF_Bull!$B$47</f>
        <v>6.95226968914214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9.80967051540197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9.85916152778699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-0.139691693257842</v>
      </c>
    </row>
    <row r="11" customFormat="false" ht="15" hidden="false" customHeight="false" outlineLevel="0" collapsed="false">
      <c r="A11" s="0" t="s">
        <v>153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5.39201152957585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9.93533572434597</v>
      </c>
      <c r="C15" s="3" t="n">
        <v>9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9.24574823886193</v>
      </c>
      <c r="C16" s="3" t="n">
        <v>10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8.29875699479018</v>
      </c>
      <c r="C17" s="3" t="n">
        <v>11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7.35851237416047</v>
      </c>
      <c r="C18" s="3" t="n">
        <v>12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5.44500021247177</v>
      </c>
      <c r="C19" s="3" t="n">
        <v>15</v>
      </c>
    </row>
    <row r="21" customFormat="false" ht="15" hidden="false" customHeight="false" outlineLevel="0" collapsed="false">
      <c r="A21" s="2" t="s">
        <v>162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11.5184003871613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11.5184003871613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11.5184003871613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11.5184003871613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11.5184003871613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10.6904721368863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10.6904721368863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10.6904721368863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10.6904721368863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10.6904721368863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9.93533572434597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9.93533572434597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9.93533572434597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9.93533572434597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9.93533572434597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8.85596088611445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9.15371511390766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9.24574823886193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9.24574823886193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9.24574823886193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7.83650193730423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8.0547890477837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8.29875699479018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8.57322093517246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8.61525595306885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2026-10-16T23:44:12Z</dcterms:created>
  <dc:creator>openpyxl</dc:creator>
  <dc:description/>
  <dc:language>en-NZ</dc:language>
  <cp:lastModifiedBy/>
  <dcterms:modified xsi:type="dcterms:W3CDTF">2026-10-16T23:44:12Z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