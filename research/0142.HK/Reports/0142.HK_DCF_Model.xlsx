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<sst xmlns="http://schemas.openxmlformats.org/spreadsheetml/2006/main" count="356" uniqueCount="164">
  <si>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</si>
  <si>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0142.HK</t>
  </si>
  <si>
    <t xml:space="preserve">Company</t>
  </si>
  <si>
    <t xml:space="preserve">First Pacific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</si>
  <si>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</si>
  <si>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</si>
  <si>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</si>
  <si>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</si>
  <si>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HKEX regular close (Yahoo regularMarketTime)</t>
  </si>
  <si>
    <t xml:space="preserve">Balance sheet date</t>
  </si>
  <si>
    <t xml:space="preserve">2026-06-30</t>
  </si>
  <si>
    <t xml:space="preserve">Model</t>
  </si>
  <si>
    <t xml:space="preserve">Holdco Head Office cash flow (dividend and fee income less overhead, net interest and tax) capitalised at cost of equity, cross-checked to SOTP adjusted NAV (engine route)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</si>
  <si>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</si>
  <si>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</si>
  <si>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</si>
  <si>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</si>
  <si>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</si>
  <si>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</si>
  <si>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</si>
  <si>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</si>
  <si>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</si>
  <si>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2026-10-10T21:10:45Z</t>
  </si>
  <si>
    <t xml:space="preserve">Drivers file</t>
  </si>
  <si>
    <t xml:space="preserve">0142.HK_Drivers.json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</si>
  <si>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</si>
  <si>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</si>
  <si>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</si>
  <si>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First Pacific on what it actually receives. Consolidated cash flows belong largely to Indofood and MPIC minorities and lenders; what reaches 0142.HK shareholders is dividend and fee income at Head Office, less overhead and Head Office interest. That stream is capitalised at a USD cost of equity, with Head Office debt left inside the flows rather than subtracted again, and the result is cross-checked against the company's own market-marked SOTP adjusted NAV. The market-marked NAV (HK$6.51) caps the base case: a holdco paying ~US$85m a year in overhead and interest, with Salim-family control and related-party flows, deserves a discount to NAV; the base case implies ~17%, the narrow end of the 17-66% decade range.
key_risks_to_valuation: Rupiah and peso depreciation: about 90% of NAV is in IDR/PHP assets and every 1% move in both currencies moves adjusted NAV by tens of millions of USD (FY2025 AR FX sensitivity table).; Dividend policy at investees: PLDT (high leverage, 2.56x net debt/EBITDA) and MPIC (capex supercycle) control most of the upstream cash, and First Pacific does not set their payout.; Refinancing of the US$350m 4.375% bond due September 2027 and ~US$1.1bn of floating bank loans.; Holdco discount persistence: NAV growth has not reliably turned into share-price growth; the discount was 48-66% from 2016 to 2023.; Philex is held at its 30-Jun-2026 PSE price (no live quote on Yahoo), so the SOTP cross-check is stale on that line (~8% of gross asset value).</t>
  </si>
  <si>
    <t xml:space="preserve">Data sources</t>
  </si>
  <si>
    <t xml:space="preserve">price: Yahoo Finance chart API at inputs.price_as_of; 52-week range 4.68-6.74 HKD. Stake prices (INDF.JK, PHI ADR) and FX (USDIDR, USDPHP, HKD=X) from the same API, 2026-10-09/10.
financials: FY2025 Annual Report (Head Office Cash Flow, Contribution and Profit Summary, Adjusted NAV Per Share, Ten-year statistics); H1-2026 Interim Report (Adjusted NAV at 30 June 2026, Head Office debt profile, dividend and fee income US$138.8m vs 132.5m); historical Head Office cash flow tables FY2018-FY2024 annuals.
qualitative: research/0142.HK/Reports/0142.HK_Analysis.json (2026-10-11).</t>
  </si>
  <si>
    <t xml:space="preserve">Scenario narrative: bear</t>
  </si>
  <si>
    <t xml:space="preserve">EM FX and sovereign stress: Indonesia's negative outlook turns into a rupiah slide, PLDT trims its dividend to protect its balance sheet, and MPIC holds cash for its capex programme, so dividend income falls ~4% in FY2027 and grows only ~2% thereafter. Refinancing the US$350m 4.375% 2027 bond and floating bank debt at higher rates lifts Head Office interest, and Salim-family related-party capital allocation (FPM Power top-ups, Maya) consumes more Head Office cash. The holdco discount widens back toward its 50-60% historical norm.</t>
  </si>
  <si>
    <t xml:space="preserve">Scenario narrative: base</t>
  </si>
  <si>
    <t xml:space="preserve">Upstream dividends grow ~4% a year in USD: Indofood's rupiah dividend compounds mid-to-high single digits but loses 2-3pts a year to rupiah depreciation; MPIC's dividend rises with Maynilad tariff resets and MPTC toll volumes; PLDT's dividend is roughly flat as capex falls to the mid-50bn-peso range; Philex's Silangan mine adds a small new stream from 2026. Head Office overhead and interest stay near-fixed, so the net stream grows a little faster than gross income. Value lands ~17% below the market-marked SOTP NAV, i.e. the holdco discount persists but at the narrow end of its decade range.</t>
  </si>
  <si>
    <t xml:space="preserve">Scenario narrative: bull</t>
  </si>
  <si>
    <t xml:space="preserve">The catalysts land: Silangan ramps and Philex resumes dividends, Maya's 2026 IPO and further Maynilad-style listings crystallise value and lift upstream payouts, MPIC's capex cycle peaks and its dividend steps up, and PLDT de-levers toward 2.0x net debt/EBITDA and restores payout growth. Peso and rupiah stabilise, the Head Office refinances the 2027 bond cheaply after S&amp;P's BBB upgrade, and the market prices the holdco at a lower cost of equity.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</si>
  <si>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</si>
  <si>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</si>
  <si>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</si>
  <si>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</si>
  <si>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</si>
  <si>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</si>
  <si>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</si>
  <si>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</si>
  <si>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</si>
  <si>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</si>
  <si>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</si>
  <si>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</si>
  <si>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</si>
  <si>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</si>
  <si>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</si>
  <si>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</si>
  <si>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</si>
  <si>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</si>
  <si>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</si>
  <si>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</si>
  <si>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</si>
  <si>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</si>
  <si>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</si>
  <si>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</si>
  <si>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</si>
  <si>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</si>
  <si>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</si>
  <si>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</si>
  <si>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</si>
  <si>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</si>
  <si>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</si>
  <si>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</si>
  <si>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</si>
  <si>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</si>
  <si>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</si>
  <si>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</si>
  <si>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</si>
  <si>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</si>
  <si>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</si>
  <si>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</si>
  <si>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</si>
  <si>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</si>
  <si>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</si>
  <si>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</si>
  <si>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</si>
  <si>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</si>
  <si>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</si>
  <si>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</si>
  <si>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</si>
  <si>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</si>
  <si>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</si>
  <si>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</si>
  <si>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</si>
  <si>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</si>
  <si>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</si>
  <si>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</si>
  <si>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</si>
  <si>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</si>
  <si>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</si>
  <si>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</si>
  <si>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</si>
  <si>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</si>
  <si>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</si>
  <si>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</si>
  <si>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</si>
  <si>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</si>
  <si>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</si>
  <si>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</si>
  <si>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</si>
  <si>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</si>
  <si>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</si>
  <si>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</si>
  <si>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</si>
  <si>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0142.HK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</si>
  <si>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</si>
  <si>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</si>
  <si>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</si>
  <si>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</si>
  <si>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</si>
  <si>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</si>
  <si>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</si>
  <si>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</si>
  <si>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</si>
  <si>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</si>
  <si>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</si>
  <si>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</si>
  <si>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</si>
  <si>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</si>
  <si>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</si>
  <si>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</si>
  <si>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</si>
  <si>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</si>
  <si>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</si>
  <si>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</si>
  <si>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</si>
  <si>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</si>
  <si>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</si>
  <si>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</si>
  <si>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</si>
  <si>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</si>
  <si>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</si>
  <si>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</si>
  <si>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</si>
  <si>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</si>
  <si>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0142.HK owner-FCF component DCF: base case (millions, USD)</t>
  </si>
  <si>
    <t xml:space="preserve">0142.HK owner-FCF component DCF: bull case (millions, USD)</t>
  </si>
  <si>
    <t xml:space="preserve">0142.HK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</si>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</sst>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4.895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7296.8</v>
      </c>
      <c r="C2" s="0" t="n">
        <v>-5144.3</v>
      </c>
      <c r="D2" s="0" t="n">
        <v>2152.5</v>
      </c>
      <c r="E2" s="0" t="n">
        <v>29.5</v>
      </c>
      <c r="F2" s="0" t="n">
        <v>1010.8</v>
      </c>
      <c r="G2" s="0" t="n">
        <v>13.9</v>
      </c>
      <c r="H2" s="0" t="n">
        <v>1432</v>
      </c>
      <c r="I2" s="0" t="n">
        <v>120.9</v>
      </c>
      <c r="J2" s="0" t="n">
        <v>1.7</v>
      </c>
      <c r="K2" s="0" t="n">
        <v>0.028</v>
      </c>
      <c r="L2" s="0" t="n">
        <v>776.1</v>
      </c>
      <c r="M2" s="0" t="n">
        <v>1062.6</v>
      </c>
      <c r="N2" s="0" t="n">
        <v>-286.5</v>
      </c>
      <c r="O2" s="0" t="n">
        <v>3227.1</v>
      </c>
      <c r="P2" s="0" t="n">
        <v>20454.5</v>
      </c>
      <c r="Q2" s="0" t="n">
        <v>11712</v>
      </c>
      <c r="R2" s="0" t="n">
        <v>7969.7</v>
      </c>
      <c r="S2" s="0" t="n">
        <v>2157.2</v>
      </c>
      <c r="T2" s="0" t="n">
        <v>4342</v>
      </c>
      <c r="U2" s="0" t="n">
        <v>9.6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7742.4</v>
      </c>
      <c r="C3" s="0" t="n">
        <v>-5564.6</v>
      </c>
      <c r="D3" s="0" t="n">
        <v>2177.8</v>
      </c>
      <c r="E3" s="0" t="n">
        <v>28.1</v>
      </c>
      <c r="F3" s="0" t="n">
        <v>939.5</v>
      </c>
      <c r="G3" s="0" t="n">
        <v>12.1</v>
      </c>
      <c r="H3" s="0" t="n">
        <v>1400.6</v>
      </c>
      <c r="I3" s="0" t="n">
        <v>131.8</v>
      </c>
      <c r="J3" s="0" t="n">
        <v>1.7</v>
      </c>
      <c r="K3" s="0" t="n">
        <v>0.0303</v>
      </c>
      <c r="L3" s="0" t="n">
        <v>734.1</v>
      </c>
      <c r="M3" s="0" t="n">
        <v>1235.3</v>
      </c>
      <c r="N3" s="0" t="n">
        <v>-501.2</v>
      </c>
      <c r="O3" s="0" t="n">
        <v>3083.6</v>
      </c>
      <c r="P3" s="0" t="n">
        <v>20901.5</v>
      </c>
      <c r="Q3" s="0" t="n">
        <v>12191.1</v>
      </c>
      <c r="R3" s="0" t="n">
        <v>8517.9</v>
      </c>
      <c r="S3" s="0" t="n">
        <v>1630.8</v>
      </c>
      <c r="T3" s="0" t="n">
        <v>4342</v>
      </c>
      <c r="U3" s="0" t="n">
        <v>4.3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7585</v>
      </c>
      <c r="C4" s="0" t="n">
        <v>-5301.2</v>
      </c>
      <c r="D4" s="0" t="n">
        <v>2283.8</v>
      </c>
      <c r="E4" s="0" t="n">
        <v>30.1</v>
      </c>
      <c r="F4" s="0" t="n">
        <v>515</v>
      </c>
      <c r="G4" s="0" t="n">
        <v>6.8</v>
      </c>
      <c r="H4" s="0" t="n">
        <v>1048.2</v>
      </c>
      <c r="I4" s="0" t="n">
        <v>-253.9</v>
      </c>
      <c r="J4" s="0" t="n">
        <v>-3.3</v>
      </c>
      <c r="K4" s="0" t="n">
        <v>-0.0585</v>
      </c>
      <c r="L4" s="0" t="n">
        <v>1455.5</v>
      </c>
      <c r="M4" s="0" t="n">
        <v>1363.3</v>
      </c>
      <c r="N4" s="0" t="n">
        <v>92.2</v>
      </c>
      <c r="O4" s="0" t="n">
        <v>2928.7</v>
      </c>
      <c r="P4" s="0" t="n">
        <v>21882.5</v>
      </c>
      <c r="Q4" s="0" t="n">
        <v>13124.5</v>
      </c>
      <c r="R4" s="0" t="n">
        <v>8930.8</v>
      </c>
      <c r="S4" s="0" t="n">
        <v>2846.4</v>
      </c>
      <c r="T4" s="0" t="n">
        <v>4344.9</v>
      </c>
      <c r="U4" s="0" t="n">
        <v>3.2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7130.5</v>
      </c>
      <c r="C5" s="0" t="n">
        <v>-4822.2</v>
      </c>
      <c r="D5" s="0" t="n">
        <v>2308.3</v>
      </c>
      <c r="E5" s="0" t="n">
        <v>32.4</v>
      </c>
      <c r="F5" s="0" t="n">
        <v>1033.9</v>
      </c>
      <c r="G5" s="0" t="n">
        <v>14.5</v>
      </c>
      <c r="H5" s="0" t="n">
        <v>1586.8</v>
      </c>
      <c r="I5" s="0" t="n">
        <v>201.6</v>
      </c>
      <c r="J5" s="0" t="n">
        <v>2.8</v>
      </c>
      <c r="K5" s="0" t="n">
        <v>0.0464</v>
      </c>
      <c r="L5" s="0" t="n">
        <v>1036.6</v>
      </c>
      <c r="M5" s="0" t="n">
        <v>1052.3</v>
      </c>
      <c r="N5" s="0" t="n">
        <v>-15.7</v>
      </c>
      <c r="O5" s="0" t="n">
        <v>3140</v>
      </c>
      <c r="P5" s="0" t="n">
        <v>26943.6</v>
      </c>
      <c r="Q5" s="0" t="n">
        <v>16315.1</v>
      </c>
      <c r="R5" s="0" t="n">
        <v>10633.6</v>
      </c>
      <c r="S5" s="0" t="n">
        <v>2377.8</v>
      </c>
      <c r="T5" s="0" t="n">
        <v>4344.9</v>
      </c>
      <c r="U5" s="0" t="n">
        <v>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9103.2</v>
      </c>
      <c r="C6" s="0" t="n">
        <v>-6275.2</v>
      </c>
      <c r="D6" s="0" t="n">
        <v>2828</v>
      </c>
      <c r="E6" s="0" t="n">
        <v>31.1</v>
      </c>
      <c r="F6" s="0" t="n">
        <v>1150.6</v>
      </c>
      <c r="G6" s="0" t="n">
        <v>12.6</v>
      </c>
      <c r="H6" s="0" t="n">
        <v>1638.2</v>
      </c>
      <c r="I6" s="0" t="n">
        <v>333.3</v>
      </c>
      <c r="J6" s="0" t="n">
        <v>3.7</v>
      </c>
      <c r="K6" s="0" t="n">
        <v>0.0771</v>
      </c>
      <c r="L6" s="0" t="n">
        <v>1245.9</v>
      </c>
      <c r="M6" s="0" t="n">
        <v>1091</v>
      </c>
      <c r="N6" s="0" t="n">
        <v>154.9</v>
      </c>
      <c r="O6" s="0" t="n">
        <v>3298.6</v>
      </c>
      <c r="P6" s="0" t="n">
        <v>26566.7</v>
      </c>
      <c r="Q6" s="0" t="n">
        <v>15953.6</v>
      </c>
      <c r="R6" s="0" t="n">
        <v>11128.4</v>
      </c>
      <c r="S6" s="0" t="n">
        <v>3209.3</v>
      </c>
      <c r="T6" s="0" t="n">
        <v>4279.1</v>
      </c>
      <c r="U6" s="0" t="n">
        <v>1.5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10304.9</v>
      </c>
      <c r="C7" s="0" t="n">
        <v>-7248.4</v>
      </c>
      <c r="D7" s="0" t="n">
        <v>3056.5</v>
      </c>
      <c r="E7" s="0" t="n">
        <v>29.7</v>
      </c>
      <c r="F7" s="0" t="n">
        <v>1528.4</v>
      </c>
      <c r="G7" s="0" t="n">
        <v>14.8</v>
      </c>
      <c r="H7" s="0" t="n">
        <v>1996.9</v>
      </c>
      <c r="I7" s="0" t="n">
        <v>391.6</v>
      </c>
      <c r="J7" s="0" t="n">
        <v>3.8</v>
      </c>
      <c r="K7" s="0" t="n">
        <v>0.0919</v>
      </c>
      <c r="L7" s="0" t="n">
        <v>1424</v>
      </c>
      <c r="M7" s="0" t="n">
        <v>1078.5</v>
      </c>
      <c r="N7" s="0" t="n">
        <v>345.5</v>
      </c>
      <c r="O7" s="0" t="n">
        <v>3296.5</v>
      </c>
      <c r="P7" s="0" t="n">
        <v>25491.8</v>
      </c>
      <c r="Q7" s="0" t="n">
        <v>15126</v>
      </c>
      <c r="R7" s="0" t="n">
        <v>11222.3</v>
      </c>
      <c r="S7" s="0" t="n">
        <v>2620.6</v>
      </c>
      <c r="T7" s="0" t="n">
        <v>4241.7</v>
      </c>
      <c r="U7" s="0" t="n">
        <v>2.3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10510.7</v>
      </c>
      <c r="C8" s="0" t="n">
        <v>-7136.1</v>
      </c>
      <c r="D8" s="0" t="n">
        <v>3374.6</v>
      </c>
      <c r="E8" s="0" t="n">
        <v>32.1</v>
      </c>
      <c r="F8" s="0" t="n">
        <v>1910.8</v>
      </c>
      <c r="G8" s="0" t="n">
        <v>18.2</v>
      </c>
      <c r="H8" s="0" t="n">
        <v>2372.2</v>
      </c>
      <c r="I8" s="0" t="n">
        <v>501.2</v>
      </c>
      <c r="J8" s="0" t="n">
        <v>4.8</v>
      </c>
      <c r="K8" s="0" t="n">
        <v>0.1181</v>
      </c>
      <c r="L8" s="0" t="n">
        <v>1730.1</v>
      </c>
      <c r="M8" s="0" t="n">
        <v>1185.1</v>
      </c>
      <c r="N8" s="0" t="n">
        <v>545</v>
      </c>
      <c r="O8" s="0" t="n">
        <v>3688</v>
      </c>
      <c r="P8" s="0" t="n">
        <v>27357.5</v>
      </c>
      <c r="Q8" s="0" t="n">
        <v>15790.6</v>
      </c>
      <c r="R8" s="0" t="n">
        <v>11611.5</v>
      </c>
      <c r="S8" s="0" t="n">
        <v>2845.8</v>
      </c>
      <c r="T8" s="0" t="n">
        <v>4242.3</v>
      </c>
      <c r="U8" s="0" t="n">
        <v>1.6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10057.2</v>
      </c>
      <c r="C9" s="0" t="n">
        <v>-6402.9</v>
      </c>
      <c r="D9" s="0" t="n">
        <v>3654.3</v>
      </c>
      <c r="E9" s="0" t="n">
        <v>36.3</v>
      </c>
      <c r="F9" s="0" t="n">
        <v>1958.8</v>
      </c>
      <c r="G9" s="0" t="n">
        <v>19.5</v>
      </c>
      <c r="H9" s="0" t="n">
        <v>2389.3</v>
      </c>
      <c r="I9" s="0" t="n">
        <v>600.3</v>
      </c>
      <c r="J9" s="0" t="n">
        <v>6</v>
      </c>
      <c r="K9" s="0" t="n">
        <v>0.1414</v>
      </c>
      <c r="L9" s="0" t="n">
        <v>1746.5</v>
      </c>
      <c r="M9" s="0" t="n">
        <v>1341.3</v>
      </c>
      <c r="N9" s="0" t="n">
        <v>405.2</v>
      </c>
      <c r="O9" s="0" t="n">
        <v>3926.2</v>
      </c>
      <c r="P9" s="0" t="n">
        <v>28677.9</v>
      </c>
      <c r="Q9" s="0" t="n">
        <v>16747.7</v>
      </c>
      <c r="R9" s="0" t="n">
        <v>12536.3</v>
      </c>
      <c r="S9" s="0" t="n">
        <v>3324.2</v>
      </c>
      <c r="T9" s="0" t="n">
        <v>4255.2</v>
      </c>
      <c r="U9" s="0" t="n">
        <v>0.6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10232.5</v>
      </c>
      <c r="C10" s="0" t="n">
        <v>-6502.6</v>
      </c>
      <c r="D10" s="0" t="n">
        <v>3729.9</v>
      </c>
      <c r="E10" s="0" t="n">
        <v>36.5</v>
      </c>
      <c r="F10" s="0" t="n">
        <v>2305.1</v>
      </c>
      <c r="G10" s="0" t="n">
        <v>22.5</v>
      </c>
      <c r="H10" s="0" t="n">
        <v>2759.7</v>
      </c>
      <c r="I10" s="0" t="n">
        <v>661</v>
      </c>
      <c r="J10" s="0" t="n">
        <v>6.5</v>
      </c>
      <c r="K10" s="0" t="n">
        <v>0.1549</v>
      </c>
      <c r="L10" s="0" t="n">
        <v>1748.3</v>
      </c>
      <c r="M10" s="0" t="n">
        <v>1388.5</v>
      </c>
      <c r="N10" s="0" t="n">
        <v>359.8</v>
      </c>
      <c r="O10" s="0" t="n">
        <v>4388.8</v>
      </c>
      <c r="P10" s="0" t="n">
        <v>30647.6</v>
      </c>
      <c r="Q10" s="0" t="n">
        <v>17524</v>
      </c>
      <c r="R10" s="0" t="n">
        <v>13014.1</v>
      </c>
      <c r="S10" s="0" t="n">
        <v>4206.1</v>
      </c>
      <c r="T10" s="0" t="n">
        <v>4262.1</v>
      </c>
      <c r="U10" s="0" t="n">
        <v>5.7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4.895</v>
      </c>
    </row>
    <row r="3" customFormat="false" ht="15" hidden="false" customHeight="false" outlineLevel="0" collapsed="false">
      <c r="A3" s="0" t="s">
        <v>76</v>
      </c>
      <c r="B3" s="3" t="n">
        <v>4262.1</v>
      </c>
    </row>
    <row r="4" customFormat="false" ht="15" hidden="false" customHeight="false" outlineLevel="0" collapsed="false">
      <c r="A4" s="0" t="s">
        <v>77</v>
      </c>
      <c r="B4" s="3" t="n">
        <v>0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310.9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7.8472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0</v>
      </c>
      <c r="D13" s="3" t="n">
        <v>-4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71</v>
      </c>
      <c r="D14" s="3" t="n">
        <v>69</v>
      </c>
      <c r="E14" s="3" t="n">
        <v>68.5</v>
      </c>
      <c r="F14" s="3" t="n">
        <v>68.5</v>
      </c>
      <c r="G14" s="3" t="n">
        <v>68.5</v>
      </c>
      <c r="H14" s="3" t="n">
        <v>68.5</v>
      </c>
      <c r="I14" s="3" t="n">
        <v>68.5</v>
      </c>
      <c r="J14" s="3" t="n">
        <v>68.5</v>
      </c>
      <c r="K14" s="3" t="n">
        <v>68.5</v>
      </c>
      <c r="L14" s="3" t="n">
        <v>68.5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101</v>
      </c>
      <c r="C18" s="3" t="n">
        <v>8</v>
      </c>
      <c r="D18" s="3" t="n">
        <v>8</v>
      </c>
      <c r="E18" s="3" t="n">
        <v>8</v>
      </c>
      <c r="F18" s="3" t="n">
        <v>8</v>
      </c>
      <c r="G18" s="3" t="n">
        <v>8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102</v>
      </c>
      <c r="C19" s="3" t="n">
        <v>0.3</v>
      </c>
      <c r="D19" s="3" t="n">
        <v>0.3</v>
      </c>
      <c r="E19" s="3" t="n">
        <v>0.3</v>
      </c>
      <c r="F19" s="3" t="n">
        <v>0.3</v>
      </c>
      <c r="G19" s="3" t="n">
        <v>0.3</v>
      </c>
      <c r="H19" s="3" t="n">
        <v>0.3</v>
      </c>
      <c r="I19" s="3" t="n">
        <v>0.3</v>
      </c>
      <c r="J19" s="3" t="n">
        <v>0.3</v>
      </c>
      <c r="K19" s="3" t="n">
        <v>0.3</v>
      </c>
      <c r="L19" s="3" t="n">
        <v>0.3</v>
      </c>
    </row>
    <row r="20" customFormat="false" ht="15" hidden="false" customHeight="false" outlineLevel="0" collapsed="false">
      <c r="A20" s="0" t="s">
        <v>103</v>
      </c>
      <c r="B20" s="3" t="n">
        <v>12.5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9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4.5</v>
      </c>
      <c r="D27" s="3" t="n">
        <v>4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73</v>
      </c>
      <c r="D28" s="3" t="n">
        <v>73.5</v>
      </c>
      <c r="E28" s="3" t="n">
        <v>74</v>
      </c>
      <c r="F28" s="3" t="n">
        <v>74.5</v>
      </c>
      <c r="G28" s="3" t="n">
        <v>75</v>
      </c>
      <c r="H28" s="3" t="n">
        <v>75.5</v>
      </c>
      <c r="I28" s="3" t="n">
        <v>76</v>
      </c>
      <c r="J28" s="3" t="n">
        <v>76</v>
      </c>
      <c r="K28" s="3" t="n">
        <v>76</v>
      </c>
      <c r="L28" s="3" t="n">
        <v>76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101</v>
      </c>
      <c r="C32" s="3" t="n">
        <v>6</v>
      </c>
      <c r="D32" s="3" t="n">
        <v>6</v>
      </c>
      <c r="E32" s="3" t="n">
        <v>6</v>
      </c>
      <c r="F32" s="3" t="n">
        <v>6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102</v>
      </c>
      <c r="C33" s="3" t="n">
        <v>0.3</v>
      </c>
      <c r="D33" s="3" t="n">
        <v>0.3</v>
      </c>
      <c r="E33" s="3" t="n">
        <v>0.3</v>
      </c>
      <c r="F33" s="3" t="n">
        <v>0.3</v>
      </c>
      <c r="G33" s="3" t="n">
        <v>0.3</v>
      </c>
      <c r="H33" s="3" t="n">
        <v>0.3</v>
      </c>
      <c r="I33" s="3" t="n">
        <v>0.3</v>
      </c>
      <c r="J33" s="3" t="n">
        <v>0.3</v>
      </c>
      <c r="K33" s="3" t="n">
        <v>0.3</v>
      </c>
      <c r="L33" s="3" t="n">
        <v>0.3</v>
      </c>
    </row>
    <row r="34" customFormat="false" ht="15" hidden="false" customHeight="false" outlineLevel="0" collapsed="false">
      <c r="A34" s="0" t="s">
        <v>103</v>
      </c>
      <c r="B34" s="3" t="n">
        <v>11</v>
      </c>
    </row>
    <row r="35" customFormat="false" ht="15" hidden="false" customHeight="false" outlineLevel="0" collapsed="false">
      <c r="A35" s="0" t="s">
        <v>104</v>
      </c>
      <c r="B35" s="3" t="n">
        <v>3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6</v>
      </c>
      <c r="D41" s="3" t="n">
        <v>7</v>
      </c>
      <c r="E41" s="3" t="n">
        <v>7</v>
      </c>
      <c r="F41" s="3" t="n">
        <v>6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97</v>
      </c>
      <c r="C42" s="3" t="n">
        <v>73.5</v>
      </c>
      <c r="D42" s="3" t="n">
        <v>74.5</v>
      </c>
      <c r="E42" s="3" t="n">
        <v>75.5</v>
      </c>
      <c r="F42" s="3" t="n">
        <v>76.5</v>
      </c>
      <c r="G42" s="3" t="n">
        <v>77.5</v>
      </c>
      <c r="H42" s="3" t="n">
        <v>78</v>
      </c>
      <c r="I42" s="3" t="n">
        <v>78.5</v>
      </c>
      <c r="J42" s="3" t="n">
        <v>79</v>
      </c>
      <c r="K42" s="3" t="n">
        <v>79</v>
      </c>
      <c r="L42" s="3" t="n">
        <v>79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101</v>
      </c>
      <c r="C46" s="3" t="n">
        <v>5</v>
      </c>
      <c r="D46" s="3" t="n">
        <v>5</v>
      </c>
      <c r="E46" s="3" t="n">
        <v>5</v>
      </c>
      <c r="F46" s="3" t="n">
        <v>5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102</v>
      </c>
      <c r="C47" s="3" t="n">
        <v>0.3</v>
      </c>
      <c r="D47" s="3" t="n">
        <v>0.3</v>
      </c>
      <c r="E47" s="3" t="n">
        <v>0.3</v>
      </c>
      <c r="F47" s="3" t="n">
        <v>0.3</v>
      </c>
      <c r="G47" s="3" t="n">
        <v>0.3</v>
      </c>
      <c r="H47" s="3" t="n">
        <v>0.3</v>
      </c>
      <c r="I47" s="3" t="n">
        <v>0.3</v>
      </c>
      <c r="J47" s="3" t="n">
        <v>0.3</v>
      </c>
      <c r="K47" s="3" t="n">
        <v>0.3</v>
      </c>
      <c r="L47" s="3" t="n">
        <v>0.3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3.5</v>
      </c>
    </row>
    <row r="50" customFormat="false" ht="15" hidden="false" customHeight="false" outlineLevel="0" collapsed="false">
      <c r="A50" s="0" t="s">
        <v>105</v>
      </c>
      <c r="B50" s="3" t="n">
        <v>14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0</v>
      </c>
      <c r="D5" s="4" t="n">
        <f aca="false">Assumptions!D13</f>
        <v>-4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310.9</v>
      </c>
      <c r="C6" s="0" t="n">
        <f aca="false">B6*(1+C5/100)</f>
        <v>310.9</v>
      </c>
      <c r="D6" s="0" t="n">
        <f aca="false">C6*(1+D5/100)</f>
        <v>298.464</v>
      </c>
      <c r="E6" s="0" t="n">
        <f aca="false">D6*(1+E5/100)</f>
        <v>301.44864</v>
      </c>
      <c r="F6" s="0" t="n">
        <f aca="false">E6*(1+F5/100)</f>
        <v>307.4776128</v>
      </c>
      <c r="G6" s="0" t="n">
        <f aca="false">F6*(1+G5/100)</f>
        <v>313.627165056</v>
      </c>
      <c r="H6" s="0" t="n">
        <f aca="false">G6*(1+H5/100)</f>
        <v>319.89970835712</v>
      </c>
      <c r="I6" s="0" t="n">
        <f aca="false">H6*(1+I5/100)</f>
        <v>326.297702524262</v>
      </c>
      <c r="J6" s="0" t="n">
        <f aca="false">I6*(1+J5/100)</f>
        <v>332.823656574748</v>
      </c>
      <c r="K6" s="0" t="n">
        <f aca="false">J6*(1+K5/100)</f>
        <v>339.480129706243</v>
      </c>
      <c r="L6" s="0" t="n">
        <f aca="false">K6*(1+L5/100)</f>
        <v>346.269732300368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71</v>
      </c>
      <c r="D7" s="4" t="n">
        <f aca="false">Assumptions!D14</f>
        <v>69</v>
      </c>
      <c r="E7" s="4" t="n">
        <f aca="false">Assumptions!E14</f>
        <v>68.5</v>
      </c>
      <c r="F7" s="4" t="n">
        <f aca="false">Assumptions!F14</f>
        <v>68.5</v>
      </c>
      <c r="G7" s="4" t="n">
        <f aca="false">Assumptions!G14</f>
        <v>68.5</v>
      </c>
      <c r="H7" s="4" t="n">
        <f aca="false">Assumptions!H14</f>
        <v>68.5</v>
      </c>
      <c r="I7" s="4" t="n">
        <f aca="false">Assumptions!I14</f>
        <v>68.5</v>
      </c>
      <c r="J7" s="4" t="n">
        <f aca="false">Assumptions!J14</f>
        <v>68.5</v>
      </c>
      <c r="K7" s="4" t="n">
        <f aca="false">Assumptions!K14</f>
        <v>68.5</v>
      </c>
      <c r="L7" s="4" t="n">
        <f aca="false">Assumptions!L14</f>
        <v>68.5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220.739</v>
      </c>
      <c r="D8" s="0" t="n">
        <f aca="false">D6*D7/100</f>
        <v>205.94016</v>
      </c>
      <c r="E8" s="0" t="n">
        <f aca="false">E6*E7/100</f>
        <v>206.4923184</v>
      </c>
      <c r="F8" s="0" t="n">
        <f aca="false">F6*F7/100</f>
        <v>210.622164768</v>
      </c>
      <c r="G8" s="0" t="n">
        <f aca="false">G6*G7/100</f>
        <v>214.83460806336</v>
      </c>
      <c r="H8" s="0" t="n">
        <f aca="false">H6*H7/100</f>
        <v>219.131300224627</v>
      </c>
      <c r="I8" s="0" t="n">
        <f aca="false">I6*I7/100</f>
        <v>223.51392622912</v>
      </c>
      <c r="J8" s="0" t="n">
        <f aca="false">J6*J7/100</f>
        <v>227.984204753702</v>
      </c>
      <c r="K8" s="0" t="n">
        <f aca="false">K6*K7/100</f>
        <v>232.543888848776</v>
      </c>
      <c r="L8" s="0" t="n">
        <f aca="false">L6*L7/100</f>
        <v>237.194766625752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220.739</v>
      </c>
      <c r="D11" s="0" t="n">
        <f aca="false">D8+D10+D24</f>
        <v>205.94016</v>
      </c>
      <c r="E11" s="0" t="n">
        <f aca="false">E8+E10+E24</f>
        <v>206.4923184</v>
      </c>
      <c r="F11" s="0" t="n">
        <f aca="false">F8+F10+F24</f>
        <v>210.622164768</v>
      </c>
      <c r="G11" s="0" t="n">
        <f aca="false">G8+G10+G24</f>
        <v>214.83460806336</v>
      </c>
      <c r="H11" s="0" t="n">
        <f aca="false">H8+H10+H24</f>
        <v>219.131300224627</v>
      </c>
      <c r="I11" s="0" t="n">
        <f aca="false">I8+I10+I24</f>
        <v>223.51392622912</v>
      </c>
      <c r="J11" s="0" t="n">
        <f aca="false">J8+J10+J24</f>
        <v>227.984204753702</v>
      </c>
      <c r="K11" s="0" t="n">
        <f aca="false">K8+K10+K24</f>
        <v>232.543888848776</v>
      </c>
      <c r="L11" s="0" t="n">
        <f aca="false">L8+L10+L24</f>
        <v>237.194766625752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220.739</v>
      </c>
      <c r="D13" s="0" t="n">
        <f aca="false">D11+D12</f>
        <v>205.94016</v>
      </c>
      <c r="E13" s="0" t="n">
        <f aca="false">E11+E12</f>
        <v>206.4923184</v>
      </c>
      <c r="F13" s="0" t="n">
        <f aca="false">F11+F12</f>
        <v>210.622164768</v>
      </c>
      <c r="G13" s="0" t="n">
        <f aca="false">G11+G12</f>
        <v>214.83460806336</v>
      </c>
      <c r="H13" s="0" t="n">
        <f aca="false">H11+H12</f>
        <v>219.131300224627</v>
      </c>
      <c r="I13" s="0" t="n">
        <f aca="false">I11+I12</f>
        <v>223.51392622912</v>
      </c>
      <c r="J13" s="0" t="n">
        <f aca="false">J11+J12</f>
        <v>227.984204753702</v>
      </c>
      <c r="K13" s="0" t="n">
        <f aca="false">K11+K12</f>
        <v>232.543888848776</v>
      </c>
      <c r="L13" s="0" t="n">
        <f aca="false">L11+L12</f>
        <v>237.194766625752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0.3</v>
      </c>
      <c r="D14" s="4" t="n">
        <f aca="false">Assumptions!D19</f>
        <v>0.3</v>
      </c>
      <c r="E14" s="4" t="n">
        <f aca="false">Assumptions!E19</f>
        <v>0.3</v>
      </c>
      <c r="F14" s="4" t="n">
        <f aca="false">Assumptions!F19</f>
        <v>0.3</v>
      </c>
      <c r="G14" s="4" t="n">
        <f aca="false">Assumptions!G19</f>
        <v>0.3</v>
      </c>
      <c r="H14" s="4" t="n">
        <f aca="false">Assumptions!H19</f>
        <v>0.3</v>
      </c>
      <c r="I14" s="4" t="n">
        <f aca="false">Assumptions!I19</f>
        <v>0.3</v>
      </c>
      <c r="J14" s="4" t="n">
        <f aca="false">Assumptions!J19</f>
        <v>0.3</v>
      </c>
      <c r="K14" s="4" t="n">
        <f aca="false">Assumptions!K19</f>
        <v>0.3</v>
      </c>
      <c r="L14" s="4" t="n">
        <f aca="false">Assumptions!L19</f>
        <v>0.3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220.076783</v>
      </c>
      <c r="D15" s="0" t="n">
        <f aca="false">D13-MAX(0,D13)*D14/100</f>
        <v>205.32233952</v>
      </c>
      <c r="E15" s="0" t="n">
        <f aca="false">E13-MAX(0,E13)*E14/100</f>
        <v>205.8728414448</v>
      </c>
      <c r="F15" s="0" t="n">
        <f aca="false">F13-MAX(0,F13)*F14/100</f>
        <v>209.990298273696</v>
      </c>
      <c r="G15" s="0" t="n">
        <f aca="false">G13-MAX(0,G13)*G14/100</f>
        <v>214.19010423917</v>
      </c>
      <c r="H15" s="0" t="n">
        <f aca="false">H13-MAX(0,H13)*H14/100</f>
        <v>218.473906323953</v>
      </c>
      <c r="I15" s="0" t="n">
        <f aca="false">I13-MAX(0,I13)*I14/100</f>
        <v>222.843384450432</v>
      </c>
      <c r="J15" s="0" t="n">
        <f aca="false">J13-MAX(0,J13)*J14/100</f>
        <v>227.300252139441</v>
      </c>
      <c r="K15" s="0" t="n">
        <f aca="false">K13-MAX(0,K13)*K14/100</f>
        <v>231.84625718223</v>
      </c>
      <c r="L15" s="0" t="n">
        <f aca="false">L13-MAX(0,L13)*L14/100</f>
        <v>236.483182325874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-24.872</v>
      </c>
      <c r="D17" s="4" t="n">
        <f aca="false">-D6*Assumptions!D18/100</f>
        <v>-23.87712</v>
      </c>
      <c r="E17" s="4" t="n">
        <f aca="false">-E6*Assumptions!E18/100</f>
        <v>-24.1158912</v>
      </c>
      <c r="F17" s="4" t="n">
        <f aca="false">-F6*Assumptions!F18/100</f>
        <v>-24.598209024</v>
      </c>
      <c r="G17" s="4" t="n">
        <f aca="false">-G6*Assumptions!G18/100</f>
        <v>-25.09017320448</v>
      </c>
      <c r="H17" s="4" t="n">
        <f aca="false">-H6*Assumptions!H18/100</f>
        <v>-25.5919766685696</v>
      </c>
      <c r="I17" s="4" t="n">
        <f aca="false">-I6*Assumptions!I18/100</f>
        <v>-26.103816201941</v>
      </c>
      <c r="J17" s="4" t="n">
        <f aca="false">-J6*Assumptions!J18/100</f>
        <v>-26.6258925259798</v>
      </c>
      <c r="K17" s="4" t="n">
        <f aca="false">-K6*Assumptions!K18/100</f>
        <v>-27.1584103764994</v>
      </c>
      <c r="L17" s="4" t="n">
        <f aca="false">-L6*Assumptions!L18/100</f>
        <v>-27.7015785840294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195.204783</v>
      </c>
      <c r="D19" s="0" t="n">
        <f aca="false">D15+D16+D17+D18</f>
        <v>181.44521952</v>
      </c>
      <c r="E19" s="0" t="n">
        <f aca="false">E15+E16+E17+E18</f>
        <v>181.7569502448</v>
      </c>
      <c r="F19" s="0" t="n">
        <f aca="false">F15+F16+F17+F18</f>
        <v>185.392089249696</v>
      </c>
      <c r="G19" s="0" t="n">
        <f aca="false">G15+G16+G17+G18</f>
        <v>189.09993103469</v>
      </c>
      <c r="H19" s="0" t="n">
        <f aca="false">H15+H16+H17+H18</f>
        <v>192.881929655384</v>
      </c>
      <c r="I19" s="0" t="n">
        <f aca="false">I15+I16+I17+I18</f>
        <v>196.739568248491</v>
      </c>
      <c r="J19" s="0" t="n">
        <f aca="false">J15+J16+J17+J18</f>
        <v>200.674359613461</v>
      </c>
      <c r="K19" s="0" t="n">
        <f aca="false">K15+K16+K17+K18</f>
        <v>204.68784680573</v>
      </c>
      <c r="L19" s="0" t="n">
        <f aca="false">L15+L16+L17+L18</f>
        <v>208.781603741845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173.515362666667</v>
      </c>
      <c r="D21" s="0" t="n">
        <f aca="false">D19*D20</f>
        <v>143.364124065185</v>
      </c>
      <c r="E21" s="0" t="n">
        <f aca="false">E19*E20</f>
        <v>127.653715398268</v>
      </c>
      <c r="F21" s="0" t="n">
        <f aca="false">F19*F20</f>
        <v>115.739368627763</v>
      </c>
      <c r="G21" s="0" t="n">
        <f aca="false">G19*G20</f>
        <v>104.937027555839</v>
      </c>
      <c r="H21" s="0" t="n">
        <f aca="false">H19*H20</f>
        <v>95.1429049839604</v>
      </c>
      <c r="I21" s="0" t="n">
        <f aca="false">I19*I20</f>
        <v>86.2629005187908</v>
      </c>
      <c r="J21" s="0" t="n">
        <f aca="false">J19*J20</f>
        <v>78.2116964703703</v>
      </c>
      <c r="K21" s="0" t="n">
        <f aca="false">K19*K20</f>
        <v>70.9119381331358</v>
      </c>
      <c r="L21" s="0" t="n">
        <f aca="false">L19*L20</f>
        <v>64.2934905740431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1060.03252899402</v>
      </c>
    </row>
    <row r="31" customFormat="false" ht="15" hidden="false" customHeight="false" outlineLevel="0" collapsed="false">
      <c r="A31" s="0" t="s">
        <v>127</v>
      </c>
      <c r="B31" s="0" t="n">
        <f aca="false">L19</f>
        <v>208.781603741845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2028.16415063507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1879.03443367661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1879.03443367661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578.641415166388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1638.67394416041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1638.67394416041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3.01705782938354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-0.383644978675478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3.01705782938354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1638.13258320525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2.51157787925028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4.5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310.9</v>
      </c>
      <c r="C6" s="0" t="n">
        <f aca="false">B6*(1+C5/100)</f>
        <v>324.8905</v>
      </c>
      <c r="D6" s="0" t="n">
        <f aca="false">C6*(1+D5/100)</f>
        <v>337.88612</v>
      </c>
      <c r="E6" s="0" t="n">
        <f aca="false">D6*(1+E5/100)</f>
        <v>351.4015648</v>
      </c>
      <c r="F6" s="0" t="n">
        <f aca="false">E6*(1+F5/100)</f>
        <v>365.457627392</v>
      </c>
      <c r="G6" s="0" t="n">
        <f aca="false">F6*(1+G5/100)</f>
        <v>380.07593248768</v>
      </c>
      <c r="H6" s="0" t="n">
        <f aca="false">G6*(1+H5/100)</f>
        <v>393.378590124749</v>
      </c>
      <c r="I6" s="0" t="n">
        <f aca="false">H6*(1+I5/100)</f>
        <v>405.179947828491</v>
      </c>
      <c r="J6" s="0" t="n">
        <f aca="false">I6*(1+J5/100)</f>
        <v>417.335346263346</v>
      </c>
      <c r="K6" s="0" t="n">
        <f aca="false">J6*(1+K5/100)</f>
        <v>429.855406651246</v>
      </c>
      <c r="L6" s="0" t="n">
        <f aca="false">K6*(1+L5/100)</f>
        <v>442.751068850784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73</v>
      </c>
      <c r="D7" s="4" t="n">
        <f aca="false">Assumptions!D28</f>
        <v>73.5</v>
      </c>
      <c r="E7" s="4" t="n">
        <f aca="false">Assumptions!E28</f>
        <v>74</v>
      </c>
      <c r="F7" s="4" t="n">
        <f aca="false">Assumptions!F28</f>
        <v>74.5</v>
      </c>
      <c r="G7" s="4" t="n">
        <f aca="false">Assumptions!G28</f>
        <v>75</v>
      </c>
      <c r="H7" s="4" t="n">
        <f aca="false">Assumptions!H28</f>
        <v>75.5</v>
      </c>
      <c r="I7" s="4" t="n">
        <f aca="false">Assumptions!I28</f>
        <v>76</v>
      </c>
      <c r="J7" s="4" t="n">
        <f aca="false">Assumptions!J28</f>
        <v>76</v>
      </c>
      <c r="K7" s="4" t="n">
        <f aca="false">Assumptions!K28</f>
        <v>76</v>
      </c>
      <c r="L7" s="4" t="n">
        <f aca="false">Assumptions!L28</f>
        <v>76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237.170065</v>
      </c>
      <c r="D8" s="0" t="n">
        <f aca="false">D6*D7/100</f>
        <v>248.3462982</v>
      </c>
      <c r="E8" s="0" t="n">
        <f aca="false">E6*E7/100</f>
        <v>260.037157952</v>
      </c>
      <c r="F8" s="0" t="n">
        <f aca="false">F6*F7/100</f>
        <v>272.26593240704</v>
      </c>
      <c r="G8" s="0" t="n">
        <f aca="false">G6*G7/100</f>
        <v>285.05694936576</v>
      </c>
      <c r="H8" s="0" t="n">
        <f aca="false">H6*H7/100</f>
        <v>297.000835544185</v>
      </c>
      <c r="I8" s="0" t="n">
        <f aca="false">I6*I7/100</f>
        <v>307.936760349653</v>
      </c>
      <c r="J8" s="0" t="n">
        <f aca="false">J6*J7/100</f>
        <v>317.174863160143</v>
      </c>
      <c r="K8" s="0" t="n">
        <f aca="false">K6*K7/100</f>
        <v>326.690109054947</v>
      </c>
      <c r="L8" s="0" t="n">
        <f aca="false">L6*L7/100</f>
        <v>336.490812326596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237.170065</v>
      </c>
      <c r="D11" s="0" t="n">
        <f aca="false">D8+D10+D24</f>
        <v>248.3462982</v>
      </c>
      <c r="E11" s="0" t="n">
        <f aca="false">E8+E10+E24</f>
        <v>260.037157952</v>
      </c>
      <c r="F11" s="0" t="n">
        <f aca="false">F8+F10+F24</f>
        <v>272.26593240704</v>
      </c>
      <c r="G11" s="0" t="n">
        <f aca="false">G8+G10+G24</f>
        <v>285.05694936576</v>
      </c>
      <c r="H11" s="0" t="n">
        <f aca="false">H8+H10+H24</f>
        <v>297.000835544185</v>
      </c>
      <c r="I11" s="0" t="n">
        <f aca="false">I8+I10+I24</f>
        <v>307.936760349653</v>
      </c>
      <c r="J11" s="0" t="n">
        <f aca="false">J8+J10+J24</f>
        <v>317.174863160143</v>
      </c>
      <c r="K11" s="0" t="n">
        <f aca="false">K8+K10+K24</f>
        <v>326.690109054947</v>
      </c>
      <c r="L11" s="0" t="n">
        <f aca="false">L8+L10+L24</f>
        <v>336.490812326596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237.170065</v>
      </c>
      <c r="D13" s="0" t="n">
        <f aca="false">D11+D12</f>
        <v>248.3462982</v>
      </c>
      <c r="E13" s="0" t="n">
        <f aca="false">E11+E12</f>
        <v>260.037157952</v>
      </c>
      <c r="F13" s="0" t="n">
        <f aca="false">F11+F12</f>
        <v>272.26593240704</v>
      </c>
      <c r="G13" s="0" t="n">
        <f aca="false">G11+G12</f>
        <v>285.05694936576</v>
      </c>
      <c r="H13" s="0" t="n">
        <f aca="false">H11+H12</f>
        <v>297.000835544185</v>
      </c>
      <c r="I13" s="0" t="n">
        <f aca="false">I11+I12</f>
        <v>307.936760349653</v>
      </c>
      <c r="J13" s="0" t="n">
        <f aca="false">J11+J12</f>
        <v>317.174863160143</v>
      </c>
      <c r="K13" s="0" t="n">
        <f aca="false">K11+K12</f>
        <v>326.690109054947</v>
      </c>
      <c r="L13" s="0" t="n">
        <f aca="false">L11+L12</f>
        <v>336.490812326596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0.3</v>
      </c>
      <c r="D14" s="4" t="n">
        <f aca="false">Assumptions!D33</f>
        <v>0.3</v>
      </c>
      <c r="E14" s="4" t="n">
        <f aca="false">Assumptions!E33</f>
        <v>0.3</v>
      </c>
      <c r="F14" s="4" t="n">
        <f aca="false">Assumptions!F33</f>
        <v>0.3</v>
      </c>
      <c r="G14" s="4" t="n">
        <f aca="false">Assumptions!G33</f>
        <v>0.3</v>
      </c>
      <c r="H14" s="4" t="n">
        <f aca="false">Assumptions!H33</f>
        <v>0.3</v>
      </c>
      <c r="I14" s="4" t="n">
        <f aca="false">Assumptions!I33</f>
        <v>0.3</v>
      </c>
      <c r="J14" s="4" t="n">
        <f aca="false">Assumptions!J33</f>
        <v>0.3</v>
      </c>
      <c r="K14" s="4" t="n">
        <f aca="false">Assumptions!K33</f>
        <v>0.3</v>
      </c>
      <c r="L14" s="4" t="n">
        <f aca="false">Assumptions!L33</f>
        <v>0.3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236.458554805</v>
      </c>
      <c r="D15" s="0" t="n">
        <f aca="false">D13-MAX(0,D13)*D14/100</f>
        <v>247.6012593054</v>
      </c>
      <c r="E15" s="0" t="n">
        <f aca="false">E13-MAX(0,E13)*E14/100</f>
        <v>259.257046478144</v>
      </c>
      <c r="F15" s="0" t="n">
        <f aca="false">F13-MAX(0,F13)*F14/100</f>
        <v>271.449134609819</v>
      </c>
      <c r="G15" s="0" t="n">
        <f aca="false">G13-MAX(0,G13)*G14/100</f>
        <v>284.201778517663</v>
      </c>
      <c r="H15" s="0" t="n">
        <f aca="false">H13-MAX(0,H13)*H14/100</f>
        <v>296.109833037553</v>
      </c>
      <c r="I15" s="0" t="n">
        <f aca="false">I13-MAX(0,I13)*I14/100</f>
        <v>307.012950068604</v>
      </c>
      <c r="J15" s="0" t="n">
        <f aca="false">J13-MAX(0,J13)*J14/100</f>
        <v>316.223338570663</v>
      </c>
      <c r="K15" s="0" t="n">
        <f aca="false">K13-MAX(0,K13)*K14/100</f>
        <v>325.710038727782</v>
      </c>
      <c r="L15" s="0" t="n">
        <f aca="false">L13-MAX(0,L13)*L14/100</f>
        <v>335.481339889616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-19.49343</v>
      </c>
      <c r="D17" s="4" t="n">
        <f aca="false">-D6*Assumptions!D32/100</f>
        <v>-20.2731672</v>
      </c>
      <c r="E17" s="4" t="n">
        <f aca="false">-E6*Assumptions!E32/100</f>
        <v>-21.084093888</v>
      </c>
      <c r="F17" s="4" t="n">
        <f aca="false">-F6*Assumptions!F32/100</f>
        <v>-21.92745764352</v>
      </c>
      <c r="G17" s="4" t="n">
        <f aca="false">-G6*Assumptions!G32/100</f>
        <v>-22.8045559492608</v>
      </c>
      <c r="H17" s="4" t="n">
        <f aca="false">-H6*Assumptions!H32/100</f>
        <v>-23.6027154074849</v>
      </c>
      <c r="I17" s="4" t="n">
        <f aca="false">-I6*Assumptions!I32/100</f>
        <v>-24.3107968697095</v>
      </c>
      <c r="J17" s="4" t="n">
        <f aca="false">-J6*Assumptions!J32/100</f>
        <v>-25.0401207758008</v>
      </c>
      <c r="K17" s="4" t="n">
        <f aca="false">-K6*Assumptions!K32/100</f>
        <v>-25.7913243990748</v>
      </c>
      <c r="L17" s="4" t="n">
        <f aca="false">-L6*Assumptions!L32/100</f>
        <v>-26.565064131047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216.965124805</v>
      </c>
      <c r="D19" s="0" t="n">
        <f aca="false">D15+D16+D17+D18</f>
        <v>227.3280921054</v>
      </c>
      <c r="E19" s="0" t="n">
        <f aca="false">E15+E16+E17+E18</f>
        <v>238.172952590144</v>
      </c>
      <c r="F19" s="0" t="n">
        <f aca="false">F15+F16+F17+F18</f>
        <v>249.521676966299</v>
      </c>
      <c r="G19" s="0" t="n">
        <f aca="false">G15+G16+G17+G18</f>
        <v>261.397222568402</v>
      </c>
      <c r="H19" s="0" t="n">
        <f aca="false">H15+H16+H17+H18</f>
        <v>272.507117630068</v>
      </c>
      <c r="I19" s="0" t="n">
        <f aca="false">I15+I16+I17+I18</f>
        <v>282.702153198895</v>
      </c>
      <c r="J19" s="0" t="n">
        <f aca="false">J15+J16+J17+J18</f>
        <v>291.183217794862</v>
      </c>
      <c r="K19" s="0" t="n">
        <f aca="false">K15+K16+K17+K18</f>
        <v>299.918714328708</v>
      </c>
      <c r="L19" s="0" t="n">
        <f aca="false">L15+L16+L17+L18</f>
        <v>308.916275758569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195.464076400901</v>
      </c>
      <c r="D21" s="0" t="n">
        <f aca="false">D19*D20</f>
        <v>184.504579259313</v>
      </c>
      <c r="E21" s="0" t="n">
        <f aca="false">E19*E20</f>
        <v>174.150010192913</v>
      </c>
      <c r="F21" s="0" t="n">
        <f aca="false">F19*F20</f>
        <v>164.367657338304</v>
      </c>
      <c r="G21" s="0" t="n">
        <f aca="false">G19*G20</f>
        <v>155.126528884037</v>
      </c>
      <c r="H21" s="0" t="n">
        <f aca="false">H19*H20</f>
        <v>145.693433209886</v>
      </c>
      <c r="I21" s="0" t="n">
        <f aca="false">I19*I20</f>
        <v>136.165869865188</v>
      </c>
      <c r="J21" s="0" t="n">
        <f aca="false">J19*J20</f>
        <v>126.352113478508</v>
      </c>
      <c r="K21" s="0" t="n">
        <f aca="false">K19*K20</f>
        <v>117.245654849426</v>
      </c>
      <c r="L21" s="0" t="n">
        <f aca="false">L19*L20</f>
        <v>108.795517562981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1507.86544104146</v>
      </c>
    </row>
    <row r="31" customFormat="false" ht="15" hidden="false" customHeight="false" outlineLevel="0" collapsed="false">
      <c r="A31" s="0" t="s">
        <v>127</v>
      </c>
      <c r="B31" s="0" t="n">
        <f aca="false">L19</f>
        <v>308.916275758569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3977.29705039157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3706.99530910283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3706.99530910283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1305.54621075577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2813.41165179723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2813.41165179723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5.17993569226044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0.0582095387661781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5.17993569226044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2651.53136692772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3.54625081075733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6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310.9</v>
      </c>
      <c r="C6" s="0" t="n">
        <f aca="false">B6*(1+C5/100)</f>
        <v>329.554</v>
      </c>
      <c r="D6" s="0" t="n">
        <f aca="false">C6*(1+D5/100)</f>
        <v>352.62278</v>
      </c>
      <c r="E6" s="0" t="n">
        <f aca="false">D6*(1+E5/100)</f>
        <v>377.3063746</v>
      </c>
      <c r="F6" s="0" t="n">
        <f aca="false">E6*(1+F5/100)</f>
        <v>399.944757076</v>
      </c>
      <c r="G6" s="0" t="n">
        <f aca="false">F6*(1+G5/100)</f>
        <v>423.94144250056</v>
      </c>
      <c r="H6" s="0" t="n">
        <f aca="false">G6*(1+H5/100)</f>
        <v>445.138514625588</v>
      </c>
      <c r="I6" s="0" t="n">
        <f aca="false">H6*(1+I5/100)</f>
        <v>465.169747783739</v>
      </c>
      <c r="J6" s="0" t="n">
        <f aca="false">I6*(1+J5/100)</f>
        <v>483.776537695089</v>
      </c>
      <c r="K6" s="0" t="n">
        <f aca="false">J6*(1+K5/100)</f>
        <v>500.708716514417</v>
      </c>
      <c r="L6" s="0" t="n">
        <f aca="false">K6*(1+L5/100)</f>
        <v>518.233521592422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73.5</v>
      </c>
      <c r="D7" s="4" t="n">
        <f aca="false">Assumptions!D42</f>
        <v>74.5</v>
      </c>
      <c r="E7" s="4" t="n">
        <f aca="false">Assumptions!E42</f>
        <v>75.5</v>
      </c>
      <c r="F7" s="4" t="n">
        <f aca="false">Assumptions!F42</f>
        <v>76.5</v>
      </c>
      <c r="G7" s="4" t="n">
        <f aca="false">Assumptions!G42</f>
        <v>77.5</v>
      </c>
      <c r="H7" s="4" t="n">
        <f aca="false">Assumptions!H42</f>
        <v>78</v>
      </c>
      <c r="I7" s="4" t="n">
        <f aca="false">Assumptions!I42</f>
        <v>78.5</v>
      </c>
      <c r="J7" s="4" t="n">
        <f aca="false">Assumptions!J42</f>
        <v>79</v>
      </c>
      <c r="K7" s="4" t="n">
        <f aca="false">Assumptions!K42</f>
        <v>79</v>
      </c>
      <c r="L7" s="4" t="n">
        <f aca="false">Assumptions!L42</f>
        <v>79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242.22219</v>
      </c>
      <c r="D8" s="0" t="n">
        <f aca="false">D6*D7/100</f>
        <v>262.7039711</v>
      </c>
      <c r="E8" s="0" t="n">
        <f aca="false">E6*E7/100</f>
        <v>284.866312823</v>
      </c>
      <c r="F8" s="0" t="n">
        <f aca="false">F6*F7/100</f>
        <v>305.95773916314</v>
      </c>
      <c r="G8" s="0" t="n">
        <f aca="false">G6*G7/100</f>
        <v>328.554617937934</v>
      </c>
      <c r="H8" s="0" t="n">
        <f aca="false">H6*H7/100</f>
        <v>347.208041407959</v>
      </c>
      <c r="I8" s="0" t="n">
        <f aca="false">I6*I7/100</f>
        <v>365.158252010235</v>
      </c>
      <c r="J8" s="0" t="n">
        <f aca="false">J6*J7/100</f>
        <v>382.18346477912</v>
      </c>
      <c r="K8" s="0" t="n">
        <f aca="false">K6*K7/100</f>
        <v>395.55988604639</v>
      </c>
      <c r="L8" s="0" t="n">
        <f aca="false">L6*L7/100</f>
        <v>409.404482058013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242.22219</v>
      </c>
      <c r="D11" s="0" t="n">
        <f aca="false">D8+D10+D24</f>
        <v>262.7039711</v>
      </c>
      <c r="E11" s="0" t="n">
        <f aca="false">E8+E10+E24</f>
        <v>284.866312823</v>
      </c>
      <c r="F11" s="0" t="n">
        <f aca="false">F8+F10+F24</f>
        <v>305.95773916314</v>
      </c>
      <c r="G11" s="0" t="n">
        <f aca="false">G8+G10+G24</f>
        <v>328.554617937934</v>
      </c>
      <c r="H11" s="0" t="n">
        <f aca="false">H8+H10+H24</f>
        <v>347.208041407959</v>
      </c>
      <c r="I11" s="0" t="n">
        <f aca="false">I8+I10+I24</f>
        <v>365.158252010235</v>
      </c>
      <c r="J11" s="0" t="n">
        <f aca="false">J8+J10+J24</f>
        <v>382.18346477912</v>
      </c>
      <c r="K11" s="0" t="n">
        <f aca="false">K8+K10+K24</f>
        <v>395.55988604639</v>
      </c>
      <c r="L11" s="0" t="n">
        <f aca="false">L8+L10+L24</f>
        <v>409.404482058013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242.22219</v>
      </c>
      <c r="D13" s="0" t="n">
        <f aca="false">D11+D12</f>
        <v>262.7039711</v>
      </c>
      <c r="E13" s="0" t="n">
        <f aca="false">E11+E12</f>
        <v>284.866312823</v>
      </c>
      <c r="F13" s="0" t="n">
        <f aca="false">F11+F12</f>
        <v>305.95773916314</v>
      </c>
      <c r="G13" s="0" t="n">
        <f aca="false">G11+G12</f>
        <v>328.554617937934</v>
      </c>
      <c r="H13" s="0" t="n">
        <f aca="false">H11+H12</f>
        <v>347.208041407959</v>
      </c>
      <c r="I13" s="0" t="n">
        <f aca="false">I11+I12</f>
        <v>365.158252010235</v>
      </c>
      <c r="J13" s="0" t="n">
        <f aca="false">J11+J12</f>
        <v>382.18346477912</v>
      </c>
      <c r="K13" s="0" t="n">
        <f aca="false">K11+K12</f>
        <v>395.55988604639</v>
      </c>
      <c r="L13" s="0" t="n">
        <f aca="false">L11+L12</f>
        <v>409.404482058013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0.3</v>
      </c>
      <c r="D14" s="4" t="n">
        <f aca="false">Assumptions!D47</f>
        <v>0.3</v>
      </c>
      <c r="E14" s="4" t="n">
        <f aca="false">Assumptions!E47</f>
        <v>0.3</v>
      </c>
      <c r="F14" s="4" t="n">
        <f aca="false">Assumptions!F47</f>
        <v>0.3</v>
      </c>
      <c r="G14" s="4" t="n">
        <f aca="false">Assumptions!G47</f>
        <v>0.3</v>
      </c>
      <c r="H14" s="4" t="n">
        <f aca="false">Assumptions!H47</f>
        <v>0.3</v>
      </c>
      <c r="I14" s="4" t="n">
        <f aca="false">Assumptions!I47</f>
        <v>0.3</v>
      </c>
      <c r="J14" s="4" t="n">
        <f aca="false">Assumptions!J47</f>
        <v>0.3</v>
      </c>
      <c r="K14" s="4" t="n">
        <f aca="false">Assumptions!K47</f>
        <v>0.3</v>
      </c>
      <c r="L14" s="4" t="n">
        <f aca="false">Assumptions!L47</f>
        <v>0.3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241.49552343</v>
      </c>
      <c r="D15" s="0" t="n">
        <f aca="false">D13-MAX(0,D13)*D14/100</f>
        <v>261.9158591867</v>
      </c>
      <c r="E15" s="0" t="n">
        <f aca="false">E13-MAX(0,E13)*E14/100</f>
        <v>284.011713884531</v>
      </c>
      <c r="F15" s="0" t="n">
        <f aca="false">F13-MAX(0,F13)*F14/100</f>
        <v>305.039865945651</v>
      </c>
      <c r="G15" s="0" t="n">
        <f aca="false">G13-MAX(0,G13)*G14/100</f>
        <v>327.56895408412</v>
      </c>
      <c r="H15" s="0" t="n">
        <f aca="false">H13-MAX(0,H13)*H14/100</f>
        <v>346.166417283735</v>
      </c>
      <c r="I15" s="0" t="n">
        <f aca="false">I13-MAX(0,I13)*I14/100</f>
        <v>364.062777254205</v>
      </c>
      <c r="J15" s="0" t="n">
        <f aca="false">J13-MAX(0,J13)*J14/100</f>
        <v>381.036914384783</v>
      </c>
      <c r="K15" s="0" t="n">
        <f aca="false">K13-MAX(0,K13)*K14/100</f>
        <v>394.37320638825</v>
      </c>
      <c r="L15" s="0" t="n">
        <f aca="false">L13-MAX(0,L13)*L14/100</f>
        <v>408.176268611839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-16.4777</v>
      </c>
      <c r="D17" s="4" t="n">
        <f aca="false">-D6*Assumptions!D46/100</f>
        <v>-17.631139</v>
      </c>
      <c r="E17" s="4" t="n">
        <f aca="false">-E6*Assumptions!E46/100</f>
        <v>-18.86531873</v>
      </c>
      <c r="F17" s="4" t="n">
        <f aca="false">-F6*Assumptions!F46/100</f>
        <v>-19.9972378538</v>
      </c>
      <c r="G17" s="4" t="n">
        <f aca="false">-G6*Assumptions!G46/100</f>
        <v>-21.197072125028</v>
      </c>
      <c r="H17" s="4" t="n">
        <f aca="false">-H6*Assumptions!H46/100</f>
        <v>-22.2569257312794</v>
      </c>
      <c r="I17" s="4" t="n">
        <f aca="false">-I6*Assumptions!I46/100</f>
        <v>-23.258487389187</v>
      </c>
      <c r="J17" s="4" t="n">
        <f aca="false">-J6*Assumptions!J46/100</f>
        <v>-24.1888268847545</v>
      </c>
      <c r="K17" s="4" t="n">
        <f aca="false">-K6*Assumptions!K46/100</f>
        <v>-25.0354358257209</v>
      </c>
      <c r="L17" s="4" t="n">
        <f aca="false">-L6*Assumptions!L46/100</f>
        <v>-25.9116760796211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225.01782343</v>
      </c>
      <c r="D19" s="0" t="n">
        <f aca="false">D15+D16+D17+D18</f>
        <v>244.2847201867</v>
      </c>
      <c r="E19" s="0" t="n">
        <f aca="false">E15+E16+E17+E18</f>
        <v>265.146395154531</v>
      </c>
      <c r="F19" s="0" t="n">
        <f aca="false">F15+F16+F17+F18</f>
        <v>285.042628091851</v>
      </c>
      <c r="G19" s="0" t="n">
        <f aca="false">G15+G16+G17+G18</f>
        <v>306.371881959092</v>
      </c>
      <c r="H19" s="0" t="n">
        <f aca="false">H15+H16+H17+H18</f>
        <v>323.909491552455</v>
      </c>
      <c r="I19" s="0" t="n">
        <f aca="false">I15+I16+I17+I18</f>
        <v>340.804289865018</v>
      </c>
      <c r="J19" s="0" t="n">
        <f aca="false">J15+J16+J17+J18</f>
        <v>356.848087500029</v>
      </c>
      <c r="K19" s="0" t="n">
        <f aca="false">K15+K16+K17+K18</f>
        <v>369.33777056253</v>
      </c>
      <c r="L19" s="0" t="n">
        <f aca="false">L15+L16+L17+L18</f>
        <v>382.264592532218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204.561657663636</v>
      </c>
      <c r="D21" s="0" t="n">
        <f aca="false">D19*D20</f>
        <v>201.888198501405</v>
      </c>
      <c r="E21" s="0" t="n">
        <f aca="false">E19*E20</f>
        <v>199.208411085297</v>
      </c>
      <c r="F21" s="0" t="n">
        <f aca="false">F19*F20</f>
        <v>194.687950339356</v>
      </c>
      <c r="G21" s="0" t="n">
        <f aca="false">G19*G20</f>
        <v>190.232834294163</v>
      </c>
      <c r="H21" s="0" t="n">
        <f aca="false">H19*H20</f>
        <v>182.838463678335</v>
      </c>
      <c r="I21" s="0" t="n">
        <f aca="false">I19*I20</f>
        <v>174.886488072085</v>
      </c>
      <c r="J21" s="0" t="n">
        <f aca="false">J19*J20</f>
        <v>166.472266432492</v>
      </c>
      <c r="K21" s="0" t="n">
        <f aca="false">K19*K20</f>
        <v>156.635268870572</v>
      </c>
      <c r="L21" s="0" t="n">
        <f aca="false">L19*L20</f>
        <v>147.379548437311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1818.79108737465</v>
      </c>
    </row>
    <row r="31" customFormat="false" ht="15" hidden="false" customHeight="false" outlineLevel="0" collapsed="false">
      <c r="A31" s="0" t="s">
        <v>127</v>
      </c>
      <c r="B31" s="0" t="n">
        <f aca="false">L19</f>
        <v>382.264592532218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6086.82851185916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5351.70429545105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5351.70429545105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2063.31367812235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3882.104765497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3882.104765497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7.14756869050658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0.460177464863448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7.14756869050658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3440.38133278996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4.24334249799717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3.01705782938354</v>
      </c>
      <c r="C4" s="0" t="n">
        <f aca="false">B4/Assumptions!$B$2-1</f>
        <v>-0.383644978675478</v>
      </c>
      <c r="D4" s="4" t="n">
        <f aca="false">Assumptions!$B$24</f>
        <v>0.25</v>
      </c>
      <c r="E4" s="4" t="n">
        <f aca="false">DCF_Bear!$B$43</f>
        <v>3.01705782938354</v>
      </c>
      <c r="F4" s="4" t="n">
        <f aca="false">DCF_Bear!$B$47</f>
        <v>2.51157787925028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5.17993569226044</v>
      </c>
      <c r="C5" s="0" t="n">
        <f aca="false">B5/Assumptions!$B$2-1</f>
        <v>0.0582095387661781</v>
      </c>
      <c r="D5" s="4" t="n">
        <f aca="false">Assumptions!$B$38</f>
        <v>0.5</v>
      </c>
      <c r="E5" s="4" t="n">
        <f aca="false">DCF_Base!$B$43</f>
        <v>5.17993569226044</v>
      </c>
      <c r="F5" s="4" t="n">
        <f aca="false">DCF_Base!$B$47</f>
        <v>3.54625081075733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7.14756869050658</v>
      </c>
      <c r="C6" s="0" t="n">
        <f aca="false">B6/Assumptions!$B$2-1</f>
        <v>0.460177464863448</v>
      </c>
      <c r="D6" s="4" t="n">
        <f aca="false">Assumptions!$B$52</f>
        <v>0.25</v>
      </c>
      <c r="E6" s="4" t="n">
        <f aca="false">DCF_Bull!$B$43</f>
        <v>7.14756869050658</v>
      </c>
      <c r="F6" s="4" t="n">
        <f aca="false">DCF_Bull!$B$47</f>
        <v>4.24334249799717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5.13112447610275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5.13112447610275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0.046018075999219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3.46185549969053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5.92610663221435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5.5364137800623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5.17993569226044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4.75171042598139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3.54625081075733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5.92610663221435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5.92610663221435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5.92610663221435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5.92610663221435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5.92610663221435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5.5364137800623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5.5364137800623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5.5364137800623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5.5364137800623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5.5364137800623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5.04639585893568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5.17993569226044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5.17993569226044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5.17993569226044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5.17993569226044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4.52381943166096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4.63176779739169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4.75171042598139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4.85344747701729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4.85344747701729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4.09711043677636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4.17907269310288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4.26923117506206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4.36888002354325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4.47960096630013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2026-10-10T21:10:45Z</dcterms:created>
  <dc:creator>openpyxl</dc:creator>
  <dc:description/>
  <dc:language>en-NZ</dc:language>
  <cp:lastModifiedBy/>
  <dcterms:modified xsi:type="dcterms:W3CDTF">2026-10-10T21:10:45Z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