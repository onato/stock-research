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<sst xmlns="http://schemas.openxmlformats.org/spreadsheetml/2006/main" count="381" uniqueCount="172">
  <si>
    <t xml:space="preserve">Ticker</t>
  </si>
  <si>
    <t xml:space="preserve">BNR.DE</t>
  </si>
  <si>
    <t xml:space="preserve">Company</t>
  </si>
  <si>
    <t xml:space="preserve">Brenntag SE</t>
  </si>
  <si>
    <t xml:space="preserve">Valuation date</t>
  </si>
  <si>
    <t xml:space="preserve">2026-10-31</t>
  </si>
  <si>
    <t xml:space="preserve">Current price</t>
  </si>
  <si>
    <t xml:space="preserve">Price as of</t>
  </si>
  <si>
    <t xml:space="preserve">2026-10-30T16:35:19Z XETRA regular close</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</si>
  <si>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</si>
  <si>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</si>
  <si>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</si>
  <si>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</si>
  <si>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</si>
  <si>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</si>
  <si>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</si>
  <si>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</si>
  <si>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</si>
  <si>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</si>
  <si>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</si>
  <si>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</si>
  <si>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2026-10-30T21:26:53Z</t>
  </si>
  <si>
    <t xml:space="preserve">Drivers file</t>
  </si>
  <si>
    <t xml:space="preserve">BNR.DE_Drivers.json</t>
  </si>
  <si>
    <t xml:space="preserve">Convention</t>
  </si>
  <si>
    <t xml:space="preserve">Percents stored as percents; formulas divide by 100. Blue = input, green = link, black = formula.</t>
  </si>
  <si>
    <t xml:space="preserve">Methodology</t>
  </si>
  <si>
    <t xml:space="preserve">summary: Value Brenntag as a mid-cycle owner-FCF stream, not off the FY2025 trough and not off the FY2022 price-inflation peak. The margin path is anchored to FY2026 guidance and to the seven post-IFRS16 years of margins on a post-special-items basis, with lease cash charged once inside the flows and lease liabilities therefore excluded from net debt. Cyclicality is priced through scenario weights (25/50/25) rather than a WACC premium. SBC is nil, so house and street bases coincide. Terminal values are capped at 13-16x owner FCF because the market has not historically paid a compounder multiple for an Essentials-heavy distributor.
key_risks_to_valuation: Mid-cycle margin assumption (8.7% base) depends on retaining roughly a third of the EUR 200-250m cost-out; if none is retained, base IV falls toward the bear case; FY2026 guidance (EUR 1,350-1,450m operating EBITDA) is the year-1 anchor; a Q3 (Nov-2026) miss or a CMD reset would move it; Net debt is taken at the seasonally high 30-Jun-2026 balance (EUR 460m H1 working-capital build); a year-end release would add ~EUR 2-3/share; Working-capital capture (-12% of revenue growth) is a material cash drag in the bull case and a tailwind in a revenue decline; Talc/product-liability and French antitrust tail risks are in the bear narrative, not quantified in the bridge; Capital Markets Day 12-Nov-2026: new strategy, mid-term targets and capital-allocation framework not yet reflected</t>
  </si>
  <si>
    <t xml:space="preserve">Data sources</t>
  </si>
  <si>
    <t xml:space="preserve">price: Yahoo Finance chart API at inputs.price_as_of; XETRA; 52-week range 43.72-66.86
financials: BNR.DE_Metrics.csv (FY2009-FY2025 annual plus Q1/H1/9M interims, EUR millions, IFRS); FY2025 Annual Report (cash flow statement, net financial liabilities table 2.12, ROU roll-forward 3.54, operating EBITA reconciliation 3.22, five-year overview); H1 2026 Half-Year Report (key figures, net financial liabilities table 1.10, cash flow statement, outlook p.17, EPS note 6)
qualitative: BNR.DE_Analysis.json (2026-10-31): business model, competitive position, FY2026 guidance history, bull/bear cases, CMD catalyst</t>
  </si>
  <si>
    <t xml:space="preserve">Scenario narrative: bear</t>
  </si>
  <si>
    <t xml:space="preserve">The H1 2026 rebound is a price pass-through from the Iran-war energy shock rather than volume, and reverses in FY2027 as crude normalises and US tariffs depress industrial production; Essentials prices deflate as they did in FY2025. The new management team, which has already missed twice in FY2025 and reversed the divisional split, cannot hold the cost savings against competitive pressure; margin settles at 7.5%, FY2018-19 territory. Talc successor-liability claims (Whittaker, Clark &amp; Daniels) and strategy-project costs keep special items elevated. Leverage (3.1bn incl. leases, ~2.3x op. EBITDA) stays comfortably investment-grade so there is no solvency path, but the dividend is held flat and growth is nominal GDP at best. Terminal cap 13x.</t>
  </si>
  <si>
    <t xml:space="preserve">Scenario narrative: base</t>
  </si>
  <si>
    <t xml:space="preserve">FY2025 was the trough. FY2026 operating EBITDA lands near the twice-raised EUR 1,350-1,450m guidance midpoint; sales recover ~3% on price with H1 flat and H2 up high-single-digit. The EUR 300m run-rate cost programme plus EUR 200-250m incremental through 2027 lifts the post-special-items EBITDA margin from 8.0% to 8.7% by FY2029, roughly the post-IFRS16 mid-cycle plus a third of the targeted savings; the remainder is competed away in Essentials as it has been historically. Growth settles at ~4% (industrial production + price + bolt-ons) fading to 2.5%. Working capital absorbs ~12% of incremental sales. Dividend (EUR 1.90) is covered by owner FCF of ~EUR 3.7-5/share. The 12-Nov-2026 CMD is not modelled; a credible mid-term margin target above 9% would move the base toward the bull path.</t>
  </si>
  <si>
    <t xml:space="preserve">Scenario narrative: bull</t>
  </si>
  <si>
    <t xml:space="preserve">The chemical-distribution cycle turns decisively and the new CEO's simplification (two-member board, removal of a management layer, local sales empowerment) delivers the full cost-out into a recovering volume environment. Specialties grows faster than Essentials, pulling group mix toward IMCD/Azelis-like economics; margin reaches 9.5% (FY2022-23 levels) by FY2030 and the CMD reinstates a disciplined bolt-on M&amp;A cadence worth ~2pp/yr of growth in a market management calls favourably priced. Terminal cap 16x.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</si>
  <si>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</si>
  <si>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</si>
  <si>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</si>
  <si>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</si>
  <si>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</si>
  <si>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</si>
  <si>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</si>
  <si>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</si>
  <si>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</si>
  <si>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</si>
  <si>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</si>
  <si>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</si>
  <si>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</si>
  <si>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</si>
  <si>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</si>
  <si>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</si>
  <si>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</si>
  <si>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</si>
  <si>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</si>
  <si>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</si>
  <si>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</si>
  <si>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</si>
  <si>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</si>
  <si>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</si>
  <si>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</si>
  <si>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</si>
  <si>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</si>
  <si>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</si>
  <si>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</si>
  <si>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</si>
  <si>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</si>
  <si>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</si>
  <si>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</si>
  <si>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</si>
  <si>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</si>
  <si>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</si>
  <si>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</si>
  <si>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</si>
  <si>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</si>
  <si>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</si>
  <si>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</si>
  <si>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</si>
  <si>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</si>
  <si>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</si>
  <si>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</si>
  <si>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</si>
  <si>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</si>
  <si>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</si>
  <si>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</si>
  <si>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</si>
  <si>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</si>
  <si>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</si>
  <si>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</si>
  <si>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</si>
  <si>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</si>
  <si>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</si>
  <si>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</si>
  <si>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</si>
  <si>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</si>
  <si>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</si>
  <si>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</si>
  <si>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</si>
  <si>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</si>
  <si>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</si>
  <si>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</si>
  <si>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</si>
  <si>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</si>
  <si>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</si>
  <si>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</si>
  <si>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</si>
  <si>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</si>
  <si>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</si>
  <si>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</si>
  <si>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</si>
  <si>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</si>
  <si>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</si>
  <si>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</si>
  <si>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</si>
  <si>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</si>
  <si>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</si>
  <si>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</si>
  <si>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BNR.DE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</si>
  <si>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</si>
  <si>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</si>
  <si>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</si>
  <si>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</si>
  <si>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</si>
  <si>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</si>
  <si>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</si>
  <si>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</si>
  <si>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</si>
  <si>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</si>
  <si>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</si>
  <si>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</si>
  <si>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</si>
  <si>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</si>
  <si>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</si>
  <si>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</si>
  <si>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</si>
  <si>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</si>
  <si>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</si>
  <si>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</si>
  <si>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</si>
  <si>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</si>
  <si>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</si>
  <si>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</si>
  <si>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</si>
  <si>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</si>
  <si>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</si>
  <si>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</si>
  <si>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</si>
  <si>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</si>
  <si>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BNR.DE owner-FCF component DCF: base case (millions, EUR)</t>
  </si>
  <si>
    <t xml:space="preserve">BNR.DE owner-FCF component DCF: bull case (millions, EUR)</t>
  </si>
  <si>
    <t xml:space="preserve">BNR.DE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</si>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</sst>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63.26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6364.6</v>
      </c>
      <c r="C2" s="0" t="n">
        <v>4905.1</v>
      </c>
      <c r="D2" s="0" t="n">
        <v>1459.5</v>
      </c>
      <c r="E2" s="0" t="n">
        <v>22.9</v>
      </c>
      <c r="F2" s="0" t="n">
        <v>270.7</v>
      </c>
      <c r="G2" s="0" t="n">
        <v>4.3</v>
      </c>
      <c r="H2" s="0" t="n">
        <v>476.6</v>
      </c>
      <c r="I2" s="0" t="n">
        <v>-0.1</v>
      </c>
      <c r="J2" s="0" t="n">
        <v>0</v>
      </c>
      <c r="L2" s="0" t="n">
        <v>490.3</v>
      </c>
      <c r="M2" s="0" t="n">
        <v>67.9</v>
      </c>
      <c r="N2" s="0" t="n">
        <v>422.4</v>
      </c>
      <c r="P2" s="0" t="n">
        <v>4653.8</v>
      </c>
      <c r="S2" s="0" t="n">
        <v>602.6</v>
      </c>
      <c r="U2" s="0" t="n">
        <v>0</v>
      </c>
      <c r="AA2" s="0" t="s">
        <v>17</v>
      </c>
      <c r="AB2" s="0" t="s">
        <v>14</v>
      </c>
    </row>
    <row r="3" customFormat="false" ht="15" hidden="false" customHeight="false" outlineLevel="0" collapsed="false">
      <c r="A3" s="0" t="s">
        <v>64</v>
      </c>
      <c r="B3" s="0" t="n">
        <v>7649.1</v>
      </c>
      <c r="C3" s="0" t="n">
        <v>6012.7</v>
      </c>
      <c r="D3" s="0" t="n">
        <v>1636.4</v>
      </c>
      <c r="E3" s="0" t="n">
        <v>21.4</v>
      </c>
      <c r="F3" s="0" t="n">
        <v>409</v>
      </c>
      <c r="G3" s="0" t="n">
        <v>5.3</v>
      </c>
      <c r="H3" s="0" t="n">
        <v>597.6</v>
      </c>
      <c r="I3" s="0" t="n">
        <v>143.6</v>
      </c>
      <c r="J3" s="0" t="n">
        <v>1.9</v>
      </c>
      <c r="K3" s="0" t="n">
        <v>2.93</v>
      </c>
      <c r="L3" s="0" t="n">
        <v>150.3</v>
      </c>
      <c r="M3" s="0" t="n">
        <v>81.2</v>
      </c>
      <c r="N3" s="0" t="n">
        <v>69.1</v>
      </c>
      <c r="P3" s="0" t="n">
        <v>4970.2</v>
      </c>
      <c r="R3" s="0" t="n">
        <v>1783.8</v>
      </c>
      <c r="S3" s="0" t="n">
        <v>362.9</v>
      </c>
      <c r="T3" s="0" t="n">
        <v>51.5</v>
      </c>
      <c r="U3" s="0" t="n">
        <v>0</v>
      </c>
      <c r="AA3" s="0" t="s">
        <v>17</v>
      </c>
      <c r="AB3" s="0" t="s">
        <v>14</v>
      </c>
    </row>
    <row r="4" customFormat="false" ht="15" hidden="false" customHeight="false" outlineLevel="0" collapsed="false">
      <c r="A4" s="0" t="s">
        <v>65</v>
      </c>
      <c r="B4" s="0" t="n">
        <v>8679.3</v>
      </c>
      <c r="C4" s="0" t="n">
        <v>6911.3</v>
      </c>
      <c r="D4" s="0" t="n">
        <v>1768</v>
      </c>
      <c r="E4" s="0" t="n">
        <v>20.4</v>
      </c>
      <c r="F4" s="0" t="n">
        <v>545.8</v>
      </c>
      <c r="G4" s="0" t="n">
        <v>6.3</v>
      </c>
      <c r="H4" s="0" t="n">
        <v>658.8</v>
      </c>
      <c r="I4" s="0" t="n">
        <v>277.4</v>
      </c>
      <c r="J4" s="0" t="n">
        <v>3.2</v>
      </c>
      <c r="K4" s="0" t="n">
        <v>5.39</v>
      </c>
      <c r="L4" s="0" t="n">
        <v>349.6</v>
      </c>
      <c r="M4" s="0" t="n">
        <v>86.3</v>
      </c>
      <c r="N4" s="0" t="n">
        <v>263.3</v>
      </c>
      <c r="O4" s="0" t="n">
        <v>1734.2</v>
      </c>
      <c r="P4" s="0" t="n">
        <v>5575.6</v>
      </c>
      <c r="R4" s="0" t="n">
        <v>1952.4</v>
      </c>
      <c r="S4" s="0" t="n">
        <v>458.8</v>
      </c>
      <c r="T4" s="0" t="n">
        <v>51.5</v>
      </c>
      <c r="U4" s="0" t="n">
        <v>0</v>
      </c>
      <c r="AA4" s="0" t="s">
        <v>17</v>
      </c>
      <c r="AB4" s="0" t="s">
        <v>14</v>
      </c>
    </row>
    <row r="5" customFormat="false" ht="15" hidden="false" customHeight="false" outlineLevel="0" collapsed="false">
      <c r="A5" s="0" t="s">
        <v>66</v>
      </c>
      <c r="B5" s="0" t="n">
        <v>9689.9</v>
      </c>
      <c r="C5" s="0" t="n">
        <v>7764.2</v>
      </c>
      <c r="D5" s="0" t="n">
        <v>1925.7</v>
      </c>
      <c r="E5" s="0" t="n">
        <v>19.9</v>
      </c>
      <c r="F5" s="0" t="n">
        <v>573.5</v>
      </c>
      <c r="G5" s="0" t="n">
        <v>5.9</v>
      </c>
      <c r="H5" s="0" t="n">
        <v>706.6</v>
      </c>
      <c r="I5" s="0" t="n">
        <v>336.2</v>
      </c>
      <c r="J5" s="0" t="n">
        <v>3.5</v>
      </c>
      <c r="K5" s="0" t="n">
        <v>6.53</v>
      </c>
      <c r="L5" s="0" t="n">
        <v>433</v>
      </c>
      <c r="M5" s="0" t="n">
        <v>86.3</v>
      </c>
      <c r="N5" s="0" t="n">
        <v>346.7</v>
      </c>
      <c r="O5" s="0" t="n">
        <v>1962.4</v>
      </c>
      <c r="P5" s="0" t="n">
        <v>5710.5</v>
      </c>
      <c r="R5" s="0" t="n">
        <v>1829.5</v>
      </c>
      <c r="S5" s="0" t="n">
        <v>346.6</v>
      </c>
      <c r="T5" s="0" t="n">
        <v>51.5</v>
      </c>
      <c r="U5" s="0" t="n">
        <v>0</v>
      </c>
      <c r="AA5" s="0" t="s">
        <v>17</v>
      </c>
      <c r="AB5" s="0" t="s">
        <v>14</v>
      </c>
    </row>
    <row r="6" customFormat="false" ht="15" hidden="false" customHeight="false" outlineLevel="0" collapsed="false">
      <c r="A6" s="0" t="s">
        <v>67</v>
      </c>
      <c r="B6" s="0" t="n">
        <v>9769.5</v>
      </c>
      <c r="C6" s="0" t="n">
        <v>7824</v>
      </c>
      <c r="D6" s="0" t="n">
        <v>1945.5</v>
      </c>
      <c r="E6" s="0" t="n">
        <v>19.9</v>
      </c>
      <c r="F6" s="0" t="n">
        <v>555.9</v>
      </c>
      <c r="G6" s="0" t="n">
        <v>5.7</v>
      </c>
      <c r="H6" s="0" t="n">
        <v>696.8</v>
      </c>
      <c r="I6" s="0" t="n">
        <v>339.2</v>
      </c>
      <c r="J6" s="0" t="n">
        <v>3.5</v>
      </c>
      <c r="K6" s="0" t="n">
        <v>6.59</v>
      </c>
      <c r="L6" s="0" t="n">
        <v>357.8</v>
      </c>
      <c r="M6" s="0" t="n">
        <v>98.2</v>
      </c>
      <c r="N6" s="0" t="n">
        <v>259.6</v>
      </c>
      <c r="O6" s="0" t="n">
        <v>2065.6</v>
      </c>
      <c r="P6" s="0" t="n">
        <v>5627.3</v>
      </c>
      <c r="R6" s="0" t="n">
        <v>1768.5</v>
      </c>
      <c r="S6" s="0" t="n">
        <v>426.8</v>
      </c>
      <c r="T6" s="0" t="n">
        <v>51.5</v>
      </c>
      <c r="U6" s="0" t="n">
        <v>0</v>
      </c>
      <c r="AA6" s="0" t="s">
        <v>17</v>
      </c>
      <c r="AB6" s="0" t="s">
        <v>14</v>
      </c>
    </row>
    <row r="7" customFormat="false" ht="15" hidden="false" customHeight="false" outlineLevel="0" collapsed="false">
      <c r="A7" s="0" t="s">
        <v>68</v>
      </c>
      <c r="B7" s="0" t="n">
        <v>10015.6</v>
      </c>
      <c r="C7" s="0" t="n">
        <v>7988.1</v>
      </c>
      <c r="D7" s="0" t="n">
        <v>2027.5</v>
      </c>
      <c r="E7" s="0" t="n">
        <v>20.2</v>
      </c>
      <c r="F7" s="0" t="n">
        <v>591.6</v>
      </c>
      <c r="G7" s="0" t="n">
        <v>5.9</v>
      </c>
      <c r="H7" s="0" t="n">
        <v>726.9</v>
      </c>
      <c r="I7" s="0" t="n">
        <v>339.3</v>
      </c>
      <c r="J7" s="0" t="n">
        <v>3.4</v>
      </c>
      <c r="K7" s="0" t="n">
        <v>2.2</v>
      </c>
      <c r="L7" s="0" t="n">
        <v>369.7</v>
      </c>
      <c r="M7" s="0" t="n">
        <v>103</v>
      </c>
      <c r="N7" s="0" t="n">
        <v>266.7</v>
      </c>
      <c r="O7" s="0" t="n">
        <v>2325.5</v>
      </c>
      <c r="P7" s="0" t="n">
        <v>6215</v>
      </c>
      <c r="R7" s="0" t="n">
        <v>1901.6</v>
      </c>
      <c r="S7" s="0" t="n">
        <v>491.9</v>
      </c>
      <c r="T7" s="0" t="n">
        <v>154.5</v>
      </c>
      <c r="U7" s="0" t="n">
        <v>0</v>
      </c>
      <c r="AA7" s="0" t="s">
        <v>17</v>
      </c>
      <c r="AB7" s="0" t="s">
        <v>14</v>
      </c>
    </row>
    <row r="8" customFormat="false" ht="15" hidden="false" customHeight="false" outlineLevel="0" collapsed="false">
      <c r="A8" s="0" t="s">
        <v>69</v>
      </c>
      <c r="B8" s="0" t="n">
        <v>10346.1</v>
      </c>
      <c r="C8" s="0" t="n">
        <v>8080.1</v>
      </c>
      <c r="D8" s="0" t="n">
        <v>2266</v>
      </c>
      <c r="E8" s="0" t="n">
        <v>21.9</v>
      </c>
      <c r="F8" s="0" t="n">
        <v>661.8</v>
      </c>
      <c r="G8" s="0" t="n">
        <v>6.4</v>
      </c>
      <c r="H8" s="0" t="n">
        <v>807.4</v>
      </c>
      <c r="I8" s="0" t="n">
        <v>365</v>
      </c>
      <c r="J8" s="0" t="n">
        <v>3.5</v>
      </c>
      <c r="K8" s="0" t="n">
        <v>2.36</v>
      </c>
      <c r="L8" s="0" t="n">
        <v>593.7</v>
      </c>
      <c r="M8" s="0" t="n">
        <v>126.7</v>
      </c>
      <c r="N8" s="0" t="n">
        <v>467</v>
      </c>
      <c r="O8" s="0" t="n">
        <v>2646.4</v>
      </c>
      <c r="P8" s="0" t="n">
        <v>6976.2</v>
      </c>
      <c r="Q8" s="0" t="n">
        <v>4285.7</v>
      </c>
      <c r="R8" s="0" t="n">
        <v>2255.2</v>
      </c>
      <c r="S8" s="0" t="n">
        <v>579.1</v>
      </c>
      <c r="T8" s="0" t="n">
        <v>154.5</v>
      </c>
      <c r="U8" s="0" t="n">
        <v>0</v>
      </c>
      <c r="AA8" s="0" t="s">
        <v>17</v>
      </c>
      <c r="AB8" s="0" t="s">
        <v>14</v>
      </c>
    </row>
    <row r="9" customFormat="false" ht="15" hidden="false" customHeight="false" outlineLevel="0" collapsed="false">
      <c r="A9" s="0" t="s">
        <v>70</v>
      </c>
      <c r="B9" s="0" t="n">
        <v>10498.4</v>
      </c>
      <c r="C9" s="0" t="n">
        <v>8129.1</v>
      </c>
      <c r="D9" s="0" t="n">
        <v>2369.3</v>
      </c>
      <c r="E9" s="0" t="n">
        <v>22.6</v>
      </c>
      <c r="F9" s="0" t="n">
        <v>647.3</v>
      </c>
      <c r="G9" s="0" t="n">
        <v>6.2</v>
      </c>
      <c r="H9" s="0" t="n">
        <v>810</v>
      </c>
      <c r="I9" s="0" t="n">
        <v>360.3</v>
      </c>
      <c r="J9" s="0" t="n">
        <v>3.4</v>
      </c>
      <c r="K9" s="0" t="n">
        <v>2.33</v>
      </c>
      <c r="L9" s="0" t="n">
        <v>539.9</v>
      </c>
      <c r="M9" s="0" t="n">
        <v>138.8</v>
      </c>
      <c r="N9" s="0" t="n">
        <v>401.1</v>
      </c>
      <c r="O9" s="0" t="n">
        <v>2949.5</v>
      </c>
      <c r="P9" s="0" t="n">
        <v>7287</v>
      </c>
      <c r="Q9" s="0" t="n">
        <v>4327.8</v>
      </c>
      <c r="R9" s="0" t="n">
        <v>2283.8</v>
      </c>
      <c r="S9" s="0" t="n">
        <v>601.9</v>
      </c>
      <c r="T9" s="0" t="n">
        <v>154.5</v>
      </c>
      <c r="U9" s="0" t="n">
        <v>0</v>
      </c>
      <c r="AA9" s="0" t="s">
        <v>17</v>
      </c>
      <c r="AB9" s="0" t="s">
        <v>14</v>
      </c>
    </row>
    <row r="10" customFormat="false" ht="15" hidden="false" customHeight="false" outlineLevel="0" collapsed="false">
      <c r="A10" s="0" t="s">
        <v>71</v>
      </c>
      <c r="B10" s="0" t="n">
        <v>11743.3</v>
      </c>
      <c r="C10" s="0" t="n">
        <v>9251.6</v>
      </c>
      <c r="D10" s="0" t="n">
        <v>2491.7</v>
      </c>
      <c r="E10" s="0" t="n">
        <v>21.2</v>
      </c>
      <c r="F10" s="0" t="n">
        <v>619.1</v>
      </c>
      <c r="G10" s="0" t="n">
        <v>5.3</v>
      </c>
      <c r="H10" s="0" t="n">
        <v>782.2</v>
      </c>
      <c r="I10" s="0" t="n">
        <v>360.8</v>
      </c>
      <c r="J10" s="0" t="n">
        <v>3.1</v>
      </c>
      <c r="K10" s="0" t="n">
        <v>2.34</v>
      </c>
      <c r="L10" s="0" t="n">
        <v>404.5</v>
      </c>
      <c r="M10" s="0" t="n">
        <v>151.4</v>
      </c>
      <c r="N10" s="0" t="n">
        <v>253.1</v>
      </c>
      <c r="O10" s="0" t="n">
        <v>2973.2</v>
      </c>
      <c r="P10" s="0" t="n">
        <v>7284.8</v>
      </c>
      <c r="Q10" s="0" t="n">
        <v>4299.1</v>
      </c>
      <c r="R10" s="0" t="n">
        <v>2089.9</v>
      </c>
      <c r="S10" s="0" t="n">
        <v>518</v>
      </c>
      <c r="T10" s="0" t="n">
        <v>154.5</v>
      </c>
      <c r="U10" s="0" t="n">
        <v>0</v>
      </c>
      <c r="AA10" s="0" t="s">
        <v>17</v>
      </c>
      <c r="AB10" s="0" t="s">
        <v>14</v>
      </c>
    </row>
    <row r="11" customFormat="false" ht="15" hidden="false" customHeight="false" outlineLevel="0" collapsed="false">
      <c r="A11" s="0" t="s">
        <v>72</v>
      </c>
      <c r="B11" s="0" t="n">
        <v>12550</v>
      </c>
      <c r="C11" s="0" t="n">
        <v>9958.3</v>
      </c>
      <c r="D11" s="0" t="n">
        <v>2591.7</v>
      </c>
      <c r="E11" s="0" t="n">
        <v>20.7</v>
      </c>
      <c r="F11" s="0" t="n">
        <v>721</v>
      </c>
      <c r="G11" s="0" t="n">
        <v>5.7</v>
      </c>
      <c r="H11" s="0" t="n">
        <v>892.9</v>
      </c>
      <c r="I11" s="0" t="n">
        <v>460.9</v>
      </c>
      <c r="J11" s="0" t="n">
        <v>3.7</v>
      </c>
      <c r="K11" s="0" t="n">
        <v>2.98</v>
      </c>
      <c r="L11" s="0" t="n">
        <v>375.3</v>
      </c>
      <c r="M11" s="0" t="n">
        <v>178.4</v>
      </c>
      <c r="N11" s="0" t="n">
        <v>196.9</v>
      </c>
      <c r="O11" s="0" t="n">
        <v>3276.5</v>
      </c>
      <c r="P11" s="0" t="n">
        <v>7694.5</v>
      </c>
      <c r="Q11" s="0" t="n">
        <v>4393.3</v>
      </c>
      <c r="R11" s="0" t="n">
        <v>2155.7</v>
      </c>
      <c r="S11" s="0" t="n">
        <v>393.8</v>
      </c>
      <c r="T11" s="0" t="n">
        <v>154.5</v>
      </c>
      <c r="U11" s="0" t="n">
        <v>0</v>
      </c>
      <c r="AA11" s="0" t="s">
        <v>17</v>
      </c>
      <c r="AB11" s="0" t="s">
        <v>14</v>
      </c>
    </row>
    <row r="12" customFormat="false" ht="15" hidden="false" customHeight="false" outlineLevel="0" collapsed="false">
      <c r="A12" s="0" t="s">
        <v>73</v>
      </c>
      <c r="B12" s="0" t="n">
        <v>12821.8</v>
      </c>
      <c r="C12" s="0" t="n">
        <v>10079</v>
      </c>
      <c r="D12" s="0" t="n">
        <v>2742.8</v>
      </c>
      <c r="E12" s="0" t="n">
        <v>21.4</v>
      </c>
      <c r="F12" s="0" t="n">
        <v>716.9</v>
      </c>
      <c r="G12" s="0" t="n">
        <v>5.6</v>
      </c>
      <c r="H12" s="0" t="n">
        <v>1010.1</v>
      </c>
      <c r="I12" s="0" t="n">
        <v>466.7</v>
      </c>
      <c r="J12" s="0" t="n">
        <v>3.6</v>
      </c>
      <c r="K12" s="0" t="n">
        <v>3.02</v>
      </c>
      <c r="L12" s="0" t="n">
        <v>879.3</v>
      </c>
      <c r="M12" s="0" t="n">
        <v>204</v>
      </c>
      <c r="N12" s="0" t="n">
        <v>675.3</v>
      </c>
      <c r="O12" s="0" t="n">
        <v>3515.8</v>
      </c>
      <c r="P12" s="0" t="n">
        <v>8564.2</v>
      </c>
      <c r="Q12" s="0" t="n">
        <v>4985.2</v>
      </c>
      <c r="R12" s="0" t="n">
        <v>2580.8</v>
      </c>
      <c r="S12" s="0" t="n">
        <v>520.3</v>
      </c>
      <c r="T12" s="0" t="n">
        <v>154.5</v>
      </c>
      <c r="U12" s="0" t="n">
        <v>0</v>
      </c>
      <c r="AA12" s="0" t="s">
        <v>17</v>
      </c>
      <c r="AB12" s="0" t="s">
        <v>14</v>
      </c>
    </row>
    <row r="13" customFormat="false" ht="15" hidden="false" customHeight="false" outlineLevel="0" collapsed="false">
      <c r="A13" s="0" t="s">
        <v>74</v>
      </c>
      <c r="B13" s="0" t="n">
        <v>11775.8</v>
      </c>
      <c r="C13" s="0" t="n">
        <v>9010.6</v>
      </c>
      <c r="D13" s="0" t="n">
        <v>2765.2</v>
      </c>
      <c r="E13" s="0" t="n">
        <v>23.5</v>
      </c>
      <c r="F13" s="0" t="n">
        <v>713</v>
      </c>
      <c r="G13" s="0" t="n">
        <v>6.1</v>
      </c>
      <c r="H13" s="0" t="n">
        <v>1010.5</v>
      </c>
      <c r="I13" s="0" t="n">
        <v>466.5</v>
      </c>
      <c r="J13" s="0" t="n">
        <v>4</v>
      </c>
      <c r="K13" s="0" t="n">
        <v>3.02</v>
      </c>
      <c r="L13" s="0" t="n">
        <v>1219</v>
      </c>
      <c r="M13" s="0" t="n">
        <v>199.1</v>
      </c>
      <c r="N13" s="0" t="n">
        <v>1019.9</v>
      </c>
      <c r="O13" s="0" t="n">
        <v>3549.7</v>
      </c>
      <c r="P13" s="0" t="n">
        <v>8143.5</v>
      </c>
      <c r="Q13" s="0" t="n">
        <v>4531.9</v>
      </c>
      <c r="R13" s="0" t="n">
        <v>2066.2</v>
      </c>
      <c r="S13" s="0" t="n">
        <v>726.3</v>
      </c>
      <c r="T13" s="0" t="n">
        <v>154.5</v>
      </c>
      <c r="U13" s="0" t="n">
        <v>0</v>
      </c>
      <c r="W13" s="0" t="n">
        <v>1057.7</v>
      </c>
      <c r="AA13" s="0" t="s">
        <v>17</v>
      </c>
      <c r="AB13" s="0" t="s">
        <v>14</v>
      </c>
    </row>
    <row r="14" customFormat="false" ht="15" hidden="false" customHeight="false" outlineLevel="0" collapsed="false">
      <c r="A14" s="0" t="s">
        <v>75</v>
      </c>
      <c r="B14" s="0" t="n">
        <v>14382.5</v>
      </c>
      <c r="C14" s="0" t="n">
        <v>11003.5</v>
      </c>
      <c r="D14" s="0" t="n">
        <v>3379</v>
      </c>
      <c r="E14" s="0" t="n">
        <v>23.5</v>
      </c>
      <c r="F14" s="0" t="n">
        <v>742.4</v>
      </c>
      <c r="G14" s="0" t="n">
        <v>5.2</v>
      </c>
      <c r="H14" s="0" t="n">
        <v>1115.9</v>
      </c>
      <c r="I14" s="0" t="n">
        <v>448.3</v>
      </c>
      <c r="J14" s="0" t="n">
        <v>3.1</v>
      </c>
      <c r="K14" s="0" t="n">
        <v>2.9</v>
      </c>
      <c r="L14" s="0" t="n">
        <v>388.6</v>
      </c>
      <c r="M14" s="0" t="n">
        <v>199.3</v>
      </c>
      <c r="N14" s="0" t="n">
        <v>189.3</v>
      </c>
      <c r="O14" s="0" t="n">
        <v>3914.2</v>
      </c>
      <c r="P14" s="0" t="n">
        <v>10195.5</v>
      </c>
      <c r="Q14" s="0" t="n">
        <v>6200.2</v>
      </c>
      <c r="R14" s="0" t="n">
        <v>2775.3</v>
      </c>
      <c r="S14" s="0" t="n">
        <v>705</v>
      </c>
      <c r="T14" s="0" t="n">
        <v>154.5</v>
      </c>
      <c r="U14" s="0" t="n">
        <v>0</v>
      </c>
      <c r="W14" s="0" t="n">
        <v>1344.6</v>
      </c>
      <c r="AA14" s="0" t="s">
        <v>17</v>
      </c>
      <c r="AB14" s="0" t="s">
        <v>14</v>
      </c>
    </row>
    <row r="15" customFormat="false" ht="15" hidden="false" customHeight="false" outlineLevel="0" collapsed="false">
      <c r="A15" s="0" t="s">
        <v>76</v>
      </c>
      <c r="B15" s="0" t="n">
        <v>19429.3</v>
      </c>
      <c r="C15" s="0" t="n">
        <v>15110.3</v>
      </c>
      <c r="D15" s="0" t="n">
        <v>4319</v>
      </c>
      <c r="E15" s="0" t="n">
        <v>22.2</v>
      </c>
      <c r="F15" s="0" t="n">
        <v>1382.4</v>
      </c>
      <c r="G15" s="0" t="n">
        <v>7.1</v>
      </c>
      <c r="H15" s="0" t="n">
        <v>1788.8</v>
      </c>
      <c r="I15" s="0" t="n">
        <v>886.8</v>
      </c>
      <c r="J15" s="0" t="n">
        <v>4.6</v>
      </c>
      <c r="K15" s="0" t="n">
        <v>5.74</v>
      </c>
      <c r="L15" s="0" t="n">
        <v>956.7</v>
      </c>
      <c r="M15" s="0" t="n">
        <v>267.2</v>
      </c>
      <c r="N15" s="0" t="n">
        <v>689.5</v>
      </c>
      <c r="O15" s="0" t="n">
        <v>4752.5</v>
      </c>
      <c r="P15" s="0" t="n">
        <v>11373</v>
      </c>
      <c r="Q15" s="0" t="n">
        <v>6570.3</v>
      </c>
      <c r="R15" s="0" t="n">
        <v>3095.8</v>
      </c>
      <c r="S15" s="0" t="n">
        <v>1046.1</v>
      </c>
      <c r="T15" s="0" t="n">
        <v>154.5</v>
      </c>
      <c r="U15" s="0" t="n">
        <v>0</v>
      </c>
      <c r="W15" s="0" t="n">
        <v>1808.6</v>
      </c>
      <c r="AA15" s="0" t="s">
        <v>17</v>
      </c>
      <c r="AB15" s="0" t="s">
        <v>14</v>
      </c>
    </row>
    <row r="16" customFormat="false" ht="15" hidden="false" customHeight="false" outlineLevel="0" collapsed="false">
      <c r="A16" s="0" t="s">
        <v>77</v>
      </c>
      <c r="B16" s="0" t="n">
        <v>16815.1</v>
      </c>
      <c r="C16" s="0" t="n">
        <v>12795</v>
      </c>
      <c r="D16" s="0" t="n">
        <v>4020.1</v>
      </c>
      <c r="E16" s="0" t="n">
        <v>23.9</v>
      </c>
      <c r="F16" s="0" t="n">
        <v>1122.7</v>
      </c>
      <c r="G16" s="0" t="n">
        <v>6.7</v>
      </c>
      <c r="H16" s="0" t="n">
        <v>1510.7</v>
      </c>
      <c r="I16" s="0" t="n">
        <v>714.9</v>
      </c>
      <c r="J16" s="0" t="n">
        <v>4.3</v>
      </c>
      <c r="K16" s="0" t="n">
        <v>4.73</v>
      </c>
      <c r="L16" s="0" t="n">
        <v>1663.9</v>
      </c>
      <c r="M16" s="0" t="n">
        <v>321.1</v>
      </c>
      <c r="N16" s="0" t="n">
        <v>1342.8</v>
      </c>
      <c r="O16" s="0" t="n">
        <v>4304.7</v>
      </c>
      <c r="P16" s="0" t="n">
        <v>10337.8</v>
      </c>
      <c r="Q16" s="0" t="n">
        <v>5981.1</v>
      </c>
      <c r="R16" s="0" t="n">
        <v>2763.7</v>
      </c>
      <c r="S16" s="0" t="n">
        <v>576.9</v>
      </c>
      <c r="T16" s="0" t="n">
        <v>147.5</v>
      </c>
      <c r="U16" s="0" t="n">
        <v>0</v>
      </c>
      <c r="W16" s="0" t="n">
        <v>1584.6</v>
      </c>
      <c r="AA16" s="0" t="s">
        <v>17</v>
      </c>
      <c r="AB16" s="0" t="s">
        <v>14</v>
      </c>
    </row>
    <row r="17" customFormat="false" ht="15" hidden="false" customHeight="false" outlineLevel="0" collapsed="false">
      <c r="A17" s="0" t="s">
        <v>78</v>
      </c>
      <c r="B17" s="0" t="n">
        <v>16237.4</v>
      </c>
      <c r="C17" s="0" t="n">
        <v>12210.9</v>
      </c>
      <c r="D17" s="0" t="n">
        <v>4026.5</v>
      </c>
      <c r="E17" s="0" t="n">
        <v>24.8</v>
      </c>
      <c r="F17" s="0" t="n">
        <v>915.4</v>
      </c>
      <c r="G17" s="0" t="n">
        <v>5.6</v>
      </c>
      <c r="H17" s="0" t="n">
        <v>1359.5</v>
      </c>
      <c r="I17" s="0" t="n">
        <v>536.2</v>
      </c>
      <c r="J17" s="0" t="n">
        <v>3.3</v>
      </c>
      <c r="K17" s="0" t="n">
        <v>3.71</v>
      </c>
      <c r="L17" s="0" t="n">
        <v>906.6</v>
      </c>
      <c r="M17" s="0" t="n">
        <v>342.2</v>
      </c>
      <c r="N17" s="0" t="n">
        <v>564.4</v>
      </c>
      <c r="O17" s="0" t="n">
        <v>4726.7</v>
      </c>
      <c r="P17" s="0" t="n">
        <v>11668</v>
      </c>
      <c r="Q17" s="0" t="n">
        <v>6906</v>
      </c>
      <c r="R17" s="0" t="n">
        <v>3556.3</v>
      </c>
      <c r="S17" s="0" t="n">
        <v>763.3</v>
      </c>
      <c r="T17" s="0" t="n">
        <v>144.4</v>
      </c>
      <c r="U17" s="0" t="n">
        <v>0</v>
      </c>
      <c r="W17" s="0" t="n">
        <v>1456.8</v>
      </c>
      <c r="AA17" s="0" t="s">
        <v>17</v>
      </c>
      <c r="AB17" s="0" t="s">
        <v>14</v>
      </c>
    </row>
    <row r="18" customFormat="false" ht="15" hidden="false" customHeight="false" outlineLevel="0" collapsed="false">
      <c r="A18" s="0" t="s">
        <v>79</v>
      </c>
      <c r="B18" s="0" t="n">
        <v>15171.5</v>
      </c>
      <c r="C18" s="0" t="n">
        <v>11339.8</v>
      </c>
      <c r="D18" s="0" t="n">
        <v>3831.7</v>
      </c>
      <c r="E18" s="0" t="n">
        <v>25.3</v>
      </c>
      <c r="F18" s="0" t="n">
        <v>617.6</v>
      </c>
      <c r="G18" s="0" t="n">
        <v>4.1</v>
      </c>
      <c r="H18" s="0" t="n">
        <v>1206.9</v>
      </c>
      <c r="I18" s="0" t="n">
        <v>264.6</v>
      </c>
      <c r="J18" s="0" t="n">
        <v>1.7</v>
      </c>
      <c r="K18" s="0" t="n">
        <v>1.83</v>
      </c>
      <c r="L18" s="0" t="n">
        <v>966.7</v>
      </c>
      <c r="M18" s="0" t="n">
        <v>293</v>
      </c>
      <c r="N18" s="0" t="n">
        <v>673.7</v>
      </c>
      <c r="O18" s="0" t="n">
        <v>4314.1</v>
      </c>
      <c r="P18" s="0" t="n">
        <v>10625.8</v>
      </c>
      <c r="Q18" s="0" t="n">
        <v>6277.2</v>
      </c>
      <c r="R18" s="0" t="n">
        <v>3325.8</v>
      </c>
      <c r="S18" s="0" t="n">
        <v>797.9</v>
      </c>
      <c r="T18" s="0" t="n">
        <v>144.4</v>
      </c>
      <c r="U18" s="0" t="n">
        <v>0</v>
      </c>
      <c r="W18" s="0" t="n">
        <v>1287.5</v>
      </c>
      <c r="AA18" s="0" t="s">
        <v>17</v>
      </c>
      <c r="AB18"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63.26</v>
      </c>
    </row>
    <row r="3" customFormat="false" ht="15" hidden="false" customHeight="false" outlineLevel="0" collapsed="false">
      <c r="A3" s="0" t="s">
        <v>83</v>
      </c>
      <c r="B3" s="3" t="n">
        <v>144.385</v>
      </c>
    </row>
    <row r="4" customFormat="false" ht="15" hidden="false" customHeight="false" outlineLevel="0" collapsed="false">
      <c r="A4" s="0" t="s">
        <v>84</v>
      </c>
      <c r="B4" s="3" t="n">
        <v>2512</v>
      </c>
    </row>
    <row r="5" customFormat="false" ht="15" hidden="false" customHeight="false" outlineLevel="0" collapsed="false">
      <c r="A5" s="0" t="s">
        <v>85</v>
      </c>
      <c r="B5" s="3" t="n">
        <v>-158.8</v>
      </c>
    </row>
    <row r="6" customFormat="false" ht="15" hidden="false" customHeight="false" outlineLevel="0" collapsed="false">
      <c r="A6" s="0" t="s">
        <v>86</v>
      </c>
      <c r="B6" s="3" t="n">
        <v>15</v>
      </c>
    </row>
    <row r="7" customFormat="false" ht="15" hidden="false" customHeight="false" outlineLevel="0" collapsed="false">
      <c r="A7" s="0" t="s">
        <v>87</v>
      </c>
      <c r="B7" s="3" t="n">
        <v>15171.5</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2</v>
      </c>
      <c r="D13" s="3" t="n">
        <v>1</v>
      </c>
      <c r="E13" s="3" t="n">
        <v>1</v>
      </c>
      <c r="F13" s="3" t="n">
        <v>2</v>
      </c>
      <c r="G13" s="3" t="n">
        <v>2</v>
      </c>
      <c r="H13" s="3" t="n">
        <v>2</v>
      </c>
      <c r="I13" s="3" t="n">
        <v>2</v>
      </c>
      <c r="J13" s="3" t="n">
        <v>2</v>
      </c>
      <c r="K13" s="3" t="n">
        <v>2</v>
      </c>
      <c r="L13" s="3" t="n">
        <v>2</v>
      </c>
    </row>
    <row r="14" customFormat="false" ht="15" hidden="false" customHeight="false" outlineLevel="0" collapsed="false">
      <c r="A14" s="0" t="s">
        <v>104</v>
      </c>
      <c r="C14" s="3" t="n">
        <v>7.9</v>
      </c>
      <c r="D14" s="3" t="n">
        <v>7.6</v>
      </c>
      <c r="E14" s="3" t="n">
        <v>7.5</v>
      </c>
      <c r="F14" s="3" t="n">
        <v>7.5</v>
      </c>
      <c r="G14" s="3" t="n">
        <v>7.5</v>
      </c>
      <c r="H14" s="3" t="n">
        <v>7.5</v>
      </c>
      <c r="I14" s="3" t="n">
        <v>7.5</v>
      </c>
      <c r="J14" s="3" t="n">
        <v>7.5</v>
      </c>
      <c r="K14" s="3" t="n">
        <v>7.5</v>
      </c>
      <c r="L14" s="3" t="n">
        <v>7.5</v>
      </c>
    </row>
    <row r="15" customFormat="false" ht="15" hidden="false" customHeight="false" outlineLevel="0" collapsed="false">
      <c r="A15" s="0" t="s">
        <v>105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106</v>
      </c>
      <c r="C16" s="3" t="n">
        <v>1.15</v>
      </c>
      <c r="D16" s="3" t="n">
        <v>1.15</v>
      </c>
      <c r="E16" s="3" t="n">
        <v>1.15</v>
      </c>
      <c r="F16" s="3" t="n">
        <v>1.15</v>
      </c>
      <c r="G16" s="3" t="n">
        <v>1.15</v>
      </c>
      <c r="H16" s="3" t="n">
        <v>1.15</v>
      </c>
      <c r="I16" s="3" t="n">
        <v>1.15</v>
      </c>
      <c r="J16" s="3" t="n">
        <v>1.15</v>
      </c>
      <c r="K16" s="3" t="n">
        <v>1.15</v>
      </c>
      <c r="L16" s="3" t="n">
        <v>1.15</v>
      </c>
    </row>
    <row r="17" customFormat="false" ht="15" hidden="false" customHeight="false" outlineLevel="0" collapsed="false">
      <c r="A17" s="0" t="s">
        <v>107</v>
      </c>
      <c r="C17" s="3" t="n">
        <v>1.75</v>
      </c>
      <c r="D17" s="3" t="n">
        <v>1.75</v>
      </c>
      <c r="E17" s="3" t="n">
        <v>1.75</v>
      </c>
      <c r="F17" s="3" t="n">
        <v>1.75</v>
      </c>
      <c r="G17" s="3" t="n">
        <v>1.75</v>
      </c>
      <c r="H17" s="3" t="n">
        <v>1.75</v>
      </c>
      <c r="I17" s="3" t="n">
        <v>1.75</v>
      </c>
      <c r="J17" s="3" t="n">
        <v>1.75</v>
      </c>
      <c r="K17" s="3" t="n">
        <v>1.75</v>
      </c>
      <c r="L17" s="3" t="n">
        <v>1.75</v>
      </c>
    </row>
    <row r="18" customFormat="false" ht="15" hidden="false" customHeight="false" outlineLevel="0" collapsed="false">
      <c r="A18" s="0" t="s">
        <v>108</v>
      </c>
      <c r="C18" s="3" t="n">
        <v>1.9</v>
      </c>
      <c r="D18" s="3" t="n">
        <v>1.9</v>
      </c>
      <c r="E18" s="3" t="n">
        <v>1.9</v>
      </c>
      <c r="F18" s="3" t="n">
        <v>1.9</v>
      </c>
      <c r="G18" s="3" t="n">
        <v>1.9</v>
      </c>
      <c r="H18" s="3" t="n">
        <v>1.9</v>
      </c>
      <c r="I18" s="3" t="n">
        <v>1.9</v>
      </c>
      <c r="J18" s="3" t="n">
        <v>1.9</v>
      </c>
      <c r="K18" s="3" t="n">
        <v>1.9</v>
      </c>
      <c r="L18" s="3" t="n">
        <v>1.9</v>
      </c>
    </row>
    <row r="19" customFormat="false" ht="15" hidden="false" customHeight="false" outlineLevel="0" collapsed="false">
      <c r="A19" s="0" t="s">
        <v>109</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110</v>
      </c>
      <c r="B20" s="3" t="n">
        <v>7.5</v>
      </c>
    </row>
    <row r="21" customFormat="false" ht="15" hidden="false" customHeight="false" outlineLevel="0" collapsed="false">
      <c r="A21" s="0" t="s">
        <v>111</v>
      </c>
      <c r="B21" s="3" t="n">
        <v>1.5</v>
      </c>
    </row>
    <row r="22" customFormat="false" ht="15" hidden="false" customHeight="false" outlineLevel="0" collapsed="false">
      <c r="A22" s="0" t="s">
        <v>112</v>
      </c>
      <c r="B22" s="3" t="n">
        <v>13</v>
      </c>
    </row>
    <row r="23" customFormat="false" ht="15" hidden="false" customHeight="false" outlineLevel="0" collapsed="false">
      <c r="A23" s="0" t="s">
        <v>113</v>
      </c>
      <c r="B23" s="3" t="n">
        <v>-12</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3.2</v>
      </c>
      <c r="D27" s="3" t="n">
        <v>4</v>
      </c>
      <c r="E27" s="3" t="n">
        <v>4</v>
      </c>
      <c r="F27" s="3" t="n">
        <v>3.5</v>
      </c>
      <c r="G27" s="3" t="n">
        <v>3</v>
      </c>
      <c r="H27" s="3" t="n">
        <v>3</v>
      </c>
      <c r="I27" s="3" t="n">
        <v>2.5</v>
      </c>
      <c r="J27" s="3" t="n">
        <v>2.5</v>
      </c>
      <c r="K27" s="3" t="n">
        <v>2.5</v>
      </c>
      <c r="L27" s="3" t="n">
        <v>2.5</v>
      </c>
    </row>
    <row r="28" customFormat="false" ht="15" hidden="false" customHeight="false" outlineLevel="0" collapsed="false">
      <c r="A28" s="0" t="s">
        <v>104</v>
      </c>
      <c r="C28" s="3" t="n">
        <v>8.2</v>
      </c>
      <c r="D28" s="3" t="n">
        <v>8.4</v>
      </c>
      <c r="E28" s="3" t="n">
        <v>8.6</v>
      </c>
      <c r="F28" s="3" t="n">
        <v>8.7</v>
      </c>
      <c r="G28" s="3" t="n">
        <v>8.7</v>
      </c>
      <c r="H28" s="3" t="n">
        <v>8.7</v>
      </c>
      <c r="I28" s="3" t="n">
        <v>8.7</v>
      </c>
      <c r="J28" s="3" t="n">
        <v>8.7</v>
      </c>
      <c r="K28" s="3" t="n">
        <v>8.7</v>
      </c>
      <c r="L28" s="3" t="n">
        <v>8.7</v>
      </c>
    </row>
    <row r="29" customFormat="false" ht="15" hidden="false" customHeight="false" outlineLevel="0" collapsed="false">
      <c r="A29" s="0" t="s">
        <v>105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106</v>
      </c>
      <c r="C30" s="3" t="n">
        <v>1.15</v>
      </c>
      <c r="D30" s="3" t="n">
        <v>1.15</v>
      </c>
      <c r="E30" s="3" t="n">
        <v>1.15</v>
      </c>
      <c r="F30" s="3" t="n">
        <v>1.15</v>
      </c>
      <c r="G30" s="3" t="n">
        <v>1.15</v>
      </c>
      <c r="H30" s="3" t="n">
        <v>1.15</v>
      </c>
      <c r="I30" s="3" t="n">
        <v>1.15</v>
      </c>
      <c r="J30" s="3" t="n">
        <v>1.15</v>
      </c>
      <c r="K30" s="3" t="n">
        <v>1.15</v>
      </c>
      <c r="L30" s="3" t="n">
        <v>1.15</v>
      </c>
    </row>
    <row r="31" customFormat="false" ht="15" hidden="false" customHeight="false" outlineLevel="0" collapsed="false">
      <c r="A31" s="0" t="s">
        <v>107</v>
      </c>
      <c r="C31" s="3" t="n">
        <v>1.75</v>
      </c>
      <c r="D31" s="3" t="n">
        <v>1.75</v>
      </c>
      <c r="E31" s="3" t="n">
        <v>1.75</v>
      </c>
      <c r="F31" s="3" t="n">
        <v>1.75</v>
      </c>
      <c r="G31" s="3" t="n">
        <v>1.75</v>
      </c>
      <c r="H31" s="3" t="n">
        <v>1.75</v>
      </c>
      <c r="I31" s="3" t="n">
        <v>1.75</v>
      </c>
      <c r="J31" s="3" t="n">
        <v>1.75</v>
      </c>
      <c r="K31" s="3" t="n">
        <v>1.75</v>
      </c>
      <c r="L31" s="3" t="n">
        <v>1.75</v>
      </c>
    </row>
    <row r="32" customFormat="false" ht="15" hidden="false" customHeight="false" outlineLevel="0" collapsed="false">
      <c r="A32" s="0" t="s">
        <v>108</v>
      </c>
      <c r="C32" s="3" t="n">
        <v>1.9</v>
      </c>
      <c r="D32" s="3" t="n">
        <v>1.9</v>
      </c>
      <c r="E32" s="3" t="n">
        <v>1.9</v>
      </c>
      <c r="F32" s="3" t="n">
        <v>1.9</v>
      </c>
      <c r="G32" s="3" t="n">
        <v>1.9</v>
      </c>
      <c r="H32" s="3" t="n">
        <v>1.9</v>
      </c>
      <c r="I32" s="3" t="n">
        <v>1.9</v>
      </c>
      <c r="J32" s="3" t="n">
        <v>1.9</v>
      </c>
      <c r="K32" s="3" t="n">
        <v>1.9</v>
      </c>
      <c r="L32" s="3" t="n">
        <v>1.9</v>
      </c>
    </row>
    <row r="33" customFormat="false" ht="15" hidden="false" customHeight="false" outlineLevel="0" collapsed="false">
      <c r="A33" s="0" t="s">
        <v>109</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110</v>
      </c>
      <c r="B34" s="3" t="n">
        <v>7.5</v>
      </c>
    </row>
    <row r="35" customFormat="false" ht="15" hidden="false" customHeight="false" outlineLevel="0" collapsed="false">
      <c r="A35" s="0" t="s">
        <v>111</v>
      </c>
      <c r="B35" s="3" t="n">
        <v>2</v>
      </c>
    </row>
    <row r="36" customFormat="false" ht="15" hidden="false" customHeight="false" outlineLevel="0" collapsed="false">
      <c r="A36" s="0" t="s">
        <v>112</v>
      </c>
      <c r="B36" s="3" t="n">
        <v>15</v>
      </c>
    </row>
    <row r="37" customFormat="false" ht="15" hidden="false" customHeight="false" outlineLevel="0" collapsed="false">
      <c r="A37" s="0" t="s">
        <v>113</v>
      </c>
      <c r="B37" s="3" t="n">
        <v>-12</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4.5</v>
      </c>
      <c r="D41" s="3" t="n">
        <v>6</v>
      </c>
      <c r="E41" s="3" t="n">
        <v>6</v>
      </c>
      <c r="F41" s="3" t="n">
        <v>5</v>
      </c>
      <c r="G41" s="3" t="n">
        <v>4.5</v>
      </c>
      <c r="H41" s="3" t="n">
        <v>4</v>
      </c>
      <c r="I41" s="3" t="n">
        <v>3.5</v>
      </c>
      <c r="J41" s="3" t="n">
        <v>3</v>
      </c>
      <c r="K41" s="3" t="n">
        <v>3</v>
      </c>
      <c r="L41" s="3" t="n">
        <v>3</v>
      </c>
    </row>
    <row r="42" customFormat="false" ht="15" hidden="false" customHeight="false" outlineLevel="0" collapsed="false">
      <c r="A42" s="0" t="s">
        <v>104</v>
      </c>
      <c r="C42" s="3" t="n">
        <v>8.5</v>
      </c>
      <c r="D42" s="3" t="n">
        <v>8.9</v>
      </c>
      <c r="E42" s="3" t="n">
        <v>9.2</v>
      </c>
      <c r="F42" s="3" t="n">
        <v>9.4</v>
      </c>
      <c r="G42" s="3" t="n">
        <v>9.5</v>
      </c>
      <c r="H42" s="3" t="n">
        <v>9.5</v>
      </c>
      <c r="I42" s="3" t="n">
        <v>9.5</v>
      </c>
      <c r="J42" s="3" t="n">
        <v>9.5</v>
      </c>
      <c r="K42" s="3" t="n">
        <v>9.5</v>
      </c>
      <c r="L42" s="3" t="n">
        <v>9.5</v>
      </c>
    </row>
    <row r="43" customFormat="false" ht="15" hidden="false" customHeight="false" outlineLevel="0" collapsed="false">
      <c r="A43" s="0" t="s">
        <v>105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106</v>
      </c>
      <c r="C44" s="3" t="n">
        <v>1.15</v>
      </c>
      <c r="D44" s="3" t="n">
        <v>1.15</v>
      </c>
      <c r="E44" s="3" t="n">
        <v>1.15</v>
      </c>
      <c r="F44" s="3" t="n">
        <v>1.15</v>
      </c>
      <c r="G44" s="3" t="n">
        <v>1.15</v>
      </c>
      <c r="H44" s="3" t="n">
        <v>1.15</v>
      </c>
      <c r="I44" s="3" t="n">
        <v>1.15</v>
      </c>
      <c r="J44" s="3" t="n">
        <v>1.15</v>
      </c>
      <c r="K44" s="3" t="n">
        <v>1.15</v>
      </c>
      <c r="L44" s="3" t="n">
        <v>1.15</v>
      </c>
    </row>
    <row r="45" customFormat="false" ht="15" hidden="false" customHeight="false" outlineLevel="0" collapsed="false">
      <c r="A45" s="0" t="s">
        <v>107</v>
      </c>
      <c r="C45" s="3" t="n">
        <v>1.75</v>
      </c>
      <c r="D45" s="3" t="n">
        <v>1.75</v>
      </c>
      <c r="E45" s="3" t="n">
        <v>1.75</v>
      </c>
      <c r="F45" s="3" t="n">
        <v>1.75</v>
      </c>
      <c r="G45" s="3" t="n">
        <v>1.75</v>
      </c>
      <c r="H45" s="3" t="n">
        <v>1.75</v>
      </c>
      <c r="I45" s="3" t="n">
        <v>1.75</v>
      </c>
      <c r="J45" s="3" t="n">
        <v>1.75</v>
      </c>
      <c r="K45" s="3" t="n">
        <v>1.75</v>
      </c>
      <c r="L45" s="3" t="n">
        <v>1.75</v>
      </c>
    </row>
    <row r="46" customFormat="false" ht="15" hidden="false" customHeight="false" outlineLevel="0" collapsed="false">
      <c r="A46" s="0" t="s">
        <v>108</v>
      </c>
      <c r="C46" s="3" t="n">
        <v>1.9</v>
      </c>
      <c r="D46" s="3" t="n">
        <v>1.9</v>
      </c>
      <c r="E46" s="3" t="n">
        <v>1.9</v>
      </c>
      <c r="F46" s="3" t="n">
        <v>1.9</v>
      </c>
      <c r="G46" s="3" t="n">
        <v>1.9</v>
      </c>
      <c r="H46" s="3" t="n">
        <v>1.9</v>
      </c>
      <c r="I46" s="3" t="n">
        <v>1.9</v>
      </c>
      <c r="J46" s="3" t="n">
        <v>1.9</v>
      </c>
      <c r="K46" s="3" t="n">
        <v>1.9</v>
      </c>
      <c r="L46" s="3" t="n">
        <v>1.9</v>
      </c>
    </row>
    <row r="47" customFormat="false" ht="15" hidden="false" customHeight="false" outlineLevel="0" collapsed="false">
      <c r="A47" s="0" t="s">
        <v>109</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110</v>
      </c>
      <c r="B48" s="3" t="n">
        <v>7.5</v>
      </c>
    </row>
    <row r="49" customFormat="false" ht="15" hidden="false" customHeight="false" outlineLevel="0" collapsed="false">
      <c r="A49" s="0" t="s">
        <v>111</v>
      </c>
      <c r="B49" s="3" t="n">
        <v>2.5</v>
      </c>
    </row>
    <row r="50" customFormat="false" ht="15" hidden="false" customHeight="false" outlineLevel="0" collapsed="false">
      <c r="A50" s="0" t="s">
        <v>112</v>
      </c>
      <c r="B50" s="3" t="n">
        <v>16</v>
      </c>
    </row>
    <row r="51" customFormat="false" ht="15" hidden="false" customHeight="false" outlineLevel="0" collapsed="false">
      <c r="A51" s="0" t="s">
        <v>113</v>
      </c>
      <c r="B51" s="3" t="n">
        <v>-12</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2</v>
      </c>
      <c r="D5" s="4" t="n">
        <f aca="false">Assumptions!D13</f>
        <v>1</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15171.5</v>
      </c>
      <c r="C6" s="0" t="n">
        <f aca="false">B6*(1+C5/100)</f>
        <v>15474.93</v>
      </c>
      <c r="D6" s="0" t="n">
        <f aca="false">C6*(1+D5/100)</f>
        <v>15629.6793</v>
      </c>
      <c r="E6" s="0" t="n">
        <f aca="false">D6*(1+E5/100)</f>
        <v>15785.976093</v>
      </c>
      <c r="F6" s="0" t="n">
        <f aca="false">E6*(1+F5/100)</f>
        <v>16101.69561486</v>
      </c>
      <c r="G6" s="0" t="n">
        <f aca="false">F6*(1+G5/100)</f>
        <v>16423.7295271572</v>
      </c>
      <c r="H6" s="0" t="n">
        <f aca="false">G6*(1+H5/100)</f>
        <v>16752.2041177003</v>
      </c>
      <c r="I6" s="0" t="n">
        <f aca="false">H6*(1+I5/100)</f>
        <v>17087.2482000544</v>
      </c>
      <c r="J6" s="0" t="n">
        <f aca="false">I6*(1+J5/100)</f>
        <v>17428.9931640554</v>
      </c>
      <c r="K6" s="0" t="n">
        <f aca="false">J6*(1+K5/100)</f>
        <v>17777.5730273366</v>
      </c>
      <c r="L6" s="0" t="n">
        <f aca="false">K6*(1+L5/100)</f>
        <v>18133.1244878833</v>
      </c>
    </row>
    <row r="7" customFormat="false" ht="15" hidden="false" customHeight="false" outlineLevel="0" collapsed="false">
      <c r="A7" s="0" t="s">
        <v>104</v>
      </c>
      <c r="C7" s="4" t="n">
        <f aca="false">Assumptions!C14</f>
        <v>7.9</v>
      </c>
      <c r="D7" s="4" t="n">
        <f aca="false">Assumptions!D14</f>
        <v>7.6</v>
      </c>
      <c r="E7" s="4" t="n">
        <f aca="false">Assumptions!E14</f>
        <v>7.5</v>
      </c>
      <c r="F7" s="4" t="n">
        <f aca="false">Assumptions!F14</f>
        <v>7.5</v>
      </c>
      <c r="G7" s="4" t="n">
        <f aca="false">Assumptions!G14</f>
        <v>7.5</v>
      </c>
      <c r="H7" s="4" t="n">
        <f aca="false">Assumptions!H14</f>
        <v>7.5</v>
      </c>
      <c r="I7" s="4" t="n">
        <f aca="false">Assumptions!I14</f>
        <v>7.5</v>
      </c>
      <c r="J7" s="4" t="n">
        <f aca="false">Assumptions!J14</f>
        <v>7.5</v>
      </c>
      <c r="K7" s="4" t="n">
        <f aca="false">Assumptions!K14</f>
        <v>7.5</v>
      </c>
      <c r="L7" s="4" t="n">
        <f aca="false">Assumptions!L14</f>
        <v>7.5</v>
      </c>
    </row>
    <row r="8" customFormat="false" ht="15" hidden="false" customHeight="false" outlineLevel="0" collapsed="false">
      <c r="A8" s="0" t="s">
        <v>43</v>
      </c>
      <c r="C8" s="0" t="n">
        <f aca="false">C6*C7/100</f>
        <v>1222.51947</v>
      </c>
      <c r="D8" s="0" t="n">
        <f aca="false">D6*D7/100</f>
        <v>1187.8556268</v>
      </c>
      <c r="E8" s="0" t="n">
        <f aca="false">E6*E7/100</f>
        <v>1183.948206975</v>
      </c>
      <c r="F8" s="0" t="n">
        <f aca="false">F6*F7/100</f>
        <v>1207.6271711145</v>
      </c>
      <c r="G8" s="0" t="n">
        <f aca="false">G6*G7/100</f>
        <v>1231.77971453679</v>
      </c>
      <c r="H8" s="0" t="n">
        <f aca="false">H6*H7/100</f>
        <v>1256.41530882753</v>
      </c>
      <c r="I8" s="0" t="n">
        <f aca="false">I6*I7/100</f>
        <v>1281.54361500408</v>
      </c>
      <c r="J8" s="0" t="n">
        <f aca="false">J6*J7/100</f>
        <v>1307.17448730416</v>
      </c>
      <c r="K8" s="0" t="n">
        <f aca="false">K6*K7/100</f>
        <v>1333.31797705024</v>
      </c>
      <c r="L8" s="0" t="n">
        <f aca="false">L6*L7/100</f>
        <v>1359.98433659125</v>
      </c>
    </row>
    <row r="9" customFormat="false" ht="15" hidden="false" customHeight="false" outlineLevel="0" collapsed="false">
      <c r="A9" s="0" t="s">
        <v>105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1044.557775</v>
      </c>
      <c r="D11" s="0" t="n">
        <f aca="false">D8+D10+D24</f>
        <v>1008.11431485</v>
      </c>
      <c r="E11" s="0" t="n">
        <f aca="false">E8+E10+E24</f>
        <v>1002.4094819055</v>
      </c>
      <c r="F11" s="0" t="n">
        <f aca="false">F8+F10+F24</f>
        <v>1022.45767154361</v>
      </c>
      <c r="G11" s="0" t="n">
        <f aca="false">G8+G10+G24</f>
        <v>1042.90682497448</v>
      </c>
      <c r="H11" s="0" t="n">
        <f aca="false">H8+H10+H24</f>
        <v>1063.76496147397</v>
      </c>
      <c r="I11" s="0" t="n">
        <f aca="false">I8+I10+I24</f>
        <v>1085.04026070345</v>
      </c>
      <c r="J11" s="0" t="n">
        <f aca="false">J8+J10+J24</f>
        <v>1106.74106591752</v>
      </c>
      <c r="K11" s="0" t="n">
        <f aca="false">K8+K10+K24</f>
        <v>1128.87588723587</v>
      </c>
      <c r="L11" s="0" t="n">
        <f aca="false">L8+L10+L24</f>
        <v>1151.45340498059</v>
      </c>
    </row>
    <row r="12" customFormat="false" ht="15" hidden="false" customHeight="false" outlineLevel="0" collapsed="false">
      <c r="A12" s="0" t="s">
        <v>122</v>
      </c>
      <c r="C12" s="4" t="n">
        <f aca="false">-C6*Assumptions!C17/100</f>
        <v>-270.811275</v>
      </c>
      <c r="D12" s="4" t="n">
        <f aca="false">-D6*Assumptions!D17/100</f>
        <v>-273.51938775</v>
      </c>
      <c r="E12" s="4" t="n">
        <f aca="false">-E6*Assumptions!E17/100</f>
        <v>-276.2545816275</v>
      </c>
      <c r="F12" s="4" t="n">
        <f aca="false">-F6*Assumptions!F17/100</f>
        <v>-281.77967326005</v>
      </c>
      <c r="G12" s="4" t="n">
        <f aca="false">-G6*Assumptions!G17/100</f>
        <v>-287.415266725251</v>
      </c>
      <c r="H12" s="4" t="n">
        <f aca="false">-H6*Assumptions!H17/100</f>
        <v>-293.163572059756</v>
      </c>
      <c r="I12" s="4" t="n">
        <f aca="false">-I6*Assumptions!I17/100</f>
        <v>-299.026843500951</v>
      </c>
      <c r="J12" s="4" t="n">
        <f aca="false">-J6*Assumptions!J17/100</f>
        <v>-305.00738037097</v>
      </c>
      <c r="K12" s="4" t="n">
        <f aca="false">-K6*Assumptions!K17/100</f>
        <v>-311.10752797839</v>
      </c>
      <c r="L12" s="4" t="n">
        <f aca="false">-L6*Assumptions!L17/100</f>
        <v>-317.329678537958</v>
      </c>
    </row>
    <row r="13" customFormat="false" ht="15" hidden="false" customHeight="false" outlineLevel="0" collapsed="false">
      <c r="A13" s="0" t="s">
        <v>123</v>
      </c>
      <c r="C13" s="0" t="n">
        <f aca="false">C11+C12</f>
        <v>773.7465</v>
      </c>
      <c r="D13" s="0" t="n">
        <f aca="false">D11+D12</f>
        <v>734.5949271</v>
      </c>
      <c r="E13" s="0" t="n">
        <f aca="false">E11+E12</f>
        <v>726.154900278</v>
      </c>
      <c r="F13" s="0" t="n">
        <f aca="false">F11+F12</f>
        <v>740.67799828356</v>
      </c>
      <c r="G13" s="0" t="n">
        <f aca="false">G11+G12</f>
        <v>755.491558249231</v>
      </c>
      <c r="H13" s="0" t="n">
        <f aca="false">H11+H12</f>
        <v>770.601389414216</v>
      </c>
      <c r="I13" s="0" t="n">
        <f aca="false">I11+I12</f>
        <v>786.013417202501</v>
      </c>
      <c r="J13" s="0" t="n">
        <f aca="false">J11+J12</f>
        <v>801.73368554655</v>
      </c>
      <c r="K13" s="0" t="n">
        <f aca="false">K11+K12</f>
        <v>817.768359257481</v>
      </c>
      <c r="L13" s="0" t="n">
        <f aca="false">L11+L12</f>
        <v>834.123726442631</v>
      </c>
    </row>
    <row r="14" customFormat="false" ht="15" hidden="false" customHeight="false" outlineLevel="0" collapsed="false">
      <c r="A14" s="0" t="s">
        <v>109</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124</v>
      </c>
      <c r="C15" s="0" t="n">
        <f aca="false">C13-MAX(0,C13)*C14/100</f>
        <v>564.834945</v>
      </c>
      <c r="D15" s="0" t="n">
        <f aca="false">D13-MAX(0,D13)*D14/100</f>
        <v>536.254296783</v>
      </c>
      <c r="E15" s="0" t="n">
        <f aca="false">E13-MAX(0,E13)*E14/100</f>
        <v>530.09307720294</v>
      </c>
      <c r="F15" s="0" t="n">
        <f aca="false">F13-MAX(0,F13)*F14/100</f>
        <v>540.694938746999</v>
      </c>
      <c r="G15" s="0" t="n">
        <f aca="false">G13-MAX(0,G13)*G14/100</f>
        <v>551.508837521939</v>
      </c>
      <c r="H15" s="0" t="n">
        <f aca="false">H13-MAX(0,H13)*H14/100</f>
        <v>562.539014272378</v>
      </c>
      <c r="I15" s="0" t="n">
        <f aca="false">I13-MAX(0,I13)*I14/100</f>
        <v>573.789794557825</v>
      </c>
      <c r="J15" s="0" t="n">
        <f aca="false">J13-MAX(0,J13)*J14/100</f>
        <v>585.265590448982</v>
      </c>
      <c r="K15" s="0" t="n">
        <f aca="false">K13-MAX(0,K13)*K14/100</f>
        <v>596.970902257961</v>
      </c>
      <c r="L15" s="0" t="n">
        <f aca="false">L13-MAX(0,L13)*L14/100</f>
        <v>608.910320303121</v>
      </c>
    </row>
    <row r="16" customFormat="false" ht="15" hidden="false" customHeight="false" outlineLevel="0" collapsed="false">
      <c r="A16" s="0" t="s">
        <v>125</v>
      </c>
      <c r="C16" s="0" t="n">
        <f aca="false">-C12</f>
        <v>270.811275</v>
      </c>
      <c r="D16" s="0" t="n">
        <f aca="false">-D12</f>
        <v>273.51938775</v>
      </c>
      <c r="E16" s="0" t="n">
        <f aca="false">-E12</f>
        <v>276.2545816275</v>
      </c>
      <c r="F16" s="0" t="n">
        <f aca="false">-F12</f>
        <v>281.77967326005</v>
      </c>
      <c r="G16" s="0" t="n">
        <f aca="false">-G12</f>
        <v>287.415266725251</v>
      </c>
      <c r="H16" s="0" t="n">
        <f aca="false">-H12</f>
        <v>293.163572059756</v>
      </c>
      <c r="I16" s="0" t="n">
        <f aca="false">-I12</f>
        <v>299.026843500951</v>
      </c>
      <c r="J16" s="0" t="n">
        <f aca="false">-J12</f>
        <v>305.00738037097</v>
      </c>
      <c r="K16" s="0" t="n">
        <f aca="false">-K12</f>
        <v>311.10752797839</v>
      </c>
      <c r="L16" s="0" t="n">
        <f aca="false">-L12</f>
        <v>317.329678537958</v>
      </c>
    </row>
    <row r="17" customFormat="false" ht="15" hidden="false" customHeight="false" outlineLevel="0" collapsed="false">
      <c r="A17" s="0" t="s">
        <v>126</v>
      </c>
      <c r="C17" s="4" t="n">
        <f aca="false">-C6*Assumptions!C18/100</f>
        <v>-294.02367</v>
      </c>
      <c r="D17" s="4" t="n">
        <f aca="false">-D6*Assumptions!D18/100</f>
        <v>-296.9639067</v>
      </c>
      <c r="E17" s="4" t="n">
        <f aca="false">-E6*Assumptions!E18/100</f>
        <v>-299.933545767</v>
      </c>
      <c r="F17" s="4" t="n">
        <f aca="false">-F6*Assumptions!F18/100</f>
        <v>-305.93221668234</v>
      </c>
      <c r="G17" s="4" t="n">
        <f aca="false">-G6*Assumptions!G18/100</f>
        <v>-312.050861015987</v>
      </c>
      <c r="H17" s="4" t="n">
        <f aca="false">-H6*Assumptions!H18/100</f>
        <v>-318.291878236307</v>
      </c>
      <c r="I17" s="4" t="n">
        <f aca="false">-I6*Assumptions!I18/100</f>
        <v>-324.657715801033</v>
      </c>
      <c r="J17" s="4" t="n">
        <f aca="false">-J6*Assumptions!J18/100</f>
        <v>-331.150870117053</v>
      </c>
      <c r="K17" s="4" t="n">
        <f aca="false">-K6*Assumptions!K18/100</f>
        <v>-337.773887519394</v>
      </c>
      <c r="L17" s="4" t="n">
        <f aca="false">-L6*Assumptions!L18/100</f>
        <v>-344.529365269782</v>
      </c>
    </row>
    <row r="18" customFormat="false" ht="15" hidden="false" customHeight="false" outlineLevel="0" collapsed="false">
      <c r="A18" s="0" t="s">
        <v>127</v>
      </c>
      <c r="C18" s="4" t="n">
        <f aca="false">(C6-B6)*Assumptions!$B$23/100</f>
        <v>-36.4116</v>
      </c>
      <c r="D18" s="4" t="n">
        <f aca="false">(D6-C6)*Assumptions!$B$23/100</f>
        <v>-18.5699159999999</v>
      </c>
      <c r="E18" s="4" t="n">
        <f aca="false">(E6-D6)*Assumptions!$B$23/100</f>
        <v>-18.7556151599999</v>
      </c>
      <c r="F18" s="4" t="n">
        <f aca="false">(F6-E6)*Assumptions!$B$23/100</f>
        <v>-37.8863426232001</v>
      </c>
      <c r="G18" s="4" t="n">
        <f aca="false">(G6-F6)*Assumptions!$B$23/100</f>
        <v>-38.644069475664</v>
      </c>
      <c r="H18" s="4" t="n">
        <f aca="false">(H6-G6)*Assumptions!$B$23/100</f>
        <v>-39.4169508651774</v>
      </c>
      <c r="I18" s="4" t="n">
        <f aca="false">(I6-H6)*Assumptions!$B$23/100</f>
        <v>-40.205289882481</v>
      </c>
      <c r="J18" s="4" t="n">
        <f aca="false">(J6-I6)*Assumptions!$B$23/100</f>
        <v>-41.0093956801307</v>
      </c>
      <c r="K18" s="4" t="n">
        <f aca="false">(K6-J6)*Assumptions!$B$23/100</f>
        <v>-41.8295835937331</v>
      </c>
      <c r="L18" s="4" t="n">
        <f aca="false">(L6-K6)*Assumptions!$B$23/100</f>
        <v>-42.6661752656079</v>
      </c>
    </row>
    <row r="19" customFormat="false" ht="15" hidden="false" customHeight="false" outlineLevel="0" collapsed="false">
      <c r="A19" s="0" t="s">
        <v>128</v>
      </c>
      <c r="C19" s="0" t="n">
        <f aca="false">C15+C16+C17+C18</f>
        <v>505.21095</v>
      </c>
      <c r="D19" s="0" t="n">
        <f aca="false">D15+D16+D17+D18</f>
        <v>494.239861833</v>
      </c>
      <c r="E19" s="0" t="n">
        <f aca="false">E15+E16+E17+E18</f>
        <v>487.65849790344</v>
      </c>
      <c r="F19" s="0" t="n">
        <f aca="false">F15+F16+F17+F18</f>
        <v>478.656052701509</v>
      </c>
      <c r="G19" s="0" t="n">
        <f aca="false">G15+G16+G17+G18</f>
        <v>488.229173755539</v>
      </c>
      <c r="H19" s="0" t="n">
        <f aca="false">H15+H16+H17+H18</f>
        <v>497.99375723065</v>
      </c>
      <c r="I19" s="0" t="n">
        <f aca="false">I15+I16+I17+I18</f>
        <v>507.953632375263</v>
      </c>
      <c r="J19" s="0" t="n">
        <f aca="false">J15+J16+J17+J18</f>
        <v>518.112705022768</v>
      </c>
      <c r="K19" s="0" t="n">
        <f aca="false">K15+K16+K17+K18</f>
        <v>528.474959123224</v>
      </c>
      <c r="L19" s="0" t="n">
        <f aca="false">L15+L16+L17+L18</f>
        <v>539.044458305688</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469.963674418605</v>
      </c>
      <c r="D21" s="0" t="n">
        <f aca="false">D19*D20</f>
        <v>427.681870704597</v>
      </c>
      <c r="E21" s="0" t="n">
        <f aca="false">E19*E20</f>
        <v>392.545862198551</v>
      </c>
      <c r="F21" s="0" t="n">
        <f aca="false">F19*F20</f>
        <v>358.417905843558</v>
      </c>
      <c r="G21" s="0" t="n">
        <f aca="false">G19*G20</f>
        <v>340.080245544585</v>
      </c>
      <c r="H21" s="0" t="n">
        <f aca="false">H19*H20</f>
        <v>322.680791121374</v>
      </c>
      <c r="I21" s="0" t="n">
        <f aca="false">I19*I20</f>
        <v>306.171541343071</v>
      </c>
      <c r="J21" s="0" t="n">
        <f aca="false">J19*J20</f>
        <v>290.506950855751</v>
      </c>
      <c r="K21" s="0" t="n">
        <f aca="false">K19*K20</f>
        <v>275.643804532899</v>
      </c>
      <c r="L21" s="0" t="n">
        <f aca="false">L19*L20</f>
        <v>261.541098254472</v>
      </c>
    </row>
    <row r="23" customFormat="false" ht="15" hidden="false" customHeight="false" outlineLevel="0" collapsed="false">
      <c r="A23" s="0" t="s">
        <v>106</v>
      </c>
      <c r="C23" s="4" t="n">
        <f aca="false">Assumptions!C16</f>
        <v>1.15</v>
      </c>
      <c r="D23" s="4" t="n">
        <f aca="false">Assumptions!D16</f>
        <v>1.15</v>
      </c>
      <c r="E23" s="4" t="n">
        <f aca="false">Assumptions!E16</f>
        <v>1.15</v>
      </c>
      <c r="F23" s="4" t="n">
        <f aca="false">Assumptions!F16</f>
        <v>1.15</v>
      </c>
      <c r="G23" s="4" t="n">
        <f aca="false">Assumptions!G16</f>
        <v>1.15</v>
      </c>
      <c r="H23" s="4" t="n">
        <f aca="false">Assumptions!H16</f>
        <v>1.15</v>
      </c>
      <c r="I23" s="4" t="n">
        <f aca="false">Assumptions!I16</f>
        <v>1.15</v>
      </c>
      <c r="J23" s="4" t="n">
        <f aca="false">Assumptions!J16</f>
        <v>1.15</v>
      </c>
      <c r="K23" s="4" t="n">
        <f aca="false">Assumptions!K16</f>
        <v>1.15</v>
      </c>
      <c r="L23" s="4" t="n">
        <f aca="false">Assumptions!L16</f>
        <v>1.15</v>
      </c>
    </row>
    <row r="24" customFormat="false" ht="15" hidden="false" customHeight="false" outlineLevel="0" collapsed="false">
      <c r="A24" s="0" t="s">
        <v>131</v>
      </c>
      <c r="C24" s="0" t="n">
        <f aca="false">-C6*C23/100</f>
        <v>-177.961695</v>
      </c>
      <c r="D24" s="0" t="n">
        <f aca="false">-D6*D23/100</f>
        <v>-179.74131195</v>
      </c>
      <c r="E24" s="0" t="n">
        <f aca="false">-E6*E23/100</f>
        <v>-181.5387250695</v>
      </c>
      <c r="F24" s="0" t="n">
        <f aca="false">-F6*F23/100</f>
        <v>-185.16949957089</v>
      </c>
      <c r="G24" s="0" t="n">
        <f aca="false">-G6*G23/100</f>
        <v>-188.872889562308</v>
      </c>
      <c r="H24" s="0" t="n">
        <f aca="false">-H6*H23/100</f>
        <v>-192.650347353554</v>
      </c>
      <c r="I24" s="0" t="n">
        <f aca="false">-I6*I23/100</f>
        <v>-196.503354300625</v>
      </c>
      <c r="J24" s="0" t="n">
        <f aca="false">-J6*J23/100</f>
        <v>-200.433421386638</v>
      </c>
      <c r="K24" s="0" t="n">
        <f aca="false">-K6*K23/100</f>
        <v>-204.44208981437</v>
      </c>
      <c r="L24" s="0" t="n">
        <f aca="false">-L6*L23/100</f>
        <v>-208.530931610658</v>
      </c>
    </row>
    <row r="26" customFormat="false" ht="15" hidden="false" customHeight="false" outlineLevel="0" collapsed="false">
      <c r="A26" s="2" t="s">
        <v>132</v>
      </c>
    </row>
    <row r="27" customFormat="false" ht="15" hidden="false" customHeight="false" outlineLevel="0" collapsed="false">
      <c r="A27" s="0" t="s">
        <v>110</v>
      </c>
      <c r="B27" s="4" t="n">
        <f aca="false">Assumptions!$B$20</f>
        <v>7.5</v>
      </c>
    </row>
    <row r="28" customFormat="false" ht="15" hidden="false" customHeight="false" outlineLevel="0" collapsed="false">
      <c r="A28" s="0" t="s">
        <v>111</v>
      </c>
      <c r="B28" s="4" t="n">
        <f aca="false">Assumptions!$B$21</f>
        <v>1.5</v>
      </c>
    </row>
    <row r="29" customFormat="false" ht="15" hidden="false" customHeight="false" outlineLevel="0" collapsed="false">
      <c r="A29" s="0" t="s">
        <v>112</v>
      </c>
      <c r="B29" s="4" t="n">
        <f aca="false">Assumptions!$B$22</f>
        <v>13</v>
      </c>
    </row>
    <row r="30" customFormat="false" ht="15" hidden="false" customHeight="false" outlineLevel="0" collapsed="false">
      <c r="A30" s="0" t="s">
        <v>133</v>
      </c>
      <c r="B30" s="0" t="n">
        <f aca="false">SUM(C21:L21)</f>
        <v>3445.23374481746</v>
      </c>
    </row>
    <row r="31" customFormat="false" ht="15" hidden="false" customHeight="false" outlineLevel="0" collapsed="false">
      <c r="A31" s="0" t="s">
        <v>134</v>
      </c>
      <c r="B31" s="0" t="n">
        <f aca="false">L19</f>
        <v>539.044458305688</v>
      </c>
    </row>
    <row r="32" customFormat="false" ht="15" hidden="false" customHeight="false" outlineLevel="0" collapsed="false">
      <c r="A32" s="0" t="s">
        <v>135</v>
      </c>
      <c r="B32" s="0" t="n">
        <f aca="false">IF(B27&gt;B28,B31*(1+B28/100)/((B27-B28)/100),B31*B29)</f>
        <v>9118.83541967122</v>
      </c>
    </row>
    <row r="33" customFormat="false" ht="15" hidden="false" customHeight="false" outlineLevel="0" collapsed="false">
      <c r="A33" s="0" t="s">
        <v>136</v>
      </c>
      <c r="B33" s="0" t="n">
        <f aca="false">B31*B29</f>
        <v>7007.57795797394</v>
      </c>
    </row>
    <row r="34" customFormat="false" ht="15" hidden="false" customHeight="false" outlineLevel="0" collapsed="false">
      <c r="A34" s="0" t="s">
        <v>137</v>
      </c>
      <c r="B34" s="0" t="n">
        <f aca="false">MAX(0,MIN(B32,B33))</f>
        <v>7007.57795797394</v>
      </c>
    </row>
    <row r="35" customFormat="false" ht="15" hidden="false" customHeight="false" outlineLevel="0" collapsed="false">
      <c r="A35" s="0" t="s">
        <v>138</v>
      </c>
      <c r="B35" s="0" t="n">
        <f aca="false">B34/(1+B27/100)^L4</f>
        <v>3400.03427730813</v>
      </c>
    </row>
    <row r="36" customFormat="false" ht="15" hidden="false" customHeight="false" outlineLevel="0" collapsed="false">
      <c r="A36" s="0" t="s">
        <v>139</v>
      </c>
      <c r="B36" s="0" t="n">
        <f aca="false">B30+B35</f>
        <v>6845.2680221256</v>
      </c>
    </row>
    <row r="37" customFormat="false" ht="15" hidden="false" customHeight="false" outlineLevel="0" collapsed="false">
      <c r="A37" s="0" t="s">
        <v>140</v>
      </c>
      <c r="B37" s="0" t="n">
        <f aca="false">B36+Assumptions!$B$5-Assumptions!$B$4</f>
        <v>4174.4680221256</v>
      </c>
    </row>
    <row r="38" customFormat="false" ht="15" hidden="false" customHeight="false" outlineLevel="0" collapsed="false">
      <c r="A38" s="0" t="s">
        <v>141</v>
      </c>
      <c r="B38" s="0" t="n">
        <f aca="false">B37/Assumptions!$B$3*Assumptions!$B$10</f>
        <v>28.9120616554739</v>
      </c>
    </row>
    <row r="39" customFormat="false" ht="15" hidden="false" customHeight="false" outlineLevel="0" collapsed="false">
      <c r="A39" s="0" t="s">
        <v>142</v>
      </c>
      <c r="B39" s="4" t="n">
        <f aca="false">B38/Assumptions!$B$2-1</f>
        <v>-0.542964564409202</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28.9120616554739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4052.8157420761</v>
      </c>
    </row>
    <row r="47" customFormat="false" ht="15" hidden="false" customHeight="false" outlineLevel="0" collapsed="false">
      <c r="A47" s="0" t="s">
        <v>147</v>
      </c>
      <c r="B47" s="0" t="n">
        <f aca="false">(SUMPRODUCT(C19:L19/(1+B45/100)^C4:L4)+B46/(1+B45/100)^L4+Assumptions!$B$5-Assumptions!$B$4)/Assumptions!$B$3*Assumptions!$B$10</f>
        <v>5.81897773119124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3.2</v>
      </c>
      <c r="D5" s="4" t="n">
        <f aca="false">Assumptions!D27</f>
        <v>4</v>
      </c>
      <c r="E5" s="4" t="n">
        <f aca="false">Assumptions!E27</f>
        <v>4</v>
      </c>
      <c r="F5" s="4" t="n">
        <f aca="false">Assumptions!F27</f>
        <v>3.5</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15171.5</v>
      </c>
      <c r="C6" s="0" t="n">
        <f aca="false">B6*(1+C5/100)</f>
        <v>15656.988</v>
      </c>
      <c r="D6" s="0" t="n">
        <f aca="false">C6*(1+D5/100)</f>
        <v>16283.26752</v>
      </c>
      <c r="E6" s="0" t="n">
        <f aca="false">D6*(1+E5/100)</f>
        <v>16934.5982208</v>
      </c>
      <c r="F6" s="0" t="n">
        <f aca="false">E6*(1+F5/100)</f>
        <v>17527.309158528</v>
      </c>
      <c r="G6" s="0" t="n">
        <f aca="false">F6*(1+G5/100)</f>
        <v>18053.1284332838</v>
      </c>
      <c r="H6" s="0" t="n">
        <f aca="false">G6*(1+H5/100)</f>
        <v>18594.7222862824</v>
      </c>
      <c r="I6" s="0" t="n">
        <f aca="false">H6*(1+I5/100)</f>
        <v>19059.5903434394</v>
      </c>
      <c r="J6" s="0" t="n">
        <f aca="false">I6*(1+J5/100)</f>
        <v>19536.0801020254</v>
      </c>
      <c r="K6" s="0" t="n">
        <f aca="false">J6*(1+K5/100)</f>
        <v>20024.482104576</v>
      </c>
      <c r="L6" s="0" t="n">
        <f aca="false">K6*(1+L5/100)</f>
        <v>20525.0941571904</v>
      </c>
    </row>
    <row r="7" customFormat="false" ht="15" hidden="false" customHeight="false" outlineLevel="0" collapsed="false">
      <c r="A7" s="0" t="s">
        <v>104</v>
      </c>
      <c r="C7" s="4" t="n">
        <f aca="false">Assumptions!C28</f>
        <v>8.2</v>
      </c>
      <c r="D7" s="4" t="n">
        <f aca="false">Assumptions!D28</f>
        <v>8.4</v>
      </c>
      <c r="E7" s="4" t="n">
        <f aca="false">Assumptions!E28</f>
        <v>8.6</v>
      </c>
      <c r="F7" s="4" t="n">
        <f aca="false">Assumptions!F28</f>
        <v>8.7</v>
      </c>
      <c r="G7" s="4" t="n">
        <f aca="false">Assumptions!G28</f>
        <v>8.7</v>
      </c>
      <c r="H7" s="4" t="n">
        <f aca="false">Assumptions!H28</f>
        <v>8.7</v>
      </c>
      <c r="I7" s="4" t="n">
        <f aca="false">Assumptions!I28</f>
        <v>8.7</v>
      </c>
      <c r="J7" s="4" t="n">
        <f aca="false">Assumptions!J28</f>
        <v>8.7</v>
      </c>
      <c r="K7" s="4" t="n">
        <f aca="false">Assumptions!K28</f>
        <v>8.7</v>
      </c>
      <c r="L7" s="4" t="n">
        <f aca="false">Assumptions!L28</f>
        <v>8.7</v>
      </c>
    </row>
    <row r="8" customFormat="false" ht="15" hidden="false" customHeight="false" outlineLevel="0" collapsed="false">
      <c r="A8" s="0" t="s">
        <v>43</v>
      </c>
      <c r="C8" s="0" t="n">
        <f aca="false">C6*C7/100</f>
        <v>1283.873016</v>
      </c>
      <c r="D8" s="0" t="n">
        <f aca="false">D6*D7/100</f>
        <v>1367.79447168</v>
      </c>
      <c r="E8" s="0" t="n">
        <f aca="false">E6*E7/100</f>
        <v>1456.3754469888</v>
      </c>
      <c r="F8" s="0" t="n">
        <f aca="false">F6*F7/100</f>
        <v>1524.87589679194</v>
      </c>
      <c r="G8" s="0" t="n">
        <f aca="false">G6*G7/100</f>
        <v>1570.62217369569</v>
      </c>
      <c r="H8" s="0" t="n">
        <f aca="false">H6*H7/100</f>
        <v>1617.74083890656</v>
      </c>
      <c r="I8" s="0" t="n">
        <f aca="false">I6*I7/100</f>
        <v>1658.18435987923</v>
      </c>
      <c r="J8" s="0" t="n">
        <f aca="false">J6*J7/100</f>
        <v>1699.63896887621</v>
      </c>
      <c r="K8" s="0" t="n">
        <f aca="false">K6*K7/100</f>
        <v>1742.12994309811</v>
      </c>
      <c r="L8" s="0" t="n">
        <f aca="false">L6*L7/100</f>
        <v>1785.68319167557</v>
      </c>
    </row>
    <row r="9" customFormat="false" ht="15" hidden="false" customHeight="false" outlineLevel="0" collapsed="false">
      <c r="A9" s="0" t="s">
        <v>105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1103.817654</v>
      </c>
      <c r="D11" s="0" t="n">
        <f aca="false">D8+D10+D24</f>
        <v>1180.5368952</v>
      </c>
      <c r="E11" s="0" t="n">
        <f aca="false">E8+E10+E24</f>
        <v>1261.6275674496</v>
      </c>
      <c r="F11" s="0" t="n">
        <f aca="false">F8+F10+F24</f>
        <v>1323.31184146886</v>
      </c>
      <c r="G11" s="0" t="n">
        <f aca="false">G8+G10+G24</f>
        <v>1363.01119671293</v>
      </c>
      <c r="H11" s="0" t="n">
        <f aca="false">H8+H10+H24</f>
        <v>1403.90153261432</v>
      </c>
      <c r="I11" s="0" t="n">
        <f aca="false">I8+I10+I24</f>
        <v>1438.99907092968</v>
      </c>
      <c r="J11" s="0" t="n">
        <f aca="false">J8+J10+J24</f>
        <v>1474.97404770292</v>
      </c>
      <c r="K11" s="0" t="n">
        <f aca="false">K8+K10+K24</f>
        <v>1511.84839889549</v>
      </c>
      <c r="L11" s="0" t="n">
        <f aca="false">L8+L10+L24</f>
        <v>1549.64460886788</v>
      </c>
    </row>
    <row r="12" customFormat="false" ht="15" hidden="false" customHeight="false" outlineLevel="0" collapsed="false">
      <c r="A12" s="0" t="s">
        <v>122</v>
      </c>
      <c r="C12" s="4" t="n">
        <f aca="false">-C6*Assumptions!C31/100</f>
        <v>-273.99729</v>
      </c>
      <c r="D12" s="4" t="n">
        <f aca="false">-D6*Assumptions!D31/100</f>
        <v>-284.9571816</v>
      </c>
      <c r="E12" s="4" t="n">
        <f aca="false">-E6*Assumptions!E31/100</f>
        <v>-296.355468864</v>
      </c>
      <c r="F12" s="4" t="n">
        <f aca="false">-F6*Assumptions!F31/100</f>
        <v>-306.72791027424</v>
      </c>
      <c r="G12" s="4" t="n">
        <f aca="false">-G6*Assumptions!G31/100</f>
        <v>-315.929747582467</v>
      </c>
      <c r="H12" s="4" t="n">
        <f aca="false">-H6*Assumptions!H31/100</f>
        <v>-325.407640009941</v>
      </c>
      <c r="I12" s="4" t="n">
        <f aca="false">-I6*Assumptions!I31/100</f>
        <v>-333.54283101019</v>
      </c>
      <c r="J12" s="4" t="n">
        <f aca="false">-J6*Assumptions!J31/100</f>
        <v>-341.881401785445</v>
      </c>
      <c r="K12" s="4" t="n">
        <f aca="false">-K6*Assumptions!K31/100</f>
        <v>-350.428436830081</v>
      </c>
      <c r="L12" s="4" t="n">
        <f aca="false">-L6*Assumptions!L31/100</f>
        <v>-359.189147750833</v>
      </c>
    </row>
    <row r="13" customFormat="false" ht="15" hidden="false" customHeight="false" outlineLevel="0" collapsed="false">
      <c r="A13" s="0" t="s">
        <v>123</v>
      </c>
      <c r="C13" s="0" t="n">
        <f aca="false">C11+C12</f>
        <v>829.820364</v>
      </c>
      <c r="D13" s="0" t="n">
        <f aca="false">D11+D12</f>
        <v>895.5797136</v>
      </c>
      <c r="E13" s="0" t="n">
        <f aca="false">E11+E12</f>
        <v>965.2720985856</v>
      </c>
      <c r="F13" s="0" t="n">
        <f aca="false">F11+F12</f>
        <v>1016.58393119462</v>
      </c>
      <c r="G13" s="0" t="n">
        <f aca="false">G11+G12</f>
        <v>1047.08144913046</v>
      </c>
      <c r="H13" s="0" t="n">
        <f aca="false">H11+H12</f>
        <v>1078.49389260438</v>
      </c>
      <c r="I13" s="0" t="n">
        <f aca="false">I11+I12</f>
        <v>1105.45623991949</v>
      </c>
      <c r="J13" s="0" t="n">
        <f aca="false">J11+J12</f>
        <v>1133.09264591747</v>
      </c>
      <c r="K13" s="0" t="n">
        <f aca="false">K11+K12</f>
        <v>1161.41996206541</v>
      </c>
      <c r="L13" s="0" t="n">
        <f aca="false">L11+L12</f>
        <v>1190.45546111705</v>
      </c>
    </row>
    <row r="14" customFormat="false" ht="15" hidden="false" customHeight="false" outlineLevel="0" collapsed="false">
      <c r="A14" s="0" t="s">
        <v>109</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124</v>
      </c>
      <c r="C15" s="0" t="n">
        <f aca="false">C13-MAX(0,C13)*C14/100</f>
        <v>614.06706936</v>
      </c>
      <c r="D15" s="0" t="n">
        <f aca="false">D13-MAX(0,D13)*D14/100</f>
        <v>662.728988064</v>
      </c>
      <c r="E15" s="0" t="n">
        <f aca="false">E13-MAX(0,E13)*E14/100</f>
        <v>714.301352953344</v>
      </c>
      <c r="F15" s="0" t="n">
        <f aca="false">F13-MAX(0,F13)*F14/100</f>
        <v>752.272109084022</v>
      </c>
      <c r="G15" s="0" t="n">
        <f aca="false">G13-MAX(0,G13)*G14/100</f>
        <v>774.840272356542</v>
      </c>
      <c r="H15" s="0" t="n">
        <f aca="false">H13-MAX(0,H13)*H14/100</f>
        <v>798.085480527239</v>
      </c>
      <c r="I15" s="0" t="n">
        <f aca="false">I13-MAX(0,I13)*I14/100</f>
        <v>818.037617540419</v>
      </c>
      <c r="J15" s="0" t="n">
        <f aca="false">J13-MAX(0,J13)*J14/100</f>
        <v>838.48855797893</v>
      </c>
      <c r="K15" s="0" t="n">
        <f aca="false">K13-MAX(0,K13)*K14/100</f>
        <v>859.450771928403</v>
      </c>
      <c r="L15" s="0" t="n">
        <f aca="false">L13-MAX(0,L13)*L14/100</f>
        <v>880.937041226613</v>
      </c>
    </row>
    <row r="16" customFormat="false" ht="15" hidden="false" customHeight="false" outlineLevel="0" collapsed="false">
      <c r="A16" s="0" t="s">
        <v>125</v>
      </c>
      <c r="C16" s="0" t="n">
        <f aca="false">-C12</f>
        <v>273.99729</v>
      </c>
      <c r="D16" s="0" t="n">
        <f aca="false">-D12</f>
        <v>284.9571816</v>
      </c>
      <c r="E16" s="0" t="n">
        <f aca="false">-E12</f>
        <v>296.355468864</v>
      </c>
      <c r="F16" s="0" t="n">
        <f aca="false">-F12</f>
        <v>306.72791027424</v>
      </c>
      <c r="G16" s="0" t="n">
        <f aca="false">-G12</f>
        <v>315.929747582467</v>
      </c>
      <c r="H16" s="0" t="n">
        <f aca="false">-H12</f>
        <v>325.407640009941</v>
      </c>
      <c r="I16" s="0" t="n">
        <f aca="false">-I12</f>
        <v>333.54283101019</v>
      </c>
      <c r="J16" s="0" t="n">
        <f aca="false">-J12</f>
        <v>341.881401785445</v>
      </c>
      <c r="K16" s="0" t="n">
        <f aca="false">-K12</f>
        <v>350.428436830081</v>
      </c>
      <c r="L16" s="0" t="n">
        <f aca="false">-L12</f>
        <v>359.189147750833</v>
      </c>
    </row>
    <row r="17" customFormat="false" ht="15" hidden="false" customHeight="false" outlineLevel="0" collapsed="false">
      <c r="A17" s="0" t="s">
        <v>126</v>
      </c>
      <c r="C17" s="4" t="n">
        <f aca="false">-C6*Assumptions!C32/100</f>
        <v>-297.482772</v>
      </c>
      <c r="D17" s="4" t="n">
        <f aca="false">-D6*Assumptions!D32/100</f>
        <v>-309.38208288</v>
      </c>
      <c r="E17" s="4" t="n">
        <f aca="false">-E6*Assumptions!E32/100</f>
        <v>-321.7573661952</v>
      </c>
      <c r="F17" s="4" t="n">
        <f aca="false">-F6*Assumptions!F32/100</f>
        <v>-333.018874012032</v>
      </c>
      <c r="G17" s="4" t="n">
        <f aca="false">-G6*Assumptions!G32/100</f>
        <v>-343.009440232393</v>
      </c>
      <c r="H17" s="4" t="n">
        <f aca="false">-H6*Assumptions!H32/100</f>
        <v>-353.299723439365</v>
      </c>
      <c r="I17" s="4" t="n">
        <f aca="false">-I6*Assumptions!I32/100</f>
        <v>-362.132216525349</v>
      </c>
      <c r="J17" s="4" t="n">
        <f aca="false">-J6*Assumptions!J32/100</f>
        <v>-371.185521938483</v>
      </c>
      <c r="K17" s="4" t="n">
        <f aca="false">-K6*Assumptions!K32/100</f>
        <v>-380.465159986945</v>
      </c>
      <c r="L17" s="4" t="n">
        <f aca="false">-L6*Assumptions!L32/100</f>
        <v>-389.976788986618</v>
      </c>
    </row>
    <row r="18" customFormat="false" ht="15" hidden="false" customHeight="false" outlineLevel="0" collapsed="false">
      <c r="A18" s="0" t="s">
        <v>127</v>
      </c>
      <c r="C18" s="4" t="n">
        <f aca="false">(C6-B6)*Assumptions!$B$37/100</f>
        <v>-58.2585600000001</v>
      </c>
      <c r="D18" s="4" t="n">
        <f aca="false">(D6-C6)*Assumptions!$B$37/100</f>
        <v>-75.1535424</v>
      </c>
      <c r="E18" s="4" t="n">
        <f aca="false">(E6-D6)*Assumptions!$B$37/100</f>
        <v>-78.1596840960001</v>
      </c>
      <c r="F18" s="4" t="n">
        <f aca="false">(F6-E6)*Assumptions!$B$37/100</f>
        <v>-71.1253125273599</v>
      </c>
      <c r="G18" s="4" t="n">
        <f aca="false">(G6-F6)*Assumptions!$B$37/100</f>
        <v>-63.0983129707007</v>
      </c>
      <c r="H18" s="4" t="n">
        <f aca="false">(H6-G6)*Assumptions!$B$37/100</f>
        <v>-64.9912623598217</v>
      </c>
      <c r="I18" s="4" t="n">
        <f aca="false">(I6-H6)*Assumptions!$B$37/100</f>
        <v>-55.784166858847</v>
      </c>
      <c r="J18" s="4" t="n">
        <f aca="false">(J6-I6)*Assumptions!$B$37/100</f>
        <v>-57.178771030318</v>
      </c>
      <c r="K18" s="4" t="n">
        <f aca="false">(K6-J6)*Assumptions!$B$37/100</f>
        <v>-58.6082403060759</v>
      </c>
      <c r="L18" s="4" t="n">
        <f aca="false">(L6-K6)*Assumptions!$B$37/100</f>
        <v>-60.0734463137281</v>
      </c>
    </row>
    <row r="19" customFormat="false" ht="15" hidden="false" customHeight="false" outlineLevel="0" collapsed="false">
      <c r="A19" s="0" t="s">
        <v>128</v>
      </c>
      <c r="C19" s="0" t="n">
        <f aca="false">C15+C16+C17+C18</f>
        <v>532.32302736</v>
      </c>
      <c r="D19" s="0" t="n">
        <f aca="false">D15+D16+D17+D18</f>
        <v>563.150544384</v>
      </c>
      <c r="E19" s="0" t="n">
        <f aca="false">E15+E16+E17+E18</f>
        <v>610.739771526144</v>
      </c>
      <c r="F19" s="0" t="n">
        <f aca="false">F15+F16+F17+F18</f>
        <v>654.85583281887</v>
      </c>
      <c r="G19" s="0" t="n">
        <f aca="false">G15+G16+G17+G18</f>
        <v>684.662266735916</v>
      </c>
      <c r="H19" s="0" t="n">
        <f aca="false">H15+H16+H17+H18</f>
        <v>705.202134737993</v>
      </c>
      <c r="I19" s="0" t="n">
        <f aca="false">I15+I16+I17+I18</f>
        <v>733.664065166413</v>
      </c>
      <c r="J19" s="0" t="n">
        <f aca="false">J15+J16+J17+J18</f>
        <v>752.005666795574</v>
      </c>
      <c r="K19" s="0" t="n">
        <f aca="false">K15+K16+K17+K18</f>
        <v>770.805808465463</v>
      </c>
      <c r="L19" s="0" t="n">
        <f aca="false">L15+L16+L17+L18</f>
        <v>790.0759536771</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495.184211497674</v>
      </c>
      <c r="D21" s="0" t="n">
        <f aca="false">D19*D20</f>
        <v>487.312531646512</v>
      </c>
      <c r="E21" s="0" t="n">
        <f aca="false">E19*E20</f>
        <v>491.62143430985</v>
      </c>
      <c r="F21" s="0" t="n">
        <f aca="false">F19*F20</f>
        <v>490.356394541919</v>
      </c>
      <c r="G21" s="0" t="n">
        <f aca="false">G19*G20</f>
        <v>476.9074121393</v>
      </c>
      <c r="H21" s="0" t="n">
        <f aca="false">H19*H20</f>
        <v>456.943846049748</v>
      </c>
      <c r="I21" s="0" t="n">
        <f aca="false">I19*I20</f>
        <v>442.21961089172</v>
      </c>
      <c r="J21" s="0" t="n">
        <f aca="false">J19*J20</f>
        <v>421.651256896756</v>
      </c>
      <c r="K21" s="0" t="n">
        <f aca="false">K19*K20</f>
        <v>402.039570529465</v>
      </c>
      <c r="L21" s="0" t="n">
        <f aca="false">L19*L20</f>
        <v>383.340055621118</v>
      </c>
    </row>
    <row r="23" customFormat="false" ht="15" hidden="false" customHeight="false" outlineLevel="0" collapsed="false">
      <c r="A23" s="0" t="s">
        <v>106</v>
      </c>
      <c r="C23" s="4" t="n">
        <f aca="false">Assumptions!C30</f>
        <v>1.15</v>
      </c>
      <c r="D23" s="4" t="n">
        <f aca="false">Assumptions!D30</f>
        <v>1.15</v>
      </c>
      <c r="E23" s="4" t="n">
        <f aca="false">Assumptions!E30</f>
        <v>1.15</v>
      </c>
      <c r="F23" s="4" t="n">
        <f aca="false">Assumptions!F30</f>
        <v>1.15</v>
      </c>
      <c r="G23" s="4" t="n">
        <f aca="false">Assumptions!G30</f>
        <v>1.15</v>
      </c>
      <c r="H23" s="4" t="n">
        <f aca="false">Assumptions!H30</f>
        <v>1.15</v>
      </c>
      <c r="I23" s="4" t="n">
        <f aca="false">Assumptions!I30</f>
        <v>1.15</v>
      </c>
      <c r="J23" s="4" t="n">
        <f aca="false">Assumptions!J30</f>
        <v>1.15</v>
      </c>
      <c r="K23" s="4" t="n">
        <f aca="false">Assumptions!K30</f>
        <v>1.15</v>
      </c>
      <c r="L23" s="4" t="n">
        <f aca="false">Assumptions!L30</f>
        <v>1.15</v>
      </c>
    </row>
    <row r="24" customFormat="false" ht="15" hidden="false" customHeight="false" outlineLevel="0" collapsed="false">
      <c r="A24" s="0" t="s">
        <v>131</v>
      </c>
      <c r="C24" s="0" t="n">
        <f aca="false">-C6*C23/100</f>
        <v>-180.055362</v>
      </c>
      <c r="D24" s="0" t="n">
        <f aca="false">-D6*D23/100</f>
        <v>-187.25757648</v>
      </c>
      <c r="E24" s="0" t="n">
        <f aca="false">-E6*E23/100</f>
        <v>-194.7478795392</v>
      </c>
      <c r="F24" s="0" t="n">
        <f aca="false">-F6*F23/100</f>
        <v>-201.564055323072</v>
      </c>
      <c r="G24" s="0" t="n">
        <f aca="false">-G6*G23/100</f>
        <v>-207.610976982764</v>
      </c>
      <c r="H24" s="0" t="n">
        <f aca="false">-H6*H23/100</f>
        <v>-213.839306292247</v>
      </c>
      <c r="I24" s="0" t="n">
        <f aca="false">-I6*I23/100</f>
        <v>-219.185288949553</v>
      </c>
      <c r="J24" s="0" t="n">
        <f aca="false">-J6*J23/100</f>
        <v>-224.664921173292</v>
      </c>
      <c r="K24" s="0" t="n">
        <f aca="false">-K6*K23/100</f>
        <v>-230.281544202624</v>
      </c>
      <c r="L24" s="0" t="n">
        <f aca="false">-L6*L23/100</f>
        <v>-236.03858280769</v>
      </c>
    </row>
    <row r="26" customFormat="false" ht="15" hidden="false" customHeight="false" outlineLevel="0" collapsed="false">
      <c r="A26" s="2" t="s">
        <v>132</v>
      </c>
    </row>
    <row r="27" customFormat="false" ht="15" hidden="false" customHeight="false" outlineLevel="0" collapsed="false">
      <c r="A27" s="0" t="s">
        <v>110</v>
      </c>
      <c r="B27" s="4" t="n">
        <f aca="false">Assumptions!$B$34</f>
        <v>7.5</v>
      </c>
    </row>
    <row r="28" customFormat="false" ht="15" hidden="false" customHeight="false" outlineLevel="0" collapsed="false">
      <c r="A28" s="0" t="s">
        <v>111</v>
      </c>
      <c r="B28" s="4" t="n">
        <f aca="false">Assumptions!$B$35</f>
        <v>2</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4547.57632412406</v>
      </c>
    </row>
    <row r="31" customFormat="false" ht="15" hidden="false" customHeight="false" outlineLevel="0" collapsed="false">
      <c r="A31" s="0" t="s">
        <v>134</v>
      </c>
      <c r="B31" s="0" t="n">
        <f aca="false">L19</f>
        <v>790.0759536771</v>
      </c>
    </row>
    <row r="32" customFormat="false" ht="15" hidden="false" customHeight="false" outlineLevel="0" collapsed="false">
      <c r="A32" s="0" t="s">
        <v>135</v>
      </c>
      <c r="B32" s="0" t="n">
        <f aca="false">IF(B27&gt;B28,B31*(1+B28/100)/((B27-B28)/100),B31*B29)</f>
        <v>14652.3176863753</v>
      </c>
    </row>
    <row r="33" customFormat="false" ht="15" hidden="false" customHeight="false" outlineLevel="0" collapsed="false">
      <c r="A33" s="0" t="s">
        <v>136</v>
      </c>
      <c r="B33" s="0" t="n">
        <f aca="false">B31*B29</f>
        <v>11851.1393051565</v>
      </c>
    </row>
    <row r="34" customFormat="false" ht="15" hidden="false" customHeight="false" outlineLevel="0" collapsed="false">
      <c r="A34" s="0" t="s">
        <v>137</v>
      </c>
      <c r="B34" s="0" t="n">
        <f aca="false">MAX(0,MIN(B32,B33))</f>
        <v>11851.1393051565</v>
      </c>
    </row>
    <row r="35" customFormat="false" ht="15" hidden="false" customHeight="false" outlineLevel="0" collapsed="false">
      <c r="A35" s="0" t="s">
        <v>138</v>
      </c>
      <c r="B35" s="0" t="n">
        <f aca="false">B34/(1+B27/100)^L4</f>
        <v>5750.10083431677</v>
      </c>
    </row>
    <row r="36" customFormat="false" ht="15" hidden="false" customHeight="false" outlineLevel="0" collapsed="false">
      <c r="A36" s="0" t="s">
        <v>139</v>
      </c>
      <c r="B36" s="0" t="n">
        <f aca="false">B30+B35</f>
        <v>10297.6771584408</v>
      </c>
    </row>
    <row r="37" customFormat="false" ht="15" hidden="false" customHeight="false" outlineLevel="0" collapsed="false">
      <c r="A37" s="0" t="s">
        <v>140</v>
      </c>
      <c r="B37" s="0" t="n">
        <f aca="false">B36+Assumptions!$B$5-Assumptions!$B$4</f>
        <v>7626.87715844083</v>
      </c>
    </row>
    <row r="38" customFormat="false" ht="15" hidden="false" customHeight="false" outlineLevel="0" collapsed="false">
      <c r="A38" s="0" t="s">
        <v>141</v>
      </c>
      <c r="B38" s="0" t="n">
        <f aca="false">B37/Assumptions!$B$3*Assumptions!$B$10</f>
        <v>52.8231960275709</v>
      </c>
    </row>
    <row r="39" customFormat="false" ht="15" hidden="false" customHeight="false" outlineLevel="0" collapsed="false">
      <c r="A39" s="0" t="s">
        <v>142</v>
      </c>
      <c r="B39" s="4" t="n">
        <f aca="false">B38/Assumptions!$B$2-1</f>
        <v>-0.164982674240105</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52.8231960275709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6199.05748269724</v>
      </c>
    </row>
    <row r="47" customFormat="false" ht="15" hidden="false" customHeight="false" outlineLevel="0" collapsed="false">
      <c r="A47" s="0" t="s">
        <v>147</v>
      </c>
      <c r="B47" s="0" t="n">
        <f aca="false">(SUMPRODUCT(C19:L19/(1+B45/100)^C4:L4)+B46/(1+B45/100)^L4+Assumptions!$B$5-Assumptions!$B$4)/Assumptions!$B$3*Assumptions!$B$10</f>
        <v>14.5966517199163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4.5</v>
      </c>
      <c r="D5" s="4" t="n">
        <f aca="false">Assumptions!D41</f>
        <v>6</v>
      </c>
      <c r="E5" s="4" t="n">
        <f aca="false">Assumptions!E41</f>
        <v>6</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15171.5</v>
      </c>
      <c r="C6" s="0" t="n">
        <f aca="false">B6*(1+C5/100)</f>
        <v>15854.2175</v>
      </c>
      <c r="D6" s="0" t="n">
        <f aca="false">C6*(1+D5/100)</f>
        <v>16805.47055</v>
      </c>
      <c r="E6" s="0" t="n">
        <f aca="false">D6*(1+E5/100)</f>
        <v>17813.798783</v>
      </c>
      <c r="F6" s="0" t="n">
        <f aca="false">E6*(1+F5/100)</f>
        <v>18704.48872215</v>
      </c>
      <c r="G6" s="0" t="n">
        <f aca="false">F6*(1+G5/100)</f>
        <v>19546.1907146468</v>
      </c>
      <c r="H6" s="0" t="n">
        <f aca="false">G6*(1+H5/100)</f>
        <v>20328.0383432326</v>
      </c>
      <c r="I6" s="0" t="n">
        <f aca="false">H6*(1+I5/100)</f>
        <v>21039.5196852458</v>
      </c>
      <c r="J6" s="0" t="n">
        <f aca="false">I6*(1+J5/100)</f>
        <v>21670.7052758031</v>
      </c>
      <c r="K6" s="0" t="n">
        <f aca="false">J6*(1+K5/100)</f>
        <v>22320.8264340772</v>
      </c>
      <c r="L6" s="0" t="n">
        <f aca="false">K6*(1+L5/100)</f>
        <v>22990.4512270995</v>
      </c>
    </row>
    <row r="7" customFormat="false" ht="15" hidden="false" customHeight="false" outlineLevel="0" collapsed="false">
      <c r="A7" s="0" t="s">
        <v>104</v>
      </c>
      <c r="C7" s="4" t="n">
        <f aca="false">Assumptions!C42</f>
        <v>8.5</v>
      </c>
      <c r="D7" s="4" t="n">
        <f aca="false">Assumptions!D42</f>
        <v>8.9</v>
      </c>
      <c r="E7" s="4" t="n">
        <f aca="false">Assumptions!E42</f>
        <v>9.2</v>
      </c>
      <c r="F7" s="4" t="n">
        <f aca="false">Assumptions!F42</f>
        <v>9.4</v>
      </c>
      <c r="G7" s="4" t="n">
        <f aca="false">Assumptions!G42</f>
        <v>9.5</v>
      </c>
      <c r="H7" s="4" t="n">
        <f aca="false">Assumptions!H42</f>
        <v>9.5</v>
      </c>
      <c r="I7" s="4" t="n">
        <f aca="false">Assumptions!I42</f>
        <v>9.5</v>
      </c>
      <c r="J7" s="4" t="n">
        <f aca="false">Assumptions!J42</f>
        <v>9.5</v>
      </c>
      <c r="K7" s="4" t="n">
        <f aca="false">Assumptions!K42</f>
        <v>9.5</v>
      </c>
      <c r="L7" s="4" t="n">
        <f aca="false">Assumptions!L42</f>
        <v>9.5</v>
      </c>
    </row>
    <row r="8" customFormat="false" ht="15" hidden="false" customHeight="false" outlineLevel="0" collapsed="false">
      <c r="A8" s="0" t="s">
        <v>43</v>
      </c>
      <c r="C8" s="0" t="n">
        <f aca="false">C6*C7/100</f>
        <v>1347.6084875</v>
      </c>
      <c r="D8" s="0" t="n">
        <f aca="false">D6*D7/100</f>
        <v>1495.68687895</v>
      </c>
      <c r="E8" s="0" t="n">
        <f aca="false">E6*E7/100</f>
        <v>1638.869488036</v>
      </c>
      <c r="F8" s="0" t="n">
        <f aca="false">F6*F7/100</f>
        <v>1758.2219398821</v>
      </c>
      <c r="G8" s="0" t="n">
        <f aca="false">G6*G7/100</f>
        <v>1856.88811789144</v>
      </c>
      <c r="H8" s="0" t="n">
        <f aca="false">H6*H7/100</f>
        <v>1931.1636426071</v>
      </c>
      <c r="I8" s="0" t="n">
        <f aca="false">I6*I7/100</f>
        <v>1998.75437009835</v>
      </c>
      <c r="J8" s="0" t="n">
        <f aca="false">J6*J7/100</f>
        <v>2058.7170012013</v>
      </c>
      <c r="K8" s="0" t="n">
        <f aca="false">K6*K7/100</f>
        <v>2120.47851123734</v>
      </c>
      <c r="L8" s="0" t="n">
        <f aca="false">L6*L7/100</f>
        <v>2184.09286657446</v>
      </c>
    </row>
    <row r="9" customFormat="false" ht="15" hidden="false" customHeight="false" outlineLevel="0" collapsed="false">
      <c r="A9" s="0" t="s">
        <v>105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1165.28498625</v>
      </c>
      <c r="D11" s="0" t="n">
        <f aca="false">D8+D10+D24</f>
        <v>1302.423967625</v>
      </c>
      <c r="E11" s="0" t="n">
        <f aca="false">E8+E10+E24</f>
        <v>1434.0108020315</v>
      </c>
      <c r="F11" s="0" t="n">
        <f aca="false">F8+F10+F24</f>
        <v>1543.12031957738</v>
      </c>
      <c r="G11" s="0" t="n">
        <f aca="false">G8+G10+G24</f>
        <v>1632.106924673</v>
      </c>
      <c r="H11" s="0" t="n">
        <f aca="false">H8+H10+H24</f>
        <v>1697.39120165992</v>
      </c>
      <c r="I11" s="0" t="n">
        <f aca="false">I8+I10+I24</f>
        <v>1756.79989371802</v>
      </c>
      <c r="J11" s="0" t="n">
        <f aca="false">J8+J10+J24</f>
        <v>1809.50389052956</v>
      </c>
      <c r="K11" s="0" t="n">
        <f aca="false">K8+K10+K24</f>
        <v>1863.78900724545</v>
      </c>
      <c r="L11" s="0" t="n">
        <f aca="false">L8+L10+L24</f>
        <v>1919.70267746281</v>
      </c>
    </row>
    <row r="12" customFormat="false" ht="15" hidden="false" customHeight="false" outlineLevel="0" collapsed="false">
      <c r="A12" s="0" t="s">
        <v>122</v>
      </c>
      <c r="C12" s="4" t="n">
        <f aca="false">-C6*Assumptions!C45/100</f>
        <v>-277.44880625</v>
      </c>
      <c r="D12" s="4" t="n">
        <f aca="false">-D6*Assumptions!D45/100</f>
        <v>-294.095734625</v>
      </c>
      <c r="E12" s="4" t="n">
        <f aca="false">-E6*Assumptions!E45/100</f>
        <v>-311.7414787025</v>
      </c>
      <c r="F12" s="4" t="n">
        <f aca="false">-F6*Assumptions!F45/100</f>
        <v>-327.328552637625</v>
      </c>
      <c r="G12" s="4" t="n">
        <f aca="false">-G6*Assumptions!G45/100</f>
        <v>-342.058337506318</v>
      </c>
      <c r="H12" s="4" t="n">
        <f aca="false">-H6*Assumptions!H45/100</f>
        <v>-355.740671006571</v>
      </c>
      <c r="I12" s="4" t="n">
        <f aca="false">-I6*Assumptions!I45/100</f>
        <v>-368.191594491801</v>
      </c>
      <c r="J12" s="4" t="n">
        <f aca="false">-J6*Assumptions!J45/100</f>
        <v>-379.237342326555</v>
      </c>
      <c r="K12" s="4" t="n">
        <f aca="false">-K6*Assumptions!K45/100</f>
        <v>-390.614462596351</v>
      </c>
      <c r="L12" s="4" t="n">
        <f aca="false">-L6*Assumptions!L45/100</f>
        <v>-402.332896474242</v>
      </c>
    </row>
    <row r="13" customFormat="false" ht="15" hidden="false" customHeight="false" outlineLevel="0" collapsed="false">
      <c r="A13" s="0" t="s">
        <v>123</v>
      </c>
      <c r="C13" s="0" t="n">
        <f aca="false">C11+C12</f>
        <v>887.83618</v>
      </c>
      <c r="D13" s="0" t="n">
        <f aca="false">D11+D12</f>
        <v>1008.328233</v>
      </c>
      <c r="E13" s="0" t="n">
        <f aca="false">E11+E12</f>
        <v>1122.269323329</v>
      </c>
      <c r="F13" s="0" t="n">
        <f aca="false">F11+F12</f>
        <v>1215.79176693975</v>
      </c>
      <c r="G13" s="0" t="n">
        <f aca="false">G11+G12</f>
        <v>1290.04858716669</v>
      </c>
      <c r="H13" s="0" t="n">
        <f aca="false">H11+H12</f>
        <v>1341.65053065335</v>
      </c>
      <c r="I13" s="0" t="n">
        <f aca="false">I11+I12</f>
        <v>1388.60829922622</v>
      </c>
      <c r="J13" s="0" t="n">
        <f aca="false">J11+J12</f>
        <v>1430.26654820301</v>
      </c>
      <c r="K13" s="0" t="n">
        <f aca="false">K11+K12</f>
        <v>1473.1745446491</v>
      </c>
      <c r="L13" s="0" t="n">
        <f aca="false">L11+L12</f>
        <v>1517.36978098857</v>
      </c>
    </row>
    <row r="14" customFormat="false" ht="15" hidden="false" customHeight="false" outlineLevel="0" collapsed="false">
      <c r="A14" s="0" t="s">
        <v>109</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124</v>
      </c>
      <c r="C15" s="0" t="n">
        <f aca="false">C13-MAX(0,C13)*C14/100</f>
        <v>656.9987732</v>
      </c>
      <c r="D15" s="0" t="n">
        <f aca="false">D13-MAX(0,D13)*D14/100</f>
        <v>746.16289242</v>
      </c>
      <c r="E15" s="0" t="n">
        <f aca="false">E13-MAX(0,E13)*E14/100</f>
        <v>830.47929926346</v>
      </c>
      <c r="F15" s="0" t="n">
        <f aca="false">F13-MAX(0,F13)*F14/100</f>
        <v>899.685907535415</v>
      </c>
      <c r="G15" s="0" t="n">
        <f aca="false">G13-MAX(0,G13)*G14/100</f>
        <v>954.635954503347</v>
      </c>
      <c r="H15" s="0" t="n">
        <f aca="false">H13-MAX(0,H13)*H14/100</f>
        <v>992.821392683481</v>
      </c>
      <c r="I15" s="0" t="n">
        <f aca="false">I13-MAX(0,I13)*I14/100</f>
        <v>1027.5701414274</v>
      </c>
      <c r="J15" s="0" t="n">
        <f aca="false">J13-MAX(0,J13)*J14/100</f>
        <v>1058.39724567023</v>
      </c>
      <c r="K15" s="0" t="n">
        <f aca="false">K13-MAX(0,K13)*K14/100</f>
        <v>1090.14916304033</v>
      </c>
      <c r="L15" s="0" t="n">
        <f aca="false">L13-MAX(0,L13)*L14/100</f>
        <v>1122.85363793154</v>
      </c>
    </row>
    <row r="16" customFormat="false" ht="15" hidden="false" customHeight="false" outlineLevel="0" collapsed="false">
      <c r="A16" s="0" t="s">
        <v>125</v>
      </c>
      <c r="C16" s="0" t="n">
        <f aca="false">-C12</f>
        <v>277.44880625</v>
      </c>
      <c r="D16" s="0" t="n">
        <f aca="false">-D12</f>
        <v>294.095734625</v>
      </c>
      <c r="E16" s="0" t="n">
        <f aca="false">-E12</f>
        <v>311.7414787025</v>
      </c>
      <c r="F16" s="0" t="n">
        <f aca="false">-F12</f>
        <v>327.328552637625</v>
      </c>
      <c r="G16" s="0" t="n">
        <f aca="false">-G12</f>
        <v>342.058337506318</v>
      </c>
      <c r="H16" s="0" t="n">
        <f aca="false">-H12</f>
        <v>355.740671006571</v>
      </c>
      <c r="I16" s="0" t="n">
        <f aca="false">-I12</f>
        <v>368.191594491801</v>
      </c>
      <c r="J16" s="0" t="n">
        <f aca="false">-J12</f>
        <v>379.237342326555</v>
      </c>
      <c r="K16" s="0" t="n">
        <f aca="false">-K12</f>
        <v>390.614462596351</v>
      </c>
      <c r="L16" s="0" t="n">
        <f aca="false">-L12</f>
        <v>402.332896474242</v>
      </c>
    </row>
    <row r="17" customFormat="false" ht="15" hidden="false" customHeight="false" outlineLevel="0" collapsed="false">
      <c r="A17" s="0" t="s">
        <v>126</v>
      </c>
      <c r="C17" s="4" t="n">
        <f aca="false">-C6*Assumptions!C46/100</f>
        <v>-301.2301325</v>
      </c>
      <c r="D17" s="4" t="n">
        <f aca="false">-D6*Assumptions!D46/100</f>
        <v>-319.30394045</v>
      </c>
      <c r="E17" s="4" t="n">
        <f aca="false">-E6*Assumptions!E46/100</f>
        <v>-338.462176877</v>
      </c>
      <c r="F17" s="4" t="n">
        <f aca="false">-F6*Assumptions!F46/100</f>
        <v>-355.38528572085</v>
      </c>
      <c r="G17" s="4" t="n">
        <f aca="false">-G6*Assumptions!G46/100</f>
        <v>-371.377623578288</v>
      </c>
      <c r="H17" s="4" t="n">
        <f aca="false">-H6*Assumptions!H46/100</f>
        <v>-386.23272852142</v>
      </c>
      <c r="I17" s="4" t="n">
        <f aca="false">-I6*Assumptions!I46/100</f>
        <v>-399.750874019669</v>
      </c>
      <c r="J17" s="4" t="n">
        <f aca="false">-J6*Assumptions!J46/100</f>
        <v>-411.74340024026</v>
      </c>
      <c r="K17" s="4" t="n">
        <f aca="false">-K6*Assumptions!K46/100</f>
        <v>-424.095702247467</v>
      </c>
      <c r="L17" s="4" t="n">
        <f aca="false">-L6*Assumptions!L46/100</f>
        <v>-436.818573314891</v>
      </c>
    </row>
    <row r="18" customFormat="false" ht="15" hidden="false" customHeight="false" outlineLevel="0" collapsed="false">
      <c r="A18" s="0" t="s">
        <v>127</v>
      </c>
      <c r="C18" s="4" t="n">
        <f aca="false">(C6-B6)*Assumptions!$B$51/100</f>
        <v>-81.9260999999999</v>
      </c>
      <c r="D18" s="4" t="n">
        <f aca="false">(D6-C6)*Assumptions!$B$51/100</f>
        <v>-114.150366</v>
      </c>
      <c r="E18" s="4" t="n">
        <f aca="false">(E6-D6)*Assumptions!$B$51/100</f>
        <v>-120.99938796</v>
      </c>
      <c r="F18" s="4" t="n">
        <f aca="false">(F6-E6)*Assumptions!$B$51/100</f>
        <v>-106.882792698</v>
      </c>
      <c r="G18" s="4" t="n">
        <f aca="false">(G6-F6)*Assumptions!$B$51/100</f>
        <v>-101.00423909961</v>
      </c>
      <c r="H18" s="4" t="n">
        <f aca="false">(H6-G6)*Assumptions!$B$51/100</f>
        <v>-93.8217154303045</v>
      </c>
      <c r="I18" s="4" t="n">
        <f aca="false">(I6-H6)*Assumptions!$B$51/100</f>
        <v>-85.3777610415768</v>
      </c>
      <c r="J18" s="4" t="n">
        <f aca="false">(J6-I6)*Assumptions!$B$51/100</f>
        <v>-75.7422708668847</v>
      </c>
      <c r="K18" s="4" t="n">
        <f aca="false">(K6-J6)*Assumptions!$B$51/100</f>
        <v>-78.0145389928913</v>
      </c>
      <c r="L18" s="4" t="n">
        <f aca="false">(L6-K6)*Assumptions!$B$51/100</f>
        <v>-80.3549751626782</v>
      </c>
    </row>
    <row r="19" customFormat="false" ht="15" hidden="false" customHeight="false" outlineLevel="0" collapsed="false">
      <c r="A19" s="0" t="s">
        <v>128</v>
      </c>
      <c r="C19" s="0" t="n">
        <f aca="false">C15+C16+C17+C18</f>
        <v>551.29134695</v>
      </c>
      <c r="D19" s="0" t="n">
        <f aca="false">D15+D16+D17+D18</f>
        <v>606.804320595</v>
      </c>
      <c r="E19" s="0" t="n">
        <f aca="false">E15+E16+E17+E18</f>
        <v>682.75921312896</v>
      </c>
      <c r="F19" s="0" t="n">
        <f aca="false">F15+F16+F17+F18</f>
        <v>764.74638175419</v>
      </c>
      <c r="G19" s="0" t="n">
        <f aca="false">G15+G16+G17+G18</f>
        <v>824.312429331767</v>
      </c>
      <c r="H19" s="0" t="n">
        <f aca="false">H15+H16+H17+H18</f>
        <v>868.507619738328</v>
      </c>
      <c r="I19" s="0" t="n">
        <f aca="false">I15+I16+I17+I18</f>
        <v>910.633100857957</v>
      </c>
      <c r="J19" s="0" t="n">
        <f aca="false">J15+J16+J17+J18</f>
        <v>950.148916889636</v>
      </c>
      <c r="K19" s="0" t="n">
        <f aca="false">K15+K16+K17+K18</f>
        <v>978.653384396325</v>
      </c>
      <c r="L19" s="0" t="n">
        <f aca="false">L15+L16+L17+L18</f>
        <v>1008.01298592821</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512.829159953489</v>
      </c>
      <c r="D21" s="0" t="n">
        <f aca="false">D19*D20</f>
        <v>525.087567848567</v>
      </c>
      <c r="E21" s="0" t="n">
        <f aca="false">E19*E20</f>
        <v>549.594245038216</v>
      </c>
      <c r="F21" s="0" t="n">
        <f aca="false">F19*F20</f>
        <v>572.642495802103</v>
      </c>
      <c r="G21" s="0" t="n">
        <f aca="false">G19*G20</f>
        <v>574.181938404538</v>
      </c>
      <c r="H21" s="0" t="n">
        <f aca="false">H19*H20</f>
        <v>562.759516084265</v>
      </c>
      <c r="I21" s="0" t="n">
        <f aca="false">I19*I20</f>
        <v>548.88856446197</v>
      </c>
      <c r="J21" s="0" t="n">
        <f aca="false">J19*J20</f>
        <v>532.75061975632</v>
      </c>
      <c r="K21" s="0" t="n">
        <f aca="false">K19*K20</f>
        <v>510.449431022334</v>
      </c>
      <c r="L21" s="0" t="n">
        <f aca="false">L19*L20</f>
        <v>489.081780421399</v>
      </c>
    </row>
    <row r="23" customFormat="false" ht="15" hidden="false" customHeight="false" outlineLevel="0" collapsed="false">
      <c r="A23" s="0" t="s">
        <v>106</v>
      </c>
      <c r="C23" s="4" t="n">
        <f aca="false">Assumptions!C44</f>
        <v>1.15</v>
      </c>
      <c r="D23" s="4" t="n">
        <f aca="false">Assumptions!D44</f>
        <v>1.15</v>
      </c>
      <c r="E23" s="4" t="n">
        <f aca="false">Assumptions!E44</f>
        <v>1.15</v>
      </c>
      <c r="F23" s="4" t="n">
        <f aca="false">Assumptions!F44</f>
        <v>1.15</v>
      </c>
      <c r="G23" s="4" t="n">
        <f aca="false">Assumptions!G44</f>
        <v>1.15</v>
      </c>
      <c r="H23" s="4" t="n">
        <f aca="false">Assumptions!H44</f>
        <v>1.15</v>
      </c>
      <c r="I23" s="4" t="n">
        <f aca="false">Assumptions!I44</f>
        <v>1.15</v>
      </c>
      <c r="J23" s="4" t="n">
        <f aca="false">Assumptions!J44</f>
        <v>1.15</v>
      </c>
      <c r="K23" s="4" t="n">
        <f aca="false">Assumptions!K44</f>
        <v>1.15</v>
      </c>
      <c r="L23" s="4" t="n">
        <f aca="false">Assumptions!L44</f>
        <v>1.15</v>
      </c>
    </row>
    <row r="24" customFormat="false" ht="15" hidden="false" customHeight="false" outlineLevel="0" collapsed="false">
      <c r="A24" s="0" t="s">
        <v>131</v>
      </c>
      <c r="C24" s="0" t="n">
        <f aca="false">-C6*C23/100</f>
        <v>-182.32350125</v>
      </c>
      <c r="D24" s="0" t="n">
        <f aca="false">-D6*D23/100</f>
        <v>-193.262911325</v>
      </c>
      <c r="E24" s="0" t="n">
        <f aca="false">-E6*E23/100</f>
        <v>-204.8586860045</v>
      </c>
      <c r="F24" s="0" t="n">
        <f aca="false">-F6*F23/100</f>
        <v>-215.101620304725</v>
      </c>
      <c r="G24" s="0" t="n">
        <f aca="false">-G6*G23/100</f>
        <v>-224.781193218438</v>
      </c>
      <c r="H24" s="0" t="n">
        <f aca="false">-H6*H23/100</f>
        <v>-233.772440947175</v>
      </c>
      <c r="I24" s="0" t="n">
        <f aca="false">-I6*I23/100</f>
        <v>-241.954476380326</v>
      </c>
      <c r="J24" s="0" t="n">
        <f aca="false">-J6*J23/100</f>
        <v>-249.213110671736</v>
      </c>
      <c r="K24" s="0" t="n">
        <f aca="false">-K6*K23/100</f>
        <v>-256.689503991888</v>
      </c>
      <c r="L24" s="0" t="n">
        <f aca="false">-L6*L23/100</f>
        <v>-264.390189111645</v>
      </c>
    </row>
    <row r="26" customFormat="false" ht="15" hidden="false" customHeight="false" outlineLevel="0" collapsed="false">
      <c r="A26" s="2" t="s">
        <v>132</v>
      </c>
    </row>
    <row r="27" customFormat="false" ht="15" hidden="false" customHeight="false" outlineLevel="0" collapsed="false">
      <c r="A27" s="0" t="s">
        <v>110</v>
      </c>
      <c r="B27" s="4" t="n">
        <f aca="false">Assumptions!$B$48</f>
        <v>7.5</v>
      </c>
    </row>
    <row r="28" customFormat="false" ht="15" hidden="false" customHeight="false" outlineLevel="0" collapsed="false">
      <c r="A28" s="0" t="s">
        <v>111</v>
      </c>
      <c r="B28" s="4" t="n">
        <f aca="false">Assumptions!$B$49</f>
        <v>2.5</v>
      </c>
    </row>
    <row r="29" customFormat="false" ht="15" hidden="false" customHeight="false" outlineLevel="0" collapsed="false">
      <c r="A29" s="0" t="s">
        <v>112</v>
      </c>
      <c r="B29" s="4" t="n">
        <f aca="false">Assumptions!$B$50</f>
        <v>16</v>
      </c>
    </row>
    <row r="30" customFormat="false" ht="15" hidden="false" customHeight="false" outlineLevel="0" collapsed="false">
      <c r="A30" s="0" t="s">
        <v>133</v>
      </c>
      <c r="B30" s="0" t="n">
        <f aca="false">SUM(C21:L21)</f>
        <v>5378.2653187932</v>
      </c>
    </row>
    <row r="31" customFormat="false" ht="15" hidden="false" customHeight="false" outlineLevel="0" collapsed="false">
      <c r="A31" s="0" t="s">
        <v>134</v>
      </c>
      <c r="B31" s="0" t="n">
        <f aca="false">L19</f>
        <v>1008.01298592821</v>
      </c>
    </row>
    <row r="32" customFormat="false" ht="15" hidden="false" customHeight="false" outlineLevel="0" collapsed="false">
      <c r="A32" s="0" t="s">
        <v>135</v>
      </c>
      <c r="B32" s="0" t="n">
        <f aca="false">IF(B27&gt;B28,B31*(1+B28/100)/((B27-B28)/100),B31*B29)</f>
        <v>20664.2662115284</v>
      </c>
    </row>
    <row r="33" customFormat="false" ht="15" hidden="false" customHeight="false" outlineLevel="0" collapsed="false">
      <c r="A33" s="0" t="s">
        <v>136</v>
      </c>
      <c r="B33" s="0" t="n">
        <f aca="false">B31*B29</f>
        <v>16128.2077748514</v>
      </c>
    </row>
    <row r="34" customFormat="false" ht="15" hidden="false" customHeight="false" outlineLevel="0" collapsed="false">
      <c r="A34" s="0" t="s">
        <v>137</v>
      </c>
      <c r="B34" s="0" t="n">
        <f aca="false">MAX(0,MIN(B32,B33))</f>
        <v>16128.2077748514</v>
      </c>
    </row>
    <row r="35" customFormat="false" ht="15" hidden="false" customHeight="false" outlineLevel="0" collapsed="false">
      <c r="A35" s="0" t="s">
        <v>138</v>
      </c>
      <c r="B35" s="0" t="n">
        <f aca="false">B34/(1+B27/100)^L4</f>
        <v>7825.30848674238</v>
      </c>
    </row>
    <row r="36" customFormat="false" ht="15" hidden="false" customHeight="false" outlineLevel="0" collapsed="false">
      <c r="A36" s="0" t="s">
        <v>139</v>
      </c>
      <c r="B36" s="0" t="n">
        <f aca="false">B30+B35</f>
        <v>13203.5738055356</v>
      </c>
    </row>
    <row r="37" customFormat="false" ht="15" hidden="false" customHeight="false" outlineLevel="0" collapsed="false">
      <c r="A37" s="0" t="s">
        <v>140</v>
      </c>
      <c r="B37" s="0" t="n">
        <f aca="false">B36+Assumptions!$B$5-Assumptions!$B$4</f>
        <v>10532.7738055356</v>
      </c>
    </row>
    <row r="38" customFormat="false" ht="15" hidden="false" customHeight="false" outlineLevel="0" collapsed="false">
      <c r="A38" s="0" t="s">
        <v>141</v>
      </c>
      <c r="B38" s="0" t="n">
        <f aca="false">B37/Assumptions!$B$3*Assumptions!$B$10</f>
        <v>72.9492246807881</v>
      </c>
    </row>
    <row r="39" customFormat="false" ht="15" hidden="false" customHeight="false" outlineLevel="0" collapsed="false">
      <c r="A39" s="0" t="s">
        <v>142</v>
      </c>
      <c r="B39" s="4" t="n">
        <f aca="false">B38/Assumptions!$B$2-1</f>
        <v>0.153165107189188</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72.9492246807881</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8265.70648461135</v>
      </c>
    </row>
    <row r="47" customFormat="false" ht="15" hidden="false" customHeight="false" outlineLevel="0" collapsed="false">
      <c r="A47" s="0" t="s">
        <v>147</v>
      </c>
      <c r="B47" s="0" t="n">
        <f aca="false">(SUMPRODUCT(C19:L19/(1+B45/100)^C4:L4)+B46/(1+B45/100)^L4+Assumptions!$B$5-Assumptions!$B$4)/Assumptions!$B$3*Assumptions!$B$10</f>
        <v>21.9022568939835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28.9120616554739</v>
      </c>
      <c r="C4" s="0" t="n">
        <f aca="false">B4/Assumptions!$B$2-1</f>
        <v>-0.542964564409202</v>
      </c>
      <c r="D4" s="4" t="n">
        <f aca="false">Assumptions!$B$24</f>
        <v>0.25</v>
      </c>
      <c r="E4" s="4" t="n">
        <f aca="false">DCF_Bear!$B$43</f>
        <v>28.9120616554739</v>
      </c>
      <c r="F4" s="4" t="n">
        <f aca="false">DCF_Bear!$B$47</f>
        <v>5.81897773119124</v>
      </c>
    </row>
    <row r="5" customFormat="false" ht="15" hidden="false" customHeight="false" outlineLevel="0" collapsed="false">
      <c r="A5" s="0" t="s">
        <v>156</v>
      </c>
      <c r="B5" s="4" t="n">
        <f aca="false">DCF_Base!$B$38</f>
        <v>52.8231960275709</v>
      </c>
      <c r="C5" s="0" t="n">
        <f aca="false">B5/Assumptions!$B$2-1</f>
        <v>-0.164982674240105</v>
      </c>
      <c r="D5" s="4" t="n">
        <f aca="false">Assumptions!$B$38</f>
        <v>0.5</v>
      </c>
      <c r="E5" s="4" t="n">
        <f aca="false">DCF_Base!$B$43</f>
        <v>52.8231960275709</v>
      </c>
      <c r="F5" s="4" t="n">
        <f aca="false">DCF_Base!$B$47</f>
        <v>14.5966517199163</v>
      </c>
    </row>
    <row r="6" customFormat="false" ht="15" hidden="false" customHeight="false" outlineLevel="0" collapsed="false">
      <c r="A6" s="0" t="s">
        <v>157</v>
      </c>
      <c r="B6" s="4" t="n">
        <f aca="false">DCF_Bull!$B$38</f>
        <v>72.9492246807881</v>
      </c>
      <c r="C6" s="0" t="n">
        <f aca="false">B6/Assumptions!$B$2-1</f>
        <v>0.153165107189188</v>
      </c>
      <c r="D6" s="4" t="n">
        <f aca="false">Assumptions!$B$52</f>
        <v>0.25</v>
      </c>
      <c r="E6" s="4" t="n">
        <f aca="false">DCF_Bull!$B$43</f>
        <v>72.9492246807881</v>
      </c>
      <c r="F6" s="4" t="n">
        <f aca="false">DCF_Bull!$B$47</f>
        <v>21.9022568939835</v>
      </c>
    </row>
    <row r="8" customFormat="false" ht="15" hidden="false" customHeight="false" outlineLevel="0" collapsed="false">
      <c r="A8" s="0" t="s">
        <v>158</v>
      </c>
      <c r="B8" s="0" t="n">
        <f aca="false">SUMPRODUCT(B4:B6,D4:D6)</f>
        <v>51.8769195978509</v>
      </c>
    </row>
    <row r="9" customFormat="false" ht="15" hidden="false" customHeight="false" outlineLevel="0" collapsed="false">
      <c r="A9" s="0" t="s">
        <v>159</v>
      </c>
      <c r="B9" s="0" t="n">
        <f aca="false">SUMPRODUCT(E4:E6,D4:D6)</f>
        <v>51.8769195978509</v>
      </c>
    </row>
    <row r="10" customFormat="false" ht="15" hidden="false" customHeight="false" outlineLevel="0" collapsed="false">
      <c r="A10" s="0" t="s">
        <v>160</v>
      </c>
      <c r="B10" s="0" t="n">
        <f aca="false">1-Assumptions!$B$2/B8</f>
        <v>-0.219424755563563</v>
      </c>
    </row>
    <row r="11" customFormat="false" ht="15" hidden="false" customHeight="false" outlineLevel="0" collapsed="false">
      <c r="A11" s="0" t="s">
        <v>161</v>
      </c>
      <c r="B11" s="0" t="str">
        <f aca="false">IF(ABS(B9-B8)&gt;0.01*ABS(B8),(Assumptions!$B$2-B8)/(B9-B8)*100,"n/a")</f>
        <v>n/a</v>
      </c>
    </row>
    <row r="12" customFormat="false" ht="15" hidden="false" customHeight="false" outlineLevel="0" collapsed="false">
      <c r="A12" s="0" t="s">
        <v>162</v>
      </c>
      <c r="B12" s="0" t="n">
        <f aca="false">SUMPRODUCT(F4:F6,D4:D6)</f>
        <v>14.2286345162518</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52.8231960275709</v>
      </c>
      <c r="C15" s="3" t="n">
        <v>7.5</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44.4849281167121</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36.364109115917</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30.0579658501614</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25.0215406822043</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14.5966517199163</v>
      </c>
      <c r="C20" s="3" t="n">
        <v>15</v>
      </c>
    </row>
    <row r="22" customFormat="false" ht="15" hidden="false" customHeight="false" outlineLevel="0" collapsed="false">
      <c r="A22" s="2" t="s">
        <v>171</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64.3747199328082</v>
      </c>
      <c r="C24" s="0" t="n">
        <f aca="false">(SUMPRODUCT(DCF_Base!$C$19:$L$19/(1+$A$24/100)^DCF_Base!$C$4:$L$4)+MAX(0,MIN(IF($A$24&gt;$C$23,DCF_Base!$L$19*(1+$C$23/100)/(($A$24-$C$23)/100),DCF_Base!$L$19*DCF_Base!$B$29),DCF_Base!$L$19*DCF_Base!$B$29))/(1+$A$24/100)^DCF_Base!$L$4+Assumptions!$B$5-Assumptions!$B$4)/Assumptions!$B$3*Assumptions!$B$10</f>
        <v>64.3747199328082</v>
      </c>
      <c r="D24" s="0" t="n">
        <f aca="false">(SUMPRODUCT(DCF_Base!$C$19:$L$19/(1+$A$24/100)^DCF_Base!$C$4:$L$4)+MAX(0,MIN(IF($A$24&gt;$D$23,DCF_Base!$L$19*(1+$D$23/100)/(($A$24-$D$23)/100),DCF_Base!$L$19*DCF_Base!$B$29),DCF_Base!$L$19*DCF_Base!$B$29))/(1+$A$24/100)^DCF_Base!$L$4+Assumptions!$B$5-Assumptions!$B$4)/Assumptions!$B$3*Assumptions!$B$10</f>
        <v>64.3747199328082</v>
      </c>
      <c r="E24" s="0" t="n">
        <f aca="false">(SUMPRODUCT(DCF_Base!$C$19:$L$19/(1+$A$24/100)^DCF_Base!$C$4:$L$4)+MAX(0,MIN(IF($A$24&gt;$E$23,DCF_Base!$L$19*(1+$E$23/100)/(($A$24-$E$23)/100),DCF_Base!$L$19*DCF_Base!$B$29),DCF_Base!$L$19*DCF_Base!$B$29))/(1+$A$24/100)^DCF_Base!$L$4+Assumptions!$B$5-Assumptions!$B$4)/Assumptions!$B$3*Assumptions!$B$10</f>
        <v>64.3747199328082</v>
      </c>
      <c r="F24" s="0" t="n">
        <f aca="false">(SUMPRODUCT(DCF_Base!$C$19:$L$19/(1+$A$24/100)^DCF_Base!$C$4:$L$4)+MAX(0,MIN(IF($A$24&gt;$F$23,DCF_Base!$L$19*(1+$F$23/100)/(($A$24-$F$23)/100),DCF_Base!$L$19*DCF_Base!$B$29),DCF_Base!$L$19*DCF_Base!$B$29))/(1+$A$24/100)^DCF_Base!$L$4+Assumptions!$B$5-Assumptions!$B$4)/Assumptions!$B$3*Assumptions!$B$10</f>
        <v>64.3747199328082</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58.3254695815041</v>
      </c>
      <c r="C25" s="0" t="n">
        <f aca="false">(SUMPRODUCT(DCF_Base!$C$19:$L$19/(1+$A$25/100)^DCF_Base!$C$4:$L$4)+MAX(0,MIN(IF($A$25&gt;$C$23,DCF_Base!$L$19*(1+$C$23/100)/(($A$25-$C$23)/100),DCF_Base!$L$19*DCF_Base!$B$29),DCF_Base!$L$19*DCF_Base!$B$29))/(1+$A$25/100)^DCF_Base!$L$4+Assumptions!$B$5-Assumptions!$B$4)/Assumptions!$B$3*Assumptions!$B$10</f>
        <v>58.3254695815041</v>
      </c>
      <c r="D25" s="0" t="n">
        <f aca="false">(SUMPRODUCT(DCF_Base!$C$19:$L$19/(1+$A$25/100)^DCF_Base!$C$4:$L$4)+MAX(0,MIN(IF($A$25&gt;$D$23,DCF_Base!$L$19*(1+$D$23/100)/(($A$25-$D$23)/100),DCF_Base!$L$19*DCF_Base!$B$29),DCF_Base!$L$19*DCF_Base!$B$29))/(1+$A$25/100)^DCF_Base!$L$4+Assumptions!$B$5-Assumptions!$B$4)/Assumptions!$B$3*Assumptions!$B$10</f>
        <v>58.3254695815041</v>
      </c>
      <c r="E25" s="0" t="n">
        <f aca="false">(SUMPRODUCT(DCF_Base!$C$19:$L$19/(1+$A$25/100)^DCF_Base!$C$4:$L$4)+MAX(0,MIN(IF($A$25&gt;$E$23,DCF_Base!$L$19*(1+$E$23/100)/(($A$25-$E$23)/100),DCF_Base!$L$19*DCF_Base!$B$29),DCF_Base!$L$19*DCF_Base!$B$29))/(1+$A$25/100)^DCF_Base!$L$4+Assumptions!$B$5-Assumptions!$B$4)/Assumptions!$B$3*Assumptions!$B$10</f>
        <v>58.3254695815041</v>
      </c>
      <c r="F25" s="0" t="n">
        <f aca="false">(SUMPRODUCT(DCF_Base!$C$19:$L$19/(1+$A$25/100)^DCF_Base!$C$4:$L$4)+MAX(0,MIN(IF($A$25&gt;$F$23,DCF_Base!$L$19*(1+$F$23/100)/(($A$25-$F$23)/100),DCF_Base!$L$19*DCF_Base!$B$29),DCF_Base!$L$19*DCF_Base!$B$29))/(1+$A$25/100)^DCF_Base!$L$4+Assumptions!$B$5-Assumptions!$B$4)/Assumptions!$B$3*Assumptions!$B$10</f>
        <v>58.3254695815041</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52.8231960275709</v>
      </c>
      <c r="C26" s="0" t="n">
        <f aca="false">(SUMPRODUCT(DCF_Base!$C$19:$L$19/(1+$A$26/100)^DCF_Base!$C$4:$L$4)+MAX(0,MIN(IF($A$26&gt;$C$23,DCF_Base!$L$19*(1+$C$23/100)/(($A$26-$C$23)/100),DCF_Base!$L$19*DCF_Base!$B$29),DCF_Base!$L$19*DCF_Base!$B$29))/(1+$A$26/100)^DCF_Base!$L$4+Assumptions!$B$5-Assumptions!$B$4)/Assumptions!$B$3*Assumptions!$B$10</f>
        <v>52.8231960275709</v>
      </c>
      <c r="D26" s="0" t="n">
        <f aca="false">(SUMPRODUCT(DCF_Base!$C$19:$L$19/(1+$A$26/100)^DCF_Base!$C$4:$L$4)+MAX(0,MIN(IF($A$26&gt;$D$23,DCF_Base!$L$19*(1+$D$23/100)/(($A$26-$D$23)/100),DCF_Base!$L$19*DCF_Base!$B$29),DCF_Base!$L$19*DCF_Base!$B$29))/(1+$A$26/100)^DCF_Base!$L$4+Assumptions!$B$5-Assumptions!$B$4)/Assumptions!$B$3*Assumptions!$B$10</f>
        <v>52.8231960275709</v>
      </c>
      <c r="E26" s="0" t="n">
        <f aca="false">(SUMPRODUCT(DCF_Base!$C$19:$L$19/(1+$A$26/100)^DCF_Base!$C$4:$L$4)+MAX(0,MIN(IF($A$26&gt;$E$23,DCF_Base!$L$19*(1+$E$23/100)/(($A$26-$E$23)/100),DCF_Base!$L$19*DCF_Base!$B$29),DCF_Base!$L$19*DCF_Base!$B$29))/(1+$A$26/100)^DCF_Base!$L$4+Assumptions!$B$5-Assumptions!$B$4)/Assumptions!$B$3*Assumptions!$B$10</f>
        <v>52.8231960275709</v>
      </c>
      <c r="F26" s="0" t="n">
        <f aca="false">(SUMPRODUCT(DCF_Base!$C$19:$L$19/(1+$A$26/100)^DCF_Base!$C$4:$L$4)+MAX(0,MIN(IF($A$26&gt;$F$23,DCF_Base!$L$19*(1+$F$23/100)/(($A$26-$F$23)/100),DCF_Base!$L$19*DCF_Base!$B$29),DCF_Base!$L$19*DCF_Base!$B$29))/(1+$A$26/100)^DCF_Base!$L$4+Assumptions!$B$5-Assumptions!$B$4)/Assumptions!$B$3*Assumptions!$B$10</f>
        <v>52.8231960275709</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44.1013857760899</v>
      </c>
      <c r="C27" s="0" t="n">
        <f aca="false">(SUMPRODUCT(DCF_Base!$C$19:$L$19/(1+$A$27/100)^DCF_Base!$C$4:$L$4)+MAX(0,MIN(IF($A$27&gt;$C$23,DCF_Base!$L$19*(1+$C$23/100)/(($A$27-$C$23)/100),DCF_Base!$L$19*DCF_Base!$B$29),DCF_Base!$L$19*DCF_Base!$B$29))/(1+$A$27/100)^DCF_Base!$L$4+Assumptions!$B$5-Assumptions!$B$4)/Assumptions!$B$3*Assumptions!$B$10</f>
        <v>46.6022483318875</v>
      </c>
      <c r="D27" s="0" t="n">
        <f aca="false">(SUMPRODUCT(DCF_Base!$C$19:$L$19/(1+$A$27/100)^DCF_Base!$C$4:$L$4)+MAX(0,MIN(IF($A$27&gt;$D$23,DCF_Base!$L$19*(1+$D$23/100)/(($A$27-$D$23)/100),DCF_Base!$L$19*DCF_Base!$B$29),DCF_Base!$L$19*DCF_Base!$B$29))/(1+$A$27/100)^DCF_Base!$L$4+Assumptions!$B$5-Assumptions!$B$4)/Assumptions!$B$3*Assumptions!$B$10</f>
        <v>47.8123431169508</v>
      </c>
      <c r="E27" s="0" t="n">
        <f aca="false">(SUMPRODUCT(DCF_Base!$C$19:$L$19/(1+$A$27/100)^DCF_Base!$C$4:$L$4)+MAX(0,MIN(IF($A$27&gt;$E$23,DCF_Base!$L$19*(1+$E$23/100)/(($A$27-$E$23)/100),DCF_Base!$L$19*DCF_Base!$B$29),DCF_Base!$L$19*DCF_Base!$B$29))/(1+$A$27/100)^DCF_Base!$L$4+Assumptions!$B$5-Assumptions!$B$4)/Assumptions!$B$3*Assumptions!$B$10</f>
        <v>47.8123431169508</v>
      </c>
      <c r="F27" s="0" t="n">
        <f aca="false">(SUMPRODUCT(DCF_Base!$C$19:$L$19/(1+$A$27/100)^DCF_Base!$C$4:$L$4)+MAX(0,MIN(IF($A$27&gt;$F$23,DCF_Base!$L$19*(1+$F$23/100)/(($A$27-$F$23)/100),DCF_Base!$L$19*DCF_Base!$B$29),DCF_Base!$L$19*DCF_Base!$B$29))/(1+$A$27/100)^DCF_Base!$L$4+Assumptions!$B$5-Assumptions!$B$4)/Assumptions!$B$3*Assumptions!$B$10</f>
        <v>47.8123431169508</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36.3596471723385</v>
      </c>
      <c r="C28" s="0" t="n">
        <f aca="false">(SUMPRODUCT(DCF_Base!$C$19:$L$19/(1+$A$28/100)^DCF_Base!$C$4:$L$4)+MAX(0,MIN(IF($A$28&gt;$C$23,DCF_Base!$L$19*(1+$C$23/100)/(($A$28-$C$23)/100),DCF_Base!$L$19*DCF_Base!$B$29),DCF_Base!$L$19*DCF_Base!$B$29))/(1+$A$28/100)^DCF_Base!$L$4+Assumptions!$B$5-Assumptions!$B$4)/Assumptions!$B$3*Assumptions!$B$10</f>
        <v>38.1374385105595</v>
      </c>
      <c r="D28" s="0" t="n">
        <f aca="false">(SUMPRODUCT(DCF_Base!$C$19:$L$19/(1+$A$28/100)^DCF_Base!$C$4:$L$4)+MAX(0,MIN(IF($A$28&gt;$D$23,DCF_Base!$L$19*(1+$D$23/100)/(($A$28-$D$23)/100),DCF_Base!$L$19*DCF_Base!$B$29),DCF_Base!$L$19*DCF_Base!$B$29))/(1+$A$28/100)^DCF_Base!$L$4+Assumptions!$B$5-Assumptions!$B$4)/Assumptions!$B$3*Assumptions!$B$10</f>
        <v>40.1522686938766</v>
      </c>
      <c r="E28" s="0" t="n">
        <f aca="false">(SUMPRODUCT(DCF_Base!$C$19:$L$19/(1+$A$28/100)^DCF_Base!$C$4:$L$4)+MAX(0,MIN(IF($A$28&gt;$E$23,DCF_Base!$L$19*(1+$E$23/100)/(($A$28-$E$23)/100),DCF_Base!$L$19*DCF_Base!$B$29),DCF_Base!$L$19*DCF_Base!$B$29))/(1+$A$28/100)^DCF_Base!$L$4+Assumptions!$B$5-Assumptions!$B$4)/Assumptions!$B$3*Assumptions!$B$10</f>
        <v>42.4549317605248</v>
      </c>
      <c r="F28" s="0" t="n">
        <f aca="false">(SUMPRODUCT(DCF_Base!$C$19:$L$19/(1+$A$28/100)^DCF_Base!$C$4:$L$4)+MAX(0,MIN(IF($A$28&gt;$F$23,DCF_Base!$L$19*(1+$F$23/100)/(($A$28-$F$23)/100),DCF_Base!$L$19*DCF_Base!$B$29),DCF_Base!$L$19*DCF_Base!$B$29))/(1+$A$28/100)^DCF_Base!$L$4+Assumptions!$B$5-Assumptions!$B$4)/Assumptions!$B$3*Assumptions!$B$10</f>
        <v>43.2435150025276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2026-10-30T21:26:53Z</dcterms:created>
  <dc:creator>openpyxl</dc:creator>
  <dc:description/>
  <dc:language>en-NZ</dc:language>
  <cp:lastModifiedBy/>
  <dcterms:modified xsi:type="dcterms:W3CDTF">2026-10-30T21:26:53Z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