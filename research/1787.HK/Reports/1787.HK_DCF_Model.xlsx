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<sst xmlns="http://schemas.openxmlformats.org/spreadsheetml/2006/main" count="354" uniqueCount="164">
  <si>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</si>
  <si>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1787.HK</t>
  </si>
  <si>
    <t xml:space="preserve">Company</t>
  </si>
  <si>
    <t xml:space="preserve">Shandong Gold Mining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</si>
  <si>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</si>
  <si>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</si>
  <si>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</si>
  <si>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</si>
  <si>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</si>
  <si>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</si>
  <si>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</si>
  <si>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</si>
  <si>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</si>
  <si>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</si>
  <si>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</si>
  <si>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</si>
  <si>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</si>
  <si>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</si>
  <si>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</si>
  <si>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</si>
  <si>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</si>
  <si>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</si>
  <si>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2026-10-16T18:09:09Z</t>
  </si>
  <si>
    <t xml:space="preserve">Drivers file</t>
  </si>
  <si>
    <t xml:space="preserve">1787.HK_Drivers.json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</si>
  <si>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</si>
  <si>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</si>
  <si>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</si>
  <si>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mid-cycle gold price, built from the first pass rather than carrying FY2025/H1 2026 peak-cycle margins forward. Three things dominate: (1) the gold price - every US$500/oz is ~CNY5.5bn of self-produced gross profit on ~50t; (2) capital intensity - capex has run 1.8-5.5x D&amp;A for eight years, so reported FCF has been negative in six of them and the company has funded growth with CNY60bn of new debt, perpetuals and equity; (3) leakage - 30% tax, 28% NCI and CNY14bn of perpetuals sit ahead of ordinary holders. At US$3,000/oz the enterprise value roughly covers the debt-like claims and little else; at US$3,800 the DCF lands near the market price; at US$2,500 the equity is out of the money. The market price is therefore best read as the price of a levered call on gold staying above ~US$3,500, not as a discount to mid-cycle cash flow. House rules applied: terminal value capped at 15x FCF (12x bear) for a cyclical, hurdle entry price with terminal rebuilt at 15%, risk charged in flows and weights rather than in WACC.
key_risks_to_valuation: Gold price regime: the base case takes a ~25-35% haircut to the 2025-H1 2026 realised prices; if US$4,000+ is the new normal the bull case understates value, and if gold reverts to 2024 levels the equity is impaired; Capex/D&amp;A terminal ratio of ~1.05x has never been achieved historically (1.8x+ every year); if the SOE keeps acquiring at the top of the cycle the terminal FCF is overstated; NCI leakage at 28%: overseas growth through Shanjin International (71% minorities) and Veladero (50%) raises it; 100%-owned Twin Hills and Sanshandao lower it; Accounting basis switch (IFRS to CAS at FY2025) and the mid-2026 H1 numbers: FY2026 H2 is a judgment, not data; management says the full-year production impact of the safety work is undetermined; RMB appreciation compresses CNY-realised gold prices independently of the USD gold price; the model is in CNY; A-share premium and SOE support: the A-share trades ~40% above the H-share; parent stake purchases and SOE financing access mean the bear case is unlikely to become a solvency event even though the DCF equity is negative there</t>
  </si>
  <si>
    <t xml:space="preserve">Data sources</t>
  </si>
  <si>
    <t xml:space="preserve">price: Yahoo Finance chart API at inputs.price_as_of (HKEX regular close); 52-week range 16.21-54.45; CNY-&gt;HKD from Yahoo CNYHKD=X the same day; A-share parity from 600547.SS
financials: 1787.HK_Metrics.csv (FY2018-FY2024 IFRS, FY2025 and H1 2026 PRC CAS); FY2025 annual report (CAS) consolidated income statement, cash-flow statement and supplementary D&amp;A note (lines 10600-10900, 18960-19000), product/volume tables (lines 1340-1430), tax reconciliation (18705-18735); H1 2026 interim report balance sheet (lines 4835-4974), income statement (5128-5175), contract-classification table (12380-12400)
qualitative: 1787.HK_Analysis.json (2026-10-17): business model, overseas ramp, 2026 production disruption, Donghai Securities loss, chairman change, guidance (2026 plan &gt;=49t, Sanshandao approval, Twin Hills H1 2027)</t>
  </si>
  <si>
    <t xml:space="preserve">Scenario narrative: bear</t>
  </si>
  <si>
    <t xml:space="preserve">Gold reverts to ~US$2,500/oz (2024 level), costs keep inflating with depth, domestic disruption runs into 2027, capex stays ~1.1x D&amp;A; EBITDA ~CNY8-9bn cannot service CNY81bn of debt-like claims and the equity value is bounded at zero.</t>
  </si>
  <si>
    <t xml:space="preserve">Scenario narrative: base</t>
  </si>
  <si>
    <t xml:space="preserve">Mid-cycle gold ~US$3,000/oz from 2027, flat real; domestic output back to the 49t plan in 2027, Twin Hills first gold H1 2027, ~60t by 2035; capex tapers from 1.8x to ~1.05x D&amp;A; 28% NCI leakage persists. Enterprise value at this price roughly equals net debt plus perpetual bonds, leaving ordinary equity as a thin residual.</t>
  </si>
  <si>
    <t xml:space="preserve">Scenario narrative: bull</t>
  </si>
  <si>
    <t xml:space="preserve">Gold ~US$3,800/oz sustained (the 2025-26 regime minus ~17%), production recovers to 50t in 2027 and 60t+ by 2032, self-produced gross margin ~49%, EBITDA ~CNY24-33bn, capex tapers to ~1.06x D&amp;A. Requires both the gold price and the domestic recovery.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</si>
  <si>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</si>
  <si>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</si>
  <si>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</si>
  <si>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</si>
  <si>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</si>
  <si>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</si>
  <si>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</si>
  <si>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</si>
  <si>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</si>
  <si>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</si>
  <si>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</si>
  <si>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</si>
  <si>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</si>
  <si>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</si>
  <si>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</si>
  <si>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</si>
  <si>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</si>
  <si>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</si>
  <si>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</si>
  <si>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</si>
  <si>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</si>
  <si>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</si>
  <si>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</si>
  <si>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</si>
  <si>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</si>
  <si>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</si>
  <si>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</si>
  <si>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</si>
  <si>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</si>
  <si>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</si>
  <si>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</si>
  <si>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</si>
  <si>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</si>
  <si>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</si>
  <si>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</si>
  <si>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</si>
  <si>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</si>
  <si>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</si>
  <si>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</si>
  <si>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</si>
  <si>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</si>
  <si>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</si>
  <si>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</si>
  <si>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</si>
  <si>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</si>
  <si>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</si>
  <si>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</si>
  <si>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</si>
  <si>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</si>
  <si>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</si>
  <si>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</si>
  <si>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</si>
  <si>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</si>
  <si>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</si>
  <si>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</si>
  <si>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</si>
  <si>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</si>
  <si>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</si>
  <si>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</si>
  <si>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</si>
  <si>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</si>
  <si>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</si>
  <si>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</si>
  <si>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</si>
  <si>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</si>
  <si>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</si>
  <si>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</si>
  <si>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</si>
  <si>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</si>
  <si>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</si>
  <si>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</si>
  <si>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</si>
  <si>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1787.HK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</si>
  <si>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</si>
  <si>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</si>
  <si>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</si>
  <si>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</si>
  <si>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</si>
  <si>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</si>
  <si>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</si>
  <si>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</si>
  <si>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</si>
  <si>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</si>
  <si>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</si>
  <si>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</si>
  <si>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</si>
  <si>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</si>
  <si>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</si>
  <si>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</si>
  <si>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</si>
  <si>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</si>
  <si>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</si>
  <si>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</si>
  <si>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</si>
  <si>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</si>
  <si>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</si>
  <si>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</si>
  <si>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</si>
  <si>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</si>
  <si>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</si>
  <si>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</si>
  <si>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</si>
  <si>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</si>
  <si>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1787.HK owner-FCF component DCF: base case (millions, CNY)</t>
  </si>
  <si>
    <t xml:space="preserve">1787.HK owner-FCF component DCF: bull case (millions, CNY)</t>
  </si>
  <si>
    <t xml:space="preserve">1787.HK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</si>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</sst>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18.77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54787.877</v>
      </c>
      <c r="C2" s="0" t="n">
        <v>50856.661</v>
      </c>
      <c r="D2" s="0" t="n">
        <v>3931.216</v>
      </c>
      <c r="E2" s="0" t="n">
        <v>7.2</v>
      </c>
      <c r="I2" s="0" t="n">
        <v>816.048</v>
      </c>
      <c r="J2" s="0" t="n">
        <v>1.5</v>
      </c>
      <c r="K2" s="0" t="n">
        <v>0.42</v>
      </c>
      <c r="L2" s="0" t="n">
        <v>2870.74</v>
      </c>
      <c r="M2" s="0" t="n">
        <v>3647.776</v>
      </c>
      <c r="N2" s="0" t="n">
        <v>-777.036</v>
      </c>
      <c r="O2" s="0" t="n">
        <v>21712.885</v>
      </c>
      <c r="P2" s="0" t="n">
        <v>45611.689</v>
      </c>
      <c r="Q2" s="0" t="n">
        <v>21975.011</v>
      </c>
      <c r="R2" s="0" t="n">
        <v>6432.174</v>
      </c>
      <c r="S2" s="0" t="n">
        <v>1937.72</v>
      </c>
      <c r="T2" s="0" t="n">
        <v>2214.008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62613.141</v>
      </c>
      <c r="C3" s="0" t="n">
        <v>57601.794</v>
      </c>
      <c r="D3" s="0" t="n">
        <v>5011.347</v>
      </c>
      <c r="E3" s="0" t="n">
        <v>8</v>
      </c>
      <c r="I3" s="0" t="n">
        <v>1290.503</v>
      </c>
      <c r="J3" s="0" t="n">
        <v>2.1</v>
      </c>
      <c r="K3" s="0" t="n">
        <v>0.42</v>
      </c>
      <c r="L3" s="0" t="n">
        <v>5188.582</v>
      </c>
      <c r="M3" s="0" t="n">
        <v>5064.354</v>
      </c>
      <c r="N3" s="0" t="n">
        <v>124.228</v>
      </c>
      <c r="O3" s="0" t="n">
        <v>23207.912</v>
      </c>
      <c r="R3" s="0" t="n">
        <v>8271.537</v>
      </c>
      <c r="S3" s="0" t="n">
        <v>3019.041</v>
      </c>
      <c r="T3" s="0" t="n">
        <v>3099.612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63645.351</v>
      </c>
      <c r="C4" s="0" t="n">
        <v>57088.914</v>
      </c>
      <c r="D4" s="0" t="n">
        <v>6556.437</v>
      </c>
      <c r="E4" s="0" t="n">
        <v>10.3</v>
      </c>
      <c r="I4" s="0" t="n">
        <v>2231.533</v>
      </c>
      <c r="J4" s="0" t="n">
        <v>3.5</v>
      </c>
      <c r="K4" s="0" t="n">
        <v>0.51</v>
      </c>
      <c r="L4" s="0" t="n">
        <v>5323.182</v>
      </c>
      <c r="M4" s="0" t="n">
        <v>5413.6</v>
      </c>
      <c r="N4" s="0" t="n">
        <v>-90.418</v>
      </c>
      <c r="O4" s="0" t="n">
        <v>28827.831</v>
      </c>
      <c r="R4" s="0" t="n">
        <v>11505.05</v>
      </c>
      <c r="S4" s="0" t="n">
        <v>3032.156</v>
      </c>
      <c r="T4" s="0" t="n">
        <v>4313.947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33932.646</v>
      </c>
      <c r="C5" s="0" t="n">
        <v>31557.552</v>
      </c>
      <c r="D5" s="0" t="n">
        <v>2375.094</v>
      </c>
      <c r="E5" s="0" t="n">
        <v>7</v>
      </c>
      <c r="I5" s="0" t="n">
        <v>-221.301</v>
      </c>
      <c r="J5" s="0" t="n">
        <v>-0.7</v>
      </c>
      <c r="K5" s="0" t="n">
        <v>-0.1</v>
      </c>
      <c r="L5" s="0" t="n">
        <v>1206.268</v>
      </c>
      <c r="M5" s="0" t="n">
        <v>5057.62</v>
      </c>
      <c r="N5" s="0" t="n">
        <v>-3851.352</v>
      </c>
      <c r="O5" s="0" t="n">
        <v>29328.654</v>
      </c>
      <c r="R5" s="0" t="n">
        <v>15276.414</v>
      </c>
      <c r="S5" s="0" t="n">
        <v>4525.365</v>
      </c>
      <c r="T5" s="0" t="n">
        <v>4473.43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50305.754</v>
      </c>
      <c r="C6" s="0" t="n">
        <v>44138.322</v>
      </c>
      <c r="D6" s="0" t="n">
        <v>6167.432</v>
      </c>
      <c r="E6" s="0" t="n">
        <v>12.3</v>
      </c>
      <c r="I6" s="0" t="n">
        <v>1191.359</v>
      </c>
      <c r="J6" s="0" t="n">
        <v>2.4</v>
      </c>
      <c r="K6" s="0" t="n">
        <v>0.19</v>
      </c>
      <c r="L6" s="0" t="n">
        <v>2526.845</v>
      </c>
      <c r="M6" s="0" t="n">
        <v>4757.058</v>
      </c>
      <c r="N6" s="0" t="n">
        <v>-2230.213</v>
      </c>
      <c r="O6" s="0" t="n">
        <v>32931.387</v>
      </c>
      <c r="R6" s="0" t="n">
        <v>23537.112</v>
      </c>
      <c r="S6" s="0" t="n">
        <v>7753.482</v>
      </c>
      <c r="T6" s="0" t="n">
        <v>4473.43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59275.275</v>
      </c>
      <c r="C7" s="0" t="n">
        <v>50647.596</v>
      </c>
      <c r="D7" s="0" t="n">
        <v>8627.679</v>
      </c>
      <c r="E7" s="0" t="n">
        <v>14.6</v>
      </c>
      <c r="I7" s="0" t="n">
        <v>2267.383</v>
      </c>
      <c r="J7" s="0" t="n">
        <v>3.8</v>
      </c>
      <c r="K7" s="0" t="n">
        <v>0.4</v>
      </c>
      <c r="L7" s="0" t="n">
        <v>9452.817</v>
      </c>
      <c r="M7" s="0" t="n">
        <v>10693.656</v>
      </c>
      <c r="N7" s="0" t="n">
        <v>-1240.839</v>
      </c>
      <c r="O7" s="0" t="n">
        <v>33078.932</v>
      </c>
      <c r="P7" s="0" t="n">
        <v>135018.841</v>
      </c>
      <c r="Q7" s="0" t="n">
        <v>81721.127</v>
      </c>
      <c r="R7" s="0" t="n">
        <v>51300.232</v>
      </c>
      <c r="S7" s="0" t="n">
        <v>8352.903</v>
      </c>
      <c r="T7" s="0" t="n">
        <v>4473.43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82517.994</v>
      </c>
      <c r="C8" s="0" t="n">
        <v>70304.639</v>
      </c>
      <c r="D8" s="0" t="n">
        <v>12213.355</v>
      </c>
      <c r="E8" s="0" t="n">
        <v>14.8</v>
      </c>
      <c r="I8" s="0" t="n">
        <v>2898.68</v>
      </c>
      <c r="J8" s="0" t="n">
        <v>3.5</v>
      </c>
      <c r="K8" s="0" t="n">
        <v>0.56</v>
      </c>
      <c r="L8" s="0" t="n">
        <v>20296.754</v>
      </c>
      <c r="M8" s="0" t="n">
        <v>27894.146</v>
      </c>
      <c r="N8" s="0" t="n">
        <v>-7597.392</v>
      </c>
      <c r="O8" s="0" t="n">
        <v>37703.793</v>
      </c>
      <c r="P8" s="0" t="n">
        <v>161010.475</v>
      </c>
      <c r="Q8" s="0" t="n">
        <v>102453.678</v>
      </c>
      <c r="R8" s="0" t="n">
        <v>63569.724</v>
      </c>
      <c r="S8" s="0" t="n">
        <v>9931.631</v>
      </c>
      <c r="T8" s="0" t="n">
        <v>4473.43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104287.392</v>
      </c>
      <c r="C9" s="0" t="n">
        <v>82949.651</v>
      </c>
      <c r="D9" s="0" t="n">
        <v>21337.74</v>
      </c>
      <c r="E9" s="0" t="n">
        <v>20.5</v>
      </c>
      <c r="F9" s="0" t="n">
        <v>9388.682</v>
      </c>
      <c r="G9" s="0" t="n">
        <v>9</v>
      </c>
      <c r="I9" s="0" t="n">
        <v>4739.393</v>
      </c>
      <c r="J9" s="0" t="n">
        <v>4.5</v>
      </c>
      <c r="K9" s="0" t="n">
        <v>0.94</v>
      </c>
      <c r="L9" s="0" t="n">
        <v>21492.755</v>
      </c>
      <c r="M9" s="0" t="n">
        <v>12928.502</v>
      </c>
      <c r="N9" s="0" t="n">
        <v>8564.253</v>
      </c>
      <c r="O9" s="0" t="n">
        <v>44899.27</v>
      </c>
      <c r="P9" s="0" t="n">
        <v>170374.158</v>
      </c>
      <c r="Q9" s="0" t="n">
        <v>105994.525</v>
      </c>
      <c r="R9" s="0" t="n">
        <v>65562.973</v>
      </c>
      <c r="S9" s="0" t="n">
        <v>15993.931</v>
      </c>
      <c r="T9" s="0" t="n">
        <v>4609.93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18.77</v>
      </c>
    </row>
    <row r="3" customFormat="false" ht="15" hidden="false" customHeight="false" outlineLevel="0" collapsed="false">
      <c r="A3" s="0" t="s">
        <v>75</v>
      </c>
      <c r="B3" s="3" t="n">
        <v>4609.93</v>
      </c>
    </row>
    <row r="4" customFormat="false" ht="15" hidden="false" customHeight="false" outlineLevel="0" collapsed="false">
      <c r="A4" s="0" t="s">
        <v>76</v>
      </c>
      <c r="B4" s="3" t="n">
        <v>52629</v>
      </c>
    </row>
    <row r="5" customFormat="false" ht="15" hidden="false" customHeight="false" outlineLevel="0" collapsed="false">
      <c r="A5" s="0" t="s">
        <v>77</v>
      </c>
      <c r="B5" s="3" t="n">
        <v>-2888.2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104287.4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1.1733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-10</v>
      </c>
      <c r="D13" s="3" t="n">
        <v>-24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19.3</v>
      </c>
      <c r="D14" s="3" t="n">
        <v>11.5</v>
      </c>
      <c r="E14" s="3" t="n">
        <v>11.6</v>
      </c>
      <c r="F14" s="3" t="n">
        <v>11.8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7.3</v>
      </c>
      <c r="D17" s="3" t="n">
        <v>10.3</v>
      </c>
      <c r="E17" s="3" t="n">
        <v>10.3</v>
      </c>
      <c r="F17" s="3" t="n">
        <v>10.3</v>
      </c>
      <c r="G17" s="3" t="n">
        <v>10.3</v>
      </c>
      <c r="H17" s="3" t="n">
        <v>10.3</v>
      </c>
      <c r="I17" s="3" t="n">
        <v>10.3</v>
      </c>
      <c r="J17" s="3" t="n">
        <v>10.3</v>
      </c>
      <c r="K17" s="3" t="n">
        <v>10.3</v>
      </c>
      <c r="L17" s="3" t="n">
        <v>10.3</v>
      </c>
    </row>
    <row r="18" customFormat="false" ht="15" hidden="false" customHeight="false" outlineLevel="0" collapsed="false">
      <c r="A18" s="0" t="s">
        <v>100</v>
      </c>
      <c r="C18" s="3" t="n">
        <v>12</v>
      </c>
      <c r="D18" s="3" t="n">
        <v>12</v>
      </c>
      <c r="E18" s="3" t="n">
        <v>11.5</v>
      </c>
      <c r="F18" s="3" t="n">
        <v>11</v>
      </c>
      <c r="G18" s="3" t="n">
        <v>11</v>
      </c>
      <c r="H18" s="3" t="n">
        <v>10.8</v>
      </c>
      <c r="I18" s="3" t="n">
        <v>10.8</v>
      </c>
      <c r="J18" s="3" t="n">
        <v>10.8</v>
      </c>
      <c r="K18" s="3" t="n">
        <v>10.8</v>
      </c>
      <c r="L18" s="3" t="n">
        <v>10.8</v>
      </c>
    </row>
    <row r="19" customFormat="false" ht="15" hidden="false" customHeight="false" outlineLevel="0" collapsed="false">
      <c r="A19" s="0" t="s">
        <v>101</v>
      </c>
      <c r="C19" s="3" t="n">
        <v>49.6</v>
      </c>
      <c r="D19" s="3" t="n">
        <v>49.6</v>
      </c>
      <c r="E19" s="3" t="n">
        <v>49.6</v>
      </c>
      <c r="F19" s="3" t="n">
        <v>49.6</v>
      </c>
      <c r="G19" s="3" t="n">
        <v>49.6</v>
      </c>
      <c r="H19" s="3" t="n">
        <v>49.6</v>
      </c>
      <c r="I19" s="3" t="n">
        <v>49.6</v>
      </c>
      <c r="J19" s="3" t="n">
        <v>49.6</v>
      </c>
      <c r="K19" s="3" t="n">
        <v>49.6</v>
      </c>
      <c r="L19" s="3" t="n">
        <v>49.6</v>
      </c>
    </row>
    <row r="20" customFormat="false" ht="15" hidden="false" customHeight="false" outlineLevel="0" collapsed="false">
      <c r="A20" s="0" t="s">
        <v>102</v>
      </c>
      <c r="B20" s="3" t="n">
        <v>7.5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0</v>
      </c>
      <c r="D27" s="3" t="n">
        <v>-17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21</v>
      </c>
      <c r="D28" s="3" t="n">
        <v>17.2</v>
      </c>
      <c r="E28" s="3" t="n">
        <v>17.7</v>
      </c>
      <c r="F28" s="3" t="n">
        <v>18.2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6.7</v>
      </c>
      <c r="D31" s="3" t="n">
        <v>8.5</v>
      </c>
      <c r="E31" s="3" t="n">
        <v>8.6</v>
      </c>
      <c r="F31" s="3" t="n">
        <v>8.7</v>
      </c>
      <c r="G31" s="3" t="n">
        <v>8.8</v>
      </c>
      <c r="H31" s="3" t="n">
        <v>8.8</v>
      </c>
      <c r="I31" s="3" t="n">
        <v>8.8</v>
      </c>
      <c r="J31" s="3" t="n">
        <v>8.8</v>
      </c>
      <c r="K31" s="3" t="n">
        <v>8.8</v>
      </c>
      <c r="L31" s="3" t="n">
        <v>8.8</v>
      </c>
    </row>
    <row r="32" customFormat="false" ht="15" hidden="false" customHeight="false" outlineLevel="0" collapsed="false">
      <c r="A32" s="0" t="s">
        <v>100</v>
      </c>
      <c r="C32" s="3" t="n">
        <v>11.5</v>
      </c>
      <c r="D32" s="3" t="n">
        <v>13.3</v>
      </c>
      <c r="E32" s="3" t="n">
        <v>12.2</v>
      </c>
      <c r="F32" s="3" t="n">
        <v>11.2</v>
      </c>
      <c r="G32" s="3" t="n">
        <v>10.3</v>
      </c>
      <c r="H32" s="3" t="n">
        <v>9.6</v>
      </c>
      <c r="I32" s="3" t="n">
        <v>9.4</v>
      </c>
      <c r="J32" s="3" t="n">
        <v>9.2</v>
      </c>
      <c r="K32" s="3" t="n">
        <v>9.2</v>
      </c>
      <c r="L32" s="3" t="n">
        <v>9.2</v>
      </c>
    </row>
    <row r="33" customFormat="false" ht="15" hidden="false" customHeight="false" outlineLevel="0" collapsed="false">
      <c r="A33" s="0" t="s">
        <v>101</v>
      </c>
      <c r="C33" s="3" t="n">
        <v>49.6</v>
      </c>
      <c r="D33" s="3" t="n">
        <v>49.6</v>
      </c>
      <c r="E33" s="3" t="n">
        <v>49.6</v>
      </c>
      <c r="F33" s="3" t="n">
        <v>49.6</v>
      </c>
      <c r="G33" s="3" t="n">
        <v>49.6</v>
      </c>
      <c r="H33" s="3" t="n">
        <v>49.6</v>
      </c>
      <c r="I33" s="3" t="n">
        <v>49.6</v>
      </c>
      <c r="J33" s="3" t="n">
        <v>49.6</v>
      </c>
      <c r="K33" s="3" t="n">
        <v>49.6</v>
      </c>
      <c r="L33" s="3" t="n">
        <v>49.6</v>
      </c>
    </row>
    <row r="34" customFormat="false" ht="15" hidden="false" customHeight="false" outlineLevel="0" collapsed="false">
      <c r="A34" s="0" t="s">
        <v>102</v>
      </c>
      <c r="B34" s="3" t="n">
        <v>7.5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6</v>
      </c>
      <c r="D41" s="3" t="n">
        <v>-3</v>
      </c>
      <c r="E41" s="3" t="n">
        <v>5</v>
      </c>
      <c r="F41" s="3" t="n">
        <v>5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21.8</v>
      </c>
      <c r="D42" s="3" t="n">
        <v>22.3</v>
      </c>
      <c r="E42" s="3" t="n">
        <v>22.5</v>
      </c>
      <c r="F42" s="3" t="n">
        <v>22.8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6.3</v>
      </c>
      <c r="D45" s="3" t="n">
        <v>6.9</v>
      </c>
      <c r="E45" s="3" t="n">
        <v>7</v>
      </c>
      <c r="F45" s="3" t="n">
        <v>7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100</v>
      </c>
      <c r="C46" s="3" t="n">
        <v>11</v>
      </c>
      <c r="D46" s="3" t="n">
        <v>11</v>
      </c>
      <c r="E46" s="3" t="n">
        <v>10.5</v>
      </c>
      <c r="F46" s="3" t="n">
        <v>10</v>
      </c>
      <c r="G46" s="3" t="n">
        <v>9</v>
      </c>
      <c r="H46" s="3" t="n">
        <v>8</v>
      </c>
      <c r="I46" s="3" t="n">
        <v>7.8</v>
      </c>
      <c r="J46" s="3" t="n">
        <v>7.5</v>
      </c>
      <c r="K46" s="3" t="n">
        <v>7.4</v>
      </c>
      <c r="L46" s="3" t="n">
        <v>7.4</v>
      </c>
    </row>
    <row r="47" customFormat="false" ht="15" hidden="false" customHeight="false" outlineLevel="0" collapsed="false">
      <c r="A47" s="0" t="s">
        <v>101</v>
      </c>
      <c r="C47" s="3" t="n">
        <v>49.6</v>
      </c>
      <c r="D47" s="3" t="n">
        <v>49.6</v>
      </c>
      <c r="E47" s="3" t="n">
        <v>49.6</v>
      </c>
      <c r="F47" s="3" t="n">
        <v>49.6</v>
      </c>
      <c r="G47" s="3" t="n">
        <v>49.6</v>
      </c>
      <c r="H47" s="3" t="n">
        <v>49.6</v>
      </c>
      <c r="I47" s="3" t="n">
        <v>49.6</v>
      </c>
      <c r="J47" s="3" t="n">
        <v>49.6</v>
      </c>
      <c r="K47" s="3" t="n">
        <v>49.6</v>
      </c>
      <c r="L47" s="3" t="n">
        <v>49.6</v>
      </c>
    </row>
    <row r="48" customFormat="false" ht="15" hidden="false" customHeight="false" outlineLevel="0" collapsed="false">
      <c r="A48" s="0" t="s">
        <v>102</v>
      </c>
      <c r="B48" s="3" t="n">
        <v>7.5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-10</v>
      </c>
      <c r="D5" s="4" t="n">
        <f aca="false">Assumptions!D13</f>
        <v>-24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104287.4</v>
      </c>
      <c r="C6" s="0" t="n">
        <f aca="false">B6*(1+C5/100)</f>
        <v>93858.66</v>
      </c>
      <c r="D6" s="0" t="n">
        <f aca="false">C6*(1+D5/100)</f>
        <v>71332.5816</v>
      </c>
      <c r="E6" s="0" t="n">
        <f aca="false">D6*(1+E5/100)</f>
        <v>73472.559048</v>
      </c>
      <c r="F6" s="0" t="n">
        <f aca="false">E6*(1+F5/100)</f>
        <v>75676.73581944</v>
      </c>
      <c r="G6" s="0" t="n">
        <f aca="false">F6*(1+G5/100)</f>
        <v>77947.0378940232</v>
      </c>
      <c r="H6" s="0" t="n">
        <f aca="false">G6*(1+H5/100)</f>
        <v>79895.7138413738</v>
      </c>
      <c r="I6" s="0" t="n">
        <f aca="false">H6*(1+I5/100)</f>
        <v>81893.1066874081</v>
      </c>
      <c r="J6" s="0" t="n">
        <f aca="false">I6*(1+J5/100)</f>
        <v>83940.4343545933</v>
      </c>
      <c r="K6" s="0" t="n">
        <f aca="false">J6*(1+K5/100)</f>
        <v>86038.9452134581</v>
      </c>
      <c r="L6" s="0" t="n">
        <f aca="false">K6*(1+L5/100)</f>
        <v>88189.9188437946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19.3</v>
      </c>
      <c r="D7" s="4" t="n">
        <f aca="false">Assumptions!D14</f>
        <v>11.5</v>
      </c>
      <c r="E7" s="4" t="n">
        <f aca="false">Assumptions!E14</f>
        <v>11.6</v>
      </c>
      <c r="F7" s="4" t="n">
        <f aca="false">Assumptions!F14</f>
        <v>11.8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18114.72138</v>
      </c>
      <c r="D8" s="0" t="n">
        <f aca="false">D6*D7/100</f>
        <v>8203.246884</v>
      </c>
      <c r="E8" s="0" t="n">
        <f aca="false">E6*E7/100</f>
        <v>8522.816849568</v>
      </c>
      <c r="F8" s="0" t="n">
        <f aca="false">F6*F7/100</f>
        <v>8929.85482669392</v>
      </c>
      <c r="G8" s="0" t="n">
        <f aca="false">G6*G7/100</f>
        <v>9353.64454728279</v>
      </c>
      <c r="H8" s="0" t="n">
        <f aca="false">H6*H7/100</f>
        <v>9587.48566096485</v>
      </c>
      <c r="I8" s="0" t="n">
        <f aca="false">I6*I7/100</f>
        <v>9827.17280248897</v>
      </c>
      <c r="J8" s="0" t="n">
        <f aca="false">J6*J7/100</f>
        <v>10072.8521225512</v>
      </c>
      <c r="K8" s="0" t="n">
        <f aca="false">K6*K7/100</f>
        <v>10324.673425615</v>
      </c>
      <c r="L8" s="0" t="n">
        <f aca="false">L6*L7/100</f>
        <v>10582.7902612554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18114.72138</v>
      </c>
      <c r="D11" s="0" t="n">
        <f aca="false">D8+D10+D24</f>
        <v>8203.246884</v>
      </c>
      <c r="E11" s="0" t="n">
        <f aca="false">E8+E10+E24</f>
        <v>8522.816849568</v>
      </c>
      <c r="F11" s="0" t="n">
        <f aca="false">F8+F10+F24</f>
        <v>8929.85482669392</v>
      </c>
      <c r="G11" s="0" t="n">
        <f aca="false">G8+G10+G24</f>
        <v>9353.64454728279</v>
      </c>
      <c r="H11" s="0" t="n">
        <f aca="false">H8+H10+H24</f>
        <v>9587.48566096485</v>
      </c>
      <c r="I11" s="0" t="n">
        <f aca="false">I8+I10+I24</f>
        <v>9827.17280248897</v>
      </c>
      <c r="J11" s="0" t="n">
        <f aca="false">J8+J10+J24</f>
        <v>10072.8521225512</v>
      </c>
      <c r="K11" s="0" t="n">
        <f aca="false">K8+K10+K24</f>
        <v>10324.673425615</v>
      </c>
      <c r="L11" s="0" t="n">
        <f aca="false">L8+L10+L24</f>
        <v>10582.7902612554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-6851.68218</v>
      </c>
      <c r="D12" s="4" t="n">
        <f aca="false">-D6*Assumptions!D17/100</f>
        <v>-7347.2559048</v>
      </c>
      <c r="E12" s="4" t="n">
        <f aca="false">-E6*Assumptions!E17/100</f>
        <v>-7567.673581944</v>
      </c>
      <c r="F12" s="4" t="n">
        <f aca="false">-F6*Assumptions!F17/100</f>
        <v>-7794.70378940232</v>
      </c>
      <c r="G12" s="4" t="n">
        <f aca="false">-G6*Assumptions!G17/100</f>
        <v>-8028.54490308439</v>
      </c>
      <c r="H12" s="4" t="n">
        <f aca="false">-H6*Assumptions!H17/100</f>
        <v>-8229.2585256615</v>
      </c>
      <c r="I12" s="4" t="n">
        <f aca="false">-I6*Assumptions!I17/100</f>
        <v>-8434.98998880304</v>
      </c>
      <c r="J12" s="4" t="n">
        <f aca="false">-J6*Assumptions!J17/100</f>
        <v>-8645.86473852311</v>
      </c>
      <c r="K12" s="4" t="n">
        <f aca="false">-K6*Assumptions!K17/100</f>
        <v>-8862.01135698619</v>
      </c>
      <c r="L12" s="4" t="n">
        <f aca="false">-L6*Assumptions!L17/100</f>
        <v>-9083.56164091084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11263.0392</v>
      </c>
      <c r="D13" s="0" t="n">
        <f aca="false">D11+D12</f>
        <v>855.990979199999</v>
      </c>
      <c r="E13" s="0" t="n">
        <f aca="false">E11+E12</f>
        <v>955.143267623998</v>
      </c>
      <c r="F13" s="0" t="n">
        <f aca="false">F11+F12</f>
        <v>1135.1510372916</v>
      </c>
      <c r="G13" s="0" t="n">
        <f aca="false">G11+G12</f>
        <v>1325.09964419839</v>
      </c>
      <c r="H13" s="0" t="n">
        <f aca="false">H11+H12</f>
        <v>1358.22713530335</v>
      </c>
      <c r="I13" s="0" t="n">
        <f aca="false">I11+I12</f>
        <v>1392.18281368594</v>
      </c>
      <c r="J13" s="0" t="n">
        <f aca="false">J11+J12</f>
        <v>1426.98738402809</v>
      </c>
      <c r="K13" s="0" t="n">
        <f aca="false">K11+K12</f>
        <v>1462.66206862879</v>
      </c>
      <c r="L13" s="0" t="n">
        <f aca="false">L11+L12</f>
        <v>1499.22862034451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49.6</v>
      </c>
      <c r="D14" s="4" t="n">
        <f aca="false">Assumptions!D19</f>
        <v>49.6</v>
      </c>
      <c r="E14" s="4" t="n">
        <f aca="false">Assumptions!E19</f>
        <v>49.6</v>
      </c>
      <c r="F14" s="4" t="n">
        <f aca="false">Assumptions!F19</f>
        <v>49.6</v>
      </c>
      <c r="G14" s="4" t="n">
        <f aca="false">Assumptions!G19</f>
        <v>49.6</v>
      </c>
      <c r="H14" s="4" t="n">
        <f aca="false">Assumptions!H19</f>
        <v>49.6</v>
      </c>
      <c r="I14" s="4" t="n">
        <f aca="false">Assumptions!I19</f>
        <v>49.6</v>
      </c>
      <c r="J14" s="4" t="n">
        <f aca="false">Assumptions!J19</f>
        <v>49.6</v>
      </c>
      <c r="K14" s="4" t="n">
        <f aca="false">Assumptions!K19</f>
        <v>49.6</v>
      </c>
      <c r="L14" s="4" t="n">
        <f aca="false">Assumptions!L19</f>
        <v>49.6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5676.5717568</v>
      </c>
      <c r="D15" s="0" t="n">
        <f aca="false">D13-MAX(0,D13)*D14/100</f>
        <v>431.419453516799</v>
      </c>
      <c r="E15" s="0" t="n">
        <f aca="false">E13-MAX(0,E13)*E14/100</f>
        <v>481.392206882495</v>
      </c>
      <c r="F15" s="0" t="n">
        <f aca="false">F13-MAX(0,F13)*F14/100</f>
        <v>572.116122794967</v>
      </c>
      <c r="G15" s="0" t="n">
        <f aca="false">G13-MAX(0,G13)*G14/100</f>
        <v>667.85022067599</v>
      </c>
      <c r="H15" s="0" t="n">
        <f aca="false">H13-MAX(0,H13)*H14/100</f>
        <v>684.54647619289</v>
      </c>
      <c r="I15" s="0" t="n">
        <f aca="false">I13-MAX(0,I13)*I14/100</f>
        <v>701.660138097712</v>
      </c>
      <c r="J15" s="0" t="n">
        <f aca="false">J13-MAX(0,J13)*J14/100</f>
        <v>719.201641550156</v>
      </c>
      <c r="K15" s="0" t="n">
        <f aca="false">K13-MAX(0,K13)*K14/100</f>
        <v>737.181682588909</v>
      </c>
      <c r="L15" s="0" t="n">
        <f aca="false">L13-MAX(0,L13)*L14/100</f>
        <v>755.611224653632</v>
      </c>
    </row>
    <row r="16" customFormat="false" ht="15" hidden="false" customHeight="false" outlineLevel="0" collapsed="false">
      <c r="A16" s="0" t="s">
        <v>117</v>
      </c>
      <c r="C16" s="0" t="n">
        <f aca="false">-C12</f>
        <v>6851.68218</v>
      </c>
      <c r="D16" s="0" t="n">
        <f aca="false">-D12</f>
        <v>7347.2559048</v>
      </c>
      <c r="E16" s="0" t="n">
        <f aca="false">-E12</f>
        <v>7567.673581944</v>
      </c>
      <c r="F16" s="0" t="n">
        <f aca="false">-F12</f>
        <v>7794.70378940232</v>
      </c>
      <c r="G16" s="0" t="n">
        <f aca="false">-G12</f>
        <v>8028.54490308439</v>
      </c>
      <c r="H16" s="0" t="n">
        <f aca="false">-H12</f>
        <v>8229.2585256615</v>
      </c>
      <c r="I16" s="0" t="n">
        <f aca="false">-I12</f>
        <v>8434.98998880304</v>
      </c>
      <c r="J16" s="0" t="n">
        <f aca="false">-J12</f>
        <v>8645.86473852311</v>
      </c>
      <c r="K16" s="0" t="n">
        <f aca="false">-K12</f>
        <v>8862.01135698619</v>
      </c>
      <c r="L16" s="0" t="n">
        <f aca="false">-L12</f>
        <v>9083.56164091084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-11263.0392</v>
      </c>
      <c r="D17" s="4" t="n">
        <f aca="false">-D6*Assumptions!D18/100</f>
        <v>-8559.909792</v>
      </c>
      <c r="E17" s="4" t="n">
        <f aca="false">-E6*Assumptions!E18/100</f>
        <v>-8449.34429052</v>
      </c>
      <c r="F17" s="4" t="n">
        <f aca="false">-F6*Assumptions!F18/100</f>
        <v>-8324.4409401384</v>
      </c>
      <c r="G17" s="4" t="n">
        <f aca="false">-G6*Assumptions!G18/100</f>
        <v>-8574.17416834256</v>
      </c>
      <c r="H17" s="4" t="n">
        <f aca="false">-H6*Assumptions!H18/100</f>
        <v>-8628.73709486837</v>
      </c>
      <c r="I17" s="4" t="n">
        <f aca="false">-I6*Assumptions!I18/100</f>
        <v>-8844.45552224008</v>
      </c>
      <c r="J17" s="4" t="n">
        <f aca="false">-J6*Assumptions!J18/100</f>
        <v>-9065.56691029608</v>
      </c>
      <c r="K17" s="4" t="n">
        <f aca="false">-K6*Assumptions!K18/100</f>
        <v>-9292.20608305348</v>
      </c>
      <c r="L17" s="4" t="n">
        <f aca="false">-L6*Assumptions!L18/100</f>
        <v>-9524.51123512982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1265.2147368</v>
      </c>
      <c r="D19" s="0" t="n">
        <f aca="false">D15+D16+D17+D18</f>
        <v>-781.234433683199</v>
      </c>
      <c r="E19" s="0" t="n">
        <f aca="false">E15+E16+E17+E18</f>
        <v>-400.278501693504</v>
      </c>
      <c r="F19" s="0" t="n">
        <f aca="false">F15+F16+F17+F18</f>
        <v>42.3789720588866</v>
      </c>
      <c r="G19" s="0" t="n">
        <f aca="false">G15+G16+G17+G18</f>
        <v>122.220955417826</v>
      </c>
      <c r="H19" s="0" t="n">
        <f aca="false">H15+H16+H17+H18</f>
        <v>285.067906986022</v>
      </c>
      <c r="I19" s="0" t="n">
        <f aca="false">I15+I16+I17+I18</f>
        <v>292.194604660674</v>
      </c>
      <c r="J19" s="0" t="n">
        <f aca="false">J15+J16+J17+J18</f>
        <v>299.499469777189</v>
      </c>
      <c r="K19" s="0" t="n">
        <f aca="false">K15+K16+K17+K18</f>
        <v>306.986956521618</v>
      </c>
      <c r="L19" s="0" t="n">
        <f aca="false">L15+L16+L17+L18</f>
        <v>314.661630434659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1176.9439412093</v>
      </c>
      <c r="D21" s="0" t="n">
        <f aca="false">D19*D20</f>
        <v>-676.027633257501</v>
      </c>
      <c r="E21" s="0" t="n">
        <f aca="false">E19*E20</f>
        <v>-322.208410685654</v>
      </c>
      <c r="F21" s="0" t="n">
        <f aca="false">F19*F20</f>
        <v>31.7333967290725</v>
      </c>
      <c r="G21" s="0" t="n">
        <f aca="false">G19*G20</f>
        <v>85.1340615503655</v>
      </c>
      <c r="H21" s="0" t="n">
        <f aca="false">H19*H20</f>
        <v>184.713033876366</v>
      </c>
      <c r="I21" s="0" t="n">
        <f aca="false">I19*I20</f>
        <v>176.12172997514</v>
      </c>
      <c r="J21" s="0" t="n">
        <f aca="false">J19*J20</f>
        <v>167.930021604203</v>
      </c>
      <c r="K21" s="0" t="n">
        <f aca="false">K19*K20</f>
        <v>160.119322924937</v>
      </c>
      <c r="L21" s="0" t="n">
        <f aca="false">L19*L20</f>
        <v>152.671912556336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1137.13137648257</v>
      </c>
    </row>
    <row r="31" customFormat="false" ht="15" hidden="false" customHeight="false" outlineLevel="0" collapsed="false">
      <c r="A31" s="0" t="s">
        <v>126</v>
      </c>
      <c r="B31" s="0" t="n">
        <f aca="false">L19</f>
        <v>314.661630434659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5835.54296442458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3775.93956521591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3775.93956521591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1832.06295067603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2969.1943271586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-52548.0056728414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-13.3742974526608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-1.71253582592759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-13.3742974526608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2468.88356187194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-13.7641178895572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0</v>
      </c>
      <c r="D5" s="4" t="n">
        <f aca="false">Assumptions!D27</f>
        <v>-17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104287.4</v>
      </c>
      <c r="C6" s="0" t="n">
        <f aca="false">B6*(1+C5/100)</f>
        <v>104287.4</v>
      </c>
      <c r="D6" s="0" t="n">
        <f aca="false">C6*(1+D5/100)</f>
        <v>86558.542</v>
      </c>
      <c r="E6" s="0" t="n">
        <f aca="false">D6*(1+E5/100)</f>
        <v>90020.88368</v>
      </c>
      <c r="F6" s="0" t="n">
        <f aca="false">E6*(1+F5/100)</f>
        <v>93621.7190272</v>
      </c>
      <c r="G6" s="0" t="n">
        <f aca="false">F6*(1+G5/100)</f>
        <v>96898.479193152</v>
      </c>
      <c r="H6" s="0" t="n">
        <f aca="false">G6*(1+H5/100)</f>
        <v>99805.4335689465</v>
      </c>
      <c r="I6" s="0" t="n">
        <f aca="false">H6*(1+I5/100)</f>
        <v>102799.596576015</v>
      </c>
      <c r="J6" s="0" t="n">
        <f aca="false">I6*(1+J5/100)</f>
        <v>105883.584473295</v>
      </c>
      <c r="K6" s="0" t="n">
        <f aca="false">J6*(1+K5/100)</f>
        <v>109060.092007494</v>
      </c>
      <c r="L6" s="0" t="n">
        <f aca="false">K6*(1+L5/100)</f>
        <v>112331.894767719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21</v>
      </c>
      <c r="D7" s="4" t="n">
        <f aca="false">Assumptions!D28</f>
        <v>17.2</v>
      </c>
      <c r="E7" s="4" t="n">
        <f aca="false">Assumptions!E28</f>
        <v>17.7</v>
      </c>
      <c r="F7" s="4" t="n">
        <f aca="false">Assumptions!F28</f>
        <v>18.2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21900.354</v>
      </c>
      <c r="D8" s="0" t="n">
        <f aca="false">D6*D7/100</f>
        <v>14888.069224</v>
      </c>
      <c r="E8" s="0" t="n">
        <f aca="false">E6*E7/100</f>
        <v>15933.69641136</v>
      </c>
      <c r="F8" s="0" t="n">
        <f aca="false">F6*F7/100</f>
        <v>17039.1528629504</v>
      </c>
      <c r="G8" s="0" t="n">
        <f aca="false">G6*G7/100</f>
        <v>17926.2186507331</v>
      </c>
      <c r="H8" s="0" t="n">
        <f aca="false">H6*H7/100</f>
        <v>18464.0052102551</v>
      </c>
      <c r="I8" s="0" t="n">
        <f aca="false">I6*I7/100</f>
        <v>19017.9253665628</v>
      </c>
      <c r="J8" s="0" t="n">
        <f aca="false">J6*J7/100</f>
        <v>19588.4631275596</v>
      </c>
      <c r="K8" s="0" t="n">
        <f aca="false">K6*K7/100</f>
        <v>20176.1170213864</v>
      </c>
      <c r="L8" s="0" t="n">
        <f aca="false">L6*L7/100</f>
        <v>20781.400532028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21900.354</v>
      </c>
      <c r="D11" s="0" t="n">
        <f aca="false">D8+D10+D24</f>
        <v>14888.069224</v>
      </c>
      <c r="E11" s="0" t="n">
        <f aca="false">E8+E10+E24</f>
        <v>15933.69641136</v>
      </c>
      <c r="F11" s="0" t="n">
        <f aca="false">F8+F10+F24</f>
        <v>17039.1528629504</v>
      </c>
      <c r="G11" s="0" t="n">
        <f aca="false">G8+G10+G24</f>
        <v>17926.2186507331</v>
      </c>
      <c r="H11" s="0" t="n">
        <f aca="false">H8+H10+H24</f>
        <v>18464.0052102551</v>
      </c>
      <c r="I11" s="0" t="n">
        <f aca="false">I8+I10+I24</f>
        <v>19017.9253665628</v>
      </c>
      <c r="J11" s="0" t="n">
        <f aca="false">J8+J10+J24</f>
        <v>19588.4631275596</v>
      </c>
      <c r="K11" s="0" t="n">
        <f aca="false">K8+K10+K24</f>
        <v>20176.1170213864</v>
      </c>
      <c r="L11" s="0" t="n">
        <f aca="false">L8+L10+L24</f>
        <v>20781.400532028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-6987.2558</v>
      </c>
      <c r="D12" s="4" t="n">
        <f aca="false">-D6*Assumptions!D31/100</f>
        <v>-7357.47607</v>
      </c>
      <c r="E12" s="4" t="n">
        <f aca="false">-E6*Assumptions!E31/100</f>
        <v>-7741.79599648</v>
      </c>
      <c r="F12" s="4" t="n">
        <f aca="false">-F6*Assumptions!F31/100</f>
        <v>-8145.0895553664</v>
      </c>
      <c r="G12" s="4" t="n">
        <f aca="false">-G6*Assumptions!G31/100</f>
        <v>-8527.06616899737</v>
      </c>
      <c r="H12" s="4" t="n">
        <f aca="false">-H6*Assumptions!H31/100</f>
        <v>-8782.8781540673</v>
      </c>
      <c r="I12" s="4" t="n">
        <f aca="false">-I6*Assumptions!I31/100</f>
        <v>-9046.36449868932</v>
      </c>
      <c r="J12" s="4" t="n">
        <f aca="false">-J6*Assumptions!J31/100</f>
        <v>-9317.75543365</v>
      </c>
      <c r="K12" s="4" t="n">
        <f aca="false">-K6*Assumptions!K31/100</f>
        <v>-9597.2880966595</v>
      </c>
      <c r="L12" s="4" t="n">
        <f aca="false">-L6*Assumptions!L31/100</f>
        <v>-9885.20673955928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14913.0982</v>
      </c>
      <c r="D13" s="0" t="n">
        <f aca="false">D11+D12</f>
        <v>7530.593154</v>
      </c>
      <c r="E13" s="0" t="n">
        <f aca="false">E11+E12</f>
        <v>8191.90041488</v>
      </c>
      <c r="F13" s="0" t="n">
        <f aca="false">F11+F12</f>
        <v>8894.063307584</v>
      </c>
      <c r="G13" s="0" t="n">
        <f aca="false">G11+G12</f>
        <v>9399.15248173574</v>
      </c>
      <c r="H13" s="0" t="n">
        <f aca="false">H11+H12</f>
        <v>9681.12705618781</v>
      </c>
      <c r="I13" s="0" t="n">
        <f aca="false">I11+I12</f>
        <v>9971.56086787345</v>
      </c>
      <c r="J13" s="0" t="n">
        <f aca="false">J11+J12</f>
        <v>10270.7076939097</v>
      </c>
      <c r="K13" s="0" t="n">
        <f aca="false">K11+K12</f>
        <v>10578.8289247269</v>
      </c>
      <c r="L13" s="0" t="n">
        <f aca="false">L11+L12</f>
        <v>10896.1937924688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49.6</v>
      </c>
      <c r="D14" s="4" t="n">
        <f aca="false">Assumptions!D33</f>
        <v>49.6</v>
      </c>
      <c r="E14" s="4" t="n">
        <f aca="false">Assumptions!E33</f>
        <v>49.6</v>
      </c>
      <c r="F14" s="4" t="n">
        <f aca="false">Assumptions!F33</f>
        <v>49.6</v>
      </c>
      <c r="G14" s="4" t="n">
        <f aca="false">Assumptions!G33</f>
        <v>49.6</v>
      </c>
      <c r="H14" s="4" t="n">
        <f aca="false">Assumptions!H33</f>
        <v>49.6</v>
      </c>
      <c r="I14" s="4" t="n">
        <f aca="false">Assumptions!I33</f>
        <v>49.6</v>
      </c>
      <c r="J14" s="4" t="n">
        <f aca="false">Assumptions!J33</f>
        <v>49.6</v>
      </c>
      <c r="K14" s="4" t="n">
        <f aca="false">Assumptions!K33</f>
        <v>49.6</v>
      </c>
      <c r="L14" s="4" t="n">
        <f aca="false">Assumptions!L33</f>
        <v>49.6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7516.2014928</v>
      </c>
      <c r="D15" s="0" t="n">
        <f aca="false">D13-MAX(0,D13)*D14/100</f>
        <v>3795.418949616</v>
      </c>
      <c r="E15" s="0" t="n">
        <f aca="false">E13-MAX(0,E13)*E14/100</f>
        <v>4128.71780909952</v>
      </c>
      <c r="F15" s="0" t="n">
        <f aca="false">F13-MAX(0,F13)*F14/100</f>
        <v>4482.60790702234</v>
      </c>
      <c r="G15" s="0" t="n">
        <f aca="false">G13-MAX(0,G13)*G14/100</f>
        <v>4737.17285079481</v>
      </c>
      <c r="H15" s="0" t="n">
        <f aca="false">H13-MAX(0,H13)*H14/100</f>
        <v>4879.28803631866</v>
      </c>
      <c r="I15" s="0" t="n">
        <f aca="false">I13-MAX(0,I13)*I14/100</f>
        <v>5025.66667740822</v>
      </c>
      <c r="J15" s="0" t="n">
        <f aca="false">J13-MAX(0,J13)*J14/100</f>
        <v>5176.43667773046</v>
      </c>
      <c r="K15" s="0" t="n">
        <f aca="false">K13-MAX(0,K13)*K14/100</f>
        <v>5331.72977806238</v>
      </c>
      <c r="L15" s="0" t="n">
        <f aca="false">L13-MAX(0,L13)*L14/100</f>
        <v>5491.68167140425</v>
      </c>
    </row>
    <row r="16" customFormat="false" ht="15" hidden="false" customHeight="false" outlineLevel="0" collapsed="false">
      <c r="A16" s="0" t="s">
        <v>117</v>
      </c>
      <c r="C16" s="0" t="n">
        <f aca="false">-C12</f>
        <v>6987.2558</v>
      </c>
      <c r="D16" s="0" t="n">
        <f aca="false">-D12</f>
        <v>7357.47607</v>
      </c>
      <c r="E16" s="0" t="n">
        <f aca="false">-E12</f>
        <v>7741.79599648</v>
      </c>
      <c r="F16" s="0" t="n">
        <f aca="false">-F12</f>
        <v>8145.0895553664</v>
      </c>
      <c r="G16" s="0" t="n">
        <f aca="false">-G12</f>
        <v>8527.06616899737</v>
      </c>
      <c r="H16" s="0" t="n">
        <f aca="false">-H12</f>
        <v>8782.8781540673</v>
      </c>
      <c r="I16" s="0" t="n">
        <f aca="false">-I12</f>
        <v>9046.36449868932</v>
      </c>
      <c r="J16" s="0" t="n">
        <f aca="false">-J12</f>
        <v>9317.75543365</v>
      </c>
      <c r="K16" s="0" t="n">
        <f aca="false">-K12</f>
        <v>9597.2880966595</v>
      </c>
      <c r="L16" s="0" t="n">
        <f aca="false">-L12</f>
        <v>9885.20673955928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-11993.051</v>
      </c>
      <c r="D17" s="4" t="n">
        <f aca="false">-D6*Assumptions!D32/100</f>
        <v>-11512.286086</v>
      </c>
      <c r="E17" s="4" t="n">
        <f aca="false">-E6*Assumptions!E32/100</f>
        <v>-10982.54780896</v>
      </c>
      <c r="F17" s="4" t="n">
        <f aca="false">-F6*Assumptions!F32/100</f>
        <v>-10485.6325310464</v>
      </c>
      <c r="G17" s="4" t="n">
        <f aca="false">-G6*Assumptions!G32/100</f>
        <v>-9980.54335689465</v>
      </c>
      <c r="H17" s="4" t="n">
        <f aca="false">-H6*Assumptions!H32/100</f>
        <v>-9581.32162261887</v>
      </c>
      <c r="I17" s="4" t="n">
        <f aca="false">-I6*Assumptions!I32/100</f>
        <v>-9663.1620781454</v>
      </c>
      <c r="J17" s="4" t="n">
        <f aca="false">-J6*Assumptions!J32/100</f>
        <v>-9741.28977154318</v>
      </c>
      <c r="K17" s="4" t="n">
        <f aca="false">-K6*Assumptions!K32/100</f>
        <v>-10033.5284646895</v>
      </c>
      <c r="L17" s="4" t="n">
        <f aca="false">-L6*Assumptions!L32/100</f>
        <v>-10334.5343186302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2510.4062928</v>
      </c>
      <c r="D19" s="0" t="n">
        <f aca="false">D15+D16+D17+D18</f>
        <v>-359.391066384002</v>
      </c>
      <c r="E19" s="0" t="n">
        <f aca="false">E15+E16+E17+E18</f>
        <v>887.965996619521</v>
      </c>
      <c r="F19" s="0" t="n">
        <f aca="false">F15+F16+F17+F18</f>
        <v>2142.06493134233</v>
      </c>
      <c r="G19" s="0" t="n">
        <f aca="false">G15+G16+G17+G18</f>
        <v>3283.69566289753</v>
      </c>
      <c r="H19" s="0" t="n">
        <f aca="false">H15+H16+H17+H18</f>
        <v>4080.84456776709</v>
      </c>
      <c r="I19" s="0" t="n">
        <f aca="false">I15+I16+I17+I18</f>
        <v>4408.86909795213</v>
      </c>
      <c r="J19" s="0" t="n">
        <f aca="false">J15+J16+J17+J18</f>
        <v>4752.90233983729</v>
      </c>
      <c r="K19" s="0" t="n">
        <f aca="false">K15+K16+K17+K18</f>
        <v>4895.4894100324</v>
      </c>
      <c r="L19" s="0" t="n">
        <f aca="false">L15+L16+L17+L18</f>
        <v>5042.35409233338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2335.26166772093</v>
      </c>
      <c r="D21" s="0" t="n">
        <f aca="false">D19*D20</f>
        <v>-310.992810283614</v>
      </c>
      <c r="E21" s="0" t="n">
        <f aca="false">E19*E20</f>
        <v>714.777614344012</v>
      </c>
      <c r="F21" s="0" t="n">
        <f aca="false">F19*F20</f>
        <v>1603.97935540453</v>
      </c>
      <c r="G21" s="0" t="n">
        <f aca="false">G19*G20</f>
        <v>2287.28656000191</v>
      </c>
      <c r="H21" s="0" t="n">
        <f aca="false">H19*H20</f>
        <v>2644.23024275092</v>
      </c>
      <c r="I21" s="0" t="n">
        <f aca="false">I19*I20</f>
        <v>2657.46745620788</v>
      </c>
      <c r="J21" s="0" t="n">
        <f aca="false">J19*J20</f>
        <v>2664.96295704739</v>
      </c>
      <c r="K21" s="0" t="n">
        <f aca="false">K19*K20</f>
        <v>2553.40636814773</v>
      </c>
      <c r="L21" s="0" t="n">
        <f aca="false">L19*L20</f>
        <v>2446.5195899462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19596.8990012879</v>
      </c>
    </row>
    <row r="31" customFormat="false" ht="15" hidden="false" customHeight="false" outlineLevel="0" collapsed="false">
      <c r="A31" s="0" t="s">
        <v>126</v>
      </c>
      <c r="B31" s="0" t="n">
        <f aca="false">L19</f>
        <v>5042.35409233338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103368.258892834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75635.3113850007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75635.3113850007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36697.7938491929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56294.6928504808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777.49285048082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0.197884211141849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-0.989457420823556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0.197884211141849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41347.3035571337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-8.22873971978461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6</v>
      </c>
      <c r="D5" s="4" t="n">
        <f aca="false">Assumptions!D41</f>
        <v>-3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104287.4</v>
      </c>
      <c r="C6" s="0" t="n">
        <f aca="false">B6*(1+C5/100)</f>
        <v>110544.644</v>
      </c>
      <c r="D6" s="0" t="n">
        <f aca="false">C6*(1+D5/100)</f>
        <v>107228.30468</v>
      </c>
      <c r="E6" s="0" t="n">
        <f aca="false">D6*(1+E5/100)</f>
        <v>112589.719914</v>
      </c>
      <c r="F6" s="0" t="n">
        <f aca="false">E6*(1+F5/100)</f>
        <v>118219.2059097</v>
      </c>
      <c r="G6" s="0" t="n">
        <f aca="false">F6*(1+G5/100)</f>
        <v>122947.974146088</v>
      </c>
      <c r="H6" s="0" t="n">
        <f aca="false">G6*(1+H5/100)</f>
        <v>127251.153241201</v>
      </c>
      <c r="I6" s="0" t="n">
        <f aca="false">H6*(1+I5/100)</f>
        <v>131704.943604643</v>
      </c>
      <c r="J6" s="0" t="n">
        <f aca="false">I6*(1+J5/100)</f>
        <v>135656.091912782</v>
      </c>
      <c r="K6" s="0" t="n">
        <f aca="false">J6*(1+K5/100)</f>
        <v>139725.774670166</v>
      </c>
      <c r="L6" s="0" t="n">
        <f aca="false">K6*(1+L5/100)</f>
        <v>143917.547910271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21.8</v>
      </c>
      <c r="D7" s="4" t="n">
        <f aca="false">Assumptions!D42</f>
        <v>22.3</v>
      </c>
      <c r="E7" s="4" t="n">
        <f aca="false">Assumptions!E42</f>
        <v>22.5</v>
      </c>
      <c r="F7" s="4" t="n">
        <f aca="false">Assumptions!F42</f>
        <v>22.8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24098.732392</v>
      </c>
      <c r="D8" s="0" t="n">
        <f aca="false">D6*D7/100</f>
        <v>23911.91194364</v>
      </c>
      <c r="E8" s="0" t="n">
        <f aca="false">E6*E7/100</f>
        <v>25332.68698065</v>
      </c>
      <c r="F8" s="0" t="n">
        <f aca="false">F6*F7/100</f>
        <v>26953.9789474116</v>
      </c>
      <c r="G8" s="0" t="n">
        <f aca="false">G6*G7/100</f>
        <v>28278.0340536002</v>
      </c>
      <c r="H8" s="0" t="n">
        <f aca="false">H6*H7/100</f>
        <v>29267.7652454762</v>
      </c>
      <c r="I8" s="0" t="n">
        <f aca="false">I6*I7/100</f>
        <v>30292.1370290679</v>
      </c>
      <c r="J8" s="0" t="n">
        <f aca="false">J6*J7/100</f>
        <v>31200.90113994</v>
      </c>
      <c r="K8" s="0" t="n">
        <f aca="false">K6*K7/100</f>
        <v>32136.9281741382</v>
      </c>
      <c r="L8" s="0" t="n">
        <f aca="false">L6*L7/100</f>
        <v>33101.0360193623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24098.732392</v>
      </c>
      <c r="D11" s="0" t="n">
        <f aca="false">D8+D10+D24</f>
        <v>23911.91194364</v>
      </c>
      <c r="E11" s="0" t="n">
        <f aca="false">E8+E10+E24</f>
        <v>25332.68698065</v>
      </c>
      <c r="F11" s="0" t="n">
        <f aca="false">F8+F10+F24</f>
        <v>26953.9789474116</v>
      </c>
      <c r="G11" s="0" t="n">
        <f aca="false">G8+G10+G24</f>
        <v>28278.0340536002</v>
      </c>
      <c r="H11" s="0" t="n">
        <f aca="false">H8+H10+H24</f>
        <v>29267.7652454762</v>
      </c>
      <c r="I11" s="0" t="n">
        <f aca="false">I8+I10+I24</f>
        <v>30292.1370290679</v>
      </c>
      <c r="J11" s="0" t="n">
        <f aca="false">J8+J10+J24</f>
        <v>31200.90113994</v>
      </c>
      <c r="K11" s="0" t="n">
        <f aca="false">K8+K10+K24</f>
        <v>32136.9281741382</v>
      </c>
      <c r="L11" s="0" t="n">
        <f aca="false">L8+L10+L24</f>
        <v>33101.0360193623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-6964.312572</v>
      </c>
      <c r="D12" s="4" t="n">
        <f aca="false">-D6*Assumptions!D45/100</f>
        <v>-7398.75302292</v>
      </c>
      <c r="E12" s="4" t="n">
        <f aca="false">-E6*Assumptions!E45/100</f>
        <v>-7881.28039398</v>
      </c>
      <c r="F12" s="4" t="n">
        <f aca="false">-F6*Assumptions!F45/100</f>
        <v>-8275.344413679</v>
      </c>
      <c r="G12" s="4" t="n">
        <f aca="false">-G6*Assumptions!G45/100</f>
        <v>-8606.35819022616</v>
      </c>
      <c r="H12" s="4" t="n">
        <f aca="false">-H6*Assumptions!H45/100</f>
        <v>-8907.58072688407</v>
      </c>
      <c r="I12" s="4" t="n">
        <f aca="false">-I6*Assumptions!I45/100</f>
        <v>-9219.34605232502</v>
      </c>
      <c r="J12" s="4" t="n">
        <f aca="false">-J6*Assumptions!J45/100</f>
        <v>-9495.92643389477</v>
      </c>
      <c r="K12" s="4" t="n">
        <f aca="false">-K6*Assumptions!K45/100</f>
        <v>-9780.80422691161</v>
      </c>
      <c r="L12" s="4" t="n">
        <f aca="false">-L6*Assumptions!L45/100</f>
        <v>-10074.228353719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17134.41982</v>
      </c>
      <c r="D13" s="0" t="n">
        <f aca="false">D11+D12</f>
        <v>16513.15892072</v>
      </c>
      <c r="E13" s="0" t="n">
        <f aca="false">E11+E12</f>
        <v>17451.40658667</v>
      </c>
      <c r="F13" s="0" t="n">
        <f aca="false">F11+F12</f>
        <v>18678.6345337326</v>
      </c>
      <c r="G13" s="0" t="n">
        <f aca="false">G11+G12</f>
        <v>19671.6758633741</v>
      </c>
      <c r="H13" s="0" t="n">
        <f aca="false">H11+H12</f>
        <v>20360.1845185922</v>
      </c>
      <c r="I13" s="0" t="n">
        <f aca="false">I11+I12</f>
        <v>21072.7909767429</v>
      </c>
      <c r="J13" s="0" t="n">
        <f aca="false">J11+J12</f>
        <v>21704.9747060452</v>
      </c>
      <c r="K13" s="0" t="n">
        <f aca="false">K11+K12</f>
        <v>22356.1239472265</v>
      </c>
      <c r="L13" s="0" t="n">
        <f aca="false">L11+L12</f>
        <v>23026.8076656433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49.6</v>
      </c>
      <c r="D14" s="4" t="n">
        <f aca="false">Assumptions!D47</f>
        <v>49.6</v>
      </c>
      <c r="E14" s="4" t="n">
        <f aca="false">Assumptions!E47</f>
        <v>49.6</v>
      </c>
      <c r="F14" s="4" t="n">
        <f aca="false">Assumptions!F47</f>
        <v>49.6</v>
      </c>
      <c r="G14" s="4" t="n">
        <f aca="false">Assumptions!G47</f>
        <v>49.6</v>
      </c>
      <c r="H14" s="4" t="n">
        <f aca="false">Assumptions!H47</f>
        <v>49.6</v>
      </c>
      <c r="I14" s="4" t="n">
        <f aca="false">Assumptions!I47</f>
        <v>49.6</v>
      </c>
      <c r="J14" s="4" t="n">
        <f aca="false">Assumptions!J47</f>
        <v>49.6</v>
      </c>
      <c r="K14" s="4" t="n">
        <f aca="false">Assumptions!K47</f>
        <v>49.6</v>
      </c>
      <c r="L14" s="4" t="n">
        <f aca="false">Assumptions!L47</f>
        <v>49.6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8635.74758928</v>
      </c>
      <c r="D15" s="0" t="n">
        <f aca="false">D13-MAX(0,D13)*D14/100</f>
        <v>8322.63209604288</v>
      </c>
      <c r="E15" s="0" t="n">
        <f aca="false">E13-MAX(0,E13)*E14/100</f>
        <v>8795.50891968168</v>
      </c>
      <c r="F15" s="0" t="n">
        <f aca="false">F13-MAX(0,F13)*F14/100</f>
        <v>9414.03180500123</v>
      </c>
      <c r="G15" s="0" t="n">
        <f aca="false">G13-MAX(0,G13)*G14/100</f>
        <v>9914.52463514054</v>
      </c>
      <c r="H15" s="0" t="n">
        <f aca="false">H13-MAX(0,H13)*H14/100</f>
        <v>10261.5329973705</v>
      </c>
      <c r="I15" s="0" t="n">
        <f aca="false">I13-MAX(0,I13)*I14/100</f>
        <v>10620.6866522784</v>
      </c>
      <c r="J15" s="0" t="n">
        <f aca="false">J13-MAX(0,J13)*J14/100</f>
        <v>10939.3072518468</v>
      </c>
      <c r="K15" s="0" t="n">
        <f aca="false">K13-MAX(0,K13)*K14/100</f>
        <v>11267.4864694022</v>
      </c>
      <c r="L15" s="0" t="n">
        <f aca="false">L13-MAX(0,L13)*L14/100</f>
        <v>11605.5110634842</v>
      </c>
    </row>
    <row r="16" customFormat="false" ht="15" hidden="false" customHeight="false" outlineLevel="0" collapsed="false">
      <c r="A16" s="0" t="s">
        <v>117</v>
      </c>
      <c r="C16" s="0" t="n">
        <f aca="false">-C12</f>
        <v>6964.312572</v>
      </c>
      <c r="D16" s="0" t="n">
        <f aca="false">-D12</f>
        <v>7398.75302292</v>
      </c>
      <c r="E16" s="0" t="n">
        <f aca="false">-E12</f>
        <v>7881.28039398</v>
      </c>
      <c r="F16" s="0" t="n">
        <f aca="false">-F12</f>
        <v>8275.344413679</v>
      </c>
      <c r="G16" s="0" t="n">
        <f aca="false">-G12</f>
        <v>8606.35819022616</v>
      </c>
      <c r="H16" s="0" t="n">
        <f aca="false">-H12</f>
        <v>8907.58072688407</v>
      </c>
      <c r="I16" s="0" t="n">
        <f aca="false">-I12</f>
        <v>9219.34605232502</v>
      </c>
      <c r="J16" s="0" t="n">
        <f aca="false">-J12</f>
        <v>9495.92643389477</v>
      </c>
      <c r="K16" s="0" t="n">
        <f aca="false">-K12</f>
        <v>9780.80422691161</v>
      </c>
      <c r="L16" s="0" t="n">
        <f aca="false">-L12</f>
        <v>10074.228353719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-12159.91084</v>
      </c>
      <c r="D17" s="4" t="n">
        <f aca="false">-D6*Assumptions!D46/100</f>
        <v>-11795.1135148</v>
      </c>
      <c r="E17" s="4" t="n">
        <f aca="false">-E6*Assumptions!E46/100</f>
        <v>-11821.92059097</v>
      </c>
      <c r="F17" s="4" t="n">
        <f aca="false">-F6*Assumptions!F46/100</f>
        <v>-11821.92059097</v>
      </c>
      <c r="G17" s="4" t="n">
        <f aca="false">-G6*Assumptions!G46/100</f>
        <v>-11065.3176731479</v>
      </c>
      <c r="H17" s="4" t="n">
        <f aca="false">-H6*Assumptions!H46/100</f>
        <v>-10180.0922592961</v>
      </c>
      <c r="I17" s="4" t="n">
        <f aca="false">-I6*Assumptions!I46/100</f>
        <v>-10272.9856011622</v>
      </c>
      <c r="J17" s="4" t="n">
        <f aca="false">-J6*Assumptions!J46/100</f>
        <v>-10174.2068934587</v>
      </c>
      <c r="K17" s="4" t="n">
        <f aca="false">-K6*Assumptions!K46/100</f>
        <v>-10339.7073255923</v>
      </c>
      <c r="L17" s="4" t="n">
        <f aca="false">-L6*Assumptions!L46/100</f>
        <v>-10649.89854536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3440.14932128</v>
      </c>
      <c r="D19" s="0" t="n">
        <f aca="false">D15+D16+D17+D18</f>
        <v>3926.27160416288</v>
      </c>
      <c r="E19" s="0" t="n">
        <f aca="false">E15+E16+E17+E18</f>
        <v>4854.86872269168</v>
      </c>
      <c r="F19" s="0" t="n">
        <f aca="false">F15+F16+F17+F18</f>
        <v>5867.45562771024</v>
      </c>
      <c r="G19" s="0" t="n">
        <f aca="false">G15+G16+G17+G18</f>
        <v>7455.56515221877</v>
      </c>
      <c r="H19" s="0" t="n">
        <f aca="false">H15+H16+H17+H18</f>
        <v>8989.02146495845</v>
      </c>
      <c r="I19" s="0" t="n">
        <f aca="false">I15+I16+I17+I18</f>
        <v>9567.04710344128</v>
      </c>
      <c r="J19" s="0" t="n">
        <f aca="false">J15+J16+J17+J18</f>
        <v>10261.0267922829</v>
      </c>
      <c r="K19" s="0" t="n">
        <f aca="false">K15+K16+K17+K18</f>
        <v>10708.5833707215</v>
      </c>
      <c r="L19" s="0" t="n">
        <f aca="false">L15+L16+L17+L18</f>
        <v>11029.8408718432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3200.13890351628</v>
      </c>
      <c r="D21" s="0" t="n">
        <f aca="false">D19*D20</f>
        <v>3397.53086352656</v>
      </c>
      <c r="E21" s="0" t="n">
        <f aca="false">E19*E20</f>
        <v>3907.97789191225</v>
      </c>
      <c r="F21" s="0" t="n">
        <f aca="false">F19*F20</f>
        <v>4393.5538824688</v>
      </c>
      <c r="G21" s="0" t="n">
        <f aca="false">G19*G20</f>
        <v>5193.2382658267</v>
      </c>
      <c r="H21" s="0" t="n">
        <f aca="false">H19*H20</f>
        <v>5824.53999795097</v>
      </c>
      <c r="I21" s="0" t="n">
        <f aca="false">I19*I20</f>
        <v>5766.58452872013</v>
      </c>
      <c r="J21" s="0" t="n">
        <f aca="false">J19*J20</f>
        <v>5753.38063934231</v>
      </c>
      <c r="K21" s="0" t="n">
        <f aca="false">K19*K20</f>
        <v>5585.42010459792</v>
      </c>
      <c r="L21" s="0" t="n">
        <f aca="false">L19*L20</f>
        <v>5351.61182114963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48373.9768990115</v>
      </c>
    </row>
    <row r="31" customFormat="false" ht="15" hidden="false" customHeight="false" outlineLevel="0" collapsed="false">
      <c r="A31" s="0" t="s">
        <v>126</v>
      </c>
      <c r="B31" s="0" t="n">
        <f aca="false">L19</f>
        <v>11029.8408718432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226111.737872785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165447.613077647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165447.613077647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80274.1773172445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128648.154216256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73130.954216256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18.612982969792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-0.00836531860458267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18.612982969792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90444.6951491139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-0.0863207356443071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-13.3742974526608</v>
      </c>
      <c r="C4" s="0" t="n">
        <f aca="false">B4/Assumptions!$B$2-1</f>
        <v>-1.71253582592759</v>
      </c>
      <c r="D4" s="4" t="n">
        <f aca="false">Assumptions!$B$24</f>
        <v>0.25</v>
      </c>
      <c r="E4" s="4" t="n">
        <f aca="false">DCF_Bear!$B$43</f>
        <v>-13.3742974526608</v>
      </c>
      <c r="F4" s="4" t="n">
        <f aca="false">DCF_Bear!$B$47</f>
        <v>-13.7641178895572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0.197884211141849</v>
      </c>
      <c r="C5" s="0" t="n">
        <f aca="false">B5/Assumptions!$B$2-1</f>
        <v>-0.989457420823556</v>
      </c>
      <c r="D5" s="4" t="n">
        <f aca="false">Assumptions!$B$38</f>
        <v>0.5</v>
      </c>
      <c r="E5" s="4" t="n">
        <f aca="false">DCF_Base!$B$43</f>
        <v>0.197884211141849</v>
      </c>
      <c r="F5" s="4" t="n">
        <f aca="false">DCF_Base!$B$47</f>
        <v>-8.22873971978461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18.612982969792</v>
      </c>
      <c r="C6" s="0" t="n">
        <f aca="false">B6/Assumptions!$B$2-1</f>
        <v>-0.00836531860458267</v>
      </c>
      <c r="D6" s="4" t="n">
        <f aca="false">Assumptions!$B$52</f>
        <v>0.25</v>
      </c>
      <c r="E6" s="4" t="n">
        <f aca="false">DCF_Bull!$B$43</f>
        <v>18.612982969792</v>
      </c>
      <c r="F6" s="4" t="n">
        <f aca="false">DCF_Bull!$B$47</f>
        <v>-0.0863207356443071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1.40861348485371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1.40861348485371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-12.3251599546836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-7.57697951619267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0.197884211141851</v>
      </c>
      <c r="C15" s="3" t="n">
        <v>7.5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-1.42928173402998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-3.05185660101092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-4.59816683148641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-5.80769343748783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-8.22873971978461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2.76898154668633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2.76898154668633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2.76898154668633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2.76898154668633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2.76898154668633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1.42078519386832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1.42078519386832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1.42078519386832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1.42078519386832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1.42078519386832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0.197884211141851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0.197884211141851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0.197884211141851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0.197884211141851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0.197884211141851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-1.19639089682501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-0.912585465535018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-0.912585465535018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-0.912585465535018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-0.912585465535018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-3.11959044374495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-2.64704915507023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-2.1070019680134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-1.92205430121312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-1.92205430121312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2026-10-16T18:09:09Z</dcterms:created>
  <dc:creator>openpyxl</dc:creator>
  <dc:description/>
  <dc:language>en-NZ</dc:language>
  <cp:lastModifiedBy/>
  <dcterms:modified xsi:type="dcterms:W3CDTF">2026-10-16T18:09:09Z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