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<sst xmlns="http://schemas.openxmlformats.org/spreadsheetml/2006/main" count="367" uniqueCount="169">
  <si>
    <t xml:space="preserve">Ticker</t>
  </si>
  <si>
    <t xml:space="preserve">WIT</t>
  </si>
  <si>
    <t xml:space="preserve">Company</t>
  </si>
  <si>
    <t xml:space="preserve">Wipro Limited</t>
  </si>
  <si>
    <t xml:space="preserve">Valuation date</t>
  </si>
  <si>
    <t xml:space="preserve">2026-10-04</t>
  </si>
  <si>
    <t xml:space="preserve">Current price</t>
  </si>
  <si>
    <t xml:space="preserve">Price as of</t>
  </si>
  <si>
    <t xml:space="preserve">2026-10-02T20:00:02Z regular close (NYSE), Friday; not an after-hours print</t>
  </si>
  <si>
    <t xml:space="preserve">Balance sheet date</t>
  </si>
  <si>
    <t xml:space="preserve">2026-06-30</t>
  </si>
  <si>
    <t xml:space="preserve">Model</t>
  </si>
  <si>
    <t xml:space="preserve">owner_fcf_dcf_component</t>
  </si>
  <si>
    <t xml:space="preserve">Currency (model)</t>
  </si>
  <si>
    <t xml:space="preserve">INR</t>
  </si>
  <si>
    <t xml:space="preserve">Currency (quote)</t>
  </si>
  <si>
    <t xml:space="preserve">USD</t>
  </si>
  <si>
    <t xml:space="preserve">Units</t>
  </si>
  <si>
    <t xml:space="preserve">millions</t>
  </si>
  <si>
    <t xml:space="preserve">Engine</t>
  </si>
  <si>
    <t xml:space="preserve">dcf_engine v1</t>
  </si>
  <si>
    <t xml:space="preserve">Built at</t>
  </si>
  <si>
    <t xml:space="preserve">2026-10-04T09:48:25Z</t>
  </si>
  <si>
    <t xml:space="preserve">Drivers file</t>
  </si>
  <si>
    <t xml:space="preserve">WIT_Drivers.json</t>
  </si>
  <si>
    <t xml:space="preserve">Convention</t>
  </si>
  <si>
    <t xml:space="preserve">Percents stored as percents; formulas divide by 100. Blue = input, green = link, black = formula.</t>
  </si>
  <si>
    <t xml:space="preserve">Methodology</t>
  </si>
  <si>
    <t xml:space="preserve">summary: Wipro is valued as a mature, net-cash IT-services annuity, not a growth company. The house owner-FCF basis expenses SBC (small here), charges the full lease cash cost, strips all investment income from the flows while adding the Rs396bn cash-and-investments pile (and Rs29bn non-current investments) in the bridge, and refuses to perpetuate the sub-book cash tax rate. The share count is the post-June-2026-buyback fully diluted figure held flat. Growth is modelled in INR and converted to the USD ADS at spot, so INR depreciation shows up in the flows and is offset by the INR discount rate rather than being added on top. The decision variable is the probability-weighted USD value against the USD1.72 ADS price; the 15% hurdle entry price will sit well below intrinsic value because the model discounts at 11.5% and the business grows ~3% nominal.
key_risks_to_valuation: AI-driven price deflation on application development and maintenance renewals compressing both revenue and margin faster than the bear path assumes; INR/USD: every 1% INR appreciation cuts INR revenue ~Rs2-2.5bn/quarter; the USD ADS value depends on the spot rate at which INR value is converted (a 5% INR move is a 5% move in the USD IV); Cash tax normalisation: Rs102bn of accrued/disputed tax liabilities could crystallise as cash, and the shelter already excluded from the flows could reverse further; Capital allocation: Rs375bn of buybacks and Rs180bn of dividends in two years at a flat top line; a large-ticket acquisition at a full price would convert net cash to goodwill; Balance-sheet vintage: June-2026 cash and FY2027 flows overlap by one quarter (~Rs2.6/share), and the fx_rate is dated 2026-10-04 and does not move with refresh_price.py</t>
  </si>
  <si>
    <t xml:space="preserve">Data sources</t>
  </si>
  <si>
    <t xml:space="preserve">price: Yahoo Finance chart API (WIT) at inputs.price_as_of; 52-week range USD 1.59-3.09. FX: Yahoo INR=X at the same session; WIPRO.NS NSE close used as parity check (see inputs.fx_note).
financials: WIT_Metrics.csv / metrics_normalized (FY2015-FY2026 annual, quarterlies to Q1 FY2027) from the 20-F FY2017-FY2026 and 6-K interim filings; component lines read from WIT_20F_FY2026.txt (cash flow 10855-10904, D&amp;A notes 11628-11813, finance income Note 27 13574-13585, EPS Note 28 13594-13623) and WIT_6K_Q1-FY2027.txt (balance sheet 29-93, equity statement 246-260, cash flow 296-347, borrowings note 998-1008).
qualitative: WIT_Analysis.json (2026-10-04): business model, SMU/vertical mix, Q1 FY2027 commentary and Q2 FY2027 guidance, bull/bear axes.</t>
  </si>
  <si>
    <t xml:space="preserve">Scenario narrative: bear</t>
  </si>
  <si>
    <t xml:space="preserve">AI deflation of ADM pricing outruns new bookings; USD revenue shrinks 2-3%/yr to FY2030, margin erodes to 17.5%; the stock becomes a slowly shrinking high-payout annuity.</t>
  </si>
  <si>
    <t xml:space="preserve">Scenario narrative: base</t>
  </si>
  <si>
    <t xml:space="preserve">Flat USD business carried by INR depreciation and bolt-on M&amp;A; margin recovers part-way from the Q1 FY2027 trough; 24-25% cash tax; 15% of incremental revenue absorbed by working capital. Intrinsic value is dominated by the existing Rs118-135bn/yr owner-FCF annuity plus Rs218bn net cash, not by growth.</t>
  </si>
  <si>
    <t xml:space="preserve">Scenario narrative: bull</t>
  </si>
  <si>
    <t xml:space="preserve">Large-deal ramp plus consulting/AI-native pivot delivers 3-4% USD organic growth and a 21% pre-SBC EBITDA margin; INR terminal growth 4%.</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</si>
  <si>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</si>
  <si>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</si>
  <si>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</si>
  <si>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</si>
  <si>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</si>
  <si>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</si>
  <si>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</si>
  <si>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</si>
  <si>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</si>
  <si>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</si>
  <si>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</si>
  <si>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</si>
  <si>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</si>
  <si>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</si>
  <si>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</si>
  <si>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</si>
  <si>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</si>
  <si>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</si>
  <si>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</si>
  <si>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</si>
  <si>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</si>
  <si>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</si>
  <si>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</si>
  <si>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</si>
  <si>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</si>
  <si>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</si>
  <si>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</si>
  <si>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ProfitForPeriodTotal</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</si>
  <si>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</si>
  <si>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</si>
  <si>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</si>
  <si>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</si>
  <si>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</si>
  <si>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</si>
  <si>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</si>
  <si>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</si>
  <si>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</si>
  <si>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</si>
  <si>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</si>
  <si>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</si>
  <si>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</si>
  <si>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</si>
  <si>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</si>
  <si>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</si>
  <si>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</si>
  <si>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</si>
  <si>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</si>
  <si>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</si>
  <si>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</si>
  <si>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</si>
  <si>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INR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</si>
  <si>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</si>
  <si>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</si>
  <si>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</si>
  <si>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</si>
  <si>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</si>
  <si>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</si>
  <si>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</si>
  <si>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</si>
  <si>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</si>
  <si>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</si>
  <si>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</si>
  <si>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</si>
  <si>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</si>
  <si>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</si>
  <si>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</si>
  <si>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</si>
  <si>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</si>
  <si>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</si>
  <si>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</si>
  <si>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</si>
  <si>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</si>
  <si>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</si>
  <si>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</si>
  <si>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</si>
  <si>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</si>
  <si>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</si>
  <si>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WIT owner-FCF component DCF: bear case (millions, INR)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</si>
  <si>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</si>
  <si>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</si>
  <si>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</si>
  <si>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</si>
  <si>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</si>
  <si>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</si>
  <si>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</si>
  <si>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</si>
  <si>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</si>
  <si>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</si>
  <si>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</si>
  <si>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</si>
  <si>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</si>
  <si>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</si>
  <si>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</si>
  <si>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</si>
  <si>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</si>
  <si>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</si>
  <si>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</si>
  <si>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</si>
  <si>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</si>
  <si>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</si>
  <si>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</si>
  <si>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</si>
  <si>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</si>
  <si>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</si>
  <si>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</si>
  <si>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</si>
  <si>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</si>
  <si>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</si>
  <si>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WIT owner-FCF component DCF: base case (millions, INR)</t>
  </si>
  <si>
    <t xml:space="preserve">WIT owner-FCF component DCF: bull case (millions, INR)</t>
  </si>
  <si>
    <t xml:space="preserve">WIT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</si>
  <si>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</si>
  <si>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</si>
  <si>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</si>
  <si>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</si>
  <si>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</si>
  <si>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</si>
  <si>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</si>
  <si>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</si>
  <si>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</si>
  <si>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</si>
  <si>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</si>
  <si>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</si>
  <si>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</si>
  <si>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</si>
  <si>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</si>
  <si>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</si>
  <si>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</si>
  <si>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11.5%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</si>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</sst>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1.72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469545</v>
      </c>
      <c r="C2" s="0" t="n">
        <v>321284</v>
      </c>
      <c r="D2" s="0" t="n">
        <v>148261</v>
      </c>
      <c r="E2" s="0" t="n">
        <v>31.6</v>
      </c>
      <c r="F2" s="0" t="n">
        <v>95423</v>
      </c>
      <c r="G2" s="0" t="n">
        <v>20.3</v>
      </c>
      <c r="H2" s="0" t="n">
        <v>108246</v>
      </c>
      <c r="I2" s="0" t="n">
        <v>86528</v>
      </c>
      <c r="J2" s="0" t="n">
        <v>18.4</v>
      </c>
      <c r="K2" s="0" t="n">
        <v>6.61</v>
      </c>
      <c r="L2" s="0" t="n">
        <v>78262</v>
      </c>
      <c r="M2" s="0" t="n">
        <v>12661</v>
      </c>
      <c r="N2" s="0" t="n">
        <v>65601</v>
      </c>
      <c r="T2" s="0" t="n">
        <v>13133.756</v>
      </c>
      <c r="U2" s="0" t="n">
        <v>1138</v>
      </c>
      <c r="AA2" s="0" t="s">
        <v>18</v>
      </c>
      <c r="AB2" s="0" t="s">
        <v>14</v>
      </c>
      <c r="AC2" s="0" t="n">
        <v>87059</v>
      </c>
    </row>
    <row r="3" customFormat="false" ht="15" hidden="false" customHeight="false" outlineLevel="0" collapsed="false">
      <c r="A3" s="0" t="s">
        <v>66</v>
      </c>
      <c r="B3" s="0" t="n">
        <v>512440</v>
      </c>
      <c r="C3" s="0" t="n">
        <v>356724</v>
      </c>
      <c r="D3" s="0" t="n">
        <v>155716</v>
      </c>
      <c r="E3" s="0" t="n">
        <v>30.4</v>
      </c>
      <c r="F3" s="0" t="n">
        <v>96860</v>
      </c>
      <c r="G3" s="0" t="n">
        <v>18.9</v>
      </c>
      <c r="H3" s="0" t="n">
        <v>111825</v>
      </c>
      <c r="I3" s="0" t="n">
        <v>89075</v>
      </c>
      <c r="J3" s="0" t="n">
        <v>17.4</v>
      </c>
      <c r="K3" s="0" t="n">
        <v>6.8</v>
      </c>
      <c r="L3" s="0" t="n">
        <v>78873</v>
      </c>
      <c r="M3" s="0" t="n">
        <v>13951</v>
      </c>
      <c r="N3" s="0" t="n">
        <v>64922</v>
      </c>
      <c r="O3" s="0" t="n">
        <v>465172</v>
      </c>
      <c r="P3" s="0" t="n">
        <v>724003</v>
      </c>
      <c r="Q3" s="0" t="n">
        <v>256619</v>
      </c>
      <c r="R3" s="0" t="n">
        <v>125221</v>
      </c>
      <c r="S3" s="0" t="n">
        <v>303293</v>
      </c>
      <c r="T3" s="0" t="n">
        <v>13129.013</v>
      </c>
      <c r="U3" s="0" t="n">
        <v>1534</v>
      </c>
      <c r="AA3" s="0" t="s">
        <v>18</v>
      </c>
      <c r="AB3" s="0" t="s">
        <v>14</v>
      </c>
      <c r="AC3" s="0" t="n">
        <v>89567</v>
      </c>
    </row>
    <row r="4" customFormat="false" ht="15" hidden="false" customHeight="false" outlineLevel="0" collapsed="false">
      <c r="A4" s="0" t="s">
        <v>67</v>
      </c>
      <c r="B4" s="0" t="n">
        <v>550402</v>
      </c>
      <c r="C4" s="0" t="n">
        <v>391544</v>
      </c>
      <c r="D4" s="0" t="n">
        <v>158858</v>
      </c>
      <c r="E4" s="0" t="n">
        <v>28.9</v>
      </c>
      <c r="F4" s="0" t="n">
        <v>93879</v>
      </c>
      <c r="G4" s="0" t="n">
        <v>17.1</v>
      </c>
      <c r="H4" s="0" t="n">
        <v>116986</v>
      </c>
      <c r="I4" s="0" t="n">
        <v>84895</v>
      </c>
      <c r="J4" s="0" t="n">
        <v>15.4</v>
      </c>
      <c r="K4" s="0" t="n">
        <v>6.55</v>
      </c>
      <c r="L4" s="0" t="n">
        <v>92773</v>
      </c>
      <c r="M4" s="0" t="n">
        <v>20853</v>
      </c>
      <c r="N4" s="0" t="n">
        <v>71920</v>
      </c>
      <c r="O4" s="0" t="n">
        <v>520304</v>
      </c>
      <c r="P4" s="0" t="n">
        <v>793516</v>
      </c>
      <c r="Q4" s="0" t="n">
        <v>270821</v>
      </c>
      <c r="R4" s="0" t="n">
        <v>142412</v>
      </c>
      <c r="S4" s="0" t="n">
        <v>344740</v>
      </c>
      <c r="T4" s="0" t="n">
        <v>12990.259</v>
      </c>
      <c r="U4" s="0" t="n">
        <v>1742</v>
      </c>
      <c r="AA4" s="0" t="s">
        <v>18</v>
      </c>
      <c r="AB4" s="0" t="s">
        <v>14</v>
      </c>
      <c r="AC4" s="0" t="n">
        <v>85143</v>
      </c>
    </row>
    <row r="5" customFormat="false" ht="15" hidden="false" customHeight="false" outlineLevel="0" collapsed="false">
      <c r="A5" s="0" t="s">
        <v>68</v>
      </c>
      <c r="B5" s="0" t="n">
        <v>544871</v>
      </c>
      <c r="C5" s="0" t="n">
        <v>385575</v>
      </c>
      <c r="D5" s="0" t="n">
        <v>159296</v>
      </c>
      <c r="E5" s="0" t="n">
        <v>29.2</v>
      </c>
      <c r="F5" s="0" t="n">
        <v>84294</v>
      </c>
      <c r="G5" s="0" t="n">
        <v>15.5</v>
      </c>
      <c r="H5" s="0" t="n">
        <v>105418</v>
      </c>
      <c r="I5" s="0" t="n">
        <v>80081</v>
      </c>
      <c r="J5" s="0" t="n">
        <v>14.7</v>
      </c>
      <c r="K5" s="0" t="n">
        <v>6.32</v>
      </c>
      <c r="L5" s="0" t="n">
        <v>84233</v>
      </c>
      <c r="M5" s="0" t="n">
        <v>21870</v>
      </c>
      <c r="N5" s="0" t="n">
        <v>62363</v>
      </c>
      <c r="O5" s="0" t="n">
        <v>482936</v>
      </c>
      <c r="P5" s="0" t="n">
        <v>760640</v>
      </c>
      <c r="Q5" s="0" t="n">
        <v>275294</v>
      </c>
      <c r="R5" s="0" t="n">
        <v>138259</v>
      </c>
      <c r="S5" s="0" t="n">
        <v>294019</v>
      </c>
      <c r="T5" s="0" t="n">
        <v>12688.965</v>
      </c>
      <c r="U5" s="0" t="n">
        <v>1347</v>
      </c>
      <c r="AA5" s="0" t="s">
        <v>18</v>
      </c>
      <c r="AB5" s="0" t="s">
        <v>14</v>
      </c>
      <c r="AC5" s="0" t="n">
        <v>80084</v>
      </c>
    </row>
    <row r="6" customFormat="false" ht="15" hidden="false" customHeight="false" outlineLevel="0" collapsed="false">
      <c r="A6" s="0" t="s">
        <v>69</v>
      </c>
      <c r="B6" s="0" t="n">
        <v>585845</v>
      </c>
      <c r="C6" s="0" t="n">
        <v>413033</v>
      </c>
      <c r="D6" s="0" t="n">
        <v>172812</v>
      </c>
      <c r="E6" s="0" t="n">
        <v>29.5</v>
      </c>
      <c r="F6" s="0" t="n">
        <v>99910</v>
      </c>
      <c r="G6" s="0" t="n">
        <v>17.1</v>
      </c>
      <c r="H6" s="0" t="n">
        <v>119384</v>
      </c>
      <c r="I6" s="0" t="n">
        <v>90031</v>
      </c>
      <c r="J6" s="0" t="n">
        <v>15.4</v>
      </c>
      <c r="K6" s="0" t="n">
        <v>7.49</v>
      </c>
      <c r="L6" s="0" t="n">
        <v>116316</v>
      </c>
      <c r="M6" s="0" t="n">
        <v>22781</v>
      </c>
      <c r="N6" s="0" t="n">
        <v>93535</v>
      </c>
      <c r="O6" s="0" t="n">
        <v>568116</v>
      </c>
      <c r="P6" s="0" t="n">
        <v>833171</v>
      </c>
      <c r="Q6" s="0" t="n">
        <v>262418</v>
      </c>
      <c r="R6" s="0" t="n">
        <v>99467</v>
      </c>
      <c r="S6" s="0" t="n">
        <v>379245</v>
      </c>
      <c r="T6" s="0" t="n">
        <v>12044.609</v>
      </c>
      <c r="U6" s="0" t="n">
        <v>1938</v>
      </c>
      <c r="AA6" s="0" t="s">
        <v>18</v>
      </c>
      <c r="AB6" s="0" t="s">
        <v>14</v>
      </c>
      <c r="AC6" s="0" t="n">
        <v>90173</v>
      </c>
    </row>
    <row r="7" customFormat="false" ht="15" hidden="false" customHeight="false" outlineLevel="0" collapsed="false">
      <c r="A7" s="0" t="s">
        <v>70</v>
      </c>
      <c r="B7" s="0" t="n">
        <v>610232</v>
      </c>
      <c r="C7" s="0" t="n">
        <v>436085</v>
      </c>
      <c r="D7" s="0" t="n">
        <v>174147</v>
      </c>
      <c r="E7" s="0" t="n">
        <v>28.5</v>
      </c>
      <c r="F7" s="0" t="n">
        <v>105730</v>
      </c>
      <c r="G7" s="0" t="n">
        <v>17.3</v>
      </c>
      <c r="H7" s="0" t="n">
        <v>126592</v>
      </c>
      <c r="I7" s="0" t="n">
        <v>97218</v>
      </c>
      <c r="J7" s="0" t="n">
        <v>15.9</v>
      </c>
      <c r="K7" s="0" t="n">
        <v>8.33</v>
      </c>
      <c r="L7" s="0" t="n">
        <v>100643</v>
      </c>
      <c r="M7" s="0" t="n">
        <v>23497</v>
      </c>
      <c r="N7" s="0" t="n">
        <v>77146</v>
      </c>
      <c r="O7" s="0" t="n">
        <v>557458</v>
      </c>
      <c r="P7" s="0" t="n">
        <v>817062</v>
      </c>
      <c r="Q7" s="0" t="n">
        <v>257729</v>
      </c>
      <c r="R7" s="0" t="n">
        <v>78042</v>
      </c>
      <c r="S7" s="0" t="n">
        <v>334134</v>
      </c>
      <c r="T7" s="0" t="n">
        <v>11695.646</v>
      </c>
      <c r="U7" s="0" t="n">
        <v>1262</v>
      </c>
      <c r="AA7" s="0" t="s">
        <v>18</v>
      </c>
      <c r="AB7" s="0" t="s">
        <v>14</v>
      </c>
      <c r="AC7" s="0" t="n">
        <v>97713</v>
      </c>
    </row>
    <row r="8" customFormat="false" ht="15" hidden="false" customHeight="false" outlineLevel="0" collapsed="false">
      <c r="A8" s="0" t="s">
        <v>71</v>
      </c>
      <c r="B8" s="0" t="n">
        <v>619430</v>
      </c>
      <c r="C8" s="0" t="n">
        <v>423205</v>
      </c>
      <c r="D8" s="0" t="n">
        <v>196225</v>
      </c>
      <c r="E8" s="0" t="n">
        <v>31.7</v>
      </c>
      <c r="F8" s="0" t="n">
        <v>123053</v>
      </c>
      <c r="G8" s="0" t="n">
        <v>19.9</v>
      </c>
      <c r="H8" s="0" t="n">
        <v>150709</v>
      </c>
      <c r="I8" s="0" t="n">
        <v>107946</v>
      </c>
      <c r="J8" s="0" t="n">
        <v>17.4</v>
      </c>
      <c r="K8" s="0" t="n">
        <v>9.55</v>
      </c>
      <c r="L8" s="0" t="n">
        <v>147550</v>
      </c>
      <c r="M8" s="0" t="n">
        <v>19577</v>
      </c>
      <c r="N8" s="0" t="n">
        <v>127973</v>
      </c>
      <c r="O8" s="0" t="n">
        <v>553095</v>
      </c>
      <c r="P8" s="0" t="n">
        <v>831434</v>
      </c>
      <c r="Q8" s="0" t="n">
        <v>276841</v>
      </c>
      <c r="R8" s="0" t="n">
        <v>83332</v>
      </c>
      <c r="S8" s="0" t="n">
        <v>345500</v>
      </c>
      <c r="T8" s="0" t="n">
        <v>11323.316</v>
      </c>
      <c r="U8" s="0" t="n">
        <v>2310</v>
      </c>
      <c r="AA8" s="0" t="s">
        <v>18</v>
      </c>
      <c r="AB8" s="0" t="s">
        <v>14</v>
      </c>
      <c r="AC8" s="0" t="n">
        <v>108662</v>
      </c>
    </row>
    <row r="9" customFormat="false" ht="15" hidden="false" customHeight="false" outlineLevel="0" collapsed="false">
      <c r="A9" s="0" t="s">
        <v>72</v>
      </c>
      <c r="B9" s="0" t="n">
        <v>790934</v>
      </c>
      <c r="C9" s="0" t="n">
        <v>555872</v>
      </c>
      <c r="D9" s="0" t="n">
        <v>235062</v>
      </c>
      <c r="E9" s="0" t="n">
        <v>29.7</v>
      </c>
      <c r="F9" s="0" t="n">
        <v>140286</v>
      </c>
      <c r="G9" s="0" t="n">
        <v>17.7</v>
      </c>
      <c r="H9" s="0" t="n">
        <v>171197</v>
      </c>
      <c r="I9" s="0" t="n">
        <v>122191</v>
      </c>
      <c r="J9" s="0" t="n">
        <v>15.4</v>
      </c>
      <c r="K9" s="0" t="n">
        <v>11.18</v>
      </c>
      <c r="L9" s="0" t="n">
        <v>110797</v>
      </c>
      <c r="M9" s="0" t="n">
        <v>20153</v>
      </c>
      <c r="N9" s="0" t="n">
        <v>90644</v>
      </c>
      <c r="O9" s="0" t="n">
        <v>658158</v>
      </c>
      <c r="P9" s="0" t="n">
        <v>1079182</v>
      </c>
      <c r="Q9" s="0" t="n">
        <v>420509</v>
      </c>
      <c r="R9" s="0" t="n">
        <v>151696</v>
      </c>
      <c r="S9" s="0" t="n">
        <v>345491</v>
      </c>
      <c r="T9" s="0" t="n">
        <v>10964.167</v>
      </c>
      <c r="U9" s="0" t="n">
        <v>4110</v>
      </c>
      <c r="AA9" s="0" t="s">
        <v>18</v>
      </c>
      <c r="AB9" s="0" t="s">
        <v>14</v>
      </c>
      <c r="AC9" s="0" t="n">
        <v>122329</v>
      </c>
    </row>
    <row r="10" customFormat="false" ht="15" hidden="false" customHeight="false" outlineLevel="0" collapsed="false">
      <c r="A10" s="0" t="s">
        <v>73</v>
      </c>
      <c r="B10" s="0" t="n">
        <v>904876</v>
      </c>
      <c r="C10" s="0" t="n">
        <v>645446</v>
      </c>
      <c r="D10" s="0" t="n">
        <v>259430</v>
      </c>
      <c r="E10" s="0" t="n">
        <v>28.7</v>
      </c>
      <c r="F10" s="0" t="n">
        <v>139606</v>
      </c>
      <c r="G10" s="0" t="n">
        <v>15.4</v>
      </c>
      <c r="H10" s="0" t="n">
        <v>173008</v>
      </c>
      <c r="I10" s="0" t="n">
        <v>113500</v>
      </c>
      <c r="J10" s="0" t="n">
        <v>12.5</v>
      </c>
      <c r="K10" s="0" t="n">
        <v>10.36</v>
      </c>
      <c r="L10" s="0" t="n">
        <v>130601</v>
      </c>
      <c r="M10" s="0" t="n">
        <v>14834</v>
      </c>
      <c r="N10" s="0" t="n">
        <v>115767</v>
      </c>
      <c r="O10" s="0" t="n">
        <v>781164</v>
      </c>
      <c r="P10" s="0" t="n">
        <v>1175822</v>
      </c>
      <c r="Q10" s="0" t="n">
        <v>394069</v>
      </c>
      <c r="R10" s="0" t="n">
        <v>150093</v>
      </c>
      <c r="S10" s="0" t="n">
        <v>401112</v>
      </c>
      <c r="T10" s="0" t="n">
        <v>10977.982</v>
      </c>
      <c r="U10" s="0" t="n">
        <v>3969</v>
      </c>
      <c r="AA10" s="0" t="s">
        <v>18</v>
      </c>
      <c r="AB10" s="0" t="s">
        <v>14</v>
      </c>
      <c r="AC10" s="0" t="n">
        <v>113665</v>
      </c>
    </row>
    <row r="11" customFormat="false" ht="15" hidden="false" customHeight="false" outlineLevel="0" collapsed="false">
      <c r="A11" s="0" t="s">
        <v>74</v>
      </c>
      <c r="B11" s="0" t="n">
        <v>897603</v>
      </c>
      <c r="C11" s="0" t="n">
        <v>631497</v>
      </c>
      <c r="D11" s="0" t="n">
        <v>266106</v>
      </c>
      <c r="E11" s="0" t="n">
        <v>29.6</v>
      </c>
      <c r="F11" s="0" t="n">
        <v>136099</v>
      </c>
      <c r="G11" s="0" t="n">
        <v>15.2</v>
      </c>
      <c r="H11" s="0" t="n">
        <v>170170</v>
      </c>
      <c r="I11" s="0" t="n">
        <v>110452</v>
      </c>
      <c r="J11" s="0" t="n">
        <v>12.3</v>
      </c>
      <c r="K11" s="0" t="n">
        <v>10.44</v>
      </c>
      <c r="L11" s="0" t="n">
        <v>176216</v>
      </c>
      <c r="M11" s="0" t="n">
        <v>10510</v>
      </c>
      <c r="N11" s="0" t="n">
        <v>165706</v>
      </c>
      <c r="O11" s="0" t="n">
        <v>749883</v>
      </c>
      <c r="P11" s="0" t="n">
        <v>1152459</v>
      </c>
      <c r="Q11" s="0" t="n">
        <v>401236</v>
      </c>
      <c r="R11" s="0" t="n">
        <v>141466</v>
      </c>
      <c r="S11" s="0" t="n">
        <v>408124</v>
      </c>
      <c r="T11" s="0" t="n">
        <v>10611.425</v>
      </c>
      <c r="U11" s="0" t="n">
        <v>5584</v>
      </c>
      <c r="AA11" s="0" t="s">
        <v>18</v>
      </c>
      <c r="AB11" s="0" t="s">
        <v>14</v>
      </c>
      <c r="AC11" s="0" t="n">
        <v>111121</v>
      </c>
    </row>
    <row r="12" customFormat="false" ht="15" hidden="false" customHeight="false" outlineLevel="0" collapsed="false">
      <c r="A12" s="0" t="s">
        <v>75</v>
      </c>
      <c r="B12" s="0" t="n">
        <v>890884</v>
      </c>
      <c r="C12" s="0" t="n">
        <v>617802</v>
      </c>
      <c r="D12" s="0" t="n">
        <v>273082</v>
      </c>
      <c r="E12" s="0" t="n">
        <v>30.7</v>
      </c>
      <c r="F12" s="0" t="n">
        <v>151271</v>
      </c>
      <c r="G12" s="0" t="n">
        <v>17</v>
      </c>
      <c r="H12" s="0" t="n">
        <v>180850</v>
      </c>
      <c r="I12" s="0" t="n">
        <v>131354</v>
      </c>
      <c r="J12" s="0" t="n">
        <v>14.7</v>
      </c>
      <c r="K12" s="0" t="n">
        <v>12.56</v>
      </c>
      <c r="L12" s="0" t="n">
        <v>169426</v>
      </c>
      <c r="M12" s="0" t="n">
        <v>14737</v>
      </c>
      <c r="N12" s="0" t="n">
        <v>154689</v>
      </c>
      <c r="O12" s="0" t="n">
        <v>828309</v>
      </c>
      <c r="P12" s="0" t="n">
        <v>1286520</v>
      </c>
      <c r="Q12" s="0" t="n">
        <v>456073</v>
      </c>
      <c r="R12" s="0" t="n">
        <v>161817</v>
      </c>
      <c r="S12" s="0" t="n">
        <v>533448</v>
      </c>
      <c r="T12" s="0" t="n">
        <v>10488.939</v>
      </c>
      <c r="U12" s="0" t="n">
        <v>5551</v>
      </c>
      <c r="AA12" s="0" t="s">
        <v>18</v>
      </c>
      <c r="AB12" s="0" t="s">
        <v>14</v>
      </c>
      <c r="AC12" s="0" t="n">
        <v>132180</v>
      </c>
    </row>
    <row r="13" customFormat="false" ht="15" hidden="false" customHeight="false" outlineLevel="0" collapsed="false">
      <c r="A13" s="0" t="s">
        <v>76</v>
      </c>
      <c r="B13" s="0" t="n">
        <v>926240</v>
      </c>
      <c r="C13" s="0" t="n">
        <v>656192</v>
      </c>
      <c r="D13" s="0" t="n">
        <v>270048</v>
      </c>
      <c r="E13" s="0" t="n">
        <v>29.2</v>
      </c>
      <c r="F13" s="0" t="n">
        <v>151251</v>
      </c>
      <c r="G13" s="0" t="n">
        <v>16.3</v>
      </c>
      <c r="H13" s="0" t="n">
        <v>180358</v>
      </c>
      <c r="I13" s="0" t="n">
        <v>131974</v>
      </c>
      <c r="J13" s="0" t="n">
        <v>14.2</v>
      </c>
      <c r="K13" s="0" t="n">
        <v>12.6</v>
      </c>
      <c r="L13" s="0" t="n">
        <v>149316</v>
      </c>
      <c r="M13" s="0" t="n">
        <v>15603</v>
      </c>
      <c r="N13" s="0" t="n">
        <v>133713</v>
      </c>
      <c r="O13" s="0" t="n">
        <v>885368</v>
      </c>
      <c r="P13" s="0" t="n">
        <v>1419262</v>
      </c>
      <c r="Q13" s="0" t="n">
        <v>531385</v>
      </c>
      <c r="R13" s="0" t="n">
        <v>167874</v>
      </c>
      <c r="S13" s="0" t="n">
        <v>543235</v>
      </c>
      <c r="T13" s="0" t="n">
        <v>10503.423</v>
      </c>
      <c r="U13" s="0" t="n">
        <v>4465</v>
      </c>
      <c r="AA13" s="0" t="s">
        <v>18</v>
      </c>
      <c r="AB13" s="0" t="s">
        <v>14</v>
      </c>
      <c r="AC13" s="0" t="n">
        <v>132655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1.72</v>
      </c>
    </row>
    <row r="3" customFormat="false" ht="15" hidden="false" customHeight="false" outlineLevel="0" collapsed="false">
      <c r="A3" s="0" t="s">
        <v>80</v>
      </c>
      <c r="B3" s="3" t="n">
        <v>9908</v>
      </c>
    </row>
    <row r="4" customFormat="false" ht="15" hidden="false" customHeight="false" outlineLevel="0" collapsed="false">
      <c r="A4" s="0" t="s">
        <v>81</v>
      </c>
      <c r="B4" s="3" t="n">
        <v>-218076</v>
      </c>
    </row>
    <row r="5" customFormat="false" ht="15" hidden="false" customHeight="false" outlineLevel="0" collapsed="false">
      <c r="A5" s="0" t="s">
        <v>82</v>
      </c>
      <c r="B5" s="3" t="n">
        <v>27122</v>
      </c>
    </row>
    <row r="6" customFormat="false" ht="15" hidden="false" customHeight="false" outlineLevel="0" collapsed="false">
      <c r="A6" s="0" t="s">
        <v>83</v>
      </c>
      <c r="B6" s="3" t="n">
        <v>15</v>
      </c>
    </row>
    <row r="7" customFormat="false" ht="15" hidden="false" customHeight="false" outlineLevel="0" collapsed="false">
      <c r="A7" s="0" t="s">
        <v>84</v>
      </c>
      <c r="B7" s="3" t="n">
        <v>926240</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0.010384</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5</v>
      </c>
      <c r="D13" s="3" t="n">
        <v>1.5</v>
      </c>
      <c r="E13" s="3" t="n">
        <v>1</v>
      </c>
      <c r="F13" s="3" t="n">
        <v>1</v>
      </c>
      <c r="G13" s="3" t="n">
        <v>1.5</v>
      </c>
      <c r="H13" s="3" t="n">
        <v>2</v>
      </c>
      <c r="I13" s="3" t="n">
        <v>2</v>
      </c>
      <c r="J13" s="3" t="n">
        <v>2</v>
      </c>
      <c r="K13" s="3" t="n">
        <v>2</v>
      </c>
      <c r="L13" s="3" t="n">
        <v>2</v>
      </c>
    </row>
    <row r="14" customFormat="false" ht="15" hidden="false" customHeight="false" outlineLevel="0" collapsed="false">
      <c r="A14" s="0" t="s">
        <v>101</v>
      </c>
      <c r="C14" s="3" t="n">
        <v>18.8</v>
      </c>
      <c r="D14" s="3" t="n">
        <v>18.5</v>
      </c>
      <c r="E14" s="3" t="n">
        <v>18.2</v>
      </c>
      <c r="F14" s="3" t="n">
        <v>18</v>
      </c>
      <c r="G14" s="3" t="n">
        <v>17.8</v>
      </c>
      <c r="H14" s="3" t="n">
        <v>17.5</v>
      </c>
      <c r="I14" s="3" t="n">
        <v>17.5</v>
      </c>
      <c r="J14" s="3" t="n">
        <v>17.5</v>
      </c>
      <c r="K14" s="3" t="n">
        <v>17.5</v>
      </c>
      <c r="L14" s="3" t="n">
        <v>17.5</v>
      </c>
    </row>
    <row r="15" customFormat="false" ht="15" hidden="false" customHeight="false" outlineLevel="0" collapsed="false">
      <c r="A15" s="0" t="s">
        <v>102</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103</v>
      </c>
      <c r="C16" s="3" t="n">
        <v>1.25</v>
      </c>
      <c r="D16" s="3" t="n">
        <v>1.3</v>
      </c>
      <c r="E16" s="3" t="n">
        <v>1.3</v>
      </c>
      <c r="F16" s="3" t="n">
        <v>1.3</v>
      </c>
      <c r="G16" s="3" t="n">
        <v>1.3</v>
      </c>
      <c r="H16" s="3" t="n">
        <v>1.3</v>
      </c>
      <c r="I16" s="3" t="n">
        <v>1.3</v>
      </c>
      <c r="J16" s="3" t="n">
        <v>1.3</v>
      </c>
      <c r="K16" s="3" t="n">
        <v>1.3</v>
      </c>
      <c r="L16" s="3" t="n">
        <v>1.3</v>
      </c>
    </row>
    <row r="17" customFormat="false" ht="15" hidden="false" customHeight="false" outlineLevel="0" collapsed="false">
      <c r="A17" s="0" t="s">
        <v>104</v>
      </c>
      <c r="C17" s="3" t="n">
        <v>2.6</v>
      </c>
      <c r="D17" s="3" t="n">
        <v>2.5</v>
      </c>
      <c r="E17" s="3" t="n">
        <v>2.4</v>
      </c>
      <c r="F17" s="3" t="n">
        <v>2.3</v>
      </c>
      <c r="G17" s="3" t="n">
        <v>2.2</v>
      </c>
      <c r="H17" s="3" t="n">
        <v>2.1</v>
      </c>
      <c r="I17" s="3" t="n">
        <v>2</v>
      </c>
      <c r="J17" s="3" t="n">
        <v>2</v>
      </c>
      <c r="K17" s="3" t="n">
        <v>2</v>
      </c>
      <c r="L17" s="3" t="n">
        <v>2</v>
      </c>
    </row>
    <row r="18" customFormat="false" ht="15" hidden="false" customHeight="false" outlineLevel="0" collapsed="false">
      <c r="A18" s="0" t="s">
        <v>105</v>
      </c>
      <c r="C18" s="3" t="n">
        <v>1.7</v>
      </c>
      <c r="D18" s="3" t="n">
        <v>1.7</v>
      </c>
      <c r="E18" s="3" t="n">
        <v>1.7</v>
      </c>
      <c r="F18" s="3" t="n">
        <v>1.7</v>
      </c>
      <c r="G18" s="3" t="n">
        <v>1.7</v>
      </c>
      <c r="H18" s="3" t="n">
        <v>1.7</v>
      </c>
      <c r="I18" s="3" t="n">
        <v>1.7</v>
      </c>
      <c r="J18" s="3" t="n">
        <v>1.7</v>
      </c>
      <c r="K18" s="3" t="n">
        <v>1.7</v>
      </c>
      <c r="L18" s="3" t="n">
        <v>1.7</v>
      </c>
    </row>
    <row r="19" customFormat="false" ht="15" hidden="false" customHeight="false" outlineLevel="0" collapsed="false">
      <c r="A19" s="0" t="s">
        <v>106</v>
      </c>
      <c r="C19" s="3" t="n">
        <v>24</v>
      </c>
      <c r="D19" s="3" t="n">
        <v>24.5</v>
      </c>
      <c r="E19" s="3" t="n">
        <v>25</v>
      </c>
      <c r="F19" s="3" t="n">
        <v>25</v>
      </c>
      <c r="G19" s="3" t="n">
        <v>25</v>
      </c>
      <c r="H19" s="3" t="n">
        <v>25</v>
      </c>
      <c r="I19" s="3" t="n">
        <v>25</v>
      </c>
      <c r="J19" s="3" t="n">
        <v>25</v>
      </c>
      <c r="K19" s="3" t="n">
        <v>25</v>
      </c>
      <c r="L19" s="3" t="n">
        <v>25</v>
      </c>
    </row>
    <row r="20" customFormat="false" ht="15" hidden="false" customHeight="false" outlineLevel="0" collapsed="false">
      <c r="A20" s="0" t="s">
        <v>107</v>
      </c>
      <c r="B20" s="3" t="n">
        <v>11.5</v>
      </c>
    </row>
    <row r="21" customFormat="false" ht="15" hidden="false" customHeight="false" outlineLevel="0" collapsed="false">
      <c r="A21" s="0" t="s">
        <v>108</v>
      </c>
      <c r="B21" s="3" t="n">
        <v>3</v>
      </c>
    </row>
    <row r="22" customFormat="false" ht="15" hidden="false" customHeight="false" outlineLevel="0" collapsed="false">
      <c r="A22" s="0" t="s">
        <v>109</v>
      </c>
      <c r="B22" s="3" t="n">
        <v>15</v>
      </c>
    </row>
    <row r="23" customFormat="false" ht="15" hidden="false" customHeight="false" outlineLevel="0" collapsed="false">
      <c r="A23" s="0" t="s">
        <v>110</v>
      </c>
      <c r="B23" s="3" t="n">
        <v>-15</v>
      </c>
    </row>
    <row r="24" customFormat="false" ht="15" hidden="false" customHeight="false" outlineLevel="0" collapsed="false">
      <c r="A24" s="0" t="s">
        <v>111</v>
      </c>
      <c r="B24" s="3" t="n">
        <v>0.3</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7</v>
      </c>
      <c r="D27" s="3" t="n">
        <v>4.5</v>
      </c>
      <c r="E27" s="3" t="n">
        <v>4</v>
      </c>
      <c r="F27" s="3" t="n">
        <v>4</v>
      </c>
      <c r="G27" s="3" t="n">
        <v>3.5</v>
      </c>
      <c r="H27" s="3" t="n">
        <v>3.5</v>
      </c>
      <c r="I27" s="3" t="n">
        <v>3.5</v>
      </c>
      <c r="J27" s="3" t="n">
        <v>3</v>
      </c>
      <c r="K27" s="3" t="n">
        <v>3</v>
      </c>
      <c r="L27" s="3" t="n">
        <v>3</v>
      </c>
    </row>
    <row r="28" customFormat="false" ht="15" hidden="false" customHeight="false" outlineLevel="0" collapsed="false">
      <c r="A28" s="0" t="s">
        <v>101</v>
      </c>
      <c r="C28" s="3" t="n">
        <v>19.3</v>
      </c>
      <c r="D28" s="3" t="n">
        <v>19.5</v>
      </c>
      <c r="E28" s="3" t="n">
        <v>19.6</v>
      </c>
      <c r="F28" s="3" t="n">
        <v>19.6</v>
      </c>
      <c r="G28" s="3" t="n">
        <v>19.6</v>
      </c>
      <c r="H28" s="3" t="n">
        <v>19.6</v>
      </c>
      <c r="I28" s="3" t="n">
        <v>19.6</v>
      </c>
      <c r="J28" s="3" t="n">
        <v>19.6</v>
      </c>
      <c r="K28" s="3" t="n">
        <v>19.6</v>
      </c>
      <c r="L28" s="3" t="n">
        <v>19.6</v>
      </c>
    </row>
    <row r="29" customFormat="false" ht="15" hidden="false" customHeight="false" outlineLevel="0" collapsed="false">
      <c r="A29" s="0" t="s">
        <v>102</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103</v>
      </c>
      <c r="C30" s="3" t="n">
        <v>1.25</v>
      </c>
      <c r="D30" s="3" t="n">
        <v>1.25</v>
      </c>
      <c r="E30" s="3" t="n">
        <v>1.25</v>
      </c>
      <c r="F30" s="3" t="n">
        <v>1.25</v>
      </c>
      <c r="G30" s="3" t="n">
        <v>1.25</v>
      </c>
      <c r="H30" s="3" t="n">
        <v>1.25</v>
      </c>
      <c r="I30" s="3" t="n">
        <v>1.25</v>
      </c>
      <c r="J30" s="3" t="n">
        <v>1.25</v>
      </c>
      <c r="K30" s="3" t="n">
        <v>1.25</v>
      </c>
      <c r="L30" s="3" t="n">
        <v>1.25</v>
      </c>
    </row>
    <row r="31" customFormat="false" ht="15" hidden="false" customHeight="false" outlineLevel="0" collapsed="false">
      <c r="A31" s="0" t="s">
        <v>104</v>
      </c>
      <c r="C31" s="3" t="n">
        <v>2.6</v>
      </c>
      <c r="D31" s="3" t="n">
        <v>2.5</v>
      </c>
      <c r="E31" s="3" t="n">
        <v>2.4</v>
      </c>
      <c r="F31" s="3" t="n">
        <v>2.3</v>
      </c>
      <c r="G31" s="3" t="n">
        <v>2.2</v>
      </c>
      <c r="H31" s="3" t="n">
        <v>2.1</v>
      </c>
      <c r="I31" s="3" t="n">
        <v>2</v>
      </c>
      <c r="J31" s="3" t="n">
        <v>2</v>
      </c>
      <c r="K31" s="3" t="n">
        <v>2</v>
      </c>
      <c r="L31" s="3" t="n">
        <v>2</v>
      </c>
    </row>
    <row r="32" customFormat="false" ht="15" hidden="false" customHeight="false" outlineLevel="0" collapsed="false">
      <c r="A32" s="0" t="s">
        <v>105</v>
      </c>
      <c r="C32" s="3" t="n">
        <v>1.7</v>
      </c>
      <c r="D32" s="3" t="n">
        <v>1.7</v>
      </c>
      <c r="E32" s="3" t="n">
        <v>1.7</v>
      </c>
      <c r="F32" s="3" t="n">
        <v>1.7</v>
      </c>
      <c r="G32" s="3" t="n">
        <v>1.7</v>
      </c>
      <c r="H32" s="3" t="n">
        <v>1.7</v>
      </c>
      <c r="I32" s="3" t="n">
        <v>1.7</v>
      </c>
      <c r="J32" s="3" t="n">
        <v>1.7</v>
      </c>
      <c r="K32" s="3" t="n">
        <v>1.7</v>
      </c>
      <c r="L32" s="3" t="n">
        <v>1.7</v>
      </c>
    </row>
    <row r="33" customFormat="false" ht="15" hidden="false" customHeight="false" outlineLevel="0" collapsed="false">
      <c r="A33" s="0" t="s">
        <v>106</v>
      </c>
      <c r="C33" s="3" t="n">
        <v>24</v>
      </c>
      <c r="D33" s="3" t="n">
        <v>24</v>
      </c>
      <c r="E33" s="3" t="n">
        <v>24.5</v>
      </c>
      <c r="F33" s="3" t="n">
        <v>24.5</v>
      </c>
      <c r="G33" s="3" t="n">
        <v>25</v>
      </c>
      <c r="H33" s="3" t="n">
        <v>25</v>
      </c>
      <c r="I33" s="3" t="n">
        <v>25</v>
      </c>
      <c r="J33" s="3" t="n">
        <v>25</v>
      </c>
      <c r="K33" s="3" t="n">
        <v>25</v>
      </c>
      <c r="L33" s="3" t="n">
        <v>25</v>
      </c>
    </row>
    <row r="34" customFormat="false" ht="15" hidden="false" customHeight="false" outlineLevel="0" collapsed="false">
      <c r="A34" s="0" t="s">
        <v>107</v>
      </c>
      <c r="B34" s="3" t="n">
        <v>11.5</v>
      </c>
    </row>
    <row r="35" customFormat="false" ht="15" hidden="false" customHeight="false" outlineLevel="0" collapsed="false">
      <c r="A35" s="0" t="s">
        <v>108</v>
      </c>
      <c r="B35" s="3" t="n">
        <v>3.5</v>
      </c>
    </row>
    <row r="36" customFormat="false" ht="15" hidden="false" customHeight="false" outlineLevel="0" collapsed="false">
      <c r="A36" s="0" t="s">
        <v>109</v>
      </c>
      <c r="B36" s="3" t="n">
        <v>15</v>
      </c>
    </row>
    <row r="37" customFormat="false" ht="15" hidden="false" customHeight="false" outlineLevel="0" collapsed="false">
      <c r="A37" s="0" t="s">
        <v>110</v>
      </c>
      <c r="B37" s="3" t="n">
        <v>-15</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8.5</v>
      </c>
      <c r="D41" s="3" t="n">
        <v>7</v>
      </c>
      <c r="E41" s="3" t="n">
        <v>6.5</v>
      </c>
      <c r="F41" s="3" t="n">
        <v>6</v>
      </c>
      <c r="G41" s="3" t="n">
        <v>5.5</v>
      </c>
      <c r="H41" s="3" t="n">
        <v>5</v>
      </c>
      <c r="I41" s="3" t="n">
        <v>4.5</v>
      </c>
      <c r="J41" s="3" t="n">
        <v>4</v>
      </c>
      <c r="K41" s="3" t="n">
        <v>4</v>
      </c>
      <c r="L41" s="3" t="n">
        <v>3.5</v>
      </c>
    </row>
    <row r="42" customFormat="false" ht="15" hidden="false" customHeight="false" outlineLevel="0" collapsed="false">
      <c r="A42" s="0" t="s">
        <v>101</v>
      </c>
      <c r="C42" s="3" t="n">
        <v>19.5</v>
      </c>
      <c r="D42" s="3" t="n">
        <v>20</v>
      </c>
      <c r="E42" s="3" t="n">
        <v>20.4</v>
      </c>
      <c r="F42" s="3" t="n">
        <v>20.7</v>
      </c>
      <c r="G42" s="3" t="n">
        <v>21</v>
      </c>
      <c r="H42" s="3" t="n">
        <v>21</v>
      </c>
      <c r="I42" s="3" t="n">
        <v>21</v>
      </c>
      <c r="J42" s="3" t="n">
        <v>21</v>
      </c>
      <c r="K42" s="3" t="n">
        <v>21</v>
      </c>
      <c r="L42" s="3" t="n">
        <v>21</v>
      </c>
    </row>
    <row r="43" customFormat="false" ht="15" hidden="false" customHeight="false" outlineLevel="0" collapsed="false">
      <c r="A43" s="0" t="s">
        <v>102</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103</v>
      </c>
      <c r="C44" s="3" t="n">
        <v>1.25</v>
      </c>
      <c r="D44" s="3" t="n">
        <v>1.25</v>
      </c>
      <c r="E44" s="3" t="n">
        <v>1.2</v>
      </c>
      <c r="F44" s="3" t="n">
        <v>1.2</v>
      </c>
      <c r="G44" s="3" t="n">
        <v>1.2</v>
      </c>
      <c r="H44" s="3" t="n">
        <v>1.2</v>
      </c>
      <c r="I44" s="3" t="n">
        <v>1.2</v>
      </c>
      <c r="J44" s="3" t="n">
        <v>1.2</v>
      </c>
      <c r="K44" s="3" t="n">
        <v>1.2</v>
      </c>
      <c r="L44" s="3" t="n">
        <v>1.2</v>
      </c>
    </row>
    <row r="45" customFormat="false" ht="15" hidden="false" customHeight="false" outlineLevel="0" collapsed="false">
      <c r="A45" s="0" t="s">
        <v>104</v>
      </c>
      <c r="C45" s="3" t="n">
        <v>2.6</v>
      </c>
      <c r="D45" s="3" t="n">
        <v>2.5</v>
      </c>
      <c r="E45" s="3" t="n">
        <v>2.4</v>
      </c>
      <c r="F45" s="3" t="n">
        <v>2.3</v>
      </c>
      <c r="G45" s="3" t="n">
        <v>2.2</v>
      </c>
      <c r="H45" s="3" t="n">
        <v>2.1</v>
      </c>
      <c r="I45" s="3" t="n">
        <v>2</v>
      </c>
      <c r="J45" s="3" t="n">
        <v>2</v>
      </c>
      <c r="K45" s="3" t="n">
        <v>2</v>
      </c>
      <c r="L45" s="3" t="n">
        <v>2</v>
      </c>
    </row>
    <row r="46" customFormat="false" ht="15" hidden="false" customHeight="false" outlineLevel="0" collapsed="false">
      <c r="A46" s="0" t="s">
        <v>105</v>
      </c>
      <c r="C46" s="3" t="n">
        <v>1.7</v>
      </c>
      <c r="D46" s="3" t="n">
        <v>1.7</v>
      </c>
      <c r="E46" s="3" t="n">
        <v>1.7</v>
      </c>
      <c r="F46" s="3" t="n">
        <v>1.7</v>
      </c>
      <c r="G46" s="3" t="n">
        <v>1.7</v>
      </c>
      <c r="H46" s="3" t="n">
        <v>1.7</v>
      </c>
      <c r="I46" s="3" t="n">
        <v>1.7</v>
      </c>
      <c r="J46" s="3" t="n">
        <v>1.7</v>
      </c>
      <c r="K46" s="3" t="n">
        <v>1.7</v>
      </c>
      <c r="L46" s="3" t="n">
        <v>1.7</v>
      </c>
    </row>
    <row r="47" customFormat="false" ht="15" hidden="false" customHeight="false" outlineLevel="0" collapsed="false">
      <c r="A47" s="0" t="s">
        <v>106</v>
      </c>
      <c r="C47" s="3" t="n">
        <v>24</v>
      </c>
      <c r="D47" s="3" t="n">
        <v>24</v>
      </c>
      <c r="E47" s="3" t="n">
        <v>24.5</v>
      </c>
      <c r="F47" s="3" t="n">
        <v>24.5</v>
      </c>
      <c r="G47" s="3" t="n">
        <v>25</v>
      </c>
      <c r="H47" s="3" t="n">
        <v>25</v>
      </c>
      <c r="I47" s="3" t="n">
        <v>25</v>
      </c>
      <c r="J47" s="3" t="n">
        <v>25</v>
      </c>
      <c r="K47" s="3" t="n">
        <v>25</v>
      </c>
      <c r="L47" s="3" t="n">
        <v>25</v>
      </c>
    </row>
    <row r="48" customFormat="false" ht="15" hidden="false" customHeight="false" outlineLevel="0" collapsed="false">
      <c r="A48" s="0" t="s">
        <v>107</v>
      </c>
      <c r="B48" s="3" t="n">
        <v>11.5</v>
      </c>
    </row>
    <row r="49" customFormat="false" ht="15" hidden="false" customHeight="false" outlineLevel="0" collapsed="false">
      <c r="A49" s="0" t="s">
        <v>108</v>
      </c>
      <c r="B49" s="3" t="n">
        <v>4</v>
      </c>
    </row>
    <row r="50" customFormat="false" ht="15" hidden="false" customHeight="false" outlineLevel="0" collapsed="false">
      <c r="A50" s="0" t="s">
        <v>109</v>
      </c>
      <c r="B50" s="3" t="n">
        <v>15</v>
      </c>
    </row>
    <row r="51" customFormat="false" ht="15" hidden="false" customHeight="false" outlineLevel="0" collapsed="false">
      <c r="A51" s="0" t="s">
        <v>110</v>
      </c>
      <c r="B51" s="3" t="n">
        <v>-15</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5</v>
      </c>
      <c r="D5" s="4" t="n">
        <f aca="false">Assumptions!D13</f>
        <v>1.5</v>
      </c>
      <c r="E5" s="4" t="n">
        <f aca="false">Assumptions!E13</f>
        <v>1</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926240</v>
      </c>
      <c r="C6" s="0" t="n">
        <f aca="false">B6*(1+C5/100)</f>
        <v>972552</v>
      </c>
      <c r="D6" s="0" t="n">
        <f aca="false">C6*(1+D5/100)</f>
        <v>987140.28</v>
      </c>
      <c r="E6" s="0" t="n">
        <f aca="false">D6*(1+E5/100)</f>
        <v>997011.6828</v>
      </c>
      <c r="F6" s="0" t="n">
        <f aca="false">E6*(1+F5/100)</f>
        <v>1006981.799628</v>
      </c>
      <c r="G6" s="0" t="n">
        <f aca="false">F6*(1+G5/100)</f>
        <v>1022086.52662242</v>
      </c>
      <c r="H6" s="0" t="n">
        <f aca="false">G6*(1+H5/100)</f>
        <v>1042528.25715487</v>
      </c>
      <c r="I6" s="0" t="n">
        <f aca="false">H6*(1+I5/100)</f>
        <v>1063378.82229797</v>
      </c>
      <c r="J6" s="0" t="n">
        <f aca="false">I6*(1+J5/100)</f>
        <v>1084646.39874393</v>
      </c>
      <c r="K6" s="0" t="n">
        <f aca="false">J6*(1+K5/100)</f>
        <v>1106339.3267188</v>
      </c>
      <c r="L6" s="0" t="n">
        <f aca="false">K6*(1+L5/100)</f>
        <v>1128466.11325318</v>
      </c>
    </row>
    <row r="7" customFormat="false" ht="15" hidden="false" customHeight="false" outlineLevel="0" collapsed="false">
      <c r="A7" s="0" t="s">
        <v>101</v>
      </c>
      <c r="C7" s="4" t="n">
        <f aca="false">Assumptions!C14</f>
        <v>18.8</v>
      </c>
      <c r="D7" s="4" t="n">
        <f aca="false">Assumptions!D14</f>
        <v>18.5</v>
      </c>
      <c r="E7" s="4" t="n">
        <f aca="false">Assumptions!E14</f>
        <v>18.2</v>
      </c>
      <c r="F7" s="4" t="n">
        <f aca="false">Assumptions!F14</f>
        <v>18</v>
      </c>
      <c r="G7" s="4" t="n">
        <f aca="false">Assumptions!G14</f>
        <v>17.8</v>
      </c>
      <c r="H7" s="4" t="n">
        <f aca="false">Assumptions!H14</f>
        <v>17.5</v>
      </c>
      <c r="I7" s="4" t="n">
        <f aca="false">Assumptions!I14</f>
        <v>17.5</v>
      </c>
      <c r="J7" s="4" t="n">
        <f aca="false">Assumptions!J14</f>
        <v>17.5</v>
      </c>
      <c r="K7" s="4" t="n">
        <f aca="false">Assumptions!K14</f>
        <v>17.5</v>
      </c>
      <c r="L7" s="4" t="n">
        <f aca="false">Assumptions!L14</f>
        <v>17.5</v>
      </c>
    </row>
    <row r="8" customFormat="false" ht="15" hidden="false" customHeight="false" outlineLevel="0" collapsed="false">
      <c r="A8" s="0" t="s">
        <v>44</v>
      </c>
      <c r="C8" s="0" t="n">
        <f aca="false">C6*C7/100</f>
        <v>182839.776</v>
      </c>
      <c r="D8" s="0" t="n">
        <f aca="false">D6*D7/100</f>
        <v>182620.9518</v>
      </c>
      <c r="E8" s="0" t="n">
        <f aca="false">E6*E7/100</f>
        <v>181456.1262696</v>
      </c>
      <c r="F8" s="0" t="n">
        <f aca="false">F6*F7/100</f>
        <v>181256.72393304</v>
      </c>
      <c r="G8" s="0" t="n">
        <f aca="false">G6*G7/100</f>
        <v>181931.401738791</v>
      </c>
      <c r="H8" s="0" t="n">
        <f aca="false">H6*H7/100</f>
        <v>182442.445002102</v>
      </c>
      <c r="I8" s="0" t="n">
        <f aca="false">I6*I7/100</f>
        <v>186091.293902144</v>
      </c>
      <c r="J8" s="0" t="n">
        <f aca="false">J6*J7/100</f>
        <v>189813.119780187</v>
      </c>
      <c r="K8" s="0" t="n">
        <f aca="false">K6*K7/100</f>
        <v>193609.382175791</v>
      </c>
      <c r="L8" s="0" t="n">
        <f aca="false">L6*L7/100</f>
        <v>197481.569819306</v>
      </c>
    </row>
    <row r="9" customFormat="false" ht="15" hidden="false" customHeight="false" outlineLevel="0" collapsed="false">
      <c r="A9" s="0" t="s">
        <v>102</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117</v>
      </c>
      <c r="C10" s="0" t="n">
        <f aca="false">-C6*C9/100</f>
        <v>-4862.76</v>
      </c>
      <c r="D10" s="0" t="n">
        <f aca="false">-D6*D9/100</f>
        <v>-4935.7014</v>
      </c>
      <c r="E10" s="0" t="n">
        <f aca="false">-E6*E9/100</f>
        <v>-4985.058414</v>
      </c>
      <c r="F10" s="0" t="n">
        <f aca="false">-F6*F9/100</f>
        <v>-5034.90899814</v>
      </c>
      <c r="G10" s="0" t="n">
        <f aca="false">-G6*G9/100</f>
        <v>-5110.4326331121</v>
      </c>
      <c r="H10" s="0" t="n">
        <f aca="false">-H6*H9/100</f>
        <v>-5212.64128577434</v>
      </c>
      <c r="I10" s="0" t="n">
        <f aca="false">-I6*I9/100</f>
        <v>-5316.89411148983</v>
      </c>
      <c r="J10" s="0" t="n">
        <f aca="false">-J6*J9/100</f>
        <v>-5423.23199371962</v>
      </c>
      <c r="K10" s="0" t="n">
        <f aca="false">-K6*K9/100</f>
        <v>-5531.69663359402</v>
      </c>
      <c r="L10" s="0" t="n">
        <f aca="false">-L6*L9/100</f>
        <v>-5642.3305662659</v>
      </c>
    </row>
    <row r="11" customFormat="false" ht="15" hidden="false" customHeight="false" outlineLevel="0" collapsed="false">
      <c r="A11" s="0" t="s">
        <v>118</v>
      </c>
      <c r="C11" s="0" t="n">
        <f aca="false">C8+C10+C24</f>
        <v>165820.116</v>
      </c>
      <c r="D11" s="0" t="n">
        <f aca="false">D8+D10+D24</f>
        <v>164852.42676</v>
      </c>
      <c r="E11" s="0" t="n">
        <f aca="false">E8+E10+E24</f>
        <v>163509.9159792</v>
      </c>
      <c r="F11" s="0" t="n">
        <f aca="false">F8+F10+F24</f>
        <v>163131.051539736</v>
      </c>
      <c r="G11" s="0" t="n">
        <f aca="false">G8+G10+G24</f>
        <v>163533.844259587</v>
      </c>
      <c r="H11" s="0" t="n">
        <f aca="false">H8+H10+H24</f>
        <v>163676.936373314</v>
      </c>
      <c r="I11" s="0" t="n">
        <f aca="false">I8+I10+I24</f>
        <v>166950.475100781</v>
      </c>
      <c r="J11" s="0" t="n">
        <f aca="false">J8+J10+J24</f>
        <v>170289.484602796</v>
      </c>
      <c r="K11" s="0" t="n">
        <f aca="false">K8+K10+K24</f>
        <v>173695.274294852</v>
      </c>
      <c r="L11" s="0" t="n">
        <f aca="false">L8+L10+L24</f>
        <v>177169.179780749</v>
      </c>
    </row>
    <row r="12" customFormat="false" ht="15" hidden="false" customHeight="false" outlineLevel="0" collapsed="false">
      <c r="A12" s="0" t="s">
        <v>119</v>
      </c>
      <c r="C12" s="4" t="n">
        <f aca="false">-C6*Assumptions!C17/100</f>
        <v>-25286.352</v>
      </c>
      <c r="D12" s="4" t="n">
        <f aca="false">-D6*Assumptions!D17/100</f>
        <v>-24678.507</v>
      </c>
      <c r="E12" s="4" t="n">
        <f aca="false">-E6*Assumptions!E17/100</f>
        <v>-23928.2803872</v>
      </c>
      <c r="F12" s="4" t="n">
        <f aca="false">-F6*Assumptions!F17/100</f>
        <v>-23160.581391444</v>
      </c>
      <c r="G12" s="4" t="n">
        <f aca="false">-G6*Assumptions!G17/100</f>
        <v>-22485.9035856932</v>
      </c>
      <c r="H12" s="4" t="n">
        <f aca="false">-H6*Assumptions!H17/100</f>
        <v>-21893.0934002522</v>
      </c>
      <c r="I12" s="4" t="n">
        <f aca="false">-I6*Assumptions!I17/100</f>
        <v>-21267.5764459593</v>
      </c>
      <c r="J12" s="4" t="n">
        <f aca="false">-J6*Assumptions!J17/100</f>
        <v>-21692.9279748785</v>
      </c>
      <c r="K12" s="4" t="n">
        <f aca="false">-K6*Assumptions!K17/100</f>
        <v>-22126.7865343761</v>
      </c>
      <c r="L12" s="4" t="n">
        <f aca="false">-L6*Assumptions!L17/100</f>
        <v>-22569.3222650636</v>
      </c>
    </row>
    <row r="13" customFormat="false" ht="15" hidden="false" customHeight="false" outlineLevel="0" collapsed="false">
      <c r="A13" s="0" t="s">
        <v>120</v>
      </c>
      <c r="C13" s="0" t="n">
        <f aca="false">C11+C12</f>
        <v>140533.764</v>
      </c>
      <c r="D13" s="0" t="n">
        <f aca="false">D11+D12</f>
        <v>140173.91976</v>
      </c>
      <c r="E13" s="0" t="n">
        <f aca="false">E11+E12</f>
        <v>139581.635592</v>
      </c>
      <c r="F13" s="0" t="n">
        <f aca="false">F11+F12</f>
        <v>139970.470148292</v>
      </c>
      <c r="G13" s="0" t="n">
        <f aca="false">G11+G12</f>
        <v>141047.940673894</v>
      </c>
      <c r="H13" s="0" t="n">
        <f aca="false">H11+H12</f>
        <v>141783.842973062</v>
      </c>
      <c r="I13" s="0" t="n">
        <f aca="false">I11+I12</f>
        <v>145682.898654821</v>
      </c>
      <c r="J13" s="0" t="n">
        <f aca="false">J11+J12</f>
        <v>148596.556627918</v>
      </c>
      <c r="K13" s="0" t="n">
        <f aca="false">K11+K12</f>
        <v>151568.487760476</v>
      </c>
      <c r="L13" s="0" t="n">
        <f aca="false">L11+L12</f>
        <v>154599.857515686</v>
      </c>
    </row>
    <row r="14" customFormat="false" ht="15" hidden="false" customHeight="false" outlineLevel="0" collapsed="false">
      <c r="A14" s="0" t="s">
        <v>106</v>
      </c>
      <c r="C14" s="4" t="n">
        <f aca="false">Assumptions!C19</f>
        <v>24</v>
      </c>
      <c r="D14" s="4" t="n">
        <f aca="false">Assumptions!D19</f>
        <v>24.5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106805.66064</v>
      </c>
      <c r="D15" s="0" t="n">
        <f aca="false">D13-MAX(0,D13)*D14/100</f>
        <v>105831.3094188</v>
      </c>
      <c r="E15" s="0" t="n">
        <f aca="false">E13-MAX(0,E13)*E14/100</f>
        <v>104686.226694</v>
      </c>
      <c r="F15" s="0" t="n">
        <f aca="false">F13-MAX(0,F13)*F14/100</f>
        <v>104977.852611219</v>
      </c>
      <c r="G15" s="0" t="n">
        <f aca="false">G13-MAX(0,G13)*G14/100</f>
        <v>105785.95550542</v>
      </c>
      <c r="H15" s="0" t="n">
        <f aca="false">H13-MAX(0,H13)*H14/100</f>
        <v>106337.882229797</v>
      </c>
      <c r="I15" s="0" t="n">
        <f aca="false">I13-MAX(0,I13)*I14/100</f>
        <v>109262.173991116</v>
      </c>
      <c r="J15" s="0" t="n">
        <f aca="false">J13-MAX(0,J13)*J14/100</f>
        <v>111447.417470938</v>
      </c>
      <c r="K15" s="0" t="n">
        <f aca="false">K13-MAX(0,K13)*K14/100</f>
        <v>113676.365820357</v>
      </c>
      <c r="L15" s="0" t="n">
        <f aca="false">L13-MAX(0,L13)*L14/100</f>
        <v>115949.893136764</v>
      </c>
    </row>
    <row r="16" customFormat="false" ht="15" hidden="false" customHeight="false" outlineLevel="0" collapsed="false">
      <c r="A16" s="0" t="s">
        <v>122</v>
      </c>
      <c r="C16" s="0" t="n">
        <f aca="false">-C12</f>
        <v>25286.352</v>
      </c>
      <c r="D16" s="0" t="n">
        <f aca="false">-D12</f>
        <v>24678.507</v>
      </c>
      <c r="E16" s="0" t="n">
        <f aca="false">-E12</f>
        <v>23928.2803872</v>
      </c>
      <c r="F16" s="0" t="n">
        <f aca="false">-F12</f>
        <v>23160.581391444</v>
      </c>
      <c r="G16" s="0" t="n">
        <f aca="false">-G12</f>
        <v>22485.9035856932</v>
      </c>
      <c r="H16" s="0" t="n">
        <f aca="false">-H12</f>
        <v>21893.0934002522</v>
      </c>
      <c r="I16" s="0" t="n">
        <f aca="false">-I12</f>
        <v>21267.5764459593</v>
      </c>
      <c r="J16" s="0" t="n">
        <f aca="false">-J12</f>
        <v>21692.9279748785</v>
      </c>
      <c r="K16" s="0" t="n">
        <f aca="false">-K12</f>
        <v>22126.7865343761</v>
      </c>
      <c r="L16" s="0" t="n">
        <f aca="false">-L12</f>
        <v>22569.3222650636</v>
      </c>
    </row>
    <row r="17" customFormat="false" ht="15" hidden="false" customHeight="false" outlineLevel="0" collapsed="false">
      <c r="A17" s="0" t="s">
        <v>123</v>
      </c>
      <c r="C17" s="4" t="n">
        <f aca="false">-C6*Assumptions!C18/100</f>
        <v>-16533.384</v>
      </c>
      <c r="D17" s="4" t="n">
        <f aca="false">-D6*Assumptions!D18/100</f>
        <v>-16781.38476</v>
      </c>
      <c r="E17" s="4" t="n">
        <f aca="false">-E6*Assumptions!E18/100</f>
        <v>-16949.1986076</v>
      </c>
      <c r="F17" s="4" t="n">
        <f aca="false">-F6*Assumptions!F18/100</f>
        <v>-17118.690593676</v>
      </c>
      <c r="G17" s="4" t="n">
        <f aca="false">-G6*Assumptions!G18/100</f>
        <v>-17375.4709525811</v>
      </c>
      <c r="H17" s="4" t="n">
        <f aca="false">-H6*Assumptions!H18/100</f>
        <v>-17722.9803716328</v>
      </c>
      <c r="I17" s="4" t="n">
        <f aca="false">-I6*Assumptions!I18/100</f>
        <v>-18077.4399790654</v>
      </c>
      <c r="J17" s="4" t="n">
        <f aca="false">-J6*Assumptions!J18/100</f>
        <v>-18438.9887786467</v>
      </c>
      <c r="K17" s="4" t="n">
        <f aca="false">-K6*Assumptions!K18/100</f>
        <v>-18807.7685542197</v>
      </c>
      <c r="L17" s="4" t="n">
        <f aca="false">-L6*Assumptions!L18/100</f>
        <v>-19183.9239253041</v>
      </c>
    </row>
    <row r="18" customFormat="false" ht="15" hidden="false" customHeight="false" outlineLevel="0" collapsed="false">
      <c r="A18" s="0" t="s">
        <v>124</v>
      </c>
      <c r="C18" s="4" t="n">
        <f aca="false">(C6-B6)*Assumptions!$B$23/100</f>
        <v>-6946.8</v>
      </c>
      <c r="D18" s="4" t="n">
        <f aca="false">(D6-C6)*Assumptions!$B$23/100</f>
        <v>-2188.24199999999</v>
      </c>
      <c r="E18" s="4" t="n">
        <f aca="false">(E6-D6)*Assumptions!$B$23/100</f>
        <v>-1480.71042000001</v>
      </c>
      <c r="F18" s="4" t="n">
        <f aca="false">(F6-E6)*Assumptions!$B$23/100</f>
        <v>-1495.51752420001</v>
      </c>
      <c r="G18" s="4" t="n">
        <f aca="false">(G6-F6)*Assumptions!$B$23/100</f>
        <v>-2265.70904916299</v>
      </c>
      <c r="H18" s="4" t="n">
        <f aca="false">(H6-G6)*Assumptions!$B$23/100</f>
        <v>-3066.25957986726</v>
      </c>
      <c r="I18" s="4" t="n">
        <f aca="false">(I6-H6)*Assumptions!$B$23/100</f>
        <v>-3127.5847714646</v>
      </c>
      <c r="J18" s="4" t="n">
        <f aca="false">(J6-I6)*Assumptions!$B$23/100</f>
        <v>-3190.13646689389</v>
      </c>
      <c r="K18" s="4" t="n">
        <f aca="false">(K6-J6)*Assumptions!$B$23/100</f>
        <v>-3253.93919623179</v>
      </c>
      <c r="L18" s="4" t="n">
        <f aca="false">(L6-K6)*Assumptions!$B$23/100</f>
        <v>-3319.0179801564</v>
      </c>
    </row>
    <row r="19" customFormat="false" ht="15" hidden="false" customHeight="false" outlineLevel="0" collapsed="false">
      <c r="A19" s="0" t="s">
        <v>125</v>
      </c>
      <c r="C19" s="0" t="n">
        <f aca="false">C15+C16+C17+C18</f>
        <v>108611.82864</v>
      </c>
      <c r="D19" s="0" t="n">
        <f aca="false">D15+D16+D17+D18</f>
        <v>111540.1896588</v>
      </c>
      <c r="E19" s="0" t="n">
        <f aca="false">E15+E16+E17+E18</f>
        <v>110184.5980536</v>
      </c>
      <c r="F19" s="0" t="n">
        <f aca="false">F15+F16+F17+F18</f>
        <v>109524.225884787</v>
      </c>
      <c r="G19" s="0" t="n">
        <f aca="false">G15+G16+G17+G18</f>
        <v>108630.67908937</v>
      </c>
      <c r="H19" s="0" t="n">
        <f aca="false">H15+H16+H17+H18</f>
        <v>107441.735678549</v>
      </c>
      <c r="I19" s="0" t="n">
        <f aca="false">I15+I16+I17+I18</f>
        <v>109324.725686545</v>
      </c>
      <c r="J19" s="0" t="n">
        <f aca="false">J15+J16+J17+J18</f>
        <v>111511.220200276</v>
      </c>
      <c r="K19" s="0" t="n">
        <f aca="false">K15+K16+K17+K18</f>
        <v>113741.444604282</v>
      </c>
      <c r="L19" s="0" t="n">
        <f aca="false">L15+L16+L17+L18</f>
        <v>116016.273496367</v>
      </c>
    </row>
    <row r="20" customFormat="false" ht="15" hidden="false" customHeight="false" outlineLevel="0" collapsed="false">
      <c r="A20" s="0" t="s">
        <v>126</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127</v>
      </c>
      <c r="C21" s="0" t="n">
        <f aca="false">C19*C20</f>
        <v>97409.7117847534</v>
      </c>
      <c r="D21" s="0" t="n">
        <f aca="false">D19*D20</f>
        <v>89718.4255937582</v>
      </c>
      <c r="E21" s="0" t="n">
        <f aca="false">E19*E20</f>
        <v>79487.0335720772</v>
      </c>
      <c r="F21" s="0" t="n">
        <f aca="false">F19*F20</f>
        <v>70861.5622433849</v>
      </c>
      <c r="G21" s="0" t="n">
        <f aca="false">G19*G20</f>
        <v>63034.4775416433</v>
      </c>
      <c r="H21" s="0" t="n">
        <f aca="false">H19*H20</f>
        <v>55914.4183190281</v>
      </c>
      <c r="I21" s="0" t="n">
        <f aca="false">I19*I20</f>
        <v>51026.3289664716</v>
      </c>
      <c r="J21" s="0" t="n">
        <f aca="false">J19*J20</f>
        <v>46678.7942114807</v>
      </c>
      <c r="K21" s="0" t="n">
        <f aca="false">K19*K20</f>
        <v>42701.6772158837</v>
      </c>
      <c r="L21" s="0" t="n">
        <f aca="false">L19*L20</f>
        <v>39063.4177221537</v>
      </c>
    </row>
    <row r="23" customFormat="false" ht="15" hidden="false" customHeight="false" outlineLevel="0" collapsed="false">
      <c r="A23" s="0" t="s">
        <v>103</v>
      </c>
      <c r="C23" s="4" t="n">
        <f aca="false">Assumptions!C16</f>
        <v>1.25</v>
      </c>
      <c r="D23" s="4" t="n">
        <f aca="false">Assumptions!D16</f>
        <v>1.3</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128</v>
      </c>
      <c r="C24" s="0" t="n">
        <f aca="false">-C6*C23/100</f>
        <v>-12156.9</v>
      </c>
      <c r="D24" s="0" t="n">
        <f aca="false">-D6*D23/100</f>
        <v>-12832.82364</v>
      </c>
      <c r="E24" s="0" t="n">
        <f aca="false">-E6*E23/100</f>
        <v>-12961.1518764</v>
      </c>
      <c r="F24" s="0" t="n">
        <f aca="false">-F6*F23/100</f>
        <v>-13090.763395164</v>
      </c>
      <c r="G24" s="0" t="n">
        <f aca="false">-G6*G23/100</f>
        <v>-13287.1248460915</v>
      </c>
      <c r="H24" s="0" t="n">
        <f aca="false">-H6*H23/100</f>
        <v>-13552.8673430133</v>
      </c>
      <c r="I24" s="0" t="n">
        <f aca="false">-I6*I23/100</f>
        <v>-13823.9246898736</v>
      </c>
      <c r="J24" s="0" t="n">
        <f aca="false">-J6*J23/100</f>
        <v>-14100.403183671</v>
      </c>
      <c r="K24" s="0" t="n">
        <f aca="false">-K6*K23/100</f>
        <v>-14382.4112473444</v>
      </c>
      <c r="L24" s="0" t="n">
        <f aca="false">-L6*L23/100</f>
        <v>-14670.0594722913</v>
      </c>
    </row>
    <row r="26" customFormat="false" ht="15" hidden="false" customHeight="false" outlineLevel="0" collapsed="false">
      <c r="A26" s="2" t="s">
        <v>129</v>
      </c>
    </row>
    <row r="27" customFormat="false" ht="15" hidden="false" customHeight="false" outlineLevel="0" collapsed="false">
      <c r="A27" s="0" t="s">
        <v>107</v>
      </c>
      <c r="B27" s="4" t="n">
        <f aca="false">Assumptions!$B$20</f>
        <v>11.5</v>
      </c>
    </row>
    <row r="28" customFormat="false" ht="15" hidden="false" customHeight="false" outlineLevel="0" collapsed="false">
      <c r="A28" s="0" t="s">
        <v>108</v>
      </c>
      <c r="B28" s="4" t="n">
        <f aca="false">Assumptions!$B$21</f>
        <v>3</v>
      </c>
    </row>
    <row r="29" customFormat="false" ht="15" hidden="false" customHeight="false" outlineLevel="0" collapsed="false">
      <c r="A29" s="0" t="s">
        <v>109</v>
      </c>
      <c r="B29" s="4" t="n">
        <f aca="false">Assumptions!$B$22</f>
        <v>15</v>
      </c>
    </row>
    <row r="30" customFormat="false" ht="15" hidden="false" customHeight="false" outlineLevel="0" collapsed="false">
      <c r="A30" s="0" t="s">
        <v>130</v>
      </c>
      <c r="B30" s="0" t="n">
        <f aca="false">SUM(C21:L21)</f>
        <v>635895.847170635</v>
      </c>
    </row>
    <row r="31" customFormat="false" ht="15" hidden="false" customHeight="false" outlineLevel="0" collapsed="false">
      <c r="A31" s="0" t="s">
        <v>131</v>
      </c>
      <c r="B31" s="0" t="n">
        <f aca="false">L19</f>
        <v>116016.273496367</v>
      </c>
    </row>
    <row r="32" customFormat="false" ht="15" hidden="false" customHeight="false" outlineLevel="0" collapsed="false">
      <c r="A32" s="0" t="s">
        <v>132</v>
      </c>
      <c r="B32" s="0" t="n">
        <f aca="false">IF(B27&gt;B28,B31*(1+B28/100)/((B27-B28)/100),B31*B29)</f>
        <v>1405844.25530892</v>
      </c>
    </row>
    <row r="33" customFormat="false" ht="15" hidden="false" customHeight="false" outlineLevel="0" collapsed="false">
      <c r="A33" s="0" t="s">
        <v>133</v>
      </c>
      <c r="B33" s="0" t="n">
        <f aca="false">B31*B29</f>
        <v>1740244.10244551</v>
      </c>
    </row>
    <row r="34" customFormat="false" ht="15" hidden="false" customHeight="false" outlineLevel="0" collapsed="false">
      <c r="A34" s="0" t="s">
        <v>134</v>
      </c>
      <c r="B34" s="0" t="n">
        <f aca="false">MAX(0,MIN(B32,B33))</f>
        <v>1405844.25530892</v>
      </c>
    </row>
    <row r="35" customFormat="false" ht="15" hidden="false" customHeight="false" outlineLevel="0" collapsed="false">
      <c r="A35" s="0" t="s">
        <v>135</v>
      </c>
      <c r="B35" s="0" t="n">
        <f aca="false">B34/(1+B27/100)^L4</f>
        <v>473356.708868451</v>
      </c>
    </row>
    <row r="36" customFormat="false" ht="15" hidden="false" customHeight="false" outlineLevel="0" collapsed="false">
      <c r="A36" s="0" t="s">
        <v>136</v>
      </c>
      <c r="B36" s="0" t="n">
        <f aca="false">B30+B35</f>
        <v>1109252.55603909</v>
      </c>
    </row>
    <row r="37" customFormat="false" ht="15" hidden="false" customHeight="false" outlineLevel="0" collapsed="false">
      <c r="A37" s="0" t="s">
        <v>137</v>
      </c>
      <c r="B37" s="0" t="n">
        <f aca="false">B36+Assumptions!$B$5-Assumptions!$B$4</f>
        <v>1354450.55603909</v>
      </c>
    </row>
    <row r="38" customFormat="false" ht="15" hidden="false" customHeight="false" outlineLevel="0" collapsed="false">
      <c r="A38" s="0" t="s">
        <v>138</v>
      </c>
      <c r="B38" s="0" t="n">
        <f aca="false">B37/Assumptions!$B$3*Assumptions!$B$10</f>
        <v>1.41952105106075</v>
      </c>
    </row>
    <row r="39" customFormat="false" ht="15" hidden="false" customHeight="false" outlineLevel="0" collapsed="false">
      <c r="A39" s="0" t="s">
        <v>139</v>
      </c>
      <c r="B39" s="4" t="n">
        <f aca="false">B38/Assumptions!$B$2-1</f>
        <v>-0.174697063336776</v>
      </c>
    </row>
    <row r="41" customFormat="false" ht="15" hidden="false" customHeight="false" outlineLevel="0" collapsed="false">
      <c r="A41" s="0" t="s">
        <v>140</v>
      </c>
      <c r="B41" s="0" t="n">
        <f aca="false">SUMPRODUCT(-C10:L10/(1+$B$27/100)^C4:L4)</f>
        <v>29591.5619450181</v>
      </c>
    </row>
    <row r="42" customFormat="false" ht="15" hidden="false" customHeight="false" outlineLevel="0" collapsed="false">
      <c r="A42" s="0" t="s">
        <v>141</v>
      </c>
      <c r="B42" s="0" t="n">
        <f aca="false">IF(B27&gt;B28,-L10*(1+B28/100)/((B27-B28)/100),-L10*20)/(1+B27/100)^L4</f>
        <v>23021.2102725323</v>
      </c>
    </row>
    <row r="43" customFormat="false" ht="15" hidden="false" customHeight="false" outlineLevel="0" collapsed="false">
      <c r="A43" s="0" t="s">
        <v>142</v>
      </c>
      <c r="B43" s="0" t="n">
        <f aca="false">(B37+B41+B42)/Assumptions!$B$3*Assumptions!$B$10</f>
        <v>1.47466144535899</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995806.347510486</v>
      </c>
    </row>
    <row r="47" customFormat="false" ht="15" hidden="false" customHeight="false" outlineLevel="0" collapsed="false">
      <c r="A47" s="0" t="s">
        <v>144</v>
      </c>
      <c r="B47" s="0" t="n">
        <f aca="false">(SUMPRODUCT(C19:L19/(1+B45/100)^C4:L4)+B46/(1+B45/100)^L4+Assumptions!$B$5-Assumptions!$B$4)/Assumptions!$B$3*Assumptions!$B$10</f>
        <v>1.09438801499871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7</v>
      </c>
      <c r="D5" s="4" t="n">
        <f aca="false">Assumptions!D27</f>
        <v>4.5</v>
      </c>
      <c r="E5" s="4" t="n">
        <f aca="false">Assumptions!E27</f>
        <v>4</v>
      </c>
      <c r="F5" s="4" t="n">
        <f aca="false">Assumptions!F27</f>
        <v>4</v>
      </c>
      <c r="G5" s="4" t="n">
        <f aca="false">Assumptions!G27</f>
        <v>3.5</v>
      </c>
      <c r="H5" s="4" t="n">
        <f aca="false">Assumptions!H27</f>
        <v>3.5</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926240</v>
      </c>
      <c r="C6" s="0" t="n">
        <f aca="false">B6*(1+C5/100)</f>
        <v>991076.8</v>
      </c>
      <c r="D6" s="0" t="n">
        <f aca="false">C6*(1+D5/100)</f>
        <v>1035675.256</v>
      </c>
      <c r="E6" s="0" t="n">
        <f aca="false">D6*(1+E5/100)</f>
        <v>1077102.26624</v>
      </c>
      <c r="F6" s="0" t="n">
        <f aca="false">E6*(1+F5/100)</f>
        <v>1120186.3568896</v>
      </c>
      <c r="G6" s="0" t="n">
        <f aca="false">F6*(1+G5/100)</f>
        <v>1159392.87938074</v>
      </c>
      <c r="H6" s="0" t="n">
        <f aca="false">G6*(1+H5/100)</f>
        <v>1199971.63015906</v>
      </c>
      <c r="I6" s="0" t="n">
        <f aca="false">H6*(1+I5/100)</f>
        <v>1241970.63721463</v>
      </c>
      <c r="J6" s="0" t="n">
        <f aca="false">I6*(1+J5/100)</f>
        <v>1279229.75633107</v>
      </c>
      <c r="K6" s="0" t="n">
        <f aca="false">J6*(1+K5/100)</f>
        <v>1317606.649021</v>
      </c>
      <c r="L6" s="0" t="n">
        <f aca="false">K6*(1+L5/100)</f>
        <v>1357134.84849163</v>
      </c>
    </row>
    <row r="7" customFormat="false" ht="15" hidden="false" customHeight="false" outlineLevel="0" collapsed="false">
      <c r="A7" s="0" t="s">
        <v>101</v>
      </c>
      <c r="C7" s="4" t="n">
        <f aca="false">Assumptions!C28</f>
        <v>19.3</v>
      </c>
      <c r="D7" s="4" t="n">
        <f aca="false">Assumptions!D28</f>
        <v>19.5</v>
      </c>
      <c r="E7" s="4" t="n">
        <f aca="false">Assumptions!E28</f>
        <v>19.6</v>
      </c>
      <c r="F7" s="4" t="n">
        <f aca="false">Assumptions!F28</f>
        <v>19.6</v>
      </c>
      <c r="G7" s="4" t="n">
        <f aca="false">Assumptions!G28</f>
        <v>19.6</v>
      </c>
      <c r="H7" s="4" t="n">
        <f aca="false">Assumptions!H28</f>
        <v>19.6</v>
      </c>
      <c r="I7" s="4" t="n">
        <f aca="false">Assumptions!I28</f>
        <v>19.6</v>
      </c>
      <c r="J7" s="4" t="n">
        <f aca="false">Assumptions!J28</f>
        <v>19.6</v>
      </c>
      <c r="K7" s="4" t="n">
        <f aca="false">Assumptions!K28</f>
        <v>19.6</v>
      </c>
      <c r="L7" s="4" t="n">
        <f aca="false">Assumptions!L28</f>
        <v>19.6</v>
      </c>
    </row>
    <row r="8" customFormat="false" ht="15" hidden="false" customHeight="false" outlineLevel="0" collapsed="false">
      <c r="A8" s="0" t="s">
        <v>44</v>
      </c>
      <c r="C8" s="0" t="n">
        <f aca="false">C6*C7/100</f>
        <v>191277.8224</v>
      </c>
      <c r="D8" s="0" t="n">
        <f aca="false">D6*D7/100</f>
        <v>201956.67492</v>
      </c>
      <c r="E8" s="0" t="n">
        <f aca="false">E6*E7/100</f>
        <v>211112.04418304</v>
      </c>
      <c r="F8" s="0" t="n">
        <f aca="false">F6*F7/100</f>
        <v>219556.525950362</v>
      </c>
      <c r="G8" s="0" t="n">
        <f aca="false">G6*G7/100</f>
        <v>227241.004358624</v>
      </c>
      <c r="H8" s="0" t="n">
        <f aca="false">H6*H7/100</f>
        <v>235194.439511176</v>
      </c>
      <c r="I8" s="0" t="n">
        <f aca="false">I6*I7/100</f>
        <v>243426.244894067</v>
      </c>
      <c r="J8" s="0" t="n">
        <f aca="false">J6*J7/100</f>
        <v>250729.032240889</v>
      </c>
      <c r="K8" s="0" t="n">
        <f aca="false">K6*K7/100</f>
        <v>258250.903208116</v>
      </c>
      <c r="L8" s="0" t="n">
        <f aca="false">L6*L7/100</f>
        <v>265998.430304359</v>
      </c>
    </row>
    <row r="9" customFormat="false" ht="15" hidden="false" customHeight="false" outlineLevel="0" collapsed="false">
      <c r="A9" s="0" t="s">
        <v>102</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117</v>
      </c>
      <c r="C10" s="0" t="n">
        <f aca="false">-C6*C9/100</f>
        <v>-4955.384</v>
      </c>
      <c r="D10" s="0" t="n">
        <f aca="false">-D6*D9/100</f>
        <v>-5178.37628</v>
      </c>
      <c r="E10" s="0" t="n">
        <f aca="false">-E6*E9/100</f>
        <v>-5385.5113312</v>
      </c>
      <c r="F10" s="0" t="n">
        <f aca="false">-F6*F9/100</f>
        <v>-5600.931784448</v>
      </c>
      <c r="G10" s="0" t="n">
        <f aca="false">-G6*G9/100</f>
        <v>-5796.96439690368</v>
      </c>
      <c r="H10" s="0" t="n">
        <f aca="false">-H6*H9/100</f>
        <v>-5999.85815079531</v>
      </c>
      <c r="I10" s="0" t="n">
        <f aca="false">-I6*I9/100</f>
        <v>-6209.85318607314</v>
      </c>
      <c r="J10" s="0" t="n">
        <f aca="false">-J6*J9/100</f>
        <v>-6396.14878165534</v>
      </c>
      <c r="K10" s="0" t="n">
        <f aca="false">-K6*K9/100</f>
        <v>-6588.033245105</v>
      </c>
      <c r="L10" s="0" t="n">
        <f aca="false">-L6*L9/100</f>
        <v>-6785.67424245815</v>
      </c>
    </row>
    <row r="11" customFormat="false" ht="15" hidden="false" customHeight="false" outlineLevel="0" collapsed="false">
      <c r="A11" s="0" t="s">
        <v>118</v>
      </c>
      <c r="C11" s="0" t="n">
        <f aca="false">C8+C10+C24</f>
        <v>173933.9784</v>
      </c>
      <c r="D11" s="0" t="n">
        <f aca="false">D8+D10+D24</f>
        <v>183832.35794</v>
      </c>
      <c r="E11" s="0" t="n">
        <f aca="false">E8+E10+E24</f>
        <v>192262.75452384</v>
      </c>
      <c r="F11" s="0" t="n">
        <f aca="false">F8+F10+F24</f>
        <v>199953.264704794</v>
      </c>
      <c r="G11" s="0" t="n">
        <f aca="false">G8+G10+G24</f>
        <v>206951.628969461</v>
      </c>
      <c r="H11" s="0" t="n">
        <f aca="false">H8+H10+H24</f>
        <v>214194.935983393</v>
      </c>
      <c r="I11" s="0" t="n">
        <f aca="false">I8+I10+I24</f>
        <v>221691.758742811</v>
      </c>
      <c r="J11" s="0" t="n">
        <f aca="false">J8+J10+J24</f>
        <v>228342.511505096</v>
      </c>
      <c r="K11" s="0" t="n">
        <f aca="false">K8+K10+K24</f>
        <v>235192.786850248</v>
      </c>
      <c r="L11" s="0" t="n">
        <f aca="false">L8+L10+L24</f>
        <v>242248.570455756</v>
      </c>
    </row>
    <row r="12" customFormat="false" ht="15" hidden="false" customHeight="false" outlineLevel="0" collapsed="false">
      <c r="A12" s="0" t="s">
        <v>119</v>
      </c>
      <c r="C12" s="4" t="n">
        <f aca="false">-C6*Assumptions!C31/100</f>
        <v>-25767.9968</v>
      </c>
      <c r="D12" s="4" t="n">
        <f aca="false">-D6*Assumptions!D31/100</f>
        <v>-25891.8814</v>
      </c>
      <c r="E12" s="4" t="n">
        <f aca="false">-E6*Assumptions!E31/100</f>
        <v>-25850.45438976</v>
      </c>
      <c r="F12" s="4" t="n">
        <f aca="false">-F6*Assumptions!F31/100</f>
        <v>-25764.2862084608</v>
      </c>
      <c r="G12" s="4" t="n">
        <f aca="false">-G6*Assumptions!G31/100</f>
        <v>-25506.6433463762</v>
      </c>
      <c r="H12" s="4" t="n">
        <f aca="false">-H6*Assumptions!H31/100</f>
        <v>-25199.4042333403</v>
      </c>
      <c r="I12" s="4" t="n">
        <f aca="false">-I6*Assumptions!I31/100</f>
        <v>-24839.4127442926</v>
      </c>
      <c r="J12" s="4" t="n">
        <f aca="false">-J6*Assumptions!J31/100</f>
        <v>-25584.5951266214</v>
      </c>
      <c r="K12" s="4" t="n">
        <f aca="false">-K6*Assumptions!K31/100</f>
        <v>-26352.13298042</v>
      </c>
      <c r="L12" s="4" t="n">
        <f aca="false">-L6*Assumptions!L31/100</f>
        <v>-27142.6969698326</v>
      </c>
    </row>
    <row r="13" customFormat="false" ht="15" hidden="false" customHeight="false" outlineLevel="0" collapsed="false">
      <c r="A13" s="0" t="s">
        <v>120</v>
      </c>
      <c r="C13" s="0" t="n">
        <f aca="false">C11+C12</f>
        <v>148165.9816</v>
      </c>
      <c r="D13" s="0" t="n">
        <f aca="false">D11+D12</f>
        <v>157940.47654</v>
      </c>
      <c r="E13" s="0" t="n">
        <f aca="false">E11+E12</f>
        <v>166412.30013408</v>
      </c>
      <c r="F13" s="0" t="n">
        <f aca="false">F11+F12</f>
        <v>174188.978496333</v>
      </c>
      <c r="G13" s="0" t="n">
        <f aca="false">G11+G12</f>
        <v>181444.985623085</v>
      </c>
      <c r="H13" s="0" t="n">
        <f aca="false">H11+H12</f>
        <v>188995.531750052</v>
      </c>
      <c r="I13" s="0" t="n">
        <f aca="false">I11+I12</f>
        <v>196852.345998519</v>
      </c>
      <c r="J13" s="0" t="n">
        <f aca="false">J11+J12</f>
        <v>202757.916378474</v>
      </c>
      <c r="K13" s="0" t="n">
        <f aca="false">K11+K12</f>
        <v>208840.653869828</v>
      </c>
      <c r="L13" s="0" t="n">
        <f aca="false">L11+L12</f>
        <v>215105.873485923</v>
      </c>
    </row>
    <row r="14" customFormat="false" ht="15" hidden="false" customHeight="false" outlineLevel="0" collapsed="false">
      <c r="A14" s="0" t="s">
        <v>106</v>
      </c>
      <c r="C14" s="4" t="n">
        <f aca="false">Assumptions!C33</f>
        <v>24</v>
      </c>
      <c r="D14" s="4" t="n">
        <f aca="false">Assumptions!D33</f>
        <v>24</v>
      </c>
      <c r="E14" s="4" t="n">
        <f aca="false">Assumptions!E33</f>
        <v>24.5</v>
      </c>
      <c r="F14" s="4" t="n">
        <f aca="false">Assumptions!F33</f>
        <v>24.5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121</v>
      </c>
      <c r="C15" s="0" t="n">
        <f aca="false">C13-MAX(0,C13)*C14/100</f>
        <v>112606.146016</v>
      </c>
      <c r="D15" s="0" t="n">
        <f aca="false">D13-MAX(0,D13)*D14/100</f>
        <v>120034.7621704</v>
      </c>
      <c r="E15" s="0" t="n">
        <f aca="false">E13-MAX(0,E13)*E14/100</f>
        <v>125641.28660123</v>
      </c>
      <c r="F15" s="0" t="n">
        <f aca="false">F13-MAX(0,F13)*F14/100</f>
        <v>131512.678764731</v>
      </c>
      <c r="G15" s="0" t="n">
        <f aca="false">G13-MAX(0,G13)*G14/100</f>
        <v>136083.739217314</v>
      </c>
      <c r="H15" s="0" t="n">
        <f aca="false">H13-MAX(0,H13)*H14/100</f>
        <v>141746.648812539</v>
      </c>
      <c r="I15" s="0" t="n">
        <f aca="false">I13-MAX(0,I13)*I14/100</f>
        <v>147639.259498889</v>
      </c>
      <c r="J15" s="0" t="n">
        <f aca="false">J13-MAX(0,J13)*J14/100</f>
        <v>152068.437283856</v>
      </c>
      <c r="K15" s="0" t="n">
        <f aca="false">K13-MAX(0,K13)*K14/100</f>
        <v>156630.490402371</v>
      </c>
      <c r="L15" s="0" t="n">
        <f aca="false">L13-MAX(0,L13)*L14/100</f>
        <v>161329.405114443</v>
      </c>
    </row>
    <row r="16" customFormat="false" ht="15" hidden="false" customHeight="false" outlineLevel="0" collapsed="false">
      <c r="A16" s="0" t="s">
        <v>122</v>
      </c>
      <c r="C16" s="0" t="n">
        <f aca="false">-C12</f>
        <v>25767.9968</v>
      </c>
      <c r="D16" s="0" t="n">
        <f aca="false">-D12</f>
        <v>25891.8814</v>
      </c>
      <c r="E16" s="0" t="n">
        <f aca="false">-E12</f>
        <v>25850.45438976</v>
      </c>
      <c r="F16" s="0" t="n">
        <f aca="false">-F12</f>
        <v>25764.2862084608</v>
      </c>
      <c r="G16" s="0" t="n">
        <f aca="false">-G12</f>
        <v>25506.6433463762</v>
      </c>
      <c r="H16" s="0" t="n">
        <f aca="false">-H12</f>
        <v>25199.4042333403</v>
      </c>
      <c r="I16" s="0" t="n">
        <f aca="false">-I12</f>
        <v>24839.4127442926</v>
      </c>
      <c r="J16" s="0" t="n">
        <f aca="false">-J12</f>
        <v>25584.5951266214</v>
      </c>
      <c r="K16" s="0" t="n">
        <f aca="false">-K12</f>
        <v>26352.13298042</v>
      </c>
      <c r="L16" s="0" t="n">
        <f aca="false">-L12</f>
        <v>27142.6969698326</v>
      </c>
    </row>
    <row r="17" customFormat="false" ht="15" hidden="false" customHeight="false" outlineLevel="0" collapsed="false">
      <c r="A17" s="0" t="s">
        <v>123</v>
      </c>
      <c r="C17" s="4" t="n">
        <f aca="false">-C6*Assumptions!C32/100</f>
        <v>-16848.3056</v>
      </c>
      <c r="D17" s="4" t="n">
        <f aca="false">-D6*Assumptions!D32/100</f>
        <v>-17606.479352</v>
      </c>
      <c r="E17" s="4" t="n">
        <f aca="false">-E6*Assumptions!E32/100</f>
        <v>-18310.73852608</v>
      </c>
      <c r="F17" s="4" t="n">
        <f aca="false">-F6*Assumptions!F32/100</f>
        <v>-19043.1680671232</v>
      </c>
      <c r="G17" s="4" t="n">
        <f aca="false">-G6*Assumptions!G32/100</f>
        <v>-19709.6789494725</v>
      </c>
      <c r="H17" s="4" t="n">
        <f aca="false">-H6*Assumptions!H32/100</f>
        <v>-20399.517712704</v>
      </c>
      <c r="I17" s="4" t="n">
        <f aca="false">-I6*Assumptions!I32/100</f>
        <v>-21113.5008326487</v>
      </c>
      <c r="J17" s="4" t="n">
        <f aca="false">-J6*Assumptions!J32/100</f>
        <v>-21746.9058576281</v>
      </c>
      <c r="K17" s="4" t="n">
        <f aca="false">-K6*Assumptions!K32/100</f>
        <v>-22399.313033357</v>
      </c>
      <c r="L17" s="4" t="n">
        <f aca="false">-L6*Assumptions!L32/100</f>
        <v>-23071.2924243577</v>
      </c>
    </row>
    <row r="18" customFormat="false" ht="15" hidden="false" customHeight="false" outlineLevel="0" collapsed="false">
      <c r="A18" s="0" t="s">
        <v>124</v>
      </c>
      <c r="C18" s="4" t="n">
        <f aca="false">(C6-B6)*Assumptions!$B$37/100</f>
        <v>-9725.52000000001</v>
      </c>
      <c r="D18" s="4" t="n">
        <f aca="false">(D6-C6)*Assumptions!$B$37/100</f>
        <v>-6689.76839999998</v>
      </c>
      <c r="E18" s="4" t="n">
        <f aca="false">(E6-D6)*Assumptions!$B$37/100</f>
        <v>-6214.05153600001</v>
      </c>
      <c r="F18" s="4" t="n">
        <f aca="false">(F6-E6)*Assumptions!$B$37/100</f>
        <v>-6462.61359744002</v>
      </c>
      <c r="G18" s="4" t="n">
        <f aca="false">(G6-F6)*Assumptions!$B$37/100</f>
        <v>-5880.97837367038</v>
      </c>
      <c r="H18" s="4" t="n">
        <f aca="false">(H6-G6)*Assumptions!$B$37/100</f>
        <v>-6086.81261674884</v>
      </c>
      <c r="I18" s="4" t="n">
        <f aca="false">(I6-H6)*Assumptions!$B$37/100</f>
        <v>-6299.85105833507</v>
      </c>
      <c r="J18" s="4" t="n">
        <f aca="false">(J6-I6)*Assumptions!$B$37/100</f>
        <v>-5588.86786746582</v>
      </c>
      <c r="K18" s="4" t="n">
        <f aca="false">(K6-J6)*Assumptions!$B$37/100</f>
        <v>-5756.53390348982</v>
      </c>
      <c r="L18" s="4" t="n">
        <f aca="false">(L6-K6)*Assumptions!$B$37/100</f>
        <v>-5929.22992059449</v>
      </c>
    </row>
    <row r="19" customFormat="false" ht="15" hidden="false" customHeight="false" outlineLevel="0" collapsed="false">
      <c r="A19" s="0" t="s">
        <v>125</v>
      </c>
      <c r="C19" s="0" t="n">
        <f aca="false">C15+C16+C17+C18</f>
        <v>111800.317216</v>
      </c>
      <c r="D19" s="0" t="n">
        <f aca="false">D15+D16+D17+D18</f>
        <v>121630.3958184</v>
      </c>
      <c r="E19" s="0" t="n">
        <f aca="false">E15+E16+E17+E18</f>
        <v>126966.95092891</v>
      </c>
      <c r="F19" s="0" t="n">
        <f aca="false">F15+F16+F17+F18</f>
        <v>131771.183308629</v>
      </c>
      <c r="G19" s="0" t="n">
        <f aca="false">G15+G16+G17+G18</f>
        <v>135999.725240547</v>
      </c>
      <c r="H19" s="0" t="n">
        <f aca="false">H15+H16+H17+H18</f>
        <v>140459.722716427</v>
      </c>
      <c r="I19" s="0" t="n">
        <f aca="false">I15+I16+I17+I18</f>
        <v>145065.320352198</v>
      </c>
      <c r="J19" s="0" t="n">
        <f aca="false">J15+J16+J17+J18</f>
        <v>150317.258685383</v>
      </c>
      <c r="K19" s="0" t="n">
        <f aca="false">K15+K16+K17+K18</f>
        <v>154826.776445945</v>
      </c>
      <c r="L19" s="0" t="n">
        <f aca="false">L15+L16+L17+L18</f>
        <v>159471.579739323</v>
      </c>
    </row>
    <row r="20" customFormat="false" ht="15" hidden="false" customHeight="false" outlineLevel="0" collapsed="false">
      <c r="A20" s="0" t="s">
        <v>126</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127</v>
      </c>
      <c r="C21" s="0" t="n">
        <f aca="false">C19*C20</f>
        <v>100269.342794619</v>
      </c>
      <c r="D21" s="0" t="n">
        <f aca="false">D19*D20</f>
        <v>97834.5800787469</v>
      </c>
      <c r="E21" s="0" t="n">
        <f aca="false">E19*E20</f>
        <v>91593.8023036682</v>
      </c>
      <c r="F21" s="0" t="n">
        <f aca="false">F19*F20</f>
        <v>85255.2194044393</v>
      </c>
      <c r="G21" s="0" t="n">
        <f aca="false">G19*G20</f>
        <v>78915.7510402036</v>
      </c>
      <c r="H21" s="0" t="n">
        <f aca="false">H19*H20</f>
        <v>73097.5132088172</v>
      </c>
      <c r="I21" s="0" t="n">
        <f aca="false">I19*I20</f>
        <v>67707.9289376971</v>
      </c>
      <c r="J21" s="0" t="n">
        <f aca="false">J19*J20</f>
        <v>62923.070629188</v>
      </c>
      <c r="K21" s="0" t="n">
        <f aca="false">K19*K20</f>
        <v>58126.2446170974</v>
      </c>
      <c r="L21" s="0" t="n">
        <f aca="false">L19*L20</f>
        <v>53695.0959243142</v>
      </c>
    </row>
    <row r="23" customFormat="false" ht="15" hidden="false" customHeight="false" outlineLevel="0" collapsed="false">
      <c r="A23" s="0" t="s">
        <v>103</v>
      </c>
      <c r="C23" s="4" t="n">
        <f aca="false">Assumptions!C30</f>
        <v>1.25</v>
      </c>
      <c r="D23" s="4" t="n">
        <f aca="false">Assumptions!D30</f>
        <v>1.25</v>
      </c>
      <c r="E23" s="4" t="n">
        <f aca="false">Assumptions!E30</f>
        <v>1.25</v>
      </c>
      <c r="F23" s="4" t="n">
        <f aca="false">Assumptions!F30</f>
        <v>1.25</v>
      </c>
      <c r="G23" s="4" t="n">
        <f aca="false">Assumptions!G30</f>
        <v>1.25</v>
      </c>
      <c r="H23" s="4" t="n">
        <f aca="false">Assumptions!H30</f>
        <v>1.25</v>
      </c>
      <c r="I23" s="4" t="n">
        <f aca="false">Assumptions!I30</f>
        <v>1.25</v>
      </c>
      <c r="J23" s="4" t="n">
        <f aca="false">Assumptions!J30</f>
        <v>1.25</v>
      </c>
      <c r="K23" s="4" t="n">
        <f aca="false">Assumptions!K30</f>
        <v>1.25</v>
      </c>
      <c r="L23" s="4" t="n">
        <f aca="false">Assumptions!L30</f>
        <v>1.25</v>
      </c>
    </row>
    <row r="24" customFormat="false" ht="15" hidden="false" customHeight="false" outlineLevel="0" collapsed="false">
      <c r="A24" s="0" t="s">
        <v>128</v>
      </c>
      <c r="C24" s="0" t="n">
        <f aca="false">-C6*C23/100</f>
        <v>-12388.46</v>
      </c>
      <c r="D24" s="0" t="n">
        <f aca="false">-D6*D23/100</f>
        <v>-12945.9407</v>
      </c>
      <c r="E24" s="0" t="n">
        <f aca="false">-E6*E23/100</f>
        <v>-13463.778328</v>
      </c>
      <c r="F24" s="0" t="n">
        <f aca="false">-F6*F23/100</f>
        <v>-14002.32946112</v>
      </c>
      <c r="G24" s="0" t="n">
        <f aca="false">-G6*G23/100</f>
        <v>-14492.4109922592</v>
      </c>
      <c r="H24" s="0" t="n">
        <f aca="false">-H6*H23/100</f>
        <v>-14999.6453769883</v>
      </c>
      <c r="I24" s="0" t="n">
        <f aca="false">-I6*I23/100</f>
        <v>-15524.6329651829</v>
      </c>
      <c r="J24" s="0" t="n">
        <f aca="false">-J6*J23/100</f>
        <v>-15990.3719541383</v>
      </c>
      <c r="K24" s="0" t="n">
        <f aca="false">-K6*K23/100</f>
        <v>-16470.0831127625</v>
      </c>
      <c r="L24" s="0" t="n">
        <f aca="false">-L6*L23/100</f>
        <v>-16964.1856061454</v>
      </c>
    </row>
    <row r="26" customFormat="false" ht="15" hidden="false" customHeight="false" outlineLevel="0" collapsed="false">
      <c r="A26" s="2" t="s">
        <v>129</v>
      </c>
    </row>
    <row r="27" customFormat="false" ht="15" hidden="false" customHeight="false" outlineLevel="0" collapsed="false">
      <c r="A27" s="0" t="s">
        <v>107</v>
      </c>
      <c r="B27" s="4" t="n">
        <f aca="false">Assumptions!$B$34</f>
        <v>11.5</v>
      </c>
    </row>
    <row r="28" customFormat="false" ht="15" hidden="false" customHeight="false" outlineLevel="0" collapsed="false">
      <c r="A28" s="0" t="s">
        <v>108</v>
      </c>
      <c r="B28" s="4" t="n">
        <f aca="false">Assumptions!$B$35</f>
        <v>3.5</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769418.548938791</v>
      </c>
    </row>
    <row r="31" customFormat="false" ht="15" hidden="false" customHeight="false" outlineLevel="0" collapsed="false">
      <c r="A31" s="0" t="s">
        <v>131</v>
      </c>
      <c r="B31" s="0" t="n">
        <f aca="false">L19</f>
        <v>159471.579739323</v>
      </c>
    </row>
    <row r="32" customFormat="false" ht="15" hidden="false" customHeight="false" outlineLevel="0" collapsed="false">
      <c r="A32" s="0" t="s">
        <v>132</v>
      </c>
      <c r="B32" s="0" t="n">
        <f aca="false">IF(B27&gt;B28,B31*(1+B28/100)/((B27-B28)/100),B31*B29)</f>
        <v>2063163.56287749</v>
      </c>
    </row>
    <row r="33" customFormat="false" ht="15" hidden="false" customHeight="false" outlineLevel="0" collapsed="false">
      <c r="A33" s="0" t="s">
        <v>133</v>
      </c>
      <c r="B33" s="0" t="n">
        <f aca="false">B31*B29</f>
        <v>2392073.69608984</v>
      </c>
    </row>
    <row r="34" customFormat="false" ht="15" hidden="false" customHeight="false" outlineLevel="0" collapsed="false">
      <c r="A34" s="0" t="s">
        <v>134</v>
      </c>
      <c r="B34" s="0" t="n">
        <f aca="false">MAX(0,MIN(B32,B33))</f>
        <v>2063163.56287749</v>
      </c>
    </row>
    <row r="35" customFormat="false" ht="15" hidden="false" customHeight="false" outlineLevel="0" collapsed="false">
      <c r="A35" s="0" t="s">
        <v>135</v>
      </c>
      <c r="B35" s="0" t="n">
        <f aca="false">B34/(1+B27/100)^L4</f>
        <v>694680.303520815</v>
      </c>
    </row>
    <row r="36" customFormat="false" ht="15" hidden="false" customHeight="false" outlineLevel="0" collapsed="false">
      <c r="A36" s="0" t="s">
        <v>136</v>
      </c>
      <c r="B36" s="0" t="n">
        <f aca="false">B30+B35</f>
        <v>1464098.85245961</v>
      </c>
    </row>
    <row r="37" customFormat="false" ht="15" hidden="false" customHeight="false" outlineLevel="0" collapsed="false">
      <c r="A37" s="0" t="s">
        <v>137</v>
      </c>
      <c r="B37" s="0" t="n">
        <f aca="false">B36+Assumptions!$B$5-Assumptions!$B$4</f>
        <v>1709296.85245961</v>
      </c>
    </row>
    <row r="38" customFormat="false" ht="15" hidden="false" customHeight="false" outlineLevel="0" collapsed="false">
      <c r="A38" s="0" t="s">
        <v>138</v>
      </c>
      <c r="B38" s="0" t="n">
        <f aca="false">B37/Assumptions!$B$3*Assumptions!$B$10</f>
        <v>1.79141486838318</v>
      </c>
    </row>
    <row r="39" customFormat="false" ht="15" hidden="false" customHeight="false" outlineLevel="0" collapsed="false">
      <c r="A39" s="0" t="s">
        <v>139</v>
      </c>
      <c r="B39" s="4" t="n">
        <f aca="false">B38/Assumptions!$B$2-1</f>
        <v>0.0415202723158024</v>
      </c>
    </row>
    <row r="41" customFormat="false" ht="15" hidden="false" customHeight="false" outlineLevel="0" collapsed="false">
      <c r="A41" s="0" t="s">
        <v>140</v>
      </c>
      <c r="B41" s="0" t="n">
        <f aca="false">SUMPRODUCT(-C10:L10/(1+$B$27/100)^C4:L4)</f>
        <v>32938.5748817736</v>
      </c>
    </row>
    <row r="42" customFormat="false" ht="15" hidden="false" customHeight="false" outlineLevel="0" collapsed="false">
      <c r="A42" s="0" t="s">
        <v>141</v>
      </c>
      <c r="B42" s="0" t="n">
        <f aca="false">IF(B27&gt;B28,-L10*(1+B28/100)/((B27-B28)/100),-L10*20)/(1+B27/100)^L4</f>
        <v>29559.3374697212</v>
      </c>
    </row>
    <row r="43" customFormat="false" ht="15" hidden="false" customHeight="false" outlineLevel="0" collapsed="false">
      <c r="A43" s="0" t="s">
        <v>142</v>
      </c>
      <c r="B43" s="0" t="n">
        <f aca="false">(B37+B41+B42)/Assumptions!$B$3*Assumptions!$B$10</f>
        <v>1.856915304582</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1435244.21765391</v>
      </c>
    </row>
    <row r="47" customFormat="false" ht="15" hidden="false" customHeight="false" outlineLevel="0" collapsed="false">
      <c r="A47" s="0" t="s">
        <v>144</v>
      </c>
      <c r="B47" s="0" t="n">
        <f aca="false">(SUMPRODUCT(C19:L19/(1+B45/100)^C4:L4)+B46/(1+B45/100)^L4+Assumptions!$B$5-Assumptions!$B$4)/Assumptions!$B$3*Assumptions!$B$10</f>
        <v>1.32412230142197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8.5</v>
      </c>
      <c r="D5" s="4" t="n">
        <f aca="false">Assumptions!D41</f>
        <v>7</v>
      </c>
      <c r="E5" s="4" t="n">
        <f aca="false">Assumptions!E41</f>
        <v>6.5</v>
      </c>
      <c r="F5" s="4" t="n">
        <f aca="false">Assumptions!F41</f>
        <v>6</v>
      </c>
      <c r="G5" s="4" t="n">
        <f aca="false">Assumptions!G41</f>
        <v>5.5</v>
      </c>
      <c r="H5" s="4" t="n">
        <f aca="false">Assumptions!H41</f>
        <v>5</v>
      </c>
      <c r="I5" s="4" t="n">
        <f aca="false">Assumptions!I41</f>
        <v>4.5</v>
      </c>
      <c r="J5" s="4" t="n">
        <f aca="false">Assumptions!J41</f>
        <v>4</v>
      </c>
      <c r="K5" s="4" t="n">
        <f aca="false">Assumptions!K41</f>
        <v>4</v>
      </c>
      <c r="L5" s="4" t="n">
        <f aca="false">Assumptions!L41</f>
        <v>3.5</v>
      </c>
    </row>
    <row r="6" customFormat="false" ht="15" hidden="false" customHeight="false" outlineLevel="0" collapsed="false">
      <c r="A6" s="0" t="s">
        <v>38</v>
      </c>
      <c r="B6" s="3" t="n">
        <v>926240</v>
      </c>
      <c r="C6" s="0" t="n">
        <f aca="false">B6*(1+C5/100)</f>
        <v>1004970.4</v>
      </c>
      <c r="D6" s="0" t="n">
        <f aca="false">C6*(1+D5/100)</f>
        <v>1075318.328</v>
      </c>
      <c r="E6" s="0" t="n">
        <f aca="false">D6*(1+E5/100)</f>
        <v>1145214.01932</v>
      </c>
      <c r="F6" s="0" t="n">
        <f aca="false">E6*(1+F5/100)</f>
        <v>1213926.8604792</v>
      </c>
      <c r="G6" s="0" t="n">
        <f aca="false">F6*(1+G5/100)</f>
        <v>1280692.83780556</v>
      </c>
      <c r="H6" s="0" t="n">
        <f aca="false">G6*(1+H5/100)</f>
        <v>1344727.47969583</v>
      </c>
      <c r="I6" s="0" t="n">
        <f aca="false">H6*(1+I5/100)</f>
        <v>1405240.21628215</v>
      </c>
      <c r="J6" s="0" t="n">
        <f aca="false">I6*(1+J5/100)</f>
        <v>1461449.82493343</v>
      </c>
      <c r="K6" s="0" t="n">
        <f aca="false">J6*(1+K5/100)</f>
        <v>1519907.81793077</v>
      </c>
      <c r="L6" s="0" t="n">
        <f aca="false">K6*(1+L5/100)</f>
        <v>1573104.59155835</v>
      </c>
    </row>
    <row r="7" customFormat="false" ht="15" hidden="false" customHeight="false" outlineLevel="0" collapsed="false">
      <c r="A7" s="0" t="s">
        <v>101</v>
      </c>
      <c r="C7" s="4" t="n">
        <f aca="false">Assumptions!C42</f>
        <v>19.5</v>
      </c>
      <c r="D7" s="4" t="n">
        <f aca="false">Assumptions!D42</f>
        <v>20</v>
      </c>
      <c r="E7" s="4" t="n">
        <f aca="false">Assumptions!E42</f>
        <v>20.4</v>
      </c>
      <c r="F7" s="4" t="n">
        <f aca="false">Assumptions!F42</f>
        <v>20.7</v>
      </c>
      <c r="G7" s="4" t="n">
        <f aca="false">Assumptions!G42</f>
        <v>21</v>
      </c>
      <c r="H7" s="4" t="n">
        <f aca="false">Assumptions!H42</f>
        <v>21</v>
      </c>
      <c r="I7" s="4" t="n">
        <f aca="false">Assumptions!I42</f>
        <v>21</v>
      </c>
      <c r="J7" s="4" t="n">
        <f aca="false">Assumptions!J42</f>
        <v>21</v>
      </c>
      <c r="K7" s="4" t="n">
        <f aca="false">Assumptions!K42</f>
        <v>21</v>
      </c>
      <c r="L7" s="4" t="n">
        <f aca="false">Assumptions!L42</f>
        <v>21</v>
      </c>
    </row>
    <row r="8" customFormat="false" ht="15" hidden="false" customHeight="false" outlineLevel="0" collapsed="false">
      <c r="A8" s="0" t="s">
        <v>44</v>
      </c>
      <c r="C8" s="0" t="n">
        <f aca="false">C6*C7/100</f>
        <v>195969.228</v>
      </c>
      <c r="D8" s="0" t="n">
        <f aca="false">D6*D7/100</f>
        <v>215063.6656</v>
      </c>
      <c r="E8" s="0" t="n">
        <f aca="false">E6*E7/100</f>
        <v>233623.65994128</v>
      </c>
      <c r="F8" s="0" t="n">
        <f aca="false">F6*F7/100</f>
        <v>251282.860119194</v>
      </c>
      <c r="G8" s="0" t="n">
        <f aca="false">G6*G7/100</f>
        <v>268945.495939167</v>
      </c>
      <c r="H8" s="0" t="n">
        <f aca="false">H6*H7/100</f>
        <v>282392.770736125</v>
      </c>
      <c r="I8" s="0" t="n">
        <f aca="false">I6*I7/100</f>
        <v>295100.445419251</v>
      </c>
      <c r="J8" s="0" t="n">
        <f aca="false">J6*J7/100</f>
        <v>306904.463236021</v>
      </c>
      <c r="K8" s="0" t="n">
        <f aca="false">K6*K7/100</f>
        <v>319180.641765462</v>
      </c>
      <c r="L8" s="0" t="n">
        <f aca="false">L6*L7/100</f>
        <v>330351.964227253</v>
      </c>
    </row>
    <row r="9" customFormat="false" ht="15" hidden="false" customHeight="false" outlineLevel="0" collapsed="false">
      <c r="A9" s="0" t="s">
        <v>102</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117</v>
      </c>
      <c r="C10" s="0" t="n">
        <f aca="false">-C6*C9/100</f>
        <v>-5024.852</v>
      </c>
      <c r="D10" s="0" t="n">
        <f aca="false">-D6*D9/100</f>
        <v>-5376.59164</v>
      </c>
      <c r="E10" s="0" t="n">
        <f aca="false">-E6*E9/100</f>
        <v>-5726.0700966</v>
      </c>
      <c r="F10" s="0" t="n">
        <f aca="false">-F6*F9/100</f>
        <v>-6069.634302396</v>
      </c>
      <c r="G10" s="0" t="n">
        <f aca="false">-G6*G9/100</f>
        <v>-6403.46418902778</v>
      </c>
      <c r="H10" s="0" t="n">
        <f aca="false">-H6*H9/100</f>
        <v>-6723.63739847917</v>
      </c>
      <c r="I10" s="0" t="n">
        <f aca="false">-I6*I9/100</f>
        <v>-7026.20108141073</v>
      </c>
      <c r="J10" s="0" t="n">
        <f aca="false">-J6*J9/100</f>
        <v>-7307.24912466716</v>
      </c>
      <c r="K10" s="0" t="n">
        <f aca="false">-K6*K9/100</f>
        <v>-7599.53908965385</v>
      </c>
      <c r="L10" s="0" t="n">
        <f aca="false">-L6*L9/100</f>
        <v>-7865.52295779173</v>
      </c>
    </row>
    <row r="11" customFormat="false" ht="15" hidden="false" customHeight="false" outlineLevel="0" collapsed="false">
      <c r="A11" s="0" t="s">
        <v>118</v>
      </c>
      <c r="C11" s="0" t="n">
        <f aca="false">C8+C10+C24</f>
        <v>178382.246</v>
      </c>
      <c r="D11" s="0" t="n">
        <f aca="false">D8+D10+D24</f>
        <v>196245.59486</v>
      </c>
      <c r="E11" s="0" t="n">
        <f aca="false">E8+E10+E24</f>
        <v>214155.02161284</v>
      </c>
      <c r="F11" s="0" t="n">
        <f aca="false">F8+F10+F24</f>
        <v>230646.103491048</v>
      </c>
      <c r="G11" s="0" t="n">
        <f aca="false">G8+G10+G24</f>
        <v>247173.717696472</v>
      </c>
      <c r="H11" s="0" t="n">
        <f aca="false">H8+H10+H24</f>
        <v>259532.403581296</v>
      </c>
      <c r="I11" s="0" t="n">
        <f aca="false">I8+I10+I24</f>
        <v>271211.361742454</v>
      </c>
      <c r="J11" s="0" t="n">
        <f aca="false">J8+J10+J24</f>
        <v>282059.816212152</v>
      </c>
      <c r="K11" s="0" t="n">
        <f aca="false">K8+K10+K24</f>
        <v>293342.208860639</v>
      </c>
      <c r="L11" s="0" t="n">
        <f aca="false">L8+L10+L24</f>
        <v>303609.186170761</v>
      </c>
    </row>
    <row r="12" customFormat="false" ht="15" hidden="false" customHeight="false" outlineLevel="0" collapsed="false">
      <c r="A12" s="0" t="s">
        <v>119</v>
      </c>
      <c r="C12" s="4" t="n">
        <f aca="false">-C6*Assumptions!C45/100</f>
        <v>-26129.2304</v>
      </c>
      <c r="D12" s="4" t="n">
        <f aca="false">-D6*Assumptions!D45/100</f>
        <v>-26882.9582</v>
      </c>
      <c r="E12" s="4" t="n">
        <f aca="false">-E6*Assumptions!E45/100</f>
        <v>-27485.13646368</v>
      </c>
      <c r="F12" s="4" t="n">
        <f aca="false">-F6*Assumptions!F45/100</f>
        <v>-27920.3177910216</v>
      </c>
      <c r="G12" s="4" t="n">
        <f aca="false">-G6*Assumptions!G45/100</f>
        <v>-28175.2424317222</v>
      </c>
      <c r="H12" s="4" t="n">
        <f aca="false">-H6*Assumptions!H45/100</f>
        <v>-28239.2770736125</v>
      </c>
      <c r="I12" s="4" t="n">
        <f aca="false">-I6*Assumptions!I45/100</f>
        <v>-28104.8043256429</v>
      </c>
      <c r="J12" s="4" t="n">
        <f aca="false">-J6*Assumptions!J45/100</f>
        <v>-29228.9964986686</v>
      </c>
      <c r="K12" s="4" t="n">
        <f aca="false">-K6*Assumptions!K45/100</f>
        <v>-30398.1563586154</v>
      </c>
      <c r="L12" s="4" t="n">
        <f aca="false">-L6*Assumptions!L45/100</f>
        <v>-31462.0918311669</v>
      </c>
    </row>
    <row r="13" customFormat="false" ht="15" hidden="false" customHeight="false" outlineLevel="0" collapsed="false">
      <c r="A13" s="0" t="s">
        <v>120</v>
      </c>
      <c r="C13" s="0" t="n">
        <f aca="false">C11+C12</f>
        <v>152253.0156</v>
      </c>
      <c r="D13" s="0" t="n">
        <f aca="false">D11+D12</f>
        <v>169362.63666</v>
      </c>
      <c r="E13" s="0" t="n">
        <f aca="false">E11+E12</f>
        <v>186669.88514916</v>
      </c>
      <c r="F13" s="0" t="n">
        <f aca="false">F11+F12</f>
        <v>202725.785700026</v>
      </c>
      <c r="G13" s="0" t="n">
        <f aca="false">G11+G12</f>
        <v>218998.47526475</v>
      </c>
      <c r="H13" s="0" t="n">
        <f aca="false">H11+H12</f>
        <v>231293.126507683</v>
      </c>
      <c r="I13" s="0" t="n">
        <f aca="false">I11+I12</f>
        <v>243106.557416811</v>
      </c>
      <c r="J13" s="0" t="n">
        <f aca="false">J11+J12</f>
        <v>252830.819713484</v>
      </c>
      <c r="K13" s="0" t="n">
        <f aca="false">K11+K12</f>
        <v>262944.052502023</v>
      </c>
      <c r="L13" s="0" t="n">
        <f aca="false">L11+L12</f>
        <v>272147.094339594</v>
      </c>
    </row>
    <row r="14" customFormat="false" ht="15" hidden="false" customHeight="false" outlineLevel="0" collapsed="false">
      <c r="A14" s="0" t="s">
        <v>106</v>
      </c>
      <c r="C14" s="4" t="n">
        <f aca="false">Assumptions!C47</f>
        <v>24</v>
      </c>
      <c r="D14" s="4" t="n">
        <f aca="false">Assumptions!D47</f>
        <v>24</v>
      </c>
      <c r="E14" s="4" t="n">
        <f aca="false">Assumptions!E47</f>
        <v>24.5</v>
      </c>
      <c r="F14" s="4" t="n">
        <f aca="false">Assumptions!F47</f>
        <v>24.5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121</v>
      </c>
      <c r="C15" s="0" t="n">
        <f aca="false">C13-MAX(0,C13)*C14/100</f>
        <v>115712.291856</v>
      </c>
      <c r="D15" s="0" t="n">
        <f aca="false">D13-MAX(0,D13)*D14/100</f>
        <v>128715.6038616</v>
      </c>
      <c r="E15" s="0" t="n">
        <f aca="false">E13-MAX(0,E13)*E14/100</f>
        <v>140935.763287616</v>
      </c>
      <c r="F15" s="0" t="n">
        <f aca="false">F13-MAX(0,F13)*F14/100</f>
        <v>153057.96820352</v>
      </c>
      <c r="G15" s="0" t="n">
        <f aca="false">G13-MAX(0,G13)*G14/100</f>
        <v>164248.856448563</v>
      </c>
      <c r="H15" s="0" t="n">
        <f aca="false">H13-MAX(0,H13)*H14/100</f>
        <v>173469.844880763</v>
      </c>
      <c r="I15" s="0" t="n">
        <f aca="false">I13-MAX(0,I13)*I14/100</f>
        <v>182329.918062608</v>
      </c>
      <c r="J15" s="0" t="n">
        <f aca="false">J13-MAX(0,J13)*J14/100</f>
        <v>189623.114785113</v>
      </c>
      <c r="K15" s="0" t="n">
        <f aca="false">K13-MAX(0,K13)*K14/100</f>
        <v>197208.039376517</v>
      </c>
      <c r="L15" s="0" t="n">
        <f aca="false">L13-MAX(0,L13)*L14/100</f>
        <v>204110.320754695</v>
      </c>
    </row>
    <row r="16" customFormat="false" ht="15" hidden="false" customHeight="false" outlineLevel="0" collapsed="false">
      <c r="A16" s="0" t="s">
        <v>122</v>
      </c>
      <c r="C16" s="0" t="n">
        <f aca="false">-C12</f>
        <v>26129.2304</v>
      </c>
      <c r="D16" s="0" t="n">
        <f aca="false">-D12</f>
        <v>26882.9582</v>
      </c>
      <c r="E16" s="0" t="n">
        <f aca="false">-E12</f>
        <v>27485.13646368</v>
      </c>
      <c r="F16" s="0" t="n">
        <f aca="false">-F12</f>
        <v>27920.3177910216</v>
      </c>
      <c r="G16" s="0" t="n">
        <f aca="false">-G12</f>
        <v>28175.2424317222</v>
      </c>
      <c r="H16" s="0" t="n">
        <f aca="false">-H12</f>
        <v>28239.2770736125</v>
      </c>
      <c r="I16" s="0" t="n">
        <f aca="false">-I12</f>
        <v>28104.8043256429</v>
      </c>
      <c r="J16" s="0" t="n">
        <f aca="false">-J12</f>
        <v>29228.9964986686</v>
      </c>
      <c r="K16" s="0" t="n">
        <f aca="false">-K12</f>
        <v>30398.1563586154</v>
      </c>
      <c r="L16" s="0" t="n">
        <f aca="false">-L12</f>
        <v>31462.0918311669</v>
      </c>
    </row>
    <row r="17" customFormat="false" ht="15" hidden="false" customHeight="false" outlineLevel="0" collapsed="false">
      <c r="A17" s="0" t="s">
        <v>123</v>
      </c>
      <c r="C17" s="4" t="n">
        <f aca="false">-C6*Assumptions!C46/100</f>
        <v>-17084.4968</v>
      </c>
      <c r="D17" s="4" t="n">
        <f aca="false">-D6*Assumptions!D46/100</f>
        <v>-18280.411576</v>
      </c>
      <c r="E17" s="4" t="n">
        <f aca="false">-E6*Assumptions!E46/100</f>
        <v>-19468.63832844</v>
      </c>
      <c r="F17" s="4" t="n">
        <f aca="false">-F6*Assumptions!F46/100</f>
        <v>-20636.7566281464</v>
      </c>
      <c r="G17" s="4" t="n">
        <f aca="false">-G6*Assumptions!G46/100</f>
        <v>-21771.7782426945</v>
      </c>
      <c r="H17" s="4" t="n">
        <f aca="false">-H6*Assumptions!H46/100</f>
        <v>-22860.3671548292</v>
      </c>
      <c r="I17" s="4" t="n">
        <f aca="false">-I6*Assumptions!I46/100</f>
        <v>-23889.0836767965</v>
      </c>
      <c r="J17" s="4" t="n">
        <f aca="false">-J6*Assumptions!J46/100</f>
        <v>-24844.6470238683</v>
      </c>
      <c r="K17" s="4" t="n">
        <f aca="false">-K6*Assumptions!K46/100</f>
        <v>-25838.4329048231</v>
      </c>
      <c r="L17" s="4" t="n">
        <f aca="false">-L6*Assumptions!L46/100</f>
        <v>-26742.7780564919</v>
      </c>
    </row>
    <row r="18" customFormat="false" ht="15" hidden="false" customHeight="false" outlineLevel="0" collapsed="false">
      <c r="A18" s="0" t="s">
        <v>124</v>
      </c>
      <c r="C18" s="4" t="n">
        <f aca="false">(C6-B6)*Assumptions!$B$51/100</f>
        <v>-11809.56</v>
      </c>
      <c r="D18" s="4" t="n">
        <f aca="false">(D6-C6)*Assumptions!$B$51/100</f>
        <v>-10552.1892</v>
      </c>
      <c r="E18" s="4" t="n">
        <f aca="false">(E6-D6)*Assumptions!$B$51/100</f>
        <v>-10484.353698</v>
      </c>
      <c r="F18" s="4" t="n">
        <f aca="false">(F6-E6)*Assumptions!$B$51/100</f>
        <v>-10306.92617388</v>
      </c>
      <c r="G18" s="4" t="n">
        <f aca="false">(G6-F6)*Assumptions!$B$51/100</f>
        <v>-10014.8965989534</v>
      </c>
      <c r="H18" s="4" t="n">
        <f aca="false">(H6-G6)*Assumptions!$B$51/100</f>
        <v>-9605.19628354168</v>
      </c>
      <c r="I18" s="4" t="n">
        <f aca="false">(I6-H6)*Assumptions!$B$51/100</f>
        <v>-9076.91048794688</v>
      </c>
      <c r="J18" s="4" t="n">
        <f aca="false">(J6-I6)*Assumptions!$B$51/100</f>
        <v>-8431.4412976929</v>
      </c>
      <c r="K18" s="4" t="n">
        <f aca="false">(K6-J6)*Assumptions!$B$51/100</f>
        <v>-8768.6989496006</v>
      </c>
      <c r="L18" s="4" t="n">
        <f aca="false">(L6-K6)*Assumptions!$B$51/100</f>
        <v>-7979.51604413653</v>
      </c>
    </row>
    <row r="19" customFormat="false" ht="15" hidden="false" customHeight="false" outlineLevel="0" collapsed="false">
      <c r="A19" s="0" t="s">
        <v>125</v>
      </c>
      <c r="C19" s="0" t="n">
        <f aca="false">C15+C16+C17+C18</f>
        <v>112947.465456</v>
      </c>
      <c r="D19" s="0" t="n">
        <f aca="false">D15+D16+D17+D18</f>
        <v>126765.9612856</v>
      </c>
      <c r="E19" s="0" t="n">
        <f aca="false">E15+E16+E17+E18</f>
        <v>138467.907724856</v>
      </c>
      <c r="F19" s="0" t="n">
        <f aca="false">F15+F16+F17+F18</f>
        <v>150034.603192515</v>
      </c>
      <c r="G19" s="0" t="n">
        <f aca="false">G15+G16+G17+G18</f>
        <v>160637.424038637</v>
      </c>
      <c r="H19" s="0" t="n">
        <f aca="false">H15+H16+H17+H18</f>
        <v>169243.558516004</v>
      </c>
      <c r="I19" s="0" t="n">
        <f aca="false">I15+I16+I17+I18</f>
        <v>177468.728223508</v>
      </c>
      <c r="J19" s="0" t="n">
        <f aca="false">J15+J16+J17+J18</f>
        <v>185576.02296222</v>
      </c>
      <c r="K19" s="0" t="n">
        <f aca="false">K15+K16+K17+K18</f>
        <v>192999.063880709</v>
      </c>
      <c r="L19" s="0" t="n">
        <f aca="false">L15+L16+L17+L18</f>
        <v>200850.118485234</v>
      </c>
    </row>
    <row r="20" customFormat="false" ht="15" hidden="false" customHeight="false" outlineLevel="0" collapsed="false">
      <c r="A20" s="0" t="s">
        <v>126</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127</v>
      </c>
      <c r="C21" s="0" t="n">
        <f aca="false">C19*C20</f>
        <v>101298.175296861</v>
      </c>
      <c r="D21" s="0" t="n">
        <f aca="false">D19*D20</f>
        <v>101965.421613626</v>
      </c>
      <c r="E21" s="0" t="n">
        <f aca="false">E19*E20</f>
        <v>99890.57839669</v>
      </c>
      <c r="F21" s="0" t="n">
        <f aca="false">F19*F20</f>
        <v>97071.5500328838</v>
      </c>
      <c r="G21" s="0" t="n">
        <f aca="false">G19*G20</f>
        <v>93212.1218682668</v>
      </c>
      <c r="H21" s="0" t="n">
        <f aca="false">H19*H20</f>
        <v>88077.0872594356</v>
      </c>
      <c r="I21" s="0" t="n">
        <f aca="false">I19*I20</f>
        <v>82831.9270935847</v>
      </c>
      <c r="J21" s="0" t="n">
        <f aca="false">J19*J20</f>
        <v>77682.4517827046</v>
      </c>
      <c r="K21" s="0" t="n">
        <f aca="false">K19*K20</f>
        <v>72457.1747569621</v>
      </c>
      <c r="L21" s="0" t="n">
        <f aca="false">L19*L20</f>
        <v>67627.5132917317</v>
      </c>
    </row>
    <row r="23" customFormat="false" ht="15" hidden="false" customHeight="false" outlineLevel="0" collapsed="false">
      <c r="A23" s="0" t="s">
        <v>103</v>
      </c>
      <c r="C23" s="4" t="n">
        <f aca="false">Assumptions!C44</f>
        <v>1.25</v>
      </c>
      <c r="D23" s="4" t="n">
        <f aca="false">Assumptions!D44</f>
        <v>1.25</v>
      </c>
      <c r="E23" s="4" t="n">
        <f aca="false">Assumptions!E44</f>
        <v>1.2</v>
      </c>
      <c r="F23" s="4" t="n">
        <f aca="false">Assumptions!F44</f>
        <v>1.2</v>
      </c>
      <c r="G23" s="4" t="n">
        <f aca="false">Assumptions!G44</f>
        <v>1.2</v>
      </c>
      <c r="H23" s="4" t="n">
        <f aca="false">Assumptions!H44</f>
        <v>1.2</v>
      </c>
      <c r="I23" s="4" t="n">
        <f aca="false">Assumptions!I44</f>
        <v>1.2</v>
      </c>
      <c r="J23" s="4" t="n">
        <f aca="false">Assumptions!J44</f>
        <v>1.2</v>
      </c>
      <c r="K23" s="4" t="n">
        <f aca="false">Assumptions!K44</f>
        <v>1.2</v>
      </c>
      <c r="L23" s="4" t="n">
        <f aca="false">Assumptions!L44</f>
        <v>1.2</v>
      </c>
    </row>
    <row r="24" customFormat="false" ht="15" hidden="false" customHeight="false" outlineLevel="0" collapsed="false">
      <c r="A24" s="0" t="s">
        <v>128</v>
      </c>
      <c r="C24" s="0" t="n">
        <f aca="false">-C6*C23/100</f>
        <v>-12562.13</v>
      </c>
      <c r="D24" s="0" t="n">
        <f aca="false">-D6*D23/100</f>
        <v>-13441.4791</v>
      </c>
      <c r="E24" s="0" t="n">
        <f aca="false">-E6*E23/100</f>
        <v>-13742.56823184</v>
      </c>
      <c r="F24" s="0" t="n">
        <f aca="false">-F6*F23/100</f>
        <v>-14567.1223257504</v>
      </c>
      <c r="G24" s="0" t="n">
        <f aca="false">-G6*G23/100</f>
        <v>-15368.3140536667</v>
      </c>
      <c r="H24" s="0" t="n">
        <f aca="false">-H6*H23/100</f>
        <v>-16136.72975635</v>
      </c>
      <c r="I24" s="0" t="n">
        <f aca="false">-I6*I23/100</f>
        <v>-16862.8825953858</v>
      </c>
      <c r="J24" s="0" t="n">
        <f aca="false">-J6*J23/100</f>
        <v>-17537.3978992012</v>
      </c>
      <c r="K24" s="0" t="n">
        <f aca="false">-K6*K23/100</f>
        <v>-18238.8938151692</v>
      </c>
      <c r="L24" s="0" t="n">
        <f aca="false">-L6*L23/100</f>
        <v>-18877.2550987002</v>
      </c>
    </row>
    <row r="26" customFormat="false" ht="15" hidden="false" customHeight="false" outlineLevel="0" collapsed="false">
      <c r="A26" s="2" t="s">
        <v>129</v>
      </c>
    </row>
    <row r="27" customFormat="false" ht="15" hidden="false" customHeight="false" outlineLevel="0" collapsed="false">
      <c r="A27" s="0" t="s">
        <v>107</v>
      </c>
      <c r="B27" s="4" t="n">
        <f aca="false">Assumptions!$B$48</f>
        <v>11.5</v>
      </c>
    </row>
    <row r="28" customFormat="false" ht="15" hidden="false" customHeight="false" outlineLevel="0" collapsed="false">
      <c r="A28" s="0" t="s">
        <v>108</v>
      </c>
      <c r="B28" s="4" t="n">
        <f aca="false">Assumptions!$B$49</f>
        <v>4</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882114.001392746</v>
      </c>
    </row>
    <row r="31" customFormat="false" ht="15" hidden="false" customHeight="false" outlineLevel="0" collapsed="false">
      <c r="A31" s="0" t="s">
        <v>131</v>
      </c>
      <c r="B31" s="0" t="n">
        <f aca="false">L19</f>
        <v>200850.118485234</v>
      </c>
    </row>
    <row r="32" customFormat="false" ht="15" hidden="false" customHeight="false" outlineLevel="0" collapsed="false">
      <c r="A32" s="0" t="s">
        <v>132</v>
      </c>
      <c r="B32" s="0" t="n">
        <f aca="false">IF(B27&gt;B28,B31*(1+B28/100)/((B27-B28)/100),B31*B29)</f>
        <v>2785121.64299524</v>
      </c>
    </row>
    <row r="33" customFormat="false" ht="15" hidden="false" customHeight="false" outlineLevel="0" collapsed="false">
      <c r="A33" s="0" t="s">
        <v>133</v>
      </c>
      <c r="B33" s="0" t="n">
        <f aca="false">B31*B29</f>
        <v>3012751.77727851</v>
      </c>
    </row>
    <row r="34" customFormat="false" ht="15" hidden="false" customHeight="false" outlineLevel="0" collapsed="false">
      <c r="A34" s="0" t="s">
        <v>134</v>
      </c>
      <c r="B34" s="0" t="n">
        <f aca="false">MAX(0,MIN(B32,B33))</f>
        <v>2785121.64299524</v>
      </c>
    </row>
    <row r="35" customFormat="false" ht="15" hidden="false" customHeight="false" outlineLevel="0" collapsed="false">
      <c r="A35" s="0" t="s">
        <v>135</v>
      </c>
      <c r="B35" s="0" t="n">
        <f aca="false">B34/(1+B27/100)^L4</f>
        <v>937768.184312013</v>
      </c>
    </row>
    <row r="36" customFormat="false" ht="15" hidden="false" customHeight="false" outlineLevel="0" collapsed="false">
      <c r="A36" s="0" t="s">
        <v>136</v>
      </c>
      <c r="B36" s="0" t="n">
        <f aca="false">B30+B35</f>
        <v>1819882.18570476</v>
      </c>
    </row>
    <row r="37" customFormat="false" ht="15" hidden="false" customHeight="false" outlineLevel="0" collapsed="false">
      <c r="A37" s="0" t="s">
        <v>137</v>
      </c>
      <c r="B37" s="0" t="n">
        <f aca="false">B36+Assumptions!$B$5-Assumptions!$B$4</f>
        <v>2065080.18570476</v>
      </c>
    </row>
    <row r="38" customFormat="false" ht="15" hidden="false" customHeight="false" outlineLevel="0" collapsed="false">
      <c r="A38" s="0" t="s">
        <v>138</v>
      </c>
      <c r="B38" s="0" t="n">
        <f aca="false">B37/Assumptions!$B$3*Assumptions!$B$10</f>
        <v>2.16429073964051</v>
      </c>
    </row>
    <row r="39" customFormat="false" ht="15" hidden="false" customHeight="false" outlineLevel="0" collapsed="false">
      <c r="A39" s="0" t="s">
        <v>139</v>
      </c>
      <c r="B39" s="4" t="n">
        <f aca="false">B38/Assumptions!$B$2-1</f>
        <v>0.258308569558438</v>
      </c>
    </row>
    <row r="41" customFormat="false" ht="15" hidden="false" customHeight="false" outlineLevel="0" collapsed="false">
      <c r="A41" s="0" t="s">
        <v>140</v>
      </c>
      <c r="B41" s="0" t="n">
        <f aca="false">SUMPRODUCT(-C10:L10/(1+$B$27/100)^C4:L4)</f>
        <v>35943.5878721338</v>
      </c>
    </row>
    <row r="42" customFormat="false" ht="15" hidden="false" customHeight="false" outlineLevel="0" collapsed="false">
      <c r="A42" s="0" t="s">
        <v>141</v>
      </c>
      <c r="B42" s="0" t="n">
        <f aca="false">IF(B27&gt;B28,-L10*(1+B28/100)/((B27-B28)/100),-L10*20)/(1+B27/100)^L4</f>
        <v>36724.0867888016</v>
      </c>
    </row>
    <row r="43" customFormat="false" ht="15" hidden="false" customHeight="false" outlineLevel="0" collapsed="false">
      <c r="A43" s="0" t="s">
        <v>142</v>
      </c>
      <c r="B43" s="0" t="n">
        <f aca="false">(B37+B41+B42)/Assumptions!$B$3*Assumptions!$B$10</f>
        <v>2.24044951373005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1898946.57476948</v>
      </c>
    </row>
    <row r="47" customFormat="false" ht="15" hidden="false" customHeight="false" outlineLevel="0" collapsed="false">
      <c r="A47" s="0" t="s">
        <v>144</v>
      </c>
      <c r="B47" s="0" t="n">
        <f aca="false">(SUMPRODUCT(C19:L19/(1+B45/100)^C4:L4)+B46/(1+B45/100)^L4+Assumptions!$B$5-Assumptions!$B$4)/Assumptions!$B$3*Assumptions!$B$10</f>
        <v>1.54105161907459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1.41952105106075</v>
      </c>
      <c r="C4" s="0" t="n">
        <f aca="false">B4/Assumptions!$B$2-1</f>
        <v>-0.174697063336776</v>
      </c>
      <c r="D4" s="4" t="n">
        <f aca="false">Assumptions!$B$24</f>
        <v>0.3</v>
      </c>
      <c r="E4" s="4" t="n">
        <f aca="false">DCF_Bear!$B$43</f>
        <v>1.47466144535899</v>
      </c>
      <c r="F4" s="4" t="n">
        <f aca="false">DCF_Bear!$B$47</f>
        <v>1.09438801499871</v>
      </c>
    </row>
    <row r="5" customFormat="false" ht="15" hidden="false" customHeight="false" outlineLevel="0" collapsed="false">
      <c r="A5" s="0" t="s">
        <v>153</v>
      </c>
      <c r="B5" s="4" t="n">
        <f aca="false">DCF_Base!$B$38</f>
        <v>1.79141486838318</v>
      </c>
      <c r="C5" s="0" t="n">
        <f aca="false">B5/Assumptions!$B$2-1</f>
        <v>0.0415202723158024</v>
      </c>
      <c r="D5" s="4" t="n">
        <f aca="false">Assumptions!$B$38</f>
        <v>0.5</v>
      </c>
      <c r="E5" s="4" t="n">
        <f aca="false">DCF_Base!$B$43</f>
        <v>1.856915304582</v>
      </c>
      <c r="F5" s="4" t="n">
        <f aca="false">DCF_Base!$B$47</f>
        <v>1.32412230142197</v>
      </c>
    </row>
    <row r="6" customFormat="false" ht="15" hidden="false" customHeight="false" outlineLevel="0" collapsed="false">
      <c r="A6" s="0" t="s">
        <v>154</v>
      </c>
      <c r="B6" s="4" t="n">
        <f aca="false">DCF_Bull!$B$38</f>
        <v>2.16429073964051</v>
      </c>
      <c r="C6" s="0" t="n">
        <f aca="false">B6/Assumptions!$B$2-1</f>
        <v>0.258308569558438</v>
      </c>
      <c r="D6" s="4" t="n">
        <f aca="false">Assumptions!$B$52</f>
        <v>0.2</v>
      </c>
      <c r="E6" s="4" t="n">
        <f aca="false">DCF_Bull!$B$43</f>
        <v>2.24044951373005</v>
      </c>
      <c r="F6" s="4" t="n">
        <f aca="false">DCF_Bull!$B$47</f>
        <v>1.54105161907459</v>
      </c>
    </row>
    <row r="8" customFormat="false" ht="15" hidden="false" customHeight="false" outlineLevel="0" collapsed="false">
      <c r="A8" s="0" t="s">
        <v>155</v>
      </c>
      <c r="B8" s="0" t="n">
        <f aca="false">SUMPRODUCT(B4:B6,D4:D6)</f>
        <v>1.75442189743792</v>
      </c>
    </row>
    <row r="9" customFormat="false" ht="15" hidden="false" customHeight="false" outlineLevel="0" collapsed="false">
      <c r="A9" s="0" t="s">
        <v>156</v>
      </c>
      <c r="B9" s="0" t="n">
        <f aca="false">SUMPRODUCT(E4:E6,D4:D6)</f>
        <v>1.81894598864471</v>
      </c>
    </row>
    <row r="10" customFormat="false" ht="15" hidden="false" customHeight="false" outlineLevel="0" collapsed="false">
      <c r="A10" s="0" t="s">
        <v>157</v>
      </c>
      <c r="B10" s="0" t="n">
        <f aca="false">1-Assumptions!$B$2/B8</f>
        <v>0.0196200796901729</v>
      </c>
    </row>
    <row r="11" customFormat="false" ht="15" hidden="false" customHeight="false" outlineLevel="0" collapsed="false">
      <c r="A11" s="0" t="s">
        <v>158</v>
      </c>
      <c r="B11" s="0" t="n">
        <f aca="false">IF(ABS(B9-B8)&gt;0.01*ABS(B8),(Assumptions!$B$2-B8)/(B9-B8)*100,"n/a")</f>
        <v>-53.3473572337464</v>
      </c>
    </row>
    <row r="12" customFormat="false" ht="15" hidden="false" customHeight="false" outlineLevel="0" collapsed="false">
      <c r="A12" s="0" t="s">
        <v>159</v>
      </c>
      <c r="B12" s="0" t="n">
        <f aca="false">SUMPRODUCT(F4:F6,D4:D6)</f>
        <v>1.29858787902552</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2.21928814322437</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2.08606327137024</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1.89373151132193</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1.79141486838318</v>
      </c>
      <c r="C18" s="3" t="n">
        <v>11.5</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1.70112499407606</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1.32412230142197</v>
      </c>
      <c r="C20" s="3" t="n">
        <v>15</v>
      </c>
    </row>
    <row r="22" customFormat="false" ht="15" hidden="false" customHeight="false" outlineLevel="0" collapsed="false">
      <c r="A22" s="2" t="s">
        <v>168</v>
      </c>
    </row>
    <row r="23" customFormat="false" ht="15" hidden="false" customHeight="false" outlineLevel="0" collapsed="false">
      <c r="B23" s="3" t="n">
        <v>2.5</v>
      </c>
      <c r="C23" s="3" t="n">
        <v>3</v>
      </c>
      <c r="D23" s="3" t="n">
        <v>3.5</v>
      </c>
      <c r="E23" s="3" t="n">
        <v>4</v>
      </c>
      <c r="F23" s="3" t="n">
        <v>4.5</v>
      </c>
    </row>
    <row r="24" customFormat="false" ht="15" hidden="false" customHeight="false" outlineLevel="0" collapsed="false">
      <c r="A24" s="3" t="n">
        <v>9.5</v>
      </c>
      <c r="B24" s="0" t="n">
        <f aca="false">(SUMPRODUCT(DCF_Base!$C$19:$L$19/(1+$A$24/100)^DCF_Base!$C$4:$L$4)+MAX(0,MIN(IF($A$24&gt;$B$23,DCF_Base!$L$19*(1+$B$23/100)/(($A$24-$B$23)/100),DCF_Base!$L$19*DCF_Base!$B$29),DCF_Base!$L$19*DCF_Base!$B$29))/(1+$A$24/100)^DCF_Base!$L$4+Assumptions!$B$5-Assumptions!$B$4)/Assumptions!$B$3*Assumptions!$B$10</f>
        <v>2.12707321691447</v>
      </c>
      <c r="C24" s="0" t="n">
        <f aca="false">(SUMPRODUCT(DCF_Base!$C$19:$L$19/(1+$A$24/100)^DCF_Base!$C$4:$L$4)+MAX(0,MIN(IF($A$24&gt;$C$23,DCF_Base!$L$19*(1+$C$23/100)/(($A$24-$C$23)/100),DCF_Base!$L$19*DCF_Base!$B$29),DCF_Base!$L$19*DCF_Base!$B$29))/(1+$A$24/100)^DCF_Base!$L$4+Assumptions!$B$5-Assumptions!$B$4)/Assumptions!$B$3*Assumptions!$B$10</f>
        <v>2.15115911003372</v>
      </c>
      <c r="D24" s="0" t="n">
        <f aca="false">(SUMPRODUCT(DCF_Base!$C$19:$L$19/(1+$A$24/100)^DCF_Base!$C$4:$L$4)+MAX(0,MIN(IF($A$24&gt;$D$23,DCF_Base!$L$19*(1+$D$23/100)/(($A$24-$D$23)/100),DCF_Base!$L$19*DCF_Base!$B$29),DCF_Base!$L$19*DCF_Base!$B$29))/(1+$A$24/100)^DCF_Base!$L$4+Assumptions!$B$5-Assumptions!$B$4)/Assumptions!$B$3*Assumptions!$B$10</f>
        <v>2.15115911003372</v>
      </c>
      <c r="E24" s="0" t="n">
        <f aca="false">(SUMPRODUCT(DCF_Base!$C$19:$L$19/(1+$A$24/100)^DCF_Base!$C$4:$L$4)+MAX(0,MIN(IF($A$24&gt;$E$23,DCF_Base!$L$19*(1+$E$23/100)/(($A$24-$E$23)/100),DCF_Base!$L$19*DCF_Base!$B$29),DCF_Base!$L$19*DCF_Base!$B$29))/(1+$A$24/100)^DCF_Base!$L$4+Assumptions!$B$5-Assumptions!$B$4)/Assumptions!$B$3*Assumptions!$B$10</f>
        <v>2.15115911003372</v>
      </c>
      <c r="F24" s="0" t="n">
        <f aca="false">(SUMPRODUCT(DCF_Base!$C$19:$L$19/(1+$A$24/100)^DCF_Base!$C$4:$L$4)+MAX(0,MIN(IF($A$24&gt;$F$23,DCF_Base!$L$19*(1+$F$23/100)/(($A$24-$F$23)/100),DCF_Base!$L$19*DCF_Base!$B$29),DCF_Base!$L$19*DCF_Base!$B$29))/(1+$A$24/100)^DCF_Base!$L$4+Assumptions!$B$5-Assumptions!$B$4)/Assumptions!$B$3*Assumptions!$B$10</f>
        <v>2.15115911003372</v>
      </c>
    </row>
    <row r="25" customFormat="false" ht="15" hidden="false" customHeight="false" outlineLevel="0" collapsed="false">
      <c r="A25" s="3" t="n">
        <v>10.5</v>
      </c>
      <c r="B25" s="0" t="n">
        <f aca="false">(SUMPRODUCT(DCF_Base!$C$19:$L$19/(1+$A$25/100)^DCF_Base!$C$4:$L$4)+MAX(0,MIN(IF($A$25&gt;$B$23,DCF_Base!$L$19*(1+$B$23/100)/(($A$25-$B$23)/100),DCF_Base!$L$19*DCF_Base!$B$29),DCF_Base!$L$19*DCF_Base!$B$29))/(1+$A$25/100)^DCF_Base!$L$4+Assumptions!$B$5-Assumptions!$B$4)/Assumptions!$B$3*Assumptions!$B$10</f>
        <v>1.88914095931208</v>
      </c>
      <c r="C25" s="0" t="n">
        <f aca="false">(SUMPRODUCT(DCF_Base!$C$19:$L$19/(1+$A$25/100)^DCF_Base!$C$4:$L$4)+MAX(0,MIN(IF($A$25&gt;$C$23,DCF_Base!$L$19*(1+$C$23/100)/(($A$25-$C$23)/100),DCF_Base!$L$19*DCF_Base!$B$29),DCF_Base!$L$19*DCF_Base!$B$29))/(1+$A$25/100)^DCF_Base!$L$4+Assumptions!$B$5-Assumptions!$B$4)/Assumptions!$B$3*Assumptions!$B$10</f>
        <v>1.94584581241466</v>
      </c>
      <c r="D25" s="0" t="n">
        <f aca="false">(SUMPRODUCT(DCF_Base!$C$19:$L$19/(1+$A$25/100)^DCF_Base!$C$4:$L$4)+MAX(0,MIN(IF($A$25&gt;$D$23,DCF_Base!$L$19*(1+$D$23/100)/(($A$25-$D$23)/100),DCF_Base!$L$19*DCF_Base!$B$29),DCF_Base!$L$19*DCF_Base!$B$29))/(1+$A$25/100)^DCF_Base!$L$4+Assumptions!$B$5-Assumptions!$B$4)/Assumptions!$B$3*Assumptions!$B$10</f>
        <v>2.01065135881761</v>
      </c>
      <c r="E25" s="0" t="n">
        <f aca="false">(SUMPRODUCT(DCF_Base!$C$19:$L$19/(1+$A$25/100)^DCF_Base!$C$4:$L$4)+MAX(0,MIN(IF($A$25&gt;$E$23,DCF_Base!$L$19*(1+$E$23/100)/(($A$25-$E$23)/100),DCF_Base!$L$19*DCF_Base!$B$29),DCF_Base!$L$19*DCF_Base!$B$29))/(1+$A$25/100)^DCF_Base!$L$4+Assumptions!$B$5-Assumptions!$B$4)/Assumptions!$B$3*Assumptions!$B$10</f>
        <v>2.02384705831143</v>
      </c>
      <c r="F25" s="0" t="n">
        <f aca="false">(SUMPRODUCT(DCF_Base!$C$19:$L$19/(1+$A$25/100)^DCF_Base!$C$4:$L$4)+MAX(0,MIN(IF($A$25&gt;$F$23,DCF_Base!$L$19*(1+$F$23/100)/(($A$25-$F$23)/100),DCF_Base!$L$19*DCF_Base!$B$29),DCF_Base!$L$19*DCF_Base!$B$29))/(1+$A$25/100)^DCF_Base!$L$4+Assumptions!$B$5-Assumptions!$B$4)/Assumptions!$B$3*Assumptions!$B$10</f>
        <v>2.02384705831143</v>
      </c>
    </row>
    <row r="26" customFormat="false" ht="15" hidden="false" customHeight="false" outlineLevel="0" collapsed="false">
      <c r="A26" s="3" t="n">
        <v>11.5</v>
      </c>
      <c r="B26" s="0" t="n">
        <f aca="false">(SUMPRODUCT(DCF_Base!$C$19:$L$19/(1+$A$26/100)^DCF_Base!$C$4:$L$4)+MAX(0,MIN(IF($A$26&gt;$B$23,DCF_Base!$L$19*(1+$B$23/100)/(($A$26-$B$23)/100),DCF_Base!$L$19*DCF_Base!$B$29),DCF_Base!$L$19*DCF_Base!$B$29))/(1+$A$26/100)^DCF_Base!$L$4+Assumptions!$B$5-Assumptions!$B$4)/Assumptions!$B$3*Assumptions!$B$10</f>
        <v>1.70426721948175</v>
      </c>
      <c r="C26" s="0" t="n">
        <f aca="false">(SUMPRODUCT(DCF_Base!$C$19:$L$19/(1+$A$26/100)^DCF_Base!$C$4:$L$4)+MAX(0,MIN(IF($A$26&gt;$C$23,DCF_Base!$L$19*(1+$C$23/100)/(($A$26-$C$23)/100),DCF_Base!$L$19*DCF_Base!$B$29),DCF_Base!$L$19*DCF_Base!$B$29))/(1+$A$26/100)^DCF_Base!$L$4+Assumptions!$B$5-Assumptions!$B$4)/Assumptions!$B$3*Assumptions!$B$10</f>
        <v>1.74527787778831</v>
      </c>
      <c r="D26" s="0" t="n">
        <f aca="false">(SUMPRODUCT(DCF_Base!$C$19:$L$19/(1+$A$26/100)^DCF_Base!$C$4:$L$4)+MAX(0,MIN(IF($A$26&gt;$D$23,DCF_Base!$L$19*(1+$D$23/100)/(($A$26-$D$23)/100),DCF_Base!$L$19*DCF_Base!$B$29),DCF_Base!$L$19*DCF_Base!$B$29))/(1+$A$26/100)^DCF_Base!$L$4+Assumptions!$B$5-Assumptions!$B$4)/Assumptions!$B$3*Assumptions!$B$10</f>
        <v>1.79141486838318</v>
      </c>
      <c r="E26" s="0" t="n">
        <f aca="false">(SUMPRODUCT(DCF_Base!$C$19:$L$19/(1+$A$26/100)^DCF_Base!$C$4:$L$4)+MAX(0,MIN(IF($A$26&gt;$E$23,DCF_Base!$L$19*(1+$E$23/100)/(($A$26-$E$23)/100),DCF_Base!$L$19*DCF_Base!$B$29),DCF_Base!$L$19*DCF_Base!$B$29))/(1+$A$26/100)^DCF_Base!$L$4+Assumptions!$B$5-Assumptions!$B$4)/Assumptions!$B$3*Assumptions!$B$10</f>
        <v>1.84370345772404</v>
      </c>
      <c r="F26" s="0" t="n">
        <f aca="false">(SUMPRODUCT(DCF_Base!$C$19:$L$19/(1+$A$26/100)^DCF_Base!$C$4:$L$4)+MAX(0,MIN(IF($A$26&gt;$F$23,DCF_Base!$L$19*(1+$F$23/100)/(($A$26-$F$23)/100),DCF_Base!$L$19*DCF_Base!$B$29),DCF_Base!$L$19*DCF_Base!$B$29))/(1+$A$26/100)^DCF_Base!$L$4+Assumptions!$B$5-Assumptions!$B$4)/Assumptions!$B$3*Assumptions!$B$10</f>
        <v>1.90346184554216</v>
      </c>
    </row>
    <row r="27" customFormat="false" ht="15" hidden="false" customHeight="false" outlineLevel="0" collapsed="false">
      <c r="A27" s="3" t="n">
        <v>12.5</v>
      </c>
      <c r="B27" s="0" t="n">
        <f aca="false">(SUMPRODUCT(DCF_Base!$C$19:$L$19/(1+$A$27/100)^DCF_Base!$C$4:$L$4)+MAX(0,MIN(IF($A$27&gt;$B$23,DCF_Base!$L$19*(1+$B$23/100)/(($A$27-$B$23)/100),DCF_Base!$L$19*DCF_Base!$B$29),DCF_Base!$L$19*DCF_Base!$B$29))/(1+$A$27/100)^DCF_Base!$L$4+Assumptions!$B$5-Assumptions!$B$4)/Assumptions!$B$3*Assumptions!$B$10</f>
        <v>1.55652304440786</v>
      </c>
      <c r="C27" s="0" t="n">
        <f aca="false">(SUMPRODUCT(DCF_Base!$C$19:$L$19/(1+$A$27/100)^DCF_Base!$C$4:$L$4)+MAX(0,MIN(IF($A$27&gt;$C$23,DCF_Base!$L$19*(1+$C$23/100)/(($A$27-$C$23)/100),DCF_Base!$L$19*DCF_Base!$B$29),DCF_Base!$L$19*DCF_Base!$B$29))/(1+$A$27/100)^DCF_Base!$L$4+Assumptions!$B$5-Assumptions!$B$4)/Assumptions!$B$3*Assumptions!$B$10</f>
        <v>1.58699748028375</v>
      </c>
      <c r="D27" s="0" t="n">
        <f aca="false">(SUMPRODUCT(DCF_Base!$C$19:$L$19/(1+$A$27/100)^DCF_Base!$C$4:$L$4)+MAX(0,MIN(IF($A$27&gt;$D$23,DCF_Base!$L$19*(1+$D$23/100)/(($A$27-$D$23)/100),DCF_Base!$L$19*DCF_Base!$B$29),DCF_Base!$L$19*DCF_Base!$B$29))/(1+$A$27/100)^DCF_Base!$L$4+Assumptions!$B$5-Assumptions!$B$4)/Assumptions!$B$3*Assumptions!$B$10</f>
        <v>1.62085796459029</v>
      </c>
      <c r="E27" s="0" t="n">
        <f aca="false">(SUMPRODUCT(DCF_Base!$C$19:$L$19/(1+$A$27/100)^DCF_Base!$C$4:$L$4)+MAX(0,MIN(IF($A$27&gt;$E$23,DCF_Base!$L$19*(1+$E$23/100)/(($A$27-$E$23)/100),DCF_Base!$L$19*DCF_Base!$B$29),DCF_Base!$L$19*DCF_Base!$B$29))/(1+$A$27/100)^DCF_Base!$L$4+Assumptions!$B$5-Assumptions!$B$4)/Assumptions!$B$3*Assumptions!$B$10</f>
        <v>1.65870203528584</v>
      </c>
      <c r="F27" s="0" t="n">
        <f aca="false">(SUMPRODUCT(DCF_Base!$C$19:$L$19/(1+$A$27/100)^DCF_Base!$C$4:$L$4)+MAX(0,MIN(IF($A$27&gt;$F$23,DCF_Base!$L$19*(1+$F$23/100)/(($A$27-$F$23)/100),DCF_Base!$L$19*DCF_Base!$B$29),DCF_Base!$L$19*DCF_Base!$B$29))/(1+$A$27/100)^DCF_Base!$L$4+Assumptions!$B$5-Assumptions!$B$4)/Assumptions!$B$3*Assumptions!$B$10</f>
        <v>1.70127661481834</v>
      </c>
    </row>
    <row r="28" customFormat="false" ht="15" hidden="false" customHeight="false" outlineLevel="0" collapsed="false">
      <c r="A28" s="3" t="n">
        <v>13.5</v>
      </c>
      <c r="B28" s="0" t="n">
        <f aca="false">(SUMPRODUCT(DCF_Base!$C$19:$L$19/(1+$A$28/100)^DCF_Base!$C$4:$L$4)+MAX(0,MIN(IF($A$28&gt;$B$23,DCF_Base!$L$19*(1+$B$23/100)/(($A$28-$B$23)/100),DCF_Base!$L$19*DCF_Base!$B$29),DCF_Base!$L$19*DCF_Base!$B$29))/(1+$A$28/100)^DCF_Base!$L$4+Assumptions!$B$5-Assumptions!$B$4)/Assumptions!$B$3*Assumptions!$B$10</f>
        <v>1.43577268152671</v>
      </c>
      <c r="C28" s="0" t="n">
        <f aca="false">(SUMPRODUCT(DCF_Base!$C$19:$L$19/(1+$A$28/100)^DCF_Base!$C$4:$L$4)+MAX(0,MIN(IF($A$28&gt;$C$23,DCF_Base!$L$19*(1+$C$23/100)/(($A$28-$C$23)/100),DCF_Base!$L$19*DCF_Base!$B$29),DCF_Base!$L$19*DCF_Base!$B$29))/(1+$A$28/100)^DCF_Base!$L$4+Assumptions!$B$5-Assumptions!$B$4)/Assumptions!$B$3*Assumptions!$B$10</f>
        <v>1.45891928353585</v>
      </c>
      <c r="D28" s="0" t="n">
        <f aca="false">(SUMPRODUCT(DCF_Base!$C$19:$L$19/(1+$A$28/100)^DCF_Base!$C$4:$L$4)+MAX(0,MIN(IF($A$28&gt;$D$23,DCF_Base!$L$19*(1+$D$23/100)/(($A$28-$D$23)/100),DCF_Base!$L$19*DCF_Base!$B$29),DCF_Base!$L$19*DCF_Base!$B$29))/(1+$A$28/100)^DCF_Base!$L$4+Assumptions!$B$5-Assumptions!$B$4)/Assumptions!$B$3*Assumptions!$B$10</f>
        <v>1.48438054574591</v>
      </c>
      <c r="E28" s="0" t="n">
        <f aca="false">(SUMPRODUCT(DCF_Base!$C$19:$L$19/(1+$A$28/100)^DCF_Base!$C$4:$L$4)+MAX(0,MIN(IF($A$28&gt;$E$23,DCF_Base!$L$19*(1+$E$23/100)/(($A$28-$E$23)/100),DCF_Base!$L$19*DCF_Base!$B$29),DCF_Base!$L$19*DCF_Base!$B$29))/(1+$A$28/100)^DCF_Base!$L$4+Assumptions!$B$5-Assumptions!$B$4)/Assumptions!$B$3*Assumptions!$B$10</f>
        <v>1.51252194082019</v>
      </c>
      <c r="F28" s="0" t="n">
        <f aca="false">(SUMPRODUCT(DCF_Base!$C$19:$L$19/(1+$A$28/100)^DCF_Base!$C$4:$L$4)+MAX(0,MIN(IF($A$28&gt;$F$23,DCF_Base!$L$19*(1+$F$23/100)/(($A$28-$F$23)/100),DCF_Base!$L$19*DCF_Base!$B$29),DCF_Base!$L$19*DCF_Base!$B$29))/(1+$A$28/100)^DCF_Base!$L$4+Assumptions!$B$5-Assumptions!$B$4)/Assumptions!$B$3*Assumptions!$B$10</f>
        <v>1.54379015756939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2026-10-04T09:48:25Z</dcterms:created>
  <dc:creator>openpyxl</dc:creator>
  <dc:description/>
  <dc:language>en-NZ</dc:language>
  <cp:lastModifiedBy/>
  <dcterms:modified xsi:type="dcterms:W3CDTF">2026-10-04T09:48:25Z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